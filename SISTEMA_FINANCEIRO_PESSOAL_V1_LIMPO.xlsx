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NCAR" sheetId="2" state="visible" r:id="rId4"/>
    <sheet name="LANCAMENTOS" sheetId="3" state="visible" r:id="rId5"/>
    <sheet name="PARCELAS" sheetId="4" state="visible" r:id="rId6"/>
    <sheet name="MOV_METAS" sheetId="5" state="visible" r:id="rId7"/>
    <sheet name="CAD_Instituicoes" sheetId="6" state="visible" r:id="rId8"/>
    <sheet name="CAD_Contas" sheetId="7" state="visible" r:id="rId9"/>
    <sheet name="CAD_Cartoes" sheetId="8" state="visible" r:id="rId10"/>
    <sheet name="CAD_Investimentos" sheetId="9" state="visible" r:id="rId11"/>
    <sheet name="CAD_Categorias" sheetId="10" state="visible" r:id="rId12"/>
    <sheet name="CAD_Subcategorias" sheetId="11" state="visible" r:id="rId13"/>
    <sheet name="CAD_Compromissos" sheetId="12" state="visible" r:id="rId14"/>
    <sheet name="CAD_Metas" sheetId="13" state="visible" r:id="rId15"/>
    <sheet name="CAD_Recorrencias" sheetId="14" state="visible" r:id="rId16"/>
    <sheet name="CAD_Bens" sheetId="15" state="visible" r:id="rId17"/>
    <sheet name="FLUXO_CAIXA" sheetId="16" state="visible" r:id="rId18"/>
    <sheet name="PROJECAO" sheetId="17" state="visible" r:id="rId19"/>
    <sheet name="REL_Mensal" sheetId="18" state="visible" r:id="rId20"/>
    <sheet name="REL_Anual" sheetId="19" state="visible" r:id="rId21"/>
    <sheet name="PATRIMONIO" sheetId="20" state="visible" r:id="rId22"/>
    <sheet name="INDICADORES" sheetId="21" state="visible" r:id="rId23"/>
    <sheet name="ALERTAS" sheetId="22" state="visible" r:id="rId24"/>
    <sheet name="GERADOR" sheetId="23" state="visible" r:id="rId25"/>
    <sheet name="TESTES" sheetId="24" state="visible" r:id="rId26"/>
    <sheet name="MANUAL" sheetId="25" state="visible" r:id="rId27"/>
    <sheet name="ARQUITETURA" sheetId="26" state="visible" r:id="rId28"/>
    <sheet name="CFG_Sistema" sheetId="27" state="visible" r:id="rId29"/>
    <sheet name="CFG_Listas" sheetId="28" state="visible" r:id="rId30"/>
    <sheet name="AUX" sheetId="29" state="visible" r:id="rId31"/>
  </sheets>
  <definedNames>
    <definedName function="false" hidden="true" localSheetId="14" name="_xlnm._FilterDatabase" vbProcedure="false">CAD_Bens!$A$4:$J$44</definedName>
    <definedName function="false" hidden="true" localSheetId="7" name="_xlnm._FilterDatabase" vbProcedure="false">CAD_Cartoes!$A$4:$W$44</definedName>
    <definedName function="false" hidden="true" localSheetId="9" name="_xlnm._FilterDatabase" vbProcedure="false">CAD_Categorias!$A$4:$H$44</definedName>
    <definedName function="false" hidden="true" localSheetId="11" name="_xlnm._FilterDatabase" vbProcedure="false">CAD_Compromissos!$A$4:$Z$44</definedName>
    <definedName function="false" hidden="true" localSheetId="6" name="_xlnm._FilterDatabase" vbProcedure="false">CAD_Contas!$A$4:$Q$44</definedName>
    <definedName function="false" hidden="true" localSheetId="5" name="_xlnm._FilterDatabase" vbProcedure="false">CAD_Instituicoes!$A$4:$G$44</definedName>
    <definedName function="false" hidden="true" localSheetId="8" name="_xlnm._FilterDatabase" vbProcedure="false">CAD_Investimentos!$A$4:$Y$44</definedName>
    <definedName function="false" hidden="true" localSheetId="12" name="_xlnm._FilterDatabase" vbProcedure="false">CAD_Metas!$A$4:$Q$44</definedName>
    <definedName function="false" hidden="true" localSheetId="13" name="_xlnm._FilterDatabase" vbProcedure="false">CAD_Recorrencias!$A$4:$V$44</definedName>
    <definedName function="false" hidden="true" localSheetId="10" name="_xlnm._FilterDatabase" vbProcedure="false">CAD_Subcategorias!$A$4:$I$124</definedName>
    <definedName function="false" hidden="true" localSheetId="2" name="_xlnm._FilterDatabase" vbProcedure="false">LANCAMENTOS!$A$4:$AK$3004</definedName>
    <definedName function="false" hidden="true" localSheetId="4" name="_xlnm._FilterDatabase" vbProcedure="false">MOV_METAS!$A$4:$M$604</definedName>
    <definedName function="false" hidden="true" localSheetId="3" name="_xlnm._FilterDatabase" vbProcedure="false">PARCELAS!$A$4:$Q$1204</definedName>
    <definedName function="false" hidden="false" name="AL_TOTAL" vbProcedure="false">ALERTAS!$B$4</definedName>
    <definedName function="false" hidden="false" name="B_CMP" vbProcedure="false">CAD_Bens!$F$5:$F$44</definedName>
    <definedName function="false" hidden="false" name="B_DEVEDOR" vbProcedure="false">CAD_Bens!$G$5:$G$44</definedName>
    <definedName function="false" hidden="false" name="B_ID" vbProcedure="false">CAD_Bens!$A$5:$A$44</definedName>
    <definedName function="false" hidden="false" name="B_LIQ" vbProcedure="false">CAD_Bens!$H$5:$H$44</definedName>
    <definedName function="false" hidden="false" name="B_NOME" vbProcedure="false">CAD_Bens!$B$5:$B$44</definedName>
    <definedName function="false" hidden="false" name="B_STATUS" vbProcedure="false">CAD_Bens!$I$5:$I$44</definedName>
    <definedName function="false" hidden="false" name="B_VALOR" vbProcedure="false">CAD_Bens!$D$5:$D$44</definedName>
    <definedName function="false" hidden="false" name="CAT_ID" vbProcedure="false">CAD_Categorias!$A$5:$A$44</definedName>
    <definedName function="false" hidden="false" name="CAT_NOME" vbProcedure="false">CAD_Categorias!$B$5:$B$44</definedName>
    <definedName function="false" hidden="false" name="CAT_PROJ" vbProcedure="false">CAD_Categorias!$F$5:$F$44</definedName>
    <definedName function="false" hidden="false" name="CAT_QTDSUB" vbProcedure="false">CAD_Categorias!$D$5:$D$44</definedName>
    <definedName function="false" hidden="false" name="CAT_REAL" vbProcedure="false">CAD_Categorias!$E$5:$E$44</definedName>
    <definedName function="false" hidden="false" name="CAT_STATUS" vbProcedure="false">CAD_Categorias!$G$5:$G$44</definedName>
    <definedName function="false" hidden="false" name="CAT_TIPO" vbProcedure="false">CAD_Categorias!$C$5:$C$44</definedName>
    <definedName function="false" hidden="false" name="CFG_ANO" vbProcedure="false">CFG_Sistema!$C$11</definedName>
    <definedName function="false" hidden="false" name="CFG_DIAS_ALERTA" vbProcedure="false">CFG_Sistema!$C$21</definedName>
    <definedName function="false" hidden="false" name="CFG_DIAS_INV" vbProcedure="false">CFG_Sistema!$C$22</definedName>
    <definedName function="false" hidden="false" name="CFG_HOJE" vbProcedure="false">CFG_Sistema!$C$9</definedName>
    <definedName function="false" hidden="false" name="CFG_HORIZONTE" vbProcedure="false">CFG_Sistema!$C$13</definedName>
    <definedName function="false" hidden="false" name="CFG_INICIO" vbProcedure="false">CFG_Sistema!$C$10</definedName>
    <definedName function="false" hidden="false" name="CFG_MES" vbProcedure="false">CFG_Sistema!$C$12</definedName>
    <definedName function="false" hidden="false" name="CFG_MOEDA" vbProcedure="false">CFG_Sistema!$C$6</definedName>
    <definedName function="false" hidden="false" name="CFG_NOME" vbProcedure="false">CFG_Sistema!$C$5</definedName>
    <definedName function="false" hidden="false" name="CFG_PCT_CARTAO" vbProcedure="false">CFG_Sistema!$C$20</definedName>
    <definedName function="false" hidden="false" name="CFG_PCT_DESP" vbProcedure="false">CFG_Sistema!$C$24</definedName>
    <definedName function="false" hidden="false" name="CFG_PCT_RENDA" vbProcedure="false">CFG_Sistema!$C$23</definedName>
    <definedName function="false" hidden="false" name="CFG_RESERVA_FLUXO" vbProcedure="false">CFG_Sistema!$C$16</definedName>
    <definedName function="false" hidden="false" name="CFG_SALDO_MIN" vbProcedure="false">CFG_Sistema!$C$19</definedName>
    <definedName function="false" hidden="false" name="CM_ABERTAS" vbProcedure="false">CAD_Compromissos!$Q$5:$Q$44</definedName>
    <definedName function="false" hidden="false" name="CM_ATRAS" vbProcedure="false">CAD_Compromissos!$R$5:$R$44</definedName>
    <definedName function="false" hidden="false" name="CM_ATUAL" vbProcedure="false">CAD_Compromissos!$W$5:$W$44</definedName>
    <definedName function="false" hidden="false" name="CM_CATID" vbProcedure="false">CAD_Compromissos!$D$5:$D$44</definedName>
    <definedName function="false" hidden="false" name="CM_DEVEDOR" vbProcedure="false">CAD_Compromissos!$V$5:$V$44</definedName>
    <definedName function="false" hidden="false" name="CM_ENTID" vbProcedure="false">CAD_Compromissos!$O$5:$O$44</definedName>
    <definedName function="false" hidden="false" name="CM_ENTTIPO" vbProcedure="false">CAD_Compromissos!$N$5:$N$44</definedName>
    <definedName function="false" hidden="false" name="CM_ID" vbProcedure="false">CAD_Compromissos!$A$5:$A$44</definedName>
    <definedName function="false" hidden="false" name="CM_NOME" vbProcedure="false">CAD_Compromissos!$B$5:$B$44</definedName>
    <definedName function="false" hidden="false" name="CM_PAGAS" vbProcedure="false">CAD_Compromissos!$P$5:$P$44</definedName>
    <definedName function="false" hidden="false" name="CM_PAGASANTES" vbProcedure="false">CAD_Compromissos!$M$5:$M$44</definedName>
    <definedName function="false" hidden="false" name="CM_PAGO" vbProcedure="false">CAD_Compromissos!$U$5:$U$44</definedName>
    <definedName function="false" hidden="false" name="CM_PROJ" vbProcedure="false">CAD_Compromissos!$S$5:$S$44</definedName>
    <definedName function="false" hidden="false" name="CM_PROXVENC" vbProcedure="false">CAD_Compromissos!$X$5:$X$44</definedName>
    <definedName function="false" hidden="false" name="CM_QTD" vbProcedure="false">CAD_Compromissos!$G$5:$G$44</definedName>
    <definedName function="false" hidden="false" name="CM_REST" vbProcedure="false">CAD_Compromissos!$T$5:$T$44</definedName>
    <definedName function="false" hidden="false" name="CM_STATUS" vbProcedure="false">CAD_Compromissos!$Y$5:$Y$44</definedName>
    <definedName function="false" hidden="false" name="CM_SUBID" vbProcedure="false">CAD_Compromissos!$F$5:$F$44</definedName>
    <definedName function="false" hidden="false" name="CM_TOTAL" vbProcedure="false">CAD_Compromissos!$I$5:$I$44</definedName>
    <definedName function="false" hidden="false" name="CM_VLRPARC" vbProcedure="false">CAD_Compromissos!$H$5:$H$44</definedName>
    <definedName function="false" hidden="false" name="C_DATAINI" vbProcedure="false">CAD_Contas!$G$5:$G$44</definedName>
    <definedName function="false" hidden="false" name="C_DISP" vbProcedure="false">CAD_Contas!$L$5:$L$44</definedName>
    <definedName function="false" hidden="false" name="C_ENTP" vbProcedure="false">CAD_Contas!$M$5:$M$44</definedName>
    <definedName function="false" hidden="false" name="C_ENTR" vbProcedure="false">CAD_Contas!$H$5:$H$44</definedName>
    <definedName function="false" hidden="false" name="C_ID" vbProcedure="false">CAD_Contas!$A$5:$A$44</definedName>
    <definedName function="false" hidden="false" name="C_NOME" vbProcedure="false">CAD_Contas!$B$5:$B$44</definedName>
    <definedName function="false" hidden="false" name="C_PROJ" vbProcedure="false">CAD_Contas!$O$5:$O$44</definedName>
    <definedName function="false" hidden="false" name="C_RESERV" vbProcedure="false">CAD_Contas!$K$5:$K$44</definedName>
    <definedName function="false" hidden="false" name="C_SAID" vbProcedure="false">CAD_Contas!$I$5:$I$44</definedName>
    <definedName function="false" hidden="false" name="C_SAIP" vbProcedure="false">CAD_Contas!$N$5:$N$44</definedName>
    <definedName function="false" hidden="false" name="C_SALDO" vbProcedure="false">CAD_Contas!$J$5:$J$44</definedName>
    <definedName function="false" hidden="false" name="C_SALDOINI" vbProcedure="false">CAD_Contas!$F$5:$F$44</definedName>
    <definedName function="false" hidden="false" name="C_STATUS" vbProcedure="false">CAD_Contas!$P$5:$P$44</definedName>
    <definedName function="false" hidden="false" name="C_TIPO" vbProcedure="false">CAD_Contas!$E$5:$E$44</definedName>
    <definedName function="false" hidden="false" name="ENT_ID" vbProcedure="false">AUX!$A$5:$A$124</definedName>
    <definedName function="false" hidden="false" name="ENT_NOME" vbProcedure="false">AUX!$C$5:$C$124</definedName>
    <definedName function="false" hidden="false" name="ENT_TIPO" vbProcedure="false">AUX!$B$5:$B$124</definedName>
    <definedName function="false" hidden="false" name="FX_COMP" vbProcedure="false">FLUXO_CAIXA!$A$8:$A$37</definedName>
    <definedName function="false" hidden="false" name="FX_ENTR" vbProcedure="false">FLUXO_CAIXA!$E$8:$E$37</definedName>
    <definedName function="false" hidden="false" name="FX_INI" vbProcedure="false">FLUXO_CAIXA!$B$8:$B$37</definedName>
    <definedName function="false" hidden="false" name="FX_SAID" vbProcedure="false">FLUXO_CAIXA!$F$8:$F$37</definedName>
    <definedName function="false" hidden="false" name="FX_SALDOFIM" vbProcedure="false">FLUXO_CAIXA!$K$8:$K$37</definedName>
    <definedName function="false" hidden="false" name="INS_ID" vbProcedure="false">CAD_Instituicoes!$A$5:$A$44</definedName>
    <definedName function="false" hidden="false" name="INS_NOME" vbProcedure="false">CAD_Instituicoes!$B$5:$B$44</definedName>
    <definedName function="false" hidden="false" name="I_APORTES" vbProcedure="false">CAD_Investimentos!$L$5:$L$44</definedName>
    <definedName function="false" hidden="false" name="I_APORTPROJ" vbProcedure="false">CAD_Investimentos!$V$5:$V$44</definedName>
    <definedName function="false" hidden="false" name="I_BASE" vbProcedure="false">CAD_Investimentos!$H$5:$H$44</definedName>
    <definedName function="false" hidden="false" name="I_DATAINI" vbProcedure="false">CAD_Investimentos!$G$5:$G$44</definedName>
    <definedName function="false" hidden="false" name="I_ESTVENC" vbProcedure="false">CAD_Investimentos!$U$5:$U$44</definedName>
    <definedName function="false" hidden="false" name="I_ID" vbProcedure="false">CAD_Investimentos!$A$5:$A$44</definedName>
    <definedName function="false" hidden="false" name="I_MESES" vbProcedure="false">CAD_Investimentos!$R$5:$R$44</definedName>
    <definedName function="false" hidden="false" name="I_NOME" vbProcedure="false">CAD_Investimentos!$B$5:$B$44</definedName>
    <definedName function="false" hidden="false" name="I_PRAZO" vbProcedure="false">CAD_Investimentos!$J$5:$J$44</definedName>
    <definedName function="false" hidden="false" name="I_PRINC" vbProcedure="false">CAD_Investimentos!$P$5:$P$44</definedName>
    <definedName function="false" hidden="false" name="I_REND" vbProcedure="false">CAD_Investimentos!$N$5:$N$44</definedName>
    <definedName function="false" hidden="false" name="I_RENDEST" vbProcedure="false">CAD_Investimentos!$T$5:$T$44</definedName>
    <definedName function="false" hidden="false" name="I_RENDPROJ" vbProcedure="false">CAD_Investimentos!$S$5:$S$44</definedName>
    <definedName function="false" hidden="false" name="I_RENDSALDO" vbProcedure="false">CAD_Investimentos!$Q$5:$Q$44</definedName>
    <definedName function="false" hidden="false" name="I_RESG" vbProcedure="false">CAD_Investimentos!$M$5:$M$44</definedName>
    <definedName function="false" hidden="false" name="I_RESGPROJ" vbProcedure="false">CAD_Investimentos!$W$5:$W$44</definedName>
    <definedName function="false" hidden="false" name="I_SALDO" vbProcedure="false">CAD_Investimentos!$O$5:$O$44</definedName>
    <definedName function="false" hidden="false" name="I_STATUS" vbProcedure="false">CAD_Investimentos!$X$5:$X$44</definedName>
    <definedName function="false" hidden="false" name="I_TAXA" vbProcedure="false">CAD_Investimentos!$I$5:$I$44</definedName>
    <definedName function="false" hidden="false" name="I_TIPO" vbProcedure="false">CAD_Investimentos!$E$5:$E$44</definedName>
    <definedName function="false" hidden="false" name="I_VALINI" vbProcedure="false">CAD_Investimentos!$F$5:$F$44</definedName>
    <definedName function="false" hidden="false" name="I_VENC" vbProcedure="false">CAD_Investimentos!$K$5:$K$44</definedName>
    <definedName function="false" hidden="false" name="K_CICLOINI" vbProcedure="false">CAD_Cartoes!$P$5:$P$44</definedName>
    <definedName function="false" hidden="false" name="K_COMPR" vbProcedure="false">CAD_Cartoes!$U$5:$U$44</definedName>
    <definedName function="false" hidden="false" name="K_COMPRAS" vbProcedure="false">CAD_Cartoes!$J$5:$J$44</definedName>
    <definedName function="false" hidden="false" name="K_DISP" vbProcedure="false">CAD_Cartoes!$N$5:$N$44</definedName>
    <definedName function="false" hidden="false" name="K_DIVIDA" vbProcedure="false">CAD_Cartoes!$L$5:$L$44</definedName>
    <definedName function="false" hidden="false" name="K_DIVINI" vbProcedure="false">CAD_Cartoes!$F$5:$F$44</definedName>
    <definedName function="false" hidden="false" name="K_FATURA" vbProcedure="false">CAD_Cartoes!$R$5:$R$44</definedName>
    <definedName function="false" hidden="false" name="K_FECHA" vbProcedure="false">CAD_Cartoes!$O$5:$O$44</definedName>
    <definedName function="false" hidden="false" name="K_FECHDIA" vbProcedure="false">CAD_Cartoes!$H$5:$H$44</definedName>
    <definedName function="false" hidden="false" name="K_FUTURAS" vbProcedure="false">CAD_Cartoes!$S$5:$S$44</definedName>
    <definedName function="false" hidden="false" name="K_ID" vbProcedure="false">CAD_Cartoes!$A$5:$A$44</definedName>
    <definedName function="false" hidden="false" name="K_LIMITE" vbProcedure="false">CAD_Cartoes!$E$5:$E$44</definedName>
    <definedName function="false" hidden="false" name="K_NOME" vbProcedure="false">CAD_Cartoes!$B$5:$B$44</definedName>
    <definedName function="false" hidden="false" name="K_PAGTOS" vbProcedure="false">CAD_Cartoes!$K$5:$K$44</definedName>
    <definedName function="false" hidden="false" name="K_PARCFUT" vbProcedure="false">CAD_Cartoes!$T$5:$T$44</definedName>
    <definedName function="false" hidden="false" name="K_PCT" vbProcedure="false">CAD_Cartoes!$M$5:$M$44</definedName>
    <definedName function="false" hidden="false" name="K_STATUS" vbProcedure="false">CAD_Cartoes!$V$5:$V$44</definedName>
    <definedName function="false" hidden="false" name="K_VENC" vbProcedure="false">CAD_Cartoes!$Q$5:$Q$44</definedName>
    <definedName function="false" hidden="false" name="K_VENCDIA" vbProcedure="false">CAD_Cartoes!$I$5:$I$44</definedName>
    <definedName function="false" hidden="false" name="LST_BASEREND" vbProcedure="false">CFG_Listas!$J$4:$J$7</definedName>
    <definedName function="false" hidden="false" name="LST_CATEGORIAS" vbProcedure="false">CAD_Categorias!$B$5:$B$44</definedName>
    <definedName function="false" hidden="false" name="LST_COMPROMISSOS" vbProcedure="false">CAD_Compromissos!$B$5:$B$44</definedName>
    <definedName function="false" hidden="false" name="LST_DESTRET" vbProcedure="false">CFG_Listas!$S$4:$S$9</definedName>
    <definedName function="false" hidden="false" name="LST_ENT_TIPO" vbProcedure="false">CFG_Listas!$D$4:$D$7</definedName>
    <definedName function="false" hidden="false" name="LST_FORMA" vbProcedure="false">CFG_Listas!$F$4:$F$11</definedName>
    <definedName function="false" hidden="false" name="LST_MESES" vbProcedure="false">CFG_Listas!$T$4:$T$15</definedName>
    <definedName function="false" hidden="false" name="LST_METAS_NOME" vbProcedure="false">CAD_Metas!$B$5:$B$44</definedName>
    <definedName function="false" hidden="false" name="LST_NOMES_CARTAO" vbProcedure="false">AUX!$G$5:$G$44</definedName>
    <definedName function="false" hidden="false" name="LST_NOMES_CONTA" vbProcedure="false">AUX!$F$5:$F$44</definedName>
    <definedName function="false" hidden="false" name="LST_NOMES_EXTERNO" vbProcedure="false">AUX!$I$5:$I$5</definedName>
    <definedName function="false" hidden="false" name="LST_NOMES_INVESTIMENTO" vbProcedure="false">AUX!$H$5:$H$44</definedName>
    <definedName function="false" hidden="false" name="LST_PERIOD" vbProcedure="false">CFG_Listas!$G$4:$G$12</definedName>
    <definedName function="false" hidden="false" name="LST_SIMNAO" vbProcedure="false">CFG_Listas!$O$4:$O$5</definedName>
    <definedName function="false" hidden="false" name="LST_STATUS" vbProcedure="false">CFG_Listas!$C$4:$C$6</definedName>
    <definedName function="false" hidden="false" name="LST_STCAD" vbProcedure="false">CFG_Listas!$H$4:$H$6</definedName>
    <definedName function="false" hidden="false" name="LST_STMETA" vbProcedure="false">CFG_Listas!$K$4:$K$7</definedName>
    <definedName function="false" hidden="false" name="LST_STPARC" vbProcedure="false">CFG_Listas!$L$4:$L$8</definedName>
    <definedName function="false" hidden="false" name="LST_TIPOBEM" vbProcedure="false">CFG_Listas!$R$4:$R$9</definedName>
    <definedName function="false" hidden="false" name="LST_TIPOCAT" vbProcedure="false">CFG_Listas!$Q$4:$Q$6</definedName>
    <definedName function="false" hidden="false" name="LST_TIPOCONTA" vbProcedure="false">CFG_Listas!$E$4:$E$7</definedName>
    <definedName function="false" hidden="false" name="LST_TIPOINST" vbProcedure="false">CFG_Listas!$P$4:$P$11</definedName>
    <definedName function="false" hidden="false" name="LST_TIPOINV" vbProcedure="false">CFG_Listas!$I$4:$I$8</definedName>
    <definedName function="false" hidden="false" name="LST_TIPOMOV" vbProcedure="false">CFG_Listas!$M$4:$M$9</definedName>
    <definedName function="false" hidden="false" name="L_Ano" vbProcedure="false">LANCAMENTOS!$T$5:$T$3004</definedName>
    <definedName function="false" hidden="false" name="L_AnoMes" vbProcedure="false">LANCAMENTOS!$V$5:$V$3004</definedName>
    <definedName function="false" hidden="false" name="L_CatID" vbProcedure="false">LANCAMENTOS!$K$5:$K$3004</definedName>
    <definedName function="false" hidden="false" name="L_CatNome" vbProcedure="false">LANCAMENTOS!$X$5:$X$3004</definedName>
    <definedName function="false" hidden="false" name="L_Class" vbProcedure="false">LANCAMENTOS!$W$5:$W$3004</definedName>
    <definedName function="false" hidden="false" name="L_CmpID" vbProcedure="false">LANCAMENTOS!$N$5:$N$3004</definedName>
    <definedName function="false" hidden="false" name="L_Data" vbProcedure="false">LANCAMENTOS!$B$5:$B$3004</definedName>
    <definedName function="false" hidden="false" name="L_Desc" vbProcedure="false">LANCAMENTOS!$C$5:$C$3004</definedName>
    <definedName function="false" hidden="false" name="L_DestID" vbProcedure="false">LANCAMENTOS!$J$5:$J$3004</definedName>
    <definedName function="false" hidden="false" name="L_DestNome" vbProcedure="false">LANCAMENTOS!$AA$5:$AA$3004</definedName>
    <definedName function="false" hidden="false" name="L_DestTipo" vbProcedure="false">LANCAMENTOS!$I$5:$I$3004</definedName>
    <definedName function="false" hidden="false" name="L_EfCartao" vbProcedure="false">LANCAMENTOS!$AH$5:$AH$3004</definedName>
    <definedName function="false" hidden="false" name="L_EfConta" vbProcedure="false">LANCAMENTOS!$AG$5:$AG$3004</definedName>
    <definedName function="false" hidden="false" name="L_EfInv" vbProcedure="false">LANCAMENTOS!$AI$5:$AI$3004</definedName>
    <definedName function="false" hidden="false" name="L_Ent" vbProcedure="false">LANCAMENTOS!$AB$5:$AB$3004</definedName>
    <definedName function="false" hidden="false" name="L_Forma" vbProcedure="false">LANCAMENTOS!$M$5:$M$3004</definedName>
    <definedName function="false" hidden="false" name="L_ID" vbProcedure="false">LANCAMENTOS!$A$5:$A$3004</definedName>
    <definedName function="false" hidden="false" name="L_Mes" vbProcedure="false">LANCAMENTOS!$U$5:$U$3004</definedName>
    <definedName function="false" hidden="false" name="L_MetaID" vbProcedure="false">LANCAMENTOS!$P$5:$P$3004</definedName>
    <definedName function="false" hidden="false" name="L_OrigID" vbProcedure="false">LANCAMENTOS!$H$5:$H$3004</definedName>
    <definedName function="false" hidden="false" name="L_OrigNome" vbProcedure="false">LANCAMENTOS!$Z$5:$Z$3004</definedName>
    <definedName function="false" hidden="false" name="L_OrigTipo" vbProcedure="false">LANCAMENTOS!$G$5:$G$3004</definedName>
    <definedName function="false" hidden="false" name="L_ParcID" vbProcedure="false">LANCAMENTOS!$O$5:$O$3004</definedName>
    <definedName function="false" hidden="false" name="L_RecID" vbProcedure="false">LANCAMENTOS!$Q$5:$Q$3004</definedName>
    <definedName function="false" hidden="false" name="L_RelID" vbProcedure="false">LANCAMENTOS!$R$5:$R$3004</definedName>
    <definedName function="false" hidden="false" name="L_Sai" vbProcedure="false">LANCAMENTOS!$AC$5:$AC$3004</definedName>
    <definedName function="false" hidden="false" name="L_Status" vbProcedure="false">LANCAMENTOS!$E$5:$E$3004</definedName>
    <definedName function="false" hidden="false" name="L_SubID" vbProcedure="false">LANCAMENTOS!$L$5:$L$3004</definedName>
    <definedName function="false" hidden="false" name="L_SubNome" vbProcedure="false">LANCAMENTOS!$Y$5:$Y$3004</definedName>
    <definedName function="false" hidden="false" name="L_Tipo" vbProcedure="false">LANCAMENTOS!$D$5:$D$3004</definedName>
    <definedName function="false" hidden="false" name="L_Valid" vbProcedure="false">LANCAMENTOS!$AJ$5:$AJ$3004</definedName>
    <definedName function="false" hidden="false" name="L_Valor" vbProcedure="false">LANCAMENTOS!$F$5:$F$3004</definedName>
    <definedName function="false" hidden="false" name="L_VDesp" vbProcedure="false">LANCAMENTOS!$AE$5:$AE$3004</definedName>
    <definedName function="false" hidden="false" name="L_VRec" vbProcedure="false">LANCAMENTOS!$AD$5:$AD$3004</definedName>
    <definedName function="false" hidden="false" name="L_VRend" vbProcedure="false">LANCAMENTOS!$AF$5:$AF$3004</definedName>
    <definedName function="false" hidden="false" name="MAP_CLASS" vbProcedure="false">CFG_Listas!$B$4:$B$13</definedName>
    <definedName function="false" hidden="false" name="MAP_SINALMOV" vbProcedure="false">CFG_Listas!$N$4:$N$9</definedName>
    <definedName function="false" hidden="false" name="MAP_TIPO" vbProcedure="false">CFG_Listas!$A$4:$A$13</definedName>
    <definedName function="false" hidden="false" name="MM_CONTA" vbProcedure="false">MOV_METAS!$L$5:$L$604</definedName>
    <definedName function="false" hidden="false" name="MM_DATA" vbProcedure="false">MOV_METAS!$B$5:$B$604</definedName>
    <definedName function="false" hidden="false" name="MM_DEST" vbProcedure="false">MOV_METAS!$F$5:$F$604</definedName>
    <definedName function="false" hidden="false" name="MM_ID" vbProcedure="false">MOV_METAS!$A$5:$A$604</definedName>
    <definedName function="false" hidden="false" name="MM_META" vbProcedure="false">MOV_METAS!$C$5:$C$604</definedName>
    <definedName function="false" hidden="false" name="MM_METADEST" vbProcedure="false">MOV_METAS!$G$5:$G$604</definedName>
    <definedName function="false" hidden="false" name="MM_NOME" vbProcedure="false">MOV_METAS!$I$5:$I$604</definedName>
    <definedName function="false" hidden="false" name="MM_SINAL" vbProcedure="false">MOV_METAS!$J$5:$J$604</definedName>
    <definedName function="false" hidden="false" name="MM_TIPO" vbProcedure="false">MOV_METAS!$D$5:$D$604</definedName>
    <definedName function="false" hidden="false" name="MM_VALID" vbProcedure="false">MOV_METAS!$M$5:$M$604</definedName>
    <definedName function="false" hidden="false" name="MM_VALOR" vbProcedure="false">MOV_METAS!$E$5:$E$604</definedName>
    <definedName function="false" hidden="false" name="MM_VALSINAL" vbProcedure="false">MOV_METAS!$K$5:$K$604</definedName>
    <definedName function="false" hidden="false" name="M_APMENSAL" vbProcedure="false">CAD_Metas!$L$5:$L$44</definedName>
    <definedName function="false" hidden="false" name="M_CONCL" vbProcedure="false">CAD_Metas!$N$5:$N$44</definedName>
    <definedName function="false" hidden="false" name="M_CONTA" vbProcedure="false">CAD_Metas!$E$5:$E$44</definedName>
    <definedName function="false" hidden="false" name="M_CONTANOME" vbProcedure="false">CAD_Metas!$P$5:$P$44</definedName>
    <definedName function="false" hidden="false" name="M_FALTA" vbProcedure="false">CAD_Metas!$J$5:$J$44</definedName>
    <definedName function="false" hidden="false" name="M_FLUXO" vbProcedure="false">CAD_Metas!$G$5:$G$44</definedName>
    <definedName function="false" hidden="false" name="M_ID" vbProcedure="false">CAD_Metas!$A$5:$A$44</definedName>
    <definedName function="false" hidden="false" name="M_INV" vbProcedure="false">CAD_Metas!$F$5:$F$44</definedName>
    <definedName function="false" hidden="false" name="M_MESES" vbProcedure="false">CAD_Metas!$K$5:$K$44</definedName>
    <definedName function="false" hidden="false" name="M_NOME" vbProcedure="false">CAD_Metas!$B$5:$B$44</definedName>
    <definedName function="false" hidden="false" name="M_OBJ" vbProcedure="false">CAD_Metas!$C$5:$C$44</definedName>
    <definedName function="false" hidden="false" name="M_PCT" vbProcedure="false">CAD_Metas!$I$5:$I$44</definedName>
    <definedName function="false" hidden="false" name="M_PRAZO" vbProcedure="false">CAD_Metas!$D$5:$D$44</definedName>
    <definedName function="false" hidden="false" name="M_RESERV" vbProcedure="false">CAD_Metas!$H$5:$H$44</definedName>
    <definedName function="false" hidden="false" name="M_SITUACAO" vbProcedure="false">CAD_Metas!$O$5:$O$44</definedName>
    <definedName function="false" hidden="false" name="M_STATUS" vbProcedure="false">CAD_Metas!$M$5:$M$44</definedName>
    <definedName function="false" hidden="false" name="PAT_ATIVOS" vbProcedure="false">PATRIMONIO!$B$11</definedName>
    <definedName function="false" hidden="false" name="PAT_PASSIVOS" vbProcedure="false">PATRIMONIO!$B$15</definedName>
    <definedName function="false" hidden="false" name="PAT_PL_FIN" vbProcedure="false">PATRIMONIO!$B$17</definedName>
    <definedName function="false" hidden="false" name="PAT_PL_TOTAL" vbProcedure="false">PATRIMONIO!$B$18</definedName>
    <definedName function="false" hidden="false" name="PJ_COMP" vbProcedure="false">PROJECAO!$A$5:$A$28</definedName>
    <definedName function="false" hidden="false" name="PJ_FATURAS" vbProcedure="false">PROJECAO!$H$5:$H$28</definedName>
    <definedName function="false" hidden="false" name="PJ_FIM" vbProcedure="false">PROJECAO!$C$5:$C$28</definedName>
    <definedName function="false" hidden="false" name="PJ_INI" vbProcedure="false">PROJECAO!$B$5:$B$28</definedName>
    <definedName function="false" hidden="false" name="PJ_PARCELAS" vbProcedure="false">PROJECAO!$G$5:$G$28</definedName>
    <definedName function="false" hidden="false" name="PJ_SAIDAS" vbProcedure="false">PROJECAO!$L$5:$L$28</definedName>
    <definedName function="false" hidden="false" name="PJ_SALDO" vbProcedure="false">PROJECAO!$O$5:$O$28</definedName>
    <definedName function="false" hidden="false" name="PT_COMP" vbProcedure="false">PATRIMONIO!$A$24:$A$53</definedName>
    <definedName function="false" hidden="false" name="PT_PLFIN" vbProcedure="false">PATRIMONIO!$H$24:$H$53</definedName>
    <definedName function="false" hidden="false" name="PT_PLTOTAL" vbProcedure="false">PATRIMONIO!$I$24:$I$53</definedName>
    <definedName function="false" hidden="false" name="P_ANTES" vbProcedure="false">PARCELAS!$J$5:$J$1204</definedName>
    <definedName function="false" hidden="false" name="P_ATRASO" vbProcedure="false">PARCELAS!$P$5:$P$1204</definedName>
    <definedName function="false" hidden="false" name="P_CMP" vbProcedure="false">PARCELAS!$B$5:$B$1204</definedName>
    <definedName function="false" hidden="false" name="P_DIF" vbProcedure="false">PARCELAS!$Q$5:$Q$1204</definedName>
    <definedName function="false" hidden="false" name="P_DTPAGO" vbProcedure="false">PARCELAS!$L$5:$L$1204</definedName>
    <definedName function="false" hidden="false" name="P_ID" vbProcedure="false">PARCELAS!$A$5:$A$1204</definedName>
    <definedName function="false" hidden="false" name="P_NOME" vbProcedure="false">PARCELAS!$G$5:$G$1204</definedName>
    <definedName function="false" hidden="false" name="P_NUM" vbProcedure="false">PARCELAS!$C$5:$C$1204</definedName>
    <definedName function="false" hidden="false" name="P_OBS" vbProcedure="false">PARCELAS!$F$5:$F$1204</definedName>
    <definedName function="false" hidden="false" name="P_PAGO" vbProcedure="false">PARCELAS!$K$5:$K$1204</definedName>
    <definedName function="false" hidden="false" name="P_QTDPROJ" vbProcedure="false">PARCELAS!$N$5:$N$1204</definedName>
    <definedName function="false" hidden="false" name="P_QTDREAL" vbProcedure="false">PARCELAS!$M$5:$M$1204</definedName>
    <definedName function="false" hidden="false" name="P_ROT" vbProcedure="false">PARCELAS!$I$5:$I$1204</definedName>
    <definedName function="false" hidden="false" name="P_STATUS" vbProcedure="false">PARCELAS!$O$5:$O$1204</definedName>
    <definedName function="false" hidden="false" name="P_TOTAL" vbProcedure="false">PARCELAS!$H$5:$H$1204</definedName>
    <definedName function="false" hidden="false" name="P_VALOR" vbProcedure="false">PARCELAS!$E$5:$E$1204</definedName>
    <definedName function="false" hidden="false" name="P_VENC" vbProcedure="false">PARCELAS!$D$5:$D$1204</definedName>
    <definedName function="false" hidden="false" name="RA_CAT_NOME" vbProcedure="false">REL_Anual!$A$25:$A$64</definedName>
    <definedName function="false" hidden="false" name="RA_CAT_TOT" vbProcedure="false">REL_Anual!$B$25:$B$64</definedName>
    <definedName function="false" hidden="false" name="RA_DESP" vbProcedure="false">REL_Anual!$F$8:$F$19</definedName>
    <definedName function="false" hidden="false" name="RA_MES" vbProcedure="false">REL_Anual!$A$8:$A$19</definedName>
    <definedName function="false" hidden="false" name="RA_REC" vbProcedure="false">REL_Anual!$D$8:$D$19</definedName>
    <definedName function="false" hidden="false" name="RA_RESULT" vbProcedure="false">REL_Anual!$G$8:$G$19</definedName>
    <definedName function="false" hidden="false" name="RA_SALDO" vbProcedure="false">REL_Anual!$N$8:$N$19</definedName>
    <definedName function="false" hidden="false" name="RELA_ANO" vbProcedure="false">REL_Anual!$B$4</definedName>
    <definedName function="false" hidden="false" name="REL_ANO" vbProcedure="false">REL_Mensal!$B$4</definedName>
    <definedName function="false" hidden="false" name="REL_FIM" vbProcedure="false">REL_Mensal!$D$5</definedName>
    <definedName function="false" hidden="false" name="REL_INI" vbProcedure="false">REL_Mensal!$B$5</definedName>
    <definedName function="false" hidden="false" name="REL_MES" vbProcedure="false">REL_Mensal!$D$4</definedName>
    <definedName function="false" hidden="false" name="REL_RESULTADO" vbProcedure="false">REL_Mensal!$D$12</definedName>
    <definedName function="false" hidden="false" name="RM_CAT_NOME" vbProcedure="false">REL_Mensal!$A$26:$A$65</definedName>
    <definedName function="false" hidden="false" name="RM_CAT_REAL" vbProcedure="false">REL_Mensal!$B$26:$B$65</definedName>
    <definedName function="false" hidden="false" name="R_DESC" vbProcedure="false">CAD_Recorrencias!$B$5:$B$44</definedName>
    <definedName function="false" hidden="false" name="R_GERADOS" vbProcedure="false">CAD_Recorrencias!$R$5:$R$44</definedName>
    <definedName function="false" hidden="false" name="R_ID" vbProcedure="false">CAD_Recorrencias!$A$5:$A$44</definedName>
    <definedName function="false" hidden="false" name="R_PERIOD" vbProcedure="false">CAD_Recorrencias!$E$5:$E$44</definedName>
    <definedName function="false" hidden="false" name="R_PROXIMA" vbProcedure="false">CAD_Recorrencias!$U$5:$U$44</definedName>
    <definedName function="false" hidden="false" name="R_STATUS" vbProcedure="false">CAD_Recorrencias!$Q$5:$Q$44</definedName>
    <definedName function="false" hidden="false" name="R_TIPO" vbProcedure="false">CAD_Recorrencias!$C$5:$C$44</definedName>
    <definedName function="false" hidden="false" name="R_VALOR" vbProcedure="false">CAD_Recorrencias!$D$5:$D$44</definedName>
    <definedName function="false" hidden="false" name="SUB_CATID" vbProcedure="false">CAD_Subcategorias!$C$5:$C$124</definedName>
    <definedName function="false" hidden="false" name="SUB_CATNOME" vbProcedure="false">CAD_Subcategorias!$B$5:$B$124</definedName>
    <definedName function="false" hidden="false" name="SUB_CAT_000001" vbProcedure="false">AUX!$K$5:$K$29</definedName>
    <definedName function="false" hidden="false" name="SUB_CAT_000002" vbProcedure="false">AUX!$L$5:$L$29</definedName>
    <definedName function="false" hidden="false" name="SUB_CAT_000003" vbProcedure="false">AUX!$M$5:$M$29</definedName>
    <definedName function="false" hidden="false" name="SUB_CAT_000004" vbProcedure="false">AUX!$N$5:$N$29</definedName>
    <definedName function="false" hidden="false" name="SUB_CAT_000005" vbProcedure="false">AUX!$O$5:$O$29</definedName>
    <definedName function="false" hidden="false" name="SUB_CAT_000006" vbProcedure="false">AUX!$P$5:$P$29</definedName>
    <definedName function="false" hidden="false" name="SUB_CAT_000007" vbProcedure="false">AUX!$Q$5:$Q$29</definedName>
    <definedName function="false" hidden="false" name="SUB_CAT_000008" vbProcedure="false">AUX!$R$5:$R$29</definedName>
    <definedName function="false" hidden="false" name="SUB_CAT_000009" vbProcedure="false">AUX!$S$5:$S$29</definedName>
    <definedName function="false" hidden="false" name="SUB_CAT_000010" vbProcedure="false">AUX!$T$5:$T$29</definedName>
    <definedName function="false" hidden="false" name="SUB_CAT_000011" vbProcedure="false">AUX!$U$5:$U$29</definedName>
    <definedName function="false" hidden="false" name="SUB_CAT_000012" vbProcedure="false">AUX!$V$5:$V$29</definedName>
    <definedName function="false" hidden="false" name="SUB_CAT_000013" vbProcedure="false">AUX!$W$5:$W$29</definedName>
    <definedName function="false" hidden="false" name="SUB_CAT_000014" vbProcedure="false">AUX!$X$5:$X$29</definedName>
    <definedName function="false" hidden="false" name="SUB_CAT_000015" vbProcedure="false">AUX!$Y$5:$Y$29</definedName>
    <definedName function="false" hidden="false" name="SUB_CAT_000016" vbProcedure="false">AUX!$Z$5:$Z$29</definedName>
    <definedName function="false" hidden="false" name="SUB_CAT_000017" vbProcedure="false">AUX!$AA$5:$AA$29</definedName>
    <definedName function="false" hidden="false" name="SUB_CAT_000018" vbProcedure="false">AUX!$AB$5:$AB$29</definedName>
    <definedName function="false" hidden="false" name="SUB_CAT_000019" vbProcedure="false">AUX!$AC$5:$AC$29</definedName>
    <definedName function="false" hidden="false" name="SUB_CAT_000020" vbProcedure="false">AUX!$AD$5:$AD$29</definedName>
    <definedName function="false" hidden="false" name="SUB_ID" vbProcedure="false">CAD_Subcategorias!$A$5:$A$124</definedName>
    <definedName function="false" hidden="false" name="SUB_NOME" vbProcedure="false">CAD_Subcategorias!$D$5:$D$124</definedName>
    <definedName function="false" hidden="false" name="SUB_ORDEM" vbProcedure="false">CAD_Subcategorias!$G$5:$G$124</definedName>
    <definedName function="false" hidden="false" name="SUB_PROJ" vbProcedure="false">CAD_Subcategorias!$F$5:$F$124</definedName>
    <definedName function="false" hidden="false" name="SUB_REAL" vbProcedure="false">CAD_Subcategorias!$E$5:$E$124</definedName>
    <definedName function="false" hidden="false" name="SUB_STATUS" vbProcedure="false">CAD_Subcategorias!$H$5:$H$124</definedName>
    <definedName function="false" hidden="false" name="TS_EXEC" vbProcedure="false">TESTES!$E$4</definedName>
    <definedName function="false" hidden="false" name="TS_FALHAS" vbProcedure="false">TESTES!$B$4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<sst xmlns="http://schemas.openxmlformats.org/spreadsheetml/2006/main" count="1750" uniqueCount="1244">
  <si>
    <t xml:space="preserve">PAINEL FINANCEIRO PESSOAL - GUARANI (Gs.)</t>
  </si>
  <si>
    <t xml:space="preserve">Data de referencia e parametros na aba CFG_Sistema. Valores REALIZADOS salvo quando o titulo do indicador disser projetado.</t>
  </si>
  <si>
    <t xml:space="preserve">DINHEIRO</t>
  </si>
  <si>
    <t xml:space="preserve">SALDO TOTAL DAS CONTAS</t>
  </si>
  <si>
    <t xml:space="preserve">RESERVADO PARA METAS</t>
  </si>
  <si>
    <t xml:space="preserve">SALDO DISPONIVEL (LIVRE)</t>
  </si>
  <si>
    <t xml:space="preserve">SALDO PROJETADO (FIM DO HORIZONTE)</t>
  </si>
  <si>
    <t xml:space="preserve">INVESTIMENTOS E PATRIMONIO</t>
  </si>
  <si>
    <t xml:space="preserve">TOTAL INVESTIDO</t>
  </si>
  <si>
    <t xml:space="preserve">RENDIMENTO REALIZADO</t>
  </si>
  <si>
    <t xml:space="preserve">RENDIMENTO PROJETADO</t>
  </si>
  <si>
    <t xml:space="preserve">PATRIMONIO LIQUIDO TOTAL</t>
  </si>
  <si>
    <t xml:space="preserve">DIVIDAS</t>
  </si>
  <si>
    <t xml:space="preserve">DIVIDA DE CARTOES</t>
  </si>
  <si>
    <t xml:space="preserve">LIMITE DISPONIVEL EM CARTOES</t>
  </si>
  <si>
    <t xml:space="preserve">SALDO DEVEDOR DE COMPROMISSOS</t>
  </si>
  <si>
    <t xml:space="preserve">PARCELAS + FATURAS PROXIMOS 12 MESES</t>
  </si>
  <si>
    <t xml:space="preserve">FLUXO DO MES CORRENTE</t>
  </si>
  <si>
    <t xml:space="preserve">RECEITAS REALIZADAS NO MES</t>
  </si>
  <si>
    <t xml:space="preserve">DESPESAS REALIZADAS NO MES</t>
  </si>
  <si>
    <t xml:space="preserve">RESULTADO DO MES</t>
  </si>
  <si>
    <t xml:space="preserve">MENOR SALDO PROJETADO NO HORIZONTE</t>
  </si>
  <si>
    <t xml:space="preserve">METAS</t>
  </si>
  <si>
    <t xml:space="preserve">METAS ATIVAS</t>
  </si>
  <si>
    <t xml:space="preserve">VALOR ACUMULADO NAS METAS</t>
  </si>
  <si>
    <t xml:space="preserve">VALOR RESTANTE NAS METAS</t>
  </si>
  <si>
    <t xml:space="preserve">CONCLUSAO MEDIA DAS METAS ATIVAS</t>
  </si>
  <si>
    <t xml:space="preserve">CONTROLE</t>
  </si>
  <si>
    <t xml:space="preserve">ALERTAS ATIVOS</t>
  </si>
  <si>
    <t xml:space="preserve">LANCAMENTOS REGISTRADOS</t>
  </si>
  <si>
    <t xml:space="preserve">LANCAMENTOS COM ERRO</t>
  </si>
  <si>
    <t xml:space="preserve">TESTES COM FALHA</t>
  </si>
  <si>
    <t xml:space="preserve">SALDO DAS CONTAS</t>
  </si>
  <si>
    <t xml:space="preserve">Conta</t>
  </si>
  <si>
    <t xml:space="preserve">Saldo_Calculado</t>
  </si>
  <si>
    <t xml:space="preserve">Reservado</t>
  </si>
  <si>
    <t xml:space="preserve">Disponivel</t>
  </si>
  <si>
    <t xml:space="preserve">Saldo_Projetado</t>
  </si>
  <si>
    <t xml:space="preserve">METAS FINANCEIRAS</t>
  </si>
  <si>
    <t xml:space="preserve">Meta</t>
  </si>
  <si>
    <t xml:space="preserve">Objetivo</t>
  </si>
  <si>
    <t xml:space="preserve">Acumulado</t>
  </si>
  <si>
    <t xml:space="preserve">Faltante</t>
  </si>
  <si>
    <t xml:space="preserve">Concluido</t>
  </si>
  <si>
    <t xml:space="preserve">Situacao</t>
  </si>
  <si>
    <t xml:space="preserve">LANCAR - TELA DE LANCAMENTO RAPIDO</t>
  </si>
  <si>
    <t xml:space="preserve">Preencha as celulas amarelas. O sistema resolve os IDs e monta a linha pronta. Copie a LINHA PRONTA e cole na primeira linha vazia de LANCAMENTOS (colunas B ate S). O ID do lancamento e gerado automaticamente pela planilha.</t>
  </si>
  <si>
    <t xml:space="preserve">Data</t>
  </si>
  <si>
    <t xml:space="preserve">Descricao</t>
  </si>
  <si>
    <t xml:space="preserve">Exemplo: Supermercado da semana</t>
  </si>
  <si>
    <t xml:space="preserve">Tipo de operacao</t>
  </si>
  <si>
    <t xml:space="preserve">DESPESA</t>
  </si>
  <si>
    <t xml:space="preserve">Status</t>
  </si>
  <si>
    <t xml:space="preserve">REALIZADO</t>
  </si>
  <si>
    <t xml:space="preserve">Valor (Gs.)</t>
  </si>
  <si>
    <t xml:space="preserve">Origem - tipo</t>
  </si>
  <si>
    <t xml:space="preserve">CONTA</t>
  </si>
  <si>
    <t xml:space="preserve">ID resolvido</t>
  </si>
  <si>
    <t xml:space="preserve">Origem - nome</t>
  </si>
  <si>
    <t xml:space="preserve">Destino - tipo</t>
  </si>
  <si>
    <t xml:space="preserve">EXTERNO</t>
  </si>
  <si>
    <t xml:space="preserve">Destino - nome</t>
  </si>
  <si>
    <t xml:space="preserve">(Externo)</t>
  </si>
  <si>
    <t xml:space="preserve">Categoria</t>
  </si>
  <si>
    <t xml:space="preserve">Alimentacao</t>
  </si>
  <si>
    <t xml:space="preserve">Subcategoria</t>
  </si>
  <si>
    <t xml:space="preserve">Supermercado</t>
  </si>
  <si>
    <t xml:space="preserve">Forma de pagamento</t>
  </si>
  <si>
    <t xml:space="preserve">Debito</t>
  </si>
  <si>
    <t xml:space="preserve">Compromisso (opcional)</t>
  </si>
  <si>
    <t xml:space="preserve">Numero da parcela (vazio = proxima em aberto)</t>
  </si>
  <si>
    <t xml:space="preserve">Parcela resolvida</t>
  </si>
  <si>
    <t xml:space="preserve">Meta (opcional)</t>
  </si>
  <si>
    <t xml:space="preserve">Rotulo / vencimento / valor da parcela</t>
  </si>
  <si>
    <t xml:space="preserve">Recorrencia (opcional)</t>
  </si>
  <si>
    <t xml:space="preserve">Lancamento relacionado (estorno, opcional)</t>
  </si>
  <si>
    <t xml:space="preserve">Observacao</t>
  </si>
  <si>
    <t xml:space="preserve">VERIFICACAO ANTES DE COLAR</t>
  </si>
  <si>
    <t xml:space="preserve">Classificacao economica do lancamento</t>
  </si>
  <si>
    <t xml:space="preserve">Efeito no caixa</t>
  </si>
  <si>
    <t xml:space="preserve">Situacao do preenchimento</t>
  </si>
  <si>
    <t xml:space="preserve">Aviso de vinculo</t>
  </si>
  <si>
    <t xml:space="preserve">LINHA PRONTA PARA COPIAR (COLE EM LANCAMENTOS, COLUNAS B ATE S)</t>
  </si>
  <si>
    <t xml:space="preserve">Tipo_Operacao</t>
  </si>
  <si>
    <t xml:space="preserve">Valor</t>
  </si>
  <si>
    <t xml:space="preserve">Origem_Tipo</t>
  </si>
  <si>
    <t xml:space="preserve">Origem_ID</t>
  </si>
  <si>
    <t xml:space="preserve">Destino_Tipo</t>
  </si>
  <si>
    <t xml:space="preserve">Destino_ID</t>
  </si>
  <si>
    <t xml:space="preserve">Categoria_ID</t>
  </si>
  <si>
    <t xml:space="preserve">Subcategoria_ID</t>
  </si>
  <si>
    <t xml:space="preserve">Forma_Pagamento</t>
  </si>
  <si>
    <t xml:space="preserve">ID_Compromisso</t>
  </si>
  <si>
    <t xml:space="preserve">ID_Parcela</t>
  </si>
  <si>
    <t xml:space="preserve">ID_Meta</t>
  </si>
  <si>
    <t xml:space="preserve">ID_Recorrencia</t>
  </si>
  <si>
    <t xml:space="preserve">ID_Relacionado</t>
  </si>
  <si>
    <t xml:space="preserve">ASSISTENTE DE RESGATE DE INVESTIMENTO (GERA DOIS LANCAMENTOS)</t>
  </si>
  <si>
    <t xml:space="preserve">Regra: o rendimento e reconhecido como RECEITA FINANCEIRA (lancamento 1) e o resgate transfere o dinheiro do investimento para a conta sem virar receita (lancamento 2). Se o rendimento ja foi lancado mes a mes, informe 0 no campo Rendimento apurado e use apenas o lancamento 2.</t>
  </si>
  <si>
    <t xml:space="preserve">Investimento (nome)</t>
  </si>
  <si>
    <t xml:space="preserve">ID</t>
  </si>
  <si>
    <t xml:space="preserve">Conta de destino (nome)</t>
  </si>
  <si>
    <t xml:space="preserve">Data do resgate</t>
  </si>
  <si>
    <t xml:space="preserve">Valor total resgatado</t>
  </si>
  <si>
    <t xml:space="preserve">Rendimento apurado ainda nao lancado</t>
  </si>
  <si>
    <t xml:space="preserve">Principal do resgate</t>
  </si>
  <si>
    <t xml:space="preserve">ASSISTENTE DE MOVIMENTO DE META (COLE EM MOV_METAS, COLUNAS B ATE H)</t>
  </si>
  <si>
    <t xml:space="preserve">Meta (nome)</t>
  </si>
  <si>
    <t xml:space="preserve">Tipo de movimento</t>
  </si>
  <si>
    <t xml:space="preserve">RESERVA</t>
  </si>
  <si>
    <t xml:space="preserve">Destino da retirada (se for saida)</t>
  </si>
  <si>
    <t xml:space="preserve">Meta de destino (se for transferencia)</t>
  </si>
  <si>
    <t xml:space="preserve">Reserva mensal</t>
  </si>
  <si>
    <t xml:space="preserve">Tipo_Movimento</t>
  </si>
  <si>
    <t xml:space="preserve">Destino_Retirada</t>
  </si>
  <si>
    <t xml:space="preserve">ID_Meta_Destino</t>
  </si>
  <si>
    <t xml:space="preserve">LANCAMENTOS - LIVRO UNICO DE OPERACOES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</si>
  <si>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As colunas cinzas sao calculadas - nao digite nelas. Para anular um lancamento troque o Status para CANCELADO (o historico permanece e o efeito financeiro desaparece).</t>
  </si>
  <si>
    <t xml:space="preserve">ID_Lancamento</t>
  </si>
  <si>
    <t xml:space="preserve">Ano</t>
  </si>
  <si>
    <t xml:space="preserve">Mes</t>
  </si>
  <si>
    <t xml:space="preserve">AnoMes</t>
  </si>
  <si>
    <t xml:space="preserve">Classificacao</t>
  </si>
  <si>
    <t xml:space="preserve">Origem_Nome</t>
  </si>
  <si>
    <t xml:space="preserve">Destino_Nome</t>
  </si>
  <si>
    <t xml:space="preserve">Entrada_Caixa</t>
  </si>
  <si>
    <t xml:space="preserve">Saida_Caixa</t>
  </si>
  <si>
    <t xml:space="preserve">Vlr_Receita</t>
  </si>
  <si>
    <t xml:space="preserve">Vlr_Despesa</t>
  </si>
  <si>
    <t xml:space="preserve">Vlr_Rend_Fin</t>
  </si>
  <si>
    <t xml:space="preserve">Efeito_Conta</t>
  </si>
  <si>
    <t xml:space="preserve">Efeito_Cartao</t>
  </si>
  <si>
    <t xml:space="preserve">Efeito_Investim</t>
  </si>
  <si>
    <t xml:space="preserve">Validacao</t>
  </si>
  <si>
    <t xml:space="preserve">Vinculos</t>
  </si>
  <si>
    <t xml:space="preserve">PARCELAS - CRONOGRAMA DE TODOS OS COMPROMISSOS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</si>
  <si>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O cronograma e gerado uma unica vez por compromisso. Use a aba GERADOR para produzir o cronograma de um novo compromisso e cole o resultado (colunas B ate E) no fim desta lista.</t>
  </si>
  <si>
    <t xml:space="preserve">Num_Parcela</t>
  </si>
  <si>
    <t xml:space="preserve">Data_Vencimento</t>
  </si>
  <si>
    <t xml:space="preserve">Valor_Parcela</t>
  </si>
  <si>
    <t xml:space="preserve">Compromisso</t>
  </si>
  <si>
    <t xml:space="preserve">Total_Parcelas</t>
  </si>
  <si>
    <t xml:space="preserve">Rotulo</t>
  </si>
  <si>
    <t xml:space="preserve">Pago_Antes_Sistema</t>
  </si>
  <si>
    <t xml:space="preserve">Pagto_Realizado</t>
  </si>
  <si>
    <t xml:space="preserve">Data_Pagamento</t>
  </si>
  <si>
    <t xml:space="preserve">Qtd_Lanc_Realizados</t>
  </si>
  <si>
    <t xml:space="preserve">Qtd_Lanc_Projetados</t>
  </si>
  <si>
    <t xml:space="preserve">Status_Parcela</t>
  </si>
  <si>
    <t xml:space="preserve">Dias_Atraso</t>
  </si>
  <si>
    <t xml:space="preserve">Diferenca_Valor</t>
  </si>
  <si>
    <t xml:space="preserve">MOV_METAS - MOVIMENTACAO DAS RESERVAS DE METAS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</si>
  <si>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Esta aba registra apenas RESERVAS LOGICAS. O dinheiro continua na conta; nenhuma linha daqui altera o saldo bancario.</t>
  </si>
  <si>
    <t xml:space="preserve">ID_Movimento</t>
  </si>
  <si>
    <t xml:space="preserve">Meta_Nome</t>
  </si>
  <si>
    <t xml:space="preserve">Sinal</t>
  </si>
  <si>
    <t xml:space="preserve">Valor_Com_Sinal</t>
  </si>
  <si>
    <t xml:space="preserve">Conta_Vinculada</t>
  </si>
  <si>
    <t xml:space="preserve">CAD_INSTITUICOES - BANCOS E EMISSORES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</si>
  <si>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</t>
  </si>
  <si>
    <t xml:space="preserve">ID_Instituicao</t>
  </si>
  <si>
    <t xml:space="preserve">Nome</t>
  </si>
  <si>
    <t xml:space="preserve">Tipo</t>
  </si>
  <si>
    <t xml:space="preserve">Qtd_Contas</t>
  </si>
  <si>
    <t xml:space="preserve">Qtd_Cartoes</t>
  </si>
  <si>
    <t xml:space="preserve">Qtd_Investimentos</t>
  </si>
  <si>
    <t xml:space="preserve">CAD_CONTAS - CONTAS BANCARIAS E DINHEIRO FISICO</t>
  </si>
  <si>
    <t xml:space="preserve">ID_Conta</t>
  </si>
  <si>
    <t xml:space="preserve">Instituicao</t>
  </si>
  <si>
    <t xml:space="preserve">Saldo_Inicial</t>
  </si>
  <si>
    <t xml:space="preserve">Data_Saldo_Inicial</t>
  </si>
  <si>
    <t xml:space="preserve">Entradas_Realizadas</t>
  </si>
  <si>
    <t xml:space="preserve">Saidas_Realizadas</t>
  </si>
  <si>
    <t xml:space="preserve">Reservado_Metas</t>
  </si>
  <si>
    <t xml:space="preserve">Saldo_Disponivel</t>
  </si>
  <si>
    <t xml:space="preserve">Entradas_Projetadas</t>
  </si>
  <si>
    <t xml:space="preserve">Saidas_Projetadas</t>
  </si>
  <si>
    <t xml:space="preserve">CAD_CARTOES - CARTOES DE CREDITO</t>
  </si>
  <si>
    <t xml:space="preserve">ID_Cartao</t>
  </si>
  <si>
    <t xml:space="preserve">Limite</t>
  </si>
  <si>
    <t xml:space="preserve">Divida_Inicial</t>
  </si>
  <si>
    <t xml:space="preserve">Data_Divida_Inicial</t>
  </si>
  <si>
    <t xml:space="preserve">Dia_Fechamento</t>
  </si>
  <si>
    <t xml:space="preserve">Dia_Vencimento</t>
  </si>
  <si>
    <t xml:space="preserve">Compras_Realizadas</t>
  </si>
  <si>
    <t xml:space="preserve">Pagamentos_Realizados</t>
  </si>
  <si>
    <t xml:space="preserve">Divida_Atual</t>
  </si>
  <si>
    <t xml:space="preserve">Pct_Limite_Utilizado</t>
  </si>
  <si>
    <t xml:space="preserve">Limite_Disponivel</t>
  </si>
  <si>
    <t xml:space="preserve">Fechamento_Ciclo_Atual</t>
  </si>
  <si>
    <t xml:space="preserve">Inicio_Ciclo_Atual</t>
  </si>
  <si>
    <t xml:space="preserve">Vencimento_Fatura_Atual</t>
  </si>
  <si>
    <t xml:space="preserve">Fatura_Atual</t>
  </si>
  <si>
    <t xml:space="preserve">Faturas_Futuras</t>
  </si>
  <si>
    <t xml:space="preserve">Parcelas_Futuras</t>
  </si>
  <si>
    <t xml:space="preserve">Comprometimento_Futuro</t>
  </si>
  <si>
    <t xml:space="preserve">CAD_INVESTIMENTOS - FONDOS MUTUOS, AHORRO A PLAZO E OUTROS</t>
  </si>
  <si>
    <t xml:space="preserve">ID_Investimento</t>
  </si>
  <si>
    <t xml:space="preserve">Valor_Inicial_Aplicado</t>
  </si>
  <si>
    <t xml:space="preserve">Data_Inicial</t>
  </si>
  <si>
    <t xml:space="preserve">Base_Rendimento</t>
  </si>
  <si>
    <t xml:space="preserve">Taxa</t>
  </si>
  <si>
    <t xml:space="preserve">Prazo_Meses</t>
  </si>
  <si>
    <t xml:space="preserve">Aportes_Realizados</t>
  </si>
  <si>
    <t xml:space="preserve">Resgates_Realizados</t>
  </si>
  <si>
    <t xml:space="preserve">Rendimento_Realizado</t>
  </si>
  <si>
    <t xml:space="preserve">Saldo_Atual</t>
  </si>
  <si>
    <t xml:space="preserve">Principal_Atual</t>
  </si>
  <si>
    <t xml:space="preserve">Rendimento_No_Saldo</t>
  </si>
  <si>
    <t xml:space="preserve">Meses_Ate_Horizonte</t>
  </si>
  <si>
    <t xml:space="preserve">Rendimento_Projetado</t>
  </si>
  <si>
    <t xml:space="preserve">Rendimento_Estimado_Taxa</t>
  </si>
  <si>
    <t xml:space="preserve">Valor_Estimado_Vencimento</t>
  </si>
  <si>
    <t xml:space="preserve">Aportes_Projetados</t>
  </si>
  <si>
    <t xml:space="preserve">Resgates_Projetados</t>
  </si>
  <si>
    <t xml:space="preserve">CAD_CATEGORIAS - CLASSIFICACAO DE RECEITAS E DESPESAS</t>
  </si>
  <si>
    <t xml:space="preserve">ID_Categoria</t>
  </si>
  <si>
    <t xml:space="preserve">Tipo_Padrao</t>
  </si>
  <si>
    <t xml:space="preserve">Qtd_Subcategorias</t>
  </si>
  <si>
    <t xml:space="preserve">Realizado_Ano</t>
  </si>
  <si>
    <t xml:space="preserve">Projetado_Ano</t>
  </si>
  <si>
    <t xml:space="preserve">Ativo</t>
  </si>
  <si>
    <t xml:space="preserve">Transporte</t>
  </si>
  <si>
    <t xml:space="preserve">Moradia</t>
  </si>
  <si>
    <t xml:space="preserve">Saude</t>
  </si>
  <si>
    <t xml:space="preserve">Educacao</t>
  </si>
  <si>
    <t xml:space="preserve">Lazer</t>
  </si>
  <si>
    <t xml:space="preserve">Compras</t>
  </si>
  <si>
    <t xml:space="preserve">Dividas e Financiamentos</t>
  </si>
  <si>
    <t xml:space="preserve">Investimentos</t>
  </si>
  <si>
    <t xml:space="preserve">NEUTRO</t>
  </si>
  <si>
    <t xml:space="preserve">Receitas</t>
  </si>
  <si>
    <t xml:space="preserve">RECEITA</t>
  </si>
  <si>
    <t xml:space="preserve">Impostos e Taxas</t>
  </si>
  <si>
    <t xml:space="preserve">Outros</t>
  </si>
  <si>
    <t xml:space="preserve">Transferencias</t>
  </si>
  <si>
    <t xml:space="preserve">CAD_SUBCATEGORIAS - DETALHAMENTO DAS CATEGORIAS</t>
  </si>
  <si>
    <t xml:space="preserve">ID_Subcategoria</t>
  </si>
  <si>
    <t xml:space="preserve">Ordem_Na_Categoria</t>
  </si>
  <si>
    <t xml:space="preserve">Restaurante</t>
  </si>
  <si>
    <t xml:space="preserve">Delivery</t>
  </si>
  <si>
    <t xml:space="preserve">Lanches</t>
  </si>
  <si>
    <t xml:space="preserve">Feira</t>
  </si>
  <si>
    <t xml:space="preserve">Combustivel</t>
  </si>
  <si>
    <t xml:space="preserve">Uber/Taxi</t>
  </si>
  <si>
    <t xml:space="preserve">Onibus</t>
  </si>
  <si>
    <t xml:space="preserve">Manutencao</t>
  </si>
  <si>
    <t xml:space="preserve">Seguro veicular</t>
  </si>
  <si>
    <t xml:space="preserve">Aluguel</t>
  </si>
  <si>
    <t xml:space="preserve">Energia (ANDE)</t>
  </si>
  <si>
    <t xml:space="preserve">Agua (ESSAP)</t>
  </si>
  <si>
    <t xml:space="preserve">Internet</t>
  </si>
  <si>
    <t xml:space="preserve">Condominio</t>
  </si>
  <si>
    <t xml:space="preserve">Manutencao do lar</t>
  </si>
  <si>
    <t xml:space="preserve">Plano de saude</t>
  </si>
  <si>
    <t xml:space="preserve">Farmacia</t>
  </si>
  <si>
    <t xml:space="preserve">Consultas</t>
  </si>
  <si>
    <t xml:space="preserve">Exames</t>
  </si>
  <si>
    <t xml:space="preserve">Odontologia</t>
  </si>
  <si>
    <t xml:space="preserve">Mensalidade</t>
  </si>
  <si>
    <t xml:space="preserve">Cursos</t>
  </si>
  <si>
    <t xml:space="preserve">Livros</t>
  </si>
  <si>
    <t xml:space="preserve">Material escolar</t>
  </si>
  <si>
    <t xml:space="preserve">Viagens</t>
  </si>
  <si>
    <t xml:space="preserve">Streaming</t>
  </si>
  <si>
    <t xml:space="preserve">Eventos</t>
  </si>
  <si>
    <t xml:space="preserve">Bar e cafe</t>
  </si>
  <si>
    <t xml:space="preserve">Vestuario</t>
  </si>
  <si>
    <t xml:space="preserve">Eletronicos</t>
  </si>
  <si>
    <t xml:space="preserve">Casa e decoracao</t>
  </si>
  <si>
    <t xml:space="preserve">Presentes</t>
  </si>
  <si>
    <t xml:space="preserve">Parcela de terreno</t>
  </si>
  <si>
    <t xml:space="preserve">Parcela de emprestimo</t>
  </si>
  <si>
    <t xml:space="preserve">Juros e multas</t>
  </si>
  <si>
    <t xml:space="preserve">Parcela de compra</t>
  </si>
  <si>
    <t xml:space="preserve">Aporte</t>
  </si>
  <si>
    <t xml:space="preserve">Resgate</t>
  </si>
  <si>
    <t xml:space="preserve">Rendimento</t>
  </si>
  <si>
    <t xml:space="preserve">Salario</t>
  </si>
  <si>
    <t xml:space="preserve">Aguinaldo (13o)</t>
  </si>
  <si>
    <t xml:space="preserve">Honorarios/Freelance</t>
  </si>
  <si>
    <t xml:space="preserve">Rendimento financeiro</t>
  </si>
  <si>
    <t xml:space="preserve">Reembolso</t>
  </si>
  <si>
    <t xml:space="preserve">Outras receitas</t>
  </si>
  <si>
    <t xml:space="preserve">IVA</t>
  </si>
  <si>
    <t xml:space="preserve">IRP</t>
  </si>
  <si>
    <t xml:space="preserve">Tarifas bancarias</t>
  </si>
  <si>
    <t xml:space="preserve">Taxas municipais</t>
  </si>
  <si>
    <t xml:space="preserve">Diversos</t>
  </si>
  <si>
    <t xml:space="preserve">Nao classificado</t>
  </si>
  <si>
    <t xml:space="preserve">Entre contas proprias</t>
  </si>
  <si>
    <t xml:space="preserve">Saque/Deposito</t>
  </si>
  <si>
    <t xml:space="preserve">CAD_COMPROMISSOS - PARCELAMENTOS E FINANCIAMENTOS</t>
  </si>
  <si>
    <t xml:space="preserve">Qtd_Parcelas</t>
  </si>
  <si>
    <t xml:space="preserve">Valor_Total</t>
  </si>
  <si>
    <t xml:space="preserve">Data_Primeira_Parcela</t>
  </si>
  <si>
    <t xml:space="preserve">Periodicidade</t>
  </si>
  <si>
    <t xml:space="preserve">Parcelas_Pagas_Antes</t>
  </si>
  <si>
    <t xml:space="preserve">Entidade_Tipo</t>
  </si>
  <si>
    <t xml:space="preserve">Entidade_ID</t>
  </si>
  <si>
    <t xml:space="preserve">Parcelas_Pagas</t>
  </si>
  <si>
    <t xml:space="preserve">Parcelas_Abertas</t>
  </si>
  <si>
    <t xml:space="preserve">Parcelas_Atrasadas</t>
  </si>
  <si>
    <t xml:space="preserve">Parcelas_Projetadas</t>
  </si>
  <si>
    <t xml:space="preserve">Parcelas_Restantes</t>
  </si>
  <si>
    <t xml:space="preserve">Valor_Pago</t>
  </si>
  <si>
    <t xml:space="preserve">Saldo_Devedor</t>
  </si>
  <si>
    <t xml:space="preserve">Parcela_Atual</t>
  </si>
  <si>
    <t xml:space="preserve">Proximo_Vencimento</t>
  </si>
  <si>
    <t xml:space="preserve">CAD_METAS - METAS FINANCEIRAS (RESERVA LOGICA)</t>
  </si>
  <si>
    <t xml:space="preserve">Valor_Objetivo</t>
  </si>
  <si>
    <t xml:space="preserve">Data_Prazo</t>
  </si>
  <si>
    <t xml:space="preserve">Conta_Vinculada_ID</t>
  </si>
  <si>
    <t xml:space="preserve">Investimento_Vinculado_ID</t>
  </si>
  <si>
    <t xml:space="preserve">Considerar_No_Fluxo</t>
  </si>
  <si>
    <t xml:space="preserve">Valor_Reservado</t>
  </si>
  <si>
    <t xml:space="preserve">Pct_Concluido</t>
  </si>
  <si>
    <t xml:space="preserve">Valor_Faltante</t>
  </si>
  <si>
    <t xml:space="preserve">Meses_Restantes</t>
  </si>
  <si>
    <t xml:space="preserve">Aporte_Mensal_Necessario</t>
  </si>
  <si>
    <t xml:space="preserve">Data_Conclusao</t>
  </si>
  <si>
    <t xml:space="preserve">Conta_Vinculada_Nome</t>
  </si>
  <si>
    <t xml:space="preserve">CAD_RECORRENCIAS - LANCAMENTOS REPETITIVOS</t>
  </si>
  <si>
    <t xml:space="preserve">Dia</t>
  </si>
  <si>
    <t xml:space="preserve">Data_Inicio</t>
  </si>
  <si>
    <t xml:space="preserve">Qtd_Ocorrencias</t>
  </si>
  <si>
    <t xml:space="preserve">Data_Fim_Prevista</t>
  </si>
  <si>
    <t xml:space="preserve">Lanc_Gerados</t>
  </si>
  <si>
    <t xml:space="preserve">Lanc_Realizados</t>
  </si>
  <si>
    <t xml:space="preserve">Lanc_Projetados</t>
  </si>
  <si>
    <t xml:space="preserve">Proxima_Ocorrencia</t>
  </si>
  <si>
    <t xml:space="preserve">CAD_BENS - ATIVOS NAO FINANCEIROS (COMPLEMENTO DO PATRIMONIO)</t>
  </si>
  <si>
    <t xml:space="preserve">ID_Bem</t>
  </si>
  <si>
    <t xml:space="preserve">Valor_Atual</t>
  </si>
  <si>
    <t xml:space="preserve">Data_Aquisicao</t>
  </si>
  <si>
    <t xml:space="preserve">ID_Compromisso_Vinculado</t>
  </si>
  <si>
    <t xml:space="preserve">Saldo_Devedor_Vinculado</t>
  </si>
  <si>
    <t xml:space="preserve">Valor_Liquido</t>
  </si>
  <si>
    <t xml:space="preserve">FLUXO_CAIXA - ENTRADAS E SAIDAS DE CAIXA</t>
  </si>
  <si>
    <t xml:space="preserve">Somente movimentos que atravessam uma CONTA. Transferencias entre contas proprias nao aparecem como entrada nem como saida (nao ha duplicidade). Compra no cartao so vira saida de caixa quando a fatura e paga.</t>
  </si>
  <si>
    <t xml:space="preserve">Mes inicial da grade</t>
  </si>
  <si>
    <t xml:space="preserve">Reservas de metas consideradas no fluxo</t>
  </si>
  <si>
    <t xml:space="preserve">1. FLUXO DE CAIXA MENSAL (REALIZADO + PROJETADO)</t>
  </si>
  <si>
    <t xml:space="preserve">Competencia</t>
  </si>
  <si>
    <t xml:space="preserve">Data_Fim</t>
  </si>
  <si>
    <t xml:space="preserve">Liquido_Realizado</t>
  </si>
  <si>
    <t xml:space="preserve">Liquido_Projetado</t>
  </si>
  <si>
    <t xml:space="preserve">Saldo_Final</t>
  </si>
  <si>
    <t xml:space="preserve">Saldo_Livre</t>
  </si>
  <si>
    <t xml:space="preserve">2. FLUXO DE CAIXA DIARIO (15 DIAS ANTES ATE 44 DIAS DEPOIS DA DATA DE REFERENCIA)</t>
  </si>
  <si>
    <t xml:space="preserve">Liquido_Dia</t>
  </si>
  <si>
    <t xml:space="preserve">Saldo_Acumulado</t>
  </si>
  <si>
    <t xml:space="preserve">3. FLUXO DE CAIXA SEMANAL (30 SEMANAS A PARTIR DE 2 SEMANAS ANTES DA REFERENCIA)</t>
  </si>
  <si>
    <t xml:space="preserve">Semana_Inicio</t>
  </si>
  <si>
    <t xml:space="preserve">Semana_Fim</t>
  </si>
  <si>
    <t xml:space="preserve">Entradas</t>
  </si>
  <si>
    <t xml:space="preserve">Saidas</t>
  </si>
  <si>
    <t xml:space="preserve">Liquido</t>
  </si>
  <si>
    <t xml:space="preserve">4. FLUXO DE CAIXA ANUAL</t>
  </si>
  <si>
    <t xml:space="preserve">Liquido_Ano</t>
  </si>
  <si>
    <t xml:space="preserve">Saldo_Final_Ano</t>
  </si>
  <si>
    <t xml:space="preserve">PROJECAO - FUTURO FINANCEIRO MES A MES</t>
  </si>
  <si>
    <t xml:space="preserve">Considera receitas e despesas projetadas, parcelas, faturas de cartao, aportes, resgates, vencimentos de investimento e recorrencias. As colunas de projecao nunca se misturam com o realizado: o que ja aconteceu no mes corrente entra apenas na coluna Liquido_Realizado_no_Mes, para que o saldo acumulado parta da posicao verdadeira.</t>
  </si>
  <si>
    <t xml:space="preserve">Receitas_Proj</t>
  </si>
  <si>
    <t xml:space="preserve">Rendimentos_Proj</t>
  </si>
  <si>
    <t xml:space="preserve">Despesas_Proj</t>
  </si>
  <si>
    <t xml:space="preserve">Parcelas_Proj</t>
  </si>
  <si>
    <t xml:space="preserve">Faturas_Cartao_Proj</t>
  </si>
  <si>
    <t xml:space="preserve">Aportes_Proj</t>
  </si>
  <si>
    <t xml:space="preserve">Resgates_Proj</t>
  </si>
  <si>
    <t xml:space="preserve">Entradas_Caixa_Proj</t>
  </si>
  <si>
    <t xml:space="preserve">Saidas_Caixa_Proj</t>
  </si>
  <si>
    <t xml:space="preserve">Liquido_Realizado_no_Mes</t>
  </si>
  <si>
    <t xml:space="preserve">COMPROMISSOS EM ANDAMENTO</t>
  </si>
  <si>
    <t xml:space="preserve">INVESTIMENTOS E VENCIMENTOS</t>
  </si>
  <si>
    <t xml:space="preserve">Investimento</t>
  </si>
  <si>
    <t xml:space="preserve">REL_MENSAL - RELATORIO DO MES</t>
  </si>
  <si>
    <t xml:space="preserve">Escolha o ano e o mes nas celulas amarelas. Todo o relatorio se recalcula.</t>
  </si>
  <si>
    <t xml:space="preserve">Ano de analise</t>
  </si>
  <si>
    <t xml:space="preserve">Mes de analise (1 a 12)</t>
  </si>
  <si>
    <t xml:space="preserve">Periodo</t>
  </si>
  <si>
    <t xml:space="preserve">1. RESUMO DO MES</t>
  </si>
  <si>
    <t xml:space="preserve">Indicador</t>
  </si>
  <si>
    <t xml:space="preserve">Realizado</t>
  </si>
  <si>
    <t xml:space="preserve">Projetado</t>
  </si>
  <si>
    <t xml:space="preserve">Total</t>
  </si>
  <si>
    <t xml:space="preserve">Receitas operacionais</t>
  </si>
  <si>
    <t xml:space="preserve">Receitas financeiras (rendimentos)</t>
  </si>
  <si>
    <t xml:space="preserve">Despesas</t>
  </si>
  <si>
    <t xml:space="preserve">(=) RESULTADO DO MES (competencia)</t>
  </si>
  <si>
    <t xml:space="preserve">Entradas de caixa</t>
  </si>
  <si>
    <t xml:space="preserve">Saidas de caixa</t>
  </si>
  <si>
    <t xml:space="preserve">(=) FLUXO LIQUIDO DE CAIXA</t>
  </si>
  <si>
    <t xml:space="preserve">Transferencias entre contas (neutro)</t>
  </si>
  <si>
    <t xml:space="preserve">Aportes em investimentos (neutro)</t>
  </si>
  <si>
    <t xml:space="preserve">Resgates de investimentos (neutro)</t>
  </si>
  <si>
    <t xml:space="preserve">Compras no cartao (despesa)</t>
  </si>
  <si>
    <t xml:space="preserve">Pagamentos de fatura (neutro)</t>
  </si>
  <si>
    <t xml:space="preserve">Parcelas de compromissos (despesa)</t>
  </si>
  <si>
    <t xml:space="preserve">Saldo total das contas no fim do mes</t>
  </si>
  <si>
    <t xml:space="preserve">2. DESPESAS POR CATEGORIA</t>
  </si>
  <si>
    <t xml:space="preserve">% do realizado</t>
  </si>
  <si>
    <t xml:space="preserve">3. DESPESAS POR SUBCATEGORIA</t>
  </si>
  <si>
    <t xml:space="preserve">4. MOVIMENTO POR CONTA</t>
  </si>
  <si>
    <t xml:space="preserve">Saldo_no_Fim_do_Mes</t>
  </si>
  <si>
    <t xml:space="preserve">5. MOVIMENTO POR CARTAO</t>
  </si>
  <si>
    <t xml:space="preserve">Cartao</t>
  </si>
  <si>
    <t xml:space="preserve">Compras_no_Mes</t>
  </si>
  <si>
    <t xml:space="preserve">Pagamentos_no_Mes</t>
  </si>
  <si>
    <t xml:space="preserve">Divida_no_Fim_do_Mes</t>
  </si>
  <si>
    <t xml:space="preserve">Limite_Disponivel_Atual</t>
  </si>
  <si>
    <t xml:space="preserve">6. PARCELAS COM VENCIMENTO NO MES</t>
  </si>
  <si>
    <t xml:space="preserve">Quantidade</t>
  </si>
  <si>
    <t xml:space="preserve">PAGA</t>
  </si>
  <si>
    <t xml:space="preserve">ABERTA</t>
  </si>
  <si>
    <t xml:space="preserve">ATRASADA</t>
  </si>
  <si>
    <t xml:space="preserve">PROJETADA</t>
  </si>
  <si>
    <t xml:space="preserve">CANCELADA</t>
  </si>
  <si>
    <t xml:space="preserve">TOTAL</t>
  </si>
  <si>
    <t xml:space="preserve">7. INVESTIMENTOS NO MES</t>
  </si>
  <si>
    <t xml:space="preserve">Aportes</t>
  </si>
  <si>
    <t xml:space="preserve">Resgates</t>
  </si>
  <si>
    <t xml:space="preserve">Rendimentos</t>
  </si>
  <si>
    <t xml:space="preserve">REL_ANUAL - RELATORIO DOS 12 MESES</t>
  </si>
  <si>
    <t xml:space="preserve">Valores somam REALIZADO + PROJETADO. Escolha o ano na celula amarela.</t>
  </si>
  <si>
    <t xml:space="preserve">1. RESULTADO E FLUXO MES A MES</t>
  </si>
  <si>
    <t xml:space="preserve">Resultado</t>
  </si>
  <si>
    <t xml:space="preserve">Investimento_Liquido</t>
  </si>
  <si>
    <t xml:space="preserve">Entradas_Caixa</t>
  </si>
  <si>
    <t xml:space="preserve">Saidas_Caixa</t>
  </si>
  <si>
    <t xml:space="preserve">Fluxo_Liquido</t>
  </si>
  <si>
    <t xml:space="preserve">Saldo_Final_Contas</t>
  </si>
  <si>
    <t xml:space="preserve">TOTAL DO ANO</t>
  </si>
  <si>
    <t xml:space="preserve">MEDIA MENSAL</t>
  </si>
  <si>
    <t xml:space="preserve">2. DESPESAS DO ANO POR CATEGORIA</t>
  </si>
  <si>
    <t xml:space="preserve">Despesa_no_Ano</t>
  </si>
  <si>
    <t xml:space="preserve">% do total</t>
  </si>
  <si>
    <t xml:space="preserve">3. INDICADORES DO ANO</t>
  </si>
  <si>
    <t xml:space="preserve">Total de receitas</t>
  </si>
  <si>
    <t xml:space="preserve">Total de despesas</t>
  </si>
  <si>
    <t xml:space="preserve">Resultado do ano</t>
  </si>
  <si>
    <t xml:space="preserve">Despesa media mensal</t>
  </si>
  <si>
    <t xml:space="preserve">Maior despesa mensal</t>
  </si>
  <si>
    <t xml:space="preserve">Mes da maior despesa</t>
  </si>
  <si>
    <t xml:space="preserve">Menor despesa mensal</t>
  </si>
  <si>
    <t xml:space="preserve">Mes da menor despesa</t>
  </si>
  <si>
    <t xml:space="preserve">Categoria de maior gasto no ano</t>
  </si>
  <si>
    <t xml:space="preserve">Valor da categoria de maior gasto</t>
  </si>
  <si>
    <t xml:space="preserve">Taxa de poupanca do ano (resultado / receitas)</t>
  </si>
  <si>
    <t xml:space="preserve">Saldo das contas em 31/12</t>
  </si>
  <si>
    <t xml:space="preserve">Investimentos em 31/12</t>
  </si>
  <si>
    <t xml:space="preserve">Evolucao dos investimentos no ano</t>
  </si>
  <si>
    <t xml:space="preserve">Dividas de cartao em 31/12</t>
  </si>
  <si>
    <t xml:space="preserve">Evolucao das dividas de cartao no ano</t>
  </si>
  <si>
    <t xml:space="preserve">Saldo devedor de compromissos em 31/12</t>
  </si>
  <si>
    <t xml:space="preserve">Patrimonio liquido total em 31/12 (evolucao)</t>
  </si>
  <si>
    <t xml:space="preserve">PATRIMONIO - ATIVOS, PASSIVOS E PATRIMONIO LIQUIDO</t>
  </si>
  <si>
    <t xml:space="preserve">Patrimonio Financeiro considera apenas contas, investimentos, cartoes e compromissos. Patrimonio Total soma tambem os bens cadastrados em CAD_Bens.</t>
  </si>
  <si>
    <t xml:space="preserve">1. POSICAO ATUAL (REALIZADO)</t>
  </si>
  <si>
    <t xml:space="preserve">Componente</t>
  </si>
  <si>
    <t xml:space="preserve">ATIVOS</t>
  </si>
  <si>
    <t xml:space="preserve">Contas bancarias e dinheiro fisico</t>
  </si>
  <si>
    <t xml:space="preserve">Subtotal - ativos financeiros</t>
  </si>
  <si>
    <t xml:space="preserve">Bens (ativos nao financeiros)</t>
  </si>
  <si>
    <t xml:space="preserve">TOTAL DE ATIVOS</t>
  </si>
  <si>
    <t xml:space="preserve">PASSIVOS</t>
  </si>
  <si>
    <t xml:space="preserve">Dividas de cartao de credito</t>
  </si>
  <si>
    <t xml:space="preserve">Saldo devedor de compromissos</t>
  </si>
  <si>
    <t xml:space="preserve">TOTAL DE PASSIVOS</t>
  </si>
  <si>
    <t xml:space="preserve">RESULTADO</t>
  </si>
  <si>
    <t xml:space="preserve">Patrimonio liquido FINANCEIRO</t>
  </si>
  <si>
    <t xml:space="preserve">Patrimonio liquido TOTAL</t>
  </si>
  <si>
    <t xml:space="preserve">Memoria: valor reservado em metas</t>
  </si>
  <si>
    <t xml:space="preserve">Memoria: saldo livre (nao reservado)</t>
  </si>
  <si>
    <t xml:space="preserve">2. EVOLUCAO PATRIMONIAL MES A MES (REALIZADO + PROJETADO)</t>
  </si>
  <si>
    <t xml:space="preserve">Fim_do_Mes</t>
  </si>
  <si>
    <t xml:space="preserve">Contas</t>
  </si>
  <si>
    <t xml:space="preserve">Bens</t>
  </si>
  <si>
    <t xml:space="preserve">Cartoes</t>
  </si>
  <si>
    <t xml:space="preserve">Compromissos</t>
  </si>
  <si>
    <t xml:space="preserve">PL_Financeiro</t>
  </si>
  <si>
    <t xml:space="preserve">PL_Total</t>
  </si>
  <si>
    <t xml:space="preserve">Variacao_PL</t>
  </si>
  <si>
    <t xml:space="preserve">INDICADORES - INTELIGENCIA FINANCEIRA POR REGRAS</t>
  </si>
  <si>
    <t xml:space="preserve">Calculado apenas com formulas, sem inteligencia artificial. Base: data de referencia e ano/mes definidos em CFG_Sistema.</t>
  </si>
  <si>
    <t xml:space="preserve">1. ONDE O DINHEIRO ESTA INDO</t>
  </si>
  <si>
    <t xml:space="preserve">Categoria de maior gasto no mes selecionado (REL_Mensal)</t>
  </si>
  <si>
    <t xml:space="preserve">Depende do ano/mes escolhidos na aba REL_Mensal.</t>
  </si>
  <si>
    <t xml:space="preserve">Valor gasto nessa categoria</t>
  </si>
  <si>
    <t xml:space="preserve">Categoria de maior gasto no ano (REL_Anual)</t>
  </si>
  <si>
    <t xml:space="preserve">Valor gasto nessa categoria no ano</t>
  </si>
  <si>
    <t xml:space="preserve">2. RITMO DE RECEITAS E DESPESAS</t>
  </si>
  <si>
    <t xml:space="preserve">Receita media mensal realizada (ultimos 6 meses)</t>
  </si>
  <si>
    <t xml:space="preserve">Despesa media mensal realizada (6 meses anteriores)</t>
  </si>
  <si>
    <t xml:space="preserve">Despesa realizada no mes corrente</t>
  </si>
  <si>
    <t xml:space="preserve">Variacao da despesa do mes sobre a media</t>
  </si>
  <si>
    <t xml:space="preserve">Compara apenas dias ja decorridos do mes corrente com a media dos 6 meses anteriores.</t>
  </si>
  <si>
    <t xml:space="preserve">Taxa de poupanca dos ultimos 6 meses</t>
  </si>
  <si>
    <t xml:space="preserve">3. COMPROMETIMENTO FUTURO</t>
  </si>
  <si>
    <t xml:space="preserve">Parcelas + faturas dos proximos 12 meses</t>
  </si>
  <si>
    <t xml:space="preserve">Percentual da renda comprometida (12 meses)</t>
  </si>
  <si>
    <t xml:space="preserve">Comparado com o limite definido em CFG_Sistema.</t>
  </si>
  <si>
    <t xml:space="preserve">Total de parcelas ainda nao pagas (todos os compromissos)</t>
  </si>
  <si>
    <t xml:space="preserve">Maior saida de caixa projetada em um mes</t>
  </si>
  <si>
    <t xml:space="preserve">Competencia do mes de maior saida projetada</t>
  </si>
  <si>
    <t xml:space="preserve">Menor saldo projetado no horizonte</t>
  </si>
  <si>
    <t xml:space="preserve">Competencia do menor saldo projetado</t>
  </si>
  <si>
    <t xml:space="preserve">4. PATRIMONIO</t>
  </si>
  <si>
    <t xml:space="preserve">Patrimonio liquido financeiro atual</t>
  </si>
  <si>
    <t xml:space="preserve">Patrimonio liquido total atual</t>
  </si>
  <si>
    <t xml:space="preserve">Patrimonio total 6 meses atras</t>
  </si>
  <si>
    <t xml:space="preserve">Variacao do patrimonio em 6 meses</t>
  </si>
  <si>
    <t xml:space="preserve">Tendencia do patrimonio</t>
  </si>
  <si>
    <t xml:space="preserve">5. INVESTIMENTOS E METAS</t>
  </si>
  <si>
    <t xml:space="preserve">Total investido (saldo atual)</t>
  </si>
  <si>
    <t xml:space="preserve">Rendimento ja realizado</t>
  </si>
  <si>
    <t xml:space="preserve">Rendimento ainda projetado</t>
  </si>
  <si>
    <t xml:space="preserve">Projecao. Nunca somada ao rendimento realizado nos relatorios de resultado.</t>
  </si>
  <si>
    <t xml:space="preserve">Investimentos vencendo dentro do prazo de alerta</t>
  </si>
  <si>
    <t xml:space="preserve">Metas ativas</t>
  </si>
  <si>
    <t xml:space="preserve">Metas com 80% ou mais concluido</t>
  </si>
  <si>
    <t xml:space="preserve">Total reservado em metas</t>
  </si>
  <si>
    <t xml:space="preserve">Total ainda faltante nas metas ativas</t>
  </si>
  <si>
    <t xml:space="preserve">ALERTAS - SITUACOES QUE EXIGEM ATENCAO</t>
  </si>
  <si>
    <t xml:space="preserve">Os limites de cada alerta ficam na aba CFG_Sistema. ALERTA = fora do limite; OK = dentro do limite.</t>
  </si>
  <si>
    <t xml:space="preserve">TOTAL DE ALERTAS ATIVOS</t>
  </si>
  <si>
    <t xml:space="preserve">1. SALDO DAS CONTAS</t>
  </si>
  <si>
    <t xml:space="preserve">Saldo_Minimo</t>
  </si>
  <si>
    <t xml:space="preserve">2. CARTOES DE CREDITO</t>
  </si>
  <si>
    <t xml:space="preserve">Uso_do_Limite</t>
  </si>
  <si>
    <t xml:space="preserve">Vencimento_Fatura</t>
  </si>
  <si>
    <t xml:space="preserve">Dias</t>
  </si>
  <si>
    <t xml:space="preserve">3. PARCELAS E COMPROMISSOS</t>
  </si>
  <si>
    <t xml:space="preserve">Situacao verificada</t>
  </si>
  <si>
    <t xml:space="preserve">Parcelas ATRASADAS</t>
  </si>
  <si>
    <t xml:space="preserve">Parcelas vencendo dentro do prazo de alerta</t>
  </si>
  <si>
    <t xml:space="preserve">Parcelas ABERTAS no mes corrente</t>
  </si>
  <si>
    <t xml:space="preserve">4. INVESTIMENTOS</t>
  </si>
  <si>
    <t xml:space="preserve">Dias_para_Vencer</t>
  </si>
  <si>
    <t xml:space="preserve">5. METAS</t>
  </si>
  <si>
    <t xml:space="preserve">Prazo</t>
  </si>
  <si>
    <t xml:space="preserve">Situacao_da_Meta</t>
  </si>
  <si>
    <t xml:space="preserve">6. FLUXO, COMPROMETIMENTO E INTEGRIDADE</t>
  </si>
  <si>
    <t xml:space="preserve">Verificacao</t>
  </si>
  <si>
    <t xml:space="preserve">Valor_Apurado</t>
  </si>
  <si>
    <t xml:space="preserve">Menor saldo mensal do fluxo de caixa</t>
  </si>
  <si>
    <t xml:space="preserve">Aumento da despesa do mes sobre a media</t>
  </si>
  <si>
    <t xml:space="preserve">Lancamentos com erro de validacao</t>
  </si>
  <si>
    <t xml:space="preserve">Movimentos de meta com erro de validacao</t>
  </si>
  <si>
    <t xml:space="preserve">Parcelas com mais de um pagamento realizado</t>
  </si>
  <si>
    <t xml:space="preserve">Parcelas ja pagas que ainda tem lancamento projetado</t>
  </si>
  <si>
    <t xml:space="preserve">GERADOR - CRONOGRAMAS DE PARCELAS E OCORRENCIAS DE RECORRENCIAS</t>
  </si>
  <si>
    <t xml:space="preserve">Escolha o registro nas celulas amarelas, confira as linhas geradas e copie o bloco verde para o fim da aba de destino. Nada e gravado automaticamente.</t>
  </si>
  <si>
    <t xml:space="preserve">1. CRONOGRAMA DE PARCELAS (COLE EM PARCELAS, COLUNAS B ATE E)</t>
  </si>
  <si>
    <t xml:space="preserve">Quantidade de parcelas</t>
  </si>
  <si>
    <t xml:space="preserve">Valor da parcela</t>
  </si>
  <si>
    <t xml:space="preserve">Data da primeira parcela</t>
  </si>
  <si>
    <t xml:space="preserve">2. OCORRENCIAS DE UMA RECORRENCIA (COLE EM LANCAMENTOS, COLUNAS B ATE S)</t>
  </si>
  <si>
    <t xml:space="preserve">Recorrencia (ID)</t>
  </si>
  <si>
    <t xml:space="preserve">Data de inicio</t>
  </si>
  <si>
    <t xml:space="preserve">Qtd de ocorrencias</t>
  </si>
  <si>
    <t xml:space="preserve">TESTES - VALIDACAO MATEMATICA E DE INTEGRIDADE</t>
  </si>
  <si>
    <t xml:space="preserve">Cada teste recalcula o valor esperado por um caminho diferente (SUMPRODUCT) e compara com o valor que o sistema apresenta (SUMIFS). Tolerancia: Gs. 0,50 - como o Guarani nao tem centavos, qualquer diferenca real reprova o teste.</t>
  </si>
  <si>
    <t xml:space="preserve">TESTES EXECUTADOS</t>
  </si>
  <si>
    <t xml:space="preserve">A. SALDO DE CADA CONTA (saldo inicial + entradas - saidas)</t>
  </si>
  <si>
    <t xml:space="preserve">Grupo</t>
  </si>
  <si>
    <t xml:space="preserve">Teste</t>
  </si>
  <si>
    <t xml:space="preserve">Valor_Esperado</t>
  </si>
  <si>
    <t xml:space="preserve">Valor_Obtido</t>
  </si>
  <si>
    <t xml:space="preserve">Diferenca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</si>
  <si>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</si>
  <si>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</si>
  <si>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</si>
  <si>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</si>
  <si>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</si>
  <si>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</si>
  <si>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</si>
  <si>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</si>
  <si>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</si>
  <si>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</si>
  <si>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</si>
  <si>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</si>
  <si>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</si>
  <si>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</si>
  <si>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</si>
  <si>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</si>
  <si>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</si>
  <si>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</si>
  <si>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</si>
  <si>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</si>
  <si>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</si>
  <si>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</si>
  <si>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</si>
  <si>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</si>
  <si>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</si>
  <si>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</si>
  <si>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</si>
  <si>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</si>
  <si>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</si>
  <si>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</si>
  <si>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</si>
  <si>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</si>
  <si>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</si>
  <si>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</si>
  <si>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</si>
  <si>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</si>
  <si>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</si>
  <si>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</si>
  <si>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</si>
  <si>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</si>
  <si>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B. DIVIDA DE CADA CARTAO (divida inicial + compras - pagamentos)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</si>
  <si>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</si>
  <si>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</si>
  <si>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</si>
  <si>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</si>
  <si>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</si>
  <si>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</si>
  <si>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</si>
  <si>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</si>
  <si>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</si>
  <si>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</si>
  <si>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</si>
  <si>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</si>
  <si>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</si>
  <si>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</si>
  <si>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</si>
  <si>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</si>
  <si>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</si>
  <si>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</si>
  <si>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</si>
  <si>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</si>
  <si>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</si>
  <si>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</si>
  <si>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</si>
  <si>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</si>
  <si>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</si>
  <si>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</si>
  <si>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</si>
  <si>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</si>
  <si>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</si>
  <si>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</si>
  <si>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B31</t>
  </si>
  <si>
    <t xml:space="preserve">B32</t>
  </si>
  <si>
    <t xml:space="preserve">B33</t>
  </si>
  <si>
    <t xml:space="preserve">B34</t>
  </si>
  <si>
    <t xml:space="preserve">B35</t>
  </si>
  <si>
    <t xml:space="preserve">B36</t>
  </si>
  <si>
    <t xml:space="preserve">B37</t>
  </si>
  <si>
    <t xml:space="preserve">B38</t>
  </si>
  <si>
    <t xml:space="preserve">B39</t>
  </si>
  <si>
    <t xml:space="preserve">B40</t>
  </si>
  <si>
    <t xml:space="preserve">C. SALDO DE CADA INVESTIMENTO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</si>
  <si>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</si>
  <si>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</si>
  <si>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</si>
  <si>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</si>
  <si>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</si>
  <si>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</si>
  <si>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</si>
  <si>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</si>
  <si>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</si>
  <si>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</si>
  <si>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</si>
  <si>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</si>
  <si>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</si>
  <si>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</si>
  <si>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</si>
  <si>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</si>
  <si>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</si>
  <si>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</si>
  <si>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</si>
  <si>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</si>
  <si>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</si>
  <si>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</si>
  <si>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</si>
  <si>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</si>
  <si>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</si>
  <si>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</si>
  <si>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</si>
  <si>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</si>
  <si>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</si>
  <si>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</si>
  <si>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</si>
  <si>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</si>
  <si>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</si>
  <si>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</si>
  <si>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</si>
  <si>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</si>
  <si>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</si>
  <si>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</si>
  <si>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</si>
  <si>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</si>
  <si>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D. DECOMPOSICAO PRINCIPAL x RENDIMENTO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</si>
  <si>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</si>
  <si>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</si>
  <si>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</si>
  <si>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</si>
  <si>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</si>
  <si>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</si>
  <si>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</si>
  <si>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</si>
  <si>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</si>
  <si>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</si>
  <si>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</si>
  <si>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</si>
  <si>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</si>
  <si>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</si>
  <si>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</si>
  <si>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</si>
  <si>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</si>
  <si>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</si>
  <si>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</si>
  <si>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</si>
  <si>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</si>
  <si>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</si>
  <si>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</si>
  <si>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</si>
  <si>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</si>
  <si>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</si>
  <si>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</si>
  <si>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</si>
  <si>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</si>
  <si>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</si>
  <si>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</si>
  <si>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</si>
  <si>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</si>
  <si>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</si>
  <si>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</si>
  <si>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</si>
  <si>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</si>
  <si>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</si>
  <si>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</si>
  <si>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</si>
  <si>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E. SALDO DE CADA META (reserva logica)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</si>
  <si>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</si>
  <si>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</si>
  <si>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</si>
  <si>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</si>
  <si>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</si>
  <si>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</si>
  <si>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</si>
  <si>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</si>
  <si>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</si>
  <si>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</si>
  <si>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</si>
  <si>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</si>
  <si>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</si>
  <si>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</si>
  <si>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</si>
  <si>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</si>
  <si>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</si>
  <si>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</si>
  <si>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</si>
  <si>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</si>
  <si>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</si>
  <si>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</si>
  <si>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</si>
  <si>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</si>
  <si>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</si>
  <si>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</si>
  <si>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</si>
  <si>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</si>
  <si>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</si>
  <si>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</si>
  <si>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E31</t>
  </si>
  <si>
    <t xml:space="preserve">E32</t>
  </si>
  <si>
    <t xml:space="preserve">E33</t>
  </si>
  <si>
    <t xml:space="preserve">E34</t>
  </si>
  <si>
    <t xml:space="preserve">E35</t>
  </si>
  <si>
    <t xml:space="preserve">E36</t>
  </si>
  <si>
    <t xml:space="preserve">E37</t>
  </si>
  <si>
    <t xml:space="preserve">E38</t>
  </si>
  <si>
    <t xml:space="preserve">E39</t>
  </si>
  <si>
    <t xml:space="preserve">E40</t>
  </si>
  <si>
    <t xml:space="preserve">F. COMPROMISSOS (valor pago + saldo devedor = valor total)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</si>
  <si>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</si>
  <si>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</si>
  <si>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</si>
  <si>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</si>
  <si>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</si>
  <si>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</si>
  <si>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</si>
  <si>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</si>
  <si>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</si>
  <si>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</si>
  <si>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</si>
  <si>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</si>
  <si>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</si>
  <si>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</si>
  <si>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</si>
  <si>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</si>
  <si>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</si>
  <si>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</si>
  <si>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</si>
  <si>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</si>
  <si>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</si>
  <si>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</si>
  <si>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</si>
  <si>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</si>
  <si>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</si>
  <si>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</si>
  <si>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</si>
  <si>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</si>
  <si>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</si>
  <si>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</si>
  <si>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</si>
  <si>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</si>
  <si>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</si>
  <si>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</si>
  <si>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</si>
  <si>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</si>
  <si>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</si>
  <si>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</si>
  <si>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</si>
  <si>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</si>
  <si>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G. INTEGRIDADE FINANCEIRA, DUPLICIDADE E RELATORIOS</t>
  </si>
  <si>
    <t xml:space="preserve">G01</t>
  </si>
  <si>
    <t xml:space="preserve">Integridade</t>
  </si>
  <si>
    <t xml:space="preserve">Transferencia entre contas nao gera receita</t>
  </si>
  <si>
    <t xml:space="preserve">G02</t>
  </si>
  <si>
    <t xml:space="preserve">Transferencia entre contas nao gera despesa</t>
  </si>
  <si>
    <t xml:space="preserve">G03</t>
  </si>
  <si>
    <t xml:space="preserve">Aporte em investimento nao e despesa</t>
  </si>
  <si>
    <t xml:space="preserve">G04</t>
  </si>
  <si>
    <t xml:space="preserve">Resgate de investimento nao e receita (principal)</t>
  </si>
  <si>
    <t xml:space="preserve">G05</t>
  </si>
  <si>
    <t xml:space="preserve">Pagamento de fatura de cartao nao e despesa</t>
  </si>
  <si>
    <t xml:space="preserve">G06</t>
  </si>
  <si>
    <t xml:space="preserve">Compra no cartao e integralmente classificada como despesa</t>
  </si>
  <si>
    <t xml:space="preserve">G07</t>
  </si>
  <si>
    <t xml:space="preserve">Rendimento e integralmente receita financeira</t>
  </si>
  <si>
    <t xml:space="preserve">G08</t>
  </si>
  <si>
    <t xml:space="preserve">Parcela de compromisso e integralmente despesa</t>
  </si>
  <si>
    <t xml:space="preserve">G09</t>
  </si>
  <si>
    <t xml:space="preserve">Realizado x projetado</t>
  </si>
  <si>
    <t xml:space="preserve">Saldo das contas usa apenas lancamentos REALIZADOS</t>
  </si>
  <si>
    <t xml:space="preserve">G10</t>
  </si>
  <si>
    <t xml:space="preserve">Saldo projetado = saldo realizado + movimentos projetados</t>
  </si>
  <si>
    <t xml:space="preserve">G11</t>
  </si>
  <si>
    <t xml:space="preserve">Total de todos os status menos projetados e cancelados = saldo realizado</t>
  </si>
  <si>
    <t xml:space="preserve">G12</t>
  </si>
  <si>
    <t xml:space="preserve">Todo lancamento tem um status valido (realizado+projetado+cancelado)</t>
  </si>
  <si>
    <t xml:space="preserve">G13</t>
  </si>
  <si>
    <t xml:space="preserve">Patrimonio</t>
  </si>
  <si>
    <t xml:space="preserve">Ativos - passivos = patrimonio liquido total</t>
  </si>
  <si>
    <t xml:space="preserve">G14</t>
  </si>
  <si>
    <t xml:space="preserve">Patrimonio financeiro = patrimonio total - bens</t>
  </si>
  <si>
    <t xml:space="preserve">G15</t>
  </si>
  <si>
    <t xml:space="preserve">Metas</t>
  </si>
  <si>
    <t xml:space="preserve">Reserva de meta nao altera o saldo fisico da conta</t>
  </si>
  <si>
    <t xml:space="preserve">G16</t>
  </si>
  <si>
    <t xml:space="preserve">Saldo disponivel = saldo calculado - reservado</t>
  </si>
  <si>
    <t xml:space="preserve">G17</t>
  </si>
  <si>
    <t xml:space="preserve">Reservado nas contas = soma das metas vinculadas a contas</t>
  </si>
  <si>
    <t xml:space="preserve">G18</t>
  </si>
  <si>
    <t xml:space="preserve">Meta cancelada ou concluida fica com saldo reservado zerado</t>
  </si>
  <si>
    <t xml:space="preserve">G19</t>
  </si>
  <si>
    <t xml:space="preserve">Parcelas</t>
  </si>
  <si>
    <t xml:space="preserve">Soma dos status de parcela = total de parcelas cadastradas</t>
  </si>
  <si>
    <t xml:space="preserve">G20</t>
  </si>
  <si>
    <t xml:space="preserve">Nenhuma parcela com mais de um pagamento realizado</t>
  </si>
  <si>
    <t xml:space="preserve">G21</t>
  </si>
  <si>
    <t xml:space="preserve">Nenhuma parcela paga mantem lancamento projetado</t>
  </si>
  <si>
    <t xml:space="preserve">G22</t>
  </si>
  <si>
    <t xml:space="preserve">Valor pago das parcelas confere com os lancamentos vinculados</t>
  </si>
  <si>
    <t xml:space="preserve">G23</t>
  </si>
  <si>
    <t xml:space="preserve">Duplicidade</t>
  </si>
  <si>
    <t xml:space="preserve">Todo lancamento preenchido possui ID gerado</t>
  </si>
  <si>
    <t xml:space="preserve">G24</t>
  </si>
  <si>
    <t xml:space="preserve">Toda parcela preenchida possui ID gerado</t>
  </si>
  <si>
    <t xml:space="preserve">G25</t>
  </si>
  <si>
    <t xml:space="preserve">Nenhum lancamento com erro de validacao</t>
  </si>
  <si>
    <t xml:space="preserve">G26</t>
  </si>
  <si>
    <t xml:space="preserve">Nenhum movimento de meta com erro de validacao</t>
  </si>
  <si>
    <t xml:space="preserve">G27</t>
  </si>
  <si>
    <t xml:space="preserve">Fluxo de caixa</t>
  </si>
  <si>
    <t xml:space="preserve">Entradas do fluxo mensal = entradas dos lancamentos na grade</t>
  </si>
  <si>
    <t xml:space="preserve">G28</t>
  </si>
  <si>
    <t xml:space="preserve">Saldo final da grade mensal = saldo projetado total das contas</t>
  </si>
  <si>
    <t xml:space="preserve">G29</t>
  </si>
  <si>
    <t xml:space="preserve">Transferencia entre contas proprias nao entra no fluxo de caixa</t>
  </si>
  <si>
    <t xml:space="preserve">G30</t>
  </si>
  <si>
    <t xml:space="preserve">Rendimento realizado e rendimento projetado ficam separados</t>
  </si>
  <si>
    <t xml:space="preserve">G31</t>
  </si>
  <si>
    <t xml:space="preserve">Rendimento projetado nao entra no rendimento realizado</t>
  </si>
  <si>
    <t xml:space="preserve">G32</t>
  </si>
  <si>
    <t xml:space="preserve">Projecao</t>
  </si>
  <si>
    <t xml:space="preserve">Saldo do 1o mes projetado = saldo real + projetado ate o fim do mes</t>
  </si>
  <si>
    <t xml:space="preserve">G33</t>
  </si>
  <si>
    <t xml:space="preserve">Saldo do ultimo mes projetado = saldo projetado total das contas</t>
  </si>
  <si>
    <t xml:space="preserve">G34</t>
  </si>
  <si>
    <t xml:space="preserve">Fatura atual esta dentro do ciclo aberto de cada cartao</t>
  </si>
  <si>
    <t xml:space="preserve">G35</t>
  </si>
  <si>
    <t xml:space="preserve">Relatorios</t>
  </si>
  <si>
    <t xml:space="preserve">Resultado do mes = receitas + rendimentos - despesas</t>
  </si>
  <si>
    <t xml:space="preserve">G36</t>
  </si>
  <si>
    <t xml:space="preserve">Despesa do ano por categoria = despesa total do ano</t>
  </si>
  <si>
    <t xml:space="preserve">G37</t>
  </si>
  <si>
    <t xml:space="preserve">Soma dos 12 meses do relatorio anual = despesa do ano</t>
  </si>
  <si>
    <t xml:space="preserve">MANUAL DE USO</t>
  </si>
  <si>
    <t xml:space="preserve">Leia a secao 1 uma vez; depois use as demais como consulta.</t>
  </si>
  <si>
    <t xml:space="preserve">0. PRIMEIROS PASSOS (LEIA ANTES DE MEXER)</t>
  </si>
  <si>
    <t xml:space="preserve">Se voce recebeu o arquivo LIMPO</t>
  </si>
  <si>
    <t xml:space="preserve">Ele ja vem sem nenhum registro: so as categorias e subcategorias padrao. Comece cadastrando suas contas em CAD_Contas, depois cartoes, investimentos, compromissos e metas. So entao comece a lancar.</t>
  </si>
  <si>
    <t xml:space="preserve">Se voce recebeu o arquivo EXEMPLO</t>
  </si>
  <si>
    <t xml:space="preserve">Ele vem com dados ficticios para voce ver o sistema funcionando. Para comeca-lo do zero, siga a instrucao abaixo - NAO apague linha por linha.</t>
  </si>
  <si>
    <t xml:space="preserve">COMO APAGAR OS DADOS DE EXEMPLO</t>
  </si>
  <si>
    <t xml:space="preserve">Em cada aba de dados, selecione o intervalo das celulas AMARELAS (a primeira linha de dados ate a ultima preenchida) e pressione DELETE. Isso limpa o conteudo e mantem as formulas e os IDs no lugar.</t>
  </si>
  <si>
    <t xml:space="preserve">O QUE NUNCA FAZER</t>
  </si>
  <si>
    <t xml:space="preserve">Nunca use 'Excluir linha' (botao direito &gt; Excluir) nem classifique (sort) as abas de dados. Os IDs sao gerados pela posicao da linha: excluir uma linha faz todos os IDs abaixo dela mudarem, e os lancamentos passam a apontar para o registro errado sem nenhum aviso.</t>
  </si>
  <si>
    <t xml:space="preserve">Ordem para limpar</t>
  </si>
  <si>
    <t xml:space="preserve">Limpe primeiro LANCAMENTOS, depois PARCELAS e MOV_METAS, e so por ultimo os cadastros. Assim nenhum lancamento fica apontando para um cadastro que ja sumiu.</t>
  </si>
  <si>
    <t xml:space="preserve">Como saber se algo quebrou</t>
  </si>
  <si>
    <t xml:space="preserve">Abra a aba TESTES: se TESTES COM FALHA estiver diferente de zero, algum calculo esta inconsistente. A aba ALERTAS tambem acusa lancamentos com erro de validacao.</t>
  </si>
  <si>
    <t xml:space="preserve">Se ja quebrou</t>
  </si>
  <si>
    <t xml:space="preserve">Nao tente consertar celula por celula. Pegue uma copia nova do arquivo e recomece: leva menos tempo e nao deixa erro escondido.</t>
  </si>
  <si>
    <t xml:space="preserve">1. COMO O SISTEMA FUNCIONA</t>
  </si>
  <si>
    <t xml:space="preserve">Ideia central</t>
  </si>
  <si>
    <t xml:space="preserve">Existe UM unico livro de operacoes (aba LANCAMENTOS). Todo o resto - saldos, dividas, parcelas, metas, fluxo, relatorios e patrimonio - e calculado a partir dele. Nenhum numero e digitado duas vezes.</t>
  </si>
  <si>
    <t xml:space="preserve">Como um lancamento move dinheiro</t>
  </si>
  <si>
    <t xml:space="preserve">Cada linha tem uma ORIGEM e um DESTINO. Se o destino e uma CONTA, entra dinheiro nela; se a origem e uma CONTA, sai. EXTERNO representa o mundo fora do seu controle (empregador, supermercado).</t>
  </si>
  <si>
    <t xml:space="preserve">Por que nao ha duplicidade</t>
  </si>
  <si>
    <t xml:space="preserve">Uma transferencia tem conta na origem E no destino: soma numa e subtrai da outra, e nao aparece como receita nem como despesa. Uma compra no cartao tem origem CARTAO, entao vira despesa mas nao mexe no caixa; o caixa so e afetado quando a fatura e paga.</t>
  </si>
  <si>
    <t xml:space="preserve">Cores das celulas</t>
  </si>
  <si>
    <t xml:space="preserve">AMARELO = voce digita. CINZA = calculado, nao digite. VERDE = bloco pronto para copiar. VERMELHO = erro ou alerta.</t>
  </si>
  <si>
    <t xml:space="preserve">Regra de ouro</t>
  </si>
  <si>
    <t xml:space="preserve">Nunca exclua nem classifique (sort) linhas das abas de dados. Os IDs sao gerados pela posicao da linha. Para anular um lancamento, mude o Status para CANCELADO.</t>
  </si>
  <si>
    <t xml:space="preserve">2. CADASTROS</t>
  </si>
  <si>
    <t xml:space="preserve">Cadastrar uma conta</t>
  </si>
  <si>
    <t xml:space="preserve">Aba CAD_Contas: escreva o Nome na primeira linha vazia. O ID (CON-000004, por exemplo) aparece sozinho. Escolha Instituicao e Tipo nas listas.</t>
  </si>
  <si>
    <t xml:space="preserve">Configurar o saldo inicial</t>
  </si>
  <si>
    <t xml:space="preserve">Na mesma linha, preencha Saldo_Inicial e Data_Saldo_Inicial. Use o extrato da data em que voce comecou a usar o sistema. O Saldo_Calculado passa a ser saldo inicial + entradas - saidas.</t>
  </si>
  <si>
    <t xml:space="preserve">Cadastrar um cartao</t>
  </si>
  <si>
    <t xml:space="preserve">Aba CAD_Cartoes: Nome, Instituicao, Limite, Dia_Fechamento e Dia_Vencimento. O sistema calcula sozinho o ciclo aberto, a fatura atual e o vencimento.</t>
  </si>
  <si>
    <t xml:space="preserve">Cadastrar a divida inicial do cartao</t>
  </si>
  <si>
    <t xml:space="preserve">Preencha Divida_Inicial com o saldo em aberto na data de inicio. Depois registre o pagamento dessa fatura como um lancamento PAGAMENTO_CARTAO normal.</t>
  </si>
  <si>
    <t xml:space="preserve">Cadastrar uma instituicao</t>
  </si>
  <si>
    <t xml:space="preserve">Aba CAD_Instituicoes. Assim que o nome existir ali, ele aparece nas listas de contas, cartoes e investimentos.</t>
  </si>
  <si>
    <t xml:space="preserve">Criar categoria</t>
  </si>
  <si>
    <t xml:space="preserve">Aba CAD_Categorias: escreva o Nome. O ID sai sozinho e a categoria ja aparece nas listas de LANCAR.</t>
  </si>
  <si>
    <t xml:space="preserve">Criar subcategoria</t>
  </si>
  <si>
    <t xml:space="preserve">Aba CAD_Subcategorias: escolha a Categoria na lista e escreva o Nome. A subcategoria passa a aparecer automaticamente na lista dependente da tela LANCAR.</t>
  </si>
  <si>
    <t xml:space="preserve">3. LANCAR NO DIA A DIA</t>
  </si>
  <si>
    <t xml:space="preserve">Registrar qualquer operacao</t>
  </si>
  <si>
    <t xml:space="preserve">Va para a aba LANCAR, preencha as celulas amarelas, confira a linha Situacao do preenchimento e copie a LINHA PRONTA para a primeira linha vazia de LANCAMENTOS (colunas B ate S).</t>
  </si>
  <si>
    <t xml:space="preserve">Registrar uma compra no cartao</t>
  </si>
  <si>
    <t xml:space="preserve">Tipo_Operacao = COMPRA_CARTAO, Origem = CARTAO + o cartao, Destino = EXTERNO. Isso ja e a despesa.</t>
  </si>
  <si>
    <t xml:space="preserve">Pagar a fatura do cartao</t>
  </si>
  <si>
    <t xml:space="preserve">Tipo_Operacao = PAGAMENTO_CARTAO, Origem = CONTA, Destino = CARTAO. Sai dinheiro da conta e a divida do cartao cai. NAO gera uma segunda despesa.</t>
  </si>
  <si>
    <t xml:space="preserve">Registrar uma receita</t>
  </si>
  <si>
    <t xml:space="preserve">Tipo_Operacao = RECEITA, Origem = EXTERNO, Destino = CONTA.</t>
  </si>
  <si>
    <t xml:space="preserve">Fazer uma transferencia</t>
  </si>
  <si>
    <t xml:space="preserve">Tipo_Operacao = TRANSFERENCIA, Origem = CONTA A, Destino = CONTA B. Nao e receita nem despesa.</t>
  </si>
  <si>
    <t xml:space="preserve">Usar PROJETADO e REALIZADO</t>
  </si>
  <si>
    <t xml:space="preserve">PROJETADO e o que voce espera que aconteca; nao altera saldo nenhum. Quando o dinheiro sair de fato, apenas troque o Status da MESMA linha para REALIZADO. Nunca crie uma linha nova - seria duplicidade.</t>
  </si>
  <si>
    <t xml:space="preserve">Corrigir um lancamento</t>
  </si>
  <si>
    <t xml:space="preserve">Edite a propria linha. Se ela tiver algo na coluna Vinculos, leia o aviso antes: alterar pode mudar o status de uma parcela.</t>
  </si>
  <si>
    <t xml:space="preserve">Cancelar / estornar</t>
  </si>
  <si>
    <t xml:space="preserve">Troque o Status para CANCELADO. A linha continua no historico e o efeito financeiro desaparece de todos os calculos. Para estornar com contrapartida, crie um lancamento inverso e aponte o ID original na coluna ID_Relacionado.</t>
  </si>
  <si>
    <t xml:space="preserve">Excluir</t>
  </si>
  <si>
    <t xml:space="preserve">So exclua se for a ultima linha preenchida. Excluir uma linha do meio desloca os IDs de todas as linhas abaixo. Prefira sempre CANCELADO.</t>
  </si>
  <si>
    <t xml:space="preserve">4. COMPROMISSOS E PARCELAS</t>
  </si>
  <si>
    <t xml:space="preserve">Cadastrar um parcelamento</t>
  </si>
  <si>
    <t xml:space="preserve">Aba CAD_Compromissos: Nome, Categoria, Subcategoria, Qtd_Parcelas, Valor_Parcela, Data_Primeira_Parcela, Dia_Vencimento, Periodicidade e a conta ou cartao de pagamento.</t>
  </si>
  <si>
    <t xml:space="preserve">Informar as parcelas ja pagas antes</t>
  </si>
  <si>
    <t xml:space="preserve">No campo Parcelas_Pagas_Antes_Sistema escreva quantas parcelas voce ja quitou antes de comecar a usar a planilha. Elas ficam com status PAGA sem gerar lancamento (o dinheiro ja saiu antes do saldo inicial).</t>
  </si>
  <si>
    <t xml:space="preserve">Gerar o cronograma</t>
  </si>
  <si>
    <t xml:space="preserve">Aba GERADOR, bloco 1: escolha o compromisso e copie as linhas verdes para o fim da aba PARCELAS (colunas B ate E). O cronograma inteiro fica pronto: 1/60, 2/60, ... 60/60.</t>
  </si>
  <si>
    <t xml:space="preserve">Pagar uma parcela</t>
  </si>
  <si>
    <t xml:space="preserve">Na aba LANCAR escolha o Compromisso e deixe o numero da parcela em branco: o sistema aponta sozinho a proxima em aberto (por exemplo 44/60). Copie a linha pronta para LANCAMENTOS. A parcela muda para PAGA e a Parcela_Atual do compromisso avanca.</t>
  </si>
  <si>
    <t xml:space="preserve">Parcela atrasada</t>
  </si>
  <si>
    <t xml:space="preserve">Uma parcela vencida e sem pagamento realizado aparece como ATRASADA em PARCELAS e na aba ALERTAS, com os dias de atraso.</t>
  </si>
  <si>
    <t xml:space="preserve">Compra parcelada no cartao</t>
  </si>
  <si>
    <t xml:space="preserve">Cadastre como compromisso com Entidade_Tipo = CARTAO. Cada parcela vira um lancamento COMPRA_CARTAO na data do vencimento. Nao lance o valor total de uma vez - isso duplicaria a despesa.</t>
  </si>
  <si>
    <t xml:space="preserve">5. INVESTIMENTOS</t>
  </si>
  <si>
    <t xml:space="preserve">Criar um investimento</t>
  </si>
  <si>
    <t xml:space="preserve">Aba CAD_Investimentos: Nome, Instituicao, Tipo (Fondo Mutuo, Ahorro a Plazo, ...), Base_Rendimento, Taxa e Prazo_Meses. Instituicoes e tipos sao livres - nada esta fixo.</t>
  </si>
  <si>
    <t xml:space="preserve">Fazer um aporte</t>
  </si>
  <si>
    <t xml:space="preserve">Tipo_Operacao = APORTE, Origem = CONTA, Destino = INVESTIMENTO. Sai da conta e entra no investimento. NAO e despesa.</t>
  </si>
  <si>
    <t xml:space="preserve">Fazer um resgate</t>
  </si>
  <si>
    <t xml:space="preserve">Use o Assistente de resgate na aba LANCAR. Ele gera dois lancamentos: um RENDIMENTO (receita financeira, se ainda nao foi lancado) e um RESGATE (movimento neutro). O principal nunca vira receita.</t>
  </si>
  <si>
    <t xml:space="preserve">Resgate parcial ou total</t>
  </si>
  <si>
    <t xml:space="preserve">E o mesmo procedimento; o que muda e o valor. O saldo do investimento cai e o da conta sobe.</t>
  </si>
  <si>
    <t xml:space="preserve">Rendimento projetado x realizado</t>
  </si>
  <si>
    <t xml:space="preserve">Rendimento REALIZADO e o que ja foi creditado. Rendimento PROJETADO vem de lancamentos com status PROJETADO e aparece sempre em coluna separada. As duas colunas nunca se somam nos relatorios de resultado.</t>
  </si>
  <si>
    <t xml:space="preserve">Ahorro a Plazo</t>
  </si>
  <si>
    <t xml:space="preserve">Informe Data_Inicial, Prazo_Meses e Taxa. O sistema calcula a Data_Vencimento e a estimativa pela taxa. Lance o rendimento e o resgate como PROJETADOS na data do vencimento para que entrem no fluxo futuro.</t>
  </si>
  <si>
    <t xml:space="preserve">6. METAS</t>
  </si>
  <si>
    <t xml:space="preserve">Criar uma meta</t>
  </si>
  <si>
    <t xml:space="preserve">Aba CAD_Metas: Nome, Valor_Objetivo, Data_Prazo e a conta onde o dinheiro esta guardado.</t>
  </si>
  <si>
    <t xml:space="preserve">Vincular a meta a uma conta</t>
  </si>
  <si>
    <t xml:space="preserve">O campo Conta_Vinculada_ID faz a reserva aparecer na coluna Reservado_Metas daquela conta. O dinheiro continua fisicamente na conta; o que muda e o Saldo_Disponivel.</t>
  </si>
  <si>
    <t xml:space="preserve">Reservar dinheiro</t>
  </si>
  <si>
    <t xml:space="preserve">Assistente de meta na aba LANCAR: Tipo = RESERVA. Copie a linha para MOV_METAS (colunas B ate H).</t>
  </si>
  <si>
    <t xml:space="preserve">Retirar dinheiro da meta</t>
  </si>
  <si>
    <t xml:space="preserve">Tipo = RETIRADA e preencha Destino_Retirada (saldo disponivel, outra meta, investimento, despesa, outra conta). O valor nunca e simplesmente apagado - fica registrado.</t>
  </si>
  <si>
    <t xml:space="preserve">Transferir entre metas</t>
  </si>
  <si>
    <t xml:space="preserve">Duas linhas: TRANSF_SAIDA na meta de origem (informando a meta de destino) e TRANSF_ENTRADA na meta de destino, com o mesmo valor.</t>
  </si>
  <si>
    <t xml:space="preserve">Concluir uma meta</t>
  </si>
  <si>
    <t xml:space="preserve">Mude o Status para Concluida e informe a Data_Conclusao. Depois decida o que fazer com o valor reservado: manter (nao faca nada), liberar (LIBERACAO_CONCLUSAO), transferir (TRANSF_SAIDA) ou investir (retirada com destino Investimento + um APORTE em LANCAMENTOS).</t>
  </si>
  <si>
    <t xml:space="preserve">Cancelar uma meta</t>
  </si>
  <si>
    <t xml:space="preserve">Status = Cancelada e registre um movimento de saida com o destino escolhido. O historico da meta permanece inteiro em MOV_METAS.</t>
  </si>
  <si>
    <t xml:space="preserve">Reserva no fluxo projetado</t>
  </si>
  <si>
    <t xml:space="preserve">Em CFG_Sistema, o parametro Considerar reservas de metas no fluxo projetado decide se o valor reservado das metas marcadas com SIM e descontado da coluna Saldo_Livre do fluxo de caixa.</t>
  </si>
  <si>
    <t xml:space="preserve">7. RECORRENCIAS</t>
  </si>
  <si>
    <t xml:space="preserve">Criar uma recorrencia</t>
  </si>
  <si>
    <t xml:space="preserve">Aba CAD_Recorrencias: descricao, tipo de operacao, valor, periodicidade, dia, data de inicio e quantas ocorrencias.</t>
  </si>
  <si>
    <t xml:space="preserve">Gerar os lancamentos</t>
  </si>
  <si>
    <t xml:space="preserve">Aba GERADOR, bloco 2: escolha a recorrencia e copie as linhas verdes para LANCAMENTOS. As datas futuras ja saem como PROJETADO.</t>
  </si>
  <si>
    <t xml:space="preserve">Quando o pagamento acontecer</t>
  </si>
  <si>
    <t xml:space="preserve">Troque o Status daquela linha de PROJETADO para REALIZADO. Nunca crie uma nova linha.</t>
  </si>
  <si>
    <t xml:space="preserve">Recorrencia sem data final</t>
  </si>
  <si>
    <t xml:space="preserve">Coloque uma quantidade grande de ocorrencias (por exemplo 60) e gere quando precisar.</t>
  </si>
  <si>
    <t xml:space="preserve">8. CONSULTAR</t>
  </si>
  <si>
    <t xml:space="preserve">Aba FLUXO_CAIXA: quatro visoes na mesma aba - mensal, diario, semanal e anual. Realizado e projetado ficam em colunas separadas.</t>
  </si>
  <si>
    <t xml:space="preserve">Aba PROJECAO: mes a mes para frente, detalhando o que compoe cada saida (parcelas, faturas, aportes).</t>
  </si>
  <si>
    <t xml:space="preserve">Relatorio mensal</t>
  </si>
  <si>
    <t xml:space="preserve">Aba REL_Mensal: escolha o ano e o mes nas celulas amarelas.</t>
  </si>
  <si>
    <t xml:space="preserve">Relatorio anual</t>
  </si>
  <si>
    <t xml:space="preserve">Aba REL_Anual: escolha o ano. Traz os 12 meses, totais, medias, maior e menor gasto e a evolucao de investimentos e dividas.</t>
  </si>
  <si>
    <t xml:space="preserve">Aba PATRIMONIO: posicao atual e evolucao mes a mes.</t>
  </si>
  <si>
    <t xml:space="preserve">Alertas e indicadores</t>
  </si>
  <si>
    <t xml:space="preserve">Abas ALERTAS e INDICADORES. Os limites de cada alerta ficam em CFG_Sistema.</t>
  </si>
  <si>
    <t xml:space="preserve">Conferencia</t>
  </si>
  <si>
    <t xml:space="preserve">Aba TESTES: se o numero de TESTES COM FALHA for diferente de zero, algum calculo esta inconsistente - procure a linha vermelha.</t>
  </si>
  <si>
    <t xml:space="preserve">9. LIMITES DESTA VERSAO</t>
  </si>
  <si>
    <t xml:space="preserve">Sem macros</t>
  </si>
  <si>
    <t xml:space="preserve">O arquivo nao usa VBA, para abrir em qualquer Excel sem aviso de seguranca. Por isso copiar e colar blocos prontos substitui os botoes.</t>
  </si>
  <si>
    <t xml:space="preserve">Quantidade de linhas</t>
  </si>
  <si>
    <t xml:space="preserve">As formulas cobrem 3.000 lancamentos, 1.200 parcelas, 600 movimentos de meta e 40 registros por cadastro. Para ampliar, use Formulas &gt; Gerenciador de Nomes.</t>
  </si>
  <si>
    <t xml:space="preserve">Ordem das linhas</t>
  </si>
  <si>
    <t xml:space="preserve">Nao classifique (sort) as abas de dados. Use os filtros do cabecalho, que nao alteram a ordem fisica.</t>
  </si>
  <si>
    <t xml:space="preserve">Data de referencia</t>
  </si>
  <si>
    <t xml:space="preserve">Fica fixa em CFG_Sistema para que os testes sejam reproduziveis. Troque por =HOJE() se quiser que o sistema acompanhe o dia corrente.</t>
  </si>
  <si>
    <t xml:space="preserve">ARQUITETURA DO SISTEMA</t>
  </si>
  <si>
    <t xml:space="preserve">Como os dados estao organizados e por que. Base para a evolucao futura.</t>
  </si>
  <si>
    <t xml:space="preserve">1. CAMADAS</t>
  </si>
  <si>
    <t xml:space="preserve">Configuracao</t>
  </si>
  <si>
    <t xml:space="preserve">CFG_Sistema (parametros), CFG_Listas (dominios), AUX (tabelas derivadas e listas dependentes).</t>
  </si>
  <si>
    <t xml:space="preserve">Cadastros (dimensoes)</t>
  </si>
  <si>
    <t xml:space="preserve">CAD_Instituicoes, CAD_Contas, CAD_Cartoes, CAD_Investimentos, CAD_Categorias, CAD_Subcategorias, CAD_Compromissos, CAD_Metas, CAD_Recorrencias, CAD_Bens.</t>
  </si>
  <si>
    <t xml:space="preserve">Operacoes (fatos)</t>
  </si>
  <si>
    <t xml:space="preserve">LANCAMENTOS (livro unico), PARCELAS (cronograma), MOV_METAS (reservas logicas).</t>
  </si>
  <si>
    <t xml:space="preserve">Calculos</t>
  </si>
  <si>
    <t xml:space="preserve">Ficam nas proprias tabelas, em colunas cinzas: saldos em CAD_Contas, dividas em CAD_Cartoes, saldos e rendimentos em CAD_Investimentos, status em PARCELAS, reservas em CAD_Metas.</t>
  </si>
  <si>
    <t xml:space="preserve">DASHBOARD, FLUXO_CAIXA, PROJECAO, REL_Mensal, REL_Anual, PATRIMONIO, INDICADORES, ALERTAS.</t>
  </si>
  <si>
    <t xml:space="preserve">Apoio</t>
  </si>
  <si>
    <t xml:space="preserve">LANCAR (entrada de dados), GERADOR (cronogramas e recorrencias), TESTES, MANUAL, ARQUITETURA.</t>
  </si>
  <si>
    <t xml:space="preserve">2. CHAVES E RELACIONAMENTOS</t>
  </si>
  <si>
    <t xml:space="preserve">Prefixos de ID</t>
  </si>
  <si>
    <t xml:space="preserve">INS (instituicao), CON (conta), CAR (cartao), INV (investimento), CAT (categoria), SUB (subcategoria), CMP (compromisso), PAR (parcela), MET (meta), REC (recorrencia), BEM (bem), LAN (lancamento), MOV (movimento de meta).</t>
  </si>
  <si>
    <t xml:space="preserve">Geracao do ID</t>
  </si>
  <si>
    <t xml:space="preserve">Formula na coluna A de cada tabela: ="PREFIXO-"&amp;TEXT(ROW()-4,"000000"). O usuario nunca digita um ID.</t>
  </si>
  <si>
    <t xml:space="preserve">LANCAMENTOS -&gt; cadastros</t>
  </si>
  <si>
    <t xml:space="preserve">Origem_ID e Destino_ID apontam para CON/CAR/INV (a coluna Origem_Tipo diz qual). Categoria_ID -&gt; CAT, Subcategoria_ID -&gt; SUB, ID_Compromisso -&gt; CMP, ID_Parcela -&gt; PAR, ID_Meta -&gt; MET, ID_Recorrencia -&gt; REC, ID_Relacionado -&gt; LAN.</t>
  </si>
  <si>
    <t xml:space="preserve">PARCELAS -&gt; CMP</t>
  </si>
  <si>
    <t xml:space="preserve">Cada parcela pertence a um compromisso; o pagamento e o lancamento que traz o ID_Parcela dela.</t>
  </si>
  <si>
    <t xml:space="preserve">MOV_METAS -&gt; MET</t>
  </si>
  <si>
    <t xml:space="preserve">Cada movimento pertence a uma meta; a conta afetada vem da meta (Conta_Vinculada_ID).</t>
  </si>
  <si>
    <t xml:space="preserve">Integridade referencial</t>
  </si>
  <si>
    <t xml:space="preserve">A coluna Validacao de LANCAMENTOS e de MOV_METAS verifica, linha a linha, se cada ID referenciado existe e se a subcategoria pertence a categoria informada.</t>
  </si>
  <si>
    <t xml:space="preserve">3. REGRAS FINANCEIRAS</t>
  </si>
  <si>
    <t xml:space="preserve">Classificacao economica</t>
  </si>
  <si>
    <t xml:space="preserve">Cada Tipo_Operacao tem uma classificacao fixa em CFG_Listas: RECEITA, RECEITA_FINANCEIRA, DESPESA ou NEUTRO. E dela que saem as colunas Vlr_Receita, Vlr_Despesa e Vlr_Rend_Fin.</t>
  </si>
  <si>
    <t xml:space="preserve">Entrada_Caixa = destino e CONTA e origem nao e CONTA. Saida_Caixa = origem e CONTA e destino nao e CONTA. Transferencia entre contas proprias fica fora dos dois - e a garantia de que nao ha duplicidade.</t>
  </si>
  <si>
    <t xml:space="preserve">Saldo de conta</t>
  </si>
  <si>
    <t xml:space="preserve">Saldo_Inicial + entradas realizadas - saidas realizadas.</t>
  </si>
  <si>
    <t xml:space="preserve">Divida de cartao</t>
  </si>
  <si>
    <t xml:space="preserve">Divida_Inicial + compras (origem CARTAO) - pagamentos (destino CARTAO).</t>
  </si>
  <si>
    <t xml:space="preserve">Saldo de investimento</t>
  </si>
  <si>
    <t xml:space="preserve">Valor inicial + aportes + rendimentos - resgates. Principal = valor inicial + aportes - resgates (minimo zero); o restante do saldo e rendimento acumulado.</t>
  </si>
  <si>
    <t xml:space="preserve">Saldo de meta</t>
  </si>
  <si>
    <t xml:space="preserve">Soma dos movimentos com sinal: RESERVA e TRANSF_ENTRADA somam; RETIRADA, TRANSF_SAIDA e liberacoes subtraem. Nao toca em saldo bancario.</t>
  </si>
  <si>
    <t xml:space="preserve">Status de parcela</t>
  </si>
  <si>
    <t xml:space="preserve">PAGA se foi quitada antes do sistema ou tem lancamento realizado; senao ATRASADA se venceu, ABERTA se vence no mes corrente, PROJETADA se vence depois.</t>
  </si>
  <si>
    <t xml:space="preserve">4. PREPARACAO PARA A VERSAO 2</t>
  </si>
  <si>
    <t xml:space="preserve">Formato de tabela</t>
  </si>
  <si>
    <t xml:space="preserve">Cada aba de dados e uma tabela retangular com cabecalho unico na linha 4 e uma linha por registro - le direto em pandas, SQL ou qualquer ORM.</t>
  </si>
  <si>
    <t xml:space="preserve">Separacao dado x calculo</t>
  </si>
  <si>
    <t xml:space="preserve">As colunas amarelas sao o dado bruto (o que iria para o banco). As cinzas sao derivadas e seriam substituidas por views ou por codigo de aplicacao.</t>
  </si>
  <si>
    <t xml:space="preserve">Modelo relacional pronto</t>
  </si>
  <si>
    <t xml:space="preserve">As tabelas ja tem chave primaria (ID) e chaves estrangeiras explicitas. A migracao para PostgreSQL, SQLite ou Firestore e um mapeamento direto, tabela por tabela.</t>
  </si>
  <si>
    <t xml:space="preserve">Dominios controlados</t>
  </si>
  <si>
    <t xml:space="preserve">CFG_Listas equivale a tabelas de dominio ou enums; a classificacao economica por tipo de operacao ja e uma tabela de mapeamento.</t>
  </si>
  <si>
    <t xml:space="preserve">Regras isoladas</t>
  </si>
  <si>
    <t xml:space="preserve">Cada regra financeira esta em uma unica coluna calculada, o que facilita reescreve-la como funcao pura na V2.</t>
  </si>
  <si>
    <t xml:space="preserve">O que a V2 poderia trazer</t>
  </si>
  <si>
    <t xml:space="preserve">Aplicativo ou site com telas de cadastro, importacao automatica de extratos, leitura de comprovantes, conciliacao bancaria, alertas por notificacao, orcamento por envelope, multimoeda (Gs./US$/R$) e analise inteligente por IA.</t>
  </si>
  <si>
    <t xml:space="preserve">CFG_SISTEMA - PARAMETROS GERAIS DO SISTEMA</t>
  </si>
  <si>
    <t xml:space="preserve">Somente as celulas amarelas devem ser alteradas. Todo o restante do sistema le estes parametros.</t>
  </si>
  <si>
    <t xml:space="preserve">1. IDENTIFICACAO E MOEDA</t>
  </si>
  <si>
    <t xml:space="preserve">Nome do sistema</t>
  </si>
  <si>
    <t xml:space="preserve">Sistema Financeiro Pessoal V1</t>
  </si>
  <si>
    <t xml:space="preserve">Titulo exibido no dashboard.</t>
  </si>
  <si>
    <t xml:space="preserve">Moeda padrao (simbolo)</t>
  </si>
  <si>
    <t xml:space="preserve">Gs.</t>
  </si>
  <si>
    <t xml:space="preserve">Guarani paraguaio. O formato de celula usado em todo o sistema e "Gs. "#.##0 (sem centavos).</t>
  </si>
  <si>
    <t xml:space="preserve">2. DATAS DE REFERENCIA</t>
  </si>
  <si>
    <t xml:space="preserve">Data de referencia (hoje)</t>
  </si>
  <si>
    <t xml:space="preserve">Define o que e passado e o que e futuro. Para acompanhar o dia corrente substitua por =HOJE(). Mantida fixa para que os testes sejam reproduziveis.</t>
  </si>
  <si>
    <t xml:space="preserve">Data de inicio do sistema (saldos iniciais)</t>
  </si>
  <si>
    <t xml:space="preserve">Data a que se referem os saldos iniciais de contas e cartoes.</t>
  </si>
  <si>
    <t xml:space="preserve">Ano de analise (relatorios)</t>
  </si>
  <si>
    <t xml:space="preserve">Usado por REL_Mensal, REL_Anual e INDICADORES.</t>
  </si>
  <si>
    <t xml:space="preserve">Mes de analise (relatorios)</t>
  </si>
  <si>
    <t xml:space="preserve">Numero de 1 a 12. Usado por REL_Mensal.</t>
  </si>
  <si>
    <t xml:space="preserve">Horizonte de projecao (meses)</t>
  </si>
  <si>
    <t xml:space="preserve">Quantos meses a aba PROJECAO olha para frente a partir da data de referencia.</t>
  </si>
  <si>
    <t xml:space="preserve">3. REGRAS DE NEGOCIO</t>
  </si>
  <si>
    <t xml:space="preserve">Considerar reservas de metas no fluxo projetado?</t>
  </si>
  <si>
    <t xml:space="preserve">SIM</t>
  </si>
  <si>
    <t xml:space="preserve">Item 28 do projeto. SIM = o saldo projetado disponivel desconta as reservas das metas marcadas com Considerar_No_Fluxo = SIM. NAO = as reservas ficam registradas mas nao alteram a projecao.</t>
  </si>
  <si>
    <t xml:space="preserve">4. PARAMETROS DE ALERTA</t>
  </si>
  <si>
    <t xml:space="preserve">Saldo minimo desejado por conta</t>
  </si>
  <si>
    <t xml:space="preserve">Abaixo disso a aba ALERTAS acusa saldo baixo.</t>
  </si>
  <si>
    <t xml:space="preserve">Uso maximo do limite do cartao</t>
  </si>
  <si>
    <t xml:space="preserve">Percentual do limite a partir do qual o cartao entra em alerta.</t>
  </si>
  <si>
    <t xml:space="preserve">Dias de antecedencia para alerta de vencimento</t>
  </si>
  <si>
    <t xml:space="preserve">Faturas e parcelas que vencem dentro desse prazo entram em alerta.</t>
  </si>
  <si>
    <t xml:space="preserve">Dias de antecedencia para vencimento de investimento</t>
  </si>
  <si>
    <t xml:space="preserve">Investimentos que vencem dentro desse prazo entram em alerta.</t>
  </si>
  <si>
    <t xml:space="preserve">Comprometimento maximo da renda mensal</t>
  </si>
  <si>
    <t xml:space="preserve">Parcelas + faturas de cartao divididas pela receita media mensal.</t>
  </si>
  <si>
    <t xml:space="preserve">Variacao de despesa que gera alerta</t>
  </si>
  <si>
    <t xml:space="preserve">Aumento percentual da despesa do mes sobre a media dos ultimos meses.</t>
  </si>
  <si>
    <t xml:space="preserve">5. LIMITES TECNICOS DA VERSAO EXCEL</t>
  </si>
  <si>
    <t xml:space="preserve">Linhas cobertas pelas formulas em LANCAMENTOS</t>
  </si>
  <si>
    <t xml:space="preserve">Linhas com formulas ja preenchidas em LANCAMENTOS</t>
  </si>
  <si>
    <t xml:space="preserve">Linhas cobertas pelas formulas em PARCELAS</t>
  </si>
  <si>
    <t xml:space="preserve">Linhas cobertas pelas formulas em MOV_METAS</t>
  </si>
  <si>
    <t xml:space="preserve">Linhas por aba de cadastro</t>
  </si>
  <si>
    <t xml:space="preserve">Ao ultrapassar as linhas com formulas preenchidas, copie a ultima linha da aba e cole para baixo: as formulas se ajustam sozinhas. Ao ultrapassar as linhas cobertas pelos intervalos nomeados, use Formulas &gt; Gerenciador de Nomes e amplie o intervalo (por exemplo de $3004 para $6004).</t>
  </si>
  <si>
    <t xml:space="preserve">CFG_LISTAS - DOMINIOS FIXOS DO SISTEMA</t>
  </si>
  <si>
    <t xml:space="preserve">Listas de dominio usadas nas validacoes. Alterar um valor aqui exige revisar as formulas que dependem dele (principalmente a coluna Classificacao de LANCAMENTOS).</t>
  </si>
  <si>
    <t xml:space="preserve">TIPO_OPERACAO</t>
  </si>
  <si>
    <t xml:space="preserve">CLASSIFICACAO</t>
  </si>
  <si>
    <t xml:space="preserve">STATUS_LANCAMENTO</t>
  </si>
  <si>
    <t xml:space="preserve">TIPO_ENTIDADE</t>
  </si>
  <si>
    <t xml:space="preserve">TIPO_CONTA</t>
  </si>
  <si>
    <t xml:space="preserve">FORMA_PAGAMENTO</t>
  </si>
  <si>
    <t xml:space="preserve">PERIODICIDADE</t>
  </si>
  <si>
    <t xml:space="preserve">STATUS_CADASTRO</t>
  </si>
  <si>
    <t xml:space="preserve">TIPO_INVESTIMENTO</t>
  </si>
  <si>
    <t xml:space="preserve">BASE_RENDIMENTO</t>
  </si>
  <si>
    <t xml:space="preserve">STATUS_META</t>
  </si>
  <si>
    <t xml:space="preserve">STATUS_PARCELA</t>
  </si>
  <si>
    <t xml:space="preserve">TIPO_MOV_META</t>
  </si>
  <si>
    <t xml:space="preserve">SINAL_MOV_META</t>
  </si>
  <si>
    <t xml:space="preserve">SIM_NAO</t>
  </si>
  <si>
    <t xml:space="preserve">TIPO_INSTITUICAO</t>
  </si>
  <si>
    <t xml:space="preserve">TIPO_CATEGORIA</t>
  </si>
  <si>
    <t xml:space="preserve">TIPO_BEM</t>
  </si>
  <si>
    <t xml:space="preserve">DESTINO_RETIRADA_META</t>
  </si>
  <si>
    <t xml:space="preserve">MES_NOME</t>
  </si>
  <si>
    <t xml:space="preserve">Conta corrente</t>
  </si>
  <si>
    <t xml:space="preserve">Dinheiro</t>
  </si>
  <si>
    <t xml:space="preserve">Diario</t>
  </si>
  <si>
    <t xml:space="preserve">Fondo Mutuo</t>
  </si>
  <si>
    <t xml:space="preserve">Taxa anual</t>
  </si>
  <si>
    <t xml:space="preserve">Ativa</t>
  </si>
  <si>
    <t xml:space="preserve">Banco</t>
  </si>
  <si>
    <t xml:space="preserve">Imovel</t>
  </si>
  <si>
    <t xml:space="preserve">Saldo disponivel</t>
  </si>
  <si>
    <t xml:space="preserve">Janeiro</t>
  </si>
  <si>
    <t xml:space="preserve">PROJETADO</t>
  </si>
  <si>
    <t xml:space="preserve">CARTAO</t>
  </si>
  <si>
    <t xml:space="preserve">Conta poupanca</t>
  </si>
  <si>
    <t xml:space="preserve">Semanal</t>
  </si>
  <si>
    <t xml:space="preserve">Inativo</t>
  </si>
  <si>
    <t xml:space="preserve">Taxa mensal</t>
  </si>
  <si>
    <t xml:space="preserve">Concluida</t>
  </si>
  <si>
    <t xml:space="preserve">RETIRADA</t>
  </si>
  <si>
    <t xml:space="preserve">NAO</t>
  </si>
  <si>
    <t xml:space="preserve">Financeira</t>
  </si>
  <si>
    <t xml:space="preserve">Veiculo</t>
  </si>
  <si>
    <t xml:space="preserve">Outra meta</t>
  </si>
  <si>
    <t xml:space="preserve">Fevereiro</t>
  </si>
  <si>
    <t xml:space="preserve">TRANSFERENCIA</t>
  </si>
  <si>
    <t xml:space="preserve">CANCELADO</t>
  </si>
  <si>
    <t xml:space="preserve">INVESTIMENTO</t>
  </si>
  <si>
    <t xml:space="preserve">Carteira/dinheiro</t>
  </si>
  <si>
    <t xml:space="preserve">Credito</t>
  </si>
  <si>
    <t xml:space="preserve">Quinzenal</t>
  </si>
  <si>
    <t xml:space="preserve">Encerrado</t>
  </si>
  <si>
    <t xml:space="preserve">CDA</t>
  </si>
  <si>
    <t xml:space="preserve">Valor fixo</t>
  </si>
  <si>
    <t xml:space="preserve">Cancelada</t>
  </si>
  <si>
    <t xml:space="preserve">TRANSF_ENTRADA</t>
  </si>
  <si>
    <t xml:space="preserve">Cooperativa</t>
  </si>
  <si>
    <t xml:space="preserve">Equipamento</t>
  </si>
  <si>
    <t xml:space="preserve">Marco</t>
  </si>
  <si>
    <t xml:space="preserve">COMPRA_CARTAO</t>
  </si>
  <si>
    <t xml:space="preserve">Outra</t>
  </si>
  <si>
    <t xml:space="preserve">Transferencia</t>
  </si>
  <si>
    <t xml:space="preserve">Mensal</t>
  </si>
  <si>
    <t xml:space="preserve">Acoes</t>
  </si>
  <si>
    <t xml:space="preserve">Manual</t>
  </si>
  <si>
    <t xml:space="preserve">Pausada</t>
  </si>
  <si>
    <t xml:space="preserve">TRANSF_SAIDA</t>
  </si>
  <si>
    <t xml:space="preserve">Casa de cambio</t>
  </si>
  <si>
    <t xml:space="preserve">Participacao societaria</t>
  </si>
  <si>
    <t xml:space="preserve">Despesa</t>
  </si>
  <si>
    <t xml:space="preserve">Abril</t>
  </si>
  <si>
    <t xml:space="preserve">PAGAMENTO_CARTAO</t>
  </si>
  <si>
    <t xml:space="preserve">Cheque</t>
  </si>
  <si>
    <t xml:space="preserve">Bimestral</t>
  </si>
  <si>
    <t xml:space="preserve">Outro</t>
  </si>
  <si>
    <t xml:space="preserve">LIBERACAO_CONCLUSAO</t>
  </si>
  <si>
    <t xml:space="preserve">Billetera/Fintech</t>
  </si>
  <si>
    <t xml:space="preserve">Semovente</t>
  </si>
  <si>
    <t xml:space="preserve">Outra conta</t>
  </si>
  <si>
    <t xml:space="preserve">Maio</t>
  </si>
  <si>
    <t xml:space="preserve">APORTE</t>
  </si>
  <si>
    <t xml:space="preserve">Debito automatico</t>
  </si>
  <si>
    <t xml:space="preserve">Trimestral</t>
  </si>
  <si>
    <t xml:space="preserve">LIBERACAO_CANCELAMENTO</t>
  </si>
  <si>
    <t xml:space="preserve">Corretora</t>
  </si>
  <si>
    <t xml:space="preserve">Junho</t>
  </si>
  <si>
    <t xml:space="preserve">RESGATE</t>
  </si>
  <si>
    <t xml:space="preserve">SIPAP/Giros</t>
  </si>
  <si>
    <t xml:space="preserve">Semestral</t>
  </si>
  <si>
    <t xml:space="preserve">Nao aplica</t>
  </si>
  <si>
    <t xml:space="preserve">Julho</t>
  </si>
  <si>
    <t xml:space="preserve">RENDIMENTO</t>
  </si>
  <si>
    <t xml:space="preserve">RECEITA_FINANCEIRA</t>
  </si>
  <si>
    <t xml:space="preserve">Anual</t>
  </si>
  <si>
    <t xml:space="preserve">Agosto</t>
  </si>
  <si>
    <t xml:space="preserve">PAGAMENTO_PARCELA</t>
  </si>
  <si>
    <t xml:space="preserve">Personalizado</t>
  </si>
  <si>
    <t xml:space="preserve">Setembro</t>
  </si>
  <si>
    <t xml:space="preserve">AJUSTE_SALDO</t>
  </si>
  <si>
    <t xml:space="preserve">Outubro</t>
  </si>
  <si>
    <t xml:space="preserve">Novembro</t>
  </si>
  <si>
    <t xml:space="preserve">Dezembro</t>
  </si>
  <si>
    <t xml:space="preserve">AUX - TABELAS AUXILIARES (NAO EDITAR)</t>
  </si>
  <si>
    <t xml:space="preserve">Gerada por formulas a partir dos cadastros. Alimenta as listas suspensas, as listas dependentes de subcategoria e a resolucao de nomes em LANCAMENTOS.</t>
  </si>
  <si>
    <t xml:space="preserve">ID_Entidade</t>
  </si>
  <si>
    <t xml:space="preserve">Tipo_Entidade</t>
  </si>
  <si>
    <t xml:space="preserve">Nome_Entidade</t>
  </si>
  <si>
    <t xml:space="preserve">Indice</t>
  </si>
  <si>
    <t xml:space="preserve">LST_NOMES_CONTA</t>
  </si>
  <si>
    <t xml:space="preserve">LST_NOMES_CARTAO</t>
  </si>
  <si>
    <t xml:space="preserve">LST_NOMES_INVESTIMENTO</t>
  </si>
  <si>
    <t xml:space="preserve">LST_NOMES_EXTERNO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</si>
</sst>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Gs. &quot;#,##0;&quot;-Gs. &quot;#,##0;&quot;Gs. &quot;0"/>
    <numFmt numFmtId="166" formatCode="0"/>
    <numFmt numFmtId="167" formatCode="0.0%"/>
    <numFmt numFmtId="168" formatCode="dd/mm/yyyy"/>
    <numFmt numFmtId="169" formatCode="0.00%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EDF2F9"/>
        <bgColor rgb="FFF2F2F2"/>
      </patternFill>
    </fill>
    <fill>
      <patternFill patternType="solid">
        <fgColor rgb="FF1F3864"/>
        <bgColor rgb="FF2E5C8A"/>
      </patternFill>
    </fill>
    <fill>
      <patternFill patternType="solid">
        <fgColor rgb="FFF2F2F2"/>
        <bgColor rgb="FFEDF2F9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EDF2F9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F2F9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5C8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1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2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</row>
    <row r="6" customFormat="false" ht="24" hidden="false" customHeight="true" outlineLevel="0" collapsed="false">
      <c r="A6" s="5" t="n">
        <f aca="false">SUM(C_SALDO)</f>
        <v>0</v>
      </c>
      <c r="B6" s="5"/>
      <c r="C6" s="5" t="n">
        <f aca="false">SUM(C_RESERV)</f>
        <v>0</v>
      </c>
      <c r="D6" s="5"/>
      <c r="E6" s="5" t="n">
        <f aca="false">SUM(C_DISP)</f>
        <v>0</v>
      </c>
      <c r="F6" s="5"/>
      <c r="G6" s="5" t="n">
        <f aca="false">INDEX(PJ_SALDO,COUNT(PJ_SALDO))</f>
        <v>0</v>
      </c>
      <c r="H6" s="5"/>
    </row>
    <row r="8" customFormat="false" ht="19.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4" t="s">
        <v>8</v>
      </c>
      <c r="B9" s="4"/>
      <c r="C9" s="4" t="s">
        <v>9</v>
      </c>
      <c r="D9" s="4"/>
      <c r="E9" s="4" t="s">
        <v>10</v>
      </c>
      <c r="F9" s="4"/>
      <c r="G9" s="4" t="s">
        <v>11</v>
      </c>
      <c r="H9" s="4"/>
    </row>
    <row r="10" customFormat="false" ht="24" hidden="false" customHeight="true" outlineLevel="0" collapsed="false">
      <c r="A10" s="5" t="n">
        <f aca="false">SUM(I_SALDO)</f>
        <v>0</v>
      </c>
      <c r="B10" s="5"/>
      <c r="C10" s="5" t="n">
        <f aca="false">SUM(I_REND)</f>
        <v>0</v>
      </c>
      <c r="D10" s="5"/>
      <c r="E10" s="5" t="n">
        <f aca="false">SUM(I_RENDPROJ)</f>
        <v>0</v>
      </c>
      <c r="F10" s="5"/>
      <c r="G10" s="5" t="n">
        <f aca="false">PAT_PL_TOTAL</f>
        <v>0</v>
      </c>
      <c r="H10" s="5"/>
    </row>
    <row r="12" customFormat="false" ht="19.5" hidden="false" customHeight="true" outlineLevel="0" collapsed="false">
      <c r="A12" s="3" t="s">
        <v>12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4" t="s">
        <v>13</v>
      </c>
      <c r="B13" s="4"/>
      <c r="C13" s="4" t="s">
        <v>14</v>
      </c>
      <c r="D13" s="4"/>
      <c r="E13" s="4" t="s">
        <v>15</v>
      </c>
      <c r="F13" s="4"/>
      <c r="G13" s="4" t="s">
        <v>16</v>
      </c>
      <c r="H13" s="4"/>
    </row>
    <row r="14" customFormat="false" ht="24" hidden="false" customHeight="true" outlineLevel="0" collapsed="false">
      <c r="A14" s="5" t="n">
        <f aca="false">SUM(K_DIVIDA)</f>
        <v>0</v>
      </c>
      <c r="B14" s="5"/>
      <c r="C14" s="5" t="n">
        <f aca="false">SUM(K_DISP)</f>
        <v>0</v>
      </c>
      <c r="D14" s="5"/>
      <c r="E14" s="5" t="n">
        <f aca="false">SUM(CM_DEVEDOR)</f>
        <v>0</v>
      </c>
      <c r="F14" s="5"/>
      <c r="G14" s="5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0</v>
      </c>
      <c r="H14" s="5"/>
    </row>
    <row r="16" customFormat="false" ht="19.5" hidden="false" customHeight="true" outlineLevel="0" collapsed="false">
      <c r="A16" s="3" t="s">
        <v>17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4" t="s">
        <v>18</v>
      </c>
      <c r="B17" s="4"/>
      <c r="C17" s="4" t="s">
        <v>19</v>
      </c>
      <c r="D17" s="4"/>
      <c r="E17" s="4" t="s">
        <v>20</v>
      </c>
      <c r="F17" s="4"/>
      <c r="G17" s="4" t="s">
        <v>21</v>
      </c>
      <c r="H17" s="4"/>
    </row>
    <row r="18" customFormat="false" ht="24" hidden="false" customHeight="true" outlineLevel="0" collapsed="false">
      <c r="A18" s="5" t="n">
        <f aca="false">SUMIFS(L_VRec,L_Data,"&gt;="&amp;DATE(YEAR(CFG_HOJE),MONTH(CFG_HOJE),1),L_Data,"&lt;="&amp;EOMONTH(CFG_HOJE,0),L_Status,"REALIZADO")</f>
        <v>0</v>
      </c>
      <c r="B18" s="5"/>
      <c r="C18" s="5" t="n">
        <f aca="false">SUMIFS(L_VDesp,L_Data,"&gt;="&amp;DATE(YEAR(CFG_HOJE),MONTH(CFG_HOJE),1),L_Data,"&lt;="&amp;EOMONTH(CFG_HOJE,0),L_Status,"REALIZADO")</f>
        <v>0</v>
      </c>
      <c r="D18" s="5"/>
      <c r="E18" s="5" t="n">
        <f aca="false">SUMIFS(L_VRec,L_Data,"&gt;="&amp;DATE(YEAR(CFG_HOJE),MONTH(CFG_HOJE),1),L_Data,"&lt;="&amp;EOMONTH(CFG_HOJE,0),L_Status,"REALIZADO")+SUMIFS(L_VRend,L_Data,"&gt;="&amp;DATE(YEAR(CFG_HOJE),MONTH(CFG_HOJE),1),L_Data,"&lt;="&amp;EOMONTH(CFG_HOJE,0),L_Status,"REALIZADO")-(SUMIFS(L_VDesp,L_Data,"&gt;="&amp;DATE(YEAR(CFG_HOJE),MONTH(CFG_HOJE),1),L_Data,"&lt;="&amp;EOMONTH(CFG_HOJE,0),L_Status,"REALIZADO"))</f>
        <v>0</v>
      </c>
      <c r="F18" s="5"/>
      <c r="G18" s="5" t="n">
        <f aca="false">MIN(PJ_SALDO)</f>
        <v>0</v>
      </c>
      <c r="H18" s="5"/>
    </row>
    <row r="20" customFormat="false" ht="19.5" hidden="false" customHeight="true" outlineLevel="0" collapsed="false">
      <c r="A20" s="3" t="s">
        <v>22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4" t="s">
        <v>23</v>
      </c>
      <c r="B21" s="4"/>
      <c r="C21" s="4" t="s">
        <v>24</v>
      </c>
      <c r="D21" s="4"/>
      <c r="E21" s="4" t="s">
        <v>25</v>
      </c>
      <c r="F21" s="4"/>
      <c r="G21" s="4" t="s">
        <v>26</v>
      </c>
      <c r="H21" s="4"/>
    </row>
    <row r="22" customFormat="false" ht="24" hidden="false" customHeight="true" outlineLevel="0" collapsed="false">
      <c r="A22" s="6" t="n">
        <f aca="false">COUNTIF(M_STATUS,"Ativa")</f>
        <v>0</v>
      </c>
      <c r="B22" s="6"/>
      <c r="C22" s="5" t="n">
        <f aca="false">SUMIFS(M_RESERV,M_STATUS,"Ativa")</f>
        <v>0</v>
      </c>
      <c r="D22" s="5"/>
      <c r="E22" s="5" t="n">
        <f aca="false">SUMIFS(M_FALTA,M_STATUS,"Ativa")</f>
        <v>0</v>
      </c>
      <c r="F22" s="5"/>
      <c r="G22" s="7" t="n">
        <f aca="false">IF(COUNTIF(M_STATUS,"Ativa")=0,0,SUMIFS(M_RESERV,M_STATUS,"Ativa")/SUMIFS(M_OBJ,M_STATUS,"Ativa"))</f>
        <v>0</v>
      </c>
      <c r="H22" s="7"/>
    </row>
    <row r="24" customFormat="false" ht="19.5" hidden="false" customHeight="true" outlineLevel="0" collapsed="false">
      <c r="A24" s="3" t="s">
        <v>27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4" t="s">
        <v>28</v>
      </c>
      <c r="B25" s="4"/>
      <c r="C25" s="4" t="s">
        <v>29</v>
      </c>
      <c r="D25" s="4"/>
      <c r="E25" s="4" t="s">
        <v>30</v>
      </c>
      <c r="F25" s="4"/>
      <c r="G25" s="4" t="s">
        <v>31</v>
      </c>
      <c r="H25" s="4"/>
    </row>
    <row r="26" customFormat="false" ht="24" hidden="false" customHeight="true" outlineLevel="0" collapsed="false">
      <c r="A26" s="6" t="n">
        <f aca="false">AL_TOTAL</f>
        <v>0</v>
      </c>
      <c r="B26" s="6"/>
      <c r="C26" s="6" t="n">
        <f aca="false">COUNTIF(L_Status,"REALIZADO")+COUNTIF(L_Status,"PROJETADO")</f>
        <v>0</v>
      </c>
      <c r="D26" s="6"/>
      <c r="E26" s="6" t="n">
        <f aca="false">SUMPRODUCT((LEFT(L_Valid,4)="ERRO")*1)</f>
        <v>0</v>
      </c>
      <c r="F26" s="6"/>
      <c r="G26" s="6" t="n">
        <f aca="false">TS_FALHAS</f>
        <v>0</v>
      </c>
      <c r="H26" s="6"/>
    </row>
    <row r="28" customFormat="false" ht="19.5" hidden="false" customHeight="true" outlineLevel="0" collapsed="false">
      <c r="A28" s="3" t="s">
        <v>32</v>
      </c>
      <c r="B28" s="3"/>
      <c r="C28" s="3"/>
      <c r="D28" s="3"/>
      <c r="E28" s="3"/>
      <c r="F28" s="3"/>
      <c r="G28" s="3"/>
      <c r="H28" s="3"/>
    </row>
    <row r="29" customFormat="false" ht="30" hidden="false" customHeight="true" outlineLevel="0" collapsed="false">
      <c r="A29" s="8" t="s">
        <v>33</v>
      </c>
      <c r="B29" s="8" t="s">
        <v>34</v>
      </c>
      <c r="C29" s="8" t="s">
        <v>35</v>
      </c>
      <c r="D29" s="8" t="s">
        <v>36</v>
      </c>
      <c r="E29" s="8" t="s">
        <v>37</v>
      </c>
    </row>
    <row r="30" customFormat="false" ht="15" hidden="false" customHeight="false" outlineLevel="0" collapsed="false">
      <c r="A30" s="9" t="str">
        <f aca="false">IF(CAD_Contas!$A5="","",CAD_Contas!$B5)</f>
        <v/>
      </c>
      <c r="B30" s="10" t="str">
        <f aca="false">IF(CAD_Contas!$A5="","",CAD_Contas!$J5)</f>
        <v/>
      </c>
      <c r="C30" s="10" t="str">
        <f aca="false">IF(CAD_Contas!$A5="","",CAD_Contas!$K5)</f>
        <v/>
      </c>
      <c r="D30" s="10" t="str">
        <f aca="false">IF(CAD_Contas!$A5="","",CAD_Contas!$L5)</f>
        <v/>
      </c>
      <c r="E30" s="10" t="str">
        <f aca="false">IF(CAD_Contas!$A5="","",CAD_Contas!$O5)</f>
        <v/>
      </c>
    </row>
    <row r="31" customFormat="false" ht="15" hidden="false" customHeight="false" outlineLevel="0" collapsed="false">
      <c r="A31" s="9" t="str">
        <f aca="false">IF(CAD_Contas!$A6="","",CAD_Contas!$B6)</f>
        <v/>
      </c>
      <c r="B31" s="10" t="str">
        <f aca="false">IF(CAD_Contas!$A6="","",CAD_Contas!$J6)</f>
        <v/>
      </c>
      <c r="C31" s="10" t="str">
        <f aca="false">IF(CAD_Contas!$A6="","",CAD_Contas!$K6)</f>
        <v/>
      </c>
      <c r="D31" s="10" t="str">
        <f aca="false">IF(CAD_Contas!$A6="","",CAD_Contas!$L6)</f>
        <v/>
      </c>
      <c r="E31" s="10" t="str">
        <f aca="false">IF(CAD_Contas!$A6="","",CAD_Contas!$O6)</f>
        <v/>
      </c>
    </row>
    <row r="32" customFormat="false" ht="15" hidden="false" customHeight="false" outlineLevel="0" collapsed="false">
      <c r="A32" s="9" t="str">
        <f aca="false">IF(CAD_Contas!$A7="","",CAD_Contas!$B7)</f>
        <v/>
      </c>
      <c r="B32" s="10" t="str">
        <f aca="false">IF(CAD_Contas!$A7="","",CAD_Contas!$J7)</f>
        <v/>
      </c>
      <c r="C32" s="10" t="str">
        <f aca="false">IF(CAD_Contas!$A7="","",CAD_Contas!$K7)</f>
        <v/>
      </c>
      <c r="D32" s="10" t="str">
        <f aca="false">IF(CAD_Contas!$A7="","",CAD_Contas!$L7)</f>
        <v/>
      </c>
      <c r="E32" s="10" t="str">
        <f aca="false">IF(CAD_Contas!$A7="","",CAD_Contas!$O7)</f>
        <v/>
      </c>
    </row>
    <row r="33" customFormat="false" ht="15" hidden="false" customHeight="false" outlineLevel="0" collapsed="false">
      <c r="A33" s="9" t="str">
        <f aca="false">IF(CAD_Contas!$A8="","",CAD_Contas!$B8)</f>
        <v/>
      </c>
      <c r="B33" s="10" t="str">
        <f aca="false">IF(CAD_Contas!$A8="","",CAD_Contas!$J8)</f>
        <v/>
      </c>
      <c r="C33" s="10" t="str">
        <f aca="false">IF(CAD_Contas!$A8="","",CAD_Contas!$K8)</f>
        <v/>
      </c>
      <c r="D33" s="10" t="str">
        <f aca="false">IF(CAD_Contas!$A8="","",CAD_Contas!$L8)</f>
        <v/>
      </c>
      <c r="E33" s="10" t="str">
        <f aca="false">IF(CAD_Contas!$A8="","",CAD_Contas!$O8)</f>
        <v/>
      </c>
    </row>
    <row r="34" customFormat="false" ht="15" hidden="false" customHeight="false" outlineLevel="0" collapsed="false">
      <c r="A34" s="9" t="str">
        <f aca="false">IF(CAD_Contas!$A9="","",CAD_Contas!$B9)</f>
        <v/>
      </c>
      <c r="B34" s="10" t="str">
        <f aca="false">IF(CAD_Contas!$A9="","",CAD_Contas!$J9)</f>
        <v/>
      </c>
      <c r="C34" s="10" t="str">
        <f aca="false">IF(CAD_Contas!$A9="","",CAD_Contas!$K9)</f>
        <v/>
      </c>
      <c r="D34" s="10" t="str">
        <f aca="false">IF(CAD_Contas!$A9="","",CAD_Contas!$L9)</f>
        <v/>
      </c>
      <c r="E34" s="10" t="str">
        <f aca="false">IF(CAD_Contas!$A9="","",CAD_Contas!$O9)</f>
        <v/>
      </c>
    </row>
    <row r="35" customFormat="false" ht="15" hidden="false" customHeight="false" outlineLevel="0" collapsed="false">
      <c r="A35" s="9" t="str">
        <f aca="false">IF(CAD_Contas!$A10="","",CAD_Contas!$B10)</f>
        <v/>
      </c>
      <c r="B35" s="10" t="str">
        <f aca="false">IF(CAD_Contas!$A10="","",CAD_Contas!$J10)</f>
        <v/>
      </c>
      <c r="C35" s="10" t="str">
        <f aca="false">IF(CAD_Contas!$A10="","",CAD_Contas!$K10)</f>
        <v/>
      </c>
      <c r="D35" s="10" t="str">
        <f aca="false">IF(CAD_Contas!$A10="","",CAD_Contas!$L10)</f>
        <v/>
      </c>
      <c r="E35" s="10" t="str">
        <f aca="false">IF(CAD_Contas!$A10="","",CAD_Contas!$O10)</f>
        <v/>
      </c>
    </row>
    <row r="36" customFormat="false" ht="15" hidden="false" customHeight="false" outlineLevel="0" collapsed="false">
      <c r="A36" s="9" t="str">
        <f aca="false">IF(CAD_Contas!$A11="","",CAD_Contas!$B11)</f>
        <v/>
      </c>
      <c r="B36" s="10" t="str">
        <f aca="false">IF(CAD_Contas!$A11="","",CAD_Contas!$J11)</f>
        <v/>
      </c>
      <c r="C36" s="10" t="str">
        <f aca="false">IF(CAD_Contas!$A11="","",CAD_Contas!$K11)</f>
        <v/>
      </c>
      <c r="D36" s="10" t="str">
        <f aca="false">IF(CAD_Contas!$A11="","",CAD_Contas!$L11)</f>
        <v/>
      </c>
      <c r="E36" s="10" t="str">
        <f aca="false">IF(CAD_Contas!$A11="","",CAD_Contas!$O11)</f>
        <v/>
      </c>
    </row>
    <row r="37" customFormat="false" ht="15" hidden="false" customHeight="false" outlineLevel="0" collapsed="false">
      <c r="A37" s="9" t="str">
        <f aca="false">IF(CAD_Contas!$A12="","",CAD_Contas!$B12)</f>
        <v/>
      </c>
      <c r="B37" s="10" t="str">
        <f aca="false">IF(CAD_Contas!$A12="","",CAD_Contas!$J12)</f>
        <v/>
      </c>
      <c r="C37" s="10" t="str">
        <f aca="false">IF(CAD_Contas!$A12="","",CAD_Contas!$K12)</f>
        <v/>
      </c>
      <c r="D37" s="10" t="str">
        <f aca="false">IF(CAD_Contas!$A12="","",CAD_Contas!$L12)</f>
        <v/>
      </c>
      <c r="E37" s="10" t="str">
        <f aca="false">IF(CAD_Contas!$A12="","",CAD_Contas!$O12)</f>
        <v/>
      </c>
    </row>
    <row r="38" customFormat="false" ht="15" hidden="false" customHeight="false" outlineLevel="0" collapsed="false">
      <c r="A38" s="9" t="str">
        <f aca="false">IF(CAD_Contas!$A13="","",CAD_Contas!$B13)</f>
        <v/>
      </c>
      <c r="B38" s="10" t="str">
        <f aca="false">IF(CAD_Contas!$A13="","",CAD_Contas!$J13)</f>
        <v/>
      </c>
      <c r="C38" s="10" t="str">
        <f aca="false">IF(CAD_Contas!$A13="","",CAD_Contas!$K13)</f>
        <v/>
      </c>
      <c r="D38" s="10" t="str">
        <f aca="false">IF(CAD_Contas!$A13="","",CAD_Contas!$L13)</f>
        <v/>
      </c>
      <c r="E38" s="10" t="str">
        <f aca="false">IF(CAD_Contas!$A13="","",CAD_Contas!$O13)</f>
        <v/>
      </c>
    </row>
    <row r="39" customFormat="false" ht="15" hidden="false" customHeight="false" outlineLevel="0" collapsed="false">
      <c r="A39" s="9" t="str">
        <f aca="false">IF(CAD_Contas!$A14="","",CAD_Contas!$B14)</f>
        <v/>
      </c>
      <c r="B39" s="10" t="str">
        <f aca="false">IF(CAD_Contas!$A14="","",CAD_Contas!$J14)</f>
        <v/>
      </c>
      <c r="C39" s="10" t="str">
        <f aca="false">IF(CAD_Contas!$A14="","",CAD_Contas!$K14)</f>
        <v/>
      </c>
      <c r="D39" s="10" t="str">
        <f aca="false">IF(CAD_Contas!$A14="","",CAD_Contas!$L14)</f>
        <v/>
      </c>
      <c r="E39" s="10" t="str">
        <f aca="false">IF(CAD_Contas!$A14="","",CAD_Contas!$O14)</f>
        <v/>
      </c>
    </row>
    <row r="40" customFormat="false" ht="15" hidden="false" customHeight="false" outlineLevel="0" collapsed="false">
      <c r="A40" s="9" t="str">
        <f aca="false">IF(CAD_Contas!$A15="","",CAD_Contas!$B15)</f>
        <v/>
      </c>
      <c r="B40" s="10" t="str">
        <f aca="false">IF(CAD_Contas!$A15="","",CAD_Contas!$J15)</f>
        <v/>
      </c>
      <c r="C40" s="10" t="str">
        <f aca="false">IF(CAD_Contas!$A15="","",CAD_Contas!$K15)</f>
        <v/>
      </c>
      <c r="D40" s="10" t="str">
        <f aca="false">IF(CAD_Contas!$A15="","",CAD_Contas!$L15)</f>
        <v/>
      </c>
      <c r="E40" s="10" t="str">
        <f aca="false">IF(CAD_Contas!$A15="","",CAD_Contas!$O15)</f>
        <v/>
      </c>
    </row>
    <row r="41" customFormat="false" ht="15" hidden="false" customHeight="false" outlineLevel="0" collapsed="false">
      <c r="A41" s="9" t="str">
        <f aca="false">IF(CAD_Contas!$A16="","",CAD_Contas!$B16)</f>
        <v/>
      </c>
      <c r="B41" s="10" t="str">
        <f aca="false">IF(CAD_Contas!$A16="","",CAD_Contas!$J16)</f>
        <v/>
      </c>
      <c r="C41" s="10" t="str">
        <f aca="false">IF(CAD_Contas!$A16="","",CAD_Contas!$K16)</f>
        <v/>
      </c>
      <c r="D41" s="10" t="str">
        <f aca="false">IF(CAD_Contas!$A16="","",CAD_Contas!$L16)</f>
        <v/>
      </c>
      <c r="E41" s="10" t="str">
        <f aca="false">IF(CAD_Contas!$A16="","",CAD_Contas!$O16)</f>
        <v/>
      </c>
    </row>
    <row r="42" customFormat="false" ht="15" hidden="false" customHeight="false" outlineLevel="0" collapsed="false">
      <c r="A42" s="9" t="str">
        <f aca="false">IF(CAD_Contas!$A17="","",CAD_Contas!$B17)</f>
        <v/>
      </c>
      <c r="B42" s="10" t="str">
        <f aca="false">IF(CAD_Contas!$A17="","",CAD_Contas!$J17)</f>
        <v/>
      </c>
      <c r="C42" s="10" t="str">
        <f aca="false">IF(CAD_Contas!$A17="","",CAD_Contas!$K17)</f>
        <v/>
      </c>
      <c r="D42" s="10" t="str">
        <f aca="false">IF(CAD_Contas!$A17="","",CAD_Contas!$L17)</f>
        <v/>
      </c>
      <c r="E42" s="10" t="str">
        <f aca="false">IF(CAD_Contas!$A17="","",CAD_Contas!$O17)</f>
        <v/>
      </c>
    </row>
    <row r="43" customFormat="false" ht="15" hidden="false" customHeight="false" outlineLevel="0" collapsed="false">
      <c r="A43" s="9" t="str">
        <f aca="false">IF(CAD_Contas!$A18="","",CAD_Contas!$B18)</f>
        <v/>
      </c>
      <c r="B43" s="10" t="str">
        <f aca="false">IF(CAD_Contas!$A18="","",CAD_Contas!$J18)</f>
        <v/>
      </c>
      <c r="C43" s="10" t="str">
        <f aca="false">IF(CAD_Contas!$A18="","",CAD_Contas!$K18)</f>
        <v/>
      </c>
      <c r="D43" s="10" t="str">
        <f aca="false">IF(CAD_Contas!$A18="","",CAD_Contas!$L18)</f>
        <v/>
      </c>
      <c r="E43" s="10" t="str">
        <f aca="false">IF(CAD_Contas!$A18="","",CAD_Contas!$O18)</f>
        <v/>
      </c>
    </row>
    <row r="44" customFormat="false" ht="15" hidden="false" customHeight="false" outlineLevel="0" collapsed="false">
      <c r="A44" s="9" t="str">
        <f aca="false">IF(CAD_Contas!$A19="","",CAD_Contas!$B19)</f>
        <v/>
      </c>
      <c r="B44" s="10" t="str">
        <f aca="false">IF(CAD_Contas!$A19="","",CAD_Contas!$J19)</f>
        <v/>
      </c>
      <c r="C44" s="10" t="str">
        <f aca="false">IF(CAD_Contas!$A19="","",CAD_Contas!$K19)</f>
        <v/>
      </c>
      <c r="D44" s="10" t="str">
        <f aca="false">IF(CAD_Contas!$A19="","",CAD_Contas!$L19)</f>
        <v/>
      </c>
      <c r="E44" s="10" t="str">
        <f aca="false">IF(CAD_Contas!$A19="","",CAD_Contas!$O19)</f>
        <v/>
      </c>
    </row>
    <row r="45" customFormat="false" ht="15" hidden="false" customHeight="false" outlineLevel="0" collapsed="false">
      <c r="A45" s="9" t="str">
        <f aca="false">IF(CAD_Contas!$A20="","",CAD_Contas!$B20)</f>
        <v/>
      </c>
      <c r="B45" s="10" t="str">
        <f aca="false">IF(CAD_Contas!$A20="","",CAD_Contas!$J20)</f>
        <v/>
      </c>
      <c r="C45" s="10" t="str">
        <f aca="false">IF(CAD_Contas!$A20="","",CAD_Contas!$K20)</f>
        <v/>
      </c>
      <c r="D45" s="10" t="str">
        <f aca="false">IF(CAD_Contas!$A20="","",CAD_Contas!$L20)</f>
        <v/>
      </c>
      <c r="E45" s="10" t="str">
        <f aca="false">IF(CAD_Contas!$A20="","",CAD_Contas!$O20)</f>
        <v/>
      </c>
    </row>
    <row r="46" customFormat="false" ht="15" hidden="false" customHeight="false" outlineLevel="0" collapsed="false">
      <c r="A46" s="9" t="str">
        <f aca="false">IF(CAD_Contas!$A21="","",CAD_Contas!$B21)</f>
        <v/>
      </c>
      <c r="B46" s="10" t="str">
        <f aca="false">IF(CAD_Contas!$A21="","",CAD_Contas!$J21)</f>
        <v/>
      </c>
      <c r="C46" s="10" t="str">
        <f aca="false">IF(CAD_Contas!$A21="","",CAD_Contas!$K21)</f>
        <v/>
      </c>
      <c r="D46" s="10" t="str">
        <f aca="false">IF(CAD_Contas!$A21="","",CAD_Contas!$L21)</f>
        <v/>
      </c>
      <c r="E46" s="10" t="str">
        <f aca="false">IF(CAD_Contas!$A21="","",CAD_Contas!$O21)</f>
        <v/>
      </c>
    </row>
    <row r="47" customFormat="false" ht="15" hidden="false" customHeight="false" outlineLevel="0" collapsed="false">
      <c r="A47" s="9" t="str">
        <f aca="false">IF(CAD_Contas!$A22="","",CAD_Contas!$B22)</f>
        <v/>
      </c>
      <c r="B47" s="10" t="str">
        <f aca="false">IF(CAD_Contas!$A22="","",CAD_Contas!$J22)</f>
        <v/>
      </c>
      <c r="C47" s="10" t="str">
        <f aca="false">IF(CAD_Contas!$A22="","",CAD_Contas!$K22)</f>
        <v/>
      </c>
      <c r="D47" s="10" t="str">
        <f aca="false">IF(CAD_Contas!$A22="","",CAD_Contas!$L22)</f>
        <v/>
      </c>
      <c r="E47" s="10" t="str">
        <f aca="false">IF(CAD_Contas!$A22="","",CAD_Contas!$O22)</f>
        <v/>
      </c>
    </row>
    <row r="48" customFormat="false" ht="15" hidden="false" customHeight="false" outlineLevel="0" collapsed="false">
      <c r="A48" s="9" t="str">
        <f aca="false">IF(CAD_Contas!$A23="","",CAD_Contas!$B23)</f>
        <v/>
      </c>
      <c r="B48" s="10" t="str">
        <f aca="false">IF(CAD_Contas!$A23="","",CAD_Contas!$J23)</f>
        <v/>
      </c>
      <c r="C48" s="10" t="str">
        <f aca="false">IF(CAD_Contas!$A23="","",CAD_Contas!$K23)</f>
        <v/>
      </c>
      <c r="D48" s="10" t="str">
        <f aca="false">IF(CAD_Contas!$A23="","",CAD_Contas!$L23)</f>
        <v/>
      </c>
      <c r="E48" s="10" t="str">
        <f aca="false">IF(CAD_Contas!$A23="","",CAD_Contas!$O23)</f>
        <v/>
      </c>
    </row>
    <row r="49" customFormat="false" ht="15" hidden="false" customHeight="false" outlineLevel="0" collapsed="false">
      <c r="A49" s="9" t="str">
        <f aca="false">IF(CAD_Contas!$A24="","",CAD_Contas!$B24)</f>
        <v/>
      </c>
      <c r="B49" s="10" t="str">
        <f aca="false">IF(CAD_Contas!$A24="","",CAD_Contas!$J24)</f>
        <v/>
      </c>
      <c r="C49" s="10" t="str">
        <f aca="false">IF(CAD_Contas!$A24="","",CAD_Contas!$K24)</f>
        <v/>
      </c>
      <c r="D49" s="10" t="str">
        <f aca="false">IF(CAD_Contas!$A24="","",CAD_Contas!$L24)</f>
        <v/>
      </c>
      <c r="E49" s="10" t="str">
        <f aca="false">IF(CAD_Contas!$A24="","",CAD_Contas!$O24)</f>
        <v/>
      </c>
    </row>
    <row r="50" customFormat="false" ht="15" hidden="false" customHeight="false" outlineLevel="0" collapsed="false">
      <c r="A50" s="9" t="str">
        <f aca="false">IF(CAD_Contas!$A25="","",CAD_Contas!$B25)</f>
        <v/>
      </c>
      <c r="B50" s="10" t="str">
        <f aca="false">IF(CAD_Contas!$A25="","",CAD_Contas!$J25)</f>
        <v/>
      </c>
      <c r="C50" s="10" t="str">
        <f aca="false">IF(CAD_Contas!$A25="","",CAD_Contas!$K25)</f>
        <v/>
      </c>
      <c r="D50" s="10" t="str">
        <f aca="false">IF(CAD_Contas!$A25="","",CAD_Contas!$L25)</f>
        <v/>
      </c>
      <c r="E50" s="10" t="str">
        <f aca="false">IF(CAD_Contas!$A25="","",CAD_Contas!$O25)</f>
        <v/>
      </c>
    </row>
    <row r="51" customFormat="false" ht="15" hidden="false" customHeight="false" outlineLevel="0" collapsed="false">
      <c r="A51" s="9" t="str">
        <f aca="false">IF(CAD_Contas!$A26="","",CAD_Contas!$B26)</f>
        <v/>
      </c>
      <c r="B51" s="10" t="str">
        <f aca="false">IF(CAD_Contas!$A26="","",CAD_Contas!$J26)</f>
        <v/>
      </c>
      <c r="C51" s="10" t="str">
        <f aca="false">IF(CAD_Contas!$A26="","",CAD_Contas!$K26)</f>
        <v/>
      </c>
      <c r="D51" s="10" t="str">
        <f aca="false">IF(CAD_Contas!$A26="","",CAD_Contas!$L26)</f>
        <v/>
      </c>
      <c r="E51" s="10" t="str">
        <f aca="false">IF(CAD_Contas!$A26="","",CAD_Contas!$O26)</f>
        <v/>
      </c>
    </row>
    <row r="52" customFormat="false" ht="15" hidden="false" customHeight="false" outlineLevel="0" collapsed="false">
      <c r="A52" s="9" t="str">
        <f aca="false">IF(CAD_Contas!$A27="","",CAD_Contas!$B27)</f>
        <v/>
      </c>
      <c r="B52" s="10" t="str">
        <f aca="false">IF(CAD_Contas!$A27="","",CAD_Contas!$J27)</f>
        <v/>
      </c>
      <c r="C52" s="10" t="str">
        <f aca="false">IF(CAD_Contas!$A27="","",CAD_Contas!$K27)</f>
        <v/>
      </c>
      <c r="D52" s="10" t="str">
        <f aca="false">IF(CAD_Contas!$A27="","",CAD_Contas!$L27)</f>
        <v/>
      </c>
      <c r="E52" s="10" t="str">
        <f aca="false">IF(CAD_Contas!$A27="","",CAD_Contas!$O27)</f>
        <v/>
      </c>
    </row>
    <row r="53" customFormat="false" ht="15" hidden="false" customHeight="false" outlineLevel="0" collapsed="false">
      <c r="A53" s="9" t="str">
        <f aca="false">IF(CAD_Contas!$A28="","",CAD_Contas!$B28)</f>
        <v/>
      </c>
      <c r="B53" s="10" t="str">
        <f aca="false">IF(CAD_Contas!$A28="","",CAD_Contas!$J28)</f>
        <v/>
      </c>
      <c r="C53" s="10" t="str">
        <f aca="false">IF(CAD_Contas!$A28="","",CAD_Contas!$K28)</f>
        <v/>
      </c>
      <c r="D53" s="10" t="str">
        <f aca="false">IF(CAD_Contas!$A28="","",CAD_Contas!$L28)</f>
        <v/>
      </c>
      <c r="E53" s="10" t="str">
        <f aca="false">IF(CAD_Contas!$A28="","",CAD_Contas!$O28)</f>
        <v/>
      </c>
    </row>
    <row r="54" customFormat="false" ht="15" hidden="false" customHeight="false" outlineLevel="0" collapsed="false">
      <c r="A54" s="9" t="str">
        <f aca="false">IF(CAD_Contas!$A29="","",CAD_Contas!$B29)</f>
        <v/>
      </c>
      <c r="B54" s="10" t="str">
        <f aca="false">IF(CAD_Contas!$A29="","",CAD_Contas!$J29)</f>
        <v/>
      </c>
      <c r="C54" s="10" t="str">
        <f aca="false">IF(CAD_Contas!$A29="","",CAD_Contas!$K29)</f>
        <v/>
      </c>
      <c r="D54" s="10" t="str">
        <f aca="false">IF(CAD_Contas!$A29="","",CAD_Contas!$L29)</f>
        <v/>
      </c>
      <c r="E54" s="10" t="str">
        <f aca="false">IF(CAD_Contas!$A29="","",CAD_Contas!$O29)</f>
        <v/>
      </c>
    </row>
    <row r="55" customFormat="false" ht="15" hidden="false" customHeight="false" outlineLevel="0" collapsed="false">
      <c r="A55" s="9" t="str">
        <f aca="false">IF(CAD_Contas!$A30="","",CAD_Contas!$B30)</f>
        <v/>
      </c>
      <c r="B55" s="10" t="str">
        <f aca="false">IF(CAD_Contas!$A30="","",CAD_Contas!$J30)</f>
        <v/>
      </c>
      <c r="C55" s="10" t="str">
        <f aca="false">IF(CAD_Contas!$A30="","",CAD_Contas!$K30)</f>
        <v/>
      </c>
      <c r="D55" s="10" t="str">
        <f aca="false">IF(CAD_Contas!$A30="","",CAD_Contas!$L30)</f>
        <v/>
      </c>
      <c r="E55" s="10" t="str">
        <f aca="false">IF(CAD_Contas!$A30="","",CAD_Contas!$O30)</f>
        <v/>
      </c>
    </row>
    <row r="56" customFormat="false" ht="15" hidden="false" customHeight="false" outlineLevel="0" collapsed="false">
      <c r="A56" s="9" t="str">
        <f aca="false">IF(CAD_Contas!$A31="","",CAD_Contas!$B31)</f>
        <v/>
      </c>
      <c r="B56" s="10" t="str">
        <f aca="false">IF(CAD_Contas!$A31="","",CAD_Contas!$J31)</f>
        <v/>
      </c>
      <c r="C56" s="10" t="str">
        <f aca="false">IF(CAD_Contas!$A31="","",CAD_Contas!$K31)</f>
        <v/>
      </c>
      <c r="D56" s="10" t="str">
        <f aca="false">IF(CAD_Contas!$A31="","",CAD_Contas!$L31)</f>
        <v/>
      </c>
      <c r="E56" s="10" t="str">
        <f aca="false">IF(CAD_Contas!$A31="","",CAD_Contas!$O31)</f>
        <v/>
      </c>
    </row>
    <row r="57" customFormat="false" ht="15" hidden="false" customHeight="false" outlineLevel="0" collapsed="false">
      <c r="A57" s="9" t="str">
        <f aca="false">IF(CAD_Contas!$A32="","",CAD_Contas!$B32)</f>
        <v/>
      </c>
      <c r="B57" s="10" t="str">
        <f aca="false">IF(CAD_Contas!$A32="","",CAD_Contas!$J32)</f>
        <v/>
      </c>
      <c r="C57" s="10" t="str">
        <f aca="false">IF(CAD_Contas!$A32="","",CAD_Contas!$K32)</f>
        <v/>
      </c>
      <c r="D57" s="10" t="str">
        <f aca="false">IF(CAD_Contas!$A32="","",CAD_Contas!$L32)</f>
        <v/>
      </c>
      <c r="E57" s="10" t="str">
        <f aca="false">IF(CAD_Contas!$A32="","",CAD_Contas!$O32)</f>
        <v/>
      </c>
    </row>
    <row r="58" customFormat="false" ht="15" hidden="false" customHeight="false" outlineLevel="0" collapsed="false">
      <c r="A58" s="9" t="str">
        <f aca="false">IF(CAD_Contas!$A33="","",CAD_Contas!$B33)</f>
        <v/>
      </c>
      <c r="B58" s="10" t="str">
        <f aca="false">IF(CAD_Contas!$A33="","",CAD_Contas!$J33)</f>
        <v/>
      </c>
      <c r="C58" s="10" t="str">
        <f aca="false">IF(CAD_Contas!$A33="","",CAD_Contas!$K33)</f>
        <v/>
      </c>
      <c r="D58" s="10" t="str">
        <f aca="false">IF(CAD_Contas!$A33="","",CAD_Contas!$L33)</f>
        <v/>
      </c>
      <c r="E58" s="10" t="str">
        <f aca="false">IF(CAD_Contas!$A33="","",CAD_Contas!$O33)</f>
        <v/>
      </c>
    </row>
    <row r="59" customFormat="false" ht="15" hidden="false" customHeight="false" outlineLevel="0" collapsed="false">
      <c r="A59" s="9" t="str">
        <f aca="false">IF(CAD_Contas!$A34="","",CAD_Contas!$B34)</f>
        <v/>
      </c>
      <c r="B59" s="10" t="str">
        <f aca="false">IF(CAD_Contas!$A34="","",CAD_Contas!$J34)</f>
        <v/>
      </c>
      <c r="C59" s="10" t="str">
        <f aca="false">IF(CAD_Contas!$A34="","",CAD_Contas!$K34)</f>
        <v/>
      </c>
      <c r="D59" s="10" t="str">
        <f aca="false">IF(CAD_Contas!$A34="","",CAD_Contas!$L34)</f>
        <v/>
      </c>
      <c r="E59" s="10" t="str">
        <f aca="false">IF(CAD_Contas!$A34="","",CAD_Contas!$O34)</f>
        <v/>
      </c>
    </row>
    <row r="60" customFormat="false" ht="15" hidden="false" customHeight="false" outlineLevel="0" collapsed="false">
      <c r="A60" s="9" t="str">
        <f aca="false">IF(CAD_Contas!$A35="","",CAD_Contas!$B35)</f>
        <v/>
      </c>
      <c r="B60" s="10" t="str">
        <f aca="false">IF(CAD_Contas!$A35="","",CAD_Contas!$J35)</f>
        <v/>
      </c>
      <c r="C60" s="10" t="str">
        <f aca="false">IF(CAD_Contas!$A35="","",CAD_Contas!$K35)</f>
        <v/>
      </c>
      <c r="D60" s="10" t="str">
        <f aca="false">IF(CAD_Contas!$A35="","",CAD_Contas!$L35)</f>
        <v/>
      </c>
      <c r="E60" s="10" t="str">
        <f aca="false">IF(CAD_Contas!$A35="","",CAD_Contas!$O35)</f>
        <v/>
      </c>
    </row>
    <row r="61" customFormat="false" ht="15" hidden="false" customHeight="false" outlineLevel="0" collapsed="false">
      <c r="A61" s="9" t="str">
        <f aca="false">IF(CAD_Contas!$A36="","",CAD_Contas!$B36)</f>
        <v/>
      </c>
      <c r="B61" s="10" t="str">
        <f aca="false">IF(CAD_Contas!$A36="","",CAD_Contas!$J36)</f>
        <v/>
      </c>
      <c r="C61" s="10" t="str">
        <f aca="false">IF(CAD_Contas!$A36="","",CAD_Contas!$K36)</f>
        <v/>
      </c>
      <c r="D61" s="10" t="str">
        <f aca="false">IF(CAD_Contas!$A36="","",CAD_Contas!$L36)</f>
        <v/>
      </c>
      <c r="E61" s="10" t="str">
        <f aca="false">IF(CAD_Contas!$A36="","",CAD_Contas!$O36)</f>
        <v/>
      </c>
    </row>
    <row r="62" customFormat="false" ht="15" hidden="false" customHeight="false" outlineLevel="0" collapsed="false">
      <c r="A62" s="9" t="str">
        <f aca="false">IF(CAD_Contas!$A37="","",CAD_Contas!$B37)</f>
        <v/>
      </c>
      <c r="B62" s="10" t="str">
        <f aca="false">IF(CAD_Contas!$A37="","",CAD_Contas!$J37)</f>
        <v/>
      </c>
      <c r="C62" s="10" t="str">
        <f aca="false">IF(CAD_Contas!$A37="","",CAD_Contas!$K37)</f>
        <v/>
      </c>
      <c r="D62" s="10" t="str">
        <f aca="false">IF(CAD_Contas!$A37="","",CAD_Contas!$L37)</f>
        <v/>
      </c>
      <c r="E62" s="10" t="str">
        <f aca="false">IF(CAD_Contas!$A37="","",CAD_Contas!$O37)</f>
        <v/>
      </c>
    </row>
    <row r="63" customFormat="false" ht="15" hidden="false" customHeight="false" outlineLevel="0" collapsed="false">
      <c r="A63" s="9" t="str">
        <f aca="false">IF(CAD_Contas!$A38="","",CAD_Contas!$B38)</f>
        <v/>
      </c>
      <c r="B63" s="10" t="str">
        <f aca="false">IF(CAD_Contas!$A38="","",CAD_Contas!$J38)</f>
        <v/>
      </c>
      <c r="C63" s="10" t="str">
        <f aca="false">IF(CAD_Contas!$A38="","",CAD_Contas!$K38)</f>
        <v/>
      </c>
      <c r="D63" s="10" t="str">
        <f aca="false">IF(CAD_Contas!$A38="","",CAD_Contas!$L38)</f>
        <v/>
      </c>
      <c r="E63" s="10" t="str">
        <f aca="false">IF(CAD_Contas!$A38="","",CAD_Contas!$O38)</f>
        <v/>
      </c>
    </row>
    <row r="64" customFormat="false" ht="15" hidden="false" customHeight="false" outlineLevel="0" collapsed="false">
      <c r="A64" s="9" t="str">
        <f aca="false">IF(CAD_Contas!$A39="","",CAD_Contas!$B39)</f>
        <v/>
      </c>
      <c r="B64" s="10" t="str">
        <f aca="false">IF(CAD_Contas!$A39="","",CAD_Contas!$J39)</f>
        <v/>
      </c>
      <c r="C64" s="10" t="str">
        <f aca="false">IF(CAD_Contas!$A39="","",CAD_Contas!$K39)</f>
        <v/>
      </c>
      <c r="D64" s="10" t="str">
        <f aca="false">IF(CAD_Contas!$A39="","",CAD_Contas!$L39)</f>
        <v/>
      </c>
      <c r="E64" s="10" t="str">
        <f aca="false">IF(CAD_Contas!$A39="","",CAD_Contas!$O39)</f>
        <v/>
      </c>
    </row>
    <row r="65" customFormat="false" ht="15" hidden="false" customHeight="false" outlineLevel="0" collapsed="false">
      <c r="A65" s="9" t="str">
        <f aca="false">IF(CAD_Contas!$A40="","",CAD_Contas!$B40)</f>
        <v/>
      </c>
      <c r="B65" s="10" t="str">
        <f aca="false">IF(CAD_Contas!$A40="","",CAD_Contas!$J40)</f>
        <v/>
      </c>
      <c r="C65" s="10" t="str">
        <f aca="false">IF(CAD_Contas!$A40="","",CAD_Contas!$K40)</f>
        <v/>
      </c>
      <c r="D65" s="10" t="str">
        <f aca="false">IF(CAD_Contas!$A40="","",CAD_Contas!$L40)</f>
        <v/>
      </c>
      <c r="E65" s="10" t="str">
        <f aca="false">IF(CAD_Contas!$A40="","",CAD_Contas!$O40)</f>
        <v/>
      </c>
    </row>
    <row r="66" customFormat="false" ht="15" hidden="false" customHeight="false" outlineLevel="0" collapsed="false">
      <c r="A66" s="9" t="str">
        <f aca="false">IF(CAD_Contas!$A41="","",CAD_Contas!$B41)</f>
        <v/>
      </c>
      <c r="B66" s="10" t="str">
        <f aca="false">IF(CAD_Contas!$A41="","",CAD_Contas!$J41)</f>
        <v/>
      </c>
      <c r="C66" s="10" t="str">
        <f aca="false">IF(CAD_Contas!$A41="","",CAD_Contas!$K41)</f>
        <v/>
      </c>
      <c r="D66" s="10" t="str">
        <f aca="false">IF(CAD_Contas!$A41="","",CAD_Contas!$L41)</f>
        <v/>
      </c>
      <c r="E66" s="10" t="str">
        <f aca="false">IF(CAD_Contas!$A41="","",CAD_Contas!$O41)</f>
        <v/>
      </c>
    </row>
    <row r="67" customFormat="false" ht="15" hidden="false" customHeight="false" outlineLevel="0" collapsed="false">
      <c r="A67" s="9" t="str">
        <f aca="false">IF(CAD_Contas!$A42="","",CAD_Contas!$B42)</f>
        <v/>
      </c>
      <c r="B67" s="10" t="str">
        <f aca="false">IF(CAD_Contas!$A42="","",CAD_Contas!$J42)</f>
        <v/>
      </c>
      <c r="C67" s="10" t="str">
        <f aca="false">IF(CAD_Contas!$A42="","",CAD_Contas!$K42)</f>
        <v/>
      </c>
      <c r="D67" s="10" t="str">
        <f aca="false">IF(CAD_Contas!$A42="","",CAD_Contas!$L42)</f>
        <v/>
      </c>
      <c r="E67" s="10" t="str">
        <f aca="false">IF(CAD_Contas!$A42="","",CAD_Contas!$O42)</f>
        <v/>
      </c>
    </row>
    <row r="68" customFormat="false" ht="15" hidden="false" customHeight="false" outlineLevel="0" collapsed="false">
      <c r="A68" s="9" t="str">
        <f aca="false">IF(CAD_Contas!$A43="","",CAD_Contas!$B43)</f>
        <v/>
      </c>
      <c r="B68" s="10" t="str">
        <f aca="false">IF(CAD_Contas!$A43="","",CAD_Contas!$J43)</f>
        <v/>
      </c>
      <c r="C68" s="10" t="str">
        <f aca="false">IF(CAD_Contas!$A43="","",CAD_Contas!$K43)</f>
        <v/>
      </c>
      <c r="D68" s="10" t="str">
        <f aca="false">IF(CAD_Contas!$A43="","",CAD_Contas!$L43)</f>
        <v/>
      </c>
      <c r="E68" s="10" t="str">
        <f aca="false">IF(CAD_Contas!$A43="","",CAD_Contas!$O43)</f>
        <v/>
      </c>
    </row>
    <row r="69" customFormat="false" ht="15" hidden="false" customHeight="false" outlineLevel="0" collapsed="false">
      <c r="A69" s="9" t="str">
        <f aca="false">IF(CAD_Contas!$A44="","",CAD_Contas!$B44)</f>
        <v/>
      </c>
      <c r="B69" s="10" t="str">
        <f aca="false">IF(CAD_Contas!$A44="","",CAD_Contas!$J44)</f>
        <v/>
      </c>
      <c r="C69" s="10" t="str">
        <f aca="false">IF(CAD_Contas!$A44="","",CAD_Contas!$K44)</f>
        <v/>
      </c>
      <c r="D69" s="10" t="str">
        <f aca="false">IF(CAD_Contas!$A44="","",CAD_Contas!$L44)</f>
        <v/>
      </c>
      <c r="E69" s="10" t="str">
        <f aca="false">IF(CAD_Contas!$A44="","",CAD_Contas!$O44)</f>
        <v/>
      </c>
    </row>
    <row r="71" customFormat="false" ht="19.5" hidden="false" customHeight="true" outlineLevel="0" collapsed="false">
      <c r="A71" s="3" t="s">
        <v>38</v>
      </c>
      <c r="B71" s="3"/>
      <c r="C71" s="3"/>
      <c r="D71" s="3"/>
      <c r="E71" s="3"/>
      <c r="F71" s="3"/>
      <c r="G71" s="3"/>
      <c r="H71" s="3"/>
    </row>
    <row r="72" customFormat="false" ht="30" hidden="false" customHeight="true" outlineLevel="0" collapsed="false">
      <c r="A72" s="8" t="s">
        <v>39</v>
      </c>
      <c r="B72" s="8" t="s">
        <v>40</v>
      </c>
      <c r="C72" s="8" t="s">
        <v>41</v>
      </c>
      <c r="D72" s="8" t="s">
        <v>42</v>
      </c>
      <c r="E72" s="8" t="s">
        <v>43</v>
      </c>
      <c r="F72" s="8" t="s">
        <v>44</v>
      </c>
    </row>
    <row r="73" customFormat="false" ht="15" hidden="false" customHeight="false" outlineLevel="0" collapsed="false">
      <c r="A73" s="9" t="str">
        <f aca="false">IF(CAD_Metas!$A5="","",CAD_Metas!$B5)</f>
        <v/>
      </c>
      <c r="B73" s="10" t="str">
        <f aca="false">IF(CAD_Metas!$A5="","",CAD_Metas!$C5)</f>
        <v/>
      </c>
      <c r="C73" s="10" t="str">
        <f aca="false">IF(CAD_Metas!$A5="","",CAD_Metas!$H5)</f>
        <v/>
      </c>
      <c r="D73" s="10" t="str">
        <f aca="false">IF(CAD_Metas!$A5="","",CAD_Metas!$J5)</f>
        <v/>
      </c>
      <c r="E73" s="11" t="str">
        <f aca="false">IF(CAD_Metas!$A5="","",CAD_Metas!$I5)</f>
        <v/>
      </c>
      <c r="F73" s="9" t="str">
        <f aca="false">IF(CAD_Metas!$A5="","",CAD_Metas!$O5)</f>
        <v/>
      </c>
    </row>
    <row r="74" customFormat="false" ht="15" hidden="false" customHeight="false" outlineLevel="0" collapsed="false">
      <c r="A74" s="9" t="str">
        <f aca="false">IF(CAD_Metas!$A6="","",CAD_Metas!$B6)</f>
        <v/>
      </c>
      <c r="B74" s="10" t="str">
        <f aca="false">IF(CAD_Metas!$A6="","",CAD_Metas!$C6)</f>
        <v/>
      </c>
      <c r="C74" s="10" t="str">
        <f aca="false">IF(CAD_Metas!$A6="","",CAD_Metas!$H6)</f>
        <v/>
      </c>
      <c r="D74" s="10" t="str">
        <f aca="false">IF(CAD_Metas!$A6="","",CAD_Metas!$J6)</f>
        <v/>
      </c>
      <c r="E74" s="11" t="str">
        <f aca="false">IF(CAD_Metas!$A6="","",CAD_Metas!$I6)</f>
        <v/>
      </c>
      <c r="F74" s="9" t="str">
        <f aca="false">IF(CAD_Metas!$A6="","",CAD_Metas!$O6)</f>
        <v/>
      </c>
    </row>
    <row r="75" customFormat="false" ht="15" hidden="false" customHeight="false" outlineLevel="0" collapsed="false">
      <c r="A75" s="9" t="str">
        <f aca="false">IF(CAD_Metas!$A7="","",CAD_Metas!$B7)</f>
        <v/>
      </c>
      <c r="B75" s="10" t="str">
        <f aca="false">IF(CAD_Metas!$A7="","",CAD_Metas!$C7)</f>
        <v/>
      </c>
      <c r="C75" s="10" t="str">
        <f aca="false">IF(CAD_Metas!$A7="","",CAD_Metas!$H7)</f>
        <v/>
      </c>
      <c r="D75" s="10" t="str">
        <f aca="false">IF(CAD_Metas!$A7="","",CAD_Metas!$J7)</f>
        <v/>
      </c>
      <c r="E75" s="11" t="str">
        <f aca="false">IF(CAD_Metas!$A7="","",CAD_Metas!$I7)</f>
        <v/>
      </c>
      <c r="F75" s="9" t="str">
        <f aca="false">IF(CAD_Metas!$A7="","",CAD_Metas!$O7)</f>
        <v/>
      </c>
    </row>
    <row r="76" customFormat="false" ht="15" hidden="false" customHeight="false" outlineLevel="0" collapsed="false">
      <c r="A76" s="9" t="str">
        <f aca="false">IF(CAD_Metas!$A8="","",CAD_Metas!$B8)</f>
        <v/>
      </c>
      <c r="B76" s="10" t="str">
        <f aca="false">IF(CAD_Metas!$A8="","",CAD_Metas!$C8)</f>
        <v/>
      </c>
      <c r="C76" s="10" t="str">
        <f aca="false">IF(CAD_Metas!$A8="","",CAD_Metas!$H8)</f>
        <v/>
      </c>
      <c r="D76" s="10" t="str">
        <f aca="false">IF(CAD_Metas!$A8="","",CAD_Metas!$J8)</f>
        <v/>
      </c>
      <c r="E76" s="11" t="str">
        <f aca="false">IF(CAD_Metas!$A8="","",CAD_Metas!$I8)</f>
        <v/>
      </c>
      <c r="F76" s="9" t="str">
        <f aca="false">IF(CAD_Metas!$A8="","",CAD_Metas!$O8)</f>
        <v/>
      </c>
    </row>
    <row r="77" customFormat="false" ht="15" hidden="false" customHeight="false" outlineLevel="0" collapsed="false">
      <c r="A77" s="9" t="str">
        <f aca="false">IF(CAD_Metas!$A9="","",CAD_Metas!$B9)</f>
        <v/>
      </c>
      <c r="B77" s="10" t="str">
        <f aca="false">IF(CAD_Metas!$A9="","",CAD_Metas!$C9)</f>
        <v/>
      </c>
      <c r="C77" s="10" t="str">
        <f aca="false">IF(CAD_Metas!$A9="","",CAD_Metas!$H9)</f>
        <v/>
      </c>
      <c r="D77" s="10" t="str">
        <f aca="false">IF(CAD_Metas!$A9="","",CAD_Metas!$J9)</f>
        <v/>
      </c>
      <c r="E77" s="11" t="str">
        <f aca="false">IF(CAD_Metas!$A9="","",CAD_Metas!$I9)</f>
        <v/>
      </c>
      <c r="F77" s="9" t="str">
        <f aca="false">IF(CAD_Metas!$A9="","",CAD_Metas!$O9)</f>
        <v/>
      </c>
    </row>
    <row r="78" customFormat="false" ht="15" hidden="false" customHeight="false" outlineLevel="0" collapsed="false">
      <c r="A78" s="9" t="str">
        <f aca="false">IF(CAD_Metas!$A10="","",CAD_Metas!$B10)</f>
        <v/>
      </c>
      <c r="B78" s="10" t="str">
        <f aca="false">IF(CAD_Metas!$A10="","",CAD_Metas!$C10)</f>
        <v/>
      </c>
      <c r="C78" s="10" t="str">
        <f aca="false">IF(CAD_Metas!$A10="","",CAD_Metas!$H10)</f>
        <v/>
      </c>
      <c r="D78" s="10" t="str">
        <f aca="false">IF(CAD_Metas!$A10="","",CAD_Metas!$J10)</f>
        <v/>
      </c>
      <c r="E78" s="11" t="str">
        <f aca="false">IF(CAD_Metas!$A10="","",CAD_Metas!$I10)</f>
        <v/>
      </c>
      <c r="F78" s="9" t="str">
        <f aca="false">IF(CAD_Metas!$A10="","",CAD_Metas!$O10)</f>
        <v/>
      </c>
    </row>
    <row r="79" customFormat="false" ht="15" hidden="false" customHeight="false" outlineLevel="0" collapsed="false">
      <c r="A79" s="9" t="str">
        <f aca="false">IF(CAD_Metas!$A11="","",CAD_Metas!$B11)</f>
        <v/>
      </c>
      <c r="B79" s="10" t="str">
        <f aca="false">IF(CAD_Metas!$A11="","",CAD_Metas!$C11)</f>
        <v/>
      </c>
      <c r="C79" s="10" t="str">
        <f aca="false">IF(CAD_Metas!$A11="","",CAD_Metas!$H11)</f>
        <v/>
      </c>
      <c r="D79" s="10" t="str">
        <f aca="false">IF(CAD_Metas!$A11="","",CAD_Metas!$J11)</f>
        <v/>
      </c>
      <c r="E79" s="11" t="str">
        <f aca="false">IF(CAD_Metas!$A11="","",CAD_Metas!$I11)</f>
        <v/>
      </c>
      <c r="F79" s="9" t="str">
        <f aca="false">IF(CAD_Metas!$A11="","",CAD_Metas!$O11)</f>
        <v/>
      </c>
    </row>
    <row r="80" customFormat="false" ht="15" hidden="false" customHeight="false" outlineLevel="0" collapsed="false">
      <c r="A80" s="9" t="str">
        <f aca="false">IF(CAD_Metas!$A12="","",CAD_Metas!$B12)</f>
        <v/>
      </c>
      <c r="B80" s="10" t="str">
        <f aca="false">IF(CAD_Metas!$A12="","",CAD_Metas!$C12)</f>
        <v/>
      </c>
      <c r="C80" s="10" t="str">
        <f aca="false">IF(CAD_Metas!$A12="","",CAD_Metas!$H12)</f>
        <v/>
      </c>
      <c r="D80" s="10" t="str">
        <f aca="false">IF(CAD_Metas!$A12="","",CAD_Metas!$J12)</f>
        <v/>
      </c>
      <c r="E80" s="11" t="str">
        <f aca="false">IF(CAD_Metas!$A12="","",CAD_Metas!$I12)</f>
        <v/>
      </c>
      <c r="F80" s="9" t="str">
        <f aca="false">IF(CAD_Metas!$A12="","",CAD_Metas!$O12)</f>
        <v/>
      </c>
    </row>
    <row r="81" customFormat="false" ht="15" hidden="false" customHeight="false" outlineLevel="0" collapsed="false">
      <c r="A81" s="9" t="str">
        <f aca="false">IF(CAD_Metas!$A13="","",CAD_Metas!$B13)</f>
        <v/>
      </c>
      <c r="B81" s="10" t="str">
        <f aca="false">IF(CAD_Metas!$A13="","",CAD_Metas!$C13)</f>
        <v/>
      </c>
      <c r="C81" s="10" t="str">
        <f aca="false">IF(CAD_Metas!$A13="","",CAD_Metas!$H13)</f>
        <v/>
      </c>
      <c r="D81" s="10" t="str">
        <f aca="false">IF(CAD_Metas!$A13="","",CAD_Metas!$J13)</f>
        <v/>
      </c>
      <c r="E81" s="11" t="str">
        <f aca="false">IF(CAD_Metas!$A13="","",CAD_Metas!$I13)</f>
        <v/>
      </c>
      <c r="F81" s="9" t="str">
        <f aca="false">IF(CAD_Metas!$A13="","",CAD_Metas!$O13)</f>
        <v/>
      </c>
    </row>
    <row r="82" customFormat="false" ht="15" hidden="false" customHeight="false" outlineLevel="0" collapsed="false">
      <c r="A82" s="9" t="str">
        <f aca="false">IF(CAD_Metas!$A14="","",CAD_Metas!$B14)</f>
        <v/>
      </c>
      <c r="B82" s="10" t="str">
        <f aca="false">IF(CAD_Metas!$A14="","",CAD_Metas!$C14)</f>
        <v/>
      </c>
      <c r="C82" s="10" t="str">
        <f aca="false">IF(CAD_Metas!$A14="","",CAD_Metas!$H14)</f>
        <v/>
      </c>
      <c r="D82" s="10" t="str">
        <f aca="false">IF(CAD_Metas!$A14="","",CAD_Metas!$J14)</f>
        <v/>
      </c>
      <c r="E82" s="11" t="str">
        <f aca="false">IF(CAD_Metas!$A14="","",CAD_Metas!$I14)</f>
        <v/>
      </c>
      <c r="F82" s="9" t="str">
        <f aca="false">IF(CAD_Metas!$A14="","",CAD_Metas!$O14)</f>
        <v/>
      </c>
    </row>
    <row r="83" customFormat="false" ht="15" hidden="false" customHeight="false" outlineLevel="0" collapsed="false">
      <c r="A83" s="9" t="str">
        <f aca="false">IF(CAD_Metas!$A15="","",CAD_Metas!$B15)</f>
        <v/>
      </c>
      <c r="B83" s="10" t="str">
        <f aca="false">IF(CAD_Metas!$A15="","",CAD_Metas!$C15)</f>
        <v/>
      </c>
      <c r="C83" s="10" t="str">
        <f aca="false">IF(CAD_Metas!$A15="","",CAD_Metas!$H15)</f>
        <v/>
      </c>
      <c r="D83" s="10" t="str">
        <f aca="false">IF(CAD_Metas!$A15="","",CAD_Metas!$J15)</f>
        <v/>
      </c>
      <c r="E83" s="11" t="str">
        <f aca="false">IF(CAD_Metas!$A15="","",CAD_Metas!$I15)</f>
        <v/>
      </c>
      <c r="F83" s="9" t="str">
        <f aca="false">IF(CAD_Metas!$A15="","",CAD_Metas!$O15)</f>
        <v/>
      </c>
    </row>
    <row r="84" customFormat="false" ht="15" hidden="false" customHeight="false" outlineLevel="0" collapsed="false">
      <c r="A84" s="9" t="str">
        <f aca="false">IF(CAD_Metas!$A16="","",CAD_Metas!$B16)</f>
        <v/>
      </c>
      <c r="B84" s="10" t="str">
        <f aca="false">IF(CAD_Metas!$A16="","",CAD_Metas!$C16)</f>
        <v/>
      </c>
      <c r="C84" s="10" t="str">
        <f aca="false">IF(CAD_Metas!$A16="","",CAD_Metas!$H16)</f>
        <v/>
      </c>
      <c r="D84" s="10" t="str">
        <f aca="false">IF(CAD_Metas!$A16="","",CAD_Metas!$J16)</f>
        <v/>
      </c>
      <c r="E84" s="11" t="str">
        <f aca="false">IF(CAD_Metas!$A16="","",CAD_Metas!$I16)</f>
        <v/>
      </c>
      <c r="F84" s="9" t="str">
        <f aca="false">IF(CAD_Metas!$A16="","",CAD_Metas!$O16)</f>
        <v/>
      </c>
    </row>
    <row r="85" customFormat="false" ht="15" hidden="false" customHeight="false" outlineLevel="0" collapsed="false">
      <c r="A85" s="9" t="str">
        <f aca="false">IF(CAD_Metas!$A17="","",CAD_Metas!$B17)</f>
        <v/>
      </c>
      <c r="B85" s="10" t="str">
        <f aca="false">IF(CAD_Metas!$A17="","",CAD_Metas!$C17)</f>
        <v/>
      </c>
      <c r="C85" s="10" t="str">
        <f aca="false">IF(CAD_Metas!$A17="","",CAD_Metas!$H17)</f>
        <v/>
      </c>
      <c r="D85" s="10" t="str">
        <f aca="false">IF(CAD_Metas!$A17="","",CAD_Metas!$J17)</f>
        <v/>
      </c>
      <c r="E85" s="11" t="str">
        <f aca="false">IF(CAD_Metas!$A17="","",CAD_Metas!$I17)</f>
        <v/>
      </c>
      <c r="F85" s="9" t="str">
        <f aca="false">IF(CAD_Metas!$A17="","",CAD_Metas!$O17)</f>
        <v/>
      </c>
    </row>
    <row r="86" customFormat="false" ht="15" hidden="false" customHeight="false" outlineLevel="0" collapsed="false">
      <c r="A86" s="9" t="str">
        <f aca="false">IF(CAD_Metas!$A18="","",CAD_Metas!$B18)</f>
        <v/>
      </c>
      <c r="B86" s="10" t="str">
        <f aca="false">IF(CAD_Metas!$A18="","",CAD_Metas!$C18)</f>
        <v/>
      </c>
      <c r="C86" s="10" t="str">
        <f aca="false">IF(CAD_Metas!$A18="","",CAD_Metas!$H18)</f>
        <v/>
      </c>
      <c r="D86" s="10" t="str">
        <f aca="false">IF(CAD_Metas!$A18="","",CAD_Metas!$J18)</f>
        <v/>
      </c>
      <c r="E86" s="11" t="str">
        <f aca="false">IF(CAD_Metas!$A18="","",CAD_Metas!$I18)</f>
        <v/>
      </c>
      <c r="F86" s="9" t="str">
        <f aca="false">IF(CAD_Metas!$A18="","",CAD_Metas!$O18)</f>
        <v/>
      </c>
    </row>
    <row r="87" customFormat="false" ht="15" hidden="false" customHeight="false" outlineLevel="0" collapsed="false">
      <c r="A87" s="9" t="str">
        <f aca="false">IF(CAD_Metas!$A19="","",CAD_Metas!$B19)</f>
        <v/>
      </c>
      <c r="B87" s="10" t="str">
        <f aca="false">IF(CAD_Metas!$A19="","",CAD_Metas!$C19)</f>
        <v/>
      </c>
      <c r="C87" s="10" t="str">
        <f aca="false">IF(CAD_Metas!$A19="","",CAD_Metas!$H19)</f>
        <v/>
      </c>
      <c r="D87" s="10" t="str">
        <f aca="false">IF(CAD_Metas!$A19="","",CAD_Metas!$J19)</f>
        <v/>
      </c>
      <c r="E87" s="11" t="str">
        <f aca="false">IF(CAD_Metas!$A19="","",CAD_Metas!$I19)</f>
        <v/>
      </c>
      <c r="F87" s="9" t="str">
        <f aca="false">IF(CAD_Metas!$A19="","",CAD_Metas!$O19)</f>
        <v/>
      </c>
    </row>
    <row r="88" customFormat="false" ht="15" hidden="false" customHeight="false" outlineLevel="0" collapsed="false">
      <c r="A88" s="9" t="str">
        <f aca="false">IF(CAD_Metas!$A20="","",CAD_Metas!$B20)</f>
        <v/>
      </c>
      <c r="B88" s="10" t="str">
        <f aca="false">IF(CAD_Metas!$A20="","",CAD_Metas!$C20)</f>
        <v/>
      </c>
      <c r="C88" s="10" t="str">
        <f aca="false">IF(CAD_Metas!$A20="","",CAD_Metas!$H20)</f>
        <v/>
      </c>
      <c r="D88" s="10" t="str">
        <f aca="false">IF(CAD_Metas!$A20="","",CAD_Metas!$J20)</f>
        <v/>
      </c>
      <c r="E88" s="11" t="str">
        <f aca="false">IF(CAD_Metas!$A20="","",CAD_Metas!$I20)</f>
        <v/>
      </c>
      <c r="F88" s="9" t="str">
        <f aca="false">IF(CAD_Metas!$A20="","",CAD_Metas!$O20)</f>
        <v/>
      </c>
    </row>
    <row r="89" customFormat="false" ht="15" hidden="false" customHeight="false" outlineLevel="0" collapsed="false">
      <c r="A89" s="9" t="str">
        <f aca="false">IF(CAD_Metas!$A21="","",CAD_Metas!$B21)</f>
        <v/>
      </c>
      <c r="B89" s="10" t="str">
        <f aca="false">IF(CAD_Metas!$A21="","",CAD_Metas!$C21)</f>
        <v/>
      </c>
      <c r="C89" s="10" t="str">
        <f aca="false">IF(CAD_Metas!$A21="","",CAD_Metas!$H21)</f>
        <v/>
      </c>
      <c r="D89" s="10" t="str">
        <f aca="false">IF(CAD_Metas!$A21="","",CAD_Metas!$J21)</f>
        <v/>
      </c>
      <c r="E89" s="11" t="str">
        <f aca="false">IF(CAD_Metas!$A21="","",CAD_Metas!$I21)</f>
        <v/>
      </c>
      <c r="F89" s="9" t="str">
        <f aca="false">IF(CAD_Metas!$A21="","",CAD_Metas!$O21)</f>
        <v/>
      </c>
    </row>
    <row r="90" customFormat="false" ht="15" hidden="false" customHeight="false" outlineLevel="0" collapsed="false">
      <c r="A90" s="9" t="str">
        <f aca="false">IF(CAD_Metas!$A22="","",CAD_Metas!$B22)</f>
        <v/>
      </c>
      <c r="B90" s="10" t="str">
        <f aca="false">IF(CAD_Metas!$A22="","",CAD_Metas!$C22)</f>
        <v/>
      </c>
      <c r="C90" s="10" t="str">
        <f aca="false">IF(CAD_Metas!$A22="","",CAD_Metas!$H22)</f>
        <v/>
      </c>
      <c r="D90" s="10" t="str">
        <f aca="false">IF(CAD_Metas!$A22="","",CAD_Metas!$J22)</f>
        <v/>
      </c>
      <c r="E90" s="11" t="str">
        <f aca="false">IF(CAD_Metas!$A22="","",CAD_Metas!$I22)</f>
        <v/>
      </c>
      <c r="F90" s="9" t="str">
        <f aca="false">IF(CAD_Metas!$A22="","",CAD_Metas!$O22)</f>
        <v/>
      </c>
    </row>
    <row r="91" customFormat="false" ht="15" hidden="false" customHeight="false" outlineLevel="0" collapsed="false">
      <c r="A91" s="9" t="str">
        <f aca="false">IF(CAD_Metas!$A23="","",CAD_Metas!$B23)</f>
        <v/>
      </c>
      <c r="B91" s="10" t="str">
        <f aca="false">IF(CAD_Metas!$A23="","",CAD_Metas!$C23)</f>
        <v/>
      </c>
      <c r="C91" s="10" t="str">
        <f aca="false">IF(CAD_Metas!$A23="","",CAD_Metas!$H23)</f>
        <v/>
      </c>
      <c r="D91" s="10" t="str">
        <f aca="false">IF(CAD_Metas!$A23="","",CAD_Metas!$J23)</f>
        <v/>
      </c>
      <c r="E91" s="11" t="str">
        <f aca="false">IF(CAD_Metas!$A23="","",CAD_Metas!$I23)</f>
        <v/>
      </c>
      <c r="F91" s="9" t="str">
        <f aca="false">IF(CAD_Metas!$A23="","",CAD_Metas!$O23)</f>
        <v/>
      </c>
    </row>
    <row r="92" customFormat="false" ht="15" hidden="false" customHeight="false" outlineLevel="0" collapsed="false">
      <c r="A92" s="9" t="str">
        <f aca="false">IF(CAD_Metas!$A24="","",CAD_Metas!$B24)</f>
        <v/>
      </c>
      <c r="B92" s="10" t="str">
        <f aca="false">IF(CAD_Metas!$A24="","",CAD_Metas!$C24)</f>
        <v/>
      </c>
      <c r="C92" s="10" t="str">
        <f aca="false">IF(CAD_Metas!$A24="","",CAD_Metas!$H24)</f>
        <v/>
      </c>
      <c r="D92" s="10" t="str">
        <f aca="false">IF(CAD_Metas!$A24="","",CAD_Metas!$J24)</f>
        <v/>
      </c>
      <c r="E92" s="11" t="str">
        <f aca="false">IF(CAD_Metas!$A24="","",CAD_Metas!$I24)</f>
        <v/>
      </c>
      <c r="F92" s="9" t="str">
        <f aca="false">IF(CAD_Metas!$A24="","",CAD_Metas!$O24)</f>
        <v/>
      </c>
    </row>
    <row r="93" customFormat="false" ht="15" hidden="false" customHeight="false" outlineLevel="0" collapsed="false">
      <c r="A93" s="9" t="str">
        <f aca="false">IF(CAD_Metas!$A25="","",CAD_Metas!$B25)</f>
        <v/>
      </c>
      <c r="B93" s="10" t="str">
        <f aca="false">IF(CAD_Metas!$A25="","",CAD_Metas!$C25)</f>
        <v/>
      </c>
      <c r="C93" s="10" t="str">
        <f aca="false">IF(CAD_Metas!$A25="","",CAD_Metas!$H25)</f>
        <v/>
      </c>
      <c r="D93" s="10" t="str">
        <f aca="false">IF(CAD_Metas!$A25="","",CAD_Metas!$J25)</f>
        <v/>
      </c>
      <c r="E93" s="11" t="str">
        <f aca="false">IF(CAD_Metas!$A25="","",CAD_Metas!$I25)</f>
        <v/>
      </c>
      <c r="F93" s="9" t="str">
        <f aca="false">IF(CAD_Metas!$A25="","",CAD_Metas!$O25)</f>
        <v/>
      </c>
    </row>
    <row r="94" customFormat="false" ht="15" hidden="false" customHeight="false" outlineLevel="0" collapsed="false">
      <c r="A94" s="9" t="str">
        <f aca="false">IF(CAD_Metas!$A26="","",CAD_Metas!$B26)</f>
        <v/>
      </c>
      <c r="B94" s="10" t="str">
        <f aca="false">IF(CAD_Metas!$A26="","",CAD_Metas!$C26)</f>
        <v/>
      </c>
      <c r="C94" s="10" t="str">
        <f aca="false">IF(CAD_Metas!$A26="","",CAD_Metas!$H26)</f>
        <v/>
      </c>
      <c r="D94" s="10" t="str">
        <f aca="false">IF(CAD_Metas!$A26="","",CAD_Metas!$J26)</f>
        <v/>
      </c>
      <c r="E94" s="11" t="str">
        <f aca="false">IF(CAD_Metas!$A26="","",CAD_Metas!$I26)</f>
        <v/>
      </c>
      <c r="F94" s="9" t="str">
        <f aca="false">IF(CAD_Metas!$A26="","",CAD_Metas!$O26)</f>
        <v/>
      </c>
    </row>
    <row r="95" customFormat="false" ht="15" hidden="false" customHeight="false" outlineLevel="0" collapsed="false">
      <c r="A95" s="9" t="str">
        <f aca="false">IF(CAD_Metas!$A27="","",CAD_Metas!$B27)</f>
        <v/>
      </c>
      <c r="B95" s="10" t="str">
        <f aca="false">IF(CAD_Metas!$A27="","",CAD_Metas!$C27)</f>
        <v/>
      </c>
      <c r="C95" s="10" t="str">
        <f aca="false">IF(CAD_Metas!$A27="","",CAD_Metas!$H27)</f>
        <v/>
      </c>
      <c r="D95" s="10" t="str">
        <f aca="false">IF(CAD_Metas!$A27="","",CAD_Metas!$J27)</f>
        <v/>
      </c>
      <c r="E95" s="11" t="str">
        <f aca="false">IF(CAD_Metas!$A27="","",CAD_Metas!$I27)</f>
        <v/>
      </c>
      <c r="F95" s="9" t="str">
        <f aca="false">IF(CAD_Metas!$A27="","",CAD_Metas!$O27)</f>
        <v/>
      </c>
    </row>
    <row r="96" customFormat="false" ht="15" hidden="false" customHeight="false" outlineLevel="0" collapsed="false">
      <c r="A96" s="9" t="str">
        <f aca="false">IF(CAD_Metas!$A28="","",CAD_Metas!$B28)</f>
        <v/>
      </c>
      <c r="B96" s="10" t="str">
        <f aca="false">IF(CAD_Metas!$A28="","",CAD_Metas!$C28)</f>
        <v/>
      </c>
      <c r="C96" s="10" t="str">
        <f aca="false">IF(CAD_Metas!$A28="","",CAD_Metas!$H28)</f>
        <v/>
      </c>
      <c r="D96" s="10" t="str">
        <f aca="false">IF(CAD_Metas!$A28="","",CAD_Metas!$J28)</f>
        <v/>
      </c>
      <c r="E96" s="11" t="str">
        <f aca="false">IF(CAD_Metas!$A28="","",CAD_Metas!$I28)</f>
        <v/>
      </c>
      <c r="F96" s="9" t="str">
        <f aca="false">IF(CAD_Metas!$A28="","",CAD_Metas!$O28)</f>
        <v/>
      </c>
    </row>
    <row r="97" customFormat="false" ht="15" hidden="false" customHeight="false" outlineLevel="0" collapsed="false">
      <c r="A97" s="9" t="str">
        <f aca="false">IF(CAD_Metas!$A29="","",CAD_Metas!$B29)</f>
        <v/>
      </c>
      <c r="B97" s="10" t="str">
        <f aca="false">IF(CAD_Metas!$A29="","",CAD_Metas!$C29)</f>
        <v/>
      </c>
      <c r="C97" s="10" t="str">
        <f aca="false">IF(CAD_Metas!$A29="","",CAD_Metas!$H29)</f>
        <v/>
      </c>
      <c r="D97" s="10" t="str">
        <f aca="false">IF(CAD_Metas!$A29="","",CAD_Metas!$J29)</f>
        <v/>
      </c>
      <c r="E97" s="11" t="str">
        <f aca="false">IF(CAD_Metas!$A29="","",CAD_Metas!$I29)</f>
        <v/>
      </c>
      <c r="F97" s="9" t="str">
        <f aca="false">IF(CAD_Metas!$A29="","",CAD_Metas!$O29)</f>
        <v/>
      </c>
    </row>
    <row r="98" customFormat="false" ht="15" hidden="false" customHeight="false" outlineLevel="0" collapsed="false">
      <c r="A98" s="9" t="str">
        <f aca="false">IF(CAD_Metas!$A30="","",CAD_Metas!$B30)</f>
        <v/>
      </c>
      <c r="B98" s="10" t="str">
        <f aca="false">IF(CAD_Metas!$A30="","",CAD_Metas!$C30)</f>
        <v/>
      </c>
      <c r="C98" s="10" t="str">
        <f aca="false">IF(CAD_Metas!$A30="","",CAD_Metas!$H30)</f>
        <v/>
      </c>
      <c r="D98" s="10" t="str">
        <f aca="false">IF(CAD_Metas!$A30="","",CAD_Metas!$J30)</f>
        <v/>
      </c>
      <c r="E98" s="11" t="str">
        <f aca="false">IF(CAD_Metas!$A30="","",CAD_Metas!$I30)</f>
        <v/>
      </c>
      <c r="F98" s="9" t="str">
        <f aca="false">IF(CAD_Metas!$A30="","",CAD_Metas!$O30)</f>
        <v/>
      </c>
    </row>
    <row r="99" customFormat="false" ht="15" hidden="false" customHeight="false" outlineLevel="0" collapsed="false">
      <c r="A99" s="9" t="str">
        <f aca="false">IF(CAD_Metas!$A31="","",CAD_Metas!$B31)</f>
        <v/>
      </c>
      <c r="B99" s="10" t="str">
        <f aca="false">IF(CAD_Metas!$A31="","",CAD_Metas!$C31)</f>
        <v/>
      </c>
      <c r="C99" s="10" t="str">
        <f aca="false">IF(CAD_Metas!$A31="","",CAD_Metas!$H31)</f>
        <v/>
      </c>
      <c r="D99" s="10" t="str">
        <f aca="false">IF(CAD_Metas!$A31="","",CAD_Metas!$J31)</f>
        <v/>
      </c>
      <c r="E99" s="11" t="str">
        <f aca="false">IF(CAD_Metas!$A31="","",CAD_Metas!$I31)</f>
        <v/>
      </c>
      <c r="F99" s="9" t="str">
        <f aca="false">IF(CAD_Metas!$A31="","",CAD_Metas!$O31)</f>
        <v/>
      </c>
    </row>
    <row r="100" customFormat="false" ht="15" hidden="false" customHeight="false" outlineLevel="0" collapsed="false">
      <c r="A100" s="9" t="str">
        <f aca="false">IF(CAD_Metas!$A32="","",CAD_Metas!$B32)</f>
        <v/>
      </c>
      <c r="B100" s="10" t="str">
        <f aca="false">IF(CAD_Metas!$A32="","",CAD_Metas!$C32)</f>
        <v/>
      </c>
      <c r="C100" s="10" t="str">
        <f aca="false">IF(CAD_Metas!$A32="","",CAD_Metas!$H32)</f>
        <v/>
      </c>
      <c r="D100" s="10" t="str">
        <f aca="false">IF(CAD_Metas!$A32="","",CAD_Metas!$J32)</f>
        <v/>
      </c>
      <c r="E100" s="11" t="str">
        <f aca="false">IF(CAD_Metas!$A32="","",CAD_Metas!$I32)</f>
        <v/>
      </c>
      <c r="F100" s="9" t="str">
        <f aca="false">IF(CAD_Metas!$A32="","",CAD_Metas!$O32)</f>
        <v/>
      </c>
    </row>
    <row r="101" customFormat="false" ht="15" hidden="false" customHeight="false" outlineLevel="0" collapsed="false">
      <c r="A101" s="9" t="str">
        <f aca="false">IF(CAD_Metas!$A33="","",CAD_Metas!$B33)</f>
        <v/>
      </c>
      <c r="B101" s="10" t="str">
        <f aca="false">IF(CAD_Metas!$A33="","",CAD_Metas!$C33)</f>
        <v/>
      </c>
      <c r="C101" s="10" t="str">
        <f aca="false">IF(CAD_Metas!$A33="","",CAD_Metas!$H33)</f>
        <v/>
      </c>
      <c r="D101" s="10" t="str">
        <f aca="false">IF(CAD_Metas!$A33="","",CAD_Metas!$J33)</f>
        <v/>
      </c>
      <c r="E101" s="11" t="str">
        <f aca="false">IF(CAD_Metas!$A33="","",CAD_Metas!$I33)</f>
        <v/>
      </c>
      <c r="F101" s="9" t="str">
        <f aca="false">IF(CAD_Metas!$A33="","",CAD_Metas!$O33)</f>
        <v/>
      </c>
    </row>
    <row r="102" customFormat="false" ht="15" hidden="false" customHeight="false" outlineLevel="0" collapsed="false">
      <c r="A102" s="9" t="str">
        <f aca="false">IF(CAD_Metas!$A34="","",CAD_Metas!$B34)</f>
        <v/>
      </c>
      <c r="B102" s="10" t="str">
        <f aca="false">IF(CAD_Metas!$A34="","",CAD_Metas!$C34)</f>
        <v/>
      </c>
      <c r="C102" s="10" t="str">
        <f aca="false">IF(CAD_Metas!$A34="","",CAD_Metas!$H34)</f>
        <v/>
      </c>
      <c r="D102" s="10" t="str">
        <f aca="false">IF(CAD_Metas!$A34="","",CAD_Metas!$J34)</f>
        <v/>
      </c>
      <c r="E102" s="11" t="str">
        <f aca="false">IF(CAD_Metas!$A34="","",CAD_Metas!$I34)</f>
        <v/>
      </c>
      <c r="F102" s="9" t="str">
        <f aca="false">IF(CAD_Metas!$A34="","",CAD_Metas!$O34)</f>
        <v/>
      </c>
    </row>
    <row r="103" customFormat="false" ht="15" hidden="false" customHeight="false" outlineLevel="0" collapsed="false">
      <c r="A103" s="9" t="str">
        <f aca="false">IF(CAD_Metas!$A35="","",CAD_Metas!$B35)</f>
        <v/>
      </c>
      <c r="B103" s="10" t="str">
        <f aca="false">IF(CAD_Metas!$A35="","",CAD_Metas!$C35)</f>
        <v/>
      </c>
      <c r="C103" s="10" t="str">
        <f aca="false">IF(CAD_Metas!$A35="","",CAD_Metas!$H35)</f>
        <v/>
      </c>
      <c r="D103" s="10" t="str">
        <f aca="false">IF(CAD_Metas!$A35="","",CAD_Metas!$J35)</f>
        <v/>
      </c>
      <c r="E103" s="11" t="str">
        <f aca="false">IF(CAD_Metas!$A35="","",CAD_Metas!$I35)</f>
        <v/>
      </c>
      <c r="F103" s="9" t="str">
        <f aca="false">IF(CAD_Metas!$A35="","",CAD_Metas!$O35)</f>
        <v/>
      </c>
    </row>
    <row r="104" customFormat="false" ht="15" hidden="false" customHeight="false" outlineLevel="0" collapsed="false">
      <c r="A104" s="9" t="str">
        <f aca="false">IF(CAD_Metas!$A36="","",CAD_Metas!$B36)</f>
        <v/>
      </c>
      <c r="B104" s="10" t="str">
        <f aca="false">IF(CAD_Metas!$A36="","",CAD_Metas!$C36)</f>
        <v/>
      </c>
      <c r="C104" s="10" t="str">
        <f aca="false">IF(CAD_Metas!$A36="","",CAD_Metas!$H36)</f>
        <v/>
      </c>
      <c r="D104" s="10" t="str">
        <f aca="false">IF(CAD_Metas!$A36="","",CAD_Metas!$J36)</f>
        <v/>
      </c>
      <c r="E104" s="11" t="str">
        <f aca="false">IF(CAD_Metas!$A36="","",CAD_Metas!$I36)</f>
        <v/>
      </c>
      <c r="F104" s="9" t="str">
        <f aca="false">IF(CAD_Metas!$A36="","",CAD_Metas!$O36)</f>
        <v/>
      </c>
    </row>
    <row r="105" customFormat="false" ht="15" hidden="false" customHeight="false" outlineLevel="0" collapsed="false">
      <c r="A105" s="9" t="str">
        <f aca="false">IF(CAD_Metas!$A37="","",CAD_Metas!$B37)</f>
        <v/>
      </c>
      <c r="B105" s="10" t="str">
        <f aca="false">IF(CAD_Metas!$A37="","",CAD_Metas!$C37)</f>
        <v/>
      </c>
      <c r="C105" s="10" t="str">
        <f aca="false">IF(CAD_Metas!$A37="","",CAD_Metas!$H37)</f>
        <v/>
      </c>
      <c r="D105" s="10" t="str">
        <f aca="false">IF(CAD_Metas!$A37="","",CAD_Metas!$J37)</f>
        <v/>
      </c>
      <c r="E105" s="11" t="str">
        <f aca="false">IF(CAD_Metas!$A37="","",CAD_Metas!$I37)</f>
        <v/>
      </c>
      <c r="F105" s="9" t="str">
        <f aca="false">IF(CAD_Metas!$A37="","",CAD_Metas!$O37)</f>
        <v/>
      </c>
    </row>
    <row r="106" customFormat="false" ht="15" hidden="false" customHeight="false" outlineLevel="0" collapsed="false">
      <c r="A106" s="9" t="str">
        <f aca="false">IF(CAD_Metas!$A38="","",CAD_Metas!$B38)</f>
        <v/>
      </c>
      <c r="B106" s="10" t="str">
        <f aca="false">IF(CAD_Metas!$A38="","",CAD_Metas!$C38)</f>
        <v/>
      </c>
      <c r="C106" s="10" t="str">
        <f aca="false">IF(CAD_Metas!$A38="","",CAD_Metas!$H38)</f>
        <v/>
      </c>
      <c r="D106" s="10" t="str">
        <f aca="false">IF(CAD_Metas!$A38="","",CAD_Metas!$J38)</f>
        <v/>
      </c>
      <c r="E106" s="11" t="str">
        <f aca="false">IF(CAD_Metas!$A38="","",CAD_Metas!$I38)</f>
        <v/>
      </c>
      <c r="F106" s="9" t="str">
        <f aca="false">IF(CAD_Metas!$A38="","",CAD_Metas!$O38)</f>
        <v/>
      </c>
    </row>
    <row r="107" customFormat="false" ht="15" hidden="false" customHeight="false" outlineLevel="0" collapsed="false">
      <c r="A107" s="9" t="str">
        <f aca="false">IF(CAD_Metas!$A39="","",CAD_Metas!$B39)</f>
        <v/>
      </c>
      <c r="B107" s="10" t="str">
        <f aca="false">IF(CAD_Metas!$A39="","",CAD_Metas!$C39)</f>
        <v/>
      </c>
      <c r="C107" s="10" t="str">
        <f aca="false">IF(CAD_Metas!$A39="","",CAD_Metas!$H39)</f>
        <v/>
      </c>
      <c r="D107" s="10" t="str">
        <f aca="false">IF(CAD_Metas!$A39="","",CAD_Metas!$J39)</f>
        <v/>
      </c>
      <c r="E107" s="11" t="str">
        <f aca="false">IF(CAD_Metas!$A39="","",CAD_Metas!$I39)</f>
        <v/>
      </c>
      <c r="F107" s="9" t="str">
        <f aca="false">IF(CAD_Metas!$A39="","",CAD_Metas!$O39)</f>
        <v/>
      </c>
    </row>
    <row r="108" customFormat="false" ht="15" hidden="false" customHeight="false" outlineLevel="0" collapsed="false">
      <c r="A108" s="9" t="str">
        <f aca="false">IF(CAD_Metas!$A40="","",CAD_Metas!$B40)</f>
        <v/>
      </c>
      <c r="B108" s="10" t="str">
        <f aca="false">IF(CAD_Metas!$A40="","",CAD_Metas!$C40)</f>
        <v/>
      </c>
      <c r="C108" s="10" t="str">
        <f aca="false">IF(CAD_Metas!$A40="","",CAD_Metas!$H40)</f>
        <v/>
      </c>
      <c r="D108" s="10" t="str">
        <f aca="false">IF(CAD_Metas!$A40="","",CAD_Metas!$J40)</f>
        <v/>
      </c>
      <c r="E108" s="11" t="str">
        <f aca="false">IF(CAD_Metas!$A40="","",CAD_Metas!$I40)</f>
        <v/>
      </c>
      <c r="F108" s="9" t="str">
        <f aca="false">IF(CAD_Metas!$A40="","",CAD_Metas!$O40)</f>
        <v/>
      </c>
    </row>
    <row r="109" customFormat="false" ht="15" hidden="false" customHeight="false" outlineLevel="0" collapsed="false">
      <c r="A109" s="9" t="str">
        <f aca="false">IF(CAD_Metas!$A41="","",CAD_Metas!$B41)</f>
        <v/>
      </c>
      <c r="B109" s="10" t="str">
        <f aca="false">IF(CAD_Metas!$A41="","",CAD_Metas!$C41)</f>
        <v/>
      </c>
      <c r="C109" s="10" t="str">
        <f aca="false">IF(CAD_Metas!$A41="","",CAD_Metas!$H41)</f>
        <v/>
      </c>
      <c r="D109" s="10" t="str">
        <f aca="false">IF(CAD_Metas!$A41="","",CAD_Metas!$J41)</f>
        <v/>
      </c>
      <c r="E109" s="11" t="str">
        <f aca="false">IF(CAD_Metas!$A41="","",CAD_Metas!$I41)</f>
        <v/>
      </c>
      <c r="F109" s="9" t="str">
        <f aca="false">IF(CAD_Metas!$A41="","",CAD_Metas!$O41)</f>
        <v/>
      </c>
    </row>
    <row r="110" customFormat="false" ht="15" hidden="false" customHeight="false" outlineLevel="0" collapsed="false">
      <c r="A110" s="9" t="str">
        <f aca="false">IF(CAD_Metas!$A42="","",CAD_Metas!$B42)</f>
        <v/>
      </c>
      <c r="B110" s="10" t="str">
        <f aca="false">IF(CAD_Metas!$A42="","",CAD_Metas!$C42)</f>
        <v/>
      </c>
      <c r="C110" s="10" t="str">
        <f aca="false">IF(CAD_Metas!$A42="","",CAD_Metas!$H42)</f>
        <v/>
      </c>
      <c r="D110" s="10" t="str">
        <f aca="false">IF(CAD_Metas!$A42="","",CAD_Metas!$J42)</f>
        <v/>
      </c>
      <c r="E110" s="11" t="str">
        <f aca="false">IF(CAD_Metas!$A42="","",CAD_Metas!$I42)</f>
        <v/>
      </c>
      <c r="F110" s="9" t="str">
        <f aca="false">IF(CAD_Metas!$A42="","",CAD_Metas!$O42)</f>
        <v/>
      </c>
    </row>
    <row r="111" customFormat="false" ht="15" hidden="false" customHeight="false" outlineLevel="0" collapsed="false">
      <c r="A111" s="9" t="str">
        <f aca="false">IF(CAD_Metas!$A43="","",CAD_Metas!$B43)</f>
        <v/>
      </c>
      <c r="B111" s="10" t="str">
        <f aca="false">IF(CAD_Metas!$A43="","",CAD_Metas!$C43)</f>
        <v/>
      </c>
      <c r="C111" s="10" t="str">
        <f aca="false">IF(CAD_Metas!$A43="","",CAD_Metas!$H43)</f>
        <v/>
      </c>
      <c r="D111" s="10" t="str">
        <f aca="false">IF(CAD_Metas!$A43="","",CAD_Metas!$J43)</f>
        <v/>
      </c>
      <c r="E111" s="11" t="str">
        <f aca="false">IF(CAD_Metas!$A43="","",CAD_Metas!$I43)</f>
        <v/>
      </c>
      <c r="F111" s="9" t="str">
        <f aca="false">IF(CAD_Metas!$A43="","",CAD_Metas!$O43)</f>
        <v/>
      </c>
    </row>
    <row r="112" customFormat="false" ht="15" hidden="false" customHeight="false" outlineLevel="0" collapsed="false">
      <c r="A112" s="9" t="str">
        <f aca="false">IF(CAD_Metas!$A44="","",CAD_Metas!$B44)</f>
        <v/>
      </c>
      <c r="B112" s="10" t="str">
        <f aca="false">IF(CAD_Metas!$A44="","",CAD_Metas!$C44)</f>
        <v/>
      </c>
      <c r="C112" s="10" t="str">
        <f aca="false">IF(CAD_Metas!$A44="","",CAD_Metas!$H44)</f>
        <v/>
      </c>
      <c r="D112" s="10" t="str">
        <f aca="false">IF(CAD_Metas!$A44="","",CAD_Metas!$J44)</f>
        <v/>
      </c>
      <c r="E112" s="11" t="str">
        <f aca="false">IF(CAD_Metas!$A44="","",CAD_Metas!$I44)</f>
        <v/>
      </c>
      <c r="F112" s="9" t="str">
        <f aca="false">IF(CAD_Metas!$A44="","",CAD_Metas!$O44)</f>
        <v/>
      </c>
    </row>
  </sheetData>
  <mergeCells count="58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6:H16"/>
    <mergeCell ref="A17:B17"/>
    <mergeCell ref="C17:D17"/>
    <mergeCell ref="E17:F17"/>
    <mergeCell ref="G17:H17"/>
    <mergeCell ref="A18:B18"/>
    <mergeCell ref="C18:D18"/>
    <mergeCell ref="E18:F18"/>
    <mergeCell ref="G18:H18"/>
    <mergeCell ref="A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8:H28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8"/>
    <col collapsed="false" customWidth="true" hidden="false" outlineLevel="0" max="25" min="8" style="0" width="17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2" t="s">
        <v>47</v>
      </c>
      <c r="B4" s="13" t="n">
        <v>46270</v>
      </c>
    </row>
    <row r="5" customFormat="false" ht="15" hidden="false" customHeight="false" outlineLevel="0" collapsed="false">
      <c r="A5" s="12" t="s">
        <v>48</v>
      </c>
      <c r="B5" s="14" t="s">
        <v>49</v>
      </c>
    </row>
    <row r="6" customFormat="false" ht="15" hidden="false" customHeight="false" outlineLevel="0" collapsed="false">
      <c r="A6" s="12" t="s">
        <v>50</v>
      </c>
      <c r="B6" s="14" t="s">
        <v>51</v>
      </c>
    </row>
    <row r="7" customFormat="false" ht="15" hidden="false" customHeight="false" outlineLevel="0" collapsed="false">
      <c r="A7" s="12" t="s">
        <v>52</v>
      </c>
      <c r="B7" s="14" t="s">
        <v>53</v>
      </c>
    </row>
    <row r="8" customFormat="false" ht="15" hidden="false" customHeight="false" outlineLevel="0" collapsed="false">
      <c r="A8" s="12" t="s">
        <v>54</v>
      </c>
      <c r="B8" s="15" t="n">
        <v>250000</v>
      </c>
    </row>
    <row r="9" customFormat="false" ht="15" hidden="false" customHeight="false" outlineLevel="0" collapsed="false">
      <c r="A9" s="12" t="s">
        <v>55</v>
      </c>
      <c r="B9" s="14" t="s">
        <v>56</v>
      </c>
      <c r="C9" s="16" t="s">
        <v>57</v>
      </c>
      <c r="D9" s="17" t="str">
        <f aca="false">IF($B$9="EXTERNO","",IFERROR(INDEX(ENT_ID,MATCH(1,INDEX((ENT_NOME=$B$10)*(ENT_TIPO=$B$9),0),0)),"NAO ENCONTRADO"))</f>
        <v>NAO ENCONTRADO</v>
      </c>
    </row>
    <row r="10" customFormat="false" ht="15" hidden="false" customHeight="false" outlineLevel="0" collapsed="false">
      <c r="A10" s="12" t="s">
        <v>58</v>
      </c>
      <c r="B10" s="14"/>
    </row>
    <row r="11" customFormat="false" ht="15" hidden="false" customHeight="false" outlineLevel="0" collapsed="false">
      <c r="A11" s="12" t="s">
        <v>59</v>
      </c>
      <c r="B11" s="14" t="s">
        <v>60</v>
      </c>
      <c r="C11" s="16" t="s">
        <v>57</v>
      </c>
      <c r="D11" s="17" t="str">
        <f aca="false">IF($B$11="EXTERNO","",IFERROR(INDEX(ENT_ID,MATCH(1,INDEX((ENT_NOME=$B$12)*(ENT_TIPO=$B$11),0),0)),"NAO ENCONTRADO"))</f>
        <v/>
      </c>
    </row>
    <row r="12" customFormat="false" ht="15" hidden="false" customHeight="false" outlineLevel="0" collapsed="false">
      <c r="A12" s="12" t="s">
        <v>61</v>
      </c>
      <c r="B12" s="14" t="s">
        <v>62</v>
      </c>
    </row>
    <row r="13" customFormat="false" ht="15" hidden="false" customHeight="false" outlineLevel="0" collapsed="false">
      <c r="A13" s="12" t="s">
        <v>63</v>
      </c>
      <c r="B13" s="14" t="s">
        <v>64</v>
      </c>
      <c r="C13" s="16" t="s">
        <v>57</v>
      </c>
      <c r="D13" s="17" t="str">
        <f aca="false">IF($B$13="","",IFERROR(INDEX(CAT_ID,MATCH($B$13,CAT_NOME,0)),"NAO ENCONTRADO"))</f>
        <v>CAT-000001</v>
      </c>
    </row>
    <row r="14" customFormat="false" ht="15" hidden="false" customHeight="false" outlineLevel="0" collapsed="false">
      <c r="A14" s="12" t="s">
        <v>65</v>
      </c>
      <c r="B14" s="14" t="s">
        <v>66</v>
      </c>
      <c r="C14" s="16" t="s">
        <v>57</v>
      </c>
      <c r="D14" s="17" t="str">
        <f aca="false">IF($B$14="","",IFERROR(INDEX(SUB_ID,MATCH(1,INDEX((SUB_NOME=$B$14)*(SUB_CATID=$D$13),0),0)),"NAO ENCONTRADO"))</f>
        <v>SUB-000001</v>
      </c>
    </row>
    <row r="15" customFormat="false" ht="15" hidden="false" customHeight="false" outlineLevel="0" collapsed="false">
      <c r="A15" s="12" t="s">
        <v>67</v>
      </c>
      <c r="B15" s="14" t="s">
        <v>68</v>
      </c>
    </row>
    <row r="16" customFormat="false" ht="15" hidden="false" customHeight="false" outlineLevel="0" collapsed="false">
      <c r="A16" s="12" t="s">
        <v>69</v>
      </c>
      <c r="B16" s="14"/>
      <c r="C16" s="16" t="s">
        <v>57</v>
      </c>
      <c r="D16" s="17" t="str">
        <f aca="false">IF($B$16="","",IFERROR(INDEX(CM_ID,MATCH($B$16,CM_NOME,0)),"NAO ENCONTRADO"))</f>
        <v/>
      </c>
    </row>
    <row r="17" customFormat="false" ht="15" hidden="false" customHeight="false" outlineLevel="0" collapsed="false">
      <c r="A17" s="12" t="s">
        <v>70</v>
      </c>
      <c r="B17" s="18"/>
      <c r="C17" s="16" t="s">
        <v>71</v>
      </c>
      <c r="D17" s="17" t="str">
        <f aca="false">IF($D$16="","",IF($B$17="",IFERROR(INDEX(P_ID,MATCH(1,INDEX((P_CMP=$D$16)*(P_STATUS&lt;&gt;"PAGA")*(P_STATUS&lt;&gt;"CANCELADA"),0),0)),""),IFERROR(INDEX(P_ID,MATCH(1,INDEX((P_CMP=$D$16)*(P_NUM=$B$17),0),0)),"NAO ENCONTRADA")))</f>
        <v/>
      </c>
    </row>
    <row r="18" customFormat="false" ht="15" hidden="false" customHeight="false" outlineLevel="0" collapsed="false">
      <c r="A18" s="12" t="s">
        <v>72</v>
      </c>
      <c r="B18" s="14"/>
      <c r="C18" s="16" t="s">
        <v>73</v>
      </c>
      <c r="D18" s="17" t="str">
        <f aca="false">IF($D$17="","",IFERROR(INDEX(P_ROT,MATCH($D$17,P_ID,0))&amp;"  venc "&amp;DAY(INDEX(P_VENC,MATCH($D$17,P_ID,0)))&amp;"/"&amp;MONTH(INDEX(P_VENC,MATCH($D$17,P_ID,0)))&amp;"/"&amp;YEAR(INDEX(P_VENC,MATCH($D$17,P_ID,0)))&amp;"  Gs. "&amp;TEXT(INDEX(P_VALOR,MATCH($D$17,P_ID,0)),"#,##0"),"?"))</f>
        <v/>
      </c>
    </row>
    <row r="19" customFormat="false" ht="15" hidden="false" customHeight="false" outlineLevel="0" collapsed="false">
      <c r="A19" s="12" t="s">
        <v>74</v>
      </c>
      <c r="B19" s="14"/>
    </row>
    <row r="20" customFormat="false" ht="15" hidden="false" customHeight="false" outlineLevel="0" collapsed="false">
      <c r="A20" s="12" t="s">
        <v>75</v>
      </c>
      <c r="B20" s="14"/>
    </row>
    <row r="21" customFormat="false" ht="15" hidden="false" customHeight="false" outlineLevel="0" collapsed="false">
      <c r="A21" s="12" t="s">
        <v>76</v>
      </c>
      <c r="B21" s="14"/>
    </row>
    <row r="23" customFormat="false" ht="19.5" hidden="false" customHeight="true" outlineLevel="0" collapsed="false">
      <c r="A23" s="3" t="s">
        <v>77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12" t="s">
        <v>78</v>
      </c>
      <c r="B24" s="19" t="str">
        <f aca="false">IFERROR(INDEX(MAP_CLASS,MATCH($B$6,MAP_TIPO,0)),"TIPO INVALIDO")</f>
        <v>DESPESA</v>
      </c>
      <c r="C24" s="19"/>
      <c r="D24" s="19"/>
      <c r="E24" s="19"/>
    </row>
    <row r="25" customFormat="false" ht="15" hidden="false" customHeight="false" outlineLevel="0" collapsed="false">
      <c r="A25" s="12" t="s">
        <v>79</v>
      </c>
      <c r="B25" s="19" t="str">
        <f aca="false">IF(AND($B$11="CONTA",$B$9&lt;&gt;"CONTA"),"ENTRADA de caixa",IF(AND($B$9="CONTA",$B$11&lt;&gt;"CONTA"),"SAIDA de caixa","NAO afeta o caixa"))</f>
        <v>SAIDA de caixa</v>
      </c>
      <c r="C25" s="19"/>
      <c r="D25" s="19"/>
      <c r="E25" s="19"/>
    </row>
    <row r="26" customFormat="false" ht="15" hidden="false" customHeight="false" outlineLevel="0" collapsed="false">
      <c r="A26" s="12" t="s">
        <v>80</v>
      </c>
      <c r="B26" s="19" t="str">
        <f aca="false">IF($B$8&lt;=0,"ERRO: valor deve ser maior que zero",IF(AND($B$9="EXTERNO",$B$11="EXTERNO"),"ERRO: origem e destino externos",IF(AND($B$9&lt;&gt;"EXTERNO",$D$9=""),"ERRO: origem nao resolvida",IF(AND($B$11&lt;&gt;"EXTERNO",$D$11=""),"ERRO: destino nao resolvido",IF($D$13="","ERRO: categoria nao resolvida",IF(AND($B$14&lt;&gt;"",$D$14="NAO ENCONTRADO"),"ERRO: subcategoria nao pertence a categoria",IF(AND($D$16&lt;&gt;"",$D$17=""),"ATENCAO: compromisso sem parcela em aberto","PRONTO PARA COLAR")))))))</f>
        <v>PRONTO PARA COLAR</v>
      </c>
      <c r="C26" s="19"/>
      <c r="D26" s="19"/>
      <c r="E26" s="19"/>
    </row>
    <row r="27" customFormat="false" ht="15" hidden="false" customHeight="false" outlineLevel="0" collapsed="false">
      <c r="A27" s="12" t="s">
        <v>81</v>
      </c>
      <c r="B27" s="19" t="str">
        <f aca="false">IF(AND($D$16="",$D$18="",$B$19="",$B$20=""),"Sem vinculos","ATENCAO: este lancamento fica vinculado a "&amp;TRIM(IF($D$16&lt;&gt;"","compromisso/parcela ","")&amp;IF($D$18&lt;&gt;"","meta ","")&amp;IF($B$19&lt;&gt;"","recorrencia ","")&amp;IF($B$20&lt;&gt;"","estorno","")))</f>
        <v>Sem vinculos</v>
      </c>
      <c r="C27" s="19"/>
      <c r="D27" s="19"/>
      <c r="E27" s="19"/>
    </row>
    <row r="29" customFormat="false" ht="19.5" hidden="false" customHeight="true" outlineLevel="0" collapsed="false">
      <c r="A29" s="3" t="s">
        <v>82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30" hidden="false" customHeight="true" outlineLevel="0" collapsed="false">
      <c r="A30" s="8" t="s">
        <v>47</v>
      </c>
      <c r="B30" s="8" t="s">
        <v>48</v>
      </c>
      <c r="C30" s="8" t="s">
        <v>83</v>
      </c>
      <c r="D30" s="8" t="s">
        <v>52</v>
      </c>
      <c r="E30" s="8" t="s">
        <v>84</v>
      </c>
      <c r="F30" s="8" t="s">
        <v>85</v>
      </c>
      <c r="G30" s="8" t="s">
        <v>86</v>
      </c>
      <c r="H30" s="8" t="s">
        <v>87</v>
      </c>
      <c r="I30" s="8" t="s">
        <v>88</v>
      </c>
      <c r="J30" s="8" t="s">
        <v>89</v>
      </c>
      <c r="K30" s="8" t="s">
        <v>90</v>
      </c>
      <c r="L30" s="8" t="s">
        <v>91</v>
      </c>
      <c r="M30" s="8" t="s">
        <v>92</v>
      </c>
      <c r="N30" s="8" t="s">
        <v>93</v>
      </c>
      <c r="O30" s="8" t="s">
        <v>94</v>
      </c>
      <c r="P30" s="8" t="s">
        <v>95</v>
      </c>
      <c r="Q30" s="8" t="s">
        <v>96</v>
      </c>
      <c r="R30" s="8" t="s">
        <v>76</v>
      </c>
    </row>
    <row r="31" customFormat="false" ht="15" hidden="false" customHeight="false" outlineLevel="0" collapsed="false">
      <c r="A31" s="20" t="n">
        <f aca="false">$B$4</f>
        <v>46270</v>
      </c>
      <c r="B31" s="21" t="str">
        <f aca="false">$B$5</f>
        <v>Exemplo: Supermercado da semana</v>
      </c>
      <c r="C31" s="21" t="str">
        <f aca="false">$B$6</f>
        <v>DESPESA</v>
      </c>
      <c r="D31" s="21" t="str">
        <f aca="false">$B$7</f>
        <v>REALIZADO</v>
      </c>
      <c r="E31" s="22" t="n">
        <f aca="false">$B$8</f>
        <v>250000</v>
      </c>
      <c r="F31" s="21" t="str">
        <f aca="false">$B$9</f>
        <v>CONTA</v>
      </c>
      <c r="G31" s="21" t="str">
        <f aca="false">$D$9</f>
        <v>NAO ENCONTRADO</v>
      </c>
      <c r="H31" s="21" t="str">
        <f aca="false">$B$11</f>
        <v>EXTERNO</v>
      </c>
      <c r="I31" s="21" t="str">
        <f aca="false">$D$11</f>
        <v/>
      </c>
      <c r="J31" s="21" t="str">
        <f aca="false">$D$13</f>
        <v>CAT-000001</v>
      </c>
      <c r="K31" s="21" t="str">
        <f aca="false">$D$14</f>
        <v>SUB-000001</v>
      </c>
      <c r="L31" s="21" t="str">
        <f aca="false">$B$15</f>
        <v>Debito</v>
      </c>
      <c r="M31" s="21" t="str">
        <f aca="false">$D$16</f>
        <v/>
      </c>
      <c r="N31" s="21" t="str">
        <f aca="false">$D$17</f>
        <v/>
      </c>
      <c r="O31" s="21" t="str">
        <f aca="false">$D$18</f>
        <v/>
      </c>
      <c r="P31" s="21" t="n">
        <f aca="false">$B$19</f>
        <v>0</v>
      </c>
      <c r="Q31" s="21" t="n">
        <f aca="false">$B$20</f>
        <v>0</v>
      </c>
      <c r="R31" s="21" t="n">
        <f aca="false">$B$21</f>
        <v>0</v>
      </c>
    </row>
    <row r="33" customFormat="false" ht="19.5" hidden="false" customHeight="true" outlineLevel="0" collapsed="false">
      <c r="A33" s="3" t="s">
        <v>97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true" outlineLevel="0" collapsed="false">
      <c r="A34" s="23" t="s">
        <v>98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customFormat="false" ht="15" hidden="false" customHeight="false" outlineLevel="0" collapsed="false">
      <c r="A35" s="12" t="s">
        <v>99</v>
      </c>
      <c r="B35" s="14"/>
      <c r="C35" s="16" t="s">
        <v>100</v>
      </c>
      <c r="D35" s="24" t="str">
        <f aca="false">IFERROR(INDEX(I_ID,MATCH($B$35,I_NOME,0)),"NAO ENCONTRADO")</f>
        <v>NAO ENCONTRADO</v>
      </c>
    </row>
    <row r="36" customFormat="false" ht="15" hidden="false" customHeight="false" outlineLevel="0" collapsed="false">
      <c r="A36" s="12" t="s">
        <v>101</v>
      </c>
      <c r="B36" s="14"/>
      <c r="C36" s="16" t="s">
        <v>100</v>
      </c>
      <c r="D36" s="24" t="str">
        <f aca="false">IFERROR(INDEX(C_ID,MATCH($B$36,C_NOME,0)),"NAO ENCONTRADO")</f>
        <v>NAO ENCONTRADO</v>
      </c>
    </row>
    <row r="37" customFormat="false" ht="15" hidden="false" customHeight="false" outlineLevel="0" collapsed="false">
      <c r="A37" s="12" t="s">
        <v>102</v>
      </c>
      <c r="B37" s="13" t="n">
        <v>46270</v>
      </c>
    </row>
    <row r="38" customFormat="false" ht="15" hidden="false" customHeight="false" outlineLevel="0" collapsed="false">
      <c r="A38" s="12" t="s">
        <v>103</v>
      </c>
      <c r="B38" s="15" t="n">
        <v>3000000</v>
      </c>
    </row>
    <row r="39" customFormat="false" ht="15" hidden="false" customHeight="false" outlineLevel="0" collapsed="false">
      <c r="A39" s="12" t="s">
        <v>104</v>
      </c>
      <c r="B39" s="15" t="n">
        <v>0</v>
      </c>
      <c r="C39" s="16" t="s">
        <v>105</v>
      </c>
      <c r="D39" s="25" t="n">
        <f aca="false">MAX(0,$B$38-$B$39)</f>
        <v>3000000</v>
      </c>
    </row>
    <row r="41" customFormat="false" ht="30" hidden="false" customHeight="true" outlineLevel="0" collapsed="false">
      <c r="A41" s="8" t="s">
        <v>47</v>
      </c>
      <c r="B41" s="8" t="s">
        <v>48</v>
      </c>
      <c r="C41" s="8" t="s">
        <v>83</v>
      </c>
      <c r="D41" s="8" t="s">
        <v>52</v>
      </c>
      <c r="E41" s="8" t="s">
        <v>84</v>
      </c>
      <c r="F41" s="8" t="s">
        <v>85</v>
      </c>
      <c r="G41" s="8" t="s">
        <v>86</v>
      </c>
      <c r="H41" s="8" t="s">
        <v>87</v>
      </c>
      <c r="I41" s="8" t="s">
        <v>88</v>
      </c>
      <c r="J41" s="8" t="s">
        <v>89</v>
      </c>
      <c r="K41" s="8" t="s">
        <v>90</v>
      </c>
      <c r="L41" s="8" t="s">
        <v>91</v>
      </c>
      <c r="M41" s="8" t="s">
        <v>92</v>
      </c>
      <c r="N41" s="8" t="s">
        <v>93</v>
      </c>
      <c r="O41" s="8" t="s">
        <v>94</v>
      </c>
      <c r="P41" s="8" t="s">
        <v>95</v>
      </c>
      <c r="Q41" s="8" t="s">
        <v>96</v>
      </c>
      <c r="R41" s="8" t="s">
        <v>76</v>
      </c>
    </row>
    <row r="42" customFormat="false" ht="15" hidden="false" customHeight="false" outlineLevel="0" collapsed="false">
      <c r="A42" s="26" t="n">
        <f aca="false">$B$37</f>
        <v>46270</v>
      </c>
      <c r="B42" s="27" t="str">
        <f aca="false">"Rendimento de "&amp;$B$35</f>
        <v>Rendimento de </v>
      </c>
      <c r="C42" s="27" t="str">
        <f aca="false">"RENDIMENTO"</f>
        <v>RENDIMENTO</v>
      </c>
      <c r="D42" s="27" t="str">
        <f aca="false">"REALIZADO"</f>
        <v>REALIZADO</v>
      </c>
      <c r="E42" s="28" t="n">
        <f aca="false">$B$39</f>
        <v>0</v>
      </c>
      <c r="F42" s="27" t="str">
        <f aca="false">"EXTERNO"</f>
        <v>EXTERNO</v>
      </c>
      <c r="G42" s="27" t="str">
        <f aca="false">""</f>
        <v/>
      </c>
      <c r="H42" s="27" t="str">
        <f aca="false">"INVESTIMENTO"</f>
        <v>INVESTIMENTO</v>
      </c>
      <c r="I42" s="27" t="str">
        <f aca="false">$D$35</f>
        <v>NAO ENCONTRADO</v>
      </c>
      <c r="J42" s="27" t="str">
        <f aca="false">IFERROR(INDEX(CAT_ID,MATCH("Receitas",CAT_NOME,0)),"")</f>
        <v>CAT-000010</v>
      </c>
      <c r="K42" s="27" t="str">
        <f aca="false">IFERROR(INDEX(SUB_ID,MATCH(1,INDEX((SUB_NOME="Rendimento financeiro"),0),0)),"")</f>
        <v>SUB-000044</v>
      </c>
      <c r="L42" s="27" t="str">
        <f aca="false">"Transferencia"</f>
        <v>Transferencia</v>
      </c>
      <c r="M42" s="27" t="str">
        <f aca="false">""</f>
        <v/>
      </c>
      <c r="N42" s="27" t="str">
        <f aca="false">""</f>
        <v/>
      </c>
      <c r="O42" s="27" t="str">
        <f aca="false">""</f>
        <v/>
      </c>
      <c r="P42" s="27" t="str">
        <f aca="false">""</f>
        <v/>
      </c>
      <c r="Q42" s="27" t="str">
        <f aca="false">""</f>
        <v/>
      </c>
      <c r="R42" s="27" t="str">
        <f aca="false">"Rendimento reconhecido no momento do resgate"</f>
        <v>Rendimento reconhecido no momento do resgate</v>
      </c>
    </row>
    <row r="43" customFormat="false" ht="15" hidden="false" customHeight="false" outlineLevel="0" collapsed="false">
      <c r="A43" s="26" t="n">
        <f aca="false">$B$37</f>
        <v>46270</v>
      </c>
      <c r="B43" s="27" t="str">
        <f aca="false">"Resgate de "&amp;$B$35</f>
        <v>Resgate de </v>
      </c>
      <c r="C43" s="27" t="str">
        <f aca="false">"RESGATE"</f>
        <v>RESGATE</v>
      </c>
      <c r="D43" s="27" t="str">
        <f aca="false">"REALIZADO"</f>
        <v>REALIZADO</v>
      </c>
      <c r="E43" s="28" t="n">
        <f aca="false">$B$38</f>
        <v>3000000</v>
      </c>
      <c r="F43" s="27" t="str">
        <f aca="false">"INVESTIMENTO"</f>
        <v>INVESTIMENTO</v>
      </c>
      <c r="G43" s="27" t="str">
        <f aca="false">$D$35</f>
        <v>NAO ENCONTRADO</v>
      </c>
      <c r="H43" s="27" t="str">
        <f aca="false">"CONTA"</f>
        <v>CONTA</v>
      </c>
      <c r="I43" s="27" t="str">
        <f aca="false">$D$36</f>
        <v>NAO ENCONTRADO</v>
      </c>
      <c r="J43" s="27" t="str">
        <f aca="false">IFERROR(INDEX(CAT_ID,MATCH("Investimentos",CAT_NOME,0)),"")</f>
        <v>CAT-000009</v>
      </c>
      <c r="K43" s="27" t="str">
        <f aca="false">IFERROR(INDEX(SUB_ID,MATCH(1,INDEX((SUB_NOME="Resgate"),0),0)),"")</f>
        <v>SUB-000039</v>
      </c>
      <c r="L43" s="27" t="str">
        <f aca="false">"Transferencia"</f>
        <v>Transferencia</v>
      </c>
      <c r="M43" s="27" t="str">
        <f aca="false">""</f>
        <v/>
      </c>
      <c r="N43" s="27" t="str">
        <f aca="false">""</f>
        <v/>
      </c>
      <c r="O43" s="27" t="str">
        <f aca="false">""</f>
        <v/>
      </c>
      <c r="P43" s="27" t="str">
        <f aca="false">""</f>
        <v/>
      </c>
      <c r="Q43" s="27" t="str">
        <f aca="false">""</f>
        <v/>
      </c>
      <c r="R43" s="27" t="str">
        <f aca="false">"Operacao neutra: principal nao e receita"</f>
        <v>Operacao neutra: principal nao e receita</v>
      </c>
    </row>
    <row r="46" customFormat="false" ht="19.5" hidden="false" customHeight="true" outlineLevel="0" collapsed="false">
      <c r="A46" s="3" t="s">
        <v>106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12" t="s">
        <v>107</v>
      </c>
      <c r="B47" s="14"/>
    </row>
    <row r="48" customFormat="false" ht="15" hidden="false" customHeight="false" outlineLevel="0" collapsed="false">
      <c r="A48" s="12" t="s">
        <v>108</v>
      </c>
      <c r="B48" s="14" t="s">
        <v>109</v>
      </c>
    </row>
    <row r="49" customFormat="false" ht="15" hidden="false" customHeight="false" outlineLevel="0" collapsed="false">
      <c r="A49" s="12" t="s">
        <v>47</v>
      </c>
      <c r="B49" s="13" t="n">
        <v>46270</v>
      </c>
    </row>
    <row r="50" customFormat="false" ht="15" hidden="false" customHeight="false" outlineLevel="0" collapsed="false">
      <c r="A50" s="12" t="s">
        <v>84</v>
      </c>
      <c r="B50" s="15" t="n">
        <v>1500000</v>
      </c>
    </row>
    <row r="51" customFormat="false" ht="15" hidden="false" customHeight="false" outlineLevel="0" collapsed="false">
      <c r="A51" s="12" t="s">
        <v>110</v>
      </c>
      <c r="B51" s="14"/>
    </row>
    <row r="52" customFormat="false" ht="15" hidden="false" customHeight="false" outlineLevel="0" collapsed="false">
      <c r="A52" s="12" t="s">
        <v>111</v>
      </c>
      <c r="B52" s="14"/>
    </row>
    <row r="53" customFormat="false" ht="15" hidden="false" customHeight="false" outlineLevel="0" collapsed="false">
      <c r="A53" s="12" t="s">
        <v>76</v>
      </c>
      <c r="B53" s="14" t="s">
        <v>112</v>
      </c>
    </row>
    <row r="55" customFormat="false" ht="30" hidden="false" customHeight="true" outlineLevel="0" collapsed="false">
      <c r="A55" s="8" t="s">
        <v>47</v>
      </c>
      <c r="B55" s="8" t="s">
        <v>94</v>
      </c>
      <c r="C55" s="8" t="s">
        <v>113</v>
      </c>
      <c r="D55" s="8" t="s">
        <v>84</v>
      </c>
      <c r="E55" s="8" t="s">
        <v>114</v>
      </c>
      <c r="F55" s="8" t="s">
        <v>115</v>
      </c>
      <c r="G55" s="8" t="s">
        <v>76</v>
      </c>
    </row>
    <row r="56" customFormat="false" ht="15" hidden="false" customHeight="false" outlineLevel="0" collapsed="false">
      <c r="A56" s="20" t="n">
        <f aca="false">$B$49</f>
        <v>46270</v>
      </c>
      <c r="B56" s="21" t="str">
        <f aca="false">IFERROR(INDEX(M_ID,MATCH($B$47,M_NOME,0)),"NAO ENCONTRADO")</f>
        <v>NAO ENCONTRADO</v>
      </c>
      <c r="C56" s="21" t="str">
        <f aca="false">$B$48</f>
        <v>RESERVA</v>
      </c>
      <c r="D56" s="22" t="n">
        <f aca="false">$B$50</f>
        <v>1500000</v>
      </c>
      <c r="E56" s="21" t="n">
        <f aca="false">$B$51</f>
        <v>0</v>
      </c>
      <c r="F56" s="21" t="str">
        <f aca="false">IF($B$52="","",IFERROR(INDEX(M_ID,MATCH($B$52,M_NOME,0)),"NAO ENCONTRADO"))</f>
        <v/>
      </c>
      <c r="G56" s="21" t="str">
        <f aca="false">$B$53</f>
        <v>Reserva mensal</v>
      </c>
    </row>
  </sheetData>
  <mergeCells count="11">
    <mergeCell ref="A1:H1"/>
    <mergeCell ref="A2:H2"/>
    <mergeCell ref="A23:H23"/>
    <mergeCell ref="B24:E24"/>
    <mergeCell ref="B25:E25"/>
    <mergeCell ref="B26:E26"/>
    <mergeCell ref="B27:E27"/>
    <mergeCell ref="A29:T29"/>
    <mergeCell ref="A33:T33"/>
    <mergeCell ref="A34:T34"/>
    <mergeCell ref="A46:T46"/>
  </mergeCells>
  <dataValidations count="18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6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7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9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1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5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6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8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9" type="list">
      <formula1>R_ID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0" type="list">
      <formula1>INDIRECT("LST_NOMES_"&amp;$B$9)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2" type="list">
      <formula1>INDIRECT("LST_NOMES_"&amp;$B$11)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4" type="list">
      <formula1>INDIRECT("SUB_"&amp;SUBSTITUTE($D$13,"-","_"))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5" type="list">
      <formula1>LST_NOMES_INVESTIMENTO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6" type="list">
      <formula1>LST_NOMES_CONTA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7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8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1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2" type="list">
      <formula1>LST_METAS_NOME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K9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5"/>
    <col collapsed="false" customWidth="true" hidden="false" outlineLevel="0" max="19" min="19" style="0" width="52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2" min="22" style="0" width="9"/>
    <col collapsed="false" customWidth="true" hidden="false" outlineLevel="0" max="23" min="23" style="0" width="20"/>
    <col collapsed="false" customWidth="true" hidden="false" outlineLevel="0" max="25" min="24" style="0" width="24"/>
    <col collapsed="false" customWidth="true" hidden="false" outlineLevel="0" max="27" min="26" style="0" width="28"/>
    <col collapsed="false" customWidth="true" hidden="false" outlineLevel="0" max="35" min="28" style="0" width="15"/>
    <col collapsed="false" customWidth="true" hidden="false" outlineLevel="0" max="36" min="36" style="0" width="36"/>
    <col collapsed="false" customWidth="true" hidden="false" outlineLevel="0" max="37" min="37" style="0" width="34"/>
  </cols>
  <sheetData>
    <row r="1" customFormat="false" ht="25.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24" hidden="false" customHeight="true" outlineLevel="0" collapsed="false">
      <c r="A2" s="29" t="s">
        <v>117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4" customFormat="false" ht="30" hidden="false" customHeight="true" outlineLevel="0" collapsed="false">
      <c r="A4" s="8" t="s">
        <v>118</v>
      </c>
      <c r="B4" s="8" t="s">
        <v>47</v>
      </c>
      <c r="C4" s="8" t="s">
        <v>48</v>
      </c>
      <c r="D4" s="8" t="s">
        <v>83</v>
      </c>
      <c r="E4" s="8" t="s">
        <v>52</v>
      </c>
      <c r="F4" s="8" t="s">
        <v>84</v>
      </c>
      <c r="G4" s="8" t="s">
        <v>85</v>
      </c>
      <c r="H4" s="8" t="s">
        <v>86</v>
      </c>
      <c r="I4" s="8" t="s">
        <v>87</v>
      </c>
      <c r="J4" s="8" t="s">
        <v>88</v>
      </c>
      <c r="K4" s="8" t="s">
        <v>89</v>
      </c>
      <c r="L4" s="8" t="s">
        <v>90</v>
      </c>
      <c r="M4" s="8" t="s">
        <v>91</v>
      </c>
      <c r="N4" s="8" t="s">
        <v>92</v>
      </c>
      <c r="O4" s="8" t="s">
        <v>93</v>
      </c>
      <c r="P4" s="8" t="s">
        <v>94</v>
      </c>
      <c r="Q4" s="8" t="s">
        <v>95</v>
      </c>
      <c r="R4" s="8" t="s">
        <v>96</v>
      </c>
      <c r="S4" s="8" t="s">
        <v>76</v>
      </c>
      <c r="T4" s="8" t="s">
        <v>119</v>
      </c>
      <c r="U4" s="8" t="s">
        <v>120</v>
      </c>
      <c r="V4" s="8" t="s">
        <v>121</v>
      </c>
      <c r="W4" s="8" t="s">
        <v>122</v>
      </c>
      <c r="X4" s="8" t="s">
        <v>63</v>
      </c>
      <c r="Y4" s="8" t="s">
        <v>65</v>
      </c>
      <c r="Z4" s="8" t="s">
        <v>123</v>
      </c>
      <c r="AA4" s="8" t="s">
        <v>124</v>
      </c>
      <c r="AB4" s="8" t="s">
        <v>125</v>
      </c>
      <c r="AC4" s="8" t="s">
        <v>126</v>
      </c>
      <c r="AD4" s="8" t="s">
        <v>127</v>
      </c>
      <c r="AE4" s="8" t="s">
        <v>128</v>
      </c>
      <c r="AF4" s="8" t="s">
        <v>129</v>
      </c>
      <c r="AG4" s="8" t="s">
        <v>130</v>
      </c>
      <c r="AH4" s="8" t="s">
        <v>131</v>
      </c>
      <c r="AI4" s="8" t="s">
        <v>132</v>
      </c>
      <c r="AJ4" s="8" t="s">
        <v>133</v>
      </c>
      <c r="AK4" s="8" t="s">
        <v>134</v>
      </c>
    </row>
    <row r="5" customFormat="false" ht="15" hidden="false" customHeight="false" outlineLevel="0" collapsed="false">
      <c r="A5" s="30" t="str">
        <f aca="false">IF($B5="","","LAN-"&amp;TEXT(ROW()-4,"000000"))</f>
        <v/>
      </c>
      <c r="B5" s="31"/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 t="str">
        <f aca="false">IF($B5="","",YEAR($B5))</f>
        <v/>
      </c>
      <c r="U5" s="34" t="str">
        <f aca="false">IF($B5="","",MONTH($B5))</f>
        <v/>
      </c>
      <c r="V5" s="34" t="str">
        <f aca="false">IF($B5="","",YEAR($B5)*100+MONTH($B5))</f>
        <v/>
      </c>
      <c r="W5" s="35" t="str">
        <f aca="false">IF($D5="","",IFERROR(INDEX(MAP_CLASS,MATCH($D5,MAP_TIPO,0)),"TIPO INVALIDO"))</f>
        <v/>
      </c>
      <c r="X5" s="35" t="str">
        <f aca="false">IF($K5="","",IFERROR(INDEX(CAT_NOME,MATCH($K5,CAT_ID,0)),"?"))</f>
        <v/>
      </c>
      <c r="Y5" s="35" t="str">
        <f aca="false">IF($L5="","",IFERROR(INDEX(SUB_NOME,MATCH($L5,SUB_ID,0)),"?"))</f>
        <v/>
      </c>
      <c r="Z5" s="35" t="str">
        <f aca="false">IF($G5="","",IF($G5="EXTERNO","(Externo)",IFERROR(INDEX(ENT_NOME,MATCH($H5,ENT_ID,0)),"?")))</f>
        <v/>
      </c>
      <c r="AA5" s="35" t="str">
        <f aca="false">IF($I5="","",IF($I5="EXTERNO","(Externo)",IFERROR(INDEX(ENT_NOME,MATCH($J5,ENT_ID,0)),"?")))</f>
        <v/>
      </c>
      <c r="AB5" s="36" t="n">
        <f aca="false">IF($B5="",0,IF(AND($I5="CONTA",$G5&lt;&gt;"CONTA"),$F5,0))</f>
        <v>0</v>
      </c>
      <c r="AC5" s="36" t="n">
        <f aca="false">IF($B5="",0,IF(AND($G5="CONTA",$I5&lt;&gt;"CONTA"),$F5,0))</f>
        <v>0</v>
      </c>
      <c r="AD5" s="36" t="n">
        <f aca="false">IF($W5="RECEITA",$F5,0)</f>
        <v>0</v>
      </c>
      <c r="AE5" s="36" t="n">
        <f aca="false">IF($W5="DESPESA",$F5,0)</f>
        <v>0</v>
      </c>
      <c r="AF5" s="36" t="n">
        <f aca="false">IF($W5="RECEITA_FINANCEIRA",$F5,0)</f>
        <v>0</v>
      </c>
      <c r="AG5" s="36" t="n">
        <f aca="false">IF($B5="",0,IF($I5="CONTA",$F5,0)-IF($G5="CONTA",$F5,0))</f>
        <v>0</v>
      </c>
      <c r="AH5" s="36" t="n">
        <f aca="false">IF($B5="",0,IF($G5="CARTAO",$F5,0)-IF($I5="CARTAO",$F5,0))</f>
        <v>0</v>
      </c>
      <c r="AI5" s="36" t="n">
        <f aca="false">IF($B5="",0,IF($I5="INVESTIMENTO",$F5,0)-IF($G5="INVESTIMENTO",$F5,0))</f>
        <v>0</v>
      </c>
      <c r="AJ5" s="35" t="str">
        <f aca="false">IF($B5="","",IF(NOT(ISNUMBER($F5)),"ERRO: valor nao numerico",IF($F5&lt;=0,"ERRO: valor deve ser maior que zero",IF(COUNTIF(MAP_TIPO,$D5)=0,"ERRO: tipo de operacao nao cadastrado",IF(COUNTIF(LST_STATUS,$E5)=0,"ERRO: status invalido",IF(AND($G5="EXTERNO",$I5="EXTERNO"),"ERRO: origem e destino externos",IF(AND($G5&lt;&gt;"EXTERNO",COUNTIFS(ENT_ID,$H5,ENT_TIPO,$G5)=0),"ERRO: origem inexistente",IF(AND($I5&lt;&gt;"EXTERNO",COUNTIFS(ENT_ID,$J5,ENT_TIPO,$I5)=0),"ERRO: destino inexistente",IF(AND($K5&lt;&gt;"",COUNTIF(CAT_ID,$K5)=0),"ERRO: categoria inexistente",IF(AND($L5&lt;&gt;"",COUNTIF(SUB_ID,$L5)=0),"ERRO: subcategoria inexistente",IF(AND($L5&lt;&gt;"",$K5&lt;&gt;"",IFERROR(INDEX(SUB_CATID,MATCH($L5,SUB_ID,0)),"")&lt;&gt;$K5),"ERRO: subcategoria nao pertence a categoria",IF(AND($O5&lt;&gt;"",COUNTIF(P_ID,$O5)=0),"ERRO: parcela inexistente",IF(AND($N5&lt;&gt;"",COUNTIF(CM_ID,$N5)=0),"ERRO: compromisso inexistente","OK")))))))))))))</f>
        <v/>
      </c>
      <c r="AK5" s="35" t="str">
        <f aca="false">IF($B5="","",IF(AND($N5="",$O5="",$P5="",$Q5="",$R5=""),"","VINCULADO: "&amp;TRIM(IF($N5&lt;&gt;"",$N5&amp;" ","")&amp;IF($O5&lt;&gt;"",$O5&amp;" ","")&amp;IF($P5&lt;&gt;"",$P5&amp;" ","")&amp;IF($Q5&lt;&gt;"",$Q5&amp;" ","")&amp;IF($R5&lt;&gt;"",$R5,""))))</f>
        <v/>
      </c>
    </row>
    <row r="6" customFormat="false" ht="15" hidden="false" customHeight="false" outlineLevel="0" collapsed="false">
      <c r="A6" s="30" t="str">
        <f aca="false">IF($B6="","","LAN-"&amp;TEXT(ROW()-4,"000000"))</f>
        <v/>
      </c>
      <c r="B6" s="31"/>
      <c r="C6" s="32"/>
      <c r="D6" s="32"/>
      <c r="E6" s="32"/>
      <c r="F6" s="33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 t="str">
        <f aca="false">IF($B6="","",YEAR($B6))</f>
        <v/>
      </c>
      <c r="U6" s="34" t="str">
        <f aca="false">IF($B6="","",MONTH($B6))</f>
        <v/>
      </c>
      <c r="V6" s="34" t="str">
        <f aca="false">IF($B6="","",YEAR($B6)*100+MONTH($B6))</f>
        <v/>
      </c>
      <c r="W6" s="35" t="str">
        <f aca="false">IF($D6="","",IFERROR(INDEX(MAP_CLASS,MATCH($D6,MAP_TIPO,0)),"TIPO INVALIDO"))</f>
        <v/>
      </c>
      <c r="X6" s="35" t="str">
        <f aca="false">IF($K6="","",IFERROR(INDEX(CAT_NOME,MATCH($K6,CAT_ID,0)),"?"))</f>
        <v/>
      </c>
      <c r="Y6" s="35" t="str">
        <f aca="false">IF($L6="","",IFERROR(INDEX(SUB_NOME,MATCH($L6,SUB_ID,0)),"?"))</f>
        <v/>
      </c>
      <c r="Z6" s="35" t="str">
        <f aca="false">IF($G6="","",IF($G6="EXTERNO","(Externo)",IFERROR(INDEX(ENT_NOME,MATCH($H6,ENT_ID,0)),"?")))</f>
        <v/>
      </c>
      <c r="AA6" s="35" t="str">
        <f aca="false">IF($I6="","",IF($I6="EXTERNO","(Externo)",IFERROR(INDEX(ENT_NOME,MATCH($J6,ENT_ID,0)),"?")))</f>
        <v/>
      </c>
      <c r="AB6" s="36" t="n">
        <f aca="false">IF($B6="",0,IF(AND($I6="CONTA",$G6&lt;&gt;"CONTA"),$F6,0))</f>
        <v>0</v>
      </c>
      <c r="AC6" s="36" t="n">
        <f aca="false">IF($B6="",0,IF(AND($G6="CONTA",$I6&lt;&gt;"CONTA"),$F6,0))</f>
        <v>0</v>
      </c>
      <c r="AD6" s="36" t="n">
        <f aca="false">IF($W6="RECEITA",$F6,0)</f>
        <v>0</v>
      </c>
      <c r="AE6" s="36" t="n">
        <f aca="false">IF($W6="DESPESA",$F6,0)</f>
        <v>0</v>
      </c>
      <c r="AF6" s="36" t="n">
        <f aca="false">IF($W6="RECEITA_FINANCEIRA",$F6,0)</f>
        <v>0</v>
      </c>
      <c r="AG6" s="36" t="n">
        <f aca="false">IF($B6="",0,IF($I6="CONTA",$F6,0)-IF($G6="CONTA",$F6,0))</f>
        <v>0</v>
      </c>
      <c r="AH6" s="36" t="n">
        <f aca="false">IF($B6="",0,IF($G6="CARTAO",$F6,0)-IF($I6="CARTAO",$F6,0))</f>
        <v>0</v>
      </c>
      <c r="AI6" s="36" t="n">
        <f aca="false">IF($B6="",0,IF($I6="INVESTIMENTO",$F6,0)-IF($G6="INVESTIMENTO",$F6,0))</f>
        <v>0</v>
      </c>
      <c r="AJ6" s="35" t="str">
        <f aca="false">IF($B6="","",IF(NOT(ISNUMBER($F6)),"ERRO: valor nao numerico",IF($F6&lt;=0,"ERRO: valor deve ser maior que zero",IF(COUNTIF(MAP_TIPO,$D6)=0,"ERRO: tipo de operacao nao cadastrado",IF(COUNTIF(LST_STATUS,$E6)=0,"ERRO: status invalido",IF(AND($G6="EXTERNO",$I6="EXTERNO"),"ERRO: origem e destino externos",IF(AND($G6&lt;&gt;"EXTERNO",COUNTIFS(ENT_ID,$H6,ENT_TIPO,$G6)=0),"ERRO: origem inexistente",IF(AND($I6&lt;&gt;"EXTERNO",COUNTIFS(ENT_ID,$J6,ENT_TIPO,$I6)=0),"ERRO: destino inexistente",IF(AND($K6&lt;&gt;"",COUNTIF(CAT_ID,$K6)=0),"ERRO: categoria inexistente",IF(AND($L6&lt;&gt;"",COUNTIF(SUB_ID,$L6)=0),"ERRO: subcategoria inexistente",IF(AND($L6&lt;&gt;"",$K6&lt;&gt;"",IFERROR(INDEX(SUB_CATID,MATCH($L6,SUB_ID,0)),"")&lt;&gt;$K6),"ERRO: subcategoria nao pertence a categoria",IF(AND($O6&lt;&gt;"",COUNTIF(P_ID,$O6)=0),"ERRO: parcela inexistente",IF(AND($N6&lt;&gt;"",COUNTIF(CM_ID,$N6)=0),"ERRO: compromisso inexistente","OK")))))))))))))</f>
        <v/>
      </c>
      <c r="AK6" s="35" t="str">
        <f aca="false">IF($B6="","",IF(AND($N6="",$O6="",$P6="",$Q6="",$R6=""),"","VINCULADO: "&amp;TRIM(IF($N6&lt;&gt;"",$N6&amp;" ","")&amp;IF($O6&lt;&gt;"",$O6&amp;" ","")&amp;IF($P6&lt;&gt;"",$P6&amp;" ","")&amp;IF($Q6&lt;&gt;"",$Q6&amp;" ","")&amp;IF($R6&lt;&gt;"",$R6,""))))</f>
        <v/>
      </c>
    </row>
    <row r="7" customFormat="false" ht="15" hidden="false" customHeight="false" outlineLevel="0" collapsed="false">
      <c r="A7" s="30" t="str">
        <f aca="false">IF($B7="","","LAN-"&amp;TEXT(ROW()-4,"000000"))</f>
        <v/>
      </c>
      <c r="B7" s="31"/>
      <c r="C7" s="32"/>
      <c r="D7" s="32"/>
      <c r="E7" s="32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4" t="str">
        <f aca="false">IF($B7="","",YEAR($B7))</f>
        <v/>
      </c>
      <c r="U7" s="34" t="str">
        <f aca="false">IF($B7="","",MONTH($B7))</f>
        <v/>
      </c>
      <c r="V7" s="34" t="str">
        <f aca="false">IF($B7="","",YEAR($B7)*100+MONTH($B7))</f>
        <v/>
      </c>
      <c r="W7" s="35" t="str">
        <f aca="false">IF($D7="","",IFERROR(INDEX(MAP_CLASS,MATCH($D7,MAP_TIPO,0)),"TIPO INVALIDO"))</f>
        <v/>
      </c>
      <c r="X7" s="35" t="str">
        <f aca="false">IF($K7="","",IFERROR(INDEX(CAT_NOME,MATCH($K7,CAT_ID,0)),"?"))</f>
        <v/>
      </c>
      <c r="Y7" s="35" t="str">
        <f aca="false">IF($L7="","",IFERROR(INDEX(SUB_NOME,MATCH($L7,SUB_ID,0)),"?"))</f>
        <v/>
      </c>
      <c r="Z7" s="35" t="str">
        <f aca="false">IF($G7="","",IF($G7="EXTERNO","(Externo)",IFERROR(INDEX(ENT_NOME,MATCH($H7,ENT_ID,0)),"?")))</f>
        <v/>
      </c>
      <c r="AA7" s="35" t="str">
        <f aca="false">IF($I7="","",IF($I7="EXTERNO","(Externo)",IFERROR(INDEX(ENT_NOME,MATCH($J7,ENT_ID,0)),"?")))</f>
        <v/>
      </c>
      <c r="AB7" s="36" t="n">
        <f aca="false">IF($B7="",0,IF(AND($I7="CONTA",$G7&lt;&gt;"CONTA"),$F7,0))</f>
        <v>0</v>
      </c>
      <c r="AC7" s="36" t="n">
        <f aca="false">IF($B7="",0,IF(AND($G7="CONTA",$I7&lt;&gt;"CONTA"),$F7,0))</f>
        <v>0</v>
      </c>
      <c r="AD7" s="36" t="n">
        <f aca="false">IF($W7="RECEITA",$F7,0)</f>
        <v>0</v>
      </c>
      <c r="AE7" s="36" t="n">
        <f aca="false">IF($W7="DESPESA",$F7,0)</f>
        <v>0</v>
      </c>
      <c r="AF7" s="36" t="n">
        <f aca="false">IF($W7="RECEITA_FINANCEIRA",$F7,0)</f>
        <v>0</v>
      </c>
      <c r="AG7" s="36" t="n">
        <f aca="false">IF($B7="",0,IF($I7="CONTA",$F7,0)-IF($G7="CONTA",$F7,0))</f>
        <v>0</v>
      </c>
      <c r="AH7" s="36" t="n">
        <f aca="false">IF($B7="",0,IF($G7="CARTAO",$F7,0)-IF($I7="CARTAO",$F7,0))</f>
        <v>0</v>
      </c>
      <c r="AI7" s="36" t="n">
        <f aca="false">IF($B7="",0,IF($I7="INVESTIMENTO",$F7,0)-IF($G7="INVESTIMENTO",$F7,0))</f>
        <v>0</v>
      </c>
      <c r="AJ7" s="35" t="str">
        <f aca="false">IF($B7="","",IF(NOT(ISNUMBER($F7)),"ERRO: valor nao numerico",IF($F7&lt;=0,"ERRO: valor deve ser maior que zero",IF(COUNTIF(MAP_TIPO,$D7)=0,"ERRO: tipo de operacao nao cadastrado",IF(COUNTIF(LST_STATUS,$E7)=0,"ERRO: status invalido",IF(AND($G7="EXTERNO",$I7="EXTERNO"),"ERRO: origem e destino externos",IF(AND($G7&lt;&gt;"EXTERNO",COUNTIFS(ENT_ID,$H7,ENT_TIPO,$G7)=0),"ERRO: origem inexistente",IF(AND($I7&lt;&gt;"EXTERNO",COUNTIFS(ENT_ID,$J7,ENT_TIPO,$I7)=0),"ERRO: destino inexistente",IF(AND($K7&lt;&gt;"",COUNTIF(CAT_ID,$K7)=0),"ERRO: categoria inexistente",IF(AND($L7&lt;&gt;"",COUNTIF(SUB_ID,$L7)=0),"ERRO: subcategoria inexistente",IF(AND($L7&lt;&gt;"",$K7&lt;&gt;"",IFERROR(INDEX(SUB_CATID,MATCH($L7,SUB_ID,0)),"")&lt;&gt;$K7),"ERRO: subcategoria nao pertence a categoria",IF(AND($O7&lt;&gt;"",COUNTIF(P_ID,$O7)=0),"ERRO: parcela inexistente",IF(AND($N7&lt;&gt;"",COUNTIF(CM_ID,$N7)=0),"ERRO: compromisso inexistente","OK")))))))))))))</f>
        <v/>
      </c>
      <c r="AK7" s="35" t="str">
        <f aca="false">IF($B7="","",IF(AND($N7="",$O7="",$P7="",$Q7="",$R7=""),"","VINCULADO: "&amp;TRIM(IF($N7&lt;&gt;"",$N7&amp;" ","")&amp;IF($O7&lt;&gt;"",$O7&amp;" ","")&amp;IF($P7&lt;&gt;"",$P7&amp;" ","")&amp;IF($Q7&lt;&gt;"",$Q7&amp;" ","")&amp;IF($R7&lt;&gt;"",$R7,""))))</f>
        <v/>
      </c>
    </row>
    <row r="8" customFormat="false" ht="15" hidden="false" customHeight="false" outlineLevel="0" collapsed="false">
      <c r="A8" s="30" t="str">
        <f aca="false">IF($B8="","","LAN-"&amp;TEXT(ROW()-4,"000000"))</f>
        <v/>
      </c>
      <c r="B8" s="31"/>
      <c r="C8" s="32"/>
      <c r="D8" s="32"/>
      <c r="E8" s="32"/>
      <c r="F8" s="33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4" t="str">
        <f aca="false">IF($B8="","",YEAR($B8))</f>
        <v/>
      </c>
      <c r="U8" s="34" t="str">
        <f aca="false">IF($B8="","",MONTH($B8))</f>
        <v/>
      </c>
      <c r="V8" s="34" t="str">
        <f aca="false">IF($B8="","",YEAR($B8)*100+MONTH($B8))</f>
        <v/>
      </c>
      <c r="W8" s="35" t="str">
        <f aca="false">IF($D8="","",IFERROR(INDEX(MAP_CLASS,MATCH($D8,MAP_TIPO,0)),"TIPO INVALIDO"))</f>
        <v/>
      </c>
      <c r="X8" s="35" t="str">
        <f aca="false">IF($K8="","",IFERROR(INDEX(CAT_NOME,MATCH($K8,CAT_ID,0)),"?"))</f>
        <v/>
      </c>
      <c r="Y8" s="35" t="str">
        <f aca="false">IF($L8="","",IFERROR(INDEX(SUB_NOME,MATCH($L8,SUB_ID,0)),"?"))</f>
        <v/>
      </c>
      <c r="Z8" s="35" t="str">
        <f aca="false">IF($G8="","",IF($G8="EXTERNO","(Externo)",IFERROR(INDEX(ENT_NOME,MATCH($H8,ENT_ID,0)),"?")))</f>
        <v/>
      </c>
      <c r="AA8" s="35" t="str">
        <f aca="false">IF($I8="","",IF($I8="EXTERNO","(Externo)",IFERROR(INDEX(ENT_NOME,MATCH($J8,ENT_ID,0)),"?")))</f>
        <v/>
      </c>
      <c r="AB8" s="36" t="n">
        <f aca="false">IF($B8="",0,IF(AND($I8="CONTA",$G8&lt;&gt;"CONTA"),$F8,0))</f>
        <v>0</v>
      </c>
      <c r="AC8" s="36" t="n">
        <f aca="false">IF($B8="",0,IF(AND($G8="CONTA",$I8&lt;&gt;"CONTA"),$F8,0))</f>
        <v>0</v>
      </c>
      <c r="AD8" s="36" t="n">
        <f aca="false">IF($W8="RECEITA",$F8,0)</f>
        <v>0</v>
      </c>
      <c r="AE8" s="36" t="n">
        <f aca="false">IF($W8="DESPESA",$F8,0)</f>
        <v>0</v>
      </c>
      <c r="AF8" s="36" t="n">
        <f aca="false">IF($W8="RECEITA_FINANCEIRA",$F8,0)</f>
        <v>0</v>
      </c>
      <c r="AG8" s="36" t="n">
        <f aca="false">IF($B8="",0,IF($I8="CONTA",$F8,0)-IF($G8="CONTA",$F8,0))</f>
        <v>0</v>
      </c>
      <c r="AH8" s="36" t="n">
        <f aca="false">IF($B8="",0,IF($G8="CARTAO",$F8,0)-IF($I8="CARTAO",$F8,0))</f>
        <v>0</v>
      </c>
      <c r="AI8" s="36" t="n">
        <f aca="false">IF($B8="",0,IF($I8="INVESTIMENTO",$F8,0)-IF($G8="INVESTIMENTO",$F8,0))</f>
        <v>0</v>
      </c>
      <c r="AJ8" s="35" t="str">
        <f aca="false">IF($B8="","",IF(NOT(ISNUMBER($F8)),"ERRO: valor nao numerico",IF($F8&lt;=0,"ERRO: valor deve ser maior que zero",IF(COUNTIF(MAP_TIPO,$D8)=0,"ERRO: tipo de operacao nao cadastrado",IF(COUNTIF(LST_STATUS,$E8)=0,"ERRO: status invalido",IF(AND($G8="EXTERNO",$I8="EXTERNO"),"ERRO: origem e destino externos",IF(AND($G8&lt;&gt;"EXTERNO",COUNTIFS(ENT_ID,$H8,ENT_TIPO,$G8)=0),"ERRO: origem inexistente",IF(AND($I8&lt;&gt;"EXTERNO",COUNTIFS(ENT_ID,$J8,ENT_TIPO,$I8)=0),"ERRO: destino inexistente",IF(AND($K8&lt;&gt;"",COUNTIF(CAT_ID,$K8)=0),"ERRO: categoria inexistente",IF(AND($L8&lt;&gt;"",COUNTIF(SUB_ID,$L8)=0),"ERRO: subcategoria inexistente",IF(AND($L8&lt;&gt;"",$K8&lt;&gt;"",IFERROR(INDEX(SUB_CATID,MATCH($L8,SUB_ID,0)),"")&lt;&gt;$K8),"ERRO: subcategoria nao pertence a categoria",IF(AND($O8&lt;&gt;"",COUNTIF(P_ID,$O8)=0),"ERRO: parcela inexistente",IF(AND($N8&lt;&gt;"",COUNTIF(CM_ID,$N8)=0),"ERRO: compromisso inexistente","OK")))))))))))))</f>
        <v/>
      </c>
      <c r="AK8" s="35" t="str">
        <f aca="false">IF($B8="","",IF(AND($N8="",$O8="",$P8="",$Q8="",$R8=""),"","VINCULADO: "&amp;TRIM(IF($N8&lt;&gt;"",$N8&amp;" ","")&amp;IF($O8&lt;&gt;"",$O8&amp;" ","")&amp;IF($P8&lt;&gt;"",$P8&amp;" ","")&amp;IF($Q8&lt;&gt;"",$Q8&amp;" ","")&amp;IF($R8&lt;&gt;"",$R8,""))))</f>
        <v/>
      </c>
    </row>
    <row r="9" customFormat="false" ht="15" hidden="false" customHeight="false" outlineLevel="0" collapsed="false">
      <c r="A9" s="30" t="str">
        <f aca="false">IF($B9="","","LAN-"&amp;TEXT(ROW()-4,"000000"))</f>
        <v/>
      </c>
      <c r="B9" s="31"/>
      <c r="C9" s="32"/>
      <c r="D9" s="32"/>
      <c r="E9" s="32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 t="str">
        <f aca="false">IF($B9="","",YEAR($B9))</f>
        <v/>
      </c>
      <c r="U9" s="34" t="str">
        <f aca="false">IF($B9="","",MONTH($B9))</f>
        <v/>
      </c>
      <c r="V9" s="34" t="str">
        <f aca="false">IF($B9="","",YEAR($B9)*100+MONTH($B9))</f>
        <v/>
      </c>
      <c r="W9" s="35" t="str">
        <f aca="false">IF($D9="","",IFERROR(INDEX(MAP_CLASS,MATCH($D9,MAP_TIPO,0)),"TIPO INVALIDO"))</f>
        <v/>
      </c>
      <c r="X9" s="35" t="str">
        <f aca="false">IF($K9="","",IFERROR(INDEX(CAT_NOME,MATCH($K9,CAT_ID,0)),"?"))</f>
        <v/>
      </c>
      <c r="Y9" s="35" t="str">
        <f aca="false">IF($L9="","",IFERROR(INDEX(SUB_NOME,MATCH($L9,SUB_ID,0)),"?"))</f>
        <v/>
      </c>
      <c r="Z9" s="35" t="str">
        <f aca="false">IF($G9="","",IF($G9="EXTERNO","(Externo)",IFERROR(INDEX(ENT_NOME,MATCH($H9,ENT_ID,0)),"?")))</f>
        <v/>
      </c>
      <c r="AA9" s="35" t="str">
        <f aca="false">IF($I9="","",IF($I9="EXTERNO","(Externo)",IFERROR(INDEX(ENT_NOME,MATCH($J9,ENT_ID,0)),"?")))</f>
        <v/>
      </c>
      <c r="AB9" s="36" t="n">
        <f aca="false">IF($B9="",0,IF(AND($I9="CONTA",$G9&lt;&gt;"CONTA"),$F9,0))</f>
        <v>0</v>
      </c>
      <c r="AC9" s="36" t="n">
        <f aca="false">IF($B9="",0,IF(AND($G9="CONTA",$I9&lt;&gt;"CONTA"),$F9,0))</f>
        <v>0</v>
      </c>
      <c r="AD9" s="36" t="n">
        <f aca="false">IF($W9="RECEITA",$F9,0)</f>
        <v>0</v>
      </c>
      <c r="AE9" s="36" t="n">
        <f aca="false">IF($W9="DESPESA",$F9,0)</f>
        <v>0</v>
      </c>
      <c r="AF9" s="36" t="n">
        <f aca="false">IF($W9="RECEITA_FINANCEIRA",$F9,0)</f>
        <v>0</v>
      </c>
      <c r="AG9" s="36" t="n">
        <f aca="false">IF($B9="",0,IF($I9="CONTA",$F9,0)-IF($G9="CONTA",$F9,0))</f>
        <v>0</v>
      </c>
      <c r="AH9" s="36" t="n">
        <f aca="false">IF($B9="",0,IF($G9="CARTAO",$F9,0)-IF($I9="CARTAO",$F9,0))</f>
        <v>0</v>
      </c>
      <c r="AI9" s="36" t="n">
        <f aca="false">IF($B9="",0,IF($I9="INVESTIMENTO",$F9,0)-IF($G9="INVESTIMENTO",$F9,0))</f>
        <v>0</v>
      </c>
      <c r="AJ9" s="35" t="str">
        <f aca="false">IF($B9="","",IF(NOT(ISNUMBER($F9)),"ERRO: valor nao numerico",IF($F9&lt;=0,"ERRO: valor deve ser maior que zero",IF(COUNTIF(MAP_TIPO,$D9)=0,"ERRO: tipo de operacao nao cadastrado",IF(COUNTIF(LST_STATUS,$E9)=0,"ERRO: status invalido",IF(AND($G9="EXTERNO",$I9="EXTERNO"),"ERRO: origem e destino externos",IF(AND($G9&lt;&gt;"EXTERNO",COUNTIFS(ENT_ID,$H9,ENT_TIPO,$G9)=0),"ERRO: origem inexistente",IF(AND($I9&lt;&gt;"EXTERNO",COUNTIFS(ENT_ID,$J9,ENT_TIPO,$I9)=0),"ERRO: destino inexistente",IF(AND($K9&lt;&gt;"",COUNTIF(CAT_ID,$K9)=0),"ERRO: categoria inexistente",IF(AND($L9&lt;&gt;"",COUNTIF(SUB_ID,$L9)=0),"ERRO: subcategoria inexistente",IF(AND($L9&lt;&gt;"",$K9&lt;&gt;"",IFERROR(INDEX(SUB_CATID,MATCH($L9,SUB_ID,0)),"")&lt;&gt;$K9),"ERRO: subcategoria nao pertence a categoria",IF(AND($O9&lt;&gt;"",COUNTIF(P_ID,$O9)=0),"ERRO: parcela inexistente",IF(AND($N9&lt;&gt;"",COUNTIF(CM_ID,$N9)=0),"ERRO: compromisso inexistente","OK")))))))))))))</f>
        <v/>
      </c>
      <c r="AK9" s="35" t="str">
        <f aca="false">IF($B9="","",IF(AND($N9="",$O9="",$P9="",$Q9="",$R9=""),"","VINCULADO: "&amp;TRIM(IF($N9&lt;&gt;"",$N9&amp;" ","")&amp;IF($O9&lt;&gt;"",$O9&amp;" ","")&amp;IF($P9&lt;&gt;"",$P9&amp;" ","")&amp;IF($Q9&lt;&gt;"",$Q9&amp;" ","")&amp;IF($R9&lt;&gt;"",$R9,""))))</f>
        <v/>
      </c>
    </row>
    <row r="10" customFormat="false" ht="15" hidden="false" customHeight="false" outlineLevel="0" collapsed="false">
      <c r="A10" s="30" t="str">
        <f aca="false">IF($B10="","","LAN-"&amp;TEXT(ROW()-4,"000000"))</f>
        <v/>
      </c>
      <c r="B10" s="31"/>
      <c r="C10" s="32"/>
      <c r="D10" s="32"/>
      <c r="E10" s="32"/>
      <c r="F10" s="33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4" t="str">
        <f aca="false">IF($B10="","",YEAR($B10))</f>
        <v/>
      </c>
      <c r="U10" s="34" t="str">
        <f aca="false">IF($B10="","",MONTH($B10))</f>
        <v/>
      </c>
      <c r="V10" s="34" t="str">
        <f aca="false">IF($B10="","",YEAR($B10)*100+MONTH($B10))</f>
        <v/>
      </c>
      <c r="W10" s="35" t="str">
        <f aca="false">IF($D10="","",IFERROR(INDEX(MAP_CLASS,MATCH($D10,MAP_TIPO,0)),"TIPO INVALIDO"))</f>
        <v/>
      </c>
      <c r="X10" s="35" t="str">
        <f aca="false">IF($K10="","",IFERROR(INDEX(CAT_NOME,MATCH($K10,CAT_ID,0)),"?"))</f>
        <v/>
      </c>
      <c r="Y10" s="35" t="str">
        <f aca="false">IF($L10="","",IFERROR(INDEX(SUB_NOME,MATCH($L10,SUB_ID,0)),"?"))</f>
        <v/>
      </c>
      <c r="Z10" s="35" t="str">
        <f aca="false">IF($G10="","",IF($G10="EXTERNO","(Externo)",IFERROR(INDEX(ENT_NOME,MATCH($H10,ENT_ID,0)),"?")))</f>
        <v/>
      </c>
      <c r="AA10" s="35" t="str">
        <f aca="false">IF($I10="","",IF($I10="EXTERNO","(Externo)",IFERROR(INDEX(ENT_NOME,MATCH($J10,ENT_ID,0)),"?")))</f>
        <v/>
      </c>
      <c r="AB10" s="36" t="n">
        <f aca="false">IF($B10="",0,IF(AND($I10="CONTA",$G10&lt;&gt;"CONTA"),$F10,0))</f>
        <v>0</v>
      </c>
      <c r="AC10" s="36" t="n">
        <f aca="false">IF($B10="",0,IF(AND($G10="CONTA",$I10&lt;&gt;"CONTA"),$F10,0))</f>
        <v>0</v>
      </c>
      <c r="AD10" s="36" t="n">
        <f aca="false">IF($W10="RECEITA",$F10,0)</f>
        <v>0</v>
      </c>
      <c r="AE10" s="36" t="n">
        <f aca="false">IF($W10="DESPESA",$F10,0)</f>
        <v>0</v>
      </c>
      <c r="AF10" s="36" t="n">
        <f aca="false">IF($W10="RECEITA_FINANCEIRA",$F10,0)</f>
        <v>0</v>
      </c>
      <c r="AG10" s="36" t="n">
        <f aca="false">IF($B10="",0,IF($I10="CONTA",$F10,0)-IF($G10="CONTA",$F10,0))</f>
        <v>0</v>
      </c>
      <c r="AH10" s="36" t="n">
        <f aca="false">IF($B10="",0,IF($G10="CARTAO",$F10,0)-IF($I10="CARTAO",$F10,0))</f>
        <v>0</v>
      </c>
      <c r="AI10" s="36" t="n">
        <f aca="false">IF($B10="",0,IF($I10="INVESTIMENTO",$F10,0)-IF($G10="INVESTIMENTO",$F10,0))</f>
        <v>0</v>
      </c>
      <c r="AJ10" s="35" t="str">
        <f aca="false">IF($B10="","",IF(NOT(ISNUMBER($F10)),"ERRO: valor nao numerico",IF($F10&lt;=0,"ERRO: valor deve ser maior que zero",IF(COUNTIF(MAP_TIPO,$D10)=0,"ERRO: tipo de operacao nao cadastrado",IF(COUNTIF(LST_STATUS,$E10)=0,"ERRO: status invalido",IF(AND($G10="EXTERNO",$I10="EXTERNO"),"ERRO: origem e destino externos",IF(AND($G10&lt;&gt;"EXTERNO",COUNTIFS(ENT_ID,$H10,ENT_TIPO,$G10)=0),"ERRO: origem inexistente",IF(AND($I10&lt;&gt;"EXTERNO",COUNTIFS(ENT_ID,$J10,ENT_TIPO,$I10)=0),"ERRO: destino inexistente",IF(AND($K10&lt;&gt;"",COUNTIF(CAT_ID,$K10)=0),"ERRO: categoria inexistente",IF(AND($L10&lt;&gt;"",COUNTIF(SUB_ID,$L10)=0),"ERRO: subcategoria inexistente",IF(AND($L10&lt;&gt;"",$K10&lt;&gt;"",IFERROR(INDEX(SUB_CATID,MATCH($L10,SUB_ID,0)),"")&lt;&gt;$K10),"ERRO: subcategoria nao pertence a categoria",IF(AND($O10&lt;&gt;"",COUNTIF(P_ID,$O10)=0),"ERRO: parcela inexistente",IF(AND($N10&lt;&gt;"",COUNTIF(CM_ID,$N10)=0),"ERRO: compromisso inexistente","OK")))))))))))))</f>
        <v/>
      </c>
      <c r="AK10" s="35" t="str">
        <f aca="false">IF($B10="","",IF(AND($N10="",$O10="",$P10="",$Q10="",$R10=""),"","VINCULADO: "&amp;TRIM(IF($N10&lt;&gt;"",$N10&amp;" ","")&amp;IF($O10&lt;&gt;"",$O10&amp;" ","")&amp;IF($P10&lt;&gt;"",$P10&amp;" ","")&amp;IF($Q10&lt;&gt;"",$Q10&amp;" ","")&amp;IF($R10&lt;&gt;"",$R10,""))))</f>
        <v/>
      </c>
    </row>
    <row r="11" customFormat="false" ht="15" hidden="false" customHeight="false" outlineLevel="0" collapsed="false">
      <c r="A11" s="30" t="str">
        <f aca="false">IF($B11="","","LAN-"&amp;TEXT(ROW()-4,"000000"))</f>
        <v/>
      </c>
      <c r="B11" s="31"/>
      <c r="C11" s="32"/>
      <c r="D11" s="32"/>
      <c r="E11" s="32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4" t="str">
        <f aca="false">IF($B11="","",YEAR($B11))</f>
        <v/>
      </c>
      <c r="U11" s="34" t="str">
        <f aca="false">IF($B11="","",MONTH($B11))</f>
        <v/>
      </c>
      <c r="V11" s="34" t="str">
        <f aca="false">IF($B11="","",YEAR($B11)*100+MONTH($B11))</f>
        <v/>
      </c>
      <c r="W11" s="35" t="str">
        <f aca="false">IF($D11="","",IFERROR(INDEX(MAP_CLASS,MATCH($D11,MAP_TIPO,0)),"TIPO INVALIDO"))</f>
        <v/>
      </c>
      <c r="X11" s="35" t="str">
        <f aca="false">IF($K11="","",IFERROR(INDEX(CAT_NOME,MATCH($K11,CAT_ID,0)),"?"))</f>
        <v/>
      </c>
      <c r="Y11" s="35" t="str">
        <f aca="false">IF($L11="","",IFERROR(INDEX(SUB_NOME,MATCH($L11,SUB_ID,0)),"?"))</f>
        <v/>
      </c>
      <c r="Z11" s="35" t="str">
        <f aca="false">IF($G11="","",IF($G11="EXTERNO","(Externo)",IFERROR(INDEX(ENT_NOME,MATCH($H11,ENT_ID,0)),"?")))</f>
        <v/>
      </c>
      <c r="AA11" s="35" t="str">
        <f aca="false">IF($I11="","",IF($I11="EXTERNO","(Externo)",IFERROR(INDEX(ENT_NOME,MATCH($J11,ENT_ID,0)),"?")))</f>
        <v/>
      </c>
      <c r="AB11" s="36" t="n">
        <f aca="false">IF($B11="",0,IF(AND($I11="CONTA",$G11&lt;&gt;"CONTA"),$F11,0))</f>
        <v>0</v>
      </c>
      <c r="AC11" s="36" t="n">
        <f aca="false">IF($B11="",0,IF(AND($G11="CONTA",$I11&lt;&gt;"CONTA"),$F11,0))</f>
        <v>0</v>
      </c>
      <c r="AD11" s="36" t="n">
        <f aca="false">IF($W11="RECEITA",$F11,0)</f>
        <v>0</v>
      </c>
      <c r="AE11" s="36" t="n">
        <f aca="false">IF($W11="DESPESA",$F11,0)</f>
        <v>0</v>
      </c>
      <c r="AF11" s="36" t="n">
        <f aca="false">IF($W11="RECEITA_FINANCEIRA",$F11,0)</f>
        <v>0</v>
      </c>
      <c r="AG11" s="36" t="n">
        <f aca="false">IF($B11="",0,IF($I11="CONTA",$F11,0)-IF($G11="CONTA",$F11,0))</f>
        <v>0</v>
      </c>
      <c r="AH11" s="36" t="n">
        <f aca="false">IF($B11="",0,IF($G11="CARTAO",$F11,0)-IF($I11="CARTAO",$F11,0))</f>
        <v>0</v>
      </c>
      <c r="AI11" s="36" t="n">
        <f aca="false">IF($B11="",0,IF($I11="INVESTIMENTO",$F11,0)-IF($G11="INVESTIMENTO",$F11,0))</f>
        <v>0</v>
      </c>
      <c r="AJ11" s="35" t="str">
        <f aca="false">IF($B11="","",IF(NOT(ISNUMBER($F11)),"ERRO: valor nao numerico",IF($F11&lt;=0,"ERRO: valor deve ser maior que zero",IF(COUNTIF(MAP_TIPO,$D11)=0,"ERRO: tipo de operacao nao cadastrado",IF(COUNTIF(LST_STATUS,$E11)=0,"ERRO: status invalido",IF(AND($G11="EXTERNO",$I11="EXTERNO"),"ERRO: origem e destino externos",IF(AND($G11&lt;&gt;"EXTERNO",COUNTIFS(ENT_ID,$H11,ENT_TIPO,$G11)=0),"ERRO: origem inexistente",IF(AND($I11&lt;&gt;"EXTERNO",COUNTIFS(ENT_ID,$J11,ENT_TIPO,$I11)=0),"ERRO: destino inexistente",IF(AND($K11&lt;&gt;"",COUNTIF(CAT_ID,$K11)=0),"ERRO: categoria inexistente",IF(AND($L11&lt;&gt;"",COUNTIF(SUB_ID,$L11)=0),"ERRO: subcategoria inexistente",IF(AND($L11&lt;&gt;"",$K11&lt;&gt;"",IFERROR(INDEX(SUB_CATID,MATCH($L11,SUB_ID,0)),"")&lt;&gt;$K11),"ERRO: subcategoria nao pertence a categoria",IF(AND($O11&lt;&gt;"",COUNTIF(P_ID,$O11)=0),"ERRO: parcela inexistente",IF(AND($N11&lt;&gt;"",COUNTIF(CM_ID,$N11)=0),"ERRO: compromisso inexistente","OK")))))))))))))</f>
        <v/>
      </c>
      <c r="AK11" s="35" t="str">
        <f aca="false">IF($B11="","",IF(AND($N11="",$O11="",$P11="",$Q11="",$R11=""),"","VINCULADO: "&amp;TRIM(IF($N11&lt;&gt;"",$N11&amp;" ","")&amp;IF($O11&lt;&gt;"",$O11&amp;" ","")&amp;IF($P11&lt;&gt;"",$P11&amp;" ","")&amp;IF($Q11&lt;&gt;"",$Q11&amp;" ","")&amp;IF($R11&lt;&gt;"",$R11,""))))</f>
        <v/>
      </c>
    </row>
    <row r="12" customFormat="false" ht="15" hidden="false" customHeight="false" outlineLevel="0" collapsed="false">
      <c r="A12" s="30" t="str">
        <f aca="false">IF($B12="","","LAN-"&amp;TEXT(ROW()-4,"000000"))</f>
        <v/>
      </c>
      <c r="B12" s="31"/>
      <c r="C12" s="32"/>
      <c r="D12" s="32"/>
      <c r="E12" s="32"/>
      <c r="F12" s="33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4" t="str">
        <f aca="false">IF($B12="","",YEAR($B12))</f>
        <v/>
      </c>
      <c r="U12" s="34" t="str">
        <f aca="false">IF($B12="","",MONTH($B12))</f>
        <v/>
      </c>
      <c r="V12" s="34" t="str">
        <f aca="false">IF($B12="","",YEAR($B12)*100+MONTH($B12))</f>
        <v/>
      </c>
      <c r="W12" s="35" t="str">
        <f aca="false">IF($D12="","",IFERROR(INDEX(MAP_CLASS,MATCH($D12,MAP_TIPO,0)),"TIPO INVALIDO"))</f>
        <v/>
      </c>
      <c r="X12" s="35" t="str">
        <f aca="false">IF($K12="","",IFERROR(INDEX(CAT_NOME,MATCH($K12,CAT_ID,0)),"?"))</f>
        <v/>
      </c>
      <c r="Y12" s="35" t="str">
        <f aca="false">IF($L12="","",IFERROR(INDEX(SUB_NOME,MATCH($L12,SUB_ID,0)),"?"))</f>
        <v/>
      </c>
      <c r="Z12" s="35" t="str">
        <f aca="false">IF($G12="","",IF($G12="EXTERNO","(Externo)",IFERROR(INDEX(ENT_NOME,MATCH($H12,ENT_ID,0)),"?")))</f>
        <v/>
      </c>
      <c r="AA12" s="35" t="str">
        <f aca="false">IF($I12="","",IF($I12="EXTERNO","(Externo)",IFERROR(INDEX(ENT_NOME,MATCH($J12,ENT_ID,0)),"?")))</f>
        <v/>
      </c>
      <c r="AB12" s="36" t="n">
        <f aca="false">IF($B12="",0,IF(AND($I12="CONTA",$G12&lt;&gt;"CONTA"),$F12,0))</f>
        <v>0</v>
      </c>
      <c r="AC12" s="36" t="n">
        <f aca="false">IF($B12="",0,IF(AND($G12="CONTA",$I12&lt;&gt;"CONTA"),$F12,0))</f>
        <v>0</v>
      </c>
      <c r="AD12" s="36" t="n">
        <f aca="false">IF($W12="RECEITA",$F12,0)</f>
        <v>0</v>
      </c>
      <c r="AE12" s="36" t="n">
        <f aca="false">IF($W12="DESPESA",$F12,0)</f>
        <v>0</v>
      </c>
      <c r="AF12" s="36" t="n">
        <f aca="false">IF($W12="RECEITA_FINANCEIRA",$F12,0)</f>
        <v>0</v>
      </c>
      <c r="AG12" s="36" t="n">
        <f aca="false">IF($B12="",0,IF($I12="CONTA",$F12,0)-IF($G12="CONTA",$F12,0))</f>
        <v>0</v>
      </c>
      <c r="AH12" s="36" t="n">
        <f aca="false">IF($B12="",0,IF($G12="CARTAO",$F12,0)-IF($I12="CARTAO",$F12,0))</f>
        <v>0</v>
      </c>
      <c r="AI12" s="36" t="n">
        <f aca="false">IF($B12="",0,IF($I12="INVESTIMENTO",$F12,0)-IF($G12="INVESTIMENTO",$F12,0))</f>
        <v>0</v>
      </c>
      <c r="AJ12" s="35" t="str">
        <f aca="false">IF($B12="","",IF(NOT(ISNUMBER($F12)),"ERRO: valor nao numerico",IF($F12&lt;=0,"ERRO: valor deve ser maior que zero",IF(COUNTIF(MAP_TIPO,$D12)=0,"ERRO: tipo de operacao nao cadastrado",IF(COUNTIF(LST_STATUS,$E12)=0,"ERRO: status invalido",IF(AND($G12="EXTERNO",$I12="EXTERNO"),"ERRO: origem e destino externos",IF(AND($G12&lt;&gt;"EXTERNO",COUNTIFS(ENT_ID,$H12,ENT_TIPO,$G12)=0),"ERRO: origem inexistente",IF(AND($I12&lt;&gt;"EXTERNO",COUNTIFS(ENT_ID,$J12,ENT_TIPO,$I12)=0),"ERRO: destino inexistente",IF(AND($K12&lt;&gt;"",COUNTIF(CAT_ID,$K12)=0),"ERRO: categoria inexistente",IF(AND($L12&lt;&gt;"",COUNTIF(SUB_ID,$L12)=0),"ERRO: subcategoria inexistente",IF(AND($L12&lt;&gt;"",$K12&lt;&gt;"",IFERROR(INDEX(SUB_CATID,MATCH($L12,SUB_ID,0)),"")&lt;&gt;$K12),"ERRO: subcategoria nao pertence a categoria",IF(AND($O12&lt;&gt;"",COUNTIF(P_ID,$O12)=0),"ERRO: parcela inexistente",IF(AND($N12&lt;&gt;"",COUNTIF(CM_ID,$N12)=0),"ERRO: compromisso inexistente","OK")))))))))))))</f>
        <v/>
      </c>
      <c r="AK12" s="35" t="str">
        <f aca="false">IF($B12="","",IF(AND($N12="",$O12="",$P12="",$Q12="",$R12=""),"","VINCULADO: "&amp;TRIM(IF($N12&lt;&gt;"",$N12&amp;" ","")&amp;IF($O12&lt;&gt;"",$O12&amp;" ","")&amp;IF($P12&lt;&gt;"",$P12&amp;" ","")&amp;IF($Q12&lt;&gt;"",$Q12&amp;" ","")&amp;IF($R12&lt;&gt;"",$R12,""))))</f>
        <v/>
      </c>
    </row>
    <row r="13" customFormat="false" ht="15" hidden="false" customHeight="false" outlineLevel="0" collapsed="false">
      <c r="A13" s="30" t="str">
        <f aca="false">IF($B13="","","LAN-"&amp;TEXT(ROW()-4,"000000"))</f>
        <v/>
      </c>
      <c r="B13" s="31"/>
      <c r="C13" s="32"/>
      <c r="D13" s="32"/>
      <c r="E13" s="32"/>
      <c r="F13" s="3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4" t="str">
        <f aca="false">IF($B13="","",YEAR($B13))</f>
        <v/>
      </c>
      <c r="U13" s="34" t="str">
        <f aca="false">IF($B13="","",MONTH($B13))</f>
        <v/>
      </c>
      <c r="V13" s="34" t="str">
        <f aca="false">IF($B13="","",YEAR($B13)*100+MONTH($B13))</f>
        <v/>
      </c>
      <c r="W13" s="35" t="str">
        <f aca="false">IF($D13="","",IFERROR(INDEX(MAP_CLASS,MATCH($D13,MAP_TIPO,0)),"TIPO INVALIDO"))</f>
        <v/>
      </c>
      <c r="X13" s="35" t="str">
        <f aca="false">IF($K13="","",IFERROR(INDEX(CAT_NOME,MATCH($K13,CAT_ID,0)),"?"))</f>
        <v/>
      </c>
      <c r="Y13" s="35" t="str">
        <f aca="false">IF($L13="","",IFERROR(INDEX(SUB_NOME,MATCH($L13,SUB_ID,0)),"?"))</f>
        <v/>
      </c>
      <c r="Z13" s="35" t="str">
        <f aca="false">IF($G13="","",IF($G13="EXTERNO","(Externo)",IFERROR(INDEX(ENT_NOME,MATCH($H13,ENT_ID,0)),"?")))</f>
        <v/>
      </c>
      <c r="AA13" s="35" t="str">
        <f aca="false">IF($I13="","",IF($I13="EXTERNO","(Externo)",IFERROR(INDEX(ENT_NOME,MATCH($J13,ENT_ID,0)),"?")))</f>
        <v/>
      </c>
      <c r="AB13" s="36" t="n">
        <f aca="false">IF($B13="",0,IF(AND($I13="CONTA",$G13&lt;&gt;"CONTA"),$F13,0))</f>
        <v>0</v>
      </c>
      <c r="AC13" s="36" t="n">
        <f aca="false">IF($B13="",0,IF(AND($G13="CONTA",$I13&lt;&gt;"CONTA"),$F13,0))</f>
        <v>0</v>
      </c>
      <c r="AD13" s="36" t="n">
        <f aca="false">IF($W13="RECEITA",$F13,0)</f>
        <v>0</v>
      </c>
      <c r="AE13" s="36" t="n">
        <f aca="false">IF($W13="DESPESA",$F13,0)</f>
        <v>0</v>
      </c>
      <c r="AF13" s="36" t="n">
        <f aca="false">IF($W13="RECEITA_FINANCEIRA",$F13,0)</f>
        <v>0</v>
      </c>
      <c r="AG13" s="36" t="n">
        <f aca="false">IF($B13="",0,IF($I13="CONTA",$F13,0)-IF($G13="CONTA",$F13,0))</f>
        <v>0</v>
      </c>
      <c r="AH13" s="36" t="n">
        <f aca="false">IF($B13="",0,IF($G13="CARTAO",$F13,0)-IF($I13="CARTAO",$F13,0))</f>
        <v>0</v>
      </c>
      <c r="AI13" s="36" t="n">
        <f aca="false">IF($B13="",0,IF($I13="INVESTIMENTO",$F13,0)-IF($G13="INVESTIMENTO",$F13,0))</f>
        <v>0</v>
      </c>
      <c r="AJ13" s="35" t="str">
        <f aca="false">IF($B13="","",IF(NOT(ISNUMBER($F13)),"ERRO: valor nao numerico",IF($F13&lt;=0,"ERRO: valor deve ser maior que zero",IF(COUNTIF(MAP_TIPO,$D13)=0,"ERRO: tipo de operacao nao cadastrado",IF(COUNTIF(LST_STATUS,$E13)=0,"ERRO: status invalido",IF(AND($G13="EXTERNO",$I13="EXTERNO"),"ERRO: origem e destino externos",IF(AND($G13&lt;&gt;"EXTERNO",COUNTIFS(ENT_ID,$H13,ENT_TIPO,$G13)=0),"ERRO: origem inexistente",IF(AND($I13&lt;&gt;"EXTERNO",COUNTIFS(ENT_ID,$J13,ENT_TIPO,$I13)=0),"ERRO: destino inexistente",IF(AND($K13&lt;&gt;"",COUNTIF(CAT_ID,$K13)=0),"ERRO: categoria inexistente",IF(AND($L13&lt;&gt;"",COUNTIF(SUB_ID,$L13)=0),"ERRO: subcategoria inexistente",IF(AND($L13&lt;&gt;"",$K13&lt;&gt;"",IFERROR(INDEX(SUB_CATID,MATCH($L13,SUB_ID,0)),"")&lt;&gt;$K13),"ERRO: subcategoria nao pertence a categoria",IF(AND($O13&lt;&gt;"",COUNTIF(P_ID,$O13)=0),"ERRO: parcela inexistente",IF(AND($N13&lt;&gt;"",COUNTIF(CM_ID,$N13)=0),"ERRO: compromisso inexistente","OK")))))))))))))</f>
        <v/>
      </c>
      <c r="AK13" s="35" t="str">
        <f aca="false">IF($B13="","",IF(AND($N13="",$O13="",$P13="",$Q13="",$R13=""),"","VINCULADO: "&amp;TRIM(IF($N13&lt;&gt;"",$N13&amp;" ","")&amp;IF($O13&lt;&gt;"",$O13&amp;" ","")&amp;IF($P13&lt;&gt;"",$P13&amp;" ","")&amp;IF($Q13&lt;&gt;"",$Q13&amp;" ","")&amp;IF($R13&lt;&gt;"",$R13,""))))</f>
        <v/>
      </c>
    </row>
    <row r="14" customFormat="false" ht="15" hidden="false" customHeight="false" outlineLevel="0" collapsed="false">
      <c r="A14" s="30" t="str">
        <f aca="false">IF($B14="","","LAN-"&amp;TEXT(ROW()-4,"000000"))</f>
        <v/>
      </c>
      <c r="B14" s="31"/>
      <c r="C14" s="32"/>
      <c r="D14" s="32"/>
      <c r="E14" s="32"/>
      <c r="F14" s="3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4" t="str">
        <f aca="false">IF($B14="","",YEAR($B14))</f>
        <v/>
      </c>
      <c r="U14" s="34" t="str">
        <f aca="false">IF($B14="","",MONTH($B14))</f>
        <v/>
      </c>
      <c r="V14" s="34" t="str">
        <f aca="false">IF($B14="","",YEAR($B14)*100+MONTH($B14))</f>
        <v/>
      </c>
      <c r="W14" s="35" t="str">
        <f aca="false">IF($D14="","",IFERROR(INDEX(MAP_CLASS,MATCH($D14,MAP_TIPO,0)),"TIPO INVALIDO"))</f>
        <v/>
      </c>
      <c r="X14" s="35" t="str">
        <f aca="false">IF($K14="","",IFERROR(INDEX(CAT_NOME,MATCH($K14,CAT_ID,0)),"?"))</f>
        <v/>
      </c>
      <c r="Y14" s="35" t="str">
        <f aca="false">IF($L14="","",IFERROR(INDEX(SUB_NOME,MATCH($L14,SUB_ID,0)),"?"))</f>
        <v/>
      </c>
      <c r="Z14" s="35" t="str">
        <f aca="false">IF($G14="","",IF($G14="EXTERNO","(Externo)",IFERROR(INDEX(ENT_NOME,MATCH($H14,ENT_ID,0)),"?")))</f>
        <v/>
      </c>
      <c r="AA14" s="35" t="str">
        <f aca="false">IF($I14="","",IF($I14="EXTERNO","(Externo)",IFERROR(INDEX(ENT_NOME,MATCH($J14,ENT_ID,0)),"?")))</f>
        <v/>
      </c>
      <c r="AB14" s="36" t="n">
        <f aca="false">IF($B14="",0,IF(AND($I14="CONTA",$G14&lt;&gt;"CONTA"),$F14,0))</f>
        <v>0</v>
      </c>
      <c r="AC14" s="36" t="n">
        <f aca="false">IF($B14="",0,IF(AND($G14="CONTA",$I14&lt;&gt;"CONTA"),$F14,0))</f>
        <v>0</v>
      </c>
      <c r="AD14" s="36" t="n">
        <f aca="false">IF($W14="RECEITA",$F14,0)</f>
        <v>0</v>
      </c>
      <c r="AE14" s="36" t="n">
        <f aca="false">IF($W14="DESPESA",$F14,0)</f>
        <v>0</v>
      </c>
      <c r="AF14" s="36" t="n">
        <f aca="false">IF($W14="RECEITA_FINANCEIRA",$F14,0)</f>
        <v>0</v>
      </c>
      <c r="AG14" s="36" t="n">
        <f aca="false">IF($B14="",0,IF($I14="CONTA",$F14,0)-IF($G14="CONTA",$F14,0))</f>
        <v>0</v>
      </c>
      <c r="AH14" s="36" t="n">
        <f aca="false">IF($B14="",0,IF($G14="CARTAO",$F14,0)-IF($I14="CARTAO",$F14,0))</f>
        <v>0</v>
      </c>
      <c r="AI14" s="36" t="n">
        <f aca="false">IF($B14="",0,IF($I14="INVESTIMENTO",$F14,0)-IF($G14="INVESTIMENTO",$F14,0))</f>
        <v>0</v>
      </c>
      <c r="AJ14" s="35" t="str">
        <f aca="false">IF($B14="","",IF(NOT(ISNUMBER($F14)),"ERRO: valor nao numerico",IF($F14&lt;=0,"ERRO: valor deve ser maior que zero",IF(COUNTIF(MAP_TIPO,$D14)=0,"ERRO: tipo de operacao nao cadastrado",IF(COUNTIF(LST_STATUS,$E14)=0,"ERRO: status invalido",IF(AND($G14="EXTERNO",$I14="EXTERNO"),"ERRO: origem e destino externos",IF(AND($G14&lt;&gt;"EXTERNO",COUNTIFS(ENT_ID,$H14,ENT_TIPO,$G14)=0),"ERRO: origem inexistente",IF(AND($I14&lt;&gt;"EXTERNO",COUNTIFS(ENT_ID,$J14,ENT_TIPO,$I14)=0),"ERRO: destino inexistente",IF(AND($K14&lt;&gt;"",COUNTIF(CAT_ID,$K14)=0),"ERRO: categoria inexistente",IF(AND($L14&lt;&gt;"",COUNTIF(SUB_ID,$L14)=0),"ERRO: subcategoria inexistente",IF(AND($L14&lt;&gt;"",$K14&lt;&gt;"",IFERROR(INDEX(SUB_CATID,MATCH($L14,SUB_ID,0)),"")&lt;&gt;$K14),"ERRO: subcategoria nao pertence a categoria",IF(AND($O14&lt;&gt;"",COUNTIF(P_ID,$O14)=0),"ERRO: parcela inexistente",IF(AND($N14&lt;&gt;"",COUNTIF(CM_ID,$N14)=0),"ERRO: compromisso inexistente","OK")))))))))))))</f>
        <v/>
      </c>
      <c r="AK14" s="35" t="str">
        <f aca="false">IF($B14="","",IF(AND($N14="",$O14="",$P14="",$Q14="",$R14=""),"","VINCULADO: "&amp;TRIM(IF($N14&lt;&gt;"",$N14&amp;" ","")&amp;IF($O14&lt;&gt;"",$O14&amp;" ","")&amp;IF($P14&lt;&gt;"",$P14&amp;" ","")&amp;IF($Q14&lt;&gt;"",$Q14&amp;" ","")&amp;IF($R14&lt;&gt;"",$R14,""))))</f>
        <v/>
      </c>
    </row>
    <row r="15" customFormat="false" ht="15" hidden="false" customHeight="false" outlineLevel="0" collapsed="false">
      <c r="A15" s="30" t="str">
        <f aca="false">IF($B15="","","LAN-"&amp;TEXT(ROW()-4,"000000"))</f>
        <v/>
      </c>
      <c r="B15" s="31"/>
      <c r="C15" s="32"/>
      <c r="D15" s="32"/>
      <c r="E15" s="32"/>
      <c r="F15" s="33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4" t="str">
        <f aca="false">IF($B15="","",YEAR($B15))</f>
        <v/>
      </c>
      <c r="U15" s="34" t="str">
        <f aca="false">IF($B15="","",MONTH($B15))</f>
        <v/>
      </c>
      <c r="V15" s="34" t="str">
        <f aca="false">IF($B15="","",YEAR($B15)*100+MONTH($B15))</f>
        <v/>
      </c>
      <c r="W15" s="35" t="str">
        <f aca="false">IF($D15="","",IFERROR(INDEX(MAP_CLASS,MATCH($D15,MAP_TIPO,0)),"TIPO INVALIDO"))</f>
        <v/>
      </c>
      <c r="X15" s="35" t="str">
        <f aca="false">IF($K15="","",IFERROR(INDEX(CAT_NOME,MATCH($K15,CAT_ID,0)),"?"))</f>
        <v/>
      </c>
      <c r="Y15" s="35" t="str">
        <f aca="false">IF($L15="","",IFERROR(INDEX(SUB_NOME,MATCH($L15,SUB_ID,0)),"?"))</f>
        <v/>
      </c>
      <c r="Z15" s="35" t="str">
        <f aca="false">IF($G15="","",IF($G15="EXTERNO","(Externo)",IFERROR(INDEX(ENT_NOME,MATCH($H15,ENT_ID,0)),"?")))</f>
        <v/>
      </c>
      <c r="AA15" s="35" t="str">
        <f aca="false">IF($I15="","",IF($I15="EXTERNO","(Externo)",IFERROR(INDEX(ENT_NOME,MATCH($J15,ENT_ID,0)),"?")))</f>
        <v/>
      </c>
      <c r="AB15" s="36" t="n">
        <f aca="false">IF($B15="",0,IF(AND($I15="CONTA",$G15&lt;&gt;"CONTA"),$F15,0))</f>
        <v>0</v>
      </c>
      <c r="AC15" s="36" t="n">
        <f aca="false">IF($B15="",0,IF(AND($G15="CONTA",$I15&lt;&gt;"CONTA"),$F15,0))</f>
        <v>0</v>
      </c>
      <c r="AD15" s="36" t="n">
        <f aca="false">IF($W15="RECEITA",$F15,0)</f>
        <v>0</v>
      </c>
      <c r="AE15" s="36" t="n">
        <f aca="false">IF($W15="DESPESA",$F15,0)</f>
        <v>0</v>
      </c>
      <c r="AF15" s="36" t="n">
        <f aca="false">IF($W15="RECEITA_FINANCEIRA",$F15,0)</f>
        <v>0</v>
      </c>
      <c r="AG15" s="36" t="n">
        <f aca="false">IF($B15="",0,IF($I15="CONTA",$F15,0)-IF($G15="CONTA",$F15,0))</f>
        <v>0</v>
      </c>
      <c r="AH15" s="36" t="n">
        <f aca="false">IF($B15="",0,IF($G15="CARTAO",$F15,0)-IF($I15="CARTAO",$F15,0))</f>
        <v>0</v>
      </c>
      <c r="AI15" s="36" t="n">
        <f aca="false">IF($B15="",0,IF($I15="INVESTIMENTO",$F15,0)-IF($G15="INVESTIMENTO",$F15,0))</f>
        <v>0</v>
      </c>
      <c r="AJ15" s="35" t="str">
        <f aca="false">IF($B15="","",IF(NOT(ISNUMBER($F15)),"ERRO: valor nao numerico",IF($F15&lt;=0,"ERRO: valor deve ser maior que zero",IF(COUNTIF(MAP_TIPO,$D15)=0,"ERRO: tipo de operacao nao cadastrado",IF(COUNTIF(LST_STATUS,$E15)=0,"ERRO: status invalido",IF(AND($G15="EXTERNO",$I15="EXTERNO"),"ERRO: origem e destino externos",IF(AND($G15&lt;&gt;"EXTERNO",COUNTIFS(ENT_ID,$H15,ENT_TIPO,$G15)=0),"ERRO: origem inexistente",IF(AND($I15&lt;&gt;"EXTERNO",COUNTIFS(ENT_ID,$J15,ENT_TIPO,$I15)=0),"ERRO: destino inexistente",IF(AND($K15&lt;&gt;"",COUNTIF(CAT_ID,$K15)=0),"ERRO: categoria inexistente",IF(AND($L15&lt;&gt;"",COUNTIF(SUB_ID,$L15)=0),"ERRO: subcategoria inexistente",IF(AND($L15&lt;&gt;"",$K15&lt;&gt;"",IFERROR(INDEX(SUB_CATID,MATCH($L15,SUB_ID,0)),"")&lt;&gt;$K15),"ERRO: subcategoria nao pertence a categoria",IF(AND($O15&lt;&gt;"",COUNTIF(P_ID,$O15)=0),"ERRO: parcela inexistente",IF(AND($N15&lt;&gt;"",COUNTIF(CM_ID,$N15)=0),"ERRO: compromisso inexistente","OK")))))))))))))</f>
        <v/>
      </c>
      <c r="AK15" s="35" t="str">
        <f aca="false">IF($B15="","",IF(AND($N15="",$O15="",$P15="",$Q15="",$R15=""),"","VINCULADO: "&amp;TRIM(IF($N15&lt;&gt;"",$N15&amp;" ","")&amp;IF($O15&lt;&gt;"",$O15&amp;" ","")&amp;IF($P15&lt;&gt;"",$P15&amp;" ","")&amp;IF($Q15&lt;&gt;"",$Q15&amp;" ","")&amp;IF($R15&lt;&gt;"",$R15,""))))</f>
        <v/>
      </c>
    </row>
    <row r="16" customFormat="false" ht="15" hidden="false" customHeight="false" outlineLevel="0" collapsed="false">
      <c r="A16" s="30" t="str">
        <f aca="false">IF($B16="","","LAN-"&amp;TEXT(ROW()-4,"000000"))</f>
        <v/>
      </c>
      <c r="B16" s="31"/>
      <c r="C16" s="32"/>
      <c r="D16" s="32"/>
      <c r="E16" s="32"/>
      <c r="F16" s="33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4" t="str">
        <f aca="false">IF($B16="","",YEAR($B16))</f>
        <v/>
      </c>
      <c r="U16" s="34" t="str">
        <f aca="false">IF($B16="","",MONTH($B16))</f>
        <v/>
      </c>
      <c r="V16" s="34" t="str">
        <f aca="false">IF($B16="","",YEAR($B16)*100+MONTH($B16))</f>
        <v/>
      </c>
      <c r="W16" s="35" t="str">
        <f aca="false">IF($D16="","",IFERROR(INDEX(MAP_CLASS,MATCH($D16,MAP_TIPO,0)),"TIPO INVALIDO"))</f>
        <v/>
      </c>
      <c r="X16" s="35" t="str">
        <f aca="false">IF($K16="","",IFERROR(INDEX(CAT_NOME,MATCH($K16,CAT_ID,0)),"?"))</f>
        <v/>
      </c>
      <c r="Y16" s="35" t="str">
        <f aca="false">IF($L16="","",IFERROR(INDEX(SUB_NOME,MATCH($L16,SUB_ID,0)),"?"))</f>
        <v/>
      </c>
      <c r="Z16" s="35" t="str">
        <f aca="false">IF($G16="","",IF($G16="EXTERNO","(Externo)",IFERROR(INDEX(ENT_NOME,MATCH($H16,ENT_ID,0)),"?")))</f>
        <v/>
      </c>
      <c r="AA16" s="35" t="str">
        <f aca="false">IF($I16="","",IF($I16="EXTERNO","(Externo)",IFERROR(INDEX(ENT_NOME,MATCH($J16,ENT_ID,0)),"?")))</f>
        <v/>
      </c>
      <c r="AB16" s="36" t="n">
        <f aca="false">IF($B16="",0,IF(AND($I16="CONTA",$G16&lt;&gt;"CONTA"),$F16,0))</f>
        <v>0</v>
      </c>
      <c r="AC16" s="36" t="n">
        <f aca="false">IF($B16="",0,IF(AND($G16="CONTA",$I16&lt;&gt;"CONTA"),$F16,0))</f>
        <v>0</v>
      </c>
      <c r="AD16" s="36" t="n">
        <f aca="false">IF($W16="RECEITA",$F16,0)</f>
        <v>0</v>
      </c>
      <c r="AE16" s="36" t="n">
        <f aca="false">IF($W16="DESPESA",$F16,0)</f>
        <v>0</v>
      </c>
      <c r="AF16" s="36" t="n">
        <f aca="false">IF($W16="RECEITA_FINANCEIRA",$F16,0)</f>
        <v>0</v>
      </c>
      <c r="AG16" s="36" t="n">
        <f aca="false">IF($B16="",0,IF($I16="CONTA",$F16,0)-IF($G16="CONTA",$F16,0))</f>
        <v>0</v>
      </c>
      <c r="AH16" s="36" t="n">
        <f aca="false">IF($B16="",0,IF($G16="CARTAO",$F16,0)-IF($I16="CARTAO",$F16,0))</f>
        <v>0</v>
      </c>
      <c r="AI16" s="36" t="n">
        <f aca="false">IF($B16="",0,IF($I16="INVESTIMENTO",$F16,0)-IF($G16="INVESTIMENTO",$F16,0))</f>
        <v>0</v>
      </c>
      <c r="AJ16" s="35" t="str">
        <f aca="false">IF($B16="","",IF(NOT(ISNUMBER($F16)),"ERRO: valor nao numerico",IF($F16&lt;=0,"ERRO: valor deve ser maior que zero",IF(COUNTIF(MAP_TIPO,$D16)=0,"ERRO: tipo de operacao nao cadastrado",IF(COUNTIF(LST_STATUS,$E16)=0,"ERRO: status invalido",IF(AND($G16="EXTERNO",$I16="EXTERNO"),"ERRO: origem e destino externos",IF(AND($G16&lt;&gt;"EXTERNO",COUNTIFS(ENT_ID,$H16,ENT_TIPO,$G16)=0),"ERRO: origem inexistente",IF(AND($I16&lt;&gt;"EXTERNO",COUNTIFS(ENT_ID,$J16,ENT_TIPO,$I16)=0),"ERRO: destino inexistente",IF(AND($K16&lt;&gt;"",COUNTIF(CAT_ID,$K16)=0),"ERRO: categoria inexistente",IF(AND($L16&lt;&gt;"",COUNTIF(SUB_ID,$L16)=0),"ERRO: subcategoria inexistente",IF(AND($L16&lt;&gt;"",$K16&lt;&gt;"",IFERROR(INDEX(SUB_CATID,MATCH($L16,SUB_ID,0)),"")&lt;&gt;$K16),"ERRO: subcategoria nao pertence a categoria",IF(AND($O16&lt;&gt;"",COUNTIF(P_ID,$O16)=0),"ERRO: parcela inexistente",IF(AND($N16&lt;&gt;"",COUNTIF(CM_ID,$N16)=0),"ERRO: compromisso inexistente","OK")))))))))))))</f>
        <v/>
      </c>
      <c r="AK16" s="35" t="str">
        <f aca="false">IF($B16="","",IF(AND($N16="",$O16="",$P16="",$Q16="",$R16=""),"","VINCULADO: "&amp;TRIM(IF($N16&lt;&gt;"",$N16&amp;" ","")&amp;IF($O16&lt;&gt;"",$O16&amp;" ","")&amp;IF($P16&lt;&gt;"",$P16&amp;" ","")&amp;IF($Q16&lt;&gt;"",$Q16&amp;" ","")&amp;IF($R16&lt;&gt;"",$R16,""))))</f>
        <v/>
      </c>
    </row>
    <row r="17" customFormat="false" ht="15" hidden="false" customHeight="false" outlineLevel="0" collapsed="false">
      <c r="A17" s="30" t="str">
        <f aca="false">IF($B17="","","LAN-"&amp;TEXT(ROW()-4,"000000"))</f>
        <v/>
      </c>
      <c r="B17" s="31"/>
      <c r="C17" s="32"/>
      <c r="D17" s="32"/>
      <c r="E17" s="32"/>
      <c r="F17" s="3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4" t="str">
        <f aca="false">IF($B17="","",YEAR($B17))</f>
        <v/>
      </c>
      <c r="U17" s="34" t="str">
        <f aca="false">IF($B17="","",MONTH($B17))</f>
        <v/>
      </c>
      <c r="V17" s="34" t="str">
        <f aca="false">IF($B17="","",YEAR($B17)*100+MONTH($B17))</f>
        <v/>
      </c>
      <c r="W17" s="35" t="str">
        <f aca="false">IF($D17="","",IFERROR(INDEX(MAP_CLASS,MATCH($D17,MAP_TIPO,0)),"TIPO INVALIDO"))</f>
        <v/>
      </c>
      <c r="X17" s="35" t="str">
        <f aca="false">IF($K17="","",IFERROR(INDEX(CAT_NOME,MATCH($K17,CAT_ID,0)),"?"))</f>
        <v/>
      </c>
      <c r="Y17" s="35" t="str">
        <f aca="false">IF($L17="","",IFERROR(INDEX(SUB_NOME,MATCH($L17,SUB_ID,0)),"?"))</f>
        <v/>
      </c>
      <c r="Z17" s="35" t="str">
        <f aca="false">IF($G17="","",IF($G17="EXTERNO","(Externo)",IFERROR(INDEX(ENT_NOME,MATCH($H17,ENT_ID,0)),"?")))</f>
        <v/>
      </c>
      <c r="AA17" s="35" t="str">
        <f aca="false">IF($I17="","",IF($I17="EXTERNO","(Externo)",IFERROR(INDEX(ENT_NOME,MATCH($J17,ENT_ID,0)),"?")))</f>
        <v/>
      </c>
      <c r="AB17" s="36" t="n">
        <f aca="false">IF($B17="",0,IF(AND($I17="CONTA",$G17&lt;&gt;"CONTA"),$F17,0))</f>
        <v>0</v>
      </c>
      <c r="AC17" s="36" t="n">
        <f aca="false">IF($B17="",0,IF(AND($G17="CONTA",$I17&lt;&gt;"CONTA"),$F17,0))</f>
        <v>0</v>
      </c>
      <c r="AD17" s="36" t="n">
        <f aca="false">IF($W17="RECEITA",$F17,0)</f>
        <v>0</v>
      </c>
      <c r="AE17" s="36" t="n">
        <f aca="false">IF($W17="DESPESA",$F17,0)</f>
        <v>0</v>
      </c>
      <c r="AF17" s="36" t="n">
        <f aca="false">IF($W17="RECEITA_FINANCEIRA",$F17,0)</f>
        <v>0</v>
      </c>
      <c r="AG17" s="36" t="n">
        <f aca="false">IF($B17="",0,IF($I17="CONTA",$F17,0)-IF($G17="CONTA",$F17,0))</f>
        <v>0</v>
      </c>
      <c r="AH17" s="36" t="n">
        <f aca="false">IF($B17="",0,IF($G17="CARTAO",$F17,0)-IF($I17="CARTAO",$F17,0))</f>
        <v>0</v>
      </c>
      <c r="AI17" s="36" t="n">
        <f aca="false">IF($B17="",0,IF($I17="INVESTIMENTO",$F17,0)-IF($G17="INVESTIMENTO",$F17,0))</f>
        <v>0</v>
      </c>
      <c r="AJ17" s="35" t="str">
        <f aca="false">IF($B17="","",IF(NOT(ISNUMBER($F17)),"ERRO: valor nao numerico",IF($F17&lt;=0,"ERRO: valor deve ser maior que zero",IF(COUNTIF(MAP_TIPO,$D17)=0,"ERRO: tipo de operacao nao cadastrado",IF(COUNTIF(LST_STATUS,$E17)=0,"ERRO: status invalido",IF(AND($G17="EXTERNO",$I17="EXTERNO"),"ERRO: origem e destino externos",IF(AND($G17&lt;&gt;"EXTERNO",COUNTIFS(ENT_ID,$H17,ENT_TIPO,$G17)=0),"ERRO: origem inexistente",IF(AND($I17&lt;&gt;"EXTERNO",COUNTIFS(ENT_ID,$J17,ENT_TIPO,$I17)=0),"ERRO: destino inexistente",IF(AND($K17&lt;&gt;"",COUNTIF(CAT_ID,$K17)=0),"ERRO: categoria inexistente",IF(AND($L17&lt;&gt;"",COUNTIF(SUB_ID,$L17)=0),"ERRO: subcategoria inexistente",IF(AND($L17&lt;&gt;"",$K17&lt;&gt;"",IFERROR(INDEX(SUB_CATID,MATCH($L17,SUB_ID,0)),"")&lt;&gt;$K17),"ERRO: subcategoria nao pertence a categoria",IF(AND($O17&lt;&gt;"",COUNTIF(P_ID,$O17)=0),"ERRO: parcela inexistente",IF(AND($N17&lt;&gt;"",COUNTIF(CM_ID,$N17)=0),"ERRO: compromisso inexistente","OK")))))))))))))</f>
        <v/>
      </c>
      <c r="AK17" s="35" t="str">
        <f aca="false">IF($B17="","",IF(AND($N17="",$O17="",$P17="",$Q17="",$R17=""),"","VINCULADO: "&amp;TRIM(IF($N17&lt;&gt;"",$N17&amp;" ","")&amp;IF($O17&lt;&gt;"",$O17&amp;" ","")&amp;IF($P17&lt;&gt;"",$P17&amp;" ","")&amp;IF($Q17&lt;&gt;"",$Q17&amp;" ","")&amp;IF($R17&lt;&gt;"",$R17,""))))</f>
        <v/>
      </c>
    </row>
    <row r="18" customFormat="false" ht="15" hidden="false" customHeight="false" outlineLevel="0" collapsed="false">
      <c r="A18" s="30" t="str">
        <f aca="false">IF($B18="","","LAN-"&amp;TEXT(ROW()-4,"000000"))</f>
        <v/>
      </c>
      <c r="B18" s="31"/>
      <c r="C18" s="32"/>
      <c r="D18" s="32"/>
      <c r="E18" s="32"/>
      <c r="F18" s="3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4" t="str">
        <f aca="false">IF($B18="","",YEAR($B18))</f>
        <v/>
      </c>
      <c r="U18" s="34" t="str">
        <f aca="false">IF($B18="","",MONTH($B18))</f>
        <v/>
      </c>
      <c r="V18" s="34" t="str">
        <f aca="false">IF($B18="","",YEAR($B18)*100+MONTH($B18))</f>
        <v/>
      </c>
      <c r="W18" s="35" t="str">
        <f aca="false">IF($D18="","",IFERROR(INDEX(MAP_CLASS,MATCH($D18,MAP_TIPO,0)),"TIPO INVALIDO"))</f>
        <v/>
      </c>
      <c r="X18" s="35" t="str">
        <f aca="false">IF($K18="","",IFERROR(INDEX(CAT_NOME,MATCH($K18,CAT_ID,0)),"?"))</f>
        <v/>
      </c>
      <c r="Y18" s="35" t="str">
        <f aca="false">IF($L18="","",IFERROR(INDEX(SUB_NOME,MATCH($L18,SUB_ID,0)),"?"))</f>
        <v/>
      </c>
      <c r="Z18" s="35" t="str">
        <f aca="false">IF($G18="","",IF($G18="EXTERNO","(Externo)",IFERROR(INDEX(ENT_NOME,MATCH($H18,ENT_ID,0)),"?")))</f>
        <v/>
      </c>
      <c r="AA18" s="35" t="str">
        <f aca="false">IF($I18="","",IF($I18="EXTERNO","(Externo)",IFERROR(INDEX(ENT_NOME,MATCH($J18,ENT_ID,0)),"?")))</f>
        <v/>
      </c>
      <c r="AB18" s="36" t="n">
        <f aca="false">IF($B18="",0,IF(AND($I18="CONTA",$G18&lt;&gt;"CONTA"),$F18,0))</f>
        <v>0</v>
      </c>
      <c r="AC18" s="36" t="n">
        <f aca="false">IF($B18="",0,IF(AND($G18="CONTA",$I18&lt;&gt;"CONTA"),$F18,0))</f>
        <v>0</v>
      </c>
      <c r="AD18" s="36" t="n">
        <f aca="false">IF($W18="RECEITA",$F18,0)</f>
        <v>0</v>
      </c>
      <c r="AE18" s="36" t="n">
        <f aca="false">IF($W18="DESPESA",$F18,0)</f>
        <v>0</v>
      </c>
      <c r="AF18" s="36" t="n">
        <f aca="false">IF($W18="RECEITA_FINANCEIRA",$F18,0)</f>
        <v>0</v>
      </c>
      <c r="AG18" s="36" t="n">
        <f aca="false">IF($B18="",0,IF($I18="CONTA",$F18,0)-IF($G18="CONTA",$F18,0))</f>
        <v>0</v>
      </c>
      <c r="AH18" s="36" t="n">
        <f aca="false">IF($B18="",0,IF($G18="CARTAO",$F18,0)-IF($I18="CARTAO",$F18,0))</f>
        <v>0</v>
      </c>
      <c r="AI18" s="36" t="n">
        <f aca="false">IF($B18="",0,IF($I18="INVESTIMENTO",$F18,0)-IF($G18="INVESTIMENTO",$F18,0))</f>
        <v>0</v>
      </c>
      <c r="AJ18" s="35" t="str">
        <f aca="false">IF($B18="","",IF(NOT(ISNUMBER($F18)),"ERRO: valor nao numerico",IF($F18&lt;=0,"ERRO: valor deve ser maior que zero",IF(COUNTIF(MAP_TIPO,$D18)=0,"ERRO: tipo de operacao nao cadastrado",IF(COUNTIF(LST_STATUS,$E18)=0,"ERRO: status invalido",IF(AND($G18="EXTERNO",$I18="EXTERNO"),"ERRO: origem e destino externos",IF(AND($G18&lt;&gt;"EXTERNO",COUNTIFS(ENT_ID,$H18,ENT_TIPO,$G18)=0),"ERRO: origem inexistente",IF(AND($I18&lt;&gt;"EXTERNO",COUNTIFS(ENT_ID,$J18,ENT_TIPO,$I18)=0),"ERRO: destino inexistente",IF(AND($K18&lt;&gt;"",COUNTIF(CAT_ID,$K18)=0),"ERRO: categoria inexistente",IF(AND($L18&lt;&gt;"",COUNTIF(SUB_ID,$L18)=0),"ERRO: subcategoria inexistente",IF(AND($L18&lt;&gt;"",$K18&lt;&gt;"",IFERROR(INDEX(SUB_CATID,MATCH($L18,SUB_ID,0)),"")&lt;&gt;$K18),"ERRO: subcategoria nao pertence a categoria",IF(AND($O18&lt;&gt;"",COUNTIF(P_ID,$O18)=0),"ERRO: parcela inexistente",IF(AND($N18&lt;&gt;"",COUNTIF(CM_ID,$N18)=0),"ERRO: compromisso inexistente","OK")))))))))))))</f>
        <v/>
      </c>
      <c r="AK18" s="35" t="str">
        <f aca="false">IF($B18="","",IF(AND($N18="",$O18="",$P18="",$Q18="",$R18=""),"","VINCULADO: "&amp;TRIM(IF($N18&lt;&gt;"",$N18&amp;" ","")&amp;IF($O18&lt;&gt;"",$O18&amp;" ","")&amp;IF($P18&lt;&gt;"",$P18&amp;" ","")&amp;IF($Q18&lt;&gt;"",$Q18&amp;" ","")&amp;IF($R18&lt;&gt;"",$R18,""))))</f>
        <v/>
      </c>
    </row>
    <row r="19" customFormat="false" ht="15" hidden="false" customHeight="false" outlineLevel="0" collapsed="false">
      <c r="A19" s="30" t="str">
        <f aca="false">IF($B19="","","LAN-"&amp;TEXT(ROW()-4,"000000"))</f>
        <v/>
      </c>
      <c r="B19" s="31"/>
      <c r="C19" s="32"/>
      <c r="D19" s="32"/>
      <c r="E19" s="32"/>
      <c r="F19" s="3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4" t="str">
        <f aca="false">IF($B19="","",YEAR($B19))</f>
        <v/>
      </c>
      <c r="U19" s="34" t="str">
        <f aca="false">IF($B19="","",MONTH($B19))</f>
        <v/>
      </c>
      <c r="V19" s="34" t="str">
        <f aca="false">IF($B19="","",YEAR($B19)*100+MONTH($B19))</f>
        <v/>
      </c>
      <c r="W19" s="35" t="str">
        <f aca="false">IF($D19="","",IFERROR(INDEX(MAP_CLASS,MATCH($D19,MAP_TIPO,0)),"TIPO INVALIDO"))</f>
        <v/>
      </c>
      <c r="X19" s="35" t="str">
        <f aca="false">IF($K19="","",IFERROR(INDEX(CAT_NOME,MATCH($K19,CAT_ID,0)),"?"))</f>
        <v/>
      </c>
      <c r="Y19" s="35" t="str">
        <f aca="false">IF($L19="","",IFERROR(INDEX(SUB_NOME,MATCH($L19,SUB_ID,0)),"?"))</f>
        <v/>
      </c>
      <c r="Z19" s="35" t="str">
        <f aca="false">IF($G19="","",IF($G19="EXTERNO","(Externo)",IFERROR(INDEX(ENT_NOME,MATCH($H19,ENT_ID,0)),"?")))</f>
        <v/>
      </c>
      <c r="AA19" s="35" t="str">
        <f aca="false">IF($I19="","",IF($I19="EXTERNO","(Externo)",IFERROR(INDEX(ENT_NOME,MATCH($J19,ENT_ID,0)),"?")))</f>
        <v/>
      </c>
      <c r="AB19" s="36" t="n">
        <f aca="false">IF($B19="",0,IF(AND($I19="CONTA",$G19&lt;&gt;"CONTA"),$F19,0))</f>
        <v>0</v>
      </c>
      <c r="AC19" s="36" t="n">
        <f aca="false">IF($B19="",0,IF(AND($G19="CONTA",$I19&lt;&gt;"CONTA"),$F19,0))</f>
        <v>0</v>
      </c>
      <c r="AD19" s="36" t="n">
        <f aca="false">IF($W19="RECEITA",$F19,0)</f>
        <v>0</v>
      </c>
      <c r="AE19" s="36" t="n">
        <f aca="false">IF($W19="DESPESA",$F19,0)</f>
        <v>0</v>
      </c>
      <c r="AF19" s="36" t="n">
        <f aca="false">IF($W19="RECEITA_FINANCEIRA",$F19,0)</f>
        <v>0</v>
      </c>
      <c r="AG19" s="36" t="n">
        <f aca="false">IF($B19="",0,IF($I19="CONTA",$F19,0)-IF($G19="CONTA",$F19,0))</f>
        <v>0</v>
      </c>
      <c r="AH19" s="36" t="n">
        <f aca="false">IF($B19="",0,IF($G19="CARTAO",$F19,0)-IF($I19="CARTAO",$F19,0))</f>
        <v>0</v>
      </c>
      <c r="AI19" s="36" t="n">
        <f aca="false">IF($B19="",0,IF($I19="INVESTIMENTO",$F19,0)-IF($G19="INVESTIMENTO",$F19,0))</f>
        <v>0</v>
      </c>
      <c r="AJ19" s="35" t="str">
        <f aca="false">IF($B19="","",IF(NOT(ISNUMBER($F19)),"ERRO: valor nao numerico",IF($F19&lt;=0,"ERRO: valor deve ser maior que zero",IF(COUNTIF(MAP_TIPO,$D19)=0,"ERRO: tipo de operacao nao cadastrado",IF(COUNTIF(LST_STATUS,$E19)=0,"ERRO: status invalido",IF(AND($G19="EXTERNO",$I19="EXTERNO"),"ERRO: origem e destino externos",IF(AND($G19&lt;&gt;"EXTERNO",COUNTIFS(ENT_ID,$H19,ENT_TIPO,$G19)=0),"ERRO: origem inexistente",IF(AND($I19&lt;&gt;"EXTERNO",COUNTIFS(ENT_ID,$J19,ENT_TIPO,$I19)=0),"ERRO: destino inexistente",IF(AND($K19&lt;&gt;"",COUNTIF(CAT_ID,$K19)=0),"ERRO: categoria inexistente",IF(AND($L19&lt;&gt;"",COUNTIF(SUB_ID,$L19)=0),"ERRO: subcategoria inexistente",IF(AND($L19&lt;&gt;"",$K19&lt;&gt;"",IFERROR(INDEX(SUB_CATID,MATCH($L19,SUB_ID,0)),"")&lt;&gt;$K19),"ERRO: subcategoria nao pertence a categoria",IF(AND($O19&lt;&gt;"",COUNTIF(P_ID,$O19)=0),"ERRO: parcela inexistente",IF(AND($N19&lt;&gt;"",COUNTIF(CM_ID,$N19)=0),"ERRO: compromisso inexistente","OK")))))))))))))</f>
        <v/>
      </c>
      <c r="AK19" s="35" t="str">
        <f aca="false">IF($B19="","",IF(AND($N19="",$O19="",$P19="",$Q19="",$R19=""),"","VINCULADO: "&amp;TRIM(IF($N19&lt;&gt;"",$N19&amp;" ","")&amp;IF($O19&lt;&gt;"",$O19&amp;" ","")&amp;IF($P19&lt;&gt;"",$P19&amp;" ","")&amp;IF($Q19&lt;&gt;"",$Q19&amp;" ","")&amp;IF($R19&lt;&gt;"",$R19,""))))</f>
        <v/>
      </c>
    </row>
    <row r="20" customFormat="false" ht="15" hidden="false" customHeight="false" outlineLevel="0" collapsed="false">
      <c r="A20" s="30" t="str">
        <f aca="false">IF($B20="","","LAN-"&amp;TEXT(ROW()-4,"000000"))</f>
        <v/>
      </c>
      <c r="B20" s="31"/>
      <c r="C20" s="32"/>
      <c r="D20" s="32"/>
      <c r="E20" s="32"/>
      <c r="F20" s="3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4" t="str">
        <f aca="false">IF($B20="","",YEAR($B20))</f>
        <v/>
      </c>
      <c r="U20" s="34" t="str">
        <f aca="false">IF($B20="","",MONTH($B20))</f>
        <v/>
      </c>
      <c r="V20" s="34" t="str">
        <f aca="false">IF($B20="","",YEAR($B20)*100+MONTH($B20))</f>
        <v/>
      </c>
      <c r="W20" s="35" t="str">
        <f aca="false">IF($D20="","",IFERROR(INDEX(MAP_CLASS,MATCH($D20,MAP_TIPO,0)),"TIPO INVALIDO"))</f>
        <v/>
      </c>
      <c r="X20" s="35" t="str">
        <f aca="false">IF($K20="","",IFERROR(INDEX(CAT_NOME,MATCH($K20,CAT_ID,0)),"?"))</f>
        <v/>
      </c>
      <c r="Y20" s="35" t="str">
        <f aca="false">IF($L20="","",IFERROR(INDEX(SUB_NOME,MATCH($L20,SUB_ID,0)),"?"))</f>
        <v/>
      </c>
      <c r="Z20" s="35" t="str">
        <f aca="false">IF($G20="","",IF($G20="EXTERNO","(Externo)",IFERROR(INDEX(ENT_NOME,MATCH($H20,ENT_ID,0)),"?")))</f>
        <v/>
      </c>
      <c r="AA20" s="35" t="str">
        <f aca="false">IF($I20="","",IF($I20="EXTERNO","(Externo)",IFERROR(INDEX(ENT_NOME,MATCH($J20,ENT_ID,0)),"?")))</f>
        <v/>
      </c>
      <c r="AB20" s="36" t="n">
        <f aca="false">IF($B20="",0,IF(AND($I20="CONTA",$G20&lt;&gt;"CONTA"),$F20,0))</f>
        <v>0</v>
      </c>
      <c r="AC20" s="36" t="n">
        <f aca="false">IF($B20="",0,IF(AND($G20="CONTA",$I20&lt;&gt;"CONTA"),$F20,0))</f>
        <v>0</v>
      </c>
      <c r="AD20" s="36" t="n">
        <f aca="false">IF($W20="RECEITA",$F20,0)</f>
        <v>0</v>
      </c>
      <c r="AE20" s="36" t="n">
        <f aca="false">IF($W20="DESPESA",$F20,0)</f>
        <v>0</v>
      </c>
      <c r="AF20" s="36" t="n">
        <f aca="false">IF($W20="RECEITA_FINANCEIRA",$F20,0)</f>
        <v>0</v>
      </c>
      <c r="AG20" s="36" t="n">
        <f aca="false">IF($B20="",0,IF($I20="CONTA",$F20,0)-IF($G20="CONTA",$F20,0))</f>
        <v>0</v>
      </c>
      <c r="AH20" s="36" t="n">
        <f aca="false">IF($B20="",0,IF($G20="CARTAO",$F20,0)-IF($I20="CARTAO",$F20,0))</f>
        <v>0</v>
      </c>
      <c r="AI20" s="36" t="n">
        <f aca="false">IF($B20="",0,IF($I20="INVESTIMENTO",$F20,0)-IF($G20="INVESTIMENTO",$F20,0))</f>
        <v>0</v>
      </c>
      <c r="AJ20" s="35" t="str">
        <f aca="false">IF($B20="","",IF(NOT(ISNUMBER($F20)),"ERRO: valor nao numerico",IF($F20&lt;=0,"ERRO: valor deve ser maior que zero",IF(COUNTIF(MAP_TIPO,$D20)=0,"ERRO: tipo de operacao nao cadastrado",IF(COUNTIF(LST_STATUS,$E20)=0,"ERRO: status invalido",IF(AND($G20="EXTERNO",$I20="EXTERNO"),"ERRO: origem e destino externos",IF(AND($G20&lt;&gt;"EXTERNO",COUNTIFS(ENT_ID,$H20,ENT_TIPO,$G20)=0),"ERRO: origem inexistente",IF(AND($I20&lt;&gt;"EXTERNO",COUNTIFS(ENT_ID,$J20,ENT_TIPO,$I20)=0),"ERRO: destino inexistente",IF(AND($K20&lt;&gt;"",COUNTIF(CAT_ID,$K20)=0),"ERRO: categoria inexistente",IF(AND($L20&lt;&gt;"",COUNTIF(SUB_ID,$L20)=0),"ERRO: subcategoria inexistente",IF(AND($L20&lt;&gt;"",$K20&lt;&gt;"",IFERROR(INDEX(SUB_CATID,MATCH($L20,SUB_ID,0)),"")&lt;&gt;$K20),"ERRO: subcategoria nao pertence a categoria",IF(AND($O20&lt;&gt;"",COUNTIF(P_ID,$O20)=0),"ERRO: parcela inexistente",IF(AND($N20&lt;&gt;"",COUNTIF(CM_ID,$N20)=0),"ERRO: compromisso inexistente","OK")))))))))))))</f>
        <v/>
      </c>
      <c r="AK20" s="35" t="str">
        <f aca="false">IF($B20="","",IF(AND($N20="",$O20="",$P20="",$Q20="",$R20=""),"","VINCULADO: "&amp;TRIM(IF($N20&lt;&gt;"",$N20&amp;" ","")&amp;IF($O20&lt;&gt;"",$O20&amp;" ","")&amp;IF($P20&lt;&gt;"",$P20&amp;" ","")&amp;IF($Q20&lt;&gt;"",$Q20&amp;" ","")&amp;IF($R20&lt;&gt;"",$R20,""))))</f>
        <v/>
      </c>
    </row>
    <row r="21" customFormat="false" ht="15" hidden="false" customHeight="false" outlineLevel="0" collapsed="false">
      <c r="A21" s="30" t="str">
        <f aca="false">IF($B21="","","LAN-"&amp;TEXT(ROW()-4,"000000"))</f>
        <v/>
      </c>
      <c r="B21" s="31"/>
      <c r="C21" s="32"/>
      <c r="D21" s="32"/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4" t="str">
        <f aca="false">IF($B21="","",YEAR($B21))</f>
        <v/>
      </c>
      <c r="U21" s="34" t="str">
        <f aca="false">IF($B21="","",MONTH($B21))</f>
        <v/>
      </c>
      <c r="V21" s="34" t="str">
        <f aca="false">IF($B21="","",YEAR($B21)*100+MONTH($B21))</f>
        <v/>
      </c>
      <c r="W21" s="35" t="str">
        <f aca="false">IF($D21="","",IFERROR(INDEX(MAP_CLASS,MATCH($D21,MAP_TIPO,0)),"TIPO INVALIDO"))</f>
        <v/>
      </c>
      <c r="X21" s="35" t="str">
        <f aca="false">IF($K21="","",IFERROR(INDEX(CAT_NOME,MATCH($K21,CAT_ID,0)),"?"))</f>
        <v/>
      </c>
      <c r="Y21" s="35" t="str">
        <f aca="false">IF($L21="","",IFERROR(INDEX(SUB_NOME,MATCH($L21,SUB_ID,0)),"?"))</f>
        <v/>
      </c>
      <c r="Z21" s="35" t="str">
        <f aca="false">IF($G21="","",IF($G21="EXTERNO","(Externo)",IFERROR(INDEX(ENT_NOME,MATCH($H21,ENT_ID,0)),"?")))</f>
        <v/>
      </c>
      <c r="AA21" s="35" t="str">
        <f aca="false">IF($I21="","",IF($I21="EXTERNO","(Externo)",IFERROR(INDEX(ENT_NOME,MATCH($J21,ENT_ID,0)),"?")))</f>
        <v/>
      </c>
      <c r="AB21" s="36" t="n">
        <f aca="false">IF($B21="",0,IF(AND($I21="CONTA",$G21&lt;&gt;"CONTA"),$F21,0))</f>
        <v>0</v>
      </c>
      <c r="AC21" s="36" t="n">
        <f aca="false">IF($B21="",0,IF(AND($G21="CONTA",$I21&lt;&gt;"CONTA"),$F21,0))</f>
        <v>0</v>
      </c>
      <c r="AD21" s="36" t="n">
        <f aca="false">IF($W21="RECEITA",$F21,0)</f>
        <v>0</v>
      </c>
      <c r="AE21" s="36" t="n">
        <f aca="false">IF($W21="DESPESA",$F21,0)</f>
        <v>0</v>
      </c>
      <c r="AF21" s="36" t="n">
        <f aca="false">IF($W21="RECEITA_FINANCEIRA",$F21,0)</f>
        <v>0</v>
      </c>
      <c r="AG21" s="36" t="n">
        <f aca="false">IF($B21="",0,IF($I21="CONTA",$F21,0)-IF($G21="CONTA",$F21,0))</f>
        <v>0</v>
      </c>
      <c r="AH21" s="36" t="n">
        <f aca="false">IF($B21="",0,IF($G21="CARTAO",$F21,0)-IF($I21="CARTAO",$F21,0))</f>
        <v>0</v>
      </c>
      <c r="AI21" s="36" t="n">
        <f aca="false">IF($B21="",0,IF($I21="INVESTIMENTO",$F21,0)-IF($G21="INVESTIMENTO",$F21,0))</f>
        <v>0</v>
      </c>
      <c r="AJ21" s="35" t="str">
        <f aca="false">IF($B21="","",IF(NOT(ISNUMBER($F21)),"ERRO: valor nao numerico",IF($F21&lt;=0,"ERRO: valor deve ser maior que zero",IF(COUNTIF(MAP_TIPO,$D21)=0,"ERRO: tipo de operacao nao cadastrado",IF(COUNTIF(LST_STATUS,$E21)=0,"ERRO: status invalido",IF(AND($G21="EXTERNO",$I21="EXTERNO"),"ERRO: origem e destino externos",IF(AND($G21&lt;&gt;"EXTERNO",COUNTIFS(ENT_ID,$H21,ENT_TIPO,$G21)=0),"ERRO: origem inexistente",IF(AND($I21&lt;&gt;"EXTERNO",COUNTIFS(ENT_ID,$J21,ENT_TIPO,$I21)=0),"ERRO: destino inexistente",IF(AND($K21&lt;&gt;"",COUNTIF(CAT_ID,$K21)=0),"ERRO: categoria inexistente",IF(AND($L21&lt;&gt;"",COUNTIF(SUB_ID,$L21)=0),"ERRO: subcategoria inexistente",IF(AND($L21&lt;&gt;"",$K21&lt;&gt;"",IFERROR(INDEX(SUB_CATID,MATCH($L21,SUB_ID,0)),"")&lt;&gt;$K21),"ERRO: subcategoria nao pertence a categoria",IF(AND($O21&lt;&gt;"",COUNTIF(P_ID,$O21)=0),"ERRO: parcela inexistente",IF(AND($N21&lt;&gt;"",COUNTIF(CM_ID,$N21)=0),"ERRO: compromisso inexistente","OK")))))))))))))</f>
        <v/>
      </c>
      <c r="AK21" s="35" t="str">
        <f aca="false">IF($B21="","",IF(AND($N21="",$O21="",$P21="",$Q21="",$R21=""),"","VINCULADO: "&amp;TRIM(IF($N21&lt;&gt;"",$N21&amp;" ","")&amp;IF($O21&lt;&gt;"",$O21&amp;" ","")&amp;IF($P21&lt;&gt;"",$P21&amp;" ","")&amp;IF($Q21&lt;&gt;"",$Q21&amp;" ","")&amp;IF($R21&lt;&gt;"",$R21,""))))</f>
        <v/>
      </c>
    </row>
    <row r="22" customFormat="false" ht="15" hidden="false" customHeight="false" outlineLevel="0" collapsed="false">
      <c r="A22" s="30" t="str">
        <f aca="false">IF($B22="","","LAN-"&amp;TEXT(ROW()-4,"000000"))</f>
        <v/>
      </c>
      <c r="B22" s="31"/>
      <c r="C22" s="32"/>
      <c r="D22" s="32"/>
      <c r="E22" s="32"/>
      <c r="F22" s="33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4" t="str">
        <f aca="false">IF($B22="","",YEAR($B22))</f>
        <v/>
      </c>
      <c r="U22" s="34" t="str">
        <f aca="false">IF($B22="","",MONTH($B22))</f>
        <v/>
      </c>
      <c r="V22" s="34" t="str">
        <f aca="false">IF($B22="","",YEAR($B22)*100+MONTH($B22))</f>
        <v/>
      </c>
      <c r="W22" s="35" t="str">
        <f aca="false">IF($D22="","",IFERROR(INDEX(MAP_CLASS,MATCH($D22,MAP_TIPO,0)),"TIPO INVALIDO"))</f>
        <v/>
      </c>
      <c r="X22" s="35" t="str">
        <f aca="false">IF($K22="","",IFERROR(INDEX(CAT_NOME,MATCH($K22,CAT_ID,0)),"?"))</f>
        <v/>
      </c>
      <c r="Y22" s="35" t="str">
        <f aca="false">IF($L22="","",IFERROR(INDEX(SUB_NOME,MATCH($L22,SUB_ID,0)),"?"))</f>
        <v/>
      </c>
      <c r="Z22" s="35" t="str">
        <f aca="false">IF($G22="","",IF($G22="EXTERNO","(Externo)",IFERROR(INDEX(ENT_NOME,MATCH($H22,ENT_ID,0)),"?")))</f>
        <v/>
      </c>
      <c r="AA22" s="35" t="str">
        <f aca="false">IF($I22="","",IF($I22="EXTERNO","(Externo)",IFERROR(INDEX(ENT_NOME,MATCH($J22,ENT_ID,0)),"?")))</f>
        <v/>
      </c>
      <c r="AB22" s="36" t="n">
        <f aca="false">IF($B22="",0,IF(AND($I22="CONTA",$G22&lt;&gt;"CONTA"),$F22,0))</f>
        <v>0</v>
      </c>
      <c r="AC22" s="36" t="n">
        <f aca="false">IF($B22="",0,IF(AND($G22="CONTA",$I22&lt;&gt;"CONTA"),$F22,0))</f>
        <v>0</v>
      </c>
      <c r="AD22" s="36" t="n">
        <f aca="false">IF($W22="RECEITA",$F22,0)</f>
        <v>0</v>
      </c>
      <c r="AE22" s="36" t="n">
        <f aca="false">IF($W22="DESPESA",$F22,0)</f>
        <v>0</v>
      </c>
      <c r="AF22" s="36" t="n">
        <f aca="false">IF($W22="RECEITA_FINANCEIRA",$F22,0)</f>
        <v>0</v>
      </c>
      <c r="AG22" s="36" t="n">
        <f aca="false">IF($B22="",0,IF($I22="CONTA",$F22,0)-IF($G22="CONTA",$F22,0))</f>
        <v>0</v>
      </c>
      <c r="AH22" s="36" t="n">
        <f aca="false">IF($B22="",0,IF($G22="CARTAO",$F22,0)-IF($I22="CARTAO",$F22,0))</f>
        <v>0</v>
      </c>
      <c r="AI22" s="36" t="n">
        <f aca="false">IF($B22="",0,IF($I22="INVESTIMENTO",$F22,0)-IF($G22="INVESTIMENTO",$F22,0))</f>
        <v>0</v>
      </c>
      <c r="AJ22" s="35" t="str">
        <f aca="false">IF($B22="","",IF(NOT(ISNUMBER($F22)),"ERRO: valor nao numerico",IF($F22&lt;=0,"ERRO: valor deve ser maior que zero",IF(COUNTIF(MAP_TIPO,$D22)=0,"ERRO: tipo de operacao nao cadastrado",IF(COUNTIF(LST_STATUS,$E22)=0,"ERRO: status invalido",IF(AND($G22="EXTERNO",$I22="EXTERNO"),"ERRO: origem e destino externos",IF(AND($G22&lt;&gt;"EXTERNO",COUNTIFS(ENT_ID,$H22,ENT_TIPO,$G22)=0),"ERRO: origem inexistente",IF(AND($I22&lt;&gt;"EXTERNO",COUNTIFS(ENT_ID,$J22,ENT_TIPO,$I22)=0),"ERRO: destino inexistente",IF(AND($K22&lt;&gt;"",COUNTIF(CAT_ID,$K22)=0),"ERRO: categoria inexistente",IF(AND($L22&lt;&gt;"",COUNTIF(SUB_ID,$L22)=0),"ERRO: subcategoria inexistente",IF(AND($L22&lt;&gt;"",$K22&lt;&gt;"",IFERROR(INDEX(SUB_CATID,MATCH($L22,SUB_ID,0)),"")&lt;&gt;$K22),"ERRO: subcategoria nao pertence a categoria",IF(AND($O22&lt;&gt;"",COUNTIF(P_ID,$O22)=0),"ERRO: parcela inexistente",IF(AND($N22&lt;&gt;"",COUNTIF(CM_ID,$N22)=0),"ERRO: compromisso inexistente","OK")))))))))))))</f>
        <v/>
      </c>
      <c r="AK22" s="35" t="str">
        <f aca="false">IF($B22="","",IF(AND($N22="",$O22="",$P22="",$Q22="",$R22=""),"","VINCULADO: "&amp;TRIM(IF($N22&lt;&gt;"",$N22&amp;" ","")&amp;IF($O22&lt;&gt;"",$O22&amp;" ","")&amp;IF($P22&lt;&gt;"",$P22&amp;" ","")&amp;IF($Q22&lt;&gt;"",$Q22&amp;" ","")&amp;IF($R22&lt;&gt;"",$R22,""))))</f>
        <v/>
      </c>
    </row>
    <row r="23" customFormat="false" ht="15" hidden="false" customHeight="false" outlineLevel="0" collapsed="false">
      <c r="A23" s="30" t="str">
        <f aca="false">IF($B23="","","LAN-"&amp;TEXT(ROW()-4,"000000"))</f>
        <v/>
      </c>
      <c r="B23" s="31"/>
      <c r="C23" s="32"/>
      <c r="D23" s="32"/>
      <c r="E23" s="32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4" t="str">
        <f aca="false">IF($B23="","",YEAR($B23))</f>
        <v/>
      </c>
      <c r="U23" s="34" t="str">
        <f aca="false">IF($B23="","",MONTH($B23))</f>
        <v/>
      </c>
      <c r="V23" s="34" t="str">
        <f aca="false">IF($B23="","",YEAR($B23)*100+MONTH($B23))</f>
        <v/>
      </c>
      <c r="W23" s="35" t="str">
        <f aca="false">IF($D23="","",IFERROR(INDEX(MAP_CLASS,MATCH($D23,MAP_TIPO,0)),"TIPO INVALIDO"))</f>
        <v/>
      </c>
      <c r="X23" s="35" t="str">
        <f aca="false">IF($K23="","",IFERROR(INDEX(CAT_NOME,MATCH($K23,CAT_ID,0)),"?"))</f>
        <v/>
      </c>
      <c r="Y23" s="35" t="str">
        <f aca="false">IF($L23="","",IFERROR(INDEX(SUB_NOME,MATCH($L23,SUB_ID,0)),"?"))</f>
        <v/>
      </c>
      <c r="Z23" s="35" t="str">
        <f aca="false">IF($G23="","",IF($G23="EXTERNO","(Externo)",IFERROR(INDEX(ENT_NOME,MATCH($H23,ENT_ID,0)),"?")))</f>
        <v/>
      </c>
      <c r="AA23" s="35" t="str">
        <f aca="false">IF($I23="","",IF($I23="EXTERNO","(Externo)",IFERROR(INDEX(ENT_NOME,MATCH($J23,ENT_ID,0)),"?")))</f>
        <v/>
      </c>
      <c r="AB23" s="36" t="n">
        <f aca="false">IF($B23="",0,IF(AND($I23="CONTA",$G23&lt;&gt;"CONTA"),$F23,0))</f>
        <v>0</v>
      </c>
      <c r="AC23" s="36" t="n">
        <f aca="false">IF($B23="",0,IF(AND($G23="CONTA",$I23&lt;&gt;"CONTA"),$F23,0))</f>
        <v>0</v>
      </c>
      <c r="AD23" s="36" t="n">
        <f aca="false">IF($W23="RECEITA",$F23,0)</f>
        <v>0</v>
      </c>
      <c r="AE23" s="36" t="n">
        <f aca="false">IF($W23="DESPESA",$F23,0)</f>
        <v>0</v>
      </c>
      <c r="AF23" s="36" t="n">
        <f aca="false">IF($W23="RECEITA_FINANCEIRA",$F23,0)</f>
        <v>0</v>
      </c>
      <c r="AG23" s="36" t="n">
        <f aca="false">IF($B23="",0,IF($I23="CONTA",$F23,0)-IF($G23="CONTA",$F23,0))</f>
        <v>0</v>
      </c>
      <c r="AH23" s="36" t="n">
        <f aca="false">IF($B23="",0,IF($G23="CARTAO",$F23,0)-IF($I23="CARTAO",$F23,0))</f>
        <v>0</v>
      </c>
      <c r="AI23" s="36" t="n">
        <f aca="false">IF($B23="",0,IF($I23="INVESTIMENTO",$F23,0)-IF($G23="INVESTIMENTO",$F23,0))</f>
        <v>0</v>
      </c>
      <c r="AJ23" s="35" t="str">
        <f aca="false">IF($B23="","",IF(NOT(ISNUMBER($F23)),"ERRO: valor nao numerico",IF($F23&lt;=0,"ERRO: valor deve ser maior que zero",IF(COUNTIF(MAP_TIPO,$D23)=0,"ERRO: tipo de operacao nao cadastrado",IF(COUNTIF(LST_STATUS,$E23)=0,"ERRO: status invalido",IF(AND($G23="EXTERNO",$I23="EXTERNO"),"ERRO: origem e destino externos",IF(AND($G23&lt;&gt;"EXTERNO",COUNTIFS(ENT_ID,$H23,ENT_TIPO,$G23)=0),"ERRO: origem inexistente",IF(AND($I23&lt;&gt;"EXTERNO",COUNTIFS(ENT_ID,$J23,ENT_TIPO,$I23)=0),"ERRO: destino inexistente",IF(AND($K23&lt;&gt;"",COUNTIF(CAT_ID,$K23)=0),"ERRO: categoria inexistente",IF(AND($L23&lt;&gt;"",COUNTIF(SUB_ID,$L23)=0),"ERRO: subcategoria inexistente",IF(AND($L23&lt;&gt;"",$K23&lt;&gt;"",IFERROR(INDEX(SUB_CATID,MATCH($L23,SUB_ID,0)),"")&lt;&gt;$K23),"ERRO: subcategoria nao pertence a categoria",IF(AND($O23&lt;&gt;"",COUNTIF(P_ID,$O23)=0),"ERRO: parcela inexistente",IF(AND($N23&lt;&gt;"",COUNTIF(CM_ID,$N23)=0),"ERRO: compromisso inexistente","OK")))))))))))))</f>
        <v/>
      </c>
      <c r="AK23" s="35" t="str">
        <f aca="false">IF($B23="","",IF(AND($N23="",$O23="",$P23="",$Q23="",$R23=""),"","VINCULADO: "&amp;TRIM(IF($N23&lt;&gt;"",$N23&amp;" ","")&amp;IF($O23&lt;&gt;"",$O23&amp;" ","")&amp;IF($P23&lt;&gt;"",$P23&amp;" ","")&amp;IF($Q23&lt;&gt;"",$Q23&amp;" ","")&amp;IF($R23&lt;&gt;"",$R23,""))))</f>
        <v/>
      </c>
    </row>
    <row r="24" customFormat="false" ht="15" hidden="false" customHeight="false" outlineLevel="0" collapsed="false">
      <c r="A24" s="30" t="str">
        <f aca="false">IF($B24="","","LAN-"&amp;TEXT(ROW()-4,"000000"))</f>
        <v/>
      </c>
      <c r="B24" s="31"/>
      <c r="C24" s="32"/>
      <c r="D24" s="32"/>
      <c r="E24" s="32"/>
      <c r="F24" s="33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4" t="str">
        <f aca="false">IF($B24="","",YEAR($B24))</f>
        <v/>
      </c>
      <c r="U24" s="34" t="str">
        <f aca="false">IF($B24="","",MONTH($B24))</f>
        <v/>
      </c>
      <c r="V24" s="34" t="str">
        <f aca="false">IF($B24="","",YEAR($B24)*100+MONTH($B24))</f>
        <v/>
      </c>
      <c r="W24" s="35" t="str">
        <f aca="false">IF($D24="","",IFERROR(INDEX(MAP_CLASS,MATCH($D24,MAP_TIPO,0)),"TIPO INVALIDO"))</f>
        <v/>
      </c>
      <c r="X24" s="35" t="str">
        <f aca="false">IF($K24="","",IFERROR(INDEX(CAT_NOME,MATCH($K24,CAT_ID,0)),"?"))</f>
        <v/>
      </c>
      <c r="Y24" s="35" t="str">
        <f aca="false">IF($L24="","",IFERROR(INDEX(SUB_NOME,MATCH($L24,SUB_ID,0)),"?"))</f>
        <v/>
      </c>
      <c r="Z24" s="35" t="str">
        <f aca="false">IF($G24="","",IF($G24="EXTERNO","(Externo)",IFERROR(INDEX(ENT_NOME,MATCH($H24,ENT_ID,0)),"?")))</f>
        <v/>
      </c>
      <c r="AA24" s="35" t="str">
        <f aca="false">IF($I24="","",IF($I24="EXTERNO","(Externo)",IFERROR(INDEX(ENT_NOME,MATCH($J24,ENT_ID,0)),"?")))</f>
        <v/>
      </c>
      <c r="AB24" s="36" t="n">
        <f aca="false">IF($B24="",0,IF(AND($I24="CONTA",$G24&lt;&gt;"CONTA"),$F24,0))</f>
        <v>0</v>
      </c>
      <c r="AC24" s="36" t="n">
        <f aca="false">IF($B24="",0,IF(AND($G24="CONTA",$I24&lt;&gt;"CONTA"),$F24,0))</f>
        <v>0</v>
      </c>
      <c r="AD24" s="36" t="n">
        <f aca="false">IF($W24="RECEITA",$F24,0)</f>
        <v>0</v>
      </c>
      <c r="AE24" s="36" t="n">
        <f aca="false">IF($W24="DESPESA",$F24,0)</f>
        <v>0</v>
      </c>
      <c r="AF24" s="36" t="n">
        <f aca="false">IF($W24="RECEITA_FINANCEIRA",$F24,0)</f>
        <v>0</v>
      </c>
      <c r="AG24" s="36" t="n">
        <f aca="false">IF($B24="",0,IF($I24="CONTA",$F24,0)-IF($G24="CONTA",$F24,0))</f>
        <v>0</v>
      </c>
      <c r="AH24" s="36" t="n">
        <f aca="false">IF($B24="",0,IF($G24="CARTAO",$F24,0)-IF($I24="CARTAO",$F24,0))</f>
        <v>0</v>
      </c>
      <c r="AI24" s="36" t="n">
        <f aca="false">IF($B24="",0,IF($I24="INVESTIMENTO",$F24,0)-IF($G24="INVESTIMENTO",$F24,0))</f>
        <v>0</v>
      </c>
      <c r="AJ24" s="35" t="str">
        <f aca="false">IF($B24="","",IF(NOT(ISNUMBER($F24)),"ERRO: valor nao numerico",IF($F24&lt;=0,"ERRO: valor deve ser maior que zero",IF(COUNTIF(MAP_TIPO,$D24)=0,"ERRO: tipo de operacao nao cadastrado",IF(COUNTIF(LST_STATUS,$E24)=0,"ERRO: status invalido",IF(AND($G24="EXTERNO",$I24="EXTERNO"),"ERRO: origem e destino externos",IF(AND($G24&lt;&gt;"EXTERNO",COUNTIFS(ENT_ID,$H24,ENT_TIPO,$G24)=0),"ERRO: origem inexistente",IF(AND($I24&lt;&gt;"EXTERNO",COUNTIFS(ENT_ID,$J24,ENT_TIPO,$I24)=0),"ERRO: destino inexistente",IF(AND($K24&lt;&gt;"",COUNTIF(CAT_ID,$K24)=0),"ERRO: categoria inexistente",IF(AND($L24&lt;&gt;"",COUNTIF(SUB_ID,$L24)=0),"ERRO: subcategoria inexistente",IF(AND($L24&lt;&gt;"",$K24&lt;&gt;"",IFERROR(INDEX(SUB_CATID,MATCH($L24,SUB_ID,0)),"")&lt;&gt;$K24),"ERRO: subcategoria nao pertence a categoria",IF(AND($O24&lt;&gt;"",COUNTIF(P_ID,$O24)=0),"ERRO: parcela inexistente",IF(AND($N24&lt;&gt;"",COUNTIF(CM_ID,$N24)=0),"ERRO: compromisso inexistente","OK")))))))))))))</f>
        <v/>
      </c>
      <c r="AK24" s="35" t="str">
        <f aca="false">IF($B24="","",IF(AND($N24="",$O24="",$P24="",$Q24="",$R24=""),"","VINCULADO: "&amp;TRIM(IF($N24&lt;&gt;"",$N24&amp;" ","")&amp;IF($O24&lt;&gt;"",$O24&amp;" ","")&amp;IF($P24&lt;&gt;"",$P24&amp;" ","")&amp;IF($Q24&lt;&gt;"",$Q24&amp;" ","")&amp;IF($R24&lt;&gt;"",$R24,""))))</f>
        <v/>
      </c>
    </row>
    <row r="25" customFormat="false" ht="15" hidden="false" customHeight="false" outlineLevel="0" collapsed="false">
      <c r="A25" s="30" t="str">
        <f aca="false">IF($B25="","","LAN-"&amp;TEXT(ROW()-4,"000000"))</f>
        <v/>
      </c>
      <c r="B25" s="31"/>
      <c r="C25" s="32"/>
      <c r="D25" s="32"/>
      <c r="E25" s="32"/>
      <c r="F25" s="33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4" t="str">
        <f aca="false">IF($B25="","",YEAR($B25))</f>
        <v/>
      </c>
      <c r="U25" s="34" t="str">
        <f aca="false">IF($B25="","",MONTH($B25))</f>
        <v/>
      </c>
      <c r="V25" s="34" t="str">
        <f aca="false">IF($B25="","",YEAR($B25)*100+MONTH($B25))</f>
        <v/>
      </c>
      <c r="W25" s="35" t="str">
        <f aca="false">IF($D25="","",IFERROR(INDEX(MAP_CLASS,MATCH($D25,MAP_TIPO,0)),"TIPO INVALIDO"))</f>
        <v/>
      </c>
      <c r="X25" s="35" t="str">
        <f aca="false">IF($K25="","",IFERROR(INDEX(CAT_NOME,MATCH($K25,CAT_ID,0)),"?"))</f>
        <v/>
      </c>
      <c r="Y25" s="35" t="str">
        <f aca="false">IF($L25="","",IFERROR(INDEX(SUB_NOME,MATCH($L25,SUB_ID,0)),"?"))</f>
        <v/>
      </c>
      <c r="Z25" s="35" t="str">
        <f aca="false">IF($G25="","",IF($G25="EXTERNO","(Externo)",IFERROR(INDEX(ENT_NOME,MATCH($H25,ENT_ID,0)),"?")))</f>
        <v/>
      </c>
      <c r="AA25" s="35" t="str">
        <f aca="false">IF($I25="","",IF($I25="EXTERNO","(Externo)",IFERROR(INDEX(ENT_NOME,MATCH($J25,ENT_ID,0)),"?")))</f>
        <v/>
      </c>
      <c r="AB25" s="36" t="n">
        <f aca="false">IF($B25="",0,IF(AND($I25="CONTA",$G25&lt;&gt;"CONTA"),$F25,0))</f>
        <v>0</v>
      </c>
      <c r="AC25" s="36" t="n">
        <f aca="false">IF($B25="",0,IF(AND($G25="CONTA",$I25&lt;&gt;"CONTA"),$F25,0))</f>
        <v>0</v>
      </c>
      <c r="AD25" s="36" t="n">
        <f aca="false">IF($W25="RECEITA",$F25,0)</f>
        <v>0</v>
      </c>
      <c r="AE25" s="36" t="n">
        <f aca="false">IF($W25="DESPESA",$F25,0)</f>
        <v>0</v>
      </c>
      <c r="AF25" s="36" t="n">
        <f aca="false">IF($W25="RECEITA_FINANCEIRA",$F25,0)</f>
        <v>0</v>
      </c>
      <c r="AG25" s="36" t="n">
        <f aca="false">IF($B25="",0,IF($I25="CONTA",$F25,0)-IF($G25="CONTA",$F25,0))</f>
        <v>0</v>
      </c>
      <c r="AH25" s="36" t="n">
        <f aca="false">IF($B25="",0,IF($G25="CARTAO",$F25,0)-IF($I25="CARTAO",$F25,0))</f>
        <v>0</v>
      </c>
      <c r="AI25" s="36" t="n">
        <f aca="false">IF($B25="",0,IF($I25="INVESTIMENTO",$F25,0)-IF($G25="INVESTIMENTO",$F25,0))</f>
        <v>0</v>
      </c>
      <c r="AJ25" s="35" t="str">
        <f aca="false">IF($B25="","",IF(NOT(ISNUMBER($F25)),"ERRO: valor nao numerico",IF($F25&lt;=0,"ERRO: valor deve ser maior que zero",IF(COUNTIF(MAP_TIPO,$D25)=0,"ERRO: tipo de operacao nao cadastrado",IF(COUNTIF(LST_STATUS,$E25)=0,"ERRO: status invalido",IF(AND($G25="EXTERNO",$I25="EXTERNO"),"ERRO: origem e destino externos",IF(AND($G25&lt;&gt;"EXTERNO",COUNTIFS(ENT_ID,$H25,ENT_TIPO,$G25)=0),"ERRO: origem inexistente",IF(AND($I25&lt;&gt;"EXTERNO",COUNTIFS(ENT_ID,$J25,ENT_TIPO,$I25)=0),"ERRO: destino inexistente",IF(AND($K25&lt;&gt;"",COUNTIF(CAT_ID,$K25)=0),"ERRO: categoria inexistente",IF(AND($L25&lt;&gt;"",COUNTIF(SUB_ID,$L25)=0),"ERRO: subcategoria inexistente",IF(AND($L25&lt;&gt;"",$K25&lt;&gt;"",IFERROR(INDEX(SUB_CATID,MATCH($L25,SUB_ID,0)),"")&lt;&gt;$K25),"ERRO: subcategoria nao pertence a categoria",IF(AND($O25&lt;&gt;"",COUNTIF(P_ID,$O25)=0),"ERRO: parcela inexistente",IF(AND($N25&lt;&gt;"",COUNTIF(CM_ID,$N25)=0),"ERRO: compromisso inexistente","OK")))))))))))))</f>
        <v/>
      </c>
      <c r="AK25" s="35" t="str">
        <f aca="false">IF($B25="","",IF(AND($N25="",$O25="",$P25="",$Q25="",$R25=""),"","VINCULADO: "&amp;TRIM(IF($N25&lt;&gt;"",$N25&amp;" ","")&amp;IF($O25&lt;&gt;"",$O25&amp;" ","")&amp;IF($P25&lt;&gt;"",$P25&amp;" ","")&amp;IF($Q25&lt;&gt;"",$Q25&amp;" ","")&amp;IF($R25&lt;&gt;"",$R25,""))))</f>
        <v/>
      </c>
    </row>
    <row r="26" customFormat="false" ht="15" hidden="false" customHeight="false" outlineLevel="0" collapsed="false">
      <c r="A26" s="30" t="str">
        <f aca="false">IF($B26="","","LAN-"&amp;TEXT(ROW()-4,"000000"))</f>
        <v/>
      </c>
      <c r="B26" s="31"/>
      <c r="C26" s="32"/>
      <c r="D26" s="32"/>
      <c r="E26" s="32"/>
      <c r="F26" s="33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4" t="str">
        <f aca="false">IF($B26="","",YEAR($B26))</f>
        <v/>
      </c>
      <c r="U26" s="34" t="str">
        <f aca="false">IF($B26="","",MONTH($B26))</f>
        <v/>
      </c>
      <c r="V26" s="34" t="str">
        <f aca="false">IF($B26="","",YEAR($B26)*100+MONTH($B26))</f>
        <v/>
      </c>
      <c r="W26" s="35" t="str">
        <f aca="false">IF($D26="","",IFERROR(INDEX(MAP_CLASS,MATCH($D26,MAP_TIPO,0)),"TIPO INVALIDO"))</f>
        <v/>
      </c>
      <c r="X26" s="35" t="str">
        <f aca="false">IF($K26="","",IFERROR(INDEX(CAT_NOME,MATCH($K26,CAT_ID,0)),"?"))</f>
        <v/>
      </c>
      <c r="Y26" s="35" t="str">
        <f aca="false">IF($L26="","",IFERROR(INDEX(SUB_NOME,MATCH($L26,SUB_ID,0)),"?"))</f>
        <v/>
      </c>
      <c r="Z26" s="35" t="str">
        <f aca="false">IF($G26="","",IF($G26="EXTERNO","(Externo)",IFERROR(INDEX(ENT_NOME,MATCH($H26,ENT_ID,0)),"?")))</f>
        <v/>
      </c>
      <c r="AA26" s="35" t="str">
        <f aca="false">IF($I26="","",IF($I26="EXTERNO","(Externo)",IFERROR(INDEX(ENT_NOME,MATCH($J26,ENT_ID,0)),"?")))</f>
        <v/>
      </c>
      <c r="AB26" s="36" t="n">
        <f aca="false">IF($B26="",0,IF(AND($I26="CONTA",$G26&lt;&gt;"CONTA"),$F26,0))</f>
        <v>0</v>
      </c>
      <c r="AC26" s="36" t="n">
        <f aca="false">IF($B26="",0,IF(AND($G26="CONTA",$I26&lt;&gt;"CONTA"),$F26,0))</f>
        <v>0</v>
      </c>
      <c r="AD26" s="36" t="n">
        <f aca="false">IF($W26="RECEITA",$F26,0)</f>
        <v>0</v>
      </c>
      <c r="AE26" s="36" t="n">
        <f aca="false">IF($W26="DESPESA",$F26,0)</f>
        <v>0</v>
      </c>
      <c r="AF26" s="36" t="n">
        <f aca="false">IF($W26="RECEITA_FINANCEIRA",$F26,0)</f>
        <v>0</v>
      </c>
      <c r="AG26" s="36" t="n">
        <f aca="false">IF($B26="",0,IF($I26="CONTA",$F26,0)-IF($G26="CONTA",$F26,0))</f>
        <v>0</v>
      </c>
      <c r="AH26" s="36" t="n">
        <f aca="false">IF($B26="",0,IF($G26="CARTAO",$F26,0)-IF($I26="CARTAO",$F26,0))</f>
        <v>0</v>
      </c>
      <c r="AI26" s="36" t="n">
        <f aca="false">IF($B26="",0,IF($I26="INVESTIMENTO",$F26,0)-IF($G26="INVESTIMENTO",$F26,0))</f>
        <v>0</v>
      </c>
      <c r="AJ26" s="35" t="str">
        <f aca="false">IF($B26="","",IF(NOT(ISNUMBER($F26)),"ERRO: valor nao numerico",IF($F26&lt;=0,"ERRO: valor deve ser maior que zero",IF(COUNTIF(MAP_TIPO,$D26)=0,"ERRO: tipo de operacao nao cadastrado",IF(COUNTIF(LST_STATUS,$E26)=0,"ERRO: status invalido",IF(AND($G26="EXTERNO",$I26="EXTERNO"),"ERRO: origem e destino externos",IF(AND($G26&lt;&gt;"EXTERNO",COUNTIFS(ENT_ID,$H26,ENT_TIPO,$G26)=0),"ERRO: origem inexistente",IF(AND($I26&lt;&gt;"EXTERNO",COUNTIFS(ENT_ID,$J26,ENT_TIPO,$I26)=0),"ERRO: destino inexistente",IF(AND($K26&lt;&gt;"",COUNTIF(CAT_ID,$K26)=0),"ERRO: categoria inexistente",IF(AND($L26&lt;&gt;"",COUNTIF(SUB_ID,$L26)=0),"ERRO: subcategoria inexistente",IF(AND($L26&lt;&gt;"",$K26&lt;&gt;"",IFERROR(INDEX(SUB_CATID,MATCH($L26,SUB_ID,0)),"")&lt;&gt;$K26),"ERRO: subcategoria nao pertence a categoria",IF(AND($O26&lt;&gt;"",COUNTIF(P_ID,$O26)=0),"ERRO: parcela inexistente",IF(AND($N26&lt;&gt;"",COUNTIF(CM_ID,$N26)=0),"ERRO: compromisso inexistente","OK")))))))))))))</f>
        <v/>
      </c>
      <c r="AK26" s="35" t="str">
        <f aca="false">IF($B26="","",IF(AND($N26="",$O26="",$P26="",$Q26="",$R26=""),"","VINCULADO: "&amp;TRIM(IF($N26&lt;&gt;"",$N26&amp;" ","")&amp;IF($O26&lt;&gt;"",$O26&amp;" ","")&amp;IF($P26&lt;&gt;"",$P26&amp;" ","")&amp;IF($Q26&lt;&gt;"",$Q26&amp;" ","")&amp;IF($R26&lt;&gt;"",$R26,""))))</f>
        <v/>
      </c>
    </row>
    <row r="27" customFormat="false" ht="15" hidden="false" customHeight="false" outlineLevel="0" collapsed="false">
      <c r="A27" s="30" t="str">
        <f aca="false">IF($B27="","","LAN-"&amp;TEXT(ROW()-4,"000000"))</f>
        <v/>
      </c>
      <c r="B27" s="31"/>
      <c r="C27" s="32"/>
      <c r="D27" s="32"/>
      <c r="E27" s="32"/>
      <c r="F27" s="33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4" t="str">
        <f aca="false">IF($B27="","",YEAR($B27))</f>
        <v/>
      </c>
      <c r="U27" s="34" t="str">
        <f aca="false">IF($B27="","",MONTH($B27))</f>
        <v/>
      </c>
      <c r="V27" s="34" t="str">
        <f aca="false">IF($B27="","",YEAR($B27)*100+MONTH($B27))</f>
        <v/>
      </c>
      <c r="W27" s="35" t="str">
        <f aca="false">IF($D27="","",IFERROR(INDEX(MAP_CLASS,MATCH($D27,MAP_TIPO,0)),"TIPO INVALIDO"))</f>
        <v/>
      </c>
      <c r="X27" s="35" t="str">
        <f aca="false">IF($K27="","",IFERROR(INDEX(CAT_NOME,MATCH($K27,CAT_ID,0)),"?"))</f>
        <v/>
      </c>
      <c r="Y27" s="35" t="str">
        <f aca="false">IF($L27="","",IFERROR(INDEX(SUB_NOME,MATCH($L27,SUB_ID,0)),"?"))</f>
        <v/>
      </c>
      <c r="Z27" s="35" t="str">
        <f aca="false">IF($G27="","",IF($G27="EXTERNO","(Externo)",IFERROR(INDEX(ENT_NOME,MATCH($H27,ENT_ID,0)),"?")))</f>
        <v/>
      </c>
      <c r="AA27" s="35" t="str">
        <f aca="false">IF($I27="","",IF($I27="EXTERNO","(Externo)",IFERROR(INDEX(ENT_NOME,MATCH($J27,ENT_ID,0)),"?")))</f>
        <v/>
      </c>
      <c r="AB27" s="36" t="n">
        <f aca="false">IF($B27="",0,IF(AND($I27="CONTA",$G27&lt;&gt;"CONTA"),$F27,0))</f>
        <v>0</v>
      </c>
      <c r="AC27" s="36" t="n">
        <f aca="false">IF($B27="",0,IF(AND($G27="CONTA",$I27&lt;&gt;"CONTA"),$F27,0))</f>
        <v>0</v>
      </c>
      <c r="AD27" s="36" t="n">
        <f aca="false">IF($W27="RECEITA",$F27,0)</f>
        <v>0</v>
      </c>
      <c r="AE27" s="36" t="n">
        <f aca="false">IF($W27="DESPESA",$F27,0)</f>
        <v>0</v>
      </c>
      <c r="AF27" s="36" t="n">
        <f aca="false">IF($W27="RECEITA_FINANCEIRA",$F27,0)</f>
        <v>0</v>
      </c>
      <c r="AG27" s="36" t="n">
        <f aca="false">IF($B27="",0,IF($I27="CONTA",$F27,0)-IF($G27="CONTA",$F27,0))</f>
        <v>0</v>
      </c>
      <c r="AH27" s="36" t="n">
        <f aca="false">IF($B27="",0,IF($G27="CARTAO",$F27,0)-IF($I27="CARTAO",$F27,0))</f>
        <v>0</v>
      </c>
      <c r="AI27" s="36" t="n">
        <f aca="false">IF($B27="",0,IF($I27="INVESTIMENTO",$F27,0)-IF($G27="INVESTIMENTO",$F27,0))</f>
        <v>0</v>
      </c>
      <c r="AJ27" s="35" t="str">
        <f aca="false">IF($B27="","",IF(NOT(ISNUMBER($F27)),"ERRO: valor nao numerico",IF($F27&lt;=0,"ERRO: valor deve ser maior que zero",IF(COUNTIF(MAP_TIPO,$D27)=0,"ERRO: tipo de operacao nao cadastrado",IF(COUNTIF(LST_STATUS,$E27)=0,"ERRO: status invalido",IF(AND($G27="EXTERNO",$I27="EXTERNO"),"ERRO: origem e destino externos",IF(AND($G27&lt;&gt;"EXTERNO",COUNTIFS(ENT_ID,$H27,ENT_TIPO,$G27)=0),"ERRO: origem inexistente",IF(AND($I27&lt;&gt;"EXTERNO",COUNTIFS(ENT_ID,$J27,ENT_TIPO,$I27)=0),"ERRO: destino inexistente",IF(AND($K27&lt;&gt;"",COUNTIF(CAT_ID,$K27)=0),"ERRO: categoria inexistente",IF(AND($L27&lt;&gt;"",COUNTIF(SUB_ID,$L27)=0),"ERRO: subcategoria inexistente",IF(AND($L27&lt;&gt;"",$K27&lt;&gt;"",IFERROR(INDEX(SUB_CATID,MATCH($L27,SUB_ID,0)),"")&lt;&gt;$K27),"ERRO: subcategoria nao pertence a categoria",IF(AND($O27&lt;&gt;"",COUNTIF(P_ID,$O27)=0),"ERRO: parcela inexistente",IF(AND($N27&lt;&gt;"",COUNTIF(CM_ID,$N27)=0),"ERRO: compromisso inexistente","OK")))))))))))))</f>
        <v/>
      </c>
      <c r="AK27" s="35" t="str">
        <f aca="false">IF($B27="","",IF(AND($N27="",$O27="",$P27="",$Q27="",$R27=""),"","VINCULADO: "&amp;TRIM(IF($N27&lt;&gt;"",$N27&amp;" ","")&amp;IF($O27&lt;&gt;"",$O27&amp;" ","")&amp;IF($P27&lt;&gt;"",$P27&amp;" ","")&amp;IF($Q27&lt;&gt;"",$Q27&amp;" ","")&amp;IF($R27&lt;&gt;"",$R27,""))))</f>
        <v/>
      </c>
    </row>
    <row r="28" customFormat="false" ht="15" hidden="false" customHeight="false" outlineLevel="0" collapsed="false">
      <c r="A28" s="30" t="str">
        <f aca="false">IF($B28="","","LAN-"&amp;TEXT(ROW()-4,"000000"))</f>
        <v/>
      </c>
      <c r="B28" s="31"/>
      <c r="C28" s="32"/>
      <c r="D28" s="32"/>
      <c r="E28" s="32"/>
      <c r="F28" s="33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4" t="str">
        <f aca="false">IF($B28="","",YEAR($B28))</f>
        <v/>
      </c>
      <c r="U28" s="34" t="str">
        <f aca="false">IF($B28="","",MONTH($B28))</f>
        <v/>
      </c>
      <c r="V28" s="34" t="str">
        <f aca="false">IF($B28="","",YEAR($B28)*100+MONTH($B28))</f>
        <v/>
      </c>
      <c r="W28" s="35" t="str">
        <f aca="false">IF($D28="","",IFERROR(INDEX(MAP_CLASS,MATCH($D28,MAP_TIPO,0)),"TIPO INVALIDO"))</f>
        <v/>
      </c>
      <c r="X28" s="35" t="str">
        <f aca="false">IF($K28="","",IFERROR(INDEX(CAT_NOME,MATCH($K28,CAT_ID,0)),"?"))</f>
        <v/>
      </c>
      <c r="Y28" s="35" t="str">
        <f aca="false">IF($L28="","",IFERROR(INDEX(SUB_NOME,MATCH($L28,SUB_ID,0)),"?"))</f>
        <v/>
      </c>
      <c r="Z28" s="35" t="str">
        <f aca="false">IF($G28="","",IF($G28="EXTERNO","(Externo)",IFERROR(INDEX(ENT_NOME,MATCH($H28,ENT_ID,0)),"?")))</f>
        <v/>
      </c>
      <c r="AA28" s="35" t="str">
        <f aca="false">IF($I28="","",IF($I28="EXTERNO","(Externo)",IFERROR(INDEX(ENT_NOME,MATCH($J28,ENT_ID,0)),"?")))</f>
        <v/>
      </c>
      <c r="AB28" s="36" t="n">
        <f aca="false">IF($B28="",0,IF(AND($I28="CONTA",$G28&lt;&gt;"CONTA"),$F28,0))</f>
        <v>0</v>
      </c>
      <c r="AC28" s="36" t="n">
        <f aca="false">IF($B28="",0,IF(AND($G28="CONTA",$I28&lt;&gt;"CONTA"),$F28,0))</f>
        <v>0</v>
      </c>
      <c r="AD28" s="36" t="n">
        <f aca="false">IF($W28="RECEITA",$F28,0)</f>
        <v>0</v>
      </c>
      <c r="AE28" s="36" t="n">
        <f aca="false">IF($W28="DESPESA",$F28,0)</f>
        <v>0</v>
      </c>
      <c r="AF28" s="36" t="n">
        <f aca="false">IF($W28="RECEITA_FINANCEIRA",$F28,0)</f>
        <v>0</v>
      </c>
      <c r="AG28" s="36" t="n">
        <f aca="false">IF($B28="",0,IF($I28="CONTA",$F28,0)-IF($G28="CONTA",$F28,0))</f>
        <v>0</v>
      </c>
      <c r="AH28" s="36" t="n">
        <f aca="false">IF($B28="",0,IF($G28="CARTAO",$F28,0)-IF($I28="CARTAO",$F28,0))</f>
        <v>0</v>
      </c>
      <c r="AI28" s="36" t="n">
        <f aca="false">IF($B28="",0,IF($I28="INVESTIMENTO",$F28,0)-IF($G28="INVESTIMENTO",$F28,0))</f>
        <v>0</v>
      </c>
      <c r="AJ28" s="35" t="str">
        <f aca="false">IF($B28="","",IF(NOT(ISNUMBER($F28)),"ERRO: valor nao numerico",IF($F28&lt;=0,"ERRO: valor deve ser maior que zero",IF(COUNTIF(MAP_TIPO,$D28)=0,"ERRO: tipo de operacao nao cadastrado",IF(COUNTIF(LST_STATUS,$E28)=0,"ERRO: status invalido",IF(AND($G28="EXTERNO",$I28="EXTERNO"),"ERRO: origem e destino externos",IF(AND($G28&lt;&gt;"EXTERNO",COUNTIFS(ENT_ID,$H28,ENT_TIPO,$G28)=0),"ERRO: origem inexistente",IF(AND($I28&lt;&gt;"EXTERNO",COUNTIFS(ENT_ID,$J28,ENT_TIPO,$I28)=0),"ERRO: destino inexistente",IF(AND($K28&lt;&gt;"",COUNTIF(CAT_ID,$K28)=0),"ERRO: categoria inexistente",IF(AND($L28&lt;&gt;"",COUNTIF(SUB_ID,$L28)=0),"ERRO: subcategoria inexistente",IF(AND($L28&lt;&gt;"",$K28&lt;&gt;"",IFERROR(INDEX(SUB_CATID,MATCH($L28,SUB_ID,0)),"")&lt;&gt;$K28),"ERRO: subcategoria nao pertence a categoria",IF(AND($O28&lt;&gt;"",COUNTIF(P_ID,$O28)=0),"ERRO: parcela inexistente",IF(AND($N28&lt;&gt;"",COUNTIF(CM_ID,$N28)=0),"ERRO: compromisso inexistente","OK")))))))))))))</f>
        <v/>
      </c>
      <c r="AK28" s="35" t="str">
        <f aca="false">IF($B28="","",IF(AND($N28="",$O28="",$P28="",$Q28="",$R28=""),"","VINCULADO: "&amp;TRIM(IF($N28&lt;&gt;"",$N28&amp;" ","")&amp;IF($O28&lt;&gt;"",$O28&amp;" ","")&amp;IF($P28&lt;&gt;"",$P28&amp;" ","")&amp;IF($Q28&lt;&gt;"",$Q28&amp;" ","")&amp;IF($R28&lt;&gt;"",$R28,""))))</f>
        <v/>
      </c>
    </row>
    <row r="29" customFormat="false" ht="15" hidden="false" customHeight="false" outlineLevel="0" collapsed="false">
      <c r="A29" s="30" t="str">
        <f aca="false">IF($B29="","","LAN-"&amp;TEXT(ROW()-4,"000000"))</f>
        <v/>
      </c>
      <c r="B29" s="31"/>
      <c r="C29" s="32"/>
      <c r="D29" s="32"/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4" t="str">
        <f aca="false">IF($B29="","",YEAR($B29))</f>
        <v/>
      </c>
      <c r="U29" s="34" t="str">
        <f aca="false">IF($B29="","",MONTH($B29))</f>
        <v/>
      </c>
      <c r="V29" s="34" t="str">
        <f aca="false">IF($B29="","",YEAR($B29)*100+MONTH($B29))</f>
        <v/>
      </c>
      <c r="W29" s="35" t="str">
        <f aca="false">IF($D29="","",IFERROR(INDEX(MAP_CLASS,MATCH($D29,MAP_TIPO,0)),"TIPO INVALIDO"))</f>
        <v/>
      </c>
      <c r="X29" s="35" t="str">
        <f aca="false">IF($K29="","",IFERROR(INDEX(CAT_NOME,MATCH($K29,CAT_ID,0)),"?"))</f>
        <v/>
      </c>
      <c r="Y29" s="35" t="str">
        <f aca="false">IF($L29="","",IFERROR(INDEX(SUB_NOME,MATCH($L29,SUB_ID,0)),"?"))</f>
        <v/>
      </c>
      <c r="Z29" s="35" t="str">
        <f aca="false">IF($G29="","",IF($G29="EXTERNO","(Externo)",IFERROR(INDEX(ENT_NOME,MATCH($H29,ENT_ID,0)),"?")))</f>
        <v/>
      </c>
      <c r="AA29" s="35" t="str">
        <f aca="false">IF($I29="","",IF($I29="EXTERNO","(Externo)",IFERROR(INDEX(ENT_NOME,MATCH($J29,ENT_ID,0)),"?")))</f>
        <v/>
      </c>
      <c r="AB29" s="36" t="n">
        <f aca="false">IF($B29="",0,IF(AND($I29="CONTA",$G29&lt;&gt;"CONTA"),$F29,0))</f>
        <v>0</v>
      </c>
      <c r="AC29" s="36" t="n">
        <f aca="false">IF($B29="",0,IF(AND($G29="CONTA",$I29&lt;&gt;"CONTA"),$F29,0))</f>
        <v>0</v>
      </c>
      <c r="AD29" s="36" t="n">
        <f aca="false">IF($W29="RECEITA",$F29,0)</f>
        <v>0</v>
      </c>
      <c r="AE29" s="36" t="n">
        <f aca="false">IF($W29="DESPESA",$F29,0)</f>
        <v>0</v>
      </c>
      <c r="AF29" s="36" t="n">
        <f aca="false">IF($W29="RECEITA_FINANCEIRA",$F29,0)</f>
        <v>0</v>
      </c>
      <c r="AG29" s="36" t="n">
        <f aca="false">IF($B29="",0,IF($I29="CONTA",$F29,0)-IF($G29="CONTA",$F29,0))</f>
        <v>0</v>
      </c>
      <c r="AH29" s="36" t="n">
        <f aca="false">IF($B29="",0,IF($G29="CARTAO",$F29,0)-IF($I29="CARTAO",$F29,0))</f>
        <v>0</v>
      </c>
      <c r="AI29" s="36" t="n">
        <f aca="false">IF($B29="",0,IF($I29="INVESTIMENTO",$F29,0)-IF($G29="INVESTIMENTO",$F29,0))</f>
        <v>0</v>
      </c>
      <c r="AJ29" s="35" t="str">
        <f aca="false">IF($B29="","",IF(NOT(ISNUMBER($F29)),"ERRO: valor nao numerico",IF($F29&lt;=0,"ERRO: valor deve ser maior que zero",IF(COUNTIF(MAP_TIPO,$D29)=0,"ERRO: tipo de operacao nao cadastrado",IF(COUNTIF(LST_STATUS,$E29)=0,"ERRO: status invalido",IF(AND($G29="EXTERNO",$I29="EXTERNO"),"ERRO: origem e destino externos",IF(AND($G29&lt;&gt;"EXTERNO",COUNTIFS(ENT_ID,$H29,ENT_TIPO,$G29)=0),"ERRO: origem inexistente",IF(AND($I29&lt;&gt;"EXTERNO",COUNTIFS(ENT_ID,$J29,ENT_TIPO,$I29)=0),"ERRO: destino inexistente",IF(AND($K29&lt;&gt;"",COUNTIF(CAT_ID,$K29)=0),"ERRO: categoria inexistente",IF(AND($L29&lt;&gt;"",COUNTIF(SUB_ID,$L29)=0),"ERRO: subcategoria inexistente",IF(AND($L29&lt;&gt;"",$K29&lt;&gt;"",IFERROR(INDEX(SUB_CATID,MATCH($L29,SUB_ID,0)),"")&lt;&gt;$K29),"ERRO: subcategoria nao pertence a categoria",IF(AND($O29&lt;&gt;"",COUNTIF(P_ID,$O29)=0),"ERRO: parcela inexistente",IF(AND($N29&lt;&gt;"",COUNTIF(CM_ID,$N29)=0),"ERRO: compromisso inexistente","OK")))))))))))))</f>
        <v/>
      </c>
      <c r="AK29" s="35" t="str">
        <f aca="false">IF($B29="","",IF(AND($N29="",$O29="",$P29="",$Q29="",$R29=""),"","VINCULADO: "&amp;TRIM(IF($N29&lt;&gt;"",$N29&amp;" ","")&amp;IF($O29&lt;&gt;"",$O29&amp;" ","")&amp;IF($P29&lt;&gt;"",$P29&amp;" ","")&amp;IF($Q29&lt;&gt;"",$Q29&amp;" ","")&amp;IF($R29&lt;&gt;"",$R29,""))))</f>
        <v/>
      </c>
    </row>
    <row r="30" customFormat="false" ht="15" hidden="false" customHeight="false" outlineLevel="0" collapsed="false">
      <c r="A30" s="30" t="str">
        <f aca="false">IF($B30="","","LAN-"&amp;TEXT(ROW()-4,"000000"))</f>
        <v/>
      </c>
      <c r="B30" s="31"/>
      <c r="C30" s="32"/>
      <c r="D30" s="32"/>
      <c r="E30" s="32"/>
      <c r="F30" s="33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4" t="str">
        <f aca="false">IF($B30="","",YEAR($B30))</f>
        <v/>
      </c>
      <c r="U30" s="34" t="str">
        <f aca="false">IF($B30="","",MONTH($B30))</f>
        <v/>
      </c>
      <c r="V30" s="34" t="str">
        <f aca="false">IF($B30="","",YEAR($B30)*100+MONTH($B30))</f>
        <v/>
      </c>
      <c r="W30" s="35" t="str">
        <f aca="false">IF($D30="","",IFERROR(INDEX(MAP_CLASS,MATCH($D30,MAP_TIPO,0)),"TIPO INVALIDO"))</f>
        <v/>
      </c>
      <c r="X30" s="35" t="str">
        <f aca="false">IF($K30="","",IFERROR(INDEX(CAT_NOME,MATCH($K30,CAT_ID,0)),"?"))</f>
        <v/>
      </c>
      <c r="Y30" s="35" t="str">
        <f aca="false">IF($L30="","",IFERROR(INDEX(SUB_NOME,MATCH($L30,SUB_ID,0)),"?"))</f>
        <v/>
      </c>
      <c r="Z30" s="35" t="str">
        <f aca="false">IF($G30="","",IF($G30="EXTERNO","(Externo)",IFERROR(INDEX(ENT_NOME,MATCH($H30,ENT_ID,0)),"?")))</f>
        <v/>
      </c>
      <c r="AA30" s="35" t="str">
        <f aca="false">IF($I30="","",IF($I30="EXTERNO","(Externo)",IFERROR(INDEX(ENT_NOME,MATCH($J30,ENT_ID,0)),"?")))</f>
        <v/>
      </c>
      <c r="AB30" s="36" t="n">
        <f aca="false">IF($B30="",0,IF(AND($I30="CONTA",$G30&lt;&gt;"CONTA"),$F30,0))</f>
        <v>0</v>
      </c>
      <c r="AC30" s="36" t="n">
        <f aca="false">IF($B30="",0,IF(AND($G30="CONTA",$I30&lt;&gt;"CONTA"),$F30,0))</f>
        <v>0</v>
      </c>
      <c r="AD30" s="36" t="n">
        <f aca="false">IF($W30="RECEITA",$F30,0)</f>
        <v>0</v>
      </c>
      <c r="AE30" s="36" t="n">
        <f aca="false">IF($W30="DESPESA",$F30,0)</f>
        <v>0</v>
      </c>
      <c r="AF30" s="36" t="n">
        <f aca="false">IF($W30="RECEITA_FINANCEIRA",$F30,0)</f>
        <v>0</v>
      </c>
      <c r="AG30" s="36" t="n">
        <f aca="false">IF($B30="",0,IF($I30="CONTA",$F30,0)-IF($G30="CONTA",$F30,0))</f>
        <v>0</v>
      </c>
      <c r="AH30" s="36" t="n">
        <f aca="false">IF($B30="",0,IF($G30="CARTAO",$F30,0)-IF($I30="CARTAO",$F30,0))</f>
        <v>0</v>
      </c>
      <c r="AI30" s="36" t="n">
        <f aca="false">IF($B30="",0,IF($I30="INVESTIMENTO",$F30,0)-IF($G30="INVESTIMENTO",$F30,0))</f>
        <v>0</v>
      </c>
      <c r="AJ30" s="35" t="str">
        <f aca="false">IF($B30="","",IF(NOT(ISNUMBER($F30)),"ERRO: valor nao numerico",IF($F30&lt;=0,"ERRO: valor deve ser maior que zero",IF(COUNTIF(MAP_TIPO,$D30)=0,"ERRO: tipo de operacao nao cadastrado",IF(COUNTIF(LST_STATUS,$E30)=0,"ERRO: status invalido",IF(AND($G30="EXTERNO",$I30="EXTERNO"),"ERRO: origem e destino externos",IF(AND($G30&lt;&gt;"EXTERNO",COUNTIFS(ENT_ID,$H30,ENT_TIPO,$G30)=0),"ERRO: origem inexistente",IF(AND($I30&lt;&gt;"EXTERNO",COUNTIFS(ENT_ID,$J30,ENT_TIPO,$I30)=0),"ERRO: destino inexistente",IF(AND($K30&lt;&gt;"",COUNTIF(CAT_ID,$K30)=0),"ERRO: categoria inexistente",IF(AND($L30&lt;&gt;"",COUNTIF(SUB_ID,$L30)=0),"ERRO: subcategoria inexistente",IF(AND($L30&lt;&gt;"",$K30&lt;&gt;"",IFERROR(INDEX(SUB_CATID,MATCH($L30,SUB_ID,0)),"")&lt;&gt;$K30),"ERRO: subcategoria nao pertence a categoria",IF(AND($O30&lt;&gt;"",COUNTIF(P_ID,$O30)=0),"ERRO: parcela inexistente",IF(AND($N30&lt;&gt;"",COUNTIF(CM_ID,$N30)=0),"ERRO: compromisso inexistente","OK")))))))))))))</f>
        <v/>
      </c>
      <c r="AK30" s="35" t="str">
        <f aca="false">IF($B30="","",IF(AND($N30="",$O30="",$P30="",$Q30="",$R30=""),"","VINCULADO: "&amp;TRIM(IF($N30&lt;&gt;"",$N30&amp;" ","")&amp;IF($O30&lt;&gt;"",$O30&amp;" ","")&amp;IF($P30&lt;&gt;"",$P30&amp;" ","")&amp;IF($Q30&lt;&gt;"",$Q30&amp;" ","")&amp;IF($R30&lt;&gt;"",$R30,""))))</f>
        <v/>
      </c>
    </row>
    <row r="31" customFormat="false" ht="15" hidden="false" customHeight="false" outlineLevel="0" collapsed="false">
      <c r="A31" s="30" t="str">
        <f aca="false">IF($B31="","","LAN-"&amp;TEXT(ROW()-4,"000000"))</f>
        <v/>
      </c>
      <c r="B31" s="31"/>
      <c r="C31" s="32"/>
      <c r="D31" s="32"/>
      <c r="E31" s="32"/>
      <c r="F31" s="33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4" t="str">
        <f aca="false">IF($B31="","",YEAR($B31))</f>
        <v/>
      </c>
      <c r="U31" s="34" t="str">
        <f aca="false">IF($B31="","",MONTH($B31))</f>
        <v/>
      </c>
      <c r="V31" s="34" t="str">
        <f aca="false">IF($B31="","",YEAR($B31)*100+MONTH($B31))</f>
        <v/>
      </c>
      <c r="W31" s="35" t="str">
        <f aca="false">IF($D31="","",IFERROR(INDEX(MAP_CLASS,MATCH($D31,MAP_TIPO,0)),"TIPO INVALIDO"))</f>
        <v/>
      </c>
      <c r="X31" s="35" t="str">
        <f aca="false">IF($K31="","",IFERROR(INDEX(CAT_NOME,MATCH($K31,CAT_ID,0)),"?"))</f>
        <v/>
      </c>
      <c r="Y31" s="35" t="str">
        <f aca="false">IF($L31="","",IFERROR(INDEX(SUB_NOME,MATCH($L31,SUB_ID,0)),"?"))</f>
        <v/>
      </c>
      <c r="Z31" s="35" t="str">
        <f aca="false">IF($G31="","",IF($G31="EXTERNO","(Externo)",IFERROR(INDEX(ENT_NOME,MATCH($H31,ENT_ID,0)),"?")))</f>
        <v/>
      </c>
      <c r="AA31" s="35" t="str">
        <f aca="false">IF($I31="","",IF($I31="EXTERNO","(Externo)",IFERROR(INDEX(ENT_NOME,MATCH($J31,ENT_ID,0)),"?")))</f>
        <v/>
      </c>
      <c r="AB31" s="36" t="n">
        <f aca="false">IF($B31="",0,IF(AND($I31="CONTA",$G31&lt;&gt;"CONTA"),$F31,0))</f>
        <v>0</v>
      </c>
      <c r="AC31" s="36" t="n">
        <f aca="false">IF($B31="",0,IF(AND($G31="CONTA",$I31&lt;&gt;"CONTA"),$F31,0))</f>
        <v>0</v>
      </c>
      <c r="AD31" s="36" t="n">
        <f aca="false">IF($W31="RECEITA",$F31,0)</f>
        <v>0</v>
      </c>
      <c r="AE31" s="36" t="n">
        <f aca="false">IF($W31="DESPESA",$F31,0)</f>
        <v>0</v>
      </c>
      <c r="AF31" s="36" t="n">
        <f aca="false">IF($W31="RECEITA_FINANCEIRA",$F31,0)</f>
        <v>0</v>
      </c>
      <c r="AG31" s="36" t="n">
        <f aca="false">IF($B31="",0,IF($I31="CONTA",$F31,0)-IF($G31="CONTA",$F31,0))</f>
        <v>0</v>
      </c>
      <c r="AH31" s="36" t="n">
        <f aca="false">IF($B31="",0,IF($G31="CARTAO",$F31,0)-IF($I31="CARTAO",$F31,0))</f>
        <v>0</v>
      </c>
      <c r="AI31" s="36" t="n">
        <f aca="false">IF($B31="",0,IF($I31="INVESTIMENTO",$F31,0)-IF($G31="INVESTIMENTO",$F31,0))</f>
        <v>0</v>
      </c>
      <c r="AJ31" s="35" t="str">
        <f aca="false">IF($B31="","",IF(NOT(ISNUMBER($F31)),"ERRO: valor nao numerico",IF($F31&lt;=0,"ERRO: valor deve ser maior que zero",IF(COUNTIF(MAP_TIPO,$D31)=0,"ERRO: tipo de operacao nao cadastrado",IF(COUNTIF(LST_STATUS,$E31)=0,"ERRO: status invalido",IF(AND($G31="EXTERNO",$I31="EXTERNO"),"ERRO: origem e destino externos",IF(AND($G31&lt;&gt;"EXTERNO",COUNTIFS(ENT_ID,$H31,ENT_TIPO,$G31)=0),"ERRO: origem inexistente",IF(AND($I31&lt;&gt;"EXTERNO",COUNTIFS(ENT_ID,$J31,ENT_TIPO,$I31)=0),"ERRO: destino inexistente",IF(AND($K31&lt;&gt;"",COUNTIF(CAT_ID,$K31)=0),"ERRO: categoria inexistente",IF(AND($L31&lt;&gt;"",COUNTIF(SUB_ID,$L31)=0),"ERRO: subcategoria inexistente",IF(AND($L31&lt;&gt;"",$K31&lt;&gt;"",IFERROR(INDEX(SUB_CATID,MATCH($L31,SUB_ID,0)),"")&lt;&gt;$K31),"ERRO: subcategoria nao pertence a categoria",IF(AND($O31&lt;&gt;"",COUNTIF(P_ID,$O31)=0),"ERRO: parcela inexistente",IF(AND($N31&lt;&gt;"",COUNTIF(CM_ID,$N31)=0),"ERRO: compromisso inexistente","OK")))))))))))))</f>
        <v/>
      </c>
      <c r="AK31" s="35" t="str">
        <f aca="false">IF($B31="","",IF(AND($N31="",$O31="",$P31="",$Q31="",$R31=""),"","VINCULADO: "&amp;TRIM(IF($N31&lt;&gt;"",$N31&amp;" ","")&amp;IF($O31&lt;&gt;"",$O31&amp;" ","")&amp;IF($P31&lt;&gt;"",$P31&amp;" ","")&amp;IF($Q31&lt;&gt;"",$Q31&amp;" ","")&amp;IF($R31&lt;&gt;"",$R31,""))))</f>
        <v/>
      </c>
    </row>
    <row r="32" customFormat="false" ht="15" hidden="false" customHeight="false" outlineLevel="0" collapsed="false">
      <c r="A32" s="30" t="str">
        <f aca="false">IF($B32="","","LAN-"&amp;TEXT(ROW()-4,"000000"))</f>
        <v/>
      </c>
      <c r="B32" s="31"/>
      <c r="C32" s="32"/>
      <c r="D32" s="32"/>
      <c r="E32" s="32"/>
      <c r="F32" s="33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4" t="str">
        <f aca="false">IF($B32="","",YEAR($B32))</f>
        <v/>
      </c>
      <c r="U32" s="34" t="str">
        <f aca="false">IF($B32="","",MONTH($B32))</f>
        <v/>
      </c>
      <c r="V32" s="34" t="str">
        <f aca="false">IF($B32="","",YEAR($B32)*100+MONTH($B32))</f>
        <v/>
      </c>
      <c r="W32" s="35" t="str">
        <f aca="false">IF($D32="","",IFERROR(INDEX(MAP_CLASS,MATCH($D32,MAP_TIPO,0)),"TIPO INVALIDO"))</f>
        <v/>
      </c>
      <c r="X32" s="35" t="str">
        <f aca="false">IF($K32="","",IFERROR(INDEX(CAT_NOME,MATCH($K32,CAT_ID,0)),"?"))</f>
        <v/>
      </c>
      <c r="Y32" s="35" t="str">
        <f aca="false">IF($L32="","",IFERROR(INDEX(SUB_NOME,MATCH($L32,SUB_ID,0)),"?"))</f>
        <v/>
      </c>
      <c r="Z32" s="35" t="str">
        <f aca="false">IF($G32="","",IF($G32="EXTERNO","(Externo)",IFERROR(INDEX(ENT_NOME,MATCH($H32,ENT_ID,0)),"?")))</f>
        <v/>
      </c>
      <c r="AA32" s="35" t="str">
        <f aca="false">IF($I32="","",IF($I32="EXTERNO","(Externo)",IFERROR(INDEX(ENT_NOME,MATCH($J32,ENT_ID,0)),"?")))</f>
        <v/>
      </c>
      <c r="AB32" s="36" t="n">
        <f aca="false">IF($B32="",0,IF(AND($I32="CONTA",$G32&lt;&gt;"CONTA"),$F32,0))</f>
        <v>0</v>
      </c>
      <c r="AC32" s="36" t="n">
        <f aca="false">IF($B32="",0,IF(AND($G32="CONTA",$I32&lt;&gt;"CONTA"),$F32,0))</f>
        <v>0</v>
      </c>
      <c r="AD32" s="36" t="n">
        <f aca="false">IF($W32="RECEITA",$F32,0)</f>
        <v>0</v>
      </c>
      <c r="AE32" s="36" t="n">
        <f aca="false">IF($W32="DESPESA",$F32,0)</f>
        <v>0</v>
      </c>
      <c r="AF32" s="36" t="n">
        <f aca="false">IF($W32="RECEITA_FINANCEIRA",$F32,0)</f>
        <v>0</v>
      </c>
      <c r="AG32" s="36" t="n">
        <f aca="false">IF($B32="",0,IF($I32="CONTA",$F32,0)-IF($G32="CONTA",$F32,0))</f>
        <v>0</v>
      </c>
      <c r="AH32" s="36" t="n">
        <f aca="false">IF($B32="",0,IF($G32="CARTAO",$F32,0)-IF($I32="CARTAO",$F32,0))</f>
        <v>0</v>
      </c>
      <c r="AI32" s="36" t="n">
        <f aca="false">IF($B32="",0,IF($I32="INVESTIMENTO",$F32,0)-IF($G32="INVESTIMENTO",$F32,0))</f>
        <v>0</v>
      </c>
      <c r="AJ32" s="35" t="str">
        <f aca="false">IF($B32="","",IF(NOT(ISNUMBER($F32)),"ERRO: valor nao numerico",IF($F32&lt;=0,"ERRO: valor deve ser maior que zero",IF(COUNTIF(MAP_TIPO,$D32)=0,"ERRO: tipo de operacao nao cadastrado",IF(COUNTIF(LST_STATUS,$E32)=0,"ERRO: status invalido",IF(AND($G32="EXTERNO",$I32="EXTERNO"),"ERRO: origem e destino externos",IF(AND($G32&lt;&gt;"EXTERNO",COUNTIFS(ENT_ID,$H32,ENT_TIPO,$G32)=0),"ERRO: origem inexistente",IF(AND($I32&lt;&gt;"EXTERNO",COUNTIFS(ENT_ID,$J32,ENT_TIPO,$I32)=0),"ERRO: destino inexistente",IF(AND($K32&lt;&gt;"",COUNTIF(CAT_ID,$K32)=0),"ERRO: categoria inexistente",IF(AND($L32&lt;&gt;"",COUNTIF(SUB_ID,$L32)=0),"ERRO: subcategoria inexistente",IF(AND($L32&lt;&gt;"",$K32&lt;&gt;"",IFERROR(INDEX(SUB_CATID,MATCH($L32,SUB_ID,0)),"")&lt;&gt;$K32),"ERRO: subcategoria nao pertence a categoria",IF(AND($O32&lt;&gt;"",COUNTIF(P_ID,$O32)=0),"ERRO: parcela inexistente",IF(AND($N32&lt;&gt;"",COUNTIF(CM_ID,$N32)=0),"ERRO: compromisso inexistente","OK")))))))))))))</f>
        <v/>
      </c>
      <c r="AK32" s="35" t="str">
        <f aca="false">IF($B32="","",IF(AND($N32="",$O32="",$P32="",$Q32="",$R32=""),"","VINCULADO: "&amp;TRIM(IF($N32&lt;&gt;"",$N32&amp;" ","")&amp;IF($O32&lt;&gt;"",$O32&amp;" ","")&amp;IF($P32&lt;&gt;"",$P32&amp;" ","")&amp;IF($Q32&lt;&gt;"",$Q32&amp;" ","")&amp;IF($R32&lt;&gt;"",$R32,""))))</f>
        <v/>
      </c>
    </row>
    <row r="33" customFormat="false" ht="15" hidden="false" customHeight="false" outlineLevel="0" collapsed="false">
      <c r="A33" s="30" t="str">
        <f aca="false">IF($B33="","","LAN-"&amp;TEXT(ROW()-4,"000000"))</f>
        <v/>
      </c>
      <c r="B33" s="31"/>
      <c r="C33" s="32"/>
      <c r="D33" s="32"/>
      <c r="E33" s="32"/>
      <c r="F33" s="33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4" t="str">
        <f aca="false">IF($B33="","",YEAR($B33))</f>
        <v/>
      </c>
      <c r="U33" s="34" t="str">
        <f aca="false">IF($B33="","",MONTH($B33))</f>
        <v/>
      </c>
      <c r="V33" s="34" t="str">
        <f aca="false">IF($B33="","",YEAR($B33)*100+MONTH($B33))</f>
        <v/>
      </c>
      <c r="W33" s="35" t="str">
        <f aca="false">IF($D33="","",IFERROR(INDEX(MAP_CLASS,MATCH($D33,MAP_TIPO,0)),"TIPO INVALIDO"))</f>
        <v/>
      </c>
      <c r="X33" s="35" t="str">
        <f aca="false">IF($K33="","",IFERROR(INDEX(CAT_NOME,MATCH($K33,CAT_ID,0)),"?"))</f>
        <v/>
      </c>
      <c r="Y33" s="35" t="str">
        <f aca="false">IF($L33="","",IFERROR(INDEX(SUB_NOME,MATCH($L33,SUB_ID,0)),"?"))</f>
        <v/>
      </c>
      <c r="Z33" s="35" t="str">
        <f aca="false">IF($G33="","",IF($G33="EXTERNO","(Externo)",IFERROR(INDEX(ENT_NOME,MATCH($H33,ENT_ID,0)),"?")))</f>
        <v/>
      </c>
      <c r="AA33" s="35" t="str">
        <f aca="false">IF($I33="","",IF($I33="EXTERNO","(Externo)",IFERROR(INDEX(ENT_NOME,MATCH($J33,ENT_ID,0)),"?")))</f>
        <v/>
      </c>
      <c r="AB33" s="36" t="n">
        <f aca="false">IF($B33="",0,IF(AND($I33="CONTA",$G33&lt;&gt;"CONTA"),$F33,0))</f>
        <v>0</v>
      </c>
      <c r="AC33" s="36" t="n">
        <f aca="false">IF($B33="",0,IF(AND($G33="CONTA",$I33&lt;&gt;"CONTA"),$F33,0))</f>
        <v>0</v>
      </c>
      <c r="AD33" s="36" t="n">
        <f aca="false">IF($W33="RECEITA",$F33,0)</f>
        <v>0</v>
      </c>
      <c r="AE33" s="36" t="n">
        <f aca="false">IF($W33="DESPESA",$F33,0)</f>
        <v>0</v>
      </c>
      <c r="AF33" s="36" t="n">
        <f aca="false">IF($W33="RECEITA_FINANCEIRA",$F33,0)</f>
        <v>0</v>
      </c>
      <c r="AG33" s="36" t="n">
        <f aca="false">IF($B33="",0,IF($I33="CONTA",$F33,0)-IF($G33="CONTA",$F33,0))</f>
        <v>0</v>
      </c>
      <c r="AH33" s="36" t="n">
        <f aca="false">IF($B33="",0,IF($G33="CARTAO",$F33,0)-IF($I33="CARTAO",$F33,0))</f>
        <v>0</v>
      </c>
      <c r="AI33" s="36" t="n">
        <f aca="false">IF($B33="",0,IF($I33="INVESTIMENTO",$F33,0)-IF($G33="INVESTIMENTO",$F33,0))</f>
        <v>0</v>
      </c>
      <c r="AJ33" s="35" t="str">
        <f aca="false">IF($B33="","",IF(NOT(ISNUMBER($F33)),"ERRO: valor nao numerico",IF($F33&lt;=0,"ERRO: valor deve ser maior que zero",IF(COUNTIF(MAP_TIPO,$D33)=0,"ERRO: tipo de operacao nao cadastrado",IF(COUNTIF(LST_STATUS,$E33)=0,"ERRO: status invalido",IF(AND($G33="EXTERNO",$I33="EXTERNO"),"ERRO: origem e destino externos",IF(AND($G33&lt;&gt;"EXTERNO",COUNTIFS(ENT_ID,$H33,ENT_TIPO,$G33)=0),"ERRO: origem inexistente",IF(AND($I33&lt;&gt;"EXTERNO",COUNTIFS(ENT_ID,$J33,ENT_TIPO,$I33)=0),"ERRO: destino inexistente",IF(AND($K33&lt;&gt;"",COUNTIF(CAT_ID,$K33)=0),"ERRO: categoria inexistente",IF(AND($L33&lt;&gt;"",COUNTIF(SUB_ID,$L33)=0),"ERRO: subcategoria inexistente",IF(AND($L33&lt;&gt;"",$K33&lt;&gt;"",IFERROR(INDEX(SUB_CATID,MATCH($L33,SUB_ID,0)),"")&lt;&gt;$K33),"ERRO: subcategoria nao pertence a categoria",IF(AND($O33&lt;&gt;"",COUNTIF(P_ID,$O33)=0),"ERRO: parcela inexistente",IF(AND($N33&lt;&gt;"",COUNTIF(CM_ID,$N33)=0),"ERRO: compromisso inexistente","OK")))))))))))))</f>
        <v/>
      </c>
      <c r="AK33" s="35" t="str">
        <f aca="false">IF($B33="","",IF(AND($N33="",$O33="",$P33="",$Q33="",$R33=""),"","VINCULADO: "&amp;TRIM(IF($N33&lt;&gt;"",$N33&amp;" ","")&amp;IF($O33&lt;&gt;"",$O33&amp;" ","")&amp;IF($P33&lt;&gt;"",$P33&amp;" ","")&amp;IF($Q33&lt;&gt;"",$Q33&amp;" ","")&amp;IF($R33&lt;&gt;"",$R33,""))))</f>
        <v/>
      </c>
    </row>
    <row r="34" customFormat="false" ht="15" hidden="false" customHeight="false" outlineLevel="0" collapsed="false">
      <c r="A34" s="30" t="str">
        <f aca="false">IF($B34="","","LAN-"&amp;TEXT(ROW()-4,"000000"))</f>
        <v/>
      </c>
      <c r="B34" s="31"/>
      <c r="C34" s="32"/>
      <c r="D34" s="32"/>
      <c r="E34" s="32"/>
      <c r="F34" s="3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4" t="str">
        <f aca="false">IF($B34="","",YEAR($B34))</f>
        <v/>
      </c>
      <c r="U34" s="34" t="str">
        <f aca="false">IF($B34="","",MONTH($B34))</f>
        <v/>
      </c>
      <c r="V34" s="34" t="str">
        <f aca="false">IF($B34="","",YEAR($B34)*100+MONTH($B34))</f>
        <v/>
      </c>
      <c r="W34" s="35" t="str">
        <f aca="false">IF($D34="","",IFERROR(INDEX(MAP_CLASS,MATCH($D34,MAP_TIPO,0)),"TIPO INVALIDO"))</f>
        <v/>
      </c>
      <c r="X34" s="35" t="str">
        <f aca="false">IF($K34="","",IFERROR(INDEX(CAT_NOME,MATCH($K34,CAT_ID,0)),"?"))</f>
        <v/>
      </c>
      <c r="Y34" s="35" t="str">
        <f aca="false">IF($L34="","",IFERROR(INDEX(SUB_NOME,MATCH($L34,SUB_ID,0)),"?"))</f>
        <v/>
      </c>
      <c r="Z34" s="35" t="str">
        <f aca="false">IF($G34="","",IF($G34="EXTERNO","(Externo)",IFERROR(INDEX(ENT_NOME,MATCH($H34,ENT_ID,0)),"?")))</f>
        <v/>
      </c>
      <c r="AA34" s="35" t="str">
        <f aca="false">IF($I34="","",IF($I34="EXTERNO","(Externo)",IFERROR(INDEX(ENT_NOME,MATCH($J34,ENT_ID,0)),"?")))</f>
        <v/>
      </c>
      <c r="AB34" s="36" t="n">
        <f aca="false">IF($B34="",0,IF(AND($I34="CONTA",$G34&lt;&gt;"CONTA"),$F34,0))</f>
        <v>0</v>
      </c>
      <c r="AC34" s="36" t="n">
        <f aca="false">IF($B34="",0,IF(AND($G34="CONTA",$I34&lt;&gt;"CONTA"),$F34,0))</f>
        <v>0</v>
      </c>
      <c r="AD34" s="36" t="n">
        <f aca="false">IF($W34="RECEITA",$F34,0)</f>
        <v>0</v>
      </c>
      <c r="AE34" s="36" t="n">
        <f aca="false">IF($W34="DESPESA",$F34,0)</f>
        <v>0</v>
      </c>
      <c r="AF34" s="36" t="n">
        <f aca="false">IF($W34="RECEITA_FINANCEIRA",$F34,0)</f>
        <v>0</v>
      </c>
      <c r="AG34" s="36" t="n">
        <f aca="false">IF($B34="",0,IF($I34="CONTA",$F34,0)-IF($G34="CONTA",$F34,0))</f>
        <v>0</v>
      </c>
      <c r="AH34" s="36" t="n">
        <f aca="false">IF($B34="",0,IF($G34="CARTAO",$F34,0)-IF($I34="CARTAO",$F34,0))</f>
        <v>0</v>
      </c>
      <c r="AI34" s="36" t="n">
        <f aca="false">IF($B34="",0,IF($I34="INVESTIMENTO",$F34,0)-IF($G34="INVESTIMENTO",$F34,0))</f>
        <v>0</v>
      </c>
      <c r="AJ34" s="35" t="str">
        <f aca="false">IF($B34="","",IF(NOT(ISNUMBER($F34)),"ERRO: valor nao numerico",IF($F34&lt;=0,"ERRO: valor deve ser maior que zero",IF(COUNTIF(MAP_TIPO,$D34)=0,"ERRO: tipo de operacao nao cadastrado",IF(COUNTIF(LST_STATUS,$E34)=0,"ERRO: status invalido",IF(AND($G34="EXTERNO",$I34="EXTERNO"),"ERRO: origem e destino externos",IF(AND($G34&lt;&gt;"EXTERNO",COUNTIFS(ENT_ID,$H34,ENT_TIPO,$G34)=0),"ERRO: origem inexistente",IF(AND($I34&lt;&gt;"EXTERNO",COUNTIFS(ENT_ID,$J34,ENT_TIPO,$I34)=0),"ERRO: destino inexistente",IF(AND($K34&lt;&gt;"",COUNTIF(CAT_ID,$K34)=0),"ERRO: categoria inexistente",IF(AND($L34&lt;&gt;"",COUNTIF(SUB_ID,$L34)=0),"ERRO: subcategoria inexistente",IF(AND($L34&lt;&gt;"",$K34&lt;&gt;"",IFERROR(INDEX(SUB_CATID,MATCH($L34,SUB_ID,0)),"")&lt;&gt;$K34),"ERRO: subcategoria nao pertence a categoria",IF(AND($O34&lt;&gt;"",COUNTIF(P_ID,$O34)=0),"ERRO: parcela inexistente",IF(AND($N34&lt;&gt;"",COUNTIF(CM_ID,$N34)=0),"ERRO: compromisso inexistente","OK")))))))))))))</f>
        <v/>
      </c>
      <c r="AK34" s="35" t="str">
        <f aca="false">IF($B34="","",IF(AND($N34="",$O34="",$P34="",$Q34="",$R34=""),"","VINCULADO: "&amp;TRIM(IF($N34&lt;&gt;"",$N34&amp;" ","")&amp;IF($O34&lt;&gt;"",$O34&amp;" ","")&amp;IF($P34&lt;&gt;"",$P34&amp;" ","")&amp;IF($Q34&lt;&gt;"",$Q34&amp;" ","")&amp;IF($R34&lt;&gt;"",$R34,""))))</f>
        <v/>
      </c>
    </row>
    <row r="35" customFormat="false" ht="15" hidden="false" customHeight="false" outlineLevel="0" collapsed="false">
      <c r="A35" s="30" t="str">
        <f aca="false">IF($B35="","","LAN-"&amp;TEXT(ROW()-4,"000000"))</f>
        <v/>
      </c>
      <c r="B35" s="31"/>
      <c r="C35" s="32"/>
      <c r="D35" s="32"/>
      <c r="E35" s="32"/>
      <c r="F35" s="33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4" t="str">
        <f aca="false">IF($B35="","",YEAR($B35))</f>
        <v/>
      </c>
      <c r="U35" s="34" t="str">
        <f aca="false">IF($B35="","",MONTH($B35))</f>
        <v/>
      </c>
      <c r="V35" s="34" t="str">
        <f aca="false">IF($B35="","",YEAR($B35)*100+MONTH($B35))</f>
        <v/>
      </c>
      <c r="W35" s="35" t="str">
        <f aca="false">IF($D35="","",IFERROR(INDEX(MAP_CLASS,MATCH($D35,MAP_TIPO,0)),"TIPO INVALIDO"))</f>
        <v/>
      </c>
      <c r="X35" s="35" t="str">
        <f aca="false">IF($K35="","",IFERROR(INDEX(CAT_NOME,MATCH($K35,CAT_ID,0)),"?"))</f>
        <v/>
      </c>
      <c r="Y35" s="35" t="str">
        <f aca="false">IF($L35="","",IFERROR(INDEX(SUB_NOME,MATCH($L35,SUB_ID,0)),"?"))</f>
        <v/>
      </c>
      <c r="Z35" s="35" t="str">
        <f aca="false">IF($G35="","",IF($G35="EXTERNO","(Externo)",IFERROR(INDEX(ENT_NOME,MATCH($H35,ENT_ID,0)),"?")))</f>
        <v/>
      </c>
      <c r="AA35" s="35" t="str">
        <f aca="false">IF($I35="","",IF($I35="EXTERNO","(Externo)",IFERROR(INDEX(ENT_NOME,MATCH($J35,ENT_ID,0)),"?")))</f>
        <v/>
      </c>
      <c r="AB35" s="36" t="n">
        <f aca="false">IF($B35="",0,IF(AND($I35="CONTA",$G35&lt;&gt;"CONTA"),$F35,0))</f>
        <v>0</v>
      </c>
      <c r="AC35" s="36" t="n">
        <f aca="false">IF($B35="",0,IF(AND($G35="CONTA",$I35&lt;&gt;"CONTA"),$F35,0))</f>
        <v>0</v>
      </c>
      <c r="AD35" s="36" t="n">
        <f aca="false">IF($W35="RECEITA",$F35,0)</f>
        <v>0</v>
      </c>
      <c r="AE35" s="36" t="n">
        <f aca="false">IF($W35="DESPESA",$F35,0)</f>
        <v>0</v>
      </c>
      <c r="AF35" s="36" t="n">
        <f aca="false">IF($W35="RECEITA_FINANCEIRA",$F35,0)</f>
        <v>0</v>
      </c>
      <c r="AG35" s="36" t="n">
        <f aca="false">IF($B35="",0,IF($I35="CONTA",$F35,0)-IF($G35="CONTA",$F35,0))</f>
        <v>0</v>
      </c>
      <c r="AH35" s="36" t="n">
        <f aca="false">IF($B35="",0,IF($G35="CARTAO",$F35,0)-IF($I35="CARTAO",$F35,0))</f>
        <v>0</v>
      </c>
      <c r="AI35" s="36" t="n">
        <f aca="false">IF($B35="",0,IF($I35="INVESTIMENTO",$F35,0)-IF($G35="INVESTIMENTO",$F35,0))</f>
        <v>0</v>
      </c>
      <c r="AJ35" s="35" t="str">
        <f aca="false">IF($B35="","",IF(NOT(ISNUMBER($F35)),"ERRO: valor nao numerico",IF($F35&lt;=0,"ERRO: valor deve ser maior que zero",IF(COUNTIF(MAP_TIPO,$D35)=0,"ERRO: tipo de operacao nao cadastrado",IF(COUNTIF(LST_STATUS,$E35)=0,"ERRO: status invalido",IF(AND($G35="EXTERNO",$I35="EXTERNO"),"ERRO: origem e destino externos",IF(AND($G35&lt;&gt;"EXTERNO",COUNTIFS(ENT_ID,$H35,ENT_TIPO,$G35)=0),"ERRO: origem inexistente",IF(AND($I35&lt;&gt;"EXTERNO",COUNTIFS(ENT_ID,$J35,ENT_TIPO,$I35)=0),"ERRO: destino inexistente",IF(AND($K35&lt;&gt;"",COUNTIF(CAT_ID,$K35)=0),"ERRO: categoria inexistente",IF(AND($L35&lt;&gt;"",COUNTIF(SUB_ID,$L35)=0),"ERRO: subcategoria inexistente",IF(AND($L35&lt;&gt;"",$K35&lt;&gt;"",IFERROR(INDEX(SUB_CATID,MATCH($L35,SUB_ID,0)),"")&lt;&gt;$K35),"ERRO: subcategoria nao pertence a categoria",IF(AND($O35&lt;&gt;"",COUNTIF(P_ID,$O35)=0),"ERRO: parcela inexistente",IF(AND($N35&lt;&gt;"",COUNTIF(CM_ID,$N35)=0),"ERRO: compromisso inexistente","OK")))))))))))))</f>
        <v/>
      </c>
      <c r="AK35" s="35" t="str">
        <f aca="false">IF($B35="","",IF(AND($N35="",$O35="",$P35="",$Q35="",$R35=""),"","VINCULADO: "&amp;TRIM(IF($N35&lt;&gt;"",$N35&amp;" ","")&amp;IF($O35&lt;&gt;"",$O35&amp;" ","")&amp;IF($P35&lt;&gt;"",$P35&amp;" ","")&amp;IF($Q35&lt;&gt;"",$Q35&amp;" ","")&amp;IF($R35&lt;&gt;"",$R35,""))))</f>
        <v/>
      </c>
    </row>
    <row r="36" customFormat="false" ht="15" hidden="false" customHeight="false" outlineLevel="0" collapsed="false">
      <c r="A36" s="30" t="str">
        <f aca="false">IF($B36="","","LAN-"&amp;TEXT(ROW()-4,"000000"))</f>
        <v/>
      </c>
      <c r="B36" s="31"/>
      <c r="C36" s="32"/>
      <c r="D36" s="32"/>
      <c r="E36" s="32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4" t="str">
        <f aca="false">IF($B36="","",YEAR($B36))</f>
        <v/>
      </c>
      <c r="U36" s="34" t="str">
        <f aca="false">IF($B36="","",MONTH($B36))</f>
        <v/>
      </c>
      <c r="V36" s="34" t="str">
        <f aca="false">IF($B36="","",YEAR($B36)*100+MONTH($B36))</f>
        <v/>
      </c>
      <c r="W36" s="35" t="str">
        <f aca="false">IF($D36="","",IFERROR(INDEX(MAP_CLASS,MATCH($D36,MAP_TIPO,0)),"TIPO INVALIDO"))</f>
        <v/>
      </c>
      <c r="X36" s="35" t="str">
        <f aca="false">IF($K36="","",IFERROR(INDEX(CAT_NOME,MATCH($K36,CAT_ID,0)),"?"))</f>
        <v/>
      </c>
      <c r="Y36" s="35" t="str">
        <f aca="false">IF($L36="","",IFERROR(INDEX(SUB_NOME,MATCH($L36,SUB_ID,0)),"?"))</f>
        <v/>
      </c>
      <c r="Z36" s="35" t="str">
        <f aca="false">IF($G36="","",IF($G36="EXTERNO","(Externo)",IFERROR(INDEX(ENT_NOME,MATCH($H36,ENT_ID,0)),"?")))</f>
        <v/>
      </c>
      <c r="AA36" s="35" t="str">
        <f aca="false">IF($I36="","",IF($I36="EXTERNO","(Externo)",IFERROR(INDEX(ENT_NOME,MATCH($J36,ENT_ID,0)),"?")))</f>
        <v/>
      </c>
      <c r="AB36" s="36" t="n">
        <f aca="false">IF($B36="",0,IF(AND($I36="CONTA",$G36&lt;&gt;"CONTA"),$F36,0))</f>
        <v>0</v>
      </c>
      <c r="AC36" s="36" t="n">
        <f aca="false">IF($B36="",0,IF(AND($G36="CONTA",$I36&lt;&gt;"CONTA"),$F36,0))</f>
        <v>0</v>
      </c>
      <c r="AD36" s="36" t="n">
        <f aca="false">IF($W36="RECEITA",$F36,0)</f>
        <v>0</v>
      </c>
      <c r="AE36" s="36" t="n">
        <f aca="false">IF($W36="DESPESA",$F36,0)</f>
        <v>0</v>
      </c>
      <c r="AF36" s="36" t="n">
        <f aca="false">IF($W36="RECEITA_FINANCEIRA",$F36,0)</f>
        <v>0</v>
      </c>
      <c r="AG36" s="36" t="n">
        <f aca="false">IF($B36="",0,IF($I36="CONTA",$F36,0)-IF($G36="CONTA",$F36,0))</f>
        <v>0</v>
      </c>
      <c r="AH36" s="36" t="n">
        <f aca="false">IF($B36="",0,IF($G36="CARTAO",$F36,0)-IF($I36="CARTAO",$F36,0))</f>
        <v>0</v>
      </c>
      <c r="AI36" s="36" t="n">
        <f aca="false">IF($B36="",0,IF($I36="INVESTIMENTO",$F36,0)-IF($G36="INVESTIMENTO",$F36,0))</f>
        <v>0</v>
      </c>
      <c r="AJ36" s="35" t="str">
        <f aca="false">IF($B36="","",IF(NOT(ISNUMBER($F36)),"ERRO: valor nao numerico",IF($F36&lt;=0,"ERRO: valor deve ser maior que zero",IF(COUNTIF(MAP_TIPO,$D36)=0,"ERRO: tipo de operacao nao cadastrado",IF(COUNTIF(LST_STATUS,$E36)=0,"ERRO: status invalido",IF(AND($G36="EXTERNO",$I36="EXTERNO"),"ERRO: origem e destino externos",IF(AND($G36&lt;&gt;"EXTERNO",COUNTIFS(ENT_ID,$H36,ENT_TIPO,$G36)=0),"ERRO: origem inexistente",IF(AND($I36&lt;&gt;"EXTERNO",COUNTIFS(ENT_ID,$J36,ENT_TIPO,$I36)=0),"ERRO: destino inexistente",IF(AND($K36&lt;&gt;"",COUNTIF(CAT_ID,$K36)=0),"ERRO: categoria inexistente",IF(AND($L36&lt;&gt;"",COUNTIF(SUB_ID,$L36)=0),"ERRO: subcategoria inexistente",IF(AND($L36&lt;&gt;"",$K36&lt;&gt;"",IFERROR(INDEX(SUB_CATID,MATCH($L36,SUB_ID,0)),"")&lt;&gt;$K36),"ERRO: subcategoria nao pertence a categoria",IF(AND($O36&lt;&gt;"",COUNTIF(P_ID,$O36)=0),"ERRO: parcela inexistente",IF(AND($N36&lt;&gt;"",COUNTIF(CM_ID,$N36)=0),"ERRO: compromisso inexistente","OK")))))))))))))</f>
        <v/>
      </c>
      <c r="AK36" s="35" t="str">
        <f aca="false">IF($B36="","",IF(AND($N36="",$O36="",$P36="",$Q36="",$R36=""),"","VINCULADO: "&amp;TRIM(IF($N36&lt;&gt;"",$N36&amp;" ","")&amp;IF($O36&lt;&gt;"",$O36&amp;" ","")&amp;IF($P36&lt;&gt;"",$P36&amp;" ","")&amp;IF($Q36&lt;&gt;"",$Q36&amp;" ","")&amp;IF($R36&lt;&gt;"",$R36,""))))</f>
        <v/>
      </c>
    </row>
    <row r="37" customFormat="false" ht="15" hidden="false" customHeight="false" outlineLevel="0" collapsed="false">
      <c r="A37" s="30" t="str">
        <f aca="false">IF($B37="","","LAN-"&amp;TEXT(ROW()-4,"000000"))</f>
        <v/>
      </c>
      <c r="B37" s="31"/>
      <c r="C37" s="32"/>
      <c r="D37" s="32"/>
      <c r="E37" s="32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4" t="str">
        <f aca="false">IF($B37="","",YEAR($B37))</f>
        <v/>
      </c>
      <c r="U37" s="34" t="str">
        <f aca="false">IF($B37="","",MONTH($B37))</f>
        <v/>
      </c>
      <c r="V37" s="34" t="str">
        <f aca="false">IF($B37="","",YEAR($B37)*100+MONTH($B37))</f>
        <v/>
      </c>
      <c r="W37" s="35" t="str">
        <f aca="false">IF($D37="","",IFERROR(INDEX(MAP_CLASS,MATCH($D37,MAP_TIPO,0)),"TIPO INVALIDO"))</f>
        <v/>
      </c>
      <c r="X37" s="35" t="str">
        <f aca="false">IF($K37="","",IFERROR(INDEX(CAT_NOME,MATCH($K37,CAT_ID,0)),"?"))</f>
        <v/>
      </c>
      <c r="Y37" s="35" t="str">
        <f aca="false">IF($L37="","",IFERROR(INDEX(SUB_NOME,MATCH($L37,SUB_ID,0)),"?"))</f>
        <v/>
      </c>
      <c r="Z37" s="35" t="str">
        <f aca="false">IF($G37="","",IF($G37="EXTERNO","(Externo)",IFERROR(INDEX(ENT_NOME,MATCH($H37,ENT_ID,0)),"?")))</f>
        <v/>
      </c>
      <c r="AA37" s="35" t="str">
        <f aca="false">IF($I37="","",IF($I37="EXTERNO","(Externo)",IFERROR(INDEX(ENT_NOME,MATCH($J37,ENT_ID,0)),"?")))</f>
        <v/>
      </c>
      <c r="AB37" s="36" t="n">
        <f aca="false">IF($B37="",0,IF(AND($I37="CONTA",$G37&lt;&gt;"CONTA"),$F37,0))</f>
        <v>0</v>
      </c>
      <c r="AC37" s="36" t="n">
        <f aca="false">IF($B37="",0,IF(AND($G37="CONTA",$I37&lt;&gt;"CONTA"),$F37,0))</f>
        <v>0</v>
      </c>
      <c r="AD37" s="36" t="n">
        <f aca="false">IF($W37="RECEITA",$F37,0)</f>
        <v>0</v>
      </c>
      <c r="AE37" s="36" t="n">
        <f aca="false">IF($W37="DESPESA",$F37,0)</f>
        <v>0</v>
      </c>
      <c r="AF37" s="36" t="n">
        <f aca="false">IF($W37="RECEITA_FINANCEIRA",$F37,0)</f>
        <v>0</v>
      </c>
      <c r="AG37" s="36" t="n">
        <f aca="false">IF($B37="",0,IF($I37="CONTA",$F37,0)-IF($G37="CONTA",$F37,0))</f>
        <v>0</v>
      </c>
      <c r="AH37" s="36" t="n">
        <f aca="false">IF($B37="",0,IF($G37="CARTAO",$F37,0)-IF($I37="CARTAO",$F37,0))</f>
        <v>0</v>
      </c>
      <c r="AI37" s="36" t="n">
        <f aca="false">IF($B37="",0,IF($I37="INVESTIMENTO",$F37,0)-IF($G37="INVESTIMENTO",$F37,0))</f>
        <v>0</v>
      </c>
      <c r="AJ37" s="35" t="str">
        <f aca="false">IF($B37="","",IF(NOT(ISNUMBER($F37)),"ERRO: valor nao numerico",IF($F37&lt;=0,"ERRO: valor deve ser maior que zero",IF(COUNTIF(MAP_TIPO,$D37)=0,"ERRO: tipo de operacao nao cadastrado",IF(COUNTIF(LST_STATUS,$E37)=0,"ERRO: status invalido",IF(AND($G37="EXTERNO",$I37="EXTERNO"),"ERRO: origem e destino externos",IF(AND($G37&lt;&gt;"EXTERNO",COUNTIFS(ENT_ID,$H37,ENT_TIPO,$G37)=0),"ERRO: origem inexistente",IF(AND($I37&lt;&gt;"EXTERNO",COUNTIFS(ENT_ID,$J37,ENT_TIPO,$I37)=0),"ERRO: destino inexistente",IF(AND($K37&lt;&gt;"",COUNTIF(CAT_ID,$K37)=0),"ERRO: categoria inexistente",IF(AND($L37&lt;&gt;"",COUNTIF(SUB_ID,$L37)=0),"ERRO: subcategoria inexistente",IF(AND($L37&lt;&gt;"",$K37&lt;&gt;"",IFERROR(INDEX(SUB_CATID,MATCH($L37,SUB_ID,0)),"")&lt;&gt;$K37),"ERRO: subcategoria nao pertence a categoria",IF(AND($O37&lt;&gt;"",COUNTIF(P_ID,$O37)=0),"ERRO: parcela inexistente",IF(AND($N37&lt;&gt;"",COUNTIF(CM_ID,$N37)=0),"ERRO: compromisso inexistente","OK")))))))))))))</f>
        <v/>
      </c>
      <c r="AK37" s="35" t="str">
        <f aca="false">IF($B37="","",IF(AND($N37="",$O37="",$P37="",$Q37="",$R37=""),"","VINCULADO: "&amp;TRIM(IF($N37&lt;&gt;"",$N37&amp;" ","")&amp;IF($O37&lt;&gt;"",$O37&amp;" ","")&amp;IF($P37&lt;&gt;"",$P37&amp;" ","")&amp;IF($Q37&lt;&gt;"",$Q37&amp;" ","")&amp;IF($R37&lt;&gt;"",$R37,""))))</f>
        <v/>
      </c>
    </row>
    <row r="38" customFormat="false" ht="15" hidden="false" customHeight="false" outlineLevel="0" collapsed="false">
      <c r="A38" s="30" t="str">
        <f aca="false">IF($B38="","","LAN-"&amp;TEXT(ROW()-4,"000000"))</f>
        <v/>
      </c>
      <c r="B38" s="31"/>
      <c r="C38" s="32"/>
      <c r="D38" s="32"/>
      <c r="E38" s="32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4" t="str">
        <f aca="false">IF($B38="","",YEAR($B38))</f>
        <v/>
      </c>
      <c r="U38" s="34" t="str">
        <f aca="false">IF($B38="","",MONTH($B38))</f>
        <v/>
      </c>
      <c r="V38" s="34" t="str">
        <f aca="false">IF($B38="","",YEAR($B38)*100+MONTH($B38))</f>
        <v/>
      </c>
      <c r="W38" s="35" t="str">
        <f aca="false">IF($D38="","",IFERROR(INDEX(MAP_CLASS,MATCH($D38,MAP_TIPO,0)),"TIPO INVALIDO"))</f>
        <v/>
      </c>
      <c r="X38" s="35" t="str">
        <f aca="false">IF($K38="","",IFERROR(INDEX(CAT_NOME,MATCH($K38,CAT_ID,0)),"?"))</f>
        <v/>
      </c>
      <c r="Y38" s="35" t="str">
        <f aca="false">IF($L38="","",IFERROR(INDEX(SUB_NOME,MATCH($L38,SUB_ID,0)),"?"))</f>
        <v/>
      </c>
      <c r="Z38" s="35" t="str">
        <f aca="false">IF($G38="","",IF($G38="EXTERNO","(Externo)",IFERROR(INDEX(ENT_NOME,MATCH($H38,ENT_ID,0)),"?")))</f>
        <v/>
      </c>
      <c r="AA38" s="35" t="str">
        <f aca="false">IF($I38="","",IF($I38="EXTERNO","(Externo)",IFERROR(INDEX(ENT_NOME,MATCH($J38,ENT_ID,0)),"?")))</f>
        <v/>
      </c>
      <c r="AB38" s="36" t="n">
        <f aca="false">IF($B38="",0,IF(AND($I38="CONTA",$G38&lt;&gt;"CONTA"),$F38,0))</f>
        <v>0</v>
      </c>
      <c r="AC38" s="36" t="n">
        <f aca="false">IF($B38="",0,IF(AND($G38="CONTA",$I38&lt;&gt;"CONTA"),$F38,0))</f>
        <v>0</v>
      </c>
      <c r="AD38" s="36" t="n">
        <f aca="false">IF($W38="RECEITA",$F38,0)</f>
        <v>0</v>
      </c>
      <c r="AE38" s="36" t="n">
        <f aca="false">IF($W38="DESPESA",$F38,0)</f>
        <v>0</v>
      </c>
      <c r="AF38" s="36" t="n">
        <f aca="false">IF($W38="RECEITA_FINANCEIRA",$F38,0)</f>
        <v>0</v>
      </c>
      <c r="AG38" s="36" t="n">
        <f aca="false">IF($B38="",0,IF($I38="CONTA",$F38,0)-IF($G38="CONTA",$F38,0))</f>
        <v>0</v>
      </c>
      <c r="AH38" s="36" t="n">
        <f aca="false">IF($B38="",0,IF($G38="CARTAO",$F38,0)-IF($I38="CARTAO",$F38,0))</f>
        <v>0</v>
      </c>
      <c r="AI38" s="36" t="n">
        <f aca="false">IF($B38="",0,IF($I38="INVESTIMENTO",$F38,0)-IF($G38="INVESTIMENTO",$F38,0))</f>
        <v>0</v>
      </c>
      <c r="AJ38" s="35" t="str">
        <f aca="false">IF($B38="","",IF(NOT(ISNUMBER($F38)),"ERRO: valor nao numerico",IF($F38&lt;=0,"ERRO: valor deve ser maior que zero",IF(COUNTIF(MAP_TIPO,$D38)=0,"ERRO: tipo de operacao nao cadastrado",IF(COUNTIF(LST_STATUS,$E38)=0,"ERRO: status invalido",IF(AND($G38="EXTERNO",$I38="EXTERNO"),"ERRO: origem e destino externos",IF(AND($G38&lt;&gt;"EXTERNO",COUNTIFS(ENT_ID,$H38,ENT_TIPO,$G38)=0),"ERRO: origem inexistente",IF(AND($I38&lt;&gt;"EXTERNO",COUNTIFS(ENT_ID,$J38,ENT_TIPO,$I38)=0),"ERRO: destino inexistente",IF(AND($K38&lt;&gt;"",COUNTIF(CAT_ID,$K38)=0),"ERRO: categoria inexistente",IF(AND($L38&lt;&gt;"",COUNTIF(SUB_ID,$L38)=0),"ERRO: subcategoria inexistente",IF(AND($L38&lt;&gt;"",$K38&lt;&gt;"",IFERROR(INDEX(SUB_CATID,MATCH($L38,SUB_ID,0)),"")&lt;&gt;$K38),"ERRO: subcategoria nao pertence a categoria",IF(AND($O38&lt;&gt;"",COUNTIF(P_ID,$O38)=0),"ERRO: parcela inexistente",IF(AND($N38&lt;&gt;"",COUNTIF(CM_ID,$N38)=0),"ERRO: compromisso inexistente","OK")))))))))))))</f>
        <v/>
      </c>
      <c r="AK38" s="35" t="str">
        <f aca="false">IF($B38="","",IF(AND($N38="",$O38="",$P38="",$Q38="",$R38=""),"","VINCULADO: "&amp;TRIM(IF($N38&lt;&gt;"",$N38&amp;" ","")&amp;IF($O38&lt;&gt;"",$O38&amp;" ","")&amp;IF($P38&lt;&gt;"",$P38&amp;" ","")&amp;IF($Q38&lt;&gt;"",$Q38&amp;" ","")&amp;IF($R38&lt;&gt;"",$R38,""))))</f>
        <v/>
      </c>
    </row>
    <row r="39" customFormat="false" ht="15" hidden="false" customHeight="false" outlineLevel="0" collapsed="false">
      <c r="A39" s="30" t="str">
        <f aca="false">IF($B39="","","LAN-"&amp;TEXT(ROW()-4,"000000"))</f>
        <v/>
      </c>
      <c r="B39" s="31"/>
      <c r="C39" s="32"/>
      <c r="D39" s="32"/>
      <c r="E39" s="32"/>
      <c r="F39" s="33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4" t="str">
        <f aca="false">IF($B39="","",YEAR($B39))</f>
        <v/>
      </c>
      <c r="U39" s="34" t="str">
        <f aca="false">IF($B39="","",MONTH($B39))</f>
        <v/>
      </c>
      <c r="V39" s="34" t="str">
        <f aca="false">IF($B39="","",YEAR($B39)*100+MONTH($B39))</f>
        <v/>
      </c>
      <c r="W39" s="35" t="str">
        <f aca="false">IF($D39="","",IFERROR(INDEX(MAP_CLASS,MATCH($D39,MAP_TIPO,0)),"TIPO INVALIDO"))</f>
        <v/>
      </c>
      <c r="X39" s="35" t="str">
        <f aca="false">IF($K39="","",IFERROR(INDEX(CAT_NOME,MATCH($K39,CAT_ID,0)),"?"))</f>
        <v/>
      </c>
      <c r="Y39" s="35" t="str">
        <f aca="false">IF($L39="","",IFERROR(INDEX(SUB_NOME,MATCH($L39,SUB_ID,0)),"?"))</f>
        <v/>
      </c>
      <c r="Z39" s="35" t="str">
        <f aca="false">IF($G39="","",IF($G39="EXTERNO","(Externo)",IFERROR(INDEX(ENT_NOME,MATCH($H39,ENT_ID,0)),"?")))</f>
        <v/>
      </c>
      <c r="AA39" s="35" t="str">
        <f aca="false">IF($I39="","",IF($I39="EXTERNO","(Externo)",IFERROR(INDEX(ENT_NOME,MATCH($J39,ENT_ID,0)),"?")))</f>
        <v/>
      </c>
      <c r="AB39" s="36" t="n">
        <f aca="false">IF($B39="",0,IF(AND($I39="CONTA",$G39&lt;&gt;"CONTA"),$F39,0))</f>
        <v>0</v>
      </c>
      <c r="AC39" s="36" t="n">
        <f aca="false">IF($B39="",0,IF(AND($G39="CONTA",$I39&lt;&gt;"CONTA"),$F39,0))</f>
        <v>0</v>
      </c>
      <c r="AD39" s="36" t="n">
        <f aca="false">IF($W39="RECEITA",$F39,0)</f>
        <v>0</v>
      </c>
      <c r="AE39" s="36" t="n">
        <f aca="false">IF($W39="DESPESA",$F39,0)</f>
        <v>0</v>
      </c>
      <c r="AF39" s="36" t="n">
        <f aca="false">IF($W39="RECEITA_FINANCEIRA",$F39,0)</f>
        <v>0</v>
      </c>
      <c r="AG39" s="36" t="n">
        <f aca="false">IF($B39="",0,IF($I39="CONTA",$F39,0)-IF($G39="CONTA",$F39,0))</f>
        <v>0</v>
      </c>
      <c r="AH39" s="36" t="n">
        <f aca="false">IF($B39="",0,IF($G39="CARTAO",$F39,0)-IF($I39="CARTAO",$F39,0))</f>
        <v>0</v>
      </c>
      <c r="AI39" s="36" t="n">
        <f aca="false">IF($B39="",0,IF($I39="INVESTIMENTO",$F39,0)-IF($G39="INVESTIMENTO",$F39,0))</f>
        <v>0</v>
      </c>
      <c r="AJ39" s="35" t="str">
        <f aca="false">IF($B39="","",IF(NOT(ISNUMBER($F39)),"ERRO: valor nao numerico",IF($F39&lt;=0,"ERRO: valor deve ser maior que zero",IF(COUNTIF(MAP_TIPO,$D39)=0,"ERRO: tipo de operacao nao cadastrado",IF(COUNTIF(LST_STATUS,$E39)=0,"ERRO: status invalido",IF(AND($G39="EXTERNO",$I39="EXTERNO"),"ERRO: origem e destino externos",IF(AND($G39&lt;&gt;"EXTERNO",COUNTIFS(ENT_ID,$H39,ENT_TIPO,$G39)=0),"ERRO: origem inexistente",IF(AND($I39&lt;&gt;"EXTERNO",COUNTIFS(ENT_ID,$J39,ENT_TIPO,$I39)=0),"ERRO: destino inexistente",IF(AND($K39&lt;&gt;"",COUNTIF(CAT_ID,$K39)=0),"ERRO: categoria inexistente",IF(AND($L39&lt;&gt;"",COUNTIF(SUB_ID,$L39)=0),"ERRO: subcategoria inexistente",IF(AND($L39&lt;&gt;"",$K39&lt;&gt;"",IFERROR(INDEX(SUB_CATID,MATCH($L39,SUB_ID,0)),"")&lt;&gt;$K39),"ERRO: subcategoria nao pertence a categoria",IF(AND($O39&lt;&gt;"",COUNTIF(P_ID,$O39)=0),"ERRO: parcela inexistente",IF(AND($N39&lt;&gt;"",COUNTIF(CM_ID,$N39)=0),"ERRO: compromisso inexistente","OK")))))))))))))</f>
        <v/>
      </c>
      <c r="AK39" s="35" t="str">
        <f aca="false">IF($B39="","",IF(AND($N39="",$O39="",$P39="",$Q39="",$R39=""),"","VINCULADO: "&amp;TRIM(IF($N39&lt;&gt;"",$N39&amp;" ","")&amp;IF($O39&lt;&gt;"",$O39&amp;" ","")&amp;IF($P39&lt;&gt;"",$P39&amp;" ","")&amp;IF($Q39&lt;&gt;"",$Q39&amp;" ","")&amp;IF($R39&lt;&gt;"",$R39,""))))</f>
        <v/>
      </c>
    </row>
    <row r="40" customFormat="false" ht="15" hidden="false" customHeight="false" outlineLevel="0" collapsed="false">
      <c r="A40" s="30" t="str">
        <f aca="false">IF($B40="","","LAN-"&amp;TEXT(ROW()-4,"000000"))</f>
        <v/>
      </c>
      <c r="B40" s="31"/>
      <c r="C40" s="32"/>
      <c r="D40" s="32"/>
      <c r="E40" s="32"/>
      <c r="F40" s="33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 t="str">
        <f aca="false">IF($B40="","",YEAR($B40))</f>
        <v/>
      </c>
      <c r="U40" s="34" t="str">
        <f aca="false">IF($B40="","",MONTH($B40))</f>
        <v/>
      </c>
      <c r="V40" s="34" t="str">
        <f aca="false">IF($B40="","",YEAR($B40)*100+MONTH($B40))</f>
        <v/>
      </c>
      <c r="W40" s="35" t="str">
        <f aca="false">IF($D40="","",IFERROR(INDEX(MAP_CLASS,MATCH($D40,MAP_TIPO,0)),"TIPO INVALIDO"))</f>
        <v/>
      </c>
      <c r="X40" s="35" t="str">
        <f aca="false">IF($K40="","",IFERROR(INDEX(CAT_NOME,MATCH($K40,CAT_ID,0)),"?"))</f>
        <v/>
      </c>
      <c r="Y40" s="35" t="str">
        <f aca="false">IF($L40="","",IFERROR(INDEX(SUB_NOME,MATCH($L40,SUB_ID,0)),"?"))</f>
        <v/>
      </c>
      <c r="Z40" s="35" t="str">
        <f aca="false">IF($G40="","",IF($G40="EXTERNO","(Externo)",IFERROR(INDEX(ENT_NOME,MATCH($H40,ENT_ID,0)),"?")))</f>
        <v/>
      </c>
      <c r="AA40" s="35" t="str">
        <f aca="false">IF($I40="","",IF($I40="EXTERNO","(Externo)",IFERROR(INDEX(ENT_NOME,MATCH($J40,ENT_ID,0)),"?")))</f>
        <v/>
      </c>
      <c r="AB40" s="36" t="n">
        <f aca="false">IF($B40="",0,IF(AND($I40="CONTA",$G40&lt;&gt;"CONTA"),$F40,0))</f>
        <v>0</v>
      </c>
      <c r="AC40" s="36" t="n">
        <f aca="false">IF($B40="",0,IF(AND($G40="CONTA",$I40&lt;&gt;"CONTA"),$F40,0))</f>
        <v>0</v>
      </c>
      <c r="AD40" s="36" t="n">
        <f aca="false">IF($W40="RECEITA",$F40,0)</f>
        <v>0</v>
      </c>
      <c r="AE40" s="36" t="n">
        <f aca="false">IF($W40="DESPESA",$F40,0)</f>
        <v>0</v>
      </c>
      <c r="AF40" s="36" t="n">
        <f aca="false">IF($W40="RECEITA_FINANCEIRA",$F40,0)</f>
        <v>0</v>
      </c>
      <c r="AG40" s="36" t="n">
        <f aca="false">IF($B40="",0,IF($I40="CONTA",$F40,0)-IF($G40="CONTA",$F40,0))</f>
        <v>0</v>
      </c>
      <c r="AH40" s="36" t="n">
        <f aca="false">IF($B40="",0,IF($G40="CARTAO",$F40,0)-IF($I40="CARTAO",$F40,0))</f>
        <v>0</v>
      </c>
      <c r="AI40" s="36" t="n">
        <f aca="false">IF($B40="",0,IF($I40="INVESTIMENTO",$F40,0)-IF($G40="INVESTIMENTO",$F40,0))</f>
        <v>0</v>
      </c>
      <c r="AJ40" s="35" t="str">
        <f aca="false">IF($B40="","",IF(NOT(ISNUMBER($F40)),"ERRO: valor nao numerico",IF($F40&lt;=0,"ERRO: valor deve ser maior que zero",IF(COUNTIF(MAP_TIPO,$D40)=0,"ERRO: tipo de operacao nao cadastrado",IF(COUNTIF(LST_STATUS,$E40)=0,"ERRO: status invalido",IF(AND($G40="EXTERNO",$I40="EXTERNO"),"ERRO: origem e destino externos",IF(AND($G40&lt;&gt;"EXTERNO",COUNTIFS(ENT_ID,$H40,ENT_TIPO,$G40)=0),"ERRO: origem inexistente",IF(AND($I40&lt;&gt;"EXTERNO",COUNTIFS(ENT_ID,$J40,ENT_TIPO,$I40)=0),"ERRO: destino inexistente",IF(AND($K40&lt;&gt;"",COUNTIF(CAT_ID,$K40)=0),"ERRO: categoria inexistente",IF(AND($L40&lt;&gt;"",COUNTIF(SUB_ID,$L40)=0),"ERRO: subcategoria inexistente",IF(AND($L40&lt;&gt;"",$K40&lt;&gt;"",IFERROR(INDEX(SUB_CATID,MATCH($L40,SUB_ID,0)),"")&lt;&gt;$K40),"ERRO: subcategoria nao pertence a categoria",IF(AND($O40&lt;&gt;"",COUNTIF(P_ID,$O40)=0),"ERRO: parcela inexistente",IF(AND($N40&lt;&gt;"",COUNTIF(CM_ID,$N40)=0),"ERRO: compromisso inexistente","OK")))))))))))))</f>
        <v/>
      </c>
      <c r="AK40" s="35" t="str">
        <f aca="false">IF($B40="","",IF(AND($N40="",$O40="",$P40="",$Q40="",$R40=""),"","VINCULADO: "&amp;TRIM(IF($N40&lt;&gt;"",$N40&amp;" ","")&amp;IF($O40&lt;&gt;"",$O40&amp;" ","")&amp;IF($P40&lt;&gt;"",$P40&amp;" ","")&amp;IF($Q40&lt;&gt;"",$Q40&amp;" ","")&amp;IF($R40&lt;&gt;"",$R40,""))))</f>
        <v/>
      </c>
    </row>
    <row r="41" customFormat="false" ht="15" hidden="false" customHeight="false" outlineLevel="0" collapsed="false">
      <c r="A41" s="30" t="str">
        <f aca="false">IF($B41="","","LAN-"&amp;TEXT(ROW()-4,"000000"))</f>
        <v/>
      </c>
      <c r="B41" s="31"/>
      <c r="C41" s="32"/>
      <c r="D41" s="32"/>
      <c r="E41" s="32"/>
      <c r="F41" s="33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4" t="str">
        <f aca="false">IF($B41="","",YEAR($B41))</f>
        <v/>
      </c>
      <c r="U41" s="34" t="str">
        <f aca="false">IF($B41="","",MONTH($B41))</f>
        <v/>
      </c>
      <c r="V41" s="34" t="str">
        <f aca="false">IF($B41="","",YEAR($B41)*100+MONTH($B41))</f>
        <v/>
      </c>
      <c r="W41" s="35" t="str">
        <f aca="false">IF($D41="","",IFERROR(INDEX(MAP_CLASS,MATCH($D41,MAP_TIPO,0)),"TIPO INVALIDO"))</f>
        <v/>
      </c>
      <c r="X41" s="35" t="str">
        <f aca="false">IF($K41="","",IFERROR(INDEX(CAT_NOME,MATCH($K41,CAT_ID,0)),"?"))</f>
        <v/>
      </c>
      <c r="Y41" s="35" t="str">
        <f aca="false">IF($L41="","",IFERROR(INDEX(SUB_NOME,MATCH($L41,SUB_ID,0)),"?"))</f>
        <v/>
      </c>
      <c r="Z41" s="35" t="str">
        <f aca="false">IF($G41="","",IF($G41="EXTERNO","(Externo)",IFERROR(INDEX(ENT_NOME,MATCH($H41,ENT_ID,0)),"?")))</f>
        <v/>
      </c>
      <c r="AA41" s="35" t="str">
        <f aca="false">IF($I41="","",IF($I41="EXTERNO","(Externo)",IFERROR(INDEX(ENT_NOME,MATCH($J41,ENT_ID,0)),"?")))</f>
        <v/>
      </c>
      <c r="AB41" s="36" t="n">
        <f aca="false">IF($B41="",0,IF(AND($I41="CONTA",$G41&lt;&gt;"CONTA"),$F41,0))</f>
        <v>0</v>
      </c>
      <c r="AC41" s="36" t="n">
        <f aca="false">IF($B41="",0,IF(AND($G41="CONTA",$I41&lt;&gt;"CONTA"),$F41,0))</f>
        <v>0</v>
      </c>
      <c r="AD41" s="36" t="n">
        <f aca="false">IF($W41="RECEITA",$F41,0)</f>
        <v>0</v>
      </c>
      <c r="AE41" s="36" t="n">
        <f aca="false">IF($W41="DESPESA",$F41,0)</f>
        <v>0</v>
      </c>
      <c r="AF41" s="36" t="n">
        <f aca="false">IF($W41="RECEITA_FINANCEIRA",$F41,0)</f>
        <v>0</v>
      </c>
      <c r="AG41" s="36" t="n">
        <f aca="false">IF($B41="",0,IF($I41="CONTA",$F41,0)-IF($G41="CONTA",$F41,0))</f>
        <v>0</v>
      </c>
      <c r="AH41" s="36" t="n">
        <f aca="false">IF($B41="",0,IF($G41="CARTAO",$F41,0)-IF($I41="CARTAO",$F41,0))</f>
        <v>0</v>
      </c>
      <c r="AI41" s="36" t="n">
        <f aca="false">IF($B41="",0,IF($I41="INVESTIMENTO",$F41,0)-IF($G41="INVESTIMENTO",$F41,0))</f>
        <v>0</v>
      </c>
      <c r="AJ41" s="35" t="str">
        <f aca="false">IF($B41="","",IF(NOT(ISNUMBER($F41)),"ERRO: valor nao numerico",IF($F41&lt;=0,"ERRO: valor deve ser maior que zero",IF(COUNTIF(MAP_TIPO,$D41)=0,"ERRO: tipo de operacao nao cadastrado",IF(COUNTIF(LST_STATUS,$E41)=0,"ERRO: status invalido",IF(AND($G41="EXTERNO",$I41="EXTERNO"),"ERRO: origem e destino externos",IF(AND($G41&lt;&gt;"EXTERNO",COUNTIFS(ENT_ID,$H41,ENT_TIPO,$G41)=0),"ERRO: origem inexistente",IF(AND($I41&lt;&gt;"EXTERNO",COUNTIFS(ENT_ID,$J41,ENT_TIPO,$I41)=0),"ERRO: destino inexistente",IF(AND($K41&lt;&gt;"",COUNTIF(CAT_ID,$K41)=0),"ERRO: categoria inexistente",IF(AND($L41&lt;&gt;"",COUNTIF(SUB_ID,$L41)=0),"ERRO: subcategoria inexistente",IF(AND($L41&lt;&gt;"",$K41&lt;&gt;"",IFERROR(INDEX(SUB_CATID,MATCH($L41,SUB_ID,0)),"")&lt;&gt;$K41),"ERRO: subcategoria nao pertence a categoria",IF(AND($O41&lt;&gt;"",COUNTIF(P_ID,$O41)=0),"ERRO: parcela inexistente",IF(AND($N41&lt;&gt;"",COUNTIF(CM_ID,$N41)=0),"ERRO: compromisso inexistente","OK")))))))))))))</f>
        <v/>
      </c>
      <c r="AK41" s="35" t="str">
        <f aca="false">IF($B41="","",IF(AND($N41="",$O41="",$P41="",$Q41="",$R41=""),"","VINCULADO: "&amp;TRIM(IF($N41&lt;&gt;"",$N41&amp;" ","")&amp;IF($O41&lt;&gt;"",$O41&amp;" ","")&amp;IF($P41&lt;&gt;"",$P41&amp;" ","")&amp;IF($Q41&lt;&gt;"",$Q41&amp;" ","")&amp;IF($R41&lt;&gt;"",$R41,""))))</f>
        <v/>
      </c>
    </row>
    <row r="42" customFormat="false" ht="15" hidden="false" customHeight="false" outlineLevel="0" collapsed="false">
      <c r="A42" s="30" t="str">
        <f aca="false">IF($B42="","","LAN-"&amp;TEXT(ROW()-4,"000000"))</f>
        <v/>
      </c>
      <c r="B42" s="31"/>
      <c r="C42" s="32"/>
      <c r="D42" s="32"/>
      <c r="E42" s="32"/>
      <c r="F42" s="33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4" t="str">
        <f aca="false">IF($B42="","",YEAR($B42))</f>
        <v/>
      </c>
      <c r="U42" s="34" t="str">
        <f aca="false">IF($B42="","",MONTH($B42))</f>
        <v/>
      </c>
      <c r="V42" s="34" t="str">
        <f aca="false">IF($B42="","",YEAR($B42)*100+MONTH($B42))</f>
        <v/>
      </c>
      <c r="W42" s="35" t="str">
        <f aca="false">IF($D42="","",IFERROR(INDEX(MAP_CLASS,MATCH($D42,MAP_TIPO,0)),"TIPO INVALIDO"))</f>
        <v/>
      </c>
      <c r="X42" s="35" t="str">
        <f aca="false">IF($K42="","",IFERROR(INDEX(CAT_NOME,MATCH($K42,CAT_ID,0)),"?"))</f>
        <v/>
      </c>
      <c r="Y42" s="35" t="str">
        <f aca="false">IF($L42="","",IFERROR(INDEX(SUB_NOME,MATCH($L42,SUB_ID,0)),"?"))</f>
        <v/>
      </c>
      <c r="Z42" s="35" t="str">
        <f aca="false">IF($G42="","",IF($G42="EXTERNO","(Externo)",IFERROR(INDEX(ENT_NOME,MATCH($H42,ENT_ID,0)),"?")))</f>
        <v/>
      </c>
      <c r="AA42" s="35" t="str">
        <f aca="false">IF($I42="","",IF($I42="EXTERNO","(Externo)",IFERROR(INDEX(ENT_NOME,MATCH($J42,ENT_ID,0)),"?")))</f>
        <v/>
      </c>
      <c r="AB42" s="36" t="n">
        <f aca="false">IF($B42="",0,IF(AND($I42="CONTA",$G42&lt;&gt;"CONTA"),$F42,0))</f>
        <v>0</v>
      </c>
      <c r="AC42" s="36" t="n">
        <f aca="false">IF($B42="",0,IF(AND($G42="CONTA",$I42&lt;&gt;"CONTA"),$F42,0))</f>
        <v>0</v>
      </c>
      <c r="AD42" s="36" t="n">
        <f aca="false">IF($W42="RECEITA",$F42,0)</f>
        <v>0</v>
      </c>
      <c r="AE42" s="36" t="n">
        <f aca="false">IF($W42="DESPESA",$F42,0)</f>
        <v>0</v>
      </c>
      <c r="AF42" s="36" t="n">
        <f aca="false">IF($W42="RECEITA_FINANCEIRA",$F42,0)</f>
        <v>0</v>
      </c>
      <c r="AG42" s="36" t="n">
        <f aca="false">IF($B42="",0,IF($I42="CONTA",$F42,0)-IF($G42="CONTA",$F42,0))</f>
        <v>0</v>
      </c>
      <c r="AH42" s="36" t="n">
        <f aca="false">IF($B42="",0,IF($G42="CARTAO",$F42,0)-IF($I42="CARTAO",$F42,0))</f>
        <v>0</v>
      </c>
      <c r="AI42" s="36" t="n">
        <f aca="false">IF($B42="",0,IF($I42="INVESTIMENTO",$F42,0)-IF($G42="INVESTIMENTO",$F42,0))</f>
        <v>0</v>
      </c>
      <c r="AJ42" s="35" t="str">
        <f aca="false">IF($B42="","",IF(NOT(ISNUMBER($F42)),"ERRO: valor nao numerico",IF($F42&lt;=0,"ERRO: valor deve ser maior que zero",IF(COUNTIF(MAP_TIPO,$D42)=0,"ERRO: tipo de operacao nao cadastrado",IF(COUNTIF(LST_STATUS,$E42)=0,"ERRO: status invalido",IF(AND($G42="EXTERNO",$I42="EXTERNO"),"ERRO: origem e destino externos",IF(AND($G42&lt;&gt;"EXTERNO",COUNTIFS(ENT_ID,$H42,ENT_TIPO,$G42)=0),"ERRO: origem inexistente",IF(AND($I42&lt;&gt;"EXTERNO",COUNTIFS(ENT_ID,$J42,ENT_TIPO,$I42)=0),"ERRO: destino inexistente",IF(AND($K42&lt;&gt;"",COUNTIF(CAT_ID,$K42)=0),"ERRO: categoria inexistente",IF(AND($L42&lt;&gt;"",COUNTIF(SUB_ID,$L42)=0),"ERRO: subcategoria inexistente",IF(AND($L42&lt;&gt;"",$K42&lt;&gt;"",IFERROR(INDEX(SUB_CATID,MATCH($L42,SUB_ID,0)),"")&lt;&gt;$K42),"ERRO: subcategoria nao pertence a categoria",IF(AND($O42&lt;&gt;"",COUNTIF(P_ID,$O42)=0),"ERRO: parcela inexistente",IF(AND($N42&lt;&gt;"",COUNTIF(CM_ID,$N42)=0),"ERRO: compromisso inexistente","OK")))))))))))))</f>
        <v/>
      </c>
      <c r="AK42" s="35" t="str">
        <f aca="false">IF($B42="","",IF(AND($N42="",$O42="",$P42="",$Q42="",$R42=""),"","VINCULADO: "&amp;TRIM(IF($N42&lt;&gt;"",$N42&amp;" ","")&amp;IF($O42&lt;&gt;"",$O42&amp;" ","")&amp;IF($P42&lt;&gt;"",$P42&amp;" ","")&amp;IF($Q42&lt;&gt;"",$Q42&amp;" ","")&amp;IF($R42&lt;&gt;"",$R42,""))))</f>
        <v/>
      </c>
    </row>
    <row r="43" customFormat="false" ht="15" hidden="false" customHeight="false" outlineLevel="0" collapsed="false">
      <c r="A43" s="30" t="str">
        <f aca="false">IF($B43="","","LAN-"&amp;TEXT(ROW()-4,"000000"))</f>
        <v/>
      </c>
      <c r="B43" s="31"/>
      <c r="C43" s="32"/>
      <c r="D43" s="32"/>
      <c r="E43" s="32"/>
      <c r="F43" s="33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4" t="str">
        <f aca="false">IF($B43="","",YEAR($B43))</f>
        <v/>
      </c>
      <c r="U43" s="34" t="str">
        <f aca="false">IF($B43="","",MONTH($B43))</f>
        <v/>
      </c>
      <c r="V43" s="34" t="str">
        <f aca="false">IF($B43="","",YEAR($B43)*100+MONTH($B43))</f>
        <v/>
      </c>
      <c r="W43" s="35" t="str">
        <f aca="false">IF($D43="","",IFERROR(INDEX(MAP_CLASS,MATCH($D43,MAP_TIPO,0)),"TIPO INVALIDO"))</f>
        <v/>
      </c>
      <c r="X43" s="35" t="str">
        <f aca="false">IF($K43="","",IFERROR(INDEX(CAT_NOME,MATCH($K43,CAT_ID,0)),"?"))</f>
        <v/>
      </c>
      <c r="Y43" s="35" t="str">
        <f aca="false">IF($L43="","",IFERROR(INDEX(SUB_NOME,MATCH($L43,SUB_ID,0)),"?"))</f>
        <v/>
      </c>
      <c r="Z43" s="35" t="str">
        <f aca="false">IF($G43="","",IF($G43="EXTERNO","(Externo)",IFERROR(INDEX(ENT_NOME,MATCH($H43,ENT_ID,0)),"?")))</f>
        <v/>
      </c>
      <c r="AA43" s="35" t="str">
        <f aca="false">IF($I43="","",IF($I43="EXTERNO","(Externo)",IFERROR(INDEX(ENT_NOME,MATCH($J43,ENT_ID,0)),"?")))</f>
        <v/>
      </c>
      <c r="AB43" s="36" t="n">
        <f aca="false">IF($B43="",0,IF(AND($I43="CONTA",$G43&lt;&gt;"CONTA"),$F43,0))</f>
        <v>0</v>
      </c>
      <c r="AC43" s="36" t="n">
        <f aca="false">IF($B43="",0,IF(AND($G43="CONTA",$I43&lt;&gt;"CONTA"),$F43,0))</f>
        <v>0</v>
      </c>
      <c r="AD43" s="36" t="n">
        <f aca="false">IF($W43="RECEITA",$F43,0)</f>
        <v>0</v>
      </c>
      <c r="AE43" s="36" t="n">
        <f aca="false">IF($W43="DESPESA",$F43,0)</f>
        <v>0</v>
      </c>
      <c r="AF43" s="36" t="n">
        <f aca="false">IF($W43="RECEITA_FINANCEIRA",$F43,0)</f>
        <v>0</v>
      </c>
      <c r="AG43" s="36" t="n">
        <f aca="false">IF($B43="",0,IF($I43="CONTA",$F43,0)-IF($G43="CONTA",$F43,0))</f>
        <v>0</v>
      </c>
      <c r="AH43" s="36" t="n">
        <f aca="false">IF($B43="",0,IF($G43="CARTAO",$F43,0)-IF($I43="CARTAO",$F43,0))</f>
        <v>0</v>
      </c>
      <c r="AI43" s="36" t="n">
        <f aca="false">IF($B43="",0,IF($I43="INVESTIMENTO",$F43,0)-IF($G43="INVESTIMENTO",$F43,0))</f>
        <v>0</v>
      </c>
      <c r="AJ43" s="35" t="str">
        <f aca="false">IF($B43="","",IF(NOT(ISNUMBER($F43)),"ERRO: valor nao numerico",IF($F43&lt;=0,"ERRO: valor deve ser maior que zero",IF(COUNTIF(MAP_TIPO,$D43)=0,"ERRO: tipo de operacao nao cadastrado",IF(COUNTIF(LST_STATUS,$E43)=0,"ERRO: status invalido",IF(AND($G43="EXTERNO",$I43="EXTERNO"),"ERRO: origem e destino externos",IF(AND($G43&lt;&gt;"EXTERNO",COUNTIFS(ENT_ID,$H43,ENT_TIPO,$G43)=0),"ERRO: origem inexistente",IF(AND($I43&lt;&gt;"EXTERNO",COUNTIFS(ENT_ID,$J43,ENT_TIPO,$I43)=0),"ERRO: destino inexistente",IF(AND($K43&lt;&gt;"",COUNTIF(CAT_ID,$K43)=0),"ERRO: categoria inexistente",IF(AND($L43&lt;&gt;"",COUNTIF(SUB_ID,$L43)=0),"ERRO: subcategoria inexistente",IF(AND($L43&lt;&gt;"",$K43&lt;&gt;"",IFERROR(INDEX(SUB_CATID,MATCH($L43,SUB_ID,0)),"")&lt;&gt;$K43),"ERRO: subcategoria nao pertence a categoria",IF(AND($O43&lt;&gt;"",COUNTIF(P_ID,$O43)=0),"ERRO: parcela inexistente",IF(AND($N43&lt;&gt;"",COUNTIF(CM_ID,$N43)=0),"ERRO: compromisso inexistente","OK")))))))))))))</f>
        <v/>
      </c>
      <c r="AK43" s="35" t="str">
        <f aca="false">IF($B43="","",IF(AND($N43="",$O43="",$P43="",$Q43="",$R43=""),"","VINCULADO: "&amp;TRIM(IF($N43&lt;&gt;"",$N43&amp;" ","")&amp;IF($O43&lt;&gt;"",$O43&amp;" ","")&amp;IF($P43&lt;&gt;"",$P43&amp;" ","")&amp;IF($Q43&lt;&gt;"",$Q43&amp;" ","")&amp;IF($R43&lt;&gt;"",$R43,""))))</f>
        <v/>
      </c>
    </row>
    <row r="44" customFormat="false" ht="15" hidden="false" customHeight="false" outlineLevel="0" collapsed="false">
      <c r="A44" s="30" t="str">
        <f aca="false">IF($B44="","","LAN-"&amp;TEXT(ROW()-4,"000000"))</f>
        <v/>
      </c>
      <c r="B44" s="31"/>
      <c r="C44" s="32"/>
      <c r="D44" s="32"/>
      <c r="E44" s="32"/>
      <c r="F44" s="33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4" t="str">
        <f aca="false">IF($B44="","",YEAR($B44))</f>
        <v/>
      </c>
      <c r="U44" s="34" t="str">
        <f aca="false">IF($B44="","",MONTH($B44))</f>
        <v/>
      </c>
      <c r="V44" s="34" t="str">
        <f aca="false">IF($B44="","",YEAR($B44)*100+MONTH($B44))</f>
        <v/>
      </c>
      <c r="W44" s="35" t="str">
        <f aca="false">IF($D44="","",IFERROR(INDEX(MAP_CLASS,MATCH($D44,MAP_TIPO,0)),"TIPO INVALIDO"))</f>
        <v/>
      </c>
      <c r="X44" s="35" t="str">
        <f aca="false">IF($K44="","",IFERROR(INDEX(CAT_NOME,MATCH($K44,CAT_ID,0)),"?"))</f>
        <v/>
      </c>
      <c r="Y44" s="35" t="str">
        <f aca="false">IF($L44="","",IFERROR(INDEX(SUB_NOME,MATCH($L44,SUB_ID,0)),"?"))</f>
        <v/>
      </c>
      <c r="Z44" s="35" t="str">
        <f aca="false">IF($G44="","",IF($G44="EXTERNO","(Externo)",IFERROR(INDEX(ENT_NOME,MATCH($H44,ENT_ID,0)),"?")))</f>
        <v/>
      </c>
      <c r="AA44" s="35" t="str">
        <f aca="false">IF($I44="","",IF($I44="EXTERNO","(Externo)",IFERROR(INDEX(ENT_NOME,MATCH($J44,ENT_ID,0)),"?")))</f>
        <v/>
      </c>
      <c r="AB44" s="36" t="n">
        <f aca="false">IF($B44="",0,IF(AND($I44="CONTA",$G44&lt;&gt;"CONTA"),$F44,0))</f>
        <v>0</v>
      </c>
      <c r="AC44" s="36" t="n">
        <f aca="false">IF($B44="",0,IF(AND($G44="CONTA",$I44&lt;&gt;"CONTA"),$F44,0))</f>
        <v>0</v>
      </c>
      <c r="AD44" s="36" t="n">
        <f aca="false">IF($W44="RECEITA",$F44,0)</f>
        <v>0</v>
      </c>
      <c r="AE44" s="36" t="n">
        <f aca="false">IF($W44="DESPESA",$F44,0)</f>
        <v>0</v>
      </c>
      <c r="AF44" s="36" t="n">
        <f aca="false">IF($W44="RECEITA_FINANCEIRA",$F44,0)</f>
        <v>0</v>
      </c>
      <c r="AG44" s="36" t="n">
        <f aca="false">IF($B44="",0,IF($I44="CONTA",$F44,0)-IF($G44="CONTA",$F44,0))</f>
        <v>0</v>
      </c>
      <c r="AH44" s="36" t="n">
        <f aca="false">IF($B44="",0,IF($G44="CARTAO",$F44,0)-IF($I44="CARTAO",$F44,0))</f>
        <v>0</v>
      </c>
      <c r="AI44" s="36" t="n">
        <f aca="false">IF($B44="",0,IF($I44="INVESTIMENTO",$F44,0)-IF($G44="INVESTIMENTO",$F44,0))</f>
        <v>0</v>
      </c>
      <c r="AJ44" s="35" t="str">
        <f aca="false">IF($B44="","",IF(NOT(ISNUMBER($F44)),"ERRO: valor nao numerico",IF($F44&lt;=0,"ERRO: valor deve ser maior que zero",IF(COUNTIF(MAP_TIPO,$D44)=0,"ERRO: tipo de operacao nao cadastrado",IF(COUNTIF(LST_STATUS,$E44)=0,"ERRO: status invalido",IF(AND($G44="EXTERNO",$I44="EXTERNO"),"ERRO: origem e destino externos",IF(AND($G44&lt;&gt;"EXTERNO",COUNTIFS(ENT_ID,$H44,ENT_TIPO,$G44)=0),"ERRO: origem inexistente",IF(AND($I44&lt;&gt;"EXTERNO",COUNTIFS(ENT_ID,$J44,ENT_TIPO,$I44)=0),"ERRO: destino inexistente",IF(AND($K44&lt;&gt;"",COUNTIF(CAT_ID,$K44)=0),"ERRO: categoria inexistente",IF(AND($L44&lt;&gt;"",COUNTIF(SUB_ID,$L44)=0),"ERRO: subcategoria inexistente",IF(AND($L44&lt;&gt;"",$K44&lt;&gt;"",IFERROR(INDEX(SUB_CATID,MATCH($L44,SUB_ID,0)),"")&lt;&gt;$K44),"ERRO: subcategoria nao pertence a categoria",IF(AND($O44&lt;&gt;"",COUNTIF(P_ID,$O44)=0),"ERRO: parcela inexistente",IF(AND($N44&lt;&gt;"",COUNTIF(CM_ID,$N44)=0),"ERRO: compromisso inexistente","OK")))))))))))))</f>
        <v/>
      </c>
      <c r="AK44" s="35" t="str">
        <f aca="false">IF($B44="","",IF(AND($N44="",$O44="",$P44="",$Q44="",$R44=""),"","VINCULADO: "&amp;TRIM(IF($N44&lt;&gt;"",$N44&amp;" ","")&amp;IF($O44&lt;&gt;"",$O44&amp;" ","")&amp;IF($P44&lt;&gt;"",$P44&amp;" ","")&amp;IF($Q44&lt;&gt;"",$Q44&amp;" ","")&amp;IF($R44&lt;&gt;"",$R44,""))))</f>
        <v/>
      </c>
    </row>
    <row r="45" customFormat="false" ht="15" hidden="false" customHeight="false" outlineLevel="0" collapsed="false">
      <c r="A45" s="30" t="str">
        <f aca="false">IF($B45="","","LAN-"&amp;TEXT(ROW()-4,"000000"))</f>
        <v/>
      </c>
      <c r="B45" s="31"/>
      <c r="C45" s="32"/>
      <c r="D45" s="32"/>
      <c r="E45" s="32"/>
      <c r="F45" s="33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4" t="str">
        <f aca="false">IF($B45="","",YEAR($B45))</f>
        <v/>
      </c>
      <c r="U45" s="34" t="str">
        <f aca="false">IF($B45="","",MONTH($B45))</f>
        <v/>
      </c>
      <c r="V45" s="34" t="str">
        <f aca="false">IF($B45="","",YEAR($B45)*100+MONTH($B45))</f>
        <v/>
      </c>
      <c r="W45" s="35" t="str">
        <f aca="false">IF($D45="","",IFERROR(INDEX(MAP_CLASS,MATCH($D45,MAP_TIPO,0)),"TIPO INVALIDO"))</f>
        <v/>
      </c>
      <c r="X45" s="35" t="str">
        <f aca="false">IF($K45="","",IFERROR(INDEX(CAT_NOME,MATCH($K45,CAT_ID,0)),"?"))</f>
        <v/>
      </c>
      <c r="Y45" s="35" t="str">
        <f aca="false">IF($L45="","",IFERROR(INDEX(SUB_NOME,MATCH($L45,SUB_ID,0)),"?"))</f>
        <v/>
      </c>
      <c r="Z45" s="35" t="str">
        <f aca="false">IF($G45="","",IF($G45="EXTERNO","(Externo)",IFERROR(INDEX(ENT_NOME,MATCH($H45,ENT_ID,0)),"?")))</f>
        <v/>
      </c>
      <c r="AA45" s="35" t="str">
        <f aca="false">IF($I45="","",IF($I45="EXTERNO","(Externo)",IFERROR(INDEX(ENT_NOME,MATCH($J45,ENT_ID,0)),"?")))</f>
        <v/>
      </c>
      <c r="AB45" s="36" t="n">
        <f aca="false">IF($B45="",0,IF(AND($I45="CONTA",$G45&lt;&gt;"CONTA"),$F45,0))</f>
        <v>0</v>
      </c>
      <c r="AC45" s="36" t="n">
        <f aca="false">IF($B45="",0,IF(AND($G45="CONTA",$I45&lt;&gt;"CONTA"),$F45,0))</f>
        <v>0</v>
      </c>
      <c r="AD45" s="36" t="n">
        <f aca="false">IF($W45="RECEITA",$F45,0)</f>
        <v>0</v>
      </c>
      <c r="AE45" s="36" t="n">
        <f aca="false">IF($W45="DESPESA",$F45,0)</f>
        <v>0</v>
      </c>
      <c r="AF45" s="36" t="n">
        <f aca="false">IF($W45="RECEITA_FINANCEIRA",$F45,0)</f>
        <v>0</v>
      </c>
      <c r="AG45" s="36" t="n">
        <f aca="false">IF($B45="",0,IF($I45="CONTA",$F45,0)-IF($G45="CONTA",$F45,0))</f>
        <v>0</v>
      </c>
      <c r="AH45" s="36" t="n">
        <f aca="false">IF($B45="",0,IF($G45="CARTAO",$F45,0)-IF($I45="CARTAO",$F45,0))</f>
        <v>0</v>
      </c>
      <c r="AI45" s="36" t="n">
        <f aca="false">IF($B45="",0,IF($I45="INVESTIMENTO",$F45,0)-IF($G45="INVESTIMENTO",$F45,0))</f>
        <v>0</v>
      </c>
      <c r="AJ45" s="35" t="str">
        <f aca="false">IF($B45="","",IF(NOT(ISNUMBER($F45)),"ERRO: valor nao numerico",IF($F45&lt;=0,"ERRO: valor deve ser maior que zero",IF(COUNTIF(MAP_TIPO,$D45)=0,"ERRO: tipo de operacao nao cadastrado",IF(COUNTIF(LST_STATUS,$E45)=0,"ERRO: status invalido",IF(AND($G45="EXTERNO",$I45="EXTERNO"),"ERRO: origem e destino externos",IF(AND($G45&lt;&gt;"EXTERNO",COUNTIFS(ENT_ID,$H45,ENT_TIPO,$G45)=0),"ERRO: origem inexistente",IF(AND($I45&lt;&gt;"EXTERNO",COUNTIFS(ENT_ID,$J45,ENT_TIPO,$I45)=0),"ERRO: destino inexistente",IF(AND($K45&lt;&gt;"",COUNTIF(CAT_ID,$K45)=0),"ERRO: categoria inexistente",IF(AND($L45&lt;&gt;"",COUNTIF(SUB_ID,$L45)=0),"ERRO: subcategoria inexistente",IF(AND($L45&lt;&gt;"",$K45&lt;&gt;"",IFERROR(INDEX(SUB_CATID,MATCH($L45,SUB_ID,0)),"")&lt;&gt;$K45),"ERRO: subcategoria nao pertence a categoria",IF(AND($O45&lt;&gt;"",COUNTIF(P_ID,$O45)=0),"ERRO: parcela inexistente",IF(AND($N45&lt;&gt;"",COUNTIF(CM_ID,$N45)=0),"ERRO: compromisso inexistente","OK")))))))))))))</f>
        <v/>
      </c>
      <c r="AK45" s="35" t="str">
        <f aca="false">IF($B45="","",IF(AND($N45="",$O45="",$P45="",$Q45="",$R45=""),"","VINCULADO: "&amp;TRIM(IF($N45&lt;&gt;"",$N45&amp;" ","")&amp;IF($O45&lt;&gt;"",$O45&amp;" ","")&amp;IF($P45&lt;&gt;"",$P45&amp;" ","")&amp;IF($Q45&lt;&gt;"",$Q45&amp;" ","")&amp;IF($R45&lt;&gt;"",$R45,""))))</f>
        <v/>
      </c>
    </row>
    <row r="46" customFormat="false" ht="15" hidden="false" customHeight="false" outlineLevel="0" collapsed="false">
      <c r="A46" s="30" t="str">
        <f aca="false">IF($B46="","","LAN-"&amp;TEXT(ROW()-4,"000000"))</f>
        <v/>
      </c>
      <c r="B46" s="31"/>
      <c r="C46" s="32"/>
      <c r="D46" s="32"/>
      <c r="E46" s="32"/>
      <c r="F46" s="33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4" t="str">
        <f aca="false">IF($B46="","",YEAR($B46))</f>
        <v/>
      </c>
      <c r="U46" s="34" t="str">
        <f aca="false">IF($B46="","",MONTH($B46))</f>
        <v/>
      </c>
      <c r="V46" s="34" t="str">
        <f aca="false">IF($B46="","",YEAR($B46)*100+MONTH($B46))</f>
        <v/>
      </c>
      <c r="W46" s="35" t="str">
        <f aca="false">IF($D46="","",IFERROR(INDEX(MAP_CLASS,MATCH($D46,MAP_TIPO,0)),"TIPO INVALIDO"))</f>
        <v/>
      </c>
      <c r="X46" s="35" t="str">
        <f aca="false">IF($K46="","",IFERROR(INDEX(CAT_NOME,MATCH($K46,CAT_ID,0)),"?"))</f>
        <v/>
      </c>
      <c r="Y46" s="35" t="str">
        <f aca="false">IF($L46="","",IFERROR(INDEX(SUB_NOME,MATCH($L46,SUB_ID,0)),"?"))</f>
        <v/>
      </c>
      <c r="Z46" s="35" t="str">
        <f aca="false">IF($G46="","",IF($G46="EXTERNO","(Externo)",IFERROR(INDEX(ENT_NOME,MATCH($H46,ENT_ID,0)),"?")))</f>
        <v/>
      </c>
      <c r="AA46" s="35" t="str">
        <f aca="false">IF($I46="","",IF($I46="EXTERNO","(Externo)",IFERROR(INDEX(ENT_NOME,MATCH($J46,ENT_ID,0)),"?")))</f>
        <v/>
      </c>
      <c r="AB46" s="36" t="n">
        <f aca="false">IF($B46="",0,IF(AND($I46="CONTA",$G46&lt;&gt;"CONTA"),$F46,0))</f>
        <v>0</v>
      </c>
      <c r="AC46" s="36" t="n">
        <f aca="false">IF($B46="",0,IF(AND($G46="CONTA",$I46&lt;&gt;"CONTA"),$F46,0))</f>
        <v>0</v>
      </c>
      <c r="AD46" s="36" t="n">
        <f aca="false">IF($W46="RECEITA",$F46,0)</f>
        <v>0</v>
      </c>
      <c r="AE46" s="36" t="n">
        <f aca="false">IF($W46="DESPESA",$F46,0)</f>
        <v>0</v>
      </c>
      <c r="AF46" s="36" t="n">
        <f aca="false">IF($W46="RECEITA_FINANCEIRA",$F46,0)</f>
        <v>0</v>
      </c>
      <c r="AG46" s="36" t="n">
        <f aca="false">IF($B46="",0,IF($I46="CONTA",$F46,0)-IF($G46="CONTA",$F46,0))</f>
        <v>0</v>
      </c>
      <c r="AH46" s="36" t="n">
        <f aca="false">IF($B46="",0,IF($G46="CARTAO",$F46,0)-IF($I46="CARTAO",$F46,0))</f>
        <v>0</v>
      </c>
      <c r="AI46" s="36" t="n">
        <f aca="false">IF($B46="",0,IF($I46="INVESTIMENTO",$F46,0)-IF($G46="INVESTIMENTO",$F46,0))</f>
        <v>0</v>
      </c>
      <c r="AJ46" s="35" t="str">
        <f aca="false">IF($B46="","",IF(NOT(ISNUMBER($F46)),"ERRO: valor nao numerico",IF($F46&lt;=0,"ERRO: valor deve ser maior que zero",IF(COUNTIF(MAP_TIPO,$D46)=0,"ERRO: tipo de operacao nao cadastrado",IF(COUNTIF(LST_STATUS,$E46)=0,"ERRO: status invalido",IF(AND($G46="EXTERNO",$I46="EXTERNO"),"ERRO: origem e destino externos",IF(AND($G46&lt;&gt;"EXTERNO",COUNTIFS(ENT_ID,$H46,ENT_TIPO,$G46)=0),"ERRO: origem inexistente",IF(AND($I46&lt;&gt;"EXTERNO",COUNTIFS(ENT_ID,$J46,ENT_TIPO,$I46)=0),"ERRO: destino inexistente",IF(AND($K46&lt;&gt;"",COUNTIF(CAT_ID,$K46)=0),"ERRO: categoria inexistente",IF(AND($L46&lt;&gt;"",COUNTIF(SUB_ID,$L46)=0),"ERRO: subcategoria inexistente",IF(AND($L46&lt;&gt;"",$K46&lt;&gt;"",IFERROR(INDEX(SUB_CATID,MATCH($L46,SUB_ID,0)),"")&lt;&gt;$K46),"ERRO: subcategoria nao pertence a categoria",IF(AND($O46&lt;&gt;"",COUNTIF(P_ID,$O46)=0),"ERRO: parcela inexistente",IF(AND($N46&lt;&gt;"",COUNTIF(CM_ID,$N46)=0),"ERRO: compromisso inexistente","OK")))))))))))))</f>
        <v/>
      </c>
      <c r="AK46" s="35" t="str">
        <f aca="false">IF($B46="","",IF(AND($N46="",$O46="",$P46="",$Q46="",$R46=""),"","VINCULADO: "&amp;TRIM(IF($N46&lt;&gt;"",$N46&amp;" ","")&amp;IF($O46&lt;&gt;"",$O46&amp;" ","")&amp;IF($P46&lt;&gt;"",$P46&amp;" ","")&amp;IF($Q46&lt;&gt;"",$Q46&amp;" ","")&amp;IF($R46&lt;&gt;"",$R46,""))))</f>
        <v/>
      </c>
    </row>
    <row r="47" customFormat="false" ht="15" hidden="false" customHeight="false" outlineLevel="0" collapsed="false">
      <c r="A47" s="30" t="str">
        <f aca="false">IF($B47="","","LAN-"&amp;TEXT(ROW()-4,"000000"))</f>
        <v/>
      </c>
      <c r="B47" s="31"/>
      <c r="C47" s="32"/>
      <c r="D47" s="32"/>
      <c r="E47" s="32"/>
      <c r="F47" s="33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4" t="str">
        <f aca="false">IF($B47="","",YEAR($B47))</f>
        <v/>
      </c>
      <c r="U47" s="34" t="str">
        <f aca="false">IF($B47="","",MONTH($B47))</f>
        <v/>
      </c>
      <c r="V47" s="34" t="str">
        <f aca="false">IF($B47="","",YEAR($B47)*100+MONTH($B47))</f>
        <v/>
      </c>
      <c r="W47" s="35" t="str">
        <f aca="false">IF($D47="","",IFERROR(INDEX(MAP_CLASS,MATCH($D47,MAP_TIPO,0)),"TIPO INVALIDO"))</f>
        <v/>
      </c>
      <c r="X47" s="35" t="str">
        <f aca="false">IF($K47="","",IFERROR(INDEX(CAT_NOME,MATCH($K47,CAT_ID,0)),"?"))</f>
        <v/>
      </c>
      <c r="Y47" s="35" t="str">
        <f aca="false">IF($L47="","",IFERROR(INDEX(SUB_NOME,MATCH($L47,SUB_ID,0)),"?"))</f>
        <v/>
      </c>
      <c r="Z47" s="35" t="str">
        <f aca="false">IF($G47="","",IF($G47="EXTERNO","(Externo)",IFERROR(INDEX(ENT_NOME,MATCH($H47,ENT_ID,0)),"?")))</f>
        <v/>
      </c>
      <c r="AA47" s="35" t="str">
        <f aca="false">IF($I47="","",IF($I47="EXTERNO","(Externo)",IFERROR(INDEX(ENT_NOME,MATCH($J47,ENT_ID,0)),"?")))</f>
        <v/>
      </c>
      <c r="AB47" s="36" t="n">
        <f aca="false">IF($B47="",0,IF(AND($I47="CONTA",$G47&lt;&gt;"CONTA"),$F47,0))</f>
        <v>0</v>
      </c>
      <c r="AC47" s="36" t="n">
        <f aca="false">IF($B47="",0,IF(AND($G47="CONTA",$I47&lt;&gt;"CONTA"),$F47,0))</f>
        <v>0</v>
      </c>
      <c r="AD47" s="36" t="n">
        <f aca="false">IF($W47="RECEITA",$F47,0)</f>
        <v>0</v>
      </c>
      <c r="AE47" s="36" t="n">
        <f aca="false">IF($W47="DESPESA",$F47,0)</f>
        <v>0</v>
      </c>
      <c r="AF47" s="36" t="n">
        <f aca="false">IF($W47="RECEITA_FINANCEIRA",$F47,0)</f>
        <v>0</v>
      </c>
      <c r="AG47" s="36" t="n">
        <f aca="false">IF($B47="",0,IF($I47="CONTA",$F47,0)-IF($G47="CONTA",$F47,0))</f>
        <v>0</v>
      </c>
      <c r="AH47" s="36" t="n">
        <f aca="false">IF($B47="",0,IF($G47="CARTAO",$F47,0)-IF($I47="CARTAO",$F47,0))</f>
        <v>0</v>
      </c>
      <c r="AI47" s="36" t="n">
        <f aca="false">IF($B47="",0,IF($I47="INVESTIMENTO",$F47,0)-IF($G47="INVESTIMENTO",$F47,0))</f>
        <v>0</v>
      </c>
      <c r="AJ47" s="35" t="str">
        <f aca="false">IF($B47="","",IF(NOT(ISNUMBER($F47)),"ERRO: valor nao numerico",IF($F47&lt;=0,"ERRO: valor deve ser maior que zero",IF(COUNTIF(MAP_TIPO,$D47)=0,"ERRO: tipo de operacao nao cadastrado",IF(COUNTIF(LST_STATUS,$E47)=0,"ERRO: status invalido",IF(AND($G47="EXTERNO",$I47="EXTERNO"),"ERRO: origem e destino externos",IF(AND($G47&lt;&gt;"EXTERNO",COUNTIFS(ENT_ID,$H47,ENT_TIPO,$G47)=0),"ERRO: origem inexistente",IF(AND($I47&lt;&gt;"EXTERNO",COUNTIFS(ENT_ID,$J47,ENT_TIPO,$I47)=0),"ERRO: destino inexistente",IF(AND($K47&lt;&gt;"",COUNTIF(CAT_ID,$K47)=0),"ERRO: categoria inexistente",IF(AND($L47&lt;&gt;"",COUNTIF(SUB_ID,$L47)=0),"ERRO: subcategoria inexistente",IF(AND($L47&lt;&gt;"",$K47&lt;&gt;"",IFERROR(INDEX(SUB_CATID,MATCH($L47,SUB_ID,0)),"")&lt;&gt;$K47),"ERRO: subcategoria nao pertence a categoria",IF(AND($O47&lt;&gt;"",COUNTIF(P_ID,$O47)=0),"ERRO: parcela inexistente",IF(AND($N47&lt;&gt;"",COUNTIF(CM_ID,$N47)=0),"ERRO: compromisso inexistente","OK")))))))))))))</f>
        <v/>
      </c>
      <c r="AK47" s="35" t="str">
        <f aca="false">IF($B47="","",IF(AND($N47="",$O47="",$P47="",$Q47="",$R47=""),"","VINCULADO: "&amp;TRIM(IF($N47&lt;&gt;"",$N47&amp;" ","")&amp;IF($O47&lt;&gt;"",$O47&amp;" ","")&amp;IF($P47&lt;&gt;"",$P47&amp;" ","")&amp;IF($Q47&lt;&gt;"",$Q47&amp;" ","")&amp;IF($R47&lt;&gt;"",$R47,""))))</f>
        <v/>
      </c>
    </row>
    <row r="48" customFormat="false" ht="15" hidden="false" customHeight="false" outlineLevel="0" collapsed="false">
      <c r="A48" s="30" t="str">
        <f aca="false">IF($B48="","","LAN-"&amp;TEXT(ROW()-4,"000000"))</f>
        <v/>
      </c>
      <c r="B48" s="31"/>
      <c r="C48" s="32"/>
      <c r="D48" s="32"/>
      <c r="E48" s="32"/>
      <c r="F48" s="33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4" t="str">
        <f aca="false">IF($B48="","",YEAR($B48))</f>
        <v/>
      </c>
      <c r="U48" s="34" t="str">
        <f aca="false">IF($B48="","",MONTH($B48))</f>
        <v/>
      </c>
      <c r="V48" s="34" t="str">
        <f aca="false">IF($B48="","",YEAR($B48)*100+MONTH($B48))</f>
        <v/>
      </c>
      <c r="W48" s="35" t="str">
        <f aca="false">IF($D48="","",IFERROR(INDEX(MAP_CLASS,MATCH($D48,MAP_TIPO,0)),"TIPO INVALIDO"))</f>
        <v/>
      </c>
      <c r="X48" s="35" t="str">
        <f aca="false">IF($K48="","",IFERROR(INDEX(CAT_NOME,MATCH($K48,CAT_ID,0)),"?"))</f>
        <v/>
      </c>
      <c r="Y48" s="35" t="str">
        <f aca="false">IF($L48="","",IFERROR(INDEX(SUB_NOME,MATCH($L48,SUB_ID,0)),"?"))</f>
        <v/>
      </c>
      <c r="Z48" s="35" t="str">
        <f aca="false">IF($G48="","",IF($G48="EXTERNO","(Externo)",IFERROR(INDEX(ENT_NOME,MATCH($H48,ENT_ID,0)),"?")))</f>
        <v/>
      </c>
      <c r="AA48" s="35" t="str">
        <f aca="false">IF($I48="","",IF($I48="EXTERNO","(Externo)",IFERROR(INDEX(ENT_NOME,MATCH($J48,ENT_ID,0)),"?")))</f>
        <v/>
      </c>
      <c r="AB48" s="36" t="n">
        <f aca="false">IF($B48="",0,IF(AND($I48="CONTA",$G48&lt;&gt;"CONTA"),$F48,0))</f>
        <v>0</v>
      </c>
      <c r="AC48" s="36" t="n">
        <f aca="false">IF($B48="",0,IF(AND($G48="CONTA",$I48&lt;&gt;"CONTA"),$F48,0))</f>
        <v>0</v>
      </c>
      <c r="AD48" s="36" t="n">
        <f aca="false">IF($W48="RECEITA",$F48,0)</f>
        <v>0</v>
      </c>
      <c r="AE48" s="36" t="n">
        <f aca="false">IF($W48="DESPESA",$F48,0)</f>
        <v>0</v>
      </c>
      <c r="AF48" s="36" t="n">
        <f aca="false">IF($W48="RECEITA_FINANCEIRA",$F48,0)</f>
        <v>0</v>
      </c>
      <c r="AG48" s="36" t="n">
        <f aca="false">IF($B48="",0,IF($I48="CONTA",$F48,0)-IF($G48="CONTA",$F48,0))</f>
        <v>0</v>
      </c>
      <c r="AH48" s="36" t="n">
        <f aca="false">IF($B48="",0,IF($G48="CARTAO",$F48,0)-IF($I48="CARTAO",$F48,0))</f>
        <v>0</v>
      </c>
      <c r="AI48" s="36" t="n">
        <f aca="false">IF($B48="",0,IF($I48="INVESTIMENTO",$F48,0)-IF($G48="INVESTIMENTO",$F48,0))</f>
        <v>0</v>
      </c>
      <c r="AJ48" s="35" t="str">
        <f aca="false">IF($B48="","",IF(NOT(ISNUMBER($F48)),"ERRO: valor nao numerico",IF($F48&lt;=0,"ERRO: valor deve ser maior que zero",IF(COUNTIF(MAP_TIPO,$D48)=0,"ERRO: tipo de operacao nao cadastrado",IF(COUNTIF(LST_STATUS,$E48)=0,"ERRO: status invalido",IF(AND($G48="EXTERNO",$I48="EXTERNO"),"ERRO: origem e destino externos",IF(AND($G48&lt;&gt;"EXTERNO",COUNTIFS(ENT_ID,$H48,ENT_TIPO,$G48)=0),"ERRO: origem inexistente",IF(AND($I48&lt;&gt;"EXTERNO",COUNTIFS(ENT_ID,$J48,ENT_TIPO,$I48)=0),"ERRO: destino inexistente",IF(AND($K48&lt;&gt;"",COUNTIF(CAT_ID,$K48)=0),"ERRO: categoria inexistente",IF(AND($L48&lt;&gt;"",COUNTIF(SUB_ID,$L48)=0),"ERRO: subcategoria inexistente",IF(AND($L48&lt;&gt;"",$K48&lt;&gt;"",IFERROR(INDEX(SUB_CATID,MATCH($L48,SUB_ID,0)),"")&lt;&gt;$K48),"ERRO: subcategoria nao pertence a categoria",IF(AND($O48&lt;&gt;"",COUNTIF(P_ID,$O48)=0),"ERRO: parcela inexistente",IF(AND($N48&lt;&gt;"",COUNTIF(CM_ID,$N48)=0),"ERRO: compromisso inexistente","OK")))))))))))))</f>
        <v/>
      </c>
      <c r="AK48" s="35" t="str">
        <f aca="false">IF($B48="","",IF(AND($N48="",$O48="",$P48="",$Q48="",$R48=""),"","VINCULADO: "&amp;TRIM(IF($N48&lt;&gt;"",$N48&amp;" ","")&amp;IF($O48&lt;&gt;"",$O48&amp;" ","")&amp;IF($P48&lt;&gt;"",$P48&amp;" ","")&amp;IF($Q48&lt;&gt;"",$Q48&amp;" ","")&amp;IF($R48&lt;&gt;"",$R48,""))))</f>
        <v/>
      </c>
    </row>
    <row r="49" customFormat="false" ht="15" hidden="false" customHeight="false" outlineLevel="0" collapsed="false">
      <c r="A49" s="30" t="str">
        <f aca="false">IF($B49="","","LAN-"&amp;TEXT(ROW()-4,"000000"))</f>
        <v/>
      </c>
      <c r="B49" s="31"/>
      <c r="C49" s="32"/>
      <c r="D49" s="32"/>
      <c r="E49" s="32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 t="str">
        <f aca="false">IF($B49="","",YEAR($B49))</f>
        <v/>
      </c>
      <c r="U49" s="34" t="str">
        <f aca="false">IF($B49="","",MONTH($B49))</f>
        <v/>
      </c>
      <c r="V49" s="34" t="str">
        <f aca="false">IF($B49="","",YEAR($B49)*100+MONTH($B49))</f>
        <v/>
      </c>
      <c r="W49" s="35" t="str">
        <f aca="false">IF($D49="","",IFERROR(INDEX(MAP_CLASS,MATCH($D49,MAP_TIPO,0)),"TIPO INVALIDO"))</f>
        <v/>
      </c>
      <c r="X49" s="35" t="str">
        <f aca="false">IF($K49="","",IFERROR(INDEX(CAT_NOME,MATCH($K49,CAT_ID,0)),"?"))</f>
        <v/>
      </c>
      <c r="Y49" s="35" t="str">
        <f aca="false">IF($L49="","",IFERROR(INDEX(SUB_NOME,MATCH($L49,SUB_ID,0)),"?"))</f>
        <v/>
      </c>
      <c r="Z49" s="35" t="str">
        <f aca="false">IF($G49="","",IF($G49="EXTERNO","(Externo)",IFERROR(INDEX(ENT_NOME,MATCH($H49,ENT_ID,0)),"?")))</f>
        <v/>
      </c>
      <c r="AA49" s="35" t="str">
        <f aca="false">IF($I49="","",IF($I49="EXTERNO","(Externo)",IFERROR(INDEX(ENT_NOME,MATCH($J49,ENT_ID,0)),"?")))</f>
        <v/>
      </c>
      <c r="AB49" s="36" t="n">
        <f aca="false">IF($B49="",0,IF(AND($I49="CONTA",$G49&lt;&gt;"CONTA"),$F49,0))</f>
        <v>0</v>
      </c>
      <c r="AC49" s="36" t="n">
        <f aca="false">IF($B49="",0,IF(AND($G49="CONTA",$I49&lt;&gt;"CONTA"),$F49,0))</f>
        <v>0</v>
      </c>
      <c r="AD49" s="36" t="n">
        <f aca="false">IF($W49="RECEITA",$F49,0)</f>
        <v>0</v>
      </c>
      <c r="AE49" s="36" t="n">
        <f aca="false">IF($W49="DESPESA",$F49,0)</f>
        <v>0</v>
      </c>
      <c r="AF49" s="36" t="n">
        <f aca="false">IF($W49="RECEITA_FINANCEIRA",$F49,0)</f>
        <v>0</v>
      </c>
      <c r="AG49" s="36" t="n">
        <f aca="false">IF($B49="",0,IF($I49="CONTA",$F49,0)-IF($G49="CONTA",$F49,0))</f>
        <v>0</v>
      </c>
      <c r="AH49" s="36" t="n">
        <f aca="false">IF($B49="",0,IF($G49="CARTAO",$F49,0)-IF($I49="CARTAO",$F49,0))</f>
        <v>0</v>
      </c>
      <c r="AI49" s="36" t="n">
        <f aca="false">IF($B49="",0,IF($I49="INVESTIMENTO",$F49,0)-IF($G49="INVESTIMENTO",$F49,0))</f>
        <v>0</v>
      </c>
      <c r="AJ49" s="35" t="str">
        <f aca="false">IF($B49="","",IF(NOT(ISNUMBER($F49)),"ERRO: valor nao numerico",IF($F49&lt;=0,"ERRO: valor deve ser maior que zero",IF(COUNTIF(MAP_TIPO,$D49)=0,"ERRO: tipo de operacao nao cadastrado",IF(COUNTIF(LST_STATUS,$E49)=0,"ERRO: status invalido",IF(AND($G49="EXTERNO",$I49="EXTERNO"),"ERRO: origem e destino externos",IF(AND($G49&lt;&gt;"EXTERNO",COUNTIFS(ENT_ID,$H49,ENT_TIPO,$G49)=0),"ERRO: origem inexistente",IF(AND($I49&lt;&gt;"EXTERNO",COUNTIFS(ENT_ID,$J49,ENT_TIPO,$I49)=0),"ERRO: destino inexistente",IF(AND($K49&lt;&gt;"",COUNTIF(CAT_ID,$K49)=0),"ERRO: categoria inexistente",IF(AND($L49&lt;&gt;"",COUNTIF(SUB_ID,$L49)=0),"ERRO: subcategoria inexistente",IF(AND($L49&lt;&gt;"",$K49&lt;&gt;"",IFERROR(INDEX(SUB_CATID,MATCH($L49,SUB_ID,0)),"")&lt;&gt;$K49),"ERRO: subcategoria nao pertence a categoria",IF(AND($O49&lt;&gt;"",COUNTIF(P_ID,$O49)=0),"ERRO: parcela inexistente",IF(AND($N49&lt;&gt;"",COUNTIF(CM_ID,$N49)=0),"ERRO: compromisso inexistente","OK")))))))))))))</f>
        <v/>
      </c>
      <c r="AK49" s="35" t="str">
        <f aca="false">IF($B49="","",IF(AND($N49="",$O49="",$P49="",$Q49="",$R49=""),"","VINCULADO: "&amp;TRIM(IF($N49&lt;&gt;"",$N49&amp;" ","")&amp;IF($O49&lt;&gt;"",$O49&amp;" ","")&amp;IF($P49&lt;&gt;"",$P49&amp;" ","")&amp;IF($Q49&lt;&gt;"",$Q49&amp;" ","")&amp;IF($R49&lt;&gt;"",$R49,""))))</f>
        <v/>
      </c>
    </row>
    <row r="50" customFormat="false" ht="15" hidden="false" customHeight="false" outlineLevel="0" collapsed="false">
      <c r="A50" s="30" t="str">
        <f aca="false">IF($B50="","","LAN-"&amp;TEXT(ROW()-4,"000000"))</f>
        <v/>
      </c>
      <c r="B50" s="31"/>
      <c r="C50" s="32"/>
      <c r="D50" s="32"/>
      <c r="E50" s="32"/>
      <c r="F50" s="3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4" t="str">
        <f aca="false">IF($B50="","",YEAR($B50))</f>
        <v/>
      </c>
      <c r="U50" s="34" t="str">
        <f aca="false">IF($B50="","",MONTH($B50))</f>
        <v/>
      </c>
      <c r="V50" s="34" t="str">
        <f aca="false">IF($B50="","",YEAR($B50)*100+MONTH($B50))</f>
        <v/>
      </c>
      <c r="W50" s="35" t="str">
        <f aca="false">IF($D50="","",IFERROR(INDEX(MAP_CLASS,MATCH($D50,MAP_TIPO,0)),"TIPO INVALIDO"))</f>
        <v/>
      </c>
      <c r="X50" s="35" t="str">
        <f aca="false">IF($K50="","",IFERROR(INDEX(CAT_NOME,MATCH($K50,CAT_ID,0)),"?"))</f>
        <v/>
      </c>
      <c r="Y50" s="35" t="str">
        <f aca="false">IF($L50="","",IFERROR(INDEX(SUB_NOME,MATCH($L50,SUB_ID,0)),"?"))</f>
        <v/>
      </c>
      <c r="Z50" s="35" t="str">
        <f aca="false">IF($G50="","",IF($G50="EXTERNO","(Externo)",IFERROR(INDEX(ENT_NOME,MATCH($H50,ENT_ID,0)),"?")))</f>
        <v/>
      </c>
      <c r="AA50" s="35" t="str">
        <f aca="false">IF($I50="","",IF($I50="EXTERNO","(Externo)",IFERROR(INDEX(ENT_NOME,MATCH($J50,ENT_ID,0)),"?")))</f>
        <v/>
      </c>
      <c r="AB50" s="36" t="n">
        <f aca="false">IF($B50="",0,IF(AND($I50="CONTA",$G50&lt;&gt;"CONTA"),$F50,0))</f>
        <v>0</v>
      </c>
      <c r="AC50" s="36" t="n">
        <f aca="false">IF($B50="",0,IF(AND($G50="CONTA",$I50&lt;&gt;"CONTA"),$F50,0))</f>
        <v>0</v>
      </c>
      <c r="AD50" s="36" t="n">
        <f aca="false">IF($W50="RECEITA",$F50,0)</f>
        <v>0</v>
      </c>
      <c r="AE50" s="36" t="n">
        <f aca="false">IF($W50="DESPESA",$F50,0)</f>
        <v>0</v>
      </c>
      <c r="AF50" s="36" t="n">
        <f aca="false">IF($W50="RECEITA_FINANCEIRA",$F50,0)</f>
        <v>0</v>
      </c>
      <c r="AG50" s="36" t="n">
        <f aca="false">IF($B50="",0,IF($I50="CONTA",$F50,0)-IF($G50="CONTA",$F50,0))</f>
        <v>0</v>
      </c>
      <c r="AH50" s="36" t="n">
        <f aca="false">IF($B50="",0,IF($G50="CARTAO",$F50,0)-IF($I50="CARTAO",$F50,0))</f>
        <v>0</v>
      </c>
      <c r="AI50" s="36" t="n">
        <f aca="false">IF($B50="",0,IF($I50="INVESTIMENTO",$F50,0)-IF($G50="INVESTIMENTO",$F50,0))</f>
        <v>0</v>
      </c>
      <c r="AJ50" s="35" t="str">
        <f aca="false">IF($B50="","",IF(NOT(ISNUMBER($F50)),"ERRO: valor nao numerico",IF($F50&lt;=0,"ERRO: valor deve ser maior que zero",IF(COUNTIF(MAP_TIPO,$D50)=0,"ERRO: tipo de operacao nao cadastrado",IF(COUNTIF(LST_STATUS,$E50)=0,"ERRO: status invalido",IF(AND($G50="EXTERNO",$I50="EXTERNO"),"ERRO: origem e destino externos",IF(AND($G50&lt;&gt;"EXTERNO",COUNTIFS(ENT_ID,$H50,ENT_TIPO,$G50)=0),"ERRO: origem inexistente",IF(AND($I50&lt;&gt;"EXTERNO",COUNTIFS(ENT_ID,$J50,ENT_TIPO,$I50)=0),"ERRO: destino inexistente",IF(AND($K50&lt;&gt;"",COUNTIF(CAT_ID,$K50)=0),"ERRO: categoria inexistente",IF(AND($L50&lt;&gt;"",COUNTIF(SUB_ID,$L50)=0),"ERRO: subcategoria inexistente",IF(AND($L50&lt;&gt;"",$K50&lt;&gt;"",IFERROR(INDEX(SUB_CATID,MATCH($L50,SUB_ID,0)),"")&lt;&gt;$K50),"ERRO: subcategoria nao pertence a categoria",IF(AND($O50&lt;&gt;"",COUNTIF(P_ID,$O50)=0),"ERRO: parcela inexistente",IF(AND($N50&lt;&gt;"",COUNTIF(CM_ID,$N50)=0),"ERRO: compromisso inexistente","OK")))))))))))))</f>
        <v/>
      </c>
      <c r="AK50" s="35" t="str">
        <f aca="false">IF($B50="","",IF(AND($N50="",$O50="",$P50="",$Q50="",$R50=""),"","VINCULADO: "&amp;TRIM(IF($N50&lt;&gt;"",$N50&amp;" ","")&amp;IF($O50&lt;&gt;"",$O50&amp;" ","")&amp;IF($P50&lt;&gt;"",$P50&amp;" ","")&amp;IF($Q50&lt;&gt;"",$Q50&amp;" ","")&amp;IF($R50&lt;&gt;"",$R50,""))))</f>
        <v/>
      </c>
    </row>
    <row r="51" customFormat="false" ht="15" hidden="false" customHeight="false" outlineLevel="0" collapsed="false">
      <c r="A51" s="30" t="str">
        <f aca="false">IF($B51="","","LAN-"&amp;TEXT(ROW()-4,"000000"))</f>
        <v/>
      </c>
      <c r="B51" s="31"/>
      <c r="C51" s="32"/>
      <c r="D51" s="32"/>
      <c r="E51" s="32"/>
      <c r="F51" s="3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 t="str">
        <f aca="false">IF($B51="","",YEAR($B51))</f>
        <v/>
      </c>
      <c r="U51" s="34" t="str">
        <f aca="false">IF($B51="","",MONTH($B51))</f>
        <v/>
      </c>
      <c r="V51" s="34" t="str">
        <f aca="false">IF($B51="","",YEAR($B51)*100+MONTH($B51))</f>
        <v/>
      </c>
      <c r="W51" s="35" t="str">
        <f aca="false">IF($D51="","",IFERROR(INDEX(MAP_CLASS,MATCH($D51,MAP_TIPO,0)),"TIPO INVALIDO"))</f>
        <v/>
      </c>
      <c r="X51" s="35" t="str">
        <f aca="false">IF($K51="","",IFERROR(INDEX(CAT_NOME,MATCH($K51,CAT_ID,0)),"?"))</f>
        <v/>
      </c>
      <c r="Y51" s="35" t="str">
        <f aca="false">IF($L51="","",IFERROR(INDEX(SUB_NOME,MATCH($L51,SUB_ID,0)),"?"))</f>
        <v/>
      </c>
      <c r="Z51" s="35" t="str">
        <f aca="false">IF($G51="","",IF($G51="EXTERNO","(Externo)",IFERROR(INDEX(ENT_NOME,MATCH($H51,ENT_ID,0)),"?")))</f>
        <v/>
      </c>
      <c r="AA51" s="35" t="str">
        <f aca="false">IF($I51="","",IF($I51="EXTERNO","(Externo)",IFERROR(INDEX(ENT_NOME,MATCH($J51,ENT_ID,0)),"?")))</f>
        <v/>
      </c>
      <c r="AB51" s="36" t="n">
        <f aca="false">IF($B51="",0,IF(AND($I51="CONTA",$G51&lt;&gt;"CONTA"),$F51,0))</f>
        <v>0</v>
      </c>
      <c r="AC51" s="36" t="n">
        <f aca="false">IF($B51="",0,IF(AND($G51="CONTA",$I51&lt;&gt;"CONTA"),$F51,0))</f>
        <v>0</v>
      </c>
      <c r="AD51" s="36" t="n">
        <f aca="false">IF($W51="RECEITA",$F51,0)</f>
        <v>0</v>
      </c>
      <c r="AE51" s="36" t="n">
        <f aca="false">IF($W51="DESPESA",$F51,0)</f>
        <v>0</v>
      </c>
      <c r="AF51" s="36" t="n">
        <f aca="false">IF($W51="RECEITA_FINANCEIRA",$F51,0)</f>
        <v>0</v>
      </c>
      <c r="AG51" s="36" t="n">
        <f aca="false">IF($B51="",0,IF($I51="CONTA",$F51,0)-IF($G51="CONTA",$F51,0))</f>
        <v>0</v>
      </c>
      <c r="AH51" s="36" t="n">
        <f aca="false">IF($B51="",0,IF($G51="CARTAO",$F51,0)-IF($I51="CARTAO",$F51,0))</f>
        <v>0</v>
      </c>
      <c r="AI51" s="36" t="n">
        <f aca="false">IF($B51="",0,IF($I51="INVESTIMENTO",$F51,0)-IF($G51="INVESTIMENTO",$F51,0))</f>
        <v>0</v>
      </c>
      <c r="AJ51" s="35" t="str">
        <f aca="false">IF($B51="","",IF(NOT(ISNUMBER($F51)),"ERRO: valor nao numerico",IF($F51&lt;=0,"ERRO: valor deve ser maior que zero",IF(COUNTIF(MAP_TIPO,$D51)=0,"ERRO: tipo de operacao nao cadastrado",IF(COUNTIF(LST_STATUS,$E51)=0,"ERRO: status invalido",IF(AND($G51="EXTERNO",$I51="EXTERNO"),"ERRO: origem e destino externos",IF(AND($G51&lt;&gt;"EXTERNO",COUNTIFS(ENT_ID,$H51,ENT_TIPO,$G51)=0),"ERRO: origem inexistente",IF(AND($I51&lt;&gt;"EXTERNO",COUNTIFS(ENT_ID,$J51,ENT_TIPO,$I51)=0),"ERRO: destino inexistente",IF(AND($K51&lt;&gt;"",COUNTIF(CAT_ID,$K51)=0),"ERRO: categoria inexistente",IF(AND($L51&lt;&gt;"",COUNTIF(SUB_ID,$L51)=0),"ERRO: subcategoria inexistente",IF(AND($L51&lt;&gt;"",$K51&lt;&gt;"",IFERROR(INDEX(SUB_CATID,MATCH($L51,SUB_ID,0)),"")&lt;&gt;$K51),"ERRO: subcategoria nao pertence a categoria",IF(AND($O51&lt;&gt;"",COUNTIF(P_ID,$O51)=0),"ERRO: parcela inexistente",IF(AND($N51&lt;&gt;"",COUNTIF(CM_ID,$N51)=0),"ERRO: compromisso inexistente","OK")))))))))))))</f>
        <v/>
      </c>
      <c r="AK51" s="35" t="str">
        <f aca="false">IF($B51="","",IF(AND($N51="",$O51="",$P51="",$Q51="",$R51=""),"","VINCULADO: "&amp;TRIM(IF($N51&lt;&gt;"",$N51&amp;" ","")&amp;IF($O51&lt;&gt;"",$O51&amp;" ","")&amp;IF($P51&lt;&gt;"",$P51&amp;" ","")&amp;IF($Q51&lt;&gt;"",$Q51&amp;" ","")&amp;IF($R51&lt;&gt;"",$R51,""))))</f>
        <v/>
      </c>
    </row>
    <row r="52" customFormat="false" ht="15" hidden="false" customHeight="false" outlineLevel="0" collapsed="false">
      <c r="A52" s="30" t="str">
        <f aca="false">IF($B52="","","LAN-"&amp;TEXT(ROW()-4,"000000"))</f>
        <v/>
      </c>
      <c r="B52" s="31"/>
      <c r="C52" s="32"/>
      <c r="D52" s="32"/>
      <c r="E52" s="32"/>
      <c r="F52" s="3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4" t="str">
        <f aca="false">IF($B52="","",YEAR($B52))</f>
        <v/>
      </c>
      <c r="U52" s="34" t="str">
        <f aca="false">IF($B52="","",MONTH($B52))</f>
        <v/>
      </c>
      <c r="V52" s="34" t="str">
        <f aca="false">IF($B52="","",YEAR($B52)*100+MONTH($B52))</f>
        <v/>
      </c>
      <c r="W52" s="35" t="str">
        <f aca="false">IF($D52="","",IFERROR(INDEX(MAP_CLASS,MATCH($D52,MAP_TIPO,0)),"TIPO INVALIDO"))</f>
        <v/>
      </c>
      <c r="X52" s="35" t="str">
        <f aca="false">IF($K52="","",IFERROR(INDEX(CAT_NOME,MATCH($K52,CAT_ID,0)),"?"))</f>
        <v/>
      </c>
      <c r="Y52" s="35" t="str">
        <f aca="false">IF($L52="","",IFERROR(INDEX(SUB_NOME,MATCH($L52,SUB_ID,0)),"?"))</f>
        <v/>
      </c>
      <c r="Z52" s="35" t="str">
        <f aca="false">IF($G52="","",IF($G52="EXTERNO","(Externo)",IFERROR(INDEX(ENT_NOME,MATCH($H52,ENT_ID,0)),"?")))</f>
        <v/>
      </c>
      <c r="AA52" s="35" t="str">
        <f aca="false">IF($I52="","",IF($I52="EXTERNO","(Externo)",IFERROR(INDEX(ENT_NOME,MATCH($J52,ENT_ID,0)),"?")))</f>
        <v/>
      </c>
      <c r="AB52" s="36" t="n">
        <f aca="false">IF($B52="",0,IF(AND($I52="CONTA",$G52&lt;&gt;"CONTA"),$F52,0))</f>
        <v>0</v>
      </c>
      <c r="AC52" s="36" t="n">
        <f aca="false">IF($B52="",0,IF(AND($G52="CONTA",$I52&lt;&gt;"CONTA"),$F52,0))</f>
        <v>0</v>
      </c>
      <c r="AD52" s="36" t="n">
        <f aca="false">IF($W52="RECEITA",$F52,0)</f>
        <v>0</v>
      </c>
      <c r="AE52" s="36" t="n">
        <f aca="false">IF($W52="DESPESA",$F52,0)</f>
        <v>0</v>
      </c>
      <c r="AF52" s="36" t="n">
        <f aca="false">IF($W52="RECEITA_FINANCEIRA",$F52,0)</f>
        <v>0</v>
      </c>
      <c r="AG52" s="36" t="n">
        <f aca="false">IF($B52="",0,IF($I52="CONTA",$F52,0)-IF($G52="CONTA",$F52,0))</f>
        <v>0</v>
      </c>
      <c r="AH52" s="36" t="n">
        <f aca="false">IF($B52="",0,IF($G52="CARTAO",$F52,0)-IF($I52="CARTAO",$F52,0))</f>
        <v>0</v>
      </c>
      <c r="AI52" s="36" t="n">
        <f aca="false">IF($B52="",0,IF($I52="INVESTIMENTO",$F52,0)-IF($G52="INVESTIMENTO",$F52,0))</f>
        <v>0</v>
      </c>
      <c r="AJ52" s="35" t="str">
        <f aca="false">IF($B52="","",IF(NOT(ISNUMBER($F52)),"ERRO: valor nao numerico",IF($F52&lt;=0,"ERRO: valor deve ser maior que zero",IF(COUNTIF(MAP_TIPO,$D52)=0,"ERRO: tipo de operacao nao cadastrado",IF(COUNTIF(LST_STATUS,$E52)=0,"ERRO: status invalido",IF(AND($G52="EXTERNO",$I52="EXTERNO"),"ERRO: origem e destino externos",IF(AND($G52&lt;&gt;"EXTERNO",COUNTIFS(ENT_ID,$H52,ENT_TIPO,$G52)=0),"ERRO: origem inexistente",IF(AND($I52&lt;&gt;"EXTERNO",COUNTIFS(ENT_ID,$J52,ENT_TIPO,$I52)=0),"ERRO: destino inexistente",IF(AND($K52&lt;&gt;"",COUNTIF(CAT_ID,$K52)=0),"ERRO: categoria inexistente",IF(AND($L52&lt;&gt;"",COUNTIF(SUB_ID,$L52)=0),"ERRO: subcategoria inexistente",IF(AND($L52&lt;&gt;"",$K52&lt;&gt;"",IFERROR(INDEX(SUB_CATID,MATCH($L52,SUB_ID,0)),"")&lt;&gt;$K52),"ERRO: subcategoria nao pertence a categoria",IF(AND($O52&lt;&gt;"",COUNTIF(P_ID,$O52)=0),"ERRO: parcela inexistente",IF(AND($N52&lt;&gt;"",COUNTIF(CM_ID,$N52)=0),"ERRO: compromisso inexistente","OK")))))))))))))</f>
        <v/>
      </c>
      <c r="AK52" s="35" t="str">
        <f aca="false">IF($B52="","",IF(AND($N52="",$O52="",$P52="",$Q52="",$R52=""),"","VINCULADO: "&amp;TRIM(IF($N52&lt;&gt;"",$N52&amp;" ","")&amp;IF($O52&lt;&gt;"",$O52&amp;" ","")&amp;IF($P52&lt;&gt;"",$P52&amp;" ","")&amp;IF($Q52&lt;&gt;"",$Q52&amp;" ","")&amp;IF($R52&lt;&gt;"",$R52,""))))</f>
        <v/>
      </c>
    </row>
    <row r="53" customFormat="false" ht="15" hidden="false" customHeight="false" outlineLevel="0" collapsed="false">
      <c r="A53" s="30" t="str">
        <f aca="false">IF($B53="","","LAN-"&amp;TEXT(ROW()-4,"000000"))</f>
        <v/>
      </c>
      <c r="B53" s="31"/>
      <c r="C53" s="32"/>
      <c r="D53" s="32"/>
      <c r="E53" s="32"/>
      <c r="F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4" t="str">
        <f aca="false">IF($B53="","",YEAR($B53))</f>
        <v/>
      </c>
      <c r="U53" s="34" t="str">
        <f aca="false">IF($B53="","",MONTH($B53))</f>
        <v/>
      </c>
      <c r="V53" s="34" t="str">
        <f aca="false">IF($B53="","",YEAR($B53)*100+MONTH($B53))</f>
        <v/>
      </c>
      <c r="W53" s="35" t="str">
        <f aca="false">IF($D53="","",IFERROR(INDEX(MAP_CLASS,MATCH($D53,MAP_TIPO,0)),"TIPO INVALIDO"))</f>
        <v/>
      </c>
      <c r="X53" s="35" t="str">
        <f aca="false">IF($K53="","",IFERROR(INDEX(CAT_NOME,MATCH($K53,CAT_ID,0)),"?"))</f>
        <v/>
      </c>
      <c r="Y53" s="35" t="str">
        <f aca="false">IF($L53="","",IFERROR(INDEX(SUB_NOME,MATCH($L53,SUB_ID,0)),"?"))</f>
        <v/>
      </c>
      <c r="Z53" s="35" t="str">
        <f aca="false">IF($G53="","",IF($G53="EXTERNO","(Externo)",IFERROR(INDEX(ENT_NOME,MATCH($H53,ENT_ID,0)),"?")))</f>
        <v/>
      </c>
      <c r="AA53" s="35" t="str">
        <f aca="false">IF($I53="","",IF($I53="EXTERNO","(Externo)",IFERROR(INDEX(ENT_NOME,MATCH($J53,ENT_ID,0)),"?")))</f>
        <v/>
      </c>
      <c r="AB53" s="36" t="n">
        <f aca="false">IF($B53="",0,IF(AND($I53="CONTA",$G53&lt;&gt;"CONTA"),$F53,0))</f>
        <v>0</v>
      </c>
      <c r="AC53" s="36" t="n">
        <f aca="false">IF($B53="",0,IF(AND($G53="CONTA",$I53&lt;&gt;"CONTA"),$F53,0))</f>
        <v>0</v>
      </c>
      <c r="AD53" s="36" t="n">
        <f aca="false">IF($W53="RECEITA",$F53,0)</f>
        <v>0</v>
      </c>
      <c r="AE53" s="36" t="n">
        <f aca="false">IF($W53="DESPESA",$F53,0)</f>
        <v>0</v>
      </c>
      <c r="AF53" s="36" t="n">
        <f aca="false">IF($W53="RECEITA_FINANCEIRA",$F53,0)</f>
        <v>0</v>
      </c>
      <c r="AG53" s="36" t="n">
        <f aca="false">IF($B53="",0,IF($I53="CONTA",$F53,0)-IF($G53="CONTA",$F53,0))</f>
        <v>0</v>
      </c>
      <c r="AH53" s="36" t="n">
        <f aca="false">IF($B53="",0,IF($G53="CARTAO",$F53,0)-IF($I53="CARTAO",$F53,0))</f>
        <v>0</v>
      </c>
      <c r="AI53" s="36" t="n">
        <f aca="false">IF($B53="",0,IF($I53="INVESTIMENTO",$F53,0)-IF($G53="INVESTIMENTO",$F53,0))</f>
        <v>0</v>
      </c>
      <c r="AJ53" s="35" t="str">
        <f aca="false">IF($B53="","",IF(NOT(ISNUMBER($F53)),"ERRO: valor nao numerico",IF($F53&lt;=0,"ERRO: valor deve ser maior que zero",IF(COUNTIF(MAP_TIPO,$D53)=0,"ERRO: tipo de operacao nao cadastrado",IF(COUNTIF(LST_STATUS,$E53)=0,"ERRO: status invalido",IF(AND($G53="EXTERNO",$I53="EXTERNO"),"ERRO: origem e destino externos",IF(AND($G53&lt;&gt;"EXTERNO",COUNTIFS(ENT_ID,$H53,ENT_TIPO,$G53)=0),"ERRO: origem inexistente",IF(AND($I53&lt;&gt;"EXTERNO",COUNTIFS(ENT_ID,$J53,ENT_TIPO,$I53)=0),"ERRO: destino inexistente",IF(AND($K53&lt;&gt;"",COUNTIF(CAT_ID,$K53)=0),"ERRO: categoria inexistente",IF(AND($L53&lt;&gt;"",COUNTIF(SUB_ID,$L53)=0),"ERRO: subcategoria inexistente",IF(AND($L53&lt;&gt;"",$K53&lt;&gt;"",IFERROR(INDEX(SUB_CATID,MATCH($L53,SUB_ID,0)),"")&lt;&gt;$K53),"ERRO: subcategoria nao pertence a categoria",IF(AND($O53&lt;&gt;"",COUNTIF(P_ID,$O53)=0),"ERRO: parcela inexistente",IF(AND($N53&lt;&gt;"",COUNTIF(CM_ID,$N53)=0),"ERRO: compromisso inexistente","OK")))))))))))))</f>
        <v/>
      </c>
      <c r="AK53" s="35" t="str">
        <f aca="false">IF($B53="","",IF(AND($N53="",$O53="",$P53="",$Q53="",$R53=""),"","VINCULADO: "&amp;TRIM(IF($N53&lt;&gt;"",$N53&amp;" ","")&amp;IF($O53&lt;&gt;"",$O53&amp;" ","")&amp;IF($P53&lt;&gt;"",$P53&amp;" ","")&amp;IF($Q53&lt;&gt;"",$Q53&amp;" ","")&amp;IF($R53&lt;&gt;"",$R53,""))))</f>
        <v/>
      </c>
    </row>
    <row r="54" customFormat="false" ht="15" hidden="false" customHeight="false" outlineLevel="0" collapsed="false">
      <c r="A54" s="30" t="str">
        <f aca="false">IF($B54="","","LAN-"&amp;TEXT(ROW()-4,"000000"))</f>
        <v/>
      </c>
      <c r="B54" s="31"/>
      <c r="C54" s="32"/>
      <c r="D54" s="32"/>
      <c r="E54" s="32"/>
      <c r="F54" s="3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4" t="str">
        <f aca="false">IF($B54="","",YEAR($B54))</f>
        <v/>
      </c>
      <c r="U54" s="34" t="str">
        <f aca="false">IF($B54="","",MONTH($B54))</f>
        <v/>
      </c>
      <c r="V54" s="34" t="str">
        <f aca="false">IF($B54="","",YEAR($B54)*100+MONTH($B54))</f>
        <v/>
      </c>
      <c r="W54" s="35" t="str">
        <f aca="false">IF($D54="","",IFERROR(INDEX(MAP_CLASS,MATCH($D54,MAP_TIPO,0)),"TIPO INVALIDO"))</f>
        <v/>
      </c>
      <c r="X54" s="35" t="str">
        <f aca="false">IF($K54="","",IFERROR(INDEX(CAT_NOME,MATCH($K54,CAT_ID,0)),"?"))</f>
        <v/>
      </c>
      <c r="Y54" s="35" t="str">
        <f aca="false">IF($L54="","",IFERROR(INDEX(SUB_NOME,MATCH($L54,SUB_ID,0)),"?"))</f>
        <v/>
      </c>
      <c r="Z54" s="35" t="str">
        <f aca="false">IF($G54="","",IF($G54="EXTERNO","(Externo)",IFERROR(INDEX(ENT_NOME,MATCH($H54,ENT_ID,0)),"?")))</f>
        <v/>
      </c>
      <c r="AA54" s="35" t="str">
        <f aca="false">IF($I54="","",IF($I54="EXTERNO","(Externo)",IFERROR(INDEX(ENT_NOME,MATCH($J54,ENT_ID,0)),"?")))</f>
        <v/>
      </c>
      <c r="AB54" s="36" t="n">
        <f aca="false">IF($B54="",0,IF(AND($I54="CONTA",$G54&lt;&gt;"CONTA"),$F54,0))</f>
        <v>0</v>
      </c>
      <c r="AC54" s="36" t="n">
        <f aca="false">IF($B54="",0,IF(AND($G54="CONTA",$I54&lt;&gt;"CONTA"),$F54,0))</f>
        <v>0</v>
      </c>
      <c r="AD54" s="36" t="n">
        <f aca="false">IF($W54="RECEITA",$F54,0)</f>
        <v>0</v>
      </c>
      <c r="AE54" s="36" t="n">
        <f aca="false">IF($W54="DESPESA",$F54,0)</f>
        <v>0</v>
      </c>
      <c r="AF54" s="36" t="n">
        <f aca="false">IF($W54="RECEITA_FINANCEIRA",$F54,0)</f>
        <v>0</v>
      </c>
      <c r="AG54" s="36" t="n">
        <f aca="false">IF($B54="",0,IF($I54="CONTA",$F54,0)-IF($G54="CONTA",$F54,0))</f>
        <v>0</v>
      </c>
      <c r="AH54" s="36" t="n">
        <f aca="false">IF($B54="",0,IF($G54="CARTAO",$F54,0)-IF($I54="CARTAO",$F54,0))</f>
        <v>0</v>
      </c>
      <c r="AI54" s="36" t="n">
        <f aca="false">IF($B54="",0,IF($I54="INVESTIMENTO",$F54,0)-IF($G54="INVESTIMENTO",$F54,0))</f>
        <v>0</v>
      </c>
      <c r="AJ54" s="35" t="str">
        <f aca="false">IF($B54="","",IF(NOT(ISNUMBER($F54)),"ERRO: valor nao numerico",IF($F54&lt;=0,"ERRO: valor deve ser maior que zero",IF(COUNTIF(MAP_TIPO,$D54)=0,"ERRO: tipo de operacao nao cadastrado",IF(COUNTIF(LST_STATUS,$E54)=0,"ERRO: status invalido",IF(AND($G54="EXTERNO",$I54="EXTERNO"),"ERRO: origem e destino externos",IF(AND($G54&lt;&gt;"EXTERNO",COUNTIFS(ENT_ID,$H54,ENT_TIPO,$G54)=0),"ERRO: origem inexistente",IF(AND($I54&lt;&gt;"EXTERNO",COUNTIFS(ENT_ID,$J54,ENT_TIPO,$I54)=0),"ERRO: destino inexistente",IF(AND($K54&lt;&gt;"",COUNTIF(CAT_ID,$K54)=0),"ERRO: categoria inexistente",IF(AND($L54&lt;&gt;"",COUNTIF(SUB_ID,$L54)=0),"ERRO: subcategoria inexistente",IF(AND($L54&lt;&gt;"",$K54&lt;&gt;"",IFERROR(INDEX(SUB_CATID,MATCH($L54,SUB_ID,0)),"")&lt;&gt;$K54),"ERRO: subcategoria nao pertence a categoria",IF(AND($O54&lt;&gt;"",COUNTIF(P_ID,$O54)=0),"ERRO: parcela inexistente",IF(AND($N54&lt;&gt;"",COUNTIF(CM_ID,$N54)=0),"ERRO: compromisso inexistente","OK")))))))))))))</f>
        <v/>
      </c>
      <c r="AK54" s="35" t="str">
        <f aca="false">IF($B54="","",IF(AND($N54="",$O54="",$P54="",$Q54="",$R54=""),"","VINCULADO: "&amp;TRIM(IF($N54&lt;&gt;"",$N54&amp;" ","")&amp;IF($O54&lt;&gt;"",$O54&amp;" ","")&amp;IF($P54&lt;&gt;"",$P54&amp;" ","")&amp;IF($Q54&lt;&gt;"",$Q54&amp;" ","")&amp;IF($R54&lt;&gt;"",$R54,""))))</f>
        <v/>
      </c>
    </row>
    <row r="55" customFormat="false" ht="15" hidden="false" customHeight="false" outlineLevel="0" collapsed="false">
      <c r="A55" s="30" t="str">
        <f aca="false">IF($B55="","","LAN-"&amp;TEXT(ROW()-4,"000000"))</f>
        <v/>
      </c>
      <c r="B55" s="31"/>
      <c r="C55" s="32"/>
      <c r="D55" s="32"/>
      <c r="E55" s="32"/>
      <c r="F55" s="3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4" t="str">
        <f aca="false">IF($B55="","",YEAR($B55))</f>
        <v/>
      </c>
      <c r="U55" s="34" t="str">
        <f aca="false">IF($B55="","",MONTH($B55))</f>
        <v/>
      </c>
      <c r="V55" s="34" t="str">
        <f aca="false">IF($B55="","",YEAR($B55)*100+MONTH($B55))</f>
        <v/>
      </c>
      <c r="W55" s="35" t="str">
        <f aca="false">IF($D55="","",IFERROR(INDEX(MAP_CLASS,MATCH($D55,MAP_TIPO,0)),"TIPO INVALIDO"))</f>
        <v/>
      </c>
      <c r="X55" s="35" t="str">
        <f aca="false">IF($K55="","",IFERROR(INDEX(CAT_NOME,MATCH($K55,CAT_ID,0)),"?"))</f>
        <v/>
      </c>
      <c r="Y55" s="35" t="str">
        <f aca="false">IF($L55="","",IFERROR(INDEX(SUB_NOME,MATCH($L55,SUB_ID,0)),"?"))</f>
        <v/>
      </c>
      <c r="Z55" s="35" t="str">
        <f aca="false">IF($G55="","",IF($G55="EXTERNO","(Externo)",IFERROR(INDEX(ENT_NOME,MATCH($H55,ENT_ID,0)),"?")))</f>
        <v/>
      </c>
      <c r="AA55" s="35" t="str">
        <f aca="false">IF($I55="","",IF($I55="EXTERNO","(Externo)",IFERROR(INDEX(ENT_NOME,MATCH($J55,ENT_ID,0)),"?")))</f>
        <v/>
      </c>
      <c r="AB55" s="36" t="n">
        <f aca="false">IF($B55="",0,IF(AND($I55="CONTA",$G55&lt;&gt;"CONTA"),$F55,0))</f>
        <v>0</v>
      </c>
      <c r="AC55" s="36" t="n">
        <f aca="false">IF($B55="",0,IF(AND($G55="CONTA",$I55&lt;&gt;"CONTA"),$F55,0))</f>
        <v>0</v>
      </c>
      <c r="AD55" s="36" t="n">
        <f aca="false">IF($W55="RECEITA",$F55,0)</f>
        <v>0</v>
      </c>
      <c r="AE55" s="36" t="n">
        <f aca="false">IF($W55="DESPESA",$F55,0)</f>
        <v>0</v>
      </c>
      <c r="AF55" s="36" t="n">
        <f aca="false">IF($W55="RECEITA_FINANCEIRA",$F55,0)</f>
        <v>0</v>
      </c>
      <c r="AG55" s="36" t="n">
        <f aca="false">IF($B55="",0,IF($I55="CONTA",$F55,0)-IF($G55="CONTA",$F55,0))</f>
        <v>0</v>
      </c>
      <c r="AH55" s="36" t="n">
        <f aca="false">IF($B55="",0,IF($G55="CARTAO",$F55,0)-IF($I55="CARTAO",$F55,0))</f>
        <v>0</v>
      </c>
      <c r="AI55" s="36" t="n">
        <f aca="false">IF($B55="",0,IF($I55="INVESTIMENTO",$F55,0)-IF($G55="INVESTIMENTO",$F55,0))</f>
        <v>0</v>
      </c>
      <c r="AJ55" s="35" t="str">
        <f aca="false">IF($B55="","",IF(NOT(ISNUMBER($F55)),"ERRO: valor nao numerico",IF($F55&lt;=0,"ERRO: valor deve ser maior que zero",IF(COUNTIF(MAP_TIPO,$D55)=0,"ERRO: tipo de operacao nao cadastrado",IF(COUNTIF(LST_STATUS,$E55)=0,"ERRO: status invalido",IF(AND($G55="EXTERNO",$I55="EXTERNO"),"ERRO: origem e destino externos",IF(AND($G55&lt;&gt;"EXTERNO",COUNTIFS(ENT_ID,$H55,ENT_TIPO,$G55)=0),"ERRO: origem inexistente",IF(AND($I55&lt;&gt;"EXTERNO",COUNTIFS(ENT_ID,$J55,ENT_TIPO,$I55)=0),"ERRO: destino inexistente",IF(AND($K55&lt;&gt;"",COUNTIF(CAT_ID,$K55)=0),"ERRO: categoria inexistente",IF(AND($L55&lt;&gt;"",COUNTIF(SUB_ID,$L55)=0),"ERRO: subcategoria inexistente",IF(AND($L55&lt;&gt;"",$K55&lt;&gt;"",IFERROR(INDEX(SUB_CATID,MATCH($L55,SUB_ID,0)),"")&lt;&gt;$K55),"ERRO: subcategoria nao pertence a categoria",IF(AND($O55&lt;&gt;"",COUNTIF(P_ID,$O55)=0),"ERRO: parcela inexistente",IF(AND($N55&lt;&gt;"",COUNTIF(CM_ID,$N55)=0),"ERRO: compromisso inexistente","OK")))))))))))))</f>
        <v/>
      </c>
      <c r="AK55" s="35" t="str">
        <f aca="false">IF($B55="","",IF(AND($N55="",$O55="",$P55="",$Q55="",$R55=""),"","VINCULADO: "&amp;TRIM(IF($N55&lt;&gt;"",$N55&amp;" ","")&amp;IF($O55&lt;&gt;"",$O55&amp;" ","")&amp;IF($P55&lt;&gt;"",$P55&amp;" ","")&amp;IF($Q55&lt;&gt;"",$Q55&amp;" ","")&amp;IF($R55&lt;&gt;"",$R55,""))))</f>
        <v/>
      </c>
    </row>
    <row r="56" customFormat="false" ht="15" hidden="false" customHeight="false" outlineLevel="0" collapsed="false">
      <c r="A56" s="30" t="str">
        <f aca="false">IF($B56="","","LAN-"&amp;TEXT(ROW()-4,"000000"))</f>
        <v/>
      </c>
      <c r="B56" s="31"/>
      <c r="C56" s="32"/>
      <c r="D56" s="32"/>
      <c r="E56" s="32"/>
      <c r="F56" s="33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4" t="str">
        <f aca="false">IF($B56="","",YEAR($B56))</f>
        <v/>
      </c>
      <c r="U56" s="34" t="str">
        <f aca="false">IF($B56="","",MONTH($B56))</f>
        <v/>
      </c>
      <c r="V56" s="34" t="str">
        <f aca="false">IF($B56="","",YEAR($B56)*100+MONTH($B56))</f>
        <v/>
      </c>
      <c r="W56" s="35" t="str">
        <f aca="false">IF($D56="","",IFERROR(INDEX(MAP_CLASS,MATCH($D56,MAP_TIPO,0)),"TIPO INVALIDO"))</f>
        <v/>
      </c>
      <c r="X56" s="35" t="str">
        <f aca="false">IF($K56="","",IFERROR(INDEX(CAT_NOME,MATCH($K56,CAT_ID,0)),"?"))</f>
        <v/>
      </c>
      <c r="Y56" s="35" t="str">
        <f aca="false">IF($L56="","",IFERROR(INDEX(SUB_NOME,MATCH($L56,SUB_ID,0)),"?"))</f>
        <v/>
      </c>
      <c r="Z56" s="35" t="str">
        <f aca="false">IF($G56="","",IF($G56="EXTERNO","(Externo)",IFERROR(INDEX(ENT_NOME,MATCH($H56,ENT_ID,0)),"?")))</f>
        <v/>
      </c>
      <c r="AA56" s="35" t="str">
        <f aca="false">IF($I56="","",IF($I56="EXTERNO","(Externo)",IFERROR(INDEX(ENT_NOME,MATCH($J56,ENT_ID,0)),"?")))</f>
        <v/>
      </c>
      <c r="AB56" s="36" t="n">
        <f aca="false">IF($B56="",0,IF(AND($I56="CONTA",$G56&lt;&gt;"CONTA"),$F56,0))</f>
        <v>0</v>
      </c>
      <c r="AC56" s="36" t="n">
        <f aca="false">IF($B56="",0,IF(AND($G56="CONTA",$I56&lt;&gt;"CONTA"),$F56,0))</f>
        <v>0</v>
      </c>
      <c r="AD56" s="36" t="n">
        <f aca="false">IF($W56="RECEITA",$F56,0)</f>
        <v>0</v>
      </c>
      <c r="AE56" s="36" t="n">
        <f aca="false">IF($W56="DESPESA",$F56,0)</f>
        <v>0</v>
      </c>
      <c r="AF56" s="36" t="n">
        <f aca="false">IF($W56="RECEITA_FINANCEIRA",$F56,0)</f>
        <v>0</v>
      </c>
      <c r="AG56" s="36" t="n">
        <f aca="false">IF($B56="",0,IF($I56="CONTA",$F56,0)-IF($G56="CONTA",$F56,0))</f>
        <v>0</v>
      </c>
      <c r="AH56" s="36" t="n">
        <f aca="false">IF($B56="",0,IF($G56="CARTAO",$F56,0)-IF($I56="CARTAO",$F56,0))</f>
        <v>0</v>
      </c>
      <c r="AI56" s="36" t="n">
        <f aca="false">IF($B56="",0,IF($I56="INVESTIMENTO",$F56,0)-IF($G56="INVESTIMENTO",$F56,0))</f>
        <v>0</v>
      </c>
      <c r="AJ56" s="35" t="str">
        <f aca="false">IF($B56="","",IF(NOT(ISNUMBER($F56)),"ERRO: valor nao numerico",IF($F56&lt;=0,"ERRO: valor deve ser maior que zero",IF(COUNTIF(MAP_TIPO,$D56)=0,"ERRO: tipo de operacao nao cadastrado",IF(COUNTIF(LST_STATUS,$E56)=0,"ERRO: status invalido",IF(AND($G56="EXTERNO",$I56="EXTERNO"),"ERRO: origem e destino externos",IF(AND($G56&lt;&gt;"EXTERNO",COUNTIFS(ENT_ID,$H56,ENT_TIPO,$G56)=0),"ERRO: origem inexistente",IF(AND($I56&lt;&gt;"EXTERNO",COUNTIFS(ENT_ID,$J56,ENT_TIPO,$I56)=0),"ERRO: destino inexistente",IF(AND($K56&lt;&gt;"",COUNTIF(CAT_ID,$K56)=0),"ERRO: categoria inexistente",IF(AND($L56&lt;&gt;"",COUNTIF(SUB_ID,$L56)=0),"ERRO: subcategoria inexistente",IF(AND($L56&lt;&gt;"",$K56&lt;&gt;"",IFERROR(INDEX(SUB_CATID,MATCH($L56,SUB_ID,0)),"")&lt;&gt;$K56),"ERRO: subcategoria nao pertence a categoria",IF(AND($O56&lt;&gt;"",COUNTIF(P_ID,$O56)=0),"ERRO: parcela inexistente",IF(AND($N56&lt;&gt;"",COUNTIF(CM_ID,$N56)=0),"ERRO: compromisso inexistente","OK")))))))))))))</f>
        <v/>
      </c>
      <c r="AK56" s="35" t="str">
        <f aca="false">IF($B56="","",IF(AND($N56="",$O56="",$P56="",$Q56="",$R56=""),"","VINCULADO: "&amp;TRIM(IF($N56&lt;&gt;"",$N56&amp;" ","")&amp;IF($O56&lt;&gt;"",$O56&amp;" ","")&amp;IF($P56&lt;&gt;"",$P56&amp;" ","")&amp;IF($Q56&lt;&gt;"",$Q56&amp;" ","")&amp;IF($R56&lt;&gt;"",$R56,""))))</f>
        <v/>
      </c>
    </row>
    <row r="57" customFormat="false" ht="15" hidden="false" customHeight="false" outlineLevel="0" collapsed="false">
      <c r="A57" s="30" t="str">
        <f aca="false">IF($B57="","","LAN-"&amp;TEXT(ROW()-4,"000000"))</f>
        <v/>
      </c>
      <c r="B57" s="31"/>
      <c r="C57" s="32"/>
      <c r="D57" s="32"/>
      <c r="E57" s="32"/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4" t="str">
        <f aca="false">IF($B57="","",YEAR($B57))</f>
        <v/>
      </c>
      <c r="U57" s="34" t="str">
        <f aca="false">IF($B57="","",MONTH($B57))</f>
        <v/>
      </c>
      <c r="V57" s="34" t="str">
        <f aca="false">IF($B57="","",YEAR($B57)*100+MONTH($B57))</f>
        <v/>
      </c>
      <c r="W57" s="35" t="str">
        <f aca="false">IF($D57="","",IFERROR(INDEX(MAP_CLASS,MATCH($D57,MAP_TIPO,0)),"TIPO INVALIDO"))</f>
        <v/>
      </c>
      <c r="X57" s="35" t="str">
        <f aca="false">IF($K57="","",IFERROR(INDEX(CAT_NOME,MATCH($K57,CAT_ID,0)),"?"))</f>
        <v/>
      </c>
      <c r="Y57" s="35" t="str">
        <f aca="false">IF($L57="","",IFERROR(INDEX(SUB_NOME,MATCH($L57,SUB_ID,0)),"?"))</f>
        <v/>
      </c>
      <c r="Z57" s="35" t="str">
        <f aca="false">IF($G57="","",IF($G57="EXTERNO","(Externo)",IFERROR(INDEX(ENT_NOME,MATCH($H57,ENT_ID,0)),"?")))</f>
        <v/>
      </c>
      <c r="AA57" s="35" t="str">
        <f aca="false">IF($I57="","",IF($I57="EXTERNO","(Externo)",IFERROR(INDEX(ENT_NOME,MATCH($J57,ENT_ID,0)),"?")))</f>
        <v/>
      </c>
      <c r="AB57" s="36" t="n">
        <f aca="false">IF($B57="",0,IF(AND($I57="CONTA",$G57&lt;&gt;"CONTA"),$F57,0))</f>
        <v>0</v>
      </c>
      <c r="AC57" s="36" t="n">
        <f aca="false">IF($B57="",0,IF(AND($G57="CONTA",$I57&lt;&gt;"CONTA"),$F57,0))</f>
        <v>0</v>
      </c>
      <c r="AD57" s="36" t="n">
        <f aca="false">IF($W57="RECEITA",$F57,0)</f>
        <v>0</v>
      </c>
      <c r="AE57" s="36" t="n">
        <f aca="false">IF($W57="DESPESA",$F57,0)</f>
        <v>0</v>
      </c>
      <c r="AF57" s="36" t="n">
        <f aca="false">IF($W57="RECEITA_FINANCEIRA",$F57,0)</f>
        <v>0</v>
      </c>
      <c r="AG57" s="36" t="n">
        <f aca="false">IF($B57="",0,IF($I57="CONTA",$F57,0)-IF($G57="CONTA",$F57,0))</f>
        <v>0</v>
      </c>
      <c r="AH57" s="36" t="n">
        <f aca="false">IF($B57="",0,IF($G57="CARTAO",$F57,0)-IF($I57="CARTAO",$F57,0))</f>
        <v>0</v>
      </c>
      <c r="AI57" s="36" t="n">
        <f aca="false">IF($B57="",0,IF($I57="INVESTIMENTO",$F57,0)-IF($G57="INVESTIMENTO",$F57,0))</f>
        <v>0</v>
      </c>
      <c r="AJ57" s="35" t="str">
        <f aca="false">IF($B57="","",IF(NOT(ISNUMBER($F57)),"ERRO: valor nao numerico",IF($F57&lt;=0,"ERRO: valor deve ser maior que zero",IF(COUNTIF(MAP_TIPO,$D57)=0,"ERRO: tipo de operacao nao cadastrado",IF(COUNTIF(LST_STATUS,$E57)=0,"ERRO: status invalido",IF(AND($G57="EXTERNO",$I57="EXTERNO"),"ERRO: origem e destino externos",IF(AND($G57&lt;&gt;"EXTERNO",COUNTIFS(ENT_ID,$H57,ENT_TIPO,$G57)=0),"ERRO: origem inexistente",IF(AND($I57&lt;&gt;"EXTERNO",COUNTIFS(ENT_ID,$J57,ENT_TIPO,$I57)=0),"ERRO: destino inexistente",IF(AND($K57&lt;&gt;"",COUNTIF(CAT_ID,$K57)=0),"ERRO: categoria inexistente",IF(AND($L57&lt;&gt;"",COUNTIF(SUB_ID,$L57)=0),"ERRO: subcategoria inexistente",IF(AND($L57&lt;&gt;"",$K57&lt;&gt;"",IFERROR(INDEX(SUB_CATID,MATCH($L57,SUB_ID,0)),"")&lt;&gt;$K57),"ERRO: subcategoria nao pertence a categoria",IF(AND($O57&lt;&gt;"",COUNTIF(P_ID,$O57)=0),"ERRO: parcela inexistente",IF(AND($N57&lt;&gt;"",COUNTIF(CM_ID,$N57)=0),"ERRO: compromisso inexistente","OK")))))))))))))</f>
        <v/>
      </c>
      <c r="AK57" s="35" t="str">
        <f aca="false">IF($B57="","",IF(AND($N57="",$O57="",$P57="",$Q57="",$R57=""),"","VINCULADO: "&amp;TRIM(IF($N57&lt;&gt;"",$N57&amp;" ","")&amp;IF($O57&lt;&gt;"",$O57&amp;" ","")&amp;IF($P57&lt;&gt;"",$P57&amp;" ","")&amp;IF($Q57&lt;&gt;"",$Q57&amp;" ","")&amp;IF($R57&lt;&gt;"",$R57,""))))</f>
        <v/>
      </c>
    </row>
    <row r="58" customFormat="false" ht="15" hidden="false" customHeight="false" outlineLevel="0" collapsed="false">
      <c r="A58" s="30" t="str">
        <f aca="false">IF($B58="","","LAN-"&amp;TEXT(ROW()-4,"000000"))</f>
        <v/>
      </c>
      <c r="B58" s="31"/>
      <c r="C58" s="32"/>
      <c r="D58" s="32"/>
      <c r="E58" s="32"/>
      <c r="F58" s="33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4" t="str">
        <f aca="false">IF($B58="","",YEAR($B58))</f>
        <v/>
      </c>
      <c r="U58" s="34" t="str">
        <f aca="false">IF($B58="","",MONTH($B58))</f>
        <v/>
      </c>
      <c r="V58" s="34" t="str">
        <f aca="false">IF($B58="","",YEAR($B58)*100+MONTH($B58))</f>
        <v/>
      </c>
      <c r="W58" s="35" t="str">
        <f aca="false">IF($D58="","",IFERROR(INDEX(MAP_CLASS,MATCH($D58,MAP_TIPO,0)),"TIPO INVALIDO"))</f>
        <v/>
      </c>
      <c r="X58" s="35" t="str">
        <f aca="false">IF($K58="","",IFERROR(INDEX(CAT_NOME,MATCH($K58,CAT_ID,0)),"?"))</f>
        <v/>
      </c>
      <c r="Y58" s="35" t="str">
        <f aca="false">IF($L58="","",IFERROR(INDEX(SUB_NOME,MATCH($L58,SUB_ID,0)),"?"))</f>
        <v/>
      </c>
      <c r="Z58" s="35" t="str">
        <f aca="false">IF($G58="","",IF($G58="EXTERNO","(Externo)",IFERROR(INDEX(ENT_NOME,MATCH($H58,ENT_ID,0)),"?")))</f>
        <v/>
      </c>
      <c r="AA58" s="35" t="str">
        <f aca="false">IF($I58="","",IF($I58="EXTERNO","(Externo)",IFERROR(INDEX(ENT_NOME,MATCH($J58,ENT_ID,0)),"?")))</f>
        <v/>
      </c>
      <c r="AB58" s="36" t="n">
        <f aca="false">IF($B58="",0,IF(AND($I58="CONTA",$G58&lt;&gt;"CONTA"),$F58,0))</f>
        <v>0</v>
      </c>
      <c r="AC58" s="36" t="n">
        <f aca="false">IF($B58="",0,IF(AND($G58="CONTA",$I58&lt;&gt;"CONTA"),$F58,0))</f>
        <v>0</v>
      </c>
      <c r="AD58" s="36" t="n">
        <f aca="false">IF($W58="RECEITA",$F58,0)</f>
        <v>0</v>
      </c>
      <c r="AE58" s="36" t="n">
        <f aca="false">IF($W58="DESPESA",$F58,0)</f>
        <v>0</v>
      </c>
      <c r="AF58" s="36" t="n">
        <f aca="false">IF($W58="RECEITA_FINANCEIRA",$F58,0)</f>
        <v>0</v>
      </c>
      <c r="AG58" s="36" t="n">
        <f aca="false">IF($B58="",0,IF($I58="CONTA",$F58,0)-IF($G58="CONTA",$F58,0))</f>
        <v>0</v>
      </c>
      <c r="AH58" s="36" t="n">
        <f aca="false">IF($B58="",0,IF($G58="CARTAO",$F58,0)-IF($I58="CARTAO",$F58,0))</f>
        <v>0</v>
      </c>
      <c r="AI58" s="36" t="n">
        <f aca="false">IF($B58="",0,IF($I58="INVESTIMENTO",$F58,0)-IF($G58="INVESTIMENTO",$F58,0))</f>
        <v>0</v>
      </c>
      <c r="AJ58" s="35" t="str">
        <f aca="false">IF($B58="","",IF(NOT(ISNUMBER($F58)),"ERRO: valor nao numerico",IF($F58&lt;=0,"ERRO: valor deve ser maior que zero",IF(COUNTIF(MAP_TIPO,$D58)=0,"ERRO: tipo de operacao nao cadastrado",IF(COUNTIF(LST_STATUS,$E58)=0,"ERRO: status invalido",IF(AND($G58="EXTERNO",$I58="EXTERNO"),"ERRO: origem e destino externos",IF(AND($G58&lt;&gt;"EXTERNO",COUNTIFS(ENT_ID,$H58,ENT_TIPO,$G58)=0),"ERRO: origem inexistente",IF(AND($I58&lt;&gt;"EXTERNO",COUNTIFS(ENT_ID,$J58,ENT_TIPO,$I58)=0),"ERRO: destino inexistente",IF(AND($K58&lt;&gt;"",COUNTIF(CAT_ID,$K58)=0),"ERRO: categoria inexistente",IF(AND($L58&lt;&gt;"",COUNTIF(SUB_ID,$L58)=0),"ERRO: subcategoria inexistente",IF(AND($L58&lt;&gt;"",$K58&lt;&gt;"",IFERROR(INDEX(SUB_CATID,MATCH($L58,SUB_ID,0)),"")&lt;&gt;$K58),"ERRO: subcategoria nao pertence a categoria",IF(AND($O58&lt;&gt;"",COUNTIF(P_ID,$O58)=0),"ERRO: parcela inexistente",IF(AND($N58&lt;&gt;"",COUNTIF(CM_ID,$N58)=0),"ERRO: compromisso inexistente","OK")))))))))))))</f>
        <v/>
      </c>
      <c r="AK58" s="35" t="str">
        <f aca="false">IF($B58="","",IF(AND($N58="",$O58="",$P58="",$Q58="",$R58=""),"","VINCULADO: "&amp;TRIM(IF($N58&lt;&gt;"",$N58&amp;" ","")&amp;IF($O58&lt;&gt;"",$O58&amp;" ","")&amp;IF($P58&lt;&gt;"",$P58&amp;" ","")&amp;IF($Q58&lt;&gt;"",$Q58&amp;" ","")&amp;IF($R58&lt;&gt;"",$R58,""))))</f>
        <v/>
      </c>
    </row>
    <row r="59" customFormat="false" ht="15" hidden="false" customHeight="false" outlineLevel="0" collapsed="false">
      <c r="A59" s="30" t="str">
        <f aca="false">IF($B59="","","LAN-"&amp;TEXT(ROW()-4,"000000"))</f>
        <v/>
      </c>
      <c r="B59" s="31"/>
      <c r="C59" s="32"/>
      <c r="D59" s="32"/>
      <c r="E59" s="32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4" t="str">
        <f aca="false">IF($B59="","",YEAR($B59))</f>
        <v/>
      </c>
      <c r="U59" s="34" t="str">
        <f aca="false">IF($B59="","",MONTH($B59))</f>
        <v/>
      </c>
      <c r="V59" s="34" t="str">
        <f aca="false">IF($B59="","",YEAR($B59)*100+MONTH($B59))</f>
        <v/>
      </c>
      <c r="W59" s="35" t="str">
        <f aca="false">IF($D59="","",IFERROR(INDEX(MAP_CLASS,MATCH($D59,MAP_TIPO,0)),"TIPO INVALIDO"))</f>
        <v/>
      </c>
      <c r="X59" s="35" t="str">
        <f aca="false">IF($K59="","",IFERROR(INDEX(CAT_NOME,MATCH($K59,CAT_ID,0)),"?"))</f>
        <v/>
      </c>
      <c r="Y59" s="35" t="str">
        <f aca="false">IF($L59="","",IFERROR(INDEX(SUB_NOME,MATCH($L59,SUB_ID,0)),"?"))</f>
        <v/>
      </c>
      <c r="Z59" s="35" t="str">
        <f aca="false">IF($G59="","",IF($G59="EXTERNO","(Externo)",IFERROR(INDEX(ENT_NOME,MATCH($H59,ENT_ID,0)),"?")))</f>
        <v/>
      </c>
      <c r="AA59" s="35" t="str">
        <f aca="false">IF($I59="","",IF($I59="EXTERNO","(Externo)",IFERROR(INDEX(ENT_NOME,MATCH($J59,ENT_ID,0)),"?")))</f>
        <v/>
      </c>
      <c r="AB59" s="36" t="n">
        <f aca="false">IF($B59="",0,IF(AND($I59="CONTA",$G59&lt;&gt;"CONTA"),$F59,0))</f>
        <v>0</v>
      </c>
      <c r="AC59" s="36" t="n">
        <f aca="false">IF($B59="",0,IF(AND($G59="CONTA",$I59&lt;&gt;"CONTA"),$F59,0))</f>
        <v>0</v>
      </c>
      <c r="AD59" s="36" t="n">
        <f aca="false">IF($W59="RECEITA",$F59,0)</f>
        <v>0</v>
      </c>
      <c r="AE59" s="36" t="n">
        <f aca="false">IF($W59="DESPESA",$F59,0)</f>
        <v>0</v>
      </c>
      <c r="AF59" s="36" t="n">
        <f aca="false">IF($W59="RECEITA_FINANCEIRA",$F59,0)</f>
        <v>0</v>
      </c>
      <c r="AG59" s="36" t="n">
        <f aca="false">IF($B59="",0,IF($I59="CONTA",$F59,0)-IF($G59="CONTA",$F59,0))</f>
        <v>0</v>
      </c>
      <c r="AH59" s="36" t="n">
        <f aca="false">IF($B59="",0,IF($G59="CARTAO",$F59,0)-IF($I59="CARTAO",$F59,0))</f>
        <v>0</v>
      </c>
      <c r="AI59" s="36" t="n">
        <f aca="false">IF($B59="",0,IF($I59="INVESTIMENTO",$F59,0)-IF($G59="INVESTIMENTO",$F59,0))</f>
        <v>0</v>
      </c>
      <c r="AJ59" s="35" t="str">
        <f aca="false">IF($B59="","",IF(NOT(ISNUMBER($F59)),"ERRO: valor nao numerico",IF($F59&lt;=0,"ERRO: valor deve ser maior que zero",IF(COUNTIF(MAP_TIPO,$D59)=0,"ERRO: tipo de operacao nao cadastrado",IF(COUNTIF(LST_STATUS,$E59)=0,"ERRO: status invalido",IF(AND($G59="EXTERNO",$I59="EXTERNO"),"ERRO: origem e destino externos",IF(AND($G59&lt;&gt;"EXTERNO",COUNTIFS(ENT_ID,$H59,ENT_TIPO,$G59)=0),"ERRO: origem inexistente",IF(AND($I59&lt;&gt;"EXTERNO",COUNTIFS(ENT_ID,$J59,ENT_TIPO,$I59)=0),"ERRO: destino inexistente",IF(AND($K59&lt;&gt;"",COUNTIF(CAT_ID,$K59)=0),"ERRO: categoria inexistente",IF(AND($L59&lt;&gt;"",COUNTIF(SUB_ID,$L59)=0),"ERRO: subcategoria inexistente",IF(AND($L59&lt;&gt;"",$K59&lt;&gt;"",IFERROR(INDEX(SUB_CATID,MATCH($L59,SUB_ID,0)),"")&lt;&gt;$K59),"ERRO: subcategoria nao pertence a categoria",IF(AND($O59&lt;&gt;"",COUNTIF(P_ID,$O59)=0),"ERRO: parcela inexistente",IF(AND($N59&lt;&gt;"",COUNTIF(CM_ID,$N59)=0),"ERRO: compromisso inexistente","OK")))))))))))))</f>
        <v/>
      </c>
      <c r="AK59" s="35" t="str">
        <f aca="false">IF($B59="","",IF(AND($N59="",$O59="",$P59="",$Q59="",$R59=""),"","VINCULADO: "&amp;TRIM(IF($N59&lt;&gt;"",$N59&amp;" ","")&amp;IF($O59&lt;&gt;"",$O59&amp;" ","")&amp;IF($P59&lt;&gt;"",$P59&amp;" ","")&amp;IF($Q59&lt;&gt;"",$Q59&amp;" ","")&amp;IF($R59&lt;&gt;"",$R59,""))))</f>
        <v/>
      </c>
    </row>
    <row r="60" customFormat="false" ht="15" hidden="false" customHeight="false" outlineLevel="0" collapsed="false">
      <c r="A60" s="30" t="str">
        <f aca="false">IF($B60="","","LAN-"&amp;TEXT(ROW()-4,"000000"))</f>
        <v/>
      </c>
      <c r="B60" s="31"/>
      <c r="C60" s="32"/>
      <c r="D60" s="32"/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4" t="str">
        <f aca="false">IF($B60="","",YEAR($B60))</f>
        <v/>
      </c>
      <c r="U60" s="34" t="str">
        <f aca="false">IF($B60="","",MONTH($B60))</f>
        <v/>
      </c>
      <c r="V60" s="34" t="str">
        <f aca="false">IF($B60="","",YEAR($B60)*100+MONTH($B60))</f>
        <v/>
      </c>
      <c r="W60" s="35" t="str">
        <f aca="false">IF($D60="","",IFERROR(INDEX(MAP_CLASS,MATCH($D60,MAP_TIPO,0)),"TIPO INVALIDO"))</f>
        <v/>
      </c>
      <c r="X60" s="35" t="str">
        <f aca="false">IF($K60="","",IFERROR(INDEX(CAT_NOME,MATCH($K60,CAT_ID,0)),"?"))</f>
        <v/>
      </c>
      <c r="Y60" s="35" t="str">
        <f aca="false">IF($L60="","",IFERROR(INDEX(SUB_NOME,MATCH($L60,SUB_ID,0)),"?"))</f>
        <v/>
      </c>
      <c r="Z60" s="35" t="str">
        <f aca="false">IF($G60="","",IF($G60="EXTERNO","(Externo)",IFERROR(INDEX(ENT_NOME,MATCH($H60,ENT_ID,0)),"?")))</f>
        <v/>
      </c>
      <c r="AA60" s="35" t="str">
        <f aca="false">IF($I60="","",IF($I60="EXTERNO","(Externo)",IFERROR(INDEX(ENT_NOME,MATCH($J60,ENT_ID,0)),"?")))</f>
        <v/>
      </c>
      <c r="AB60" s="36" t="n">
        <f aca="false">IF($B60="",0,IF(AND($I60="CONTA",$G60&lt;&gt;"CONTA"),$F60,0))</f>
        <v>0</v>
      </c>
      <c r="AC60" s="36" t="n">
        <f aca="false">IF($B60="",0,IF(AND($G60="CONTA",$I60&lt;&gt;"CONTA"),$F60,0))</f>
        <v>0</v>
      </c>
      <c r="AD60" s="36" t="n">
        <f aca="false">IF($W60="RECEITA",$F60,0)</f>
        <v>0</v>
      </c>
      <c r="AE60" s="36" t="n">
        <f aca="false">IF($W60="DESPESA",$F60,0)</f>
        <v>0</v>
      </c>
      <c r="AF60" s="36" t="n">
        <f aca="false">IF($W60="RECEITA_FINANCEIRA",$F60,0)</f>
        <v>0</v>
      </c>
      <c r="AG60" s="36" t="n">
        <f aca="false">IF($B60="",0,IF($I60="CONTA",$F60,0)-IF($G60="CONTA",$F60,0))</f>
        <v>0</v>
      </c>
      <c r="AH60" s="36" t="n">
        <f aca="false">IF($B60="",0,IF($G60="CARTAO",$F60,0)-IF($I60="CARTAO",$F60,0))</f>
        <v>0</v>
      </c>
      <c r="AI60" s="36" t="n">
        <f aca="false">IF($B60="",0,IF($I60="INVESTIMENTO",$F60,0)-IF($G60="INVESTIMENTO",$F60,0))</f>
        <v>0</v>
      </c>
      <c r="AJ60" s="35" t="str">
        <f aca="false">IF($B60="","",IF(NOT(ISNUMBER($F60)),"ERRO: valor nao numerico",IF($F60&lt;=0,"ERRO: valor deve ser maior que zero",IF(COUNTIF(MAP_TIPO,$D60)=0,"ERRO: tipo de operacao nao cadastrado",IF(COUNTIF(LST_STATUS,$E60)=0,"ERRO: status invalido",IF(AND($G60="EXTERNO",$I60="EXTERNO"),"ERRO: origem e destino externos",IF(AND($G60&lt;&gt;"EXTERNO",COUNTIFS(ENT_ID,$H60,ENT_TIPO,$G60)=0),"ERRO: origem inexistente",IF(AND($I60&lt;&gt;"EXTERNO",COUNTIFS(ENT_ID,$J60,ENT_TIPO,$I60)=0),"ERRO: destino inexistente",IF(AND($K60&lt;&gt;"",COUNTIF(CAT_ID,$K60)=0),"ERRO: categoria inexistente",IF(AND($L60&lt;&gt;"",COUNTIF(SUB_ID,$L60)=0),"ERRO: subcategoria inexistente",IF(AND($L60&lt;&gt;"",$K60&lt;&gt;"",IFERROR(INDEX(SUB_CATID,MATCH($L60,SUB_ID,0)),"")&lt;&gt;$K60),"ERRO: subcategoria nao pertence a categoria",IF(AND($O60&lt;&gt;"",COUNTIF(P_ID,$O60)=0),"ERRO: parcela inexistente",IF(AND($N60&lt;&gt;"",COUNTIF(CM_ID,$N60)=0),"ERRO: compromisso inexistente","OK")))))))))))))</f>
        <v/>
      </c>
      <c r="AK60" s="35" t="str">
        <f aca="false">IF($B60="","",IF(AND($N60="",$O60="",$P60="",$Q60="",$R60=""),"","VINCULADO: "&amp;TRIM(IF($N60&lt;&gt;"",$N60&amp;" ","")&amp;IF($O60&lt;&gt;"",$O60&amp;" ","")&amp;IF($P60&lt;&gt;"",$P60&amp;" ","")&amp;IF($Q60&lt;&gt;"",$Q60&amp;" ","")&amp;IF($R60&lt;&gt;"",$R60,""))))</f>
        <v/>
      </c>
    </row>
    <row r="61" customFormat="false" ht="15" hidden="false" customHeight="false" outlineLevel="0" collapsed="false">
      <c r="A61" s="30" t="str">
        <f aca="false">IF($B61="","","LAN-"&amp;TEXT(ROW()-4,"000000"))</f>
        <v/>
      </c>
      <c r="B61" s="31"/>
      <c r="C61" s="32"/>
      <c r="D61" s="32"/>
      <c r="E61" s="32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4" t="str">
        <f aca="false">IF($B61="","",YEAR($B61))</f>
        <v/>
      </c>
      <c r="U61" s="34" t="str">
        <f aca="false">IF($B61="","",MONTH($B61))</f>
        <v/>
      </c>
      <c r="V61" s="34" t="str">
        <f aca="false">IF($B61="","",YEAR($B61)*100+MONTH($B61))</f>
        <v/>
      </c>
      <c r="W61" s="35" t="str">
        <f aca="false">IF($D61="","",IFERROR(INDEX(MAP_CLASS,MATCH($D61,MAP_TIPO,0)),"TIPO INVALIDO"))</f>
        <v/>
      </c>
      <c r="X61" s="35" t="str">
        <f aca="false">IF($K61="","",IFERROR(INDEX(CAT_NOME,MATCH($K61,CAT_ID,0)),"?"))</f>
        <v/>
      </c>
      <c r="Y61" s="35" t="str">
        <f aca="false">IF($L61="","",IFERROR(INDEX(SUB_NOME,MATCH($L61,SUB_ID,0)),"?"))</f>
        <v/>
      </c>
      <c r="Z61" s="35" t="str">
        <f aca="false">IF($G61="","",IF($G61="EXTERNO","(Externo)",IFERROR(INDEX(ENT_NOME,MATCH($H61,ENT_ID,0)),"?")))</f>
        <v/>
      </c>
      <c r="AA61" s="35" t="str">
        <f aca="false">IF($I61="","",IF($I61="EXTERNO","(Externo)",IFERROR(INDEX(ENT_NOME,MATCH($J61,ENT_ID,0)),"?")))</f>
        <v/>
      </c>
      <c r="AB61" s="36" t="n">
        <f aca="false">IF($B61="",0,IF(AND($I61="CONTA",$G61&lt;&gt;"CONTA"),$F61,0))</f>
        <v>0</v>
      </c>
      <c r="AC61" s="36" t="n">
        <f aca="false">IF($B61="",0,IF(AND($G61="CONTA",$I61&lt;&gt;"CONTA"),$F61,0))</f>
        <v>0</v>
      </c>
      <c r="AD61" s="36" t="n">
        <f aca="false">IF($W61="RECEITA",$F61,0)</f>
        <v>0</v>
      </c>
      <c r="AE61" s="36" t="n">
        <f aca="false">IF($W61="DESPESA",$F61,0)</f>
        <v>0</v>
      </c>
      <c r="AF61" s="36" t="n">
        <f aca="false">IF($W61="RECEITA_FINANCEIRA",$F61,0)</f>
        <v>0</v>
      </c>
      <c r="AG61" s="36" t="n">
        <f aca="false">IF($B61="",0,IF($I61="CONTA",$F61,0)-IF($G61="CONTA",$F61,0))</f>
        <v>0</v>
      </c>
      <c r="AH61" s="36" t="n">
        <f aca="false">IF($B61="",0,IF($G61="CARTAO",$F61,0)-IF($I61="CARTAO",$F61,0))</f>
        <v>0</v>
      </c>
      <c r="AI61" s="36" t="n">
        <f aca="false">IF($B61="",0,IF($I61="INVESTIMENTO",$F61,0)-IF($G61="INVESTIMENTO",$F61,0))</f>
        <v>0</v>
      </c>
      <c r="AJ61" s="35" t="str">
        <f aca="false">IF($B61="","",IF(NOT(ISNUMBER($F61)),"ERRO: valor nao numerico",IF($F61&lt;=0,"ERRO: valor deve ser maior que zero",IF(COUNTIF(MAP_TIPO,$D61)=0,"ERRO: tipo de operacao nao cadastrado",IF(COUNTIF(LST_STATUS,$E61)=0,"ERRO: status invalido",IF(AND($G61="EXTERNO",$I61="EXTERNO"),"ERRO: origem e destino externos",IF(AND($G61&lt;&gt;"EXTERNO",COUNTIFS(ENT_ID,$H61,ENT_TIPO,$G61)=0),"ERRO: origem inexistente",IF(AND($I61&lt;&gt;"EXTERNO",COUNTIFS(ENT_ID,$J61,ENT_TIPO,$I61)=0),"ERRO: destino inexistente",IF(AND($K61&lt;&gt;"",COUNTIF(CAT_ID,$K61)=0),"ERRO: categoria inexistente",IF(AND($L61&lt;&gt;"",COUNTIF(SUB_ID,$L61)=0),"ERRO: subcategoria inexistente",IF(AND($L61&lt;&gt;"",$K61&lt;&gt;"",IFERROR(INDEX(SUB_CATID,MATCH($L61,SUB_ID,0)),"")&lt;&gt;$K61),"ERRO: subcategoria nao pertence a categoria",IF(AND($O61&lt;&gt;"",COUNTIF(P_ID,$O61)=0),"ERRO: parcela inexistente",IF(AND($N61&lt;&gt;"",COUNTIF(CM_ID,$N61)=0),"ERRO: compromisso inexistente","OK")))))))))))))</f>
        <v/>
      </c>
      <c r="AK61" s="35" t="str">
        <f aca="false">IF($B61="","",IF(AND($N61="",$O61="",$P61="",$Q61="",$R61=""),"","VINCULADO: "&amp;TRIM(IF($N61&lt;&gt;"",$N61&amp;" ","")&amp;IF($O61&lt;&gt;"",$O61&amp;" ","")&amp;IF($P61&lt;&gt;"",$P61&amp;" ","")&amp;IF($Q61&lt;&gt;"",$Q61&amp;" ","")&amp;IF($R61&lt;&gt;"",$R61,""))))</f>
        <v/>
      </c>
    </row>
    <row r="62" customFormat="false" ht="15" hidden="false" customHeight="false" outlineLevel="0" collapsed="false">
      <c r="A62" s="30" t="str">
        <f aca="false">IF($B62="","","LAN-"&amp;TEXT(ROW()-4,"000000"))</f>
        <v/>
      </c>
      <c r="B62" s="31"/>
      <c r="C62" s="32"/>
      <c r="D62" s="32"/>
      <c r="E62" s="32"/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4" t="str">
        <f aca="false">IF($B62="","",YEAR($B62))</f>
        <v/>
      </c>
      <c r="U62" s="34" t="str">
        <f aca="false">IF($B62="","",MONTH($B62))</f>
        <v/>
      </c>
      <c r="V62" s="34" t="str">
        <f aca="false">IF($B62="","",YEAR($B62)*100+MONTH($B62))</f>
        <v/>
      </c>
      <c r="W62" s="35" t="str">
        <f aca="false">IF($D62="","",IFERROR(INDEX(MAP_CLASS,MATCH($D62,MAP_TIPO,0)),"TIPO INVALIDO"))</f>
        <v/>
      </c>
      <c r="X62" s="35" t="str">
        <f aca="false">IF($K62="","",IFERROR(INDEX(CAT_NOME,MATCH($K62,CAT_ID,0)),"?"))</f>
        <v/>
      </c>
      <c r="Y62" s="35" t="str">
        <f aca="false">IF($L62="","",IFERROR(INDEX(SUB_NOME,MATCH($L62,SUB_ID,0)),"?"))</f>
        <v/>
      </c>
      <c r="Z62" s="35" t="str">
        <f aca="false">IF($G62="","",IF($G62="EXTERNO","(Externo)",IFERROR(INDEX(ENT_NOME,MATCH($H62,ENT_ID,0)),"?")))</f>
        <v/>
      </c>
      <c r="AA62" s="35" t="str">
        <f aca="false">IF($I62="","",IF($I62="EXTERNO","(Externo)",IFERROR(INDEX(ENT_NOME,MATCH($J62,ENT_ID,0)),"?")))</f>
        <v/>
      </c>
      <c r="AB62" s="36" t="n">
        <f aca="false">IF($B62="",0,IF(AND($I62="CONTA",$G62&lt;&gt;"CONTA"),$F62,0))</f>
        <v>0</v>
      </c>
      <c r="AC62" s="36" t="n">
        <f aca="false">IF($B62="",0,IF(AND($G62="CONTA",$I62&lt;&gt;"CONTA"),$F62,0))</f>
        <v>0</v>
      </c>
      <c r="AD62" s="36" t="n">
        <f aca="false">IF($W62="RECEITA",$F62,0)</f>
        <v>0</v>
      </c>
      <c r="AE62" s="36" t="n">
        <f aca="false">IF($W62="DESPESA",$F62,0)</f>
        <v>0</v>
      </c>
      <c r="AF62" s="36" t="n">
        <f aca="false">IF($W62="RECEITA_FINANCEIRA",$F62,0)</f>
        <v>0</v>
      </c>
      <c r="AG62" s="36" t="n">
        <f aca="false">IF($B62="",0,IF($I62="CONTA",$F62,0)-IF($G62="CONTA",$F62,0))</f>
        <v>0</v>
      </c>
      <c r="AH62" s="36" t="n">
        <f aca="false">IF($B62="",0,IF($G62="CARTAO",$F62,0)-IF($I62="CARTAO",$F62,0))</f>
        <v>0</v>
      </c>
      <c r="AI62" s="36" t="n">
        <f aca="false">IF($B62="",0,IF($I62="INVESTIMENTO",$F62,0)-IF($G62="INVESTIMENTO",$F62,0))</f>
        <v>0</v>
      </c>
      <c r="AJ62" s="35" t="str">
        <f aca="false">IF($B62="","",IF(NOT(ISNUMBER($F62)),"ERRO: valor nao numerico",IF($F62&lt;=0,"ERRO: valor deve ser maior que zero",IF(COUNTIF(MAP_TIPO,$D62)=0,"ERRO: tipo de operacao nao cadastrado",IF(COUNTIF(LST_STATUS,$E62)=0,"ERRO: status invalido",IF(AND($G62="EXTERNO",$I62="EXTERNO"),"ERRO: origem e destino externos",IF(AND($G62&lt;&gt;"EXTERNO",COUNTIFS(ENT_ID,$H62,ENT_TIPO,$G62)=0),"ERRO: origem inexistente",IF(AND($I62&lt;&gt;"EXTERNO",COUNTIFS(ENT_ID,$J62,ENT_TIPO,$I62)=0),"ERRO: destino inexistente",IF(AND($K62&lt;&gt;"",COUNTIF(CAT_ID,$K62)=0),"ERRO: categoria inexistente",IF(AND($L62&lt;&gt;"",COUNTIF(SUB_ID,$L62)=0),"ERRO: subcategoria inexistente",IF(AND($L62&lt;&gt;"",$K62&lt;&gt;"",IFERROR(INDEX(SUB_CATID,MATCH($L62,SUB_ID,0)),"")&lt;&gt;$K62),"ERRO: subcategoria nao pertence a categoria",IF(AND($O62&lt;&gt;"",COUNTIF(P_ID,$O62)=0),"ERRO: parcela inexistente",IF(AND($N62&lt;&gt;"",COUNTIF(CM_ID,$N62)=0),"ERRO: compromisso inexistente","OK")))))))))))))</f>
        <v/>
      </c>
      <c r="AK62" s="35" t="str">
        <f aca="false">IF($B62="","",IF(AND($N62="",$O62="",$P62="",$Q62="",$R62=""),"","VINCULADO: "&amp;TRIM(IF($N62&lt;&gt;"",$N62&amp;" ","")&amp;IF($O62&lt;&gt;"",$O62&amp;" ","")&amp;IF($P62&lt;&gt;"",$P62&amp;" ","")&amp;IF($Q62&lt;&gt;"",$Q62&amp;" ","")&amp;IF($R62&lt;&gt;"",$R62,""))))</f>
        <v/>
      </c>
    </row>
    <row r="63" customFormat="false" ht="15" hidden="false" customHeight="false" outlineLevel="0" collapsed="false">
      <c r="A63" s="30" t="str">
        <f aca="false">IF($B63="","","LAN-"&amp;TEXT(ROW()-4,"000000"))</f>
        <v/>
      </c>
      <c r="B63" s="31"/>
      <c r="C63" s="32"/>
      <c r="D63" s="32"/>
      <c r="E63" s="32"/>
      <c r="F63" s="33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4" t="str">
        <f aca="false">IF($B63="","",YEAR($B63))</f>
        <v/>
      </c>
      <c r="U63" s="34" t="str">
        <f aca="false">IF($B63="","",MONTH($B63))</f>
        <v/>
      </c>
      <c r="V63" s="34" t="str">
        <f aca="false">IF($B63="","",YEAR($B63)*100+MONTH($B63))</f>
        <v/>
      </c>
      <c r="W63" s="35" t="str">
        <f aca="false">IF($D63="","",IFERROR(INDEX(MAP_CLASS,MATCH($D63,MAP_TIPO,0)),"TIPO INVALIDO"))</f>
        <v/>
      </c>
      <c r="X63" s="35" t="str">
        <f aca="false">IF($K63="","",IFERROR(INDEX(CAT_NOME,MATCH($K63,CAT_ID,0)),"?"))</f>
        <v/>
      </c>
      <c r="Y63" s="35" t="str">
        <f aca="false">IF($L63="","",IFERROR(INDEX(SUB_NOME,MATCH($L63,SUB_ID,0)),"?"))</f>
        <v/>
      </c>
      <c r="Z63" s="35" t="str">
        <f aca="false">IF($G63="","",IF($G63="EXTERNO","(Externo)",IFERROR(INDEX(ENT_NOME,MATCH($H63,ENT_ID,0)),"?")))</f>
        <v/>
      </c>
      <c r="AA63" s="35" t="str">
        <f aca="false">IF($I63="","",IF($I63="EXTERNO","(Externo)",IFERROR(INDEX(ENT_NOME,MATCH($J63,ENT_ID,0)),"?")))</f>
        <v/>
      </c>
      <c r="AB63" s="36" t="n">
        <f aca="false">IF($B63="",0,IF(AND($I63="CONTA",$G63&lt;&gt;"CONTA"),$F63,0))</f>
        <v>0</v>
      </c>
      <c r="AC63" s="36" t="n">
        <f aca="false">IF($B63="",0,IF(AND($G63="CONTA",$I63&lt;&gt;"CONTA"),$F63,0))</f>
        <v>0</v>
      </c>
      <c r="AD63" s="36" t="n">
        <f aca="false">IF($W63="RECEITA",$F63,0)</f>
        <v>0</v>
      </c>
      <c r="AE63" s="36" t="n">
        <f aca="false">IF($W63="DESPESA",$F63,0)</f>
        <v>0</v>
      </c>
      <c r="AF63" s="36" t="n">
        <f aca="false">IF($W63="RECEITA_FINANCEIRA",$F63,0)</f>
        <v>0</v>
      </c>
      <c r="AG63" s="36" t="n">
        <f aca="false">IF($B63="",0,IF($I63="CONTA",$F63,0)-IF($G63="CONTA",$F63,0))</f>
        <v>0</v>
      </c>
      <c r="AH63" s="36" t="n">
        <f aca="false">IF($B63="",0,IF($G63="CARTAO",$F63,0)-IF($I63="CARTAO",$F63,0))</f>
        <v>0</v>
      </c>
      <c r="AI63" s="36" t="n">
        <f aca="false">IF($B63="",0,IF($I63="INVESTIMENTO",$F63,0)-IF($G63="INVESTIMENTO",$F63,0))</f>
        <v>0</v>
      </c>
      <c r="AJ63" s="35" t="str">
        <f aca="false">IF($B63="","",IF(NOT(ISNUMBER($F63)),"ERRO: valor nao numerico",IF($F63&lt;=0,"ERRO: valor deve ser maior que zero",IF(COUNTIF(MAP_TIPO,$D63)=0,"ERRO: tipo de operacao nao cadastrado",IF(COUNTIF(LST_STATUS,$E63)=0,"ERRO: status invalido",IF(AND($G63="EXTERNO",$I63="EXTERNO"),"ERRO: origem e destino externos",IF(AND($G63&lt;&gt;"EXTERNO",COUNTIFS(ENT_ID,$H63,ENT_TIPO,$G63)=0),"ERRO: origem inexistente",IF(AND($I63&lt;&gt;"EXTERNO",COUNTIFS(ENT_ID,$J63,ENT_TIPO,$I63)=0),"ERRO: destino inexistente",IF(AND($K63&lt;&gt;"",COUNTIF(CAT_ID,$K63)=0),"ERRO: categoria inexistente",IF(AND($L63&lt;&gt;"",COUNTIF(SUB_ID,$L63)=0),"ERRO: subcategoria inexistente",IF(AND($L63&lt;&gt;"",$K63&lt;&gt;"",IFERROR(INDEX(SUB_CATID,MATCH($L63,SUB_ID,0)),"")&lt;&gt;$K63),"ERRO: subcategoria nao pertence a categoria",IF(AND($O63&lt;&gt;"",COUNTIF(P_ID,$O63)=0),"ERRO: parcela inexistente",IF(AND($N63&lt;&gt;"",COUNTIF(CM_ID,$N63)=0),"ERRO: compromisso inexistente","OK")))))))))))))</f>
        <v/>
      </c>
      <c r="AK63" s="35" t="str">
        <f aca="false">IF($B63="","",IF(AND($N63="",$O63="",$P63="",$Q63="",$R63=""),"","VINCULADO: "&amp;TRIM(IF($N63&lt;&gt;"",$N63&amp;" ","")&amp;IF($O63&lt;&gt;"",$O63&amp;" ","")&amp;IF($P63&lt;&gt;"",$P63&amp;" ","")&amp;IF($Q63&lt;&gt;"",$Q63&amp;" ","")&amp;IF($R63&lt;&gt;"",$R63,""))))</f>
        <v/>
      </c>
    </row>
    <row r="64" customFormat="false" ht="15" hidden="false" customHeight="false" outlineLevel="0" collapsed="false">
      <c r="A64" s="30" t="str">
        <f aca="false">IF($B64="","","LAN-"&amp;TEXT(ROW()-4,"000000"))</f>
        <v/>
      </c>
      <c r="B64" s="31"/>
      <c r="C64" s="32"/>
      <c r="D64" s="32"/>
      <c r="E64" s="32"/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 t="str">
        <f aca="false">IF($B64="","",YEAR($B64))</f>
        <v/>
      </c>
      <c r="U64" s="34" t="str">
        <f aca="false">IF($B64="","",MONTH($B64))</f>
        <v/>
      </c>
      <c r="V64" s="34" t="str">
        <f aca="false">IF($B64="","",YEAR($B64)*100+MONTH($B64))</f>
        <v/>
      </c>
      <c r="W64" s="35" t="str">
        <f aca="false">IF($D64="","",IFERROR(INDEX(MAP_CLASS,MATCH($D64,MAP_TIPO,0)),"TIPO INVALIDO"))</f>
        <v/>
      </c>
      <c r="X64" s="35" t="str">
        <f aca="false">IF($K64="","",IFERROR(INDEX(CAT_NOME,MATCH($K64,CAT_ID,0)),"?"))</f>
        <v/>
      </c>
      <c r="Y64" s="35" t="str">
        <f aca="false">IF($L64="","",IFERROR(INDEX(SUB_NOME,MATCH($L64,SUB_ID,0)),"?"))</f>
        <v/>
      </c>
      <c r="Z64" s="35" t="str">
        <f aca="false">IF($G64="","",IF($G64="EXTERNO","(Externo)",IFERROR(INDEX(ENT_NOME,MATCH($H64,ENT_ID,0)),"?")))</f>
        <v/>
      </c>
      <c r="AA64" s="35" t="str">
        <f aca="false">IF($I64="","",IF($I64="EXTERNO","(Externo)",IFERROR(INDEX(ENT_NOME,MATCH($J64,ENT_ID,0)),"?")))</f>
        <v/>
      </c>
      <c r="AB64" s="36" t="n">
        <f aca="false">IF($B64="",0,IF(AND($I64="CONTA",$G64&lt;&gt;"CONTA"),$F64,0))</f>
        <v>0</v>
      </c>
      <c r="AC64" s="36" t="n">
        <f aca="false">IF($B64="",0,IF(AND($G64="CONTA",$I64&lt;&gt;"CONTA"),$F64,0))</f>
        <v>0</v>
      </c>
      <c r="AD64" s="36" t="n">
        <f aca="false">IF($W64="RECEITA",$F64,0)</f>
        <v>0</v>
      </c>
      <c r="AE64" s="36" t="n">
        <f aca="false">IF($W64="DESPESA",$F64,0)</f>
        <v>0</v>
      </c>
      <c r="AF64" s="36" t="n">
        <f aca="false">IF($W64="RECEITA_FINANCEIRA",$F64,0)</f>
        <v>0</v>
      </c>
      <c r="AG64" s="36" t="n">
        <f aca="false">IF($B64="",0,IF($I64="CONTA",$F64,0)-IF($G64="CONTA",$F64,0))</f>
        <v>0</v>
      </c>
      <c r="AH64" s="36" t="n">
        <f aca="false">IF($B64="",0,IF($G64="CARTAO",$F64,0)-IF($I64="CARTAO",$F64,0))</f>
        <v>0</v>
      </c>
      <c r="AI64" s="36" t="n">
        <f aca="false">IF($B64="",0,IF($I64="INVESTIMENTO",$F64,0)-IF($G64="INVESTIMENTO",$F64,0))</f>
        <v>0</v>
      </c>
      <c r="AJ64" s="35" t="str">
        <f aca="false">IF($B64="","",IF(NOT(ISNUMBER($F64)),"ERRO: valor nao numerico",IF($F64&lt;=0,"ERRO: valor deve ser maior que zero",IF(COUNTIF(MAP_TIPO,$D64)=0,"ERRO: tipo de operacao nao cadastrado",IF(COUNTIF(LST_STATUS,$E64)=0,"ERRO: status invalido",IF(AND($G64="EXTERNO",$I64="EXTERNO"),"ERRO: origem e destino externos",IF(AND($G64&lt;&gt;"EXTERNO",COUNTIFS(ENT_ID,$H64,ENT_TIPO,$G64)=0),"ERRO: origem inexistente",IF(AND($I64&lt;&gt;"EXTERNO",COUNTIFS(ENT_ID,$J64,ENT_TIPO,$I64)=0),"ERRO: destino inexistente",IF(AND($K64&lt;&gt;"",COUNTIF(CAT_ID,$K64)=0),"ERRO: categoria inexistente",IF(AND($L64&lt;&gt;"",COUNTIF(SUB_ID,$L64)=0),"ERRO: subcategoria inexistente",IF(AND($L64&lt;&gt;"",$K64&lt;&gt;"",IFERROR(INDEX(SUB_CATID,MATCH($L64,SUB_ID,0)),"")&lt;&gt;$K64),"ERRO: subcategoria nao pertence a categoria",IF(AND($O64&lt;&gt;"",COUNTIF(P_ID,$O64)=0),"ERRO: parcela inexistente",IF(AND($N64&lt;&gt;"",COUNTIF(CM_ID,$N64)=0),"ERRO: compromisso inexistente","OK")))))))))))))</f>
        <v/>
      </c>
      <c r="AK64" s="35" t="str">
        <f aca="false">IF($B64="","",IF(AND($N64="",$O64="",$P64="",$Q64="",$R64=""),"","VINCULADO: "&amp;TRIM(IF($N64&lt;&gt;"",$N64&amp;" ","")&amp;IF($O64&lt;&gt;"",$O64&amp;" ","")&amp;IF($P64&lt;&gt;"",$P64&amp;" ","")&amp;IF($Q64&lt;&gt;"",$Q64&amp;" ","")&amp;IF($R64&lt;&gt;"",$R64,""))))</f>
        <v/>
      </c>
    </row>
    <row r="65" customFormat="false" ht="15" hidden="false" customHeight="false" outlineLevel="0" collapsed="false">
      <c r="A65" s="30" t="str">
        <f aca="false">IF($B65="","","LAN-"&amp;TEXT(ROW()-4,"000000"))</f>
        <v/>
      </c>
      <c r="B65" s="31"/>
      <c r="C65" s="32"/>
      <c r="D65" s="32"/>
      <c r="E65" s="32"/>
      <c r="F65" s="33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4" t="str">
        <f aca="false">IF($B65="","",YEAR($B65))</f>
        <v/>
      </c>
      <c r="U65" s="34" t="str">
        <f aca="false">IF($B65="","",MONTH($B65))</f>
        <v/>
      </c>
      <c r="V65" s="34" t="str">
        <f aca="false">IF($B65="","",YEAR($B65)*100+MONTH($B65))</f>
        <v/>
      </c>
      <c r="W65" s="35" t="str">
        <f aca="false">IF($D65="","",IFERROR(INDEX(MAP_CLASS,MATCH($D65,MAP_TIPO,0)),"TIPO INVALIDO"))</f>
        <v/>
      </c>
      <c r="X65" s="35" t="str">
        <f aca="false">IF($K65="","",IFERROR(INDEX(CAT_NOME,MATCH($K65,CAT_ID,0)),"?"))</f>
        <v/>
      </c>
      <c r="Y65" s="35" t="str">
        <f aca="false">IF($L65="","",IFERROR(INDEX(SUB_NOME,MATCH($L65,SUB_ID,0)),"?"))</f>
        <v/>
      </c>
      <c r="Z65" s="35" t="str">
        <f aca="false">IF($G65="","",IF($G65="EXTERNO","(Externo)",IFERROR(INDEX(ENT_NOME,MATCH($H65,ENT_ID,0)),"?")))</f>
        <v/>
      </c>
      <c r="AA65" s="35" t="str">
        <f aca="false">IF($I65="","",IF($I65="EXTERNO","(Externo)",IFERROR(INDEX(ENT_NOME,MATCH($J65,ENT_ID,0)),"?")))</f>
        <v/>
      </c>
      <c r="AB65" s="36" t="n">
        <f aca="false">IF($B65="",0,IF(AND($I65="CONTA",$G65&lt;&gt;"CONTA"),$F65,0))</f>
        <v>0</v>
      </c>
      <c r="AC65" s="36" t="n">
        <f aca="false">IF($B65="",0,IF(AND($G65="CONTA",$I65&lt;&gt;"CONTA"),$F65,0))</f>
        <v>0</v>
      </c>
      <c r="AD65" s="36" t="n">
        <f aca="false">IF($W65="RECEITA",$F65,0)</f>
        <v>0</v>
      </c>
      <c r="AE65" s="36" t="n">
        <f aca="false">IF($W65="DESPESA",$F65,0)</f>
        <v>0</v>
      </c>
      <c r="AF65" s="36" t="n">
        <f aca="false">IF($W65="RECEITA_FINANCEIRA",$F65,0)</f>
        <v>0</v>
      </c>
      <c r="AG65" s="36" t="n">
        <f aca="false">IF($B65="",0,IF($I65="CONTA",$F65,0)-IF($G65="CONTA",$F65,0))</f>
        <v>0</v>
      </c>
      <c r="AH65" s="36" t="n">
        <f aca="false">IF($B65="",0,IF($G65="CARTAO",$F65,0)-IF($I65="CARTAO",$F65,0))</f>
        <v>0</v>
      </c>
      <c r="AI65" s="36" t="n">
        <f aca="false">IF($B65="",0,IF($I65="INVESTIMENTO",$F65,0)-IF($G65="INVESTIMENTO",$F65,0))</f>
        <v>0</v>
      </c>
      <c r="AJ65" s="35" t="str">
        <f aca="false">IF($B65="","",IF(NOT(ISNUMBER($F65)),"ERRO: valor nao numerico",IF($F65&lt;=0,"ERRO: valor deve ser maior que zero",IF(COUNTIF(MAP_TIPO,$D65)=0,"ERRO: tipo de operacao nao cadastrado",IF(COUNTIF(LST_STATUS,$E65)=0,"ERRO: status invalido",IF(AND($G65="EXTERNO",$I65="EXTERNO"),"ERRO: origem e destino externos",IF(AND($G65&lt;&gt;"EXTERNO",COUNTIFS(ENT_ID,$H65,ENT_TIPO,$G65)=0),"ERRO: origem inexistente",IF(AND($I65&lt;&gt;"EXTERNO",COUNTIFS(ENT_ID,$J65,ENT_TIPO,$I65)=0),"ERRO: destino inexistente",IF(AND($K65&lt;&gt;"",COUNTIF(CAT_ID,$K65)=0),"ERRO: categoria inexistente",IF(AND($L65&lt;&gt;"",COUNTIF(SUB_ID,$L65)=0),"ERRO: subcategoria inexistente",IF(AND($L65&lt;&gt;"",$K65&lt;&gt;"",IFERROR(INDEX(SUB_CATID,MATCH($L65,SUB_ID,0)),"")&lt;&gt;$K65),"ERRO: subcategoria nao pertence a categoria",IF(AND($O65&lt;&gt;"",COUNTIF(P_ID,$O65)=0),"ERRO: parcela inexistente",IF(AND($N65&lt;&gt;"",COUNTIF(CM_ID,$N65)=0),"ERRO: compromisso inexistente","OK")))))))))))))</f>
        <v/>
      </c>
      <c r="AK65" s="35" t="str">
        <f aca="false">IF($B65="","",IF(AND($N65="",$O65="",$P65="",$Q65="",$R65=""),"","VINCULADO: "&amp;TRIM(IF($N65&lt;&gt;"",$N65&amp;" ","")&amp;IF($O65&lt;&gt;"",$O65&amp;" ","")&amp;IF($P65&lt;&gt;"",$P65&amp;" ","")&amp;IF($Q65&lt;&gt;"",$Q65&amp;" ","")&amp;IF($R65&lt;&gt;"",$R65,""))))</f>
        <v/>
      </c>
    </row>
    <row r="66" customFormat="false" ht="15" hidden="false" customHeight="false" outlineLevel="0" collapsed="false">
      <c r="A66" s="30" t="str">
        <f aca="false">IF($B66="","","LAN-"&amp;TEXT(ROW()-4,"000000"))</f>
        <v/>
      </c>
      <c r="B66" s="31"/>
      <c r="C66" s="32"/>
      <c r="D66" s="32"/>
      <c r="E66" s="32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4" t="str">
        <f aca="false">IF($B66="","",YEAR($B66))</f>
        <v/>
      </c>
      <c r="U66" s="34" t="str">
        <f aca="false">IF($B66="","",MONTH($B66))</f>
        <v/>
      </c>
      <c r="V66" s="34" t="str">
        <f aca="false">IF($B66="","",YEAR($B66)*100+MONTH($B66))</f>
        <v/>
      </c>
      <c r="W66" s="35" t="str">
        <f aca="false">IF($D66="","",IFERROR(INDEX(MAP_CLASS,MATCH($D66,MAP_TIPO,0)),"TIPO INVALIDO"))</f>
        <v/>
      </c>
      <c r="X66" s="35" t="str">
        <f aca="false">IF($K66="","",IFERROR(INDEX(CAT_NOME,MATCH($K66,CAT_ID,0)),"?"))</f>
        <v/>
      </c>
      <c r="Y66" s="35" t="str">
        <f aca="false">IF($L66="","",IFERROR(INDEX(SUB_NOME,MATCH($L66,SUB_ID,0)),"?"))</f>
        <v/>
      </c>
      <c r="Z66" s="35" t="str">
        <f aca="false">IF($G66="","",IF($G66="EXTERNO","(Externo)",IFERROR(INDEX(ENT_NOME,MATCH($H66,ENT_ID,0)),"?")))</f>
        <v/>
      </c>
      <c r="AA66" s="35" t="str">
        <f aca="false">IF($I66="","",IF($I66="EXTERNO","(Externo)",IFERROR(INDEX(ENT_NOME,MATCH($J66,ENT_ID,0)),"?")))</f>
        <v/>
      </c>
      <c r="AB66" s="36" t="n">
        <f aca="false">IF($B66="",0,IF(AND($I66="CONTA",$G66&lt;&gt;"CONTA"),$F66,0))</f>
        <v>0</v>
      </c>
      <c r="AC66" s="36" t="n">
        <f aca="false">IF($B66="",0,IF(AND($G66="CONTA",$I66&lt;&gt;"CONTA"),$F66,0))</f>
        <v>0</v>
      </c>
      <c r="AD66" s="36" t="n">
        <f aca="false">IF($W66="RECEITA",$F66,0)</f>
        <v>0</v>
      </c>
      <c r="AE66" s="36" t="n">
        <f aca="false">IF($W66="DESPESA",$F66,0)</f>
        <v>0</v>
      </c>
      <c r="AF66" s="36" t="n">
        <f aca="false">IF($W66="RECEITA_FINANCEIRA",$F66,0)</f>
        <v>0</v>
      </c>
      <c r="AG66" s="36" t="n">
        <f aca="false">IF($B66="",0,IF($I66="CONTA",$F66,0)-IF($G66="CONTA",$F66,0))</f>
        <v>0</v>
      </c>
      <c r="AH66" s="36" t="n">
        <f aca="false">IF($B66="",0,IF($G66="CARTAO",$F66,0)-IF($I66="CARTAO",$F66,0))</f>
        <v>0</v>
      </c>
      <c r="AI66" s="36" t="n">
        <f aca="false">IF($B66="",0,IF($I66="INVESTIMENTO",$F66,0)-IF($G66="INVESTIMENTO",$F66,0))</f>
        <v>0</v>
      </c>
      <c r="AJ66" s="35" t="str">
        <f aca="false">IF($B66="","",IF(NOT(ISNUMBER($F66)),"ERRO: valor nao numerico",IF($F66&lt;=0,"ERRO: valor deve ser maior que zero",IF(COUNTIF(MAP_TIPO,$D66)=0,"ERRO: tipo de operacao nao cadastrado",IF(COUNTIF(LST_STATUS,$E66)=0,"ERRO: status invalido",IF(AND($G66="EXTERNO",$I66="EXTERNO"),"ERRO: origem e destino externos",IF(AND($G66&lt;&gt;"EXTERNO",COUNTIFS(ENT_ID,$H66,ENT_TIPO,$G66)=0),"ERRO: origem inexistente",IF(AND($I66&lt;&gt;"EXTERNO",COUNTIFS(ENT_ID,$J66,ENT_TIPO,$I66)=0),"ERRO: destino inexistente",IF(AND($K66&lt;&gt;"",COUNTIF(CAT_ID,$K66)=0),"ERRO: categoria inexistente",IF(AND($L66&lt;&gt;"",COUNTIF(SUB_ID,$L66)=0),"ERRO: subcategoria inexistente",IF(AND($L66&lt;&gt;"",$K66&lt;&gt;"",IFERROR(INDEX(SUB_CATID,MATCH($L66,SUB_ID,0)),"")&lt;&gt;$K66),"ERRO: subcategoria nao pertence a categoria",IF(AND($O66&lt;&gt;"",COUNTIF(P_ID,$O66)=0),"ERRO: parcela inexistente",IF(AND($N66&lt;&gt;"",COUNTIF(CM_ID,$N66)=0),"ERRO: compromisso inexistente","OK")))))))))))))</f>
        <v/>
      </c>
      <c r="AK66" s="35" t="str">
        <f aca="false">IF($B66="","",IF(AND($N66="",$O66="",$P66="",$Q66="",$R66=""),"","VINCULADO: "&amp;TRIM(IF($N66&lt;&gt;"",$N66&amp;" ","")&amp;IF($O66&lt;&gt;"",$O66&amp;" ","")&amp;IF($P66&lt;&gt;"",$P66&amp;" ","")&amp;IF($Q66&lt;&gt;"",$Q66&amp;" ","")&amp;IF($R66&lt;&gt;"",$R66,""))))</f>
        <v/>
      </c>
    </row>
    <row r="67" customFormat="false" ht="15" hidden="false" customHeight="false" outlineLevel="0" collapsed="false">
      <c r="A67" s="30" t="str">
        <f aca="false">IF($B67="","","LAN-"&amp;TEXT(ROW()-4,"000000"))</f>
        <v/>
      </c>
      <c r="B67" s="31"/>
      <c r="C67" s="32"/>
      <c r="D67" s="32"/>
      <c r="E67" s="32"/>
      <c r="F67" s="33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4" t="str">
        <f aca="false">IF($B67="","",YEAR($B67))</f>
        <v/>
      </c>
      <c r="U67" s="34" t="str">
        <f aca="false">IF($B67="","",MONTH($B67))</f>
        <v/>
      </c>
      <c r="V67" s="34" t="str">
        <f aca="false">IF($B67="","",YEAR($B67)*100+MONTH($B67))</f>
        <v/>
      </c>
      <c r="W67" s="35" t="str">
        <f aca="false">IF($D67="","",IFERROR(INDEX(MAP_CLASS,MATCH($D67,MAP_TIPO,0)),"TIPO INVALIDO"))</f>
        <v/>
      </c>
      <c r="X67" s="35" t="str">
        <f aca="false">IF($K67="","",IFERROR(INDEX(CAT_NOME,MATCH($K67,CAT_ID,0)),"?"))</f>
        <v/>
      </c>
      <c r="Y67" s="35" t="str">
        <f aca="false">IF($L67="","",IFERROR(INDEX(SUB_NOME,MATCH($L67,SUB_ID,0)),"?"))</f>
        <v/>
      </c>
      <c r="Z67" s="35" t="str">
        <f aca="false">IF($G67="","",IF($G67="EXTERNO","(Externo)",IFERROR(INDEX(ENT_NOME,MATCH($H67,ENT_ID,0)),"?")))</f>
        <v/>
      </c>
      <c r="AA67" s="35" t="str">
        <f aca="false">IF($I67="","",IF($I67="EXTERNO","(Externo)",IFERROR(INDEX(ENT_NOME,MATCH($J67,ENT_ID,0)),"?")))</f>
        <v/>
      </c>
      <c r="AB67" s="36" t="n">
        <f aca="false">IF($B67="",0,IF(AND($I67="CONTA",$G67&lt;&gt;"CONTA"),$F67,0))</f>
        <v>0</v>
      </c>
      <c r="AC67" s="36" t="n">
        <f aca="false">IF($B67="",0,IF(AND($G67="CONTA",$I67&lt;&gt;"CONTA"),$F67,0))</f>
        <v>0</v>
      </c>
      <c r="AD67" s="36" t="n">
        <f aca="false">IF($W67="RECEITA",$F67,0)</f>
        <v>0</v>
      </c>
      <c r="AE67" s="36" t="n">
        <f aca="false">IF($W67="DESPESA",$F67,0)</f>
        <v>0</v>
      </c>
      <c r="AF67" s="36" t="n">
        <f aca="false">IF($W67="RECEITA_FINANCEIRA",$F67,0)</f>
        <v>0</v>
      </c>
      <c r="AG67" s="36" t="n">
        <f aca="false">IF($B67="",0,IF($I67="CONTA",$F67,0)-IF($G67="CONTA",$F67,0))</f>
        <v>0</v>
      </c>
      <c r="AH67" s="36" t="n">
        <f aca="false">IF($B67="",0,IF($G67="CARTAO",$F67,0)-IF($I67="CARTAO",$F67,0))</f>
        <v>0</v>
      </c>
      <c r="AI67" s="36" t="n">
        <f aca="false">IF($B67="",0,IF($I67="INVESTIMENTO",$F67,0)-IF($G67="INVESTIMENTO",$F67,0))</f>
        <v>0</v>
      </c>
      <c r="AJ67" s="35" t="str">
        <f aca="false">IF($B67="","",IF(NOT(ISNUMBER($F67)),"ERRO: valor nao numerico",IF($F67&lt;=0,"ERRO: valor deve ser maior que zero",IF(COUNTIF(MAP_TIPO,$D67)=0,"ERRO: tipo de operacao nao cadastrado",IF(COUNTIF(LST_STATUS,$E67)=0,"ERRO: status invalido",IF(AND($G67="EXTERNO",$I67="EXTERNO"),"ERRO: origem e destino externos",IF(AND($G67&lt;&gt;"EXTERNO",COUNTIFS(ENT_ID,$H67,ENT_TIPO,$G67)=0),"ERRO: origem inexistente",IF(AND($I67&lt;&gt;"EXTERNO",COUNTIFS(ENT_ID,$J67,ENT_TIPO,$I67)=0),"ERRO: destino inexistente",IF(AND($K67&lt;&gt;"",COUNTIF(CAT_ID,$K67)=0),"ERRO: categoria inexistente",IF(AND($L67&lt;&gt;"",COUNTIF(SUB_ID,$L67)=0),"ERRO: subcategoria inexistente",IF(AND($L67&lt;&gt;"",$K67&lt;&gt;"",IFERROR(INDEX(SUB_CATID,MATCH($L67,SUB_ID,0)),"")&lt;&gt;$K67),"ERRO: subcategoria nao pertence a categoria",IF(AND($O67&lt;&gt;"",COUNTIF(P_ID,$O67)=0),"ERRO: parcela inexistente",IF(AND($N67&lt;&gt;"",COUNTIF(CM_ID,$N67)=0),"ERRO: compromisso inexistente","OK")))))))))))))</f>
        <v/>
      </c>
      <c r="AK67" s="35" t="str">
        <f aca="false">IF($B67="","",IF(AND($N67="",$O67="",$P67="",$Q67="",$R67=""),"","VINCULADO: "&amp;TRIM(IF($N67&lt;&gt;"",$N67&amp;" ","")&amp;IF($O67&lt;&gt;"",$O67&amp;" ","")&amp;IF($P67&lt;&gt;"",$P67&amp;" ","")&amp;IF($Q67&lt;&gt;"",$Q67&amp;" ","")&amp;IF($R67&lt;&gt;"",$R67,""))))</f>
        <v/>
      </c>
    </row>
    <row r="68" customFormat="false" ht="15" hidden="false" customHeight="false" outlineLevel="0" collapsed="false">
      <c r="A68" s="30" t="str">
        <f aca="false">IF($B68="","","LAN-"&amp;TEXT(ROW()-4,"000000"))</f>
        <v/>
      </c>
      <c r="B68" s="31"/>
      <c r="C68" s="32"/>
      <c r="D68" s="32"/>
      <c r="E68" s="32"/>
      <c r="F68" s="3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4" t="str">
        <f aca="false">IF($B68="","",YEAR($B68))</f>
        <v/>
      </c>
      <c r="U68" s="34" t="str">
        <f aca="false">IF($B68="","",MONTH($B68))</f>
        <v/>
      </c>
      <c r="V68" s="34" t="str">
        <f aca="false">IF($B68="","",YEAR($B68)*100+MONTH($B68))</f>
        <v/>
      </c>
      <c r="W68" s="35" t="str">
        <f aca="false">IF($D68="","",IFERROR(INDEX(MAP_CLASS,MATCH($D68,MAP_TIPO,0)),"TIPO INVALIDO"))</f>
        <v/>
      </c>
      <c r="X68" s="35" t="str">
        <f aca="false">IF($K68="","",IFERROR(INDEX(CAT_NOME,MATCH($K68,CAT_ID,0)),"?"))</f>
        <v/>
      </c>
      <c r="Y68" s="35" t="str">
        <f aca="false">IF($L68="","",IFERROR(INDEX(SUB_NOME,MATCH($L68,SUB_ID,0)),"?"))</f>
        <v/>
      </c>
      <c r="Z68" s="35" t="str">
        <f aca="false">IF($G68="","",IF($G68="EXTERNO","(Externo)",IFERROR(INDEX(ENT_NOME,MATCH($H68,ENT_ID,0)),"?")))</f>
        <v/>
      </c>
      <c r="AA68" s="35" t="str">
        <f aca="false">IF($I68="","",IF($I68="EXTERNO","(Externo)",IFERROR(INDEX(ENT_NOME,MATCH($J68,ENT_ID,0)),"?")))</f>
        <v/>
      </c>
      <c r="AB68" s="36" t="n">
        <f aca="false">IF($B68="",0,IF(AND($I68="CONTA",$G68&lt;&gt;"CONTA"),$F68,0))</f>
        <v>0</v>
      </c>
      <c r="AC68" s="36" t="n">
        <f aca="false">IF($B68="",0,IF(AND($G68="CONTA",$I68&lt;&gt;"CONTA"),$F68,0))</f>
        <v>0</v>
      </c>
      <c r="AD68" s="36" t="n">
        <f aca="false">IF($W68="RECEITA",$F68,0)</f>
        <v>0</v>
      </c>
      <c r="AE68" s="36" t="n">
        <f aca="false">IF($W68="DESPESA",$F68,0)</f>
        <v>0</v>
      </c>
      <c r="AF68" s="36" t="n">
        <f aca="false">IF($W68="RECEITA_FINANCEIRA",$F68,0)</f>
        <v>0</v>
      </c>
      <c r="AG68" s="36" t="n">
        <f aca="false">IF($B68="",0,IF($I68="CONTA",$F68,0)-IF($G68="CONTA",$F68,0))</f>
        <v>0</v>
      </c>
      <c r="AH68" s="36" t="n">
        <f aca="false">IF($B68="",0,IF($G68="CARTAO",$F68,0)-IF($I68="CARTAO",$F68,0))</f>
        <v>0</v>
      </c>
      <c r="AI68" s="36" t="n">
        <f aca="false">IF($B68="",0,IF($I68="INVESTIMENTO",$F68,0)-IF($G68="INVESTIMENTO",$F68,0))</f>
        <v>0</v>
      </c>
      <c r="AJ68" s="35" t="str">
        <f aca="false">IF($B68="","",IF(NOT(ISNUMBER($F68)),"ERRO: valor nao numerico",IF($F68&lt;=0,"ERRO: valor deve ser maior que zero",IF(COUNTIF(MAP_TIPO,$D68)=0,"ERRO: tipo de operacao nao cadastrado",IF(COUNTIF(LST_STATUS,$E68)=0,"ERRO: status invalido",IF(AND($G68="EXTERNO",$I68="EXTERNO"),"ERRO: origem e destino externos",IF(AND($G68&lt;&gt;"EXTERNO",COUNTIFS(ENT_ID,$H68,ENT_TIPO,$G68)=0),"ERRO: origem inexistente",IF(AND($I68&lt;&gt;"EXTERNO",COUNTIFS(ENT_ID,$J68,ENT_TIPO,$I68)=0),"ERRO: destino inexistente",IF(AND($K68&lt;&gt;"",COUNTIF(CAT_ID,$K68)=0),"ERRO: categoria inexistente",IF(AND($L68&lt;&gt;"",COUNTIF(SUB_ID,$L68)=0),"ERRO: subcategoria inexistente",IF(AND($L68&lt;&gt;"",$K68&lt;&gt;"",IFERROR(INDEX(SUB_CATID,MATCH($L68,SUB_ID,0)),"")&lt;&gt;$K68),"ERRO: subcategoria nao pertence a categoria",IF(AND($O68&lt;&gt;"",COUNTIF(P_ID,$O68)=0),"ERRO: parcela inexistente",IF(AND($N68&lt;&gt;"",COUNTIF(CM_ID,$N68)=0),"ERRO: compromisso inexistente","OK")))))))))))))</f>
        <v/>
      </c>
      <c r="AK68" s="35" t="str">
        <f aca="false">IF($B68="","",IF(AND($N68="",$O68="",$P68="",$Q68="",$R68=""),"","VINCULADO: "&amp;TRIM(IF($N68&lt;&gt;"",$N68&amp;" ","")&amp;IF($O68&lt;&gt;"",$O68&amp;" ","")&amp;IF($P68&lt;&gt;"",$P68&amp;" ","")&amp;IF($Q68&lt;&gt;"",$Q68&amp;" ","")&amp;IF($R68&lt;&gt;"",$R68,""))))</f>
        <v/>
      </c>
    </row>
    <row r="69" customFormat="false" ht="15" hidden="false" customHeight="false" outlineLevel="0" collapsed="false">
      <c r="A69" s="30" t="str">
        <f aca="false">IF($B69="","","LAN-"&amp;TEXT(ROW()-4,"000000"))</f>
        <v/>
      </c>
      <c r="B69" s="31"/>
      <c r="C69" s="32"/>
      <c r="D69" s="32"/>
      <c r="E69" s="32"/>
      <c r="F69" s="3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4" t="str">
        <f aca="false">IF($B69="","",YEAR($B69))</f>
        <v/>
      </c>
      <c r="U69" s="34" t="str">
        <f aca="false">IF($B69="","",MONTH($B69))</f>
        <v/>
      </c>
      <c r="V69" s="34" t="str">
        <f aca="false">IF($B69="","",YEAR($B69)*100+MONTH($B69))</f>
        <v/>
      </c>
      <c r="W69" s="35" t="str">
        <f aca="false">IF($D69="","",IFERROR(INDEX(MAP_CLASS,MATCH($D69,MAP_TIPO,0)),"TIPO INVALIDO"))</f>
        <v/>
      </c>
      <c r="X69" s="35" t="str">
        <f aca="false">IF($K69="","",IFERROR(INDEX(CAT_NOME,MATCH($K69,CAT_ID,0)),"?"))</f>
        <v/>
      </c>
      <c r="Y69" s="35" t="str">
        <f aca="false">IF($L69="","",IFERROR(INDEX(SUB_NOME,MATCH($L69,SUB_ID,0)),"?"))</f>
        <v/>
      </c>
      <c r="Z69" s="35" t="str">
        <f aca="false">IF($G69="","",IF($G69="EXTERNO","(Externo)",IFERROR(INDEX(ENT_NOME,MATCH($H69,ENT_ID,0)),"?")))</f>
        <v/>
      </c>
      <c r="AA69" s="35" t="str">
        <f aca="false">IF($I69="","",IF($I69="EXTERNO","(Externo)",IFERROR(INDEX(ENT_NOME,MATCH($J69,ENT_ID,0)),"?")))</f>
        <v/>
      </c>
      <c r="AB69" s="36" t="n">
        <f aca="false">IF($B69="",0,IF(AND($I69="CONTA",$G69&lt;&gt;"CONTA"),$F69,0))</f>
        <v>0</v>
      </c>
      <c r="AC69" s="36" t="n">
        <f aca="false">IF($B69="",0,IF(AND($G69="CONTA",$I69&lt;&gt;"CONTA"),$F69,0))</f>
        <v>0</v>
      </c>
      <c r="AD69" s="36" t="n">
        <f aca="false">IF($W69="RECEITA",$F69,0)</f>
        <v>0</v>
      </c>
      <c r="AE69" s="36" t="n">
        <f aca="false">IF($W69="DESPESA",$F69,0)</f>
        <v>0</v>
      </c>
      <c r="AF69" s="36" t="n">
        <f aca="false">IF($W69="RECEITA_FINANCEIRA",$F69,0)</f>
        <v>0</v>
      </c>
      <c r="AG69" s="36" t="n">
        <f aca="false">IF($B69="",0,IF($I69="CONTA",$F69,0)-IF($G69="CONTA",$F69,0))</f>
        <v>0</v>
      </c>
      <c r="AH69" s="36" t="n">
        <f aca="false">IF($B69="",0,IF($G69="CARTAO",$F69,0)-IF($I69="CARTAO",$F69,0))</f>
        <v>0</v>
      </c>
      <c r="AI69" s="36" t="n">
        <f aca="false">IF($B69="",0,IF($I69="INVESTIMENTO",$F69,0)-IF($G69="INVESTIMENTO",$F69,0))</f>
        <v>0</v>
      </c>
      <c r="AJ69" s="35" t="str">
        <f aca="false">IF($B69="","",IF(NOT(ISNUMBER($F69)),"ERRO: valor nao numerico",IF($F69&lt;=0,"ERRO: valor deve ser maior que zero",IF(COUNTIF(MAP_TIPO,$D69)=0,"ERRO: tipo de operacao nao cadastrado",IF(COUNTIF(LST_STATUS,$E69)=0,"ERRO: status invalido",IF(AND($G69="EXTERNO",$I69="EXTERNO"),"ERRO: origem e destino externos",IF(AND($G69&lt;&gt;"EXTERNO",COUNTIFS(ENT_ID,$H69,ENT_TIPO,$G69)=0),"ERRO: origem inexistente",IF(AND($I69&lt;&gt;"EXTERNO",COUNTIFS(ENT_ID,$J69,ENT_TIPO,$I69)=0),"ERRO: destino inexistente",IF(AND($K69&lt;&gt;"",COUNTIF(CAT_ID,$K69)=0),"ERRO: categoria inexistente",IF(AND($L69&lt;&gt;"",COUNTIF(SUB_ID,$L69)=0),"ERRO: subcategoria inexistente",IF(AND($L69&lt;&gt;"",$K69&lt;&gt;"",IFERROR(INDEX(SUB_CATID,MATCH($L69,SUB_ID,0)),"")&lt;&gt;$K69),"ERRO: subcategoria nao pertence a categoria",IF(AND($O69&lt;&gt;"",COUNTIF(P_ID,$O69)=0),"ERRO: parcela inexistente",IF(AND($N69&lt;&gt;"",COUNTIF(CM_ID,$N69)=0),"ERRO: compromisso inexistente","OK")))))))))))))</f>
        <v/>
      </c>
      <c r="AK69" s="35" t="str">
        <f aca="false">IF($B69="","",IF(AND($N69="",$O69="",$P69="",$Q69="",$R69=""),"","VINCULADO: "&amp;TRIM(IF($N69&lt;&gt;"",$N69&amp;" ","")&amp;IF($O69&lt;&gt;"",$O69&amp;" ","")&amp;IF($P69&lt;&gt;"",$P69&amp;" ","")&amp;IF($Q69&lt;&gt;"",$Q69&amp;" ","")&amp;IF($R69&lt;&gt;"",$R69,""))))</f>
        <v/>
      </c>
    </row>
    <row r="70" customFormat="false" ht="15" hidden="false" customHeight="false" outlineLevel="0" collapsed="false">
      <c r="A70" s="30" t="str">
        <f aca="false">IF($B70="","","LAN-"&amp;TEXT(ROW()-4,"000000"))</f>
        <v/>
      </c>
      <c r="B70" s="31"/>
      <c r="C70" s="32"/>
      <c r="D70" s="32"/>
      <c r="E70" s="32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4" t="str">
        <f aca="false">IF($B70="","",YEAR($B70))</f>
        <v/>
      </c>
      <c r="U70" s="34" t="str">
        <f aca="false">IF($B70="","",MONTH($B70))</f>
        <v/>
      </c>
      <c r="V70" s="34" t="str">
        <f aca="false">IF($B70="","",YEAR($B70)*100+MONTH($B70))</f>
        <v/>
      </c>
      <c r="W70" s="35" t="str">
        <f aca="false">IF($D70="","",IFERROR(INDEX(MAP_CLASS,MATCH($D70,MAP_TIPO,0)),"TIPO INVALIDO"))</f>
        <v/>
      </c>
      <c r="X70" s="35" t="str">
        <f aca="false">IF($K70="","",IFERROR(INDEX(CAT_NOME,MATCH($K70,CAT_ID,0)),"?"))</f>
        <v/>
      </c>
      <c r="Y70" s="35" t="str">
        <f aca="false">IF($L70="","",IFERROR(INDEX(SUB_NOME,MATCH($L70,SUB_ID,0)),"?"))</f>
        <v/>
      </c>
      <c r="Z70" s="35" t="str">
        <f aca="false">IF($G70="","",IF($G70="EXTERNO","(Externo)",IFERROR(INDEX(ENT_NOME,MATCH($H70,ENT_ID,0)),"?")))</f>
        <v/>
      </c>
      <c r="AA70" s="35" t="str">
        <f aca="false">IF($I70="","",IF($I70="EXTERNO","(Externo)",IFERROR(INDEX(ENT_NOME,MATCH($J70,ENT_ID,0)),"?")))</f>
        <v/>
      </c>
      <c r="AB70" s="36" t="n">
        <f aca="false">IF($B70="",0,IF(AND($I70="CONTA",$G70&lt;&gt;"CONTA"),$F70,0))</f>
        <v>0</v>
      </c>
      <c r="AC70" s="36" t="n">
        <f aca="false">IF($B70="",0,IF(AND($G70="CONTA",$I70&lt;&gt;"CONTA"),$F70,0))</f>
        <v>0</v>
      </c>
      <c r="AD70" s="36" t="n">
        <f aca="false">IF($W70="RECEITA",$F70,0)</f>
        <v>0</v>
      </c>
      <c r="AE70" s="36" t="n">
        <f aca="false">IF($W70="DESPESA",$F70,0)</f>
        <v>0</v>
      </c>
      <c r="AF70" s="36" t="n">
        <f aca="false">IF($W70="RECEITA_FINANCEIRA",$F70,0)</f>
        <v>0</v>
      </c>
      <c r="AG70" s="36" t="n">
        <f aca="false">IF($B70="",0,IF($I70="CONTA",$F70,0)-IF($G70="CONTA",$F70,0))</f>
        <v>0</v>
      </c>
      <c r="AH70" s="36" t="n">
        <f aca="false">IF($B70="",0,IF($G70="CARTAO",$F70,0)-IF($I70="CARTAO",$F70,0))</f>
        <v>0</v>
      </c>
      <c r="AI70" s="36" t="n">
        <f aca="false">IF($B70="",0,IF($I70="INVESTIMENTO",$F70,0)-IF($G70="INVESTIMENTO",$F70,0))</f>
        <v>0</v>
      </c>
      <c r="AJ70" s="35" t="str">
        <f aca="false">IF($B70="","",IF(NOT(ISNUMBER($F70)),"ERRO: valor nao numerico",IF($F70&lt;=0,"ERRO: valor deve ser maior que zero",IF(COUNTIF(MAP_TIPO,$D70)=0,"ERRO: tipo de operacao nao cadastrado",IF(COUNTIF(LST_STATUS,$E70)=0,"ERRO: status invalido",IF(AND($G70="EXTERNO",$I70="EXTERNO"),"ERRO: origem e destino externos",IF(AND($G70&lt;&gt;"EXTERNO",COUNTIFS(ENT_ID,$H70,ENT_TIPO,$G70)=0),"ERRO: origem inexistente",IF(AND($I70&lt;&gt;"EXTERNO",COUNTIFS(ENT_ID,$J70,ENT_TIPO,$I70)=0),"ERRO: destino inexistente",IF(AND($K70&lt;&gt;"",COUNTIF(CAT_ID,$K70)=0),"ERRO: categoria inexistente",IF(AND($L70&lt;&gt;"",COUNTIF(SUB_ID,$L70)=0),"ERRO: subcategoria inexistente",IF(AND($L70&lt;&gt;"",$K70&lt;&gt;"",IFERROR(INDEX(SUB_CATID,MATCH($L70,SUB_ID,0)),"")&lt;&gt;$K70),"ERRO: subcategoria nao pertence a categoria",IF(AND($O70&lt;&gt;"",COUNTIF(P_ID,$O70)=0),"ERRO: parcela inexistente",IF(AND($N70&lt;&gt;"",COUNTIF(CM_ID,$N70)=0),"ERRO: compromisso inexistente","OK")))))))))))))</f>
        <v/>
      </c>
      <c r="AK70" s="35" t="str">
        <f aca="false">IF($B70="","",IF(AND($N70="",$O70="",$P70="",$Q70="",$R70=""),"","VINCULADO: "&amp;TRIM(IF($N70&lt;&gt;"",$N70&amp;" ","")&amp;IF($O70&lt;&gt;"",$O70&amp;" ","")&amp;IF($P70&lt;&gt;"",$P70&amp;" ","")&amp;IF($Q70&lt;&gt;"",$Q70&amp;" ","")&amp;IF($R70&lt;&gt;"",$R70,""))))</f>
        <v/>
      </c>
    </row>
    <row r="71" customFormat="false" ht="15" hidden="false" customHeight="false" outlineLevel="0" collapsed="false">
      <c r="A71" s="30" t="str">
        <f aca="false">IF($B71="","","LAN-"&amp;TEXT(ROW()-4,"000000"))</f>
        <v/>
      </c>
      <c r="B71" s="31"/>
      <c r="C71" s="32"/>
      <c r="D71" s="32"/>
      <c r="E71" s="32"/>
      <c r="F71" s="33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4" t="str">
        <f aca="false">IF($B71="","",YEAR($B71))</f>
        <v/>
      </c>
      <c r="U71" s="34" t="str">
        <f aca="false">IF($B71="","",MONTH($B71))</f>
        <v/>
      </c>
      <c r="V71" s="34" t="str">
        <f aca="false">IF($B71="","",YEAR($B71)*100+MONTH($B71))</f>
        <v/>
      </c>
      <c r="W71" s="35" t="str">
        <f aca="false">IF($D71="","",IFERROR(INDEX(MAP_CLASS,MATCH($D71,MAP_TIPO,0)),"TIPO INVALIDO"))</f>
        <v/>
      </c>
      <c r="X71" s="35" t="str">
        <f aca="false">IF($K71="","",IFERROR(INDEX(CAT_NOME,MATCH($K71,CAT_ID,0)),"?"))</f>
        <v/>
      </c>
      <c r="Y71" s="35" t="str">
        <f aca="false">IF($L71="","",IFERROR(INDEX(SUB_NOME,MATCH($L71,SUB_ID,0)),"?"))</f>
        <v/>
      </c>
      <c r="Z71" s="35" t="str">
        <f aca="false">IF($G71="","",IF($G71="EXTERNO","(Externo)",IFERROR(INDEX(ENT_NOME,MATCH($H71,ENT_ID,0)),"?")))</f>
        <v/>
      </c>
      <c r="AA71" s="35" t="str">
        <f aca="false">IF($I71="","",IF($I71="EXTERNO","(Externo)",IFERROR(INDEX(ENT_NOME,MATCH($J71,ENT_ID,0)),"?")))</f>
        <v/>
      </c>
      <c r="AB71" s="36" t="n">
        <f aca="false">IF($B71="",0,IF(AND($I71="CONTA",$G71&lt;&gt;"CONTA"),$F71,0))</f>
        <v>0</v>
      </c>
      <c r="AC71" s="36" t="n">
        <f aca="false">IF($B71="",0,IF(AND($G71="CONTA",$I71&lt;&gt;"CONTA"),$F71,0))</f>
        <v>0</v>
      </c>
      <c r="AD71" s="36" t="n">
        <f aca="false">IF($W71="RECEITA",$F71,0)</f>
        <v>0</v>
      </c>
      <c r="AE71" s="36" t="n">
        <f aca="false">IF($W71="DESPESA",$F71,0)</f>
        <v>0</v>
      </c>
      <c r="AF71" s="36" t="n">
        <f aca="false">IF($W71="RECEITA_FINANCEIRA",$F71,0)</f>
        <v>0</v>
      </c>
      <c r="AG71" s="36" t="n">
        <f aca="false">IF($B71="",0,IF($I71="CONTA",$F71,0)-IF($G71="CONTA",$F71,0))</f>
        <v>0</v>
      </c>
      <c r="AH71" s="36" t="n">
        <f aca="false">IF($B71="",0,IF($G71="CARTAO",$F71,0)-IF($I71="CARTAO",$F71,0))</f>
        <v>0</v>
      </c>
      <c r="AI71" s="36" t="n">
        <f aca="false">IF($B71="",0,IF($I71="INVESTIMENTO",$F71,0)-IF($G71="INVESTIMENTO",$F71,0))</f>
        <v>0</v>
      </c>
      <c r="AJ71" s="35" t="str">
        <f aca="false">IF($B71="","",IF(NOT(ISNUMBER($F71)),"ERRO: valor nao numerico",IF($F71&lt;=0,"ERRO: valor deve ser maior que zero",IF(COUNTIF(MAP_TIPO,$D71)=0,"ERRO: tipo de operacao nao cadastrado",IF(COUNTIF(LST_STATUS,$E71)=0,"ERRO: status invalido",IF(AND($G71="EXTERNO",$I71="EXTERNO"),"ERRO: origem e destino externos",IF(AND($G71&lt;&gt;"EXTERNO",COUNTIFS(ENT_ID,$H71,ENT_TIPO,$G71)=0),"ERRO: origem inexistente",IF(AND($I71&lt;&gt;"EXTERNO",COUNTIFS(ENT_ID,$J71,ENT_TIPO,$I71)=0),"ERRO: destino inexistente",IF(AND($K71&lt;&gt;"",COUNTIF(CAT_ID,$K71)=0),"ERRO: categoria inexistente",IF(AND($L71&lt;&gt;"",COUNTIF(SUB_ID,$L71)=0),"ERRO: subcategoria inexistente",IF(AND($L71&lt;&gt;"",$K71&lt;&gt;"",IFERROR(INDEX(SUB_CATID,MATCH($L71,SUB_ID,0)),"")&lt;&gt;$K71),"ERRO: subcategoria nao pertence a categoria",IF(AND($O71&lt;&gt;"",COUNTIF(P_ID,$O71)=0),"ERRO: parcela inexistente",IF(AND($N71&lt;&gt;"",COUNTIF(CM_ID,$N71)=0),"ERRO: compromisso inexistente","OK")))))))))))))</f>
        <v/>
      </c>
      <c r="AK71" s="35" t="str">
        <f aca="false">IF($B71="","",IF(AND($N71="",$O71="",$P71="",$Q71="",$R71=""),"","VINCULADO: "&amp;TRIM(IF($N71&lt;&gt;"",$N71&amp;" ","")&amp;IF($O71&lt;&gt;"",$O71&amp;" ","")&amp;IF($P71&lt;&gt;"",$P71&amp;" ","")&amp;IF($Q71&lt;&gt;"",$Q71&amp;" ","")&amp;IF($R71&lt;&gt;"",$R71,""))))</f>
        <v/>
      </c>
    </row>
    <row r="72" customFormat="false" ht="15" hidden="false" customHeight="false" outlineLevel="0" collapsed="false">
      <c r="A72" s="30" t="str">
        <f aca="false">IF($B72="","","LAN-"&amp;TEXT(ROW()-4,"000000"))</f>
        <v/>
      </c>
      <c r="B72" s="31"/>
      <c r="C72" s="32"/>
      <c r="D72" s="32"/>
      <c r="E72" s="32"/>
      <c r="F72" s="3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4" t="str">
        <f aca="false">IF($B72="","",YEAR($B72))</f>
        <v/>
      </c>
      <c r="U72" s="34" t="str">
        <f aca="false">IF($B72="","",MONTH($B72))</f>
        <v/>
      </c>
      <c r="V72" s="34" t="str">
        <f aca="false">IF($B72="","",YEAR($B72)*100+MONTH($B72))</f>
        <v/>
      </c>
      <c r="W72" s="35" t="str">
        <f aca="false">IF($D72="","",IFERROR(INDEX(MAP_CLASS,MATCH($D72,MAP_TIPO,0)),"TIPO INVALIDO"))</f>
        <v/>
      </c>
      <c r="X72" s="35" t="str">
        <f aca="false">IF($K72="","",IFERROR(INDEX(CAT_NOME,MATCH($K72,CAT_ID,0)),"?"))</f>
        <v/>
      </c>
      <c r="Y72" s="35" t="str">
        <f aca="false">IF($L72="","",IFERROR(INDEX(SUB_NOME,MATCH($L72,SUB_ID,0)),"?"))</f>
        <v/>
      </c>
      <c r="Z72" s="35" t="str">
        <f aca="false">IF($G72="","",IF($G72="EXTERNO","(Externo)",IFERROR(INDEX(ENT_NOME,MATCH($H72,ENT_ID,0)),"?")))</f>
        <v/>
      </c>
      <c r="AA72" s="35" t="str">
        <f aca="false">IF($I72="","",IF($I72="EXTERNO","(Externo)",IFERROR(INDEX(ENT_NOME,MATCH($J72,ENT_ID,0)),"?")))</f>
        <v/>
      </c>
      <c r="AB72" s="36" t="n">
        <f aca="false">IF($B72="",0,IF(AND($I72="CONTA",$G72&lt;&gt;"CONTA"),$F72,0))</f>
        <v>0</v>
      </c>
      <c r="AC72" s="36" t="n">
        <f aca="false">IF($B72="",0,IF(AND($G72="CONTA",$I72&lt;&gt;"CONTA"),$F72,0))</f>
        <v>0</v>
      </c>
      <c r="AD72" s="36" t="n">
        <f aca="false">IF($W72="RECEITA",$F72,0)</f>
        <v>0</v>
      </c>
      <c r="AE72" s="36" t="n">
        <f aca="false">IF($W72="DESPESA",$F72,0)</f>
        <v>0</v>
      </c>
      <c r="AF72" s="36" t="n">
        <f aca="false">IF($W72="RECEITA_FINANCEIRA",$F72,0)</f>
        <v>0</v>
      </c>
      <c r="AG72" s="36" t="n">
        <f aca="false">IF($B72="",0,IF($I72="CONTA",$F72,0)-IF($G72="CONTA",$F72,0))</f>
        <v>0</v>
      </c>
      <c r="AH72" s="36" t="n">
        <f aca="false">IF($B72="",0,IF($G72="CARTAO",$F72,0)-IF($I72="CARTAO",$F72,0))</f>
        <v>0</v>
      </c>
      <c r="AI72" s="36" t="n">
        <f aca="false">IF($B72="",0,IF($I72="INVESTIMENTO",$F72,0)-IF($G72="INVESTIMENTO",$F72,0))</f>
        <v>0</v>
      </c>
      <c r="AJ72" s="35" t="str">
        <f aca="false">IF($B72="","",IF(NOT(ISNUMBER($F72)),"ERRO: valor nao numerico",IF($F72&lt;=0,"ERRO: valor deve ser maior que zero",IF(COUNTIF(MAP_TIPO,$D72)=0,"ERRO: tipo de operacao nao cadastrado",IF(COUNTIF(LST_STATUS,$E72)=0,"ERRO: status invalido",IF(AND($G72="EXTERNO",$I72="EXTERNO"),"ERRO: origem e destino externos",IF(AND($G72&lt;&gt;"EXTERNO",COUNTIFS(ENT_ID,$H72,ENT_TIPO,$G72)=0),"ERRO: origem inexistente",IF(AND($I72&lt;&gt;"EXTERNO",COUNTIFS(ENT_ID,$J72,ENT_TIPO,$I72)=0),"ERRO: destino inexistente",IF(AND($K72&lt;&gt;"",COUNTIF(CAT_ID,$K72)=0),"ERRO: categoria inexistente",IF(AND($L72&lt;&gt;"",COUNTIF(SUB_ID,$L72)=0),"ERRO: subcategoria inexistente",IF(AND($L72&lt;&gt;"",$K72&lt;&gt;"",IFERROR(INDEX(SUB_CATID,MATCH($L72,SUB_ID,0)),"")&lt;&gt;$K72),"ERRO: subcategoria nao pertence a categoria",IF(AND($O72&lt;&gt;"",COUNTIF(P_ID,$O72)=0),"ERRO: parcela inexistente",IF(AND($N72&lt;&gt;"",COUNTIF(CM_ID,$N72)=0),"ERRO: compromisso inexistente","OK")))))))))))))</f>
        <v/>
      </c>
      <c r="AK72" s="35" t="str">
        <f aca="false">IF($B72="","",IF(AND($N72="",$O72="",$P72="",$Q72="",$R72=""),"","VINCULADO: "&amp;TRIM(IF($N72&lt;&gt;"",$N72&amp;" ","")&amp;IF($O72&lt;&gt;"",$O72&amp;" ","")&amp;IF($P72&lt;&gt;"",$P72&amp;" ","")&amp;IF($Q72&lt;&gt;"",$Q72&amp;" ","")&amp;IF($R72&lt;&gt;"",$R72,""))))</f>
        <v/>
      </c>
    </row>
    <row r="73" customFormat="false" ht="15" hidden="false" customHeight="false" outlineLevel="0" collapsed="false">
      <c r="A73" s="30" t="str">
        <f aca="false">IF($B73="","","LAN-"&amp;TEXT(ROW()-4,"000000"))</f>
        <v/>
      </c>
      <c r="B73" s="31"/>
      <c r="C73" s="32"/>
      <c r="D73" s="32"/>
      <c r="E73" s="32"/>
      <c r="F73" s="33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4" t="str">
        <f aca="false">IF($B73="","",YEAR($B73))</f>
        <v/>
      </c>
      <c r="U73" s="34" t="str">
        <f aca="false">IF($B73="","",MONTH($B73))</f>
        <v/>
      </c>
      <c r="V73" s="34" t="str">
        <f aca="false">IF($B73="","",YEAR($B73)*100+MONTH($B73))</f>
        <v/>
      </c>
      <c r="W73" s="35" t="str">
        <f aca="false">IF($D73="","",IFERROR(INDEX(MAP_CLASS,MATCH($D73,MAP_TIPO,0)),"TIPO INVALIDO"))</f>
        <v/>
      </c>
      <c r="X73" s="35" t="str">
        <f aca="false">IF($K73="","",IFERROR(INDEX(CAT_NOME,MATCH($K73,CAT_ID,0)),"?"))</f>
        <v/>
      </c>
      <c r="Y73" s="35" t="str">
        <f aca="false">IF($L73="","",IFERROR(INDEX(SUB_NOME,MATCH($L73,SUB_ID,0)),"?"))</f>
        <v/>
      </c>
      <c r="Z73" s="35" t="str">
        <f aca="false">IF($G73="","",IF($G73="EXTERNO","(Externo)",IFERROR(INDEX(ENT_NOME,MATCH($H73,ENT_ID,0)),"?")))</f>
        <v/>
      </c>
      <c r="AA73" s="35" t="str">
        <f aca="false">IF($I73="","",IF($I73="EXTERNO","(Externo)",IFERROR(INDEX(ENT_NOME,MATCH($J73,ENT_ID,0)),"?")))</f>
        <v/>
      </c>
      <c r="AB73" s="36" t="n">
        <f aca="false">IF($B73="",0,IF(AND($I73="CONTA",$G73&lt;&gt;"CONTA"),$F73,0))</f>
        <v>0</v>
      </c>
      <c r="AC73" s="36" t="n">
        <f aca="false">IF($B73="",0,IF(AND($G73="CONTA",$I73&lt;&gt;"CONTA"),$F73,0))</f>
        <v>0</v>
      </c>
      <c r="AD73" s="36" t="n">
        <f aca="false">IF($W73="RECEITA",$F73,0)</f>
        <v>0</v>
      </c>
      <c r="AE73" s="36" t="n">
        <f aca="false">IF($W73="DESPESA",$F73,0)</f>
        <v>0</v>
      </c>
      <c r="AF73" s="36" t="n">
        <f aca="false">IF($W73="RECEITA_FINANCEIRA",$F73,0)</f>
        <v>0</v>
      </c>
      <c r="AG73" s="36" t="n">
        <f aca="false">IF($B73="",0,IF($I73="CONTA",$F73,0)-IF($G73="CONTA",$F73,0))</f>
        <v>0</v>
      </c>
      <c r="AH73" s="36" t="n">
        <f aca="false">IF($B73="",0,IF($G73="CARTAO",$F73,0)-IF($I73="CARTAO",$F73,0))</f>
        <v>0</v>
      </c>
      <c r="AI73" s="36" t="n">
        <f aca="false">IF($B73="",0,IF($I73="INVESTIMENTO",$F73,0)-IF($G73="INVESTIMENTO",$F73,0))</f>
        <v>0</v>
      </c>
      <c r="AJ73" s="35" t="str">
        <f aca="false">IF($B73="","",IF(NOT(ISNUMBER($F73)),"ERRO: valor nao numerico",IF($F73&lt;=0,"ERRO: valor deve ser maior que zero",IF(COUNTIF(MAP_TIPO,$D73)=0,"ERRO: tipo de operacao nao cadastrado",IF(COUNTIF(LST_STATUS,$E73)=0,"ERRO: status invalido",IF(AND($G73="EXTERNO",$I73="EXTERNO"),"ERRO: origem e destino externos",IF(AND($G73&lt;&gt;"EXTERNO",COUNTIFS(ENT_ID,$H73,ENT_TIPO,$G73)=0),"ERRO: origem inexistente",IF(AND($I73&lt;&gt;"EXTERNO",COUNTIFS(ENT_ID,$J73,ENT_TIPO,$I73)=0),"ERRO: destino inexistente",IF(AND($K73&lt;&gt;"",COUNTIF(CAT_ID,$K73)=0),"ERRO: categoria inexistente",IF(AND($L73&lt;&gt;"",COUNTIF(SUB_ID,$L73)=0),"ERRO: subcategoria inexistente",IF(AND($L73&lt;&gt;"",$K73&lt;&gt;"",IFERROR(INDEX(SUB_CATID,MATCH($L73,SUB_ID,0)),"")&lt;&gt;$K73),"ERRO: subcategoria nao pertence a categoria",IF(AND($O73&lt;&gt;"",COUNTIF(P_ID,$O73)=0),"ERRO: parcela inexistente",IF(AND($N73&lt;&gt;"",COUNTIF(CM_ID,$N73)=0),"ERRO: compromisso inexistente","OK")))))))))))))</f>
        <v/>
      </c>
      <c r="AK73" s="35" t="str">
        <f aca="false">IF($B73="","",IF(AND($N73="",$O73="",$P73="",$Q73="",$R73=""),"","VINCULADO: "&amp;TRIM(IF($N73&lt;&gt;"",$N73&amp;" ","")&amp;IF($O73&lt;&gt;"",$O73&amp;" ","")&amp;IF($P73&lt;&gt;"",$P73&amp;" ","")&amp;IF($Q73&lt;&gt;"",$Q73&amp;" ","")&amp;IF($R73&lt;&gt;"",$R73,""))))</f>
        <v/>
      </c>
    </row>
    <row r="74" customFormat="false" ht="15" hidden="false" customHeight="false" outlineLevel="0" collapsed="false">
      <c r="A74" s="30" t="str">
        <f aca="false">IF($B74="","","LAN-"&amp;TEXT(ROW()-4,"000000"))</f>
        <v/>
      </c>
      <c r="B74" s="31"/>
      <c r="C74" s="32"/>
      <c r="D74" s="32"/>
      <c r="E74" s="32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4" t="str">
        <f aca="false">IF($B74="","",YEAR($B74))</f>
        <v/>
      </c>
      <c r="U74" s="34" t="str">
        <f aca="false">IF($B74="","",MONTH($B74))</f>
        <v/>
      </c>
      <c r="V74" s="34" t="str">
        <f aca="false">IF($B74="","",YEAR($B74)*100+MONTH($B74))</f>
        <v/>
      </c>
      <c r="W74" s="35" t="str">
        <f aca="false">IF($D74="","",IFERROR(INDEX(MAP_CLASS,MATCH($D74,MAP_TIPO,0)),"TIPO INVALIDO"))</f>
        <v/>
      </c>
      <c r="X74" s="35" t="str">
        <f aca="false">IF($K74="","",IFERROR(INDEX(CAT_NOME,MATCH($K74,CAT_ID,0)),"?"))</f>
        <v/>
      </c>
      <c r="Y74" s="35" t="str">
        <f aca="false">IF($L74="","",IFERROR(INDEX(SUB_NOME,MATCH($L74,SUB_ID,0)),"?"))</f>
        <v/>
      </c>
      <c r="Z74" s="35" t="str">
        <f aca="false">IF($G74="","",IF($G74="EXTERNO","(Externo)",IFERROR(INDEX(ENT_NOME,MATCH($H74,ENT_ID,0)),"?")))</f>
        <v/>
      </c>
      <c r="AA74" s="35" t="str">
        <f aca="false">IF($I74="","",IF($I74="EXTERNO","(Externo)",IFERROR(INDEX(ENT_NOME,MATCH($J74,ENT_ID,0)),"?")))</f>
        <v/>
      </c>
      <c r="AB74" s="36" t="n">
        <f aca="false">IF($B74="",0,IF(AND($I74="CONTA",$G74&lt;&gt;"CONTA"),$F74,0))</f>
        <v>0</v>
      </c>
      <c r="AC74" s="36" t="n">
        <f aca="false">IF($B74="",0,IF(AND($G74="CONTA",$I74&lt;&gt;"CONTA"),$F74,0))</f>
        <v>0</v>
      </c>
      <c r="AD74" s="36" t="n">
        <f aca="false">IF($W74="RECEITA",$F74,0)</f>
        <v>0</v>
      </c>
      <c r="AE74" s="36" t="n">
        <f aca="false">IF($W74="DESPESA",$F74,0)</f>
        <v>0</v>
      </c>
      <c r="AF74" s="36" t="n">
        <f aca="false">IF($W74="RECEITA_FINANCEIRA",$F74,0)</f>
        <v>0</v>
      </c>
      <c r="AG74" s="36" t="n">
        <f aca="false">IF($B74="",0,IF($I74="CONTA",$F74,0)-IF($G74="CONTA",$F74,0))</f>
        <v>0</v>
      </c>
      <c r="AH74" s="36" t="n">
        <f aca="false">IF($B74="",0,IF($G74="CARTAO",$F74,0)-IF($I74="CARTAO",$F74,0))</f>
        <v>0</v>
      </c>
      <c r="AI74" s="36" t="n">
        <f aca="false">IF($B74="",0,IF($I74="INVESTIMENTO",$F74,0)-IF($G74="INVESTIMENTO",$F74,0))</f>
        <v>0</v>
      </c>
      <c r="AJ74" s="35" t="str">
        <f aca="false">IF($B74="","",IF(NOT(ISNUMBER($F74)),"ERRO: valor nao numerico",IF($F74&lt;=0,"ERRO: valor deve ser maior que zero",IF(COUNTIF(MAP_TIPO,$D74)=0,"ERRO: tipo de operacao nao cadastrado",IF(COUNTIF(LST_STATUS,$E74)=0,"ERRO: status invalido",IF(AND($G74="EXTERNO",$I74="EXTERNO"),"ERRO: origem e destino externos",IF(AND($G74&lt;&gt;"EXTERNO",COUNTIFS(ENT_ID,$H74,ENT_TIPO,$G74)=0),"ERRO: origem inexistente",IF(AND($I74&lt;&gt;"EXTERNO",COUNTIFS(ENT_ID,$J74,ENT_TIPO,$I74)=0),"ERRO: destino inexistente",IF(AND($K74&lt;&gt;"",COUNTIF(CAT_ID,$K74)=0),"ERRO: categoria inexistente",IF(AND($L74&lt;&gt;"",COUNTIF(SUB_ID,$L74)=0),"ERRO: subcategoria inexistente",IF(AND($L74&lt;&gt;"",$K74&lt;&gt;"",IFERROR(INDEX(SUB_CATID,MATCH($L74,SUB_ID,0)),"")&lt;&gt;$K74),"ERRO: subcategoria nao pertence a categoria",IF(AND($O74&lt;&gt;"",COUNTIF(P_ID,$O74)=0),"ERRO: parcela inexistente",IF(AND($N74&lt;&gt;"",COUNTIF(CM_ID,$N74)=0),"ERRO: compromisso inexistente","OK")))))))))))))</f>
        <v/>
      </c>
      <c r="AK74" s="35" t="str">
        <f aca="false">IF($B74="","",IF(AND($N74="",$O74="",$P74="",$Q74="",$R74=""),"","VINCULADO: "&amp;TRIM(IF($N74&lt;&gt;"",$N74&amp;" ","")&amp;IF($O74&lt;&gt;"",$O74&amp;" ","")&amp;IF($P74&lt;&gt;"",$P74&amp;" ","")&amp;IF($Q74&lt;&gt;"",$Q74&amp;" ","")&amp;IF($R74&lt;&gt;"",$R74,""))))</f>
        <v/>
      </c>
    </row>
    <row r="75" customFormat="false" ht="15" hidden="false" customHeight="false" outlineLevel="0" collapsed="false">
      <c r="A75" s="30" t="str">
        <f aca="false">IF($B75="","","LAN-"&amp;TEXT(ROW()-4,"000000"))</f>
        <v/>
      </c>
      <c r="B75" s="31"/>
      <c r="C75" s="32"/>
      <c r="D75" s="32"/>
      <c r="E75" s="32"/>
      <c r="F75" s="33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4" t="str">
        <f aca="false">IF($B75="","",YEAR($B75))</f>
        <v/>
      </c>
      <c r="U75" s="34" t="str">
        <f aca="false">IF($B75="","",MONTH($B75))</f>
        <v/>
      </c>
      <c r="V75" s="34" t="str">
        <f aca="false">IF($B75="","",YEAR($B75)*100+MONTH($B75))</f>
        <v/>
      </c>
      <c r="W75" s="35" t="str">
        <f aca="false">IF($D75="","",IFERROR(INDEX(MAP_CLASS,MATCH($D75,MAP_TIPO,0)),"TIPO INVALIDO"))</f>
        <v/>
      </c>
      <c r="X75" s="35" t="str">
        <f aca="false">IF($K75="","",IFERROR(INDEX(CAT_NOME,MATCH($K75,CAT_ID,0)),"?"))</f>
        <v/>
      </c>
      <c r="Y75" s="35" t="str">
        <f aca="false">IF($L75="","",IFERROR(INDEX(SUB_NOME,MATCH($L75,SUB_ID,0)),"?"))</f>
        <v/>
      </c>
      <c r="Z75" s="35" t="str">
        <f aca="false">IF($G75="","",IF($G75="EXTERNO","(Externo)",IFERROR(INDEX(ENT_NOME,MATCH($H75,ENT_ID,0)),"?")))</f>
        <v/>
      </c>
      <c r="AA75" s="35" t="str">
        <f aca="false">IF($I75="","",IF($I75="EXTERNO","(Externo)",IFERROR(INDEX(ENT_NOME,MATCH($J75,ENT_ID,0)),"?")))</f>
        <v/>
      </c>
      <c r="AB75" s="36" t="n">
        <f aca="false">IF($B75="",0,IF(AND($I75="CONTA",$G75&lt;&gt;"CONTA"),$F75,0))</f>
        <v>0</v>
      </c>
      <c r="AC75" s="36" t="n">
        <f aca="false">IF($B75="",0,IF(AND($G75="CONTA",$I75&lt;&gt;"CONTA"),$F75,0))</f>
        <v>0</v>
      </c>
      <c r="AD75" s="36" t="n">
        <f aca="false">IF($W75="RECEITA",$F75,0)</f>
        <v>0</v>
      </c>
      <c r="AE75" s="36" t="n">
        <f aca="false">IF($W75="DESPESA",$F75,0)</f>
        <v>0</v>
      </c>
      <c r="AF75" s="36" t="n">
        <f aca="false">IF($W75="RECEITA_FINANCEIRA",$F75,0)</f>
        <v>0</v>
      </c>
      <c r="AG75" s="36" t="n">
        <f aca="false">IF($B75="",0,IF($I75="CONTA",$F75,0)-IF($G75="CONTA",$F75,0))</f>
        <v>0</v>
      </c>
      <c r="AH75" s="36" t="n">
        <f aca="false">IF($B75="",0,IF($G75="CARTAO",$F75,0)-IF($I75="CARTAO",$F75,0))</f>
        <v>0</v>
      </c>
      <c r="AI75" s="36" t="n">
        <f aca="false">IF($B75="",0,IF($I75="INVESTIMENTO",$F75,0)-IF($G75="INVESTIMENTO",$F75,0))</f>
        <v>0</v>
      </c>
      <c r="AJ75" s="35" t="str">
        <f aca="false">IF($B75="","",IF(NOT(ISNUMBER($F75)),"ERRO: valor nao numerico",IF($F75&lt;=0,"ERRO: valor deve ser maior que zero",IF(COUNTIF(MAP_TIPO,$D75)=0,"ERRO: tipo de operacao nao cadastrado",IF(COUNTIF(LST_STATUS,$E75)=0,"ERRO: status invalido",IF(AND($G75="EXTERNO",$I75="EXTERNO"),"ERRO: origem e destino externos",IF(AND($G75&lt;&gt;"EXTERNO",COUNTIFS(ENT_ID,$H75,ENT_TIPO,$G75)=0),"ERRO: origem inexistente",IF(AND($I75&lt;&gt;"EXTERNO",COUNTIFS(ENT_ID,$J75,ENT_TIPO,$I75)=0),"ERRO: destino inexistente",IF(AND($K75&lt;&gt;"",COUNTIF(CAT_ID,$K75)=0),"ERRO: categoria inexistente",IF(AND($L75&lt;&gt;"",COUNTIF(SUB_ID,$L75)=0),"ERRO: subcategoria inexistente",IF(AND($L75&lt;&gt;"",$K75&lt;&gt;"",IFERROR(INDEX(SUB_CATID,MATCH($L75,SUB_ID,0)),"")&lt;&gt;$K75),"ERRO: subcategoria nao pertence a categoria",IF(AND($O75&lt;&gt;"",COUNTIF(P_ID,$O75)=0),"ERRO: parcela inexistente",IF(AND($N75&lt;&gt;"",COUNTIF(CM_ID,$N75)=0),"ERRO: compromisso inexistente","OK")))))))))))))</f>
        <v/>
      </c>
      <c r="AK75" s="35" t="str">
        <f aca="false">IF($B75="","",IF(AND($N75="",$O75="",$P75="",$Q75="",$R75=""),"","VINCULADO: "&amp;TRIM(IF($N75&lt;&gt;"",$N75&amp;" ","")&amp;IF($O75&lt;&gt;"",$O75&amp;" ","")&amp;IF($P75&lt;&gt;"",$P75&amp;" ","")&amp;IF($Q75&lt;&gt;"",$Q75&amp;" ","")&amp;IF($R75&lt;&gt;"",$R75,""))))</f>
        <v/>
      </c>
    </row>
    <row r="76" customFormat="false" ht="15" hidden="false" customHeight="false" outlineLevel="0" collapsed="false">
      <c r="A76" s="30" t="str">
        <f aca="false">IF($B76="","","LAN-"&amp;TEXT(ROW()-4,"000000"))</f>
        <v/>
      </c>
      <c r="B76" s="31"/>
      <c r="C76" s="32"/>
      <c r="D76" s="32"/>
      <c r="E76" s="32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4" t="str">
        <f aca="false">IF($B76="","",YEAR($B76))</f>
        <v/>
      </c>
      <c r="U76" s="34" t="str">
        <f aca="false">IF($B76="","",MONTH($B76))</f>
        <v/>
      </c>
      <c r="V76" s="34" t="str">
        <f aca="false">IF($B76="","",YEAR($B76)*100+MONTH($B76))</f>
        <v/>
      </c>
      <c r="W76" s="35" t="str">
        <f aca="false">IF($D76="","",IFERROR(INDEX(MAP_CLASS,MATCH($D76,MAP_TIPO,0)),"TIPO INVALIDO"))</f>
        <v/>
      </c>
      <c r="X76" s="35" t="str">
        <f aca="false">IF($K76="","",IFERROR(INDEX(CAT_NOME,MATCH($K76,CAT_ID,0)),"?"))</f>
        <v/>
      </c>
      <c r="Y76" s="35" t="str">
        <f aca="false">IF($L76="","",IFERROR(INDEX(SUB_NOME,MATCH($L76,SUB_ID,0)),"?"))</f>
        <v/>
      </c>
      <c r="Z76" s="35" t="str">
        <f aca="false">IF($G76="","",IF($G76="EXTERNO","(Externo)",IFERROR(INDEX(ENT_NOME,MATCH($H76,ENT_ID,0)),"?")))</f>
        <v/>
      </c>
      <c r="AA76" s="35" t="str">
        <f aca="false">IF($I76="","",IF($I76="EXTERNO","(Externo)",IFERROR(INDEX(ENT_NOME,MATCH($J76,ENT_ID,0)),"?")))</f>
        <v/>
      </c>
      <c r="AB76" s="36" t="n">
        <f aca="false">IF($B76="",0,IF(AND($I76="CONTA",$G76&lt;&gt;"CONTA"),$F76,0))</f>
        <v>0</v>
      </c>
      <c r="AC76" s="36" t="n">
        <f aca="false">IF($B76="",0,IF(AND($G76="CONTA",$I76&lt;&gt;"CONTA"),$F76,0))</f>
        <v>0</v>
      </c>
      <c r="AD76" s="36" t="n">
        <f aca="false">IF($W76="RECEITA",$F76,0)</f>
        <v>0</v>
      </c>
      <c r="AE76" s="36" t="n">
        <f aca="false">IF($W76="DESPESA",$F76,0)</f>
        <v>0</v>
      </c>
      <c r="AF76" s="36" t="n">
        <f aca="false">IF($W76="RECEITA_FINANCEIRA",$F76,0)</f>
        <v>0</v>
      </c>
      <c r="AG76" s="36" t="n">
        <f aca="false">IF($B76="",0,IF($I76="CONTA",$F76,0)-IF($G76="CONTA",$F76,0))</f>
        <v>0</v>
      </c>
      <c r="AH76" s="36" t="n">
        <f aca="false">IF($B76="",0,IF($G76="CARTAO",$F76,0)-IF($I76="CARTAO",$F76,0))</f>
        <v>0</v>
      </c>
      <c r="AI76" s="36" t="n">
        <f aca="false">IF($B76="",0,IF($I76="INVESTIMENTO",$F76,0)-IF($G76="INVESTIMENTO",$F76,0))</f>
        <v>0</v>
      </c>
      <c r="AJ76" s="35" t="str">
        <f aca="false">IF($B76="","",IF(NOT(ISNUMBER($F76)),"ERRO: valor nao numerico",IF($F76&lt;=0,"ERRO: valor deve ser maior que zero",IF(COUNTIF(MAP_TIPO,$D76)=0,"ERRO: tipo de operacao nao cadastrado",IF(COUNTIF(LST_STATUS,$E76)=0,"ERRO: status invalido",IF(AND($G76="EXTERNO",$I76="EXTERNO"),"ERRO: origem e destino externos",IF(AND($G76&lt;&gt;"EXTERNO",COUNTIFS(ENT_ID,$H76,ENT_TIPO,$G76)=0),"ERRO: origem inexistente",IF(AND($I76&lt;&gt;"EXTERNO",COUNTIFS(ENT_ID,$J76,ENT_TIPO,$I76)=0),"ERRO: destino inexistente",IF(AND($K76&lt;&gt;"",COUNTIF(CAT_ID,$K76)=0),"ERRO: categoria inexistente",IF(AND($L76&lt;&gt;"",COUNTIF(SUB_ID,$L76)=0),"ERRO: subcategoria inexistente",IF(AND($L76&lt;&gt;"",$K76&lt;&gt;"",IFERROR(INDEX(SUB_CATID,MATCH($L76,SUB_ID,0)),"")&lt;&gt;$K76),"ERRO: subcategoria nao pertence a categoria",IF(AND($O76&lt;&gt;"",COUNTIF(P_ID,$O76)=0),"ERRO: parcela inexistente",IF(AND($N76&lt;&gt;"",COUNTIF(CM_ID,$N76)=0),"ERRO: compromisso inexistente","OK")))))))))))))</f>
        <v/>
      </c>
      <c r="AK76" s="35" t="str">
        <f aca="false">IF($B76="","",IF(AND($N76="",$O76="",$P76="",$Q76="",$R76=""),"","VINCULADO: "&amp;TRIM(IF($N76&lt;&gt;"",$N76&amp;" ","")&amp;IF($O76&lt;&gt;"",$O76&amp;" ","")&amp;IF($P76&lt;&gt;"",$P76&amp;" ","")&amp;IF($Q76&lt;&gt;"",$Q76&amp;" ","")&amp;IF($R76&lt;&gt;"",$R76,""))))</f>
        <v/>
      </c>
    </row>
    <row r="77" customFormat="false" ht="15" hidden="false" customHeight="false" outlineLevel="0" collapsed="false">
      <c r="A77" s="30" t="str">
        <f aca="false">IF($B77="","","LAN-"&amp;TEXT(ROW()-4,"000000"))</f>
        <v/>
      </c>
      <c r="B77" s="31"/>
      <c r="C77" s="32"/>
      <c r="D77" s="32"/>
      <c r="E77" s="32"/>
      <c r="F77" s="33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4" t="str">
        <f aca="false">IF($B77="","",YEAR($B77))</f>
        <v/>
      </c>
      <c r="U77" s="34" t="str">
        <f aca="false">IF($B77="","",MONTH($B77))</f>
        <v/>
      </c>
      <c r="V77" s="34" t="str">
        <f aca="false">IF($B77="","",YEAR($B77)*100+MONTH($B77))</f>
        <v/>
      </c>
      <c r="W77" s="35" t="str">
        <f aca="false">IF($D77="","",IFERROR(INDEX(MAP_CLASS,MATCH($D77,MAP_TIPO,0)),"TIPO INVALIDO"))</f>
        <v/>
      </c>
      <c r="X77" s="35" t="str">
        <f aca="false">IF($K77="","",IFERROR(INDEX(CAT_NOME,MATCH($K77,CAT_ID,0)),"?"))</f>
        <v/>
      </c>
      <c r="Y77" s="35" t="str">
        <f aca="false">IF($L77="","",IFERROR(INDEX(SUB_NOME,MATCH($L77,SUB_ID,0)),"?"))</f>
        <v/>
      </c>
      <c r="Z77" s="35" t="str">
        <f aca="false">IF($G77="","",IF($G77="EXTERNO","(Externo)",IFERROR(INDEX(ENT_NOME,MATCH($H77,ENT_ID,0)),"?")))</f>
        <v/>
      </c>
      <c r="AA77" s="35" t="str">
        <f aca="false">IF($I77="","",IF($I77="EXTERNO","(Externo)",IFERROR(INDEX(ENT_NOME,MATCH($J77,ENT_ID,0)),"?")))</f>
        <v/>
      </c>
      <c r="AB77" s="36" t="n">
        <f aca="false">IF($B77="",0,IF(AND($I77="CONTA",$G77&lt;&gt;"CONTA"),$F77,0))</f>
        <v>0</v>
      </c>
      <c r="AC77" s="36" t="n">
        <f aca="false">IF($B77="",0,IF(AND($G77="CONTA",$I77&lt;&gt;"CONTA"),$F77,0))</f>
        <v>0</v>
      </c>
      <c r="AD77" s="36" t="n">
        <f aca="false">IF($W77="RECEITA",$F77,0)</f>
        <v>0</v>
      </c>
      <c r="AE77" s="36" t="n">
        <f aca="false">IF($W77="DESPESA",$F77,0)</f>
        <v>0</v>
      </c>
      <c r="AF77" s="36" t="n">
        <f aca="false">IF($W77="RECEITA_FINANCEIRA",$F77,0)</f>
        <v>0</v>
      </c>
      <c r="AG77" s="36" t="n">
        <f aca="false">IF($B77="",0,IF($I77="CONTA",$F77,0)-IF($G77="CONTA",$F77,0))</f>
        <v>0</v>
      </c>
      <c r="AH77" s="36" t="n">
        <f aca="false">IF($B77="",0,IF($G77="CARTAO",$F77,0)-IF($I77="CARTAO",$F77,0))</f>
        <v>0</v>
      </c>
      <c r="AI77" s="36" t="n">
        <f aca="false">IF($B77="",0,IF($I77="INVESTIMENTO",$F77,0)-IF($G77="INVESTIMENTO",$F77,0))</f>
        <v>0</v>
      </c>
      <c r="AJ77" s="35" t="str">
        <f aca="false">IF($B77="","",IF(NOT(ISNUMBER($F77)),"ERRO: valor nao numerico",IF($F77&lt;=0,"ERRO: valor deve ser maior que zero",IF(COUNTIF(MAP_TIPO,$D77)=0,"ERRO: tipo de operacao nao cadastrado",IF(COUNTIF(LST_STATUS,$E77)=0,"ERRO: status invalido",IF(AND($G77="EXTERNO",$I77="EXTERNO"),"ERRO: origem e destino externos",IF(AND($G77&lt;&gt;"EXTERNO",COUNTIFS(ENT_ID,$H77,ENT_TIPO,$G77)=0),"ERRO: origem inexistente",IF(AND($I77&lt;&gt;"EXTERNO",COUNTIFS(ENT_ID,$J77,ENT_TIPO,$I77)=0),"ERRO: destino inexistente",IF(AND($K77&lt;&gt;"",COUNTIF(CAT_ID,$K77)=0),"ERRO: categoria inexistente",IF(AND($L77&lt;&gt;"",COUNTIF(SUB_ID,$L77)=0),"ERRO: subcategoria inexistente",IF(AND($L77&lt;&gt;"",$K77&lt;&gt;"",IFERROR(INDEX(SUB_CATID,MATCH($L77,SUB_ID,0)),"")&lt;&gt;$K77),"ERRO: subcategoria nao pertence a categoria",IF(AND($O77&lt;&gt;"",COUNTIF(P_ID,$O77)=0),"ERRO: parcela inexistente",IF(AND($N77&lt;&gt;"",COUNTIF(CM_ID,$N77)=0),"ERRO: compromisso inexistente","OK")))))))))))))</f>
        <v/>
      </c>
      <c r="AK77" s="35" t="str">
        <f aca="false">IF($B77="","",IF(AND($N77="",$O77="",$P77="",$Q77="",$R77=""),"","VINCULADO: "&amp;TRIM(IF($N77&lt;&gt;"",$N77&amp;" ","")&amp;IF($O77&lt;&gt;"",$O77&amp;" ","")&amp;IF($P77&lt;&gt;"",$P77&amp;" ","")&amp;IF($Q77&lt;&gt;"",$Q77&amp;" ","")&amp;IF($R77&lt;&gt;"",$R77,""))))</f>
        <v/>
      </c>
    </row>
    <row r="78" customFormat="false" ht="15" hidden="false" customHeight="false" outlineLevel="0" collapsed="false">
      <c r="A78" s="30" t="str">
        <f aca="false">IF($B78="","","LAN-"&amp;TEXT(ROW()-4,"000000"))</f>
        <v/>
      </c>
      <c r="B78" s="31"/>
      <c r="C78" s="32"/>
      <c r="D78" s="32"/>
      <c r="E78" s="32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4" t="str">
        <f aca="false">IF($B78="","",YEAR($B78))</f>
        <v/>
      </c>
      <c r="U78" s="34" t="str">
        <f aca="false">IF($B78="","",MONTH($B78))</f>
        <v/>
      </c>
      <c r="V78" s="34" t="str">
        <f aca="false">IF($B78="","",YEAR($B78)*100+MONTH($B78))</f>
        <v/>
      </c>
      <c r="W78" s="35" t="str">
        <f aca="false">IF($D78="","",IFERROR(INDEX(MAP_CLASS,MATCH($D78,MAP_TIPO,0)),"TIPO INVALIDO"))</f>
        <v/>
      </c>
      <c r="X78" s="35" t="str">
        <f aca="false">IF($K78="","",IFERROR(INDEX(CAT_NOME,MATCH($K78,CAT_ID,0)),"?"))</f>
        <v/>
      </c>
      <c r="Y78" s="35" t="str">
        <f aca="false">IF($L78="","",IFERROR(INDEX(SUB_NOME,MATCH($L78,SUB_ID,0)),"?"))</f>
        <v/>
      </c>
      <c r="Z78" s="35" t="str">
        <f aca="false">IF($G78="","",IF($G78="EXTERNO","(Externo)",IFERROR(INDEX(ENT_NOME,MATCH($H78,ENT_ID,0)),"?")))</f>
        <v/>
      </c>
      <c r="AA78" s="35" t="str">
        <f aca="false">IF($I78="","",IF($I78="EXTERNO","(Externo)",IFERROR(INDEX(ENT_NOME,MATCH($J78,ENT_ID,0)),"?")))</f>
        <v/>
      </c>
      <c r="AB78" s="36" t="n">
        <f aca="false">IF($B78="",0,IF(AND($I78="CONTA",$G78&lt;&gt;"CONTA"),$F78,0))</f>
        <v>0</v>
      </c>
      <c r="AC78" s="36" t="n">
        <f aca="false">IF($B78="",0,IF(AND($G78="CONTA",$I78&lt;&gt;"CONTA"),$F78,0))</f>
        <v>0</v>
      </c>
      <c r="AD78" s="36" t="n">
        <f aca="false">IF($W78="RECEITA",$F78,0)</f>
        <v>0</v>
      </c>
      <c r="AE78" s="36" t="n">
        <f aca="false">IF($W78="DESPESA",$F78,0)</f>
        <v>0</v>
      </c>
      <c r="AF78" s="36" t="n">
        <f aca="false">IF($W78="RECEITA_FINANCEIRA",$F78,0)</f>
        <v>0</v>
      </c>
      <c r="AG78" s="36" t="n">
        <f aca="false">IF($B78="",0,IF($I78="CONTA",$F78,0)-IF($G78="CONTA",$F78,0))</f>
        <v>0</v>
      </c>
      <c r="AH78" s="36" t="n">
        <f aca="false">IF($B78="",0,IF($G78="CARTAO",$F78,0)-IF($I78="CARTAO",$F78,0))</f>
        <v>0</v>
      </c>
      <c r="AI78" s="36" t="n">
        <f aca="false">IF($B78="",0,IF($I78="INVESTIMENTO",$F78,0)-IF($G78="INVESTIMENTO",$F78,0))</f>
        <v>0</v>
      </c>
      <c r="AJ78" s="35" t="str">
        <f aca="false">IF($B78="","",IF(NOT(ISNUMBER($F78)),"ERRO: valor nao numerico",IF($F78&lt;=0,"ERRO: valor deve ser maior que zero",IF(COUNTIF(MAP_TIPO,$D78)=0,"ERRO: tipo de operacao nao cadastrado",IF(COUNTIF(LST_STATUS,$E78)=0,"ERRO: status invalido",IF(AND($G78="EXTERNO",$I78="EXTERNO"),"ERRO: origem e destino externos",IF(AND($G78&lt;&gt;"EXTERNO",COUNTIFS(ENT_ID,$H78,ENT_TIPO,$G78)=0),"ERRO: origem inexistente",IF(AND($I78&lt;&gt;"EXTERNO",COUNTIFS(ENT_ID,$J78,ENT_TIPO,$I78)=0),"ERRO: destino inexistente",IF(AND($K78&lt;&gt;"",COUNTIF(CAT_ID,$K78)=0),"ERRO: categoria inexistente",IF(AND($L78&lt;&gt;"",COUNTIF(SUB_ID,$L78)=0),"ERRO: subcategoria inexistente",IF(AND($L78&lt;&gt;"",$K78&lt;&gt;"",IFERROR(INDEX(SUB_CATID,MATCH($L78,SUB_ID,0)),"")&lt;&gt;$K78),"ERRO: subcategoria nao pertence a categoria",IF(AND($O78&lt;&gt;"",COUNTIF(P_ID,$O78)=0),"ERRO: parcela inexistente",IF(AND($N78&lt;&gt;"",COUNTIF(CM_ID,$N78)=0),"ERRO: compromisso inexistente","OK")))))))))))))</f>
        <v/>
      </c>
      <c r="AK78" s="35" t="str">
        <f aca="false">IF($B78="","",IF(AND($N78="",$O78="",$P78="",$Q78="",$R78=""),"","VINCULADO: "&amp;TRIM(IF($N78&lt;&gt;"",$N78&amp;" ","")&amp;IF($O78&lt;&gt;"",$O78&amp;" ","")&amp;IF($P78&lt;&gt;"",$P78&amp;" ","")&amp;IF($Q78&lt;&gt;"",$Q78&amp;" ","")&amp;IF($R78&lt;&gt;"",$R78,""))))</f>
        <v/>
      </c>
    </row>
    <row r="79" customFormat="false" ht="15" hidden="false" customHeight="false" outlineLevel="0" collapsed="false">
      <c r="A79" s="30" t="str">
        <f aca="false">IF($B79="","","LAN-"&amp;TEXT(ROW()-4,"000000"))</f>
        <v/>
      </c>
      <c r="B79" s="31"/>
      <c r="C79" s="32"/>
      <c r="D79" s="32"/>
      <c r="E79" s="32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4" t="str">
        <f aca="false">IF($B79="","",YEAR($B79))</f>
        <v/>
      </c>
      <c r="U79" s="34" t="str">
        <f aca="false">IF($B79="","",MONTH($B79))</f>
        <v/>
      </c>
      <c r="V79" s="34" t="str">
        <f aca="false">IF($B79="","",YEAR($B79)*100+MONTH($B79))</f>
        <v/>
      </c>
      <c r="W79" s="35" t="str">
        <f aca="false">IF($D79="","",IFERROR(INDEX(MAP_CLASS,MATCH($D79,MAP_TIPO,0)),"TIPO INVALIDO"))</f>
        <v/>
      </c>
      <c r="X79" s="35" t="str">
        <f aca="false">IF($K79="","",IFERROR(INDEX(CAT_NOME,MATCH($K79,CAT_ID,0)),"?"))</f>
        <v/>
      </c>
      <c r="Y79" s="35" t="str">
        <f aca="false">IF($L79="","",IFERROR(INDEX(SUB_NOME,MATCH($L79,SUB_ID,0)),"?"))</f>
        <v/>
      </c>
      <c r="Z79" s="35" t="str">
        <f aca="false">IF($G79="","",IF($G79="EXTERNO","(Externo)",IFERROR(INDEX(ENT_NOME,MATCH($H79,ENT_ID,0)),"?")))</f>
        <v/>
      </c>
      <c r="AA79" s="35" t="str">
        <f aca="false">IF($I79="","",IF($I79="EXTERNO","(Externo)",IFERROR(INDEX(ENT_NOME,MATCH($J79,ENT_ID,0)),"?")))</f>
        <v/>
      </c>
      <c r="AB79" s="36" t="n">
        <f aca="false">IF($B79="",0,IF(AND($I79="CONTA",$G79&lt;&gt;"CONTA"),$F79,0))</f>
        <v>0</v>
      </c>
      <c r="AC79" s="36" t="n">
        <f aca="false">IF($B79="",0,IF(AND($G79="CONTA",$I79&lt;&gt;"CONTA"),$F79,0))</f>
        <v>0</v>
      </c>
      <c r="AD79" s="36" t="n">
        <f aca="false">IF($W79="RECEITA",$F79,0)</f>
        <v>0</v>
      </c>
      <c r="AE79" s="36" t="n">
        <f aca="false">IF($W79="DESPESA",$F79,0)</f>
        <v>0</v>
      </c>
      <c r="AF79" s="36" t="n">
        <f aca="false">IF($W79="RECEITA_FINANCEIRA",$F79,0)</f>
        <v>0</v>
      </c>
      <c r="AG79" s="36" t="n">
        <f aca="false">IF($B79="",0,IF($I79="CONTA",$F79,0)-IF($G79="CONTA",$F79,0))</f>
        <v>0</v>
      </c>
      <c r="AH79" s="36" t="n">
        <f aca="false">IF($B79="",0,IF($G79="CARTAO",$F79,0)-IF($I79="CARTAO",$F79,0))</f>
        <v>0</v>
      </c>
      <c r="AI79" s="36" t="n">
        <f aca="false">IF($B79="",0,IF($I79="INVESTIMENTO",$F79,0)-IF($G79="INVESTIMENTO",$F79,0))</f>
        <v>0</v>
      </c>
      <c r="AJ79" s="35" t="str">
        <f aca="false">IF($B79="","",IF(NOT(ISNUMBER($F79)),"ERRO: valor nao numerico",IF($F79&lt;=0,"ERRO: valor deve ser maior que zero",IF(COUNTIF(MAP_TIPO,$D79)=0,"ERRO: tipo de operacao nao cadastrado",IF(COUNTIF(LST_STATUS,$E79)=0,"ERRO: status invalido",IF(AND($G79="EXTERNO",$I79="EXTERNO"),"ERRO: origem e destino externos",IF(AND($G79&lt;&gt;"EXTERNO",COUNTIFS(ENT_ID,$H79,ENT_TIPO,$G79)=0),"ERRO: origem inexistente",IF(AND($I79&lt;&gt;"EXTERNO",COUNTIFS(ENT_ID,$J79,ENT_TIPO,$I79)=0),"ERRO: destino inexistente",IF(AND($K79&lt;&gt;"",COUNTIF(CAT_ID,$K79)=0),"ERRO: categoria inexistente",IF(AND($L79&lt;&gt;"",COUNTIF(SUB_ID,$L79)=0),"ERRO: subcategoria inexistente",IF(AND($L79&lt;&gt;"",$K79&lt;&gt;"",IFERROR(INDEX(SUB_CATID,MATCH($L79,SUB_ID,0)),"")&lt;&gt;$K79),"ERRO: subcategoria nao pertence a categoria",IF(AND($O79&lt;&gt;"",COUNTIF(P_ID,$O79)=0),"ERRO: parcela inexistente",IF(AND($N79&lt;&gt;"",COUNTIF(CM_ID,$N79)=0),"ERRO: compromisso inexistente","OK")))))))))))))</f>
        <v/>
      </c>
      <c r="AK79" s="35" t="str">
        <f aca="false">IF($B79="","",IF(AND($N79="",$O79="",$P79="",$Q79="",$R79=""),"","VINCULADO: "&amp;TRIM(IF($N79&lt;&gt;"",$N79&amp;" ","")&amp;IF($O79&lt;&gt;"",$O79&amp;" ","")&amp;IF($P79&lt;&gt;"",$P79&amp;" ","")&amp;IF($Q79&lt;&gt;"",$Q79&amp;" ","")&amp;IF($R79&lt;&gt;"",$R79,""))))</f>
        <v/>
      </c>
    </row>
    <row r="80" customFormat="false" ht="15" hidden="false" customHeight="false" outlineLevel="0" collapsed="false">
      <c r="A80" s="30" t="str">
        <f aca="false">IF($B80="","","LAN-"&amp;TEXT(ROW()-4,"000000"))</f>
        <v/>
      </c>
      <c r="B80" s="31"/>
      <c r="C80" s="32"/>
      <c r="D80" s="32"/>
      <c r="E80" s="32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4" t="str">
        <f aca="false">IF($B80="","",YEAR($B80))</f>
        <v/>
      </c>
      <c r="U80" s="34" t="str">
        <f aca="false">IF($B80="","",MONTH($B80))</f>
        <v/>
      </c>
      <c r="V80" s="34" t="str">
        <f aca="false">IF($B80="","",YEAR($B80)*100+MONTH($B80))</f>
        <v/>
      </c>
      <c r="W80" s="35" t="str">
        <f aca="false">IF($D80="","",IFERROR(INDEX(MAP_CLASS,MATCH($D80,MAP_TIPO,0)),"TIPO INVALIDO"))</f>
        <v/>
      </c>
      <c r="X80" s="35" t="str">
        <f aca="false">IF($K80="","",IFERROR(INDEX(CAT_NOME,MATCH($K80,CAT_ID,0)),"?"))</f>
        <v/>
      </c>
      <c r="Y80" s="35" t="str">
        <f aca="false">IF($L80="","",IFERROR(INDEX(SUB_NOME,MATCH($L80,SUB_ID,0)),"?"))</f>
        <v/>
      </c>
      <c r="Z80" s="35" t="str">
        <f aca="false">IF($G80="","",IF($G80="EXTERNO","(Externo)",IFERROR(INDEX(ENT_NOME,MATCH($H80,ENT_ID,0)),"?")))</f>
        <v/>
      </c>
      <c r="AA80" s="35" t="str">
        <f aca="false">IF($I80="","",IF($I80="EXTERNO","(Externo)",IFERROR(INDEX(ENT_NOME,MATCH($J80,ENT_ID,0)),"?")))</f>
        <v/>
      </c>
      <c r="AB80" s="36" t="n">
        <f aca="false">IF($B80="",0,IF(AND($I80="CONTA",$G80&lt;&gt;"CONTA"),$F80,0))</f>
        <v>0</v>
      </c>
      <c r="AC80" s="36" t="n">
        <f aca="false">IF($B80="",0,IF(AND($G80="CONTA",$I80&lt;&gt;"CONTA"),$F80,0))</f>
        <v>0</v>
      </c>
      <c r="AD80" s="36" t="n">
        <f aca="false">IF($W80="RECEITA",$F80,0)</f>
        <v>0</v>
      </c>
      <c r="AE80" s="36" t="n">
        <f aca="false">IF($W80="DESPESA",$F80,0)</f>
        <v>0</v>
      </c>
      <c r="AF80" s="36" t="n">
        <f aca="false">IF($W80="RECEITA_FINANCEIRA",$F80,0)</f>
        <v>0</v>
      </c>
      <c r="AG80" s="36" t="n">
        <f aca="false">IF($B80="",0,IF($I80="CONTA",$F80,0)-IF($G80="CONTA",$F80,0))</f>
        <v>0</v>
      </c>
      <c r="AH80" s="36" t="n">
        <f aca="false">IF($B80="",0,IF($G80="CARTAO",$F80,0)-IF($I80="CARTAO",$F80,0))</f>
        <v>0</v>
      </c>
      <c r="AI80" s="36" t="n">
        <f aca="false">IF($B80="",0,IF($I80="INVESTIMENTO",$F80,0)-IF($G80="INVESTIMENTO",$F80,0))</f>
        <v>0</v>
      </c>
      <c r="AJ80" s="35" t="str">
        <f aca="false">IF($B80="","",IF(NOT(ISNUMBER($F80)),"ERRO: valor nao numerico",IF($F80&lt;=0,"ERRO: valor deve ser maior que zero",IF(COUNTIF(MAP_TIPO,$D80)=0,"ERRO: tipo de operacao nao cadastrado",IF(COUNTIF(LST_STATUS,$E80)=0,"ERRO: status invalido",IF(AND($G80="EXTERNO",$I80="EXTERNO"),"ERRO: origem e destino externos",IF(AND($G80&lt;&gt;"EXTERNO",COUNTIFS(ENT_ID,$H80,ENT_TIPO,$G80)=0),"ERRO: origem inexistente",IF(AND($I80&lt;&gt;"EXTERNO",COUNTIFS(ENT_ID,$J80,ENT_TIPO,$I80)=0),"ERRO: destino inexistente",IF(AND($K80&lt;&gt;"",COUNTIF(CAT_ID,$K80)=0),"ERRO: categoria inexistente",IF(AND($L80&lt;&gt;"",COUNTIF(SUB_ID,$L80)=0),"ERRO: subcategoria inexistente",IF(AND($L80&lt;&gt;"",$K80&lt;&gt;"",IFERROR(INDEX(SUB_CATID,MATCH($L80,SUB_ID,0)),"")&lt;&gt;$K80),"ERRO: subcategoria nao pertence a categoria",IF(AND($O80&lt;&gt;"",COUNTIF(P_ID,$O80)=0),"ERRO: parcela inexistente",IF(AND($N80&lt;&gt;"",COUNTIF(CM_ID,$N80)=0),"ERRO: compromisso inexistente","OK")))))))))))))</f>
        <v/>
      </c>
      <c r="AK80" s="35" t="str">
        <f aca="false">IF($B80="","",IF(AND($N80="",$O80="",$P80="",$Q80="",$R80=""),"","VINCULADO: "&amp;TRIM(IF($N80&lt;&gt;"",$N80&amp;" ","")&amp;IF($O80&lt;&gt;"",$O80&amp;" ","")&amp;IF($P80&lt;&gt;"",$P80&amp;" ","")&amp;IF($Q80&lt;&gt;"",$Q80&amp;" ","")&amp;IF($R80&lt;&gt;"",$R80,""))))</f>
        <v/>
      </c>
    </row>
    <row r="81" customFormat="false" ht="15" hidden="false" customHeight="false" outlineLevel="0" collapsed="false">
      <c r="A81" s="30" t="str">
        <f aca="false">IF($B81="","","LAN-"&amp;TEXT(ROW()-4,"000000"))</f>
        <v/>
      </c>
      <c r="B81" s="31"/>
      <c r="C81" s="32"/>
      <c r="D81" s="32"/>
      <c r="E81" s="32"/>
      <c r="F81" s="33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4" t="str">
        <f aca="false">IF($B81="","",YEAR($B81))</f>
        <v/>
      </c>
      <c r="U81" s="34" t="str">
        <f aca="false">IF($B81="","",MONTH($B81))</f>
        <v/>
      </c>
      <c r="V81" s="34" t="str">
        <f aca="false">IF($B81="","",YEAR($B81)*100+MONTH($B81))</f>
        <v/>
      </c>
      <c r="W81" s="35" t="str">
        <f aca="false">IF($D81="","",IFERROR(INDEX(MAP_CLASS,MATCH($D81,MAP_TIPO,0)),"TIPO INVALIDO"))</f>
        <v/>
      </c>
      <c r="X81" s="35" t="str">
        <f aca="false">IF($K81="","",IFERROR(INDEX(CAT_NOME,MATCH($K81,CAT_ID,0)),"?"))</f>
        <v/>
      </c>
      <c r="Y81" s="35" t="str">
        <f aca="false">IF($L81="","",IFERROR(INDEX(SUB_NOME,MATCH($L81,SUB_ID,0)),"?"))</f>
        <v/>
      </c>
      <c r="Z81" s="35" t="str">
        <f aca="false">IF($G81="","",IF($G81="EXTERNO","(Externo)",IFERROR(INDEX(ENT_NOME,MATCH($H81,ENT_ID,0)),"?")))</f>
        <v/>
      </c>
      <c r="AA81" s="35" t="str">
        <f aca="false">IF($I81="","",IF($I81="EXTERNO","(Externo)",IFERROR(INDEX(ENT_NOME,MATCH($J81,ENT_ID,0)),"?")))</f>
        <v/>
      </c>
      <c r="AB81" s="36" t="n">
        <f aca="false">IF($B81="",0,IF(AND($I81="CONTA",$G81&lt;&gt;"CONTA"),$F81,0))</f>
        <v>0</v>
      </c>
      <c r="AC81" s="36" t="n">
        <f aca="false">IF($B81="",0,IF(AND($G81="CONTA",$I81&lt;&gt;"CONTA"),$F81,0))</f>
        <v>0</v>
      </c>
      <c r="AD81" s="36" t="n">
        <f aca="false">IF($W81="RECEITA",$F81,0)</f>
        <v>0</v>
      </c>
      <c r="AE81" s="36" t="n">
        <f aca="false">IF($W81="DESPESA",$F81,0)</f>
        <v>0</v>
      </c>
      <c r="AF81" s="36" t="n">
        <f aca="false">IF($W81="RECEITA_FINANCEIRA",$F81,0)</f>
        <v>0</v>
      </c>
      <c r="AG81" s="36" t="n">
        <f aca="false">IF($B81="",0,IF($I81="CONTA",$F81,0)-IF($G81="CONTA",$F81,0))</f>
        <v>0</v>
      </c>
      <c r="AH81" s="36" t="n">
        <f aca="false">IF($B81="",0,IF($G81="CARTAO",$F81,0)-IF($I81="CARTAO",$F81,0))</f>
        <v>0</v>
      </c>
      <c r="AI81" s="36" t="n">
        <f aca="false">IF($B81="",0,IF($I81="INVESTIMENTO",$F81,0)-IF($G81="INVESTIMENTO",$F81,0))</f>
        <v>0</v>
      </c>
      <c r="AJ81" s="35" t="str">
        <f aca="false">IF($B81="","",IF(NOT(ISNUMBER($F81)),"ERRO: valor nao numerico",IF($F81&lt;=0,"ERRO: valor deve ser maior que zero",IF(COUNTIF(MAP_TIPO,$D81)=0,"ERRO: tipo de operacao nao cadastrado",IF(COUNTIF(LST_STATUS,$E81)=0,"ERRO: status invalido",IF(AND($G81="EXTERNO",$I81="EXTERNO"),"ERRO: origem e destino externos",IF(AND($G81&lt;&gt;"EXTERNO",COUNTIFS(ENT_ID,$H81,ENT_TIPO,$G81)=0),"ERRO: origem inexistente",IF(AND($I81&lt;&gt;"EXTERNO",COUNTIFS(ENT_ID,$J81,ENT_TIPO,$I81)=0),"ERRO: destino inexistente",IF(AND($K81&lt;&gt;"",COUNTIF(CAT_ID,$K81)=0),"ERRO: categoria inexistente",IF(AND($L81&lt;&gt;"",COUNTIF(SUB_ID,$L81)=0),"ERRO: subcategoria inexistente",IF(AND($L81&lt;&gt;"",$K81&lt;&gt;"",IFERROR(INDEX(SUB_CATID,MATCH($L81,SUB_ID,0)),"")&lt;&gt;$K81),"ERRO: subcategoria nao pertence a categoria",IF(AND($O81&lt;&gt;"",COUNTIF(P_ID,$O81)=0),"ERRO: parcela inexistente",IF(AND($N81&lt;&gt;"",COUNTIF(CM_ID,$N81)=0),"ERRO: compromisso inexistente","OK")))))))))))))</f>
        <v/>
      </c>
      <c r="AK81" s="35" t="str">
        <f aca="false">IF($B81="","",IF(AND($N81="",$O81="",$P81="",$Q81="",$R81=""),"","VINCULADO: "&amp;TRIM(IF($N81&lt;&gt;"",$N81&amp;" ","")&amp;IF($O81&lt;&gt;"",$O81&amp;" ","")&amp;IF($P81&lt;&gt;"",$P81&amp;" ","")&amp;IF($Q81&lt;&gt;"",$Q81&amp;" ","")&amp;IF($R81&lt;&gt;"",$R81,""))))</f>
        <v/>
      </c>
    </row>
    <row r="82" customFormat="false" ht="15" hidden="false" customHeight="false" outlineLevel="0" collapsed="false">
      <c r="A82" s="30" t="str">
        <f aca="false">IF($B82="","","LAN-"&amp;TEXT(ROW()-4,"000000"))</f>
        <v/>
      </c>
      <c r="B82" s="31"/>
      <c r="C82" s="32"/>
      <c r="D82" s="32"/>
      <c r="E82" s="32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4" t="str">
        <f aca="false">IF($B82="","",YEAR($B82))</f>
        <v/>
      </c>
      <c r="U82" s="34" t="str">
        <f aca="false">IF($B82="","",MONTH($B82))</f>
        <v/>
      </c>
      <c r="V82" s="34" t="str">
        <f aca="false">IF($B82="","",YEAR($B82)*100+MONTH($B82))</f>
        <v/>
      </c>
      <c r="W82" s="35" t="str">
        <f aca="false">IF($D82="","",IFERROR(INDEX(MAP_CLASS,MATCH($D82,MAP_TIPO,0)),"TIPO INVALIDO"))</f>
        <v/>
      </c>
      <c r="X82" s="35" t="str">
        <f aca="false">IF($K82="","",IFERROR(INDEX(CAT_NOME,MATCH($K82,CAT_ID,0)),"?"))</f>
        <v/>
      </c>
      <c r="Y82" s="35" t="str">
        <f aca="false">IF($L82="","",IFERROR(INDEX(SUB_NOME,MATCH($L82,SUB_ID,0)),"?"))</f>
        <v/>
      </c>
      <c r="Z82" s="35" t="str">
        <f aca="false">IF($G82="","",IF($G82="EXTERNO","(Externo)",IFERROR(INDEX(ENT_NOME,MATCH($H82,ENT_ID,0)),"?")))</f>
        <v/>
      </c>
      <c r="AA82" s="35" t="str">
        <f aca="false">IF($I82="","",IF($I82="EXTERNO","(Externo)",IFERROR(INDEX(ENT_NOME,MATCH($J82,ENT_ID,0)),"?")))</f>
        <v/>
      </c>
      <c r="AB82" s="36" t="n">
        <f aca="false">IF($B82="",0,IF(AND($I82="CONTA",$G82&lt;&gt;"CONTA"),$F82,0))</f>
        <v>0</v>
      </c>
      <c r="AC82" s="36" t="n">
        <f aca="false">IF($B82="",0,IF(AND($G82="CONTA",$I82&lt;&gt;"CONTA"),$F82,0))</f>
        <v>0</v>
      </c>
      <c r="AD82" s="36" t="n">
        <f aca="false">IF($W82="RECEITA",$F82,0)</f>
        <v>0</v>
      </c>
      <c r="AE82" s="36" t="n">
        <f aca="false">IF($W82="DESPESA",$F82,0)</f>
        <v>0</v>
      </c>
      <c r="AF82" s="36" t="n">
        <f aca="false">IF($W82="RECEITA_FINANCEIRA",$F82,0)</f>
        <v>0</v>
      </c>
      <c r="AG82" s="36" t="n">
        <f aca="false">IF($B82="",0,IF($I82="CONTA",$F82,0)-IF($G82="CONTA",$F82,0))</f>
        <v>0</v>
      </c>
      <c r="AH82" s="36" t="n">
        <f aca="false">IF($B82="",0,IF($G82="CARTAO",$F82,0)-IF($I82="CARTAO",$F82,0))</f>
        <v>0</v>
      </c>
      <c r="AI82" s="36" t="n">
        <f aca="false">IF($B82="",0,IF($I82="INVESTIMENTO",$F82,0)-IF($G82="INVESTIMENTO",$F82,0))</f>
        <v>0</v>
      </c>
      <c r="AJ82" s="35" t="str">
        <f aca="false">IF($B82="","",IF(NOT(ISNUMBER($F82)),"ERRO: valor nao numerico",IF($F82&lt;=0,"ERRO: valor deve ser maior que zero",IF(COUNTIF(MAP_TIPO,$D82)=0,"ERRO: tipo de operacao nao cadastrado",IF(COUNTIF(LST_STATUS,$E82)=0,"ERRO: status invalido",IF(AND($G82="EXTERNO",$I82="EXTERNO"),"ERRO: origem e destino externos",IF(AND($G82&lt;&gt;"EXTERNO",COUNTIFS(ENT_ID,$H82,ENT_TIPO,$G82)=0),"ERRO: origem inexistente",IF(AND($I82&lt;&gt;"EXTERNO",COUNTIFS(ENT_ID,$J82,ENT_TIPO,$I82)=0),"ERRO: destino inexistente",IF(AND($K82&lt;&gt;"",COUNTIF(CAT_ID,$K82)=0),"ERRO: categoria inexistente",IF(AND($L82&lt;&gt;"",COUNTIF(SUB_ID,$L82)=0),"ERRO: subcategoria inexistente",IF(AND($L82&lt;&gt;"",$K82&lt;&gt;"",IFERROR(INDEX(SUB_CATID,MATCH($L82,SUB_ID,0)),"")&lt;&gt;$K82),"ERRO: subcategoria nao pertence a categoria",IF(AND($O82&lt;&gt;"",COUNTIF(P_ID,$O82)=0),"ERRO: parcela inexistente",IF(AND($N82&lt;&gt;"",COUNTIF(CM_ID,$N82)=0),"ERRO: compromisso inexistente","OK")))))))))))))</f>
        <v/>
      </c>
      <c r="AK82" s="35" t="str">
        <f aca="false">IF($B82="","",IF(AND($N82="",$O82="",$P82="",$Q82="",$R82=""),"","VINCULADO: "&amp;TRIM(IF($N82&lt;&gt;"",$N82&amp;" ","")&amp;IF($O82&lt;&gt;"",$O82&amp;" ","")&amp;IF($P82&lt;&gt;"",$P82&amp;" ","")&amp;IF($Q82&lt;&gt;"",$Q82&amp;" ","")&amp;IF($R82&lt;&gt;"",$R82,""))))</f>
        <v/>
      </c>
    </row>
    <row r="83" customFormat="false" ht="15" hidden="false" customHeight="false" outlineLevel="0" collapsed="false">
      <c r="A83" s="30" t="str">
        <f aca="false">IF($B83="","","LAN-"&amp;TEXT(ROW()-4,"000000"))</f>
        <v/>
      </c>
      <c r="B83" s="31"/>
      <c r="C83" s="32"/>
      <c r="D83" s="32"/>
      <c r="E83" s="32"/>
      <c r="F83" s="33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4" t="str">
        <f aca="false">IF($B83="","",YEAR($B83))</f>
        <v/>
      </c>
      <c r="U83" s="34" t="str">
        <f aca="false">IF($B83="","",MONTH($B83))</f>
        <v/>
      </c>
      <c r="V83" s="34" t="str">
        <f aca="false">IF($B83="","",YEAR($B83)*100+MONTH($B83))</f>
        <v/>
      </c>
      <c r="W83" s="35" t="str">
        <f aca="false">IF($D83="","",IFERROR(INDEX(MAP_CLASS,MATCH($D83,MAP_TIPO,0)),"TIPO INVALIDO"))</f>
        <v/>
      </c>
      <c r="X83" s="35" t="str">
        <f aca="false">IF($K83="","",IFERROR(INDEX(CAT_NOME,MATCH($K83,CAT_ID,0)),"?"))</f>
        <v/>
      </c>
      <c r="Y83" s="35" t="str">
        <f aca="false">IF($L83="","",IFERROR(INDEX(SUB_NOME,MATCH($L83,SUB_ID,0)),"?"))</f>
        <v/>
      </c>
      <c r="Z83" s="35" t="str">
        <f aca="false">IF($G83="","",IF($G83="EXTERNO","(Externo)",IFERROR(INDEX(ENT_NOME,MATCH($H83,ENT_ID,0)),"?")))</f>
        <v/>
      </c>
      <c r="AA83" s="35" t="str">
        <f aca="false">IF($I83="","",IF($I83="EXTERNO","(Externo)",IFERROR(INDEX(ENT_NOME,MATCH($J83,ENT_ID,0)),"?")))</f>
        <v/>
      </c>
      <c r="AB83" s="36" t="n">
        <f aca="false">IF($B83="",0,IF(AND($I83="CONTA",$G83&lt;&gt;"CONTA"),$F83,0))</f>
        <v>0</v>
      </c>
      <c r="AC83" s="36" t="n">
        <f aca="false">IF($B83="",0,IF(AND($G83="CONTA",$I83&lt;&gt;"CONTA"),$F83,0))</f>
        <v>0</v>
      </c>
      <c r="AD83" s="36" t="n">
        <f aca="false">IF($W83="RECEITA",$F83,0)</f>
        <v>0</v>
      </c>
      <c r="AE83" s="36" t="n">
        <f aca="false">IF($W83="DESPESA",$F83,0)</f>
        <v>0</v>
      </c>
      <c r="AF83" s="36" t="n">
        <f aca="false">IF($W83="RECEITA_FINANCEIRA",$F83,0)</f>
        <v>0</v>
      </c>
      <c r="AG83" s="36" t="n">
        <f aca="false">IF($B83="",0,IF($I83="CONTA",$F83,0)-IF($G83="CONTA",$F83,0))</f>
        <v>0</v>
      </c>
      <c r="AH83" s="36" t="n">
        <f aca="false">IF($B83="",0,IF($G83="CARTAO",$F83,0)-IF($I83="CARTAO",$F83,0))</f>
        <v>0</v>
      </c>
      <c r="AI83" s="36" t="n">
        <f aca="false">IF($B83="",0,IF($I83="INVESTIMENTO",$F83,0)-IF($G83="INVESTIMENTO",$F83,0))</f>
        <v>0</v>
      </c>
      <c r="AJ83" s="35" t="str">
        <f aca="false">IF($B83="","",IF(NOT(ISNUMBER($F83)),"ERRO: valor nao numerico",IF($F83&lt;=0,"ERRO: valor deve ser maior que zero",IF(COUNTIF(MAP_TIPO,$D83)=0,"ERRO: tipo de operacao nao cadastrado",IF(COUNTIF(LST_STATUS,$E83)=0,"ERRO: status invalido",IF(AND($G83="EXTERNO",$I83="EXTERNO"),"ERRO: origem e destino externos",IF(AND($G83&lt;&gt;"EXTERNO",COUNTIFS(ENT_ID,$H83,ENT_TIPO,$G83)=0),"ERRO: origem inexistente",IF(AND($I83&lt;&gt;"EXTERNO",COUNTIFS(ENT_ID,$J83,ENT_TIPO,$I83)=0),"ERRO: destino inexistente",IF(AND($K83&lt;&gt;"",COUNTIF(CAT_ID,$K83)=0),"ERRO: categoria inexistente",IF(AND($L83&lt;&gt;"",COUNTIF(SUB_ID,$L83)=0),"ERRO: subcategoria inexistente",IF(AND($L83&lt;&gt;"",$K83&lt;&gt;"",IFERROR(INDEX(SUB_CATID,MATCH($L83,SUB_ID,0)),"")&lt;&gt;$K83),"ERRO: subcategoria nao pertence a categoria",IF(AND($O83&lt;&gt;"",COUNTIF(P_ID,$O83)=0),"ERRO: parcela inexistente",IF(AND($N83&lt;&gt;"",COUNTIF(CM_ID,$N83)=0),"ERRO: compromisso inexistente","OK")))))))))))))</f>
        <v/>
      </c>
      <c r="AK83" s="35" t="str">
        <f aca="false">IF($B83="","",IF(AND($N83="",$O83="",$P83="",$Q83="",$R83=""),"","VINCULADO: "&amp;TRIM(IF($N83&lt;&gt;"",$N83&amp;" ","")&amp;IF($O83&lt;&gt;"",$O83&amp;" ","")&amp;IF($P83&lt;&gt;"",$P83&amp;" ","")&amp;IF($Q83&lt;&gt;"",$Q83&amp;" ","")&amp;IF($R83&lt;&gt;"",$R83,""))))</f>
        <v/>
      </c>
    </row>
    <row r="84" customFormat="false" ht="15" hidden="false" customHeight="false" outlineLevel="0" collapsed="false">
      <c r="A84" s="30" t="str">
        <f aca="false">IF($B84="","","LAN-"&amp;TEXT(ROW()-4,"000000"))</f>
        <v/>
      </c>
      <c r="B84" s="31"/>
      <c r="C84" s="32"/>
      <c r="D84" s="32"/>
      <c r="E84" s="32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4" t="str">
        <f aca="false">IF($B84="","",YEAR($B84))</f>
        <v/>
      </c>
      <c r="U84" s="34" t="str">
        <f aca="false">IF($B84="","",MONTH($B84))</f>
        <v/>
      </c>
      <c r="V84" s="34" t="str">
        <f aca="false">IF($B84="","",YEAR($B84)*100+MONTH($B84))</f>
        <v/>
      </c>
      <c r="W84" s="35" t="str">
        <f aca="false">IF($D84="","",IFERROR(INDEX(MAP_CLASS,MATCH($D84,MAP_TIPO,0)),"TIPO INVALIDO"))</f>
        <v/>
      </c>
      <c r="X84" s="35" t="str">
        <f aca="false">IF($K84="","",IFERROR(INDEX(CAT_NOME,MATCH($K84,CAT_ID,0)),"?"))</f>
        <v/>
      </c>
      <c r="Y84" s="35" t="str">
        <f aca="false">IF($L84="","",IFERROR(INDEX(SUB_NOME,MATCH($L84,SUB_ID,0)),"?"))</f>
        <v/>
      </c>
      <c r="Z84" s="35" t="str">
        <f aca="false">IF($G84="","",IF($G84="EXTERNO","(Externo)",IFERROR(INDEX(ENT_NOME,MATCH($H84,ENT_ID,0)),"?")))</f>
        <v/>
      </c>
      <c r="AA84" s="35" t="str">
        <f aca="false">IF($I84="","",IF($I84="EXTERNO","(Externo)",IFERROR(INDEX(ENT_NOME,MATCH($J84,ENT_ID,0)),"?")))</f>
        <v/>
      </c>
      <c r="AB84" s="36" t="n">
        <f aca="false">IF($B84="",0,IF(AND($I84="CONTA",$G84&lt;&gt;"CONTA"),$F84,0))</f>
        <v>0</v>
      </c>
      <c r="AC84" s="36" t="n">
        <f aca="false">IF($B84="",0,IF(AND($G84="CONTA",$I84&lt;&gt;"CONTA"),$F84,0))</f>
        <v>0</v>
      </c>
      <c r="AD84" s="36" t="n">
        <f aca="false">IF($W84="RECEITA",$F84,0)</f>
        <v>0</v>
      </c>
      <c r="AE84" s="36" t="n">
        <f aca="false">IF($W84="DESPESA",$F84,0)</f>
        <v>0</v>
      </c>
      <c r="AF84" s="36" t="n">
        <f aca="false">IF($W84="RECEITA_FINANCEIRA",$F84,0)</f>
        <v>0</v>
      </c>
      <c r="AG84" s="36" t="n">
        <f aca="false">IF($B84="",0,IF($I84="CONTA",$F84,0)-IF($G84="CONTA",$F84,0))</f>
        <v>0</v>
      </c>
      <c r="AH84" s="36" t="n">
        <f aca="false">IF($B84="",0,IF($G84="CARTAO",$F84,0)-IF($I84="CARTAO",$F84,0))</f>
        <v>0</v>
      </c>
      <c r="AI84" s="36" t="n">
        <f aca="false">IF($B84="",0,IF($I84="INVESTIMENTO",$F84,0)-IF($G84="INVESTIMENTO",$F84,0))</f>
        <v>0</v>
      </c>
      <c r="AJ84" s="35" t="str">
        <f aca="false">IF($B84="","",IF(NOT(ISNUMBER($F84)),"ERRO: valor nao numerico",IF($F84&lt;=0,"ERRO: valor deve ser maior que zero",IF(COUNTIF(MAP_TIPO,$D84)=0,"ERRO: tipo de operacao nao cadastrado",IF(COUNTIF(LST_STATUS,$E84)=0,"ERRO: status invalido",IF(AND($G84="EXTERNO",$I84="EXTERNO"),"ERRO: origem e destino externos",IF(AND($G84&lt;&gt;"EXTERNO",COUNTIFS(ENT_ID,$H84,ENT_TIPO,$G84)=0),"ERRO: origem inexistente",IF(AND($I84&lt;&gt;"EXTERNO",COUNTIFS(ENT_ID,$J84,ENT_TIPO,$I84)=0),"ERRO: destino inexistente",IF(AND($K84&lt;&gt;"",COUNTIF(CAT_ID,$K84)=0),"ERRO: categoria inexistente",IF(AND($L84&lt;&gt;"",COUNTIF(SUB_ID,$L84)=0),"ERRO: subcategoria inexistente",IF(AND($L84&lt;&gt;"",$K84&lt;&gt;"",IFERROR(INDEX(SUB_CATID,MATCH($L84,SUB_ID,0)),"")&lt;&gt;$K84),"ERRO: subcategoria nao pertence a categoria",IF(AND($O84&lt;&gt;"",COUNTIF(P_ID,$O84)=0),"ERRO: parcela inexistente",IF(AND($N84&lt;&gt;"",COUNTIF(CM_ID,$N84)=0),"ERRO: compromisso inexistente","OK")))))))))))))</f>
        <v/>
      </c>
      <c r="AK84" s="35" t="str">
        <f aca="false">IF($B84="","",IF(AND($N84="",$O84="",$P84="",$Q84="",$R84=""),"","VINCULADO: "&amp;TRIM(IF($N84&lt;&gt;"",$N84&amp;" ","")&amp;IF($O84&lt;&gt;"",$O84&amp;" ","")&amp;IF($P84&lt;&gt;"",$P84&amp;" ","")&amp;IF($Q84&lt;&gt;"",$Q84&amp;" ","")&amp;IF($R84&lt;&gt;"",$R84,""))))</f>
        <v/>
      </c>
    </row>
    <row r="85" customFormat="false" ht="15" hidden="false" customHeight="false" outlineLevel="0" collapsed="false">
      <c r="A85" s="30" t="str">
        <f aca="false">IF($B85="","","LAN-"&amp;TEXT(ROW()-4,"000000"))</f>
        <v/>
      </c>
      <c r="B85" s="31"/>
      <c r="C85" s="32"/>
      <c r="D85" s="32"/>
      <c r="E85" s="32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4" t="str">
        <f aca="false">IF($B85="","",YEAR($B85))</f>
        <v/>
      </c>
      <c r="U85" s="34" t="str">
        <f aca="false">IF($B85="","",MONTH($B85))</f>
        <v/>
      </c>
      <c r="V85" s="34" t="str">
        <f aca="false">IF($B85="","",YEAR($B85)*100+MONTH($B85))</f>
        <v/>
      </c>
      <c r="W85" s="35" t="str">
        <f aca="false">IF($D85="","",IFERROR(INDEX(MAP_CLASS,MATCH($D85,MAP_TIPO,0)),"TIPO INVALIDO"))</f>
        <v/>
      </c>
      <c r="X85" s="35" t="str">
        <f aca="false">IF($K85="","",IFERROR(INDEX(CAT_NOME,MATCH($K85,CAT_ID,0)),"?"))</f>
        <v/>
      </c>
      <c r="Y85" s="35" t="str">
        <f aca="false">IF($L85="","",IFERROR(INDEX(SUB_NOME,MATCH($L85,SUB_ID,0)),"?"))</f>
        <v/>
      </c>
      <c r="Z85" s="35" t="str">
        <f aca="false">IF($G85="","",IF($G85="EXTERNO","(Externo)",IFERROR(INDEX(ENT_NOME,MATCH($H85,ENT_ID,0)),"?")))</f>
        <v/>
      </c>
      <c r="AA85" s="35" t="str">
        <f aca="false">IF($I85="","",IF($I85="EXTERNO","(Externo)",IFERROR(INDEX(ENT_NOME,MATCH($J85,ENT_ID,0)),"?")))</f>
        <v/>
      </c>
      <c r="AB85" s="36" t="n">
        <f aca="false">IF($B85="",0,IF(AND($I85="CONTA",$G85&lt;&gt;"CONTA"),$F85,0))</f>
        <v>0</v>
      </c>
      <c r="AC85" s="36" t="n">
        <f aca="false">IF($B85="",0,IF(AND($G85="CONTA",$I85&lt;&gt;"CONTA"),$F85,0))</f>
        <v>0</v>
      </c>
      <c r="AD85" s="36" t="n">
        <f aca="false">IF($W85="RECEITA",$F85,0)</f>
        <v>0</v>
      </c>
      <c r="AE85" s="36" t="n">
        <f aca="false">IF($W85="DESPESA",$F85,0)</f>
        <v>0</v>
      </c>
      <c r="AF85" s="36" t="n">
        <f aca="false">IF($W85="RECEITA_FINANCEIRA",$F85,0)</f>
        <v>0</v>
      </c>
      <c r="AG85" s="36" t="n">
        <f aca="false">IF($B85="",0,IF($I85="CONTA",$F85,0)-IF($G85="CONTA",$F85,0))</f>
        <v>0</v>
      </c>
      <c r="AH85" s="36" t="n">
        <f aca="false">IF($B85="",0,IF($G85="CARTAO",$F85,0)-IF($I85="CARTAO",$F85,0))</f>
        <v>0</v>
      </c>
      <c r="AI85" s="36" t="n">
        <f aca="false">IF($B85="",0,IF($I85="INVESTIMENTO",$F85,0)-IF($G85="INVESTIMENTO",$F85,0))</f>
        <v>0</v>
      </c>
      <c r="AJ85" s="35" t="str">
        <f aca="false">IF($B85="","",IF(NOT(ISNUMBER($F85)),"ERRO: valor nao numerico",IF($F85&lt;=0,"ERRO: valor deve ser maior que zero",IF(COUNTIF(MAP_TIPO,$D85)=0,"ERRO: tipo de operacao nao cadastrado",IF(COUNTIF(LST_STATUS,$E85)=0,"ERRO: status invalido",IF(AND($G85="EXTERNO",$I85="EXTERNO"),"ERRO: origem e destino externos",IF(AND($G85&lt;&gt;"EXTERNO",COUNTIFS(ENT_ID,$H85,ENT_TIPO,$G85)=0),"ERRO: origem inexistente",IF(AND($I85&lt;&gt;"EXTERNO",COUNTIFS(ENT_ID,$J85,ENT_TIPO,$I85)=0),"ERRO: destino inexistente",IF(AND($K85&lt;&gt;"",COUNTIF(CAT_ID,$K85)=0),"ERRO: categoria inexistente",IF(AND($L85&lt;&gt;"",COUNTIF(SUB_ID,$L85)=0),"ERRO: subcategoria inexistente",IF(AND($L85&lt;&gt;"",$K85&lt;&gt;"",IFERROR(INDEX(SUB_CATID,MATCH($L85,SUB_ID,0)),"")&lt;&gt;$K85),"ERRO: subcategoria nao pertence a categoria",IF(AND($O85&lt;&gt;"",COUNTIF(P_ID,$O85)=0),"ERRO: parcela inexistente",IF(AND($N85&lt;&gt;"",COUNTIF(CM_ID,$N85)=0),"ERRO: compromisso inexistente","OK")))))))))))))</f>
        <v/>
      </c>
      <c r="AK85" s="35" t="str">
        <f aca="false">IF($B85="","",IF(AND($N85="",$O85="",$P85="",$Q85="",$R85=""),"","VINCULADO: "&amp;TRIM(IF($N85&lt;&gt;"",$N85&amp;" ","")&amp;IF($O85&lt;&gt;"",$O85&amp;" ","")&amp;IF($P85&lt;&gt;"",$P85&amp;" ","")&amp;IF($Q85&lt;&gt;"",$Q85&amp;" ","")&amp;IF($R85&lt;&gt;"",$R85,""))))</f>
        <v/>
      </c>
    </row>
    <row r="86" customFormat="false" ht="15" hidden="false" customHeight="false" outlineLevel="0" collapsed="false">
      <c r="A86" s="30" t="str">
        <f aca="false">IF($B86="","","LAN-"&amp;TEXT(ROW()-4,"000000"))</f>
        <v/>
      </c>
      <c r="B86" s="31"/>
      <c r="C86" s="32"/>
      <c r="D86" s="32"/>
      <c r="E86" s="32"/>
      <c r="F86" s="33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4" t="str">
        <f aca="false">IF($B86="","",YEAR($B86))</f>
        <v/>
      </c>
      <c r="U86" s="34" t="str">
        <f aca="false">IF($B86="","",MONTH($B86))</f>
        <v/>
      </c>
      <c r="V86" s="34" t="str">
        <f aca="false">IF($B86="","",YEAR($B86)*100+MONTH($B86))</f>
        <v/>
      </c>
      <c r="W86" s="35" t="str">
        <f aca="false">IF($D86="","",IFERROR(INDEX(MAP_CLASS,MATCH($D86,MAP_TIPO,0)),"TIPO INVALIDO"))</f>
        <v/>
      </c>
      <c r="X86" s="35" t="str">
        <f aca="false">IF($K86="","",IFERROR(INDEX(CAT_NOME,MATCH($K86,CAT_ID,0)),"?"))</f>
        <v/>
      </c>
      <c r="Y86" s="35" t="str">
        <f aca="false">IF($L86="","",IFERROR(INDEX(SUB_NOME,MATCH($L86,SUB_ID,0)),"?"))</f>
        <v/>
      </c>
      <c r="Z86" s="35" t="str">
        <f aca="false">IF($G86="","",IF($G86="EXTERNO","(Externo)",IFERROR(INDEX(ENT_NOME,MATCH($H86,ENT_ID,0)),"?")))</f>
        <v/>
      </c>
      <c r="AA86" s="35" t="str">
        <f aca="false">IF($I86="","",IF($I86="EXTERNO","(Externo)",IFERROR(INDEX(ENT_NOME,MATCH($J86,ENT_ID,0)),"?")))</f>
        <v/>
      </c>
      <c r="AB86" s="36" t="n">
        <f aca="false">IF($B86="",0,IF(AND($I86="CONTA",$G86&lt;&gt;"CONTA"),$F86,0))</f>
        <v>0</v>
      </c>
      <c r="AC86" s="36" t="n">
        <f aca="false">IF($B86="",0,IF(AND($G86="CONTA",$I86&lt;&gt;"CONTA"),$F86,0))</f>
        <v>0</v>
      </c>
      <c r="AD86" s="36" t="n">
        <f aca="false">IF($W86="RECEITA",$F86,0)</f>
        <v>0</v>
      </c>
      <c r="AE86" s="36" t="n">
        <f aca="false">IF($W86="DESPESA",$F86,0)</f>
        <v>0</v>
      </c>
      <c r="AF86" s="36" t="n">
        <f aca="false">IF($W86="RECEITA_FINANCEIRA",$F86,0)</f>
        <v>0</v>
      </c>
      <c r="AG86" s="36" t="n">
        <f aca="false">IF($B86="",0,IF($I86="CONTA",$F86,0)-IF($G86="CONTA",$F86,0))</f>
        <v>0</v>
      </c>
      <c r="AH86" s="36" t="n">
        <f aca="false">IF($B86="",0,IF($G86="CARTAO",$F86,0)-IF($I86="CARTAO",$F86,0))</f>
        <v>0</v>
      </c>
      <c r="AI86" s="36" t="n">
        <f aca="false">IF($B86="",0,IF($I86="INVESTIMENTO",$F86,0)-IF($G86="INVESTIMENTO",$F86,0))</f>
        <v>0</v>
      </c>
      <c r="AJ86" s="35" t="str">
        <f aca="false">IF($B86="","",IF(NOT(ISNUMBER($F86)),"ERRO: valor nao numerico",IF($F86&lt;=0,"ERRO: valor deve ser maior que zero",IF(COUNTIF(MAP_TIPO,$D86)=0,"ERRO: tipo de operacao nao cadastrado",IF(COUNTIF(LST_STATUS,$E86)=0,"ERRO: status invalido",IF(AND($G86="EXTERNO",$I86="EXTERNO"),"ERRO: origem e destino externos",IF(AND($G86&lt;&gt;"EXTERNO",COUNTIFS(ENT_ID,$H86,ENT_TIPO,$G86)=0),"ERRO: origem inexistente",IF(AND($I86&lt;&gt;"EXTERNO",COUNTIFS(ENT_ID,$J86,ENT_TIPO,$I86)=0),"ERRO: destino inexistente",IF(AND($K86&lt;&gt;"",COUNTIF(CAT_ID,$K86)=0),"ERRO: categoria inexistente",IF(AND($L86&lt;&gt;"",COUNTIF(SUB_ID,$L86)=0),"ERRO: subcategoria inexistente",IF(AND($L86&lt;&gt;"",$K86&lt;&gt;"",IFERROR(INDEX(SUB_CATID,MATCH($L86,SUB_ID,0)),"")&lt;&gt;$K86),"ERRO: subcategoria nao pertence a categoria",IF(AND($O86&lt;&gt;"",COUNTIF(P_ID,$O86)=0),"ERRO: parcela inexistente",IF(AND($N86&lt;&gt;"",COUNTIF(CM_ID,$N86)=0),"ERRO: compromisso inexistente","OK")))))))))))))</f>
        <v/>
      </c>
      <c r="AK86" s="35" t="str">
        <f aca="false">IF($B86="","",IF(AND($N86="",$O86="",$P86="",$Q86="",$R86=""),"","VINCULADO: "&amp;TRIM(IF($N86&lt;&gt;"",$N86&amp;" ","")&amp;IF($O86&lt;&gt;"",$O86&amp;" ","")&amp;IF($P86&lt;&gt;"",$P86&amp;" ","")&amp;IF($Q86&lt;&gt;"",$Q86&amp;" ","")&amp;IF($R86&lt;&gt;"",$R86,""))))</f>
        <v/>
      </c>
    </row>
    <row r="87" customFormat="false" ht="15" hidden="false" customHeight="false" outlineLevel="0" collapsed="false">
      <c r="A87" s="30" t="str">
        <f aca="false">IF($B87="","","LAN-"&amp;TEXT(ROW()-4,"000000"))</f>
        <v/>
      </c>
      <c r="B87" s="31"/>
      <c r="C87" s="32"/>
      <c r="D87" s="32"/>
      <c r="E87" s="32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4" t="str">
        <f aca="false">IF($B87="","",YEAR($B87))</f>
        <v/>
      </c>
      <c r="U87" s="34" t="str">
        <f aca="false">IF($B87="","",MONTH($B87))</f>
        <v/>
      </c>
      <c r="V87" s="34" t="str">
        <f aca="false">IF($B87="","",YEAR($B87)*100+MONTH($B87))</f>
        <v/>
      </c>
      <c r="W87" s="35" t="str">
        <f aca="false">IF($D87="","",IFERROR(INDEX(MAP_CLASS,MATCH($D87,MAP_TIPO,0)),"TIPO INVALIDO"))</f>
        <v/>
      </c>
      <c r="X87" s="35" t="str">
        <f aca="false">IF($K87="","",IFERROR(INDEX(CAT_NOME,MATCH($K87,CAT_ID,0)),"?"))</f>
        <v/>
      </c>
      <c r="Y87" s="35" t="str">
        <f aca="false">IF($L87="","",IFERROR(INDEX(SUB_NOME,MATCH($L87,SUB_ID,0)),"?"))</f>
        <v/>
      </c>
      <c r="Z87" s="35" t="str">
        <f aca="false">IF($G87="","",IF($G87="EXTERNO","(Externo)",IFERROR(INDEX(ENT_NOME,MATCH($H87,ENT_ID,0)),"?")))</f>
        <v/>
      </c>
      <c r="AA87" s="35" t="str">
        <f aca="false">IF($I87="","",IF($I87="EXTERNO","(Externo)",IFERROR(INDEX(ENT_NOME,MATCH($J87,ENT_ID,0)),"?")))</f>
        <v/>
      </c>
      <c r="AB87" s="36" t="n">
        <f aca="false">IF($B87="",0,IF(AND($I87="CONTA",$G87&lt;&gt;"CONTA"),$F87,0))</f>
        <v>0</v>
      </c>
      <c r="AC87" s="36" t="n">
        <f aca="false">IF($B87="",0,IF(AND($G87="CONTA",$I87&lt;&gt;"CONTA"),$F87,0))</f>
        <v>0</v>
      </c>
      <c r="AD87" s="36" t="n">
        <f aca="false">IF($W87="RECEITA",$F87,0)</f>
        <v>0</v>
      </c>
      <c r="AE87" s="36" t="n">
        <f aca="false">IF($W87="DESPESA",$F87,0)</f>
        <v>0</v>
      </c>
      <c r="AF87" s="36" t="n">
        <f aca="false">IF($W87="RECEITA_FINANCEIRA",$F87,0)</f>
        <v>0</v>
      </c>
      <c r="AG87" s="36" t="n">
        <f aca="false">IF($B87="",0,IF($I87="CONTA",$F87,0)-IF($G87="CONTA",$F87,0))</f>
        <v>0</v>
      </c>
      <c r="AH87" s="36" t="n">
        <f aca="false">IF($B87="",0,IF($G87="CARTAO",$F87,0)-IF($I87="CARTAO",$F87,0))</f>
        <v>0</v>
      </c>
      <c r="AI87" s="36" t="n">
        <f aca="false">IF($B87="",0,IF($I87="INVESTIMENTO",$F87,0)-IF($G87="INVESTIMENTO",$F87,0))</f>
        <v>0</v>
      </c>
      <c r="AJ87" s="35" t="str">
        <f aca="false">IF($B87="","",IF(NOT(ISNUMBER($F87)),"ERRO: valor nao numerico",IF($F87&lt;=0,"ERRO: valor deve ser maior que zero",IF(COUNTIF(MAP_TIPO,$D87)=0,"ERRO: tipo de operacao nao cadastrado",IF(COUNTIF(LST_STATUS,$E87)=0,"ERRO: status invalido",IF(AND($G87="EXTERNO",$I87="EXTERNO"),"ERRO: origem e destino externos",IF(AND($G87&lt;&gt;"EXTERNO",COUNTIFS(ENT_ID,$H87,ENT_TIPO,$G87)=0),"ERRO: origem inexistente",IF(AND($I87&lt;&gt;"EXTERNO",COUNTIFS(ENT_ID,$J87,ENT_TIPO,$I87)=0),"ERRO: destino inexistente",IF(AND($K87&lt;&gt;"",COUNTIF(CAT_ID,$K87)=0),"ERRO: categoria inexistente",IF(AND($L87&lt;&gt;"",COUNTIF(SUB_ID,$L87)=0),"ERRO: subcategoria inexistente",IF(AND($L87&lt;&gt;"",$K87&lt;&gt;"",IFERROR(INDEX(SUB_CATID,MATCH($L87,SUB_ID,0)),"")&lt;&gt;$K87),"ERRO: subcategoria nao pertence a categoria",IF(AND($O87&lt;&gt;"",COUNTIF(P_ID,$O87)=0),"ERRO: parcela inexistente",IF(AND($N87&lt;&gt;"",COUNTIF(CM_ID,$N87)=0),"ERRO: compromisso inexistente","OK")))))))))))))</f>
        <v/>
      </c>
      <c r="AK87" s="35" t="str">
        <f aca="false">IF($B87="","",IF(AND($N87="",$O87="",$P87="",$Q87="",$R87=""),"","VINCULADO: "&amp;TRIM(IF($N87&lt;&gt;"",$N87&amp;" ","")&amp;IF($O87&lt;&gt;"",$O87&amp;" ","")&amp;IF($P87&lt;&gt;"",$P87&amp;" ","")&amp;IF($Q87&lt;&gt;"",$Q87&amp;" ","")&amp;IF($R87&lt;&gt;"",$R87,""))))</f>
        <v/>
      </c>
    </row>
    <row r="88" customFormat="false" ht="15" hidden="false" customHeight="false" outlineLevel="0" collapsed="false">
      <c r="A88" s="30" t="str">
        <f aca="false">IF($B88="","","LAN-"&amp;TEXT(ROW()-4,"000000"))</f>
        <v/>
      </c>
      <c r="B88" s="31"/>
      <c r="C88" s="32"/>
      <c r="D88" s="32"/>
      <c r="E88" s="32"/>
      <c r="F88" s="3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4" t="str">
        <f aca="false">IF($B88="","",YEAR($B88))</f>
        <v/>
      </c>
      <c r="U88" s="34" t="str">
        <f aca="false">IF($B88="","",MONTH($B88))</f>
        <v/>
      </c>
      <c r="V88" s="34" t="str">
        <f aca="false">IF($B88="","",YEAR($B88)*100+MONTH($B88))</f>
        <v/>
      </c>
      <c r="W88" s="35" t="str">
        <f aca="false">IF($D88="","",IFERROR(INDEX(MAP_CLASS,MATCH($D88,MAP_TIPO,0)),"TIPO INVALIDO"))</f>
        <v/>
      </c>
      <c r="X88" s="35" t="str">
        <f aca="false">IF($K88="","",IFERROR(INDEX(CAT_NOME,MATCH($K88,CAT_ID,0)),"?"))</f>
        <v/>
      </c>
      <c r="Y88" s="35" t="str">
        <f aca="false">IF($L88="","",IFERROR(INDEX(SUB_NOME,MATCH($L88,SUB_ID,0)),"?"))</f>
        <v/>
      </c>
      <c r="Z88" s="35" t="str">
        <f aca="false">IF($G88="","",IF($G88="EXTERNO","(Externo)",IFERROR(INDEX(ENT_NOME,MATCH($H88,ENT_ID,0)),"?")))</f>
        <v/>
      </c>
      <c r="AA88" s="35" t="str">
        <f aca="false">IF($I88="","",IF($I88="EXTERNO","(Externo)",IFERROR(INDEX(ENT_NOME,MATCH($J88,ENT_ID,0)),"?")))</f>
        <v/>
      </c>
      <c r="AB88" s="36" t="n">
        <f aca="false">IF($B88="",0,IF(AND($I88="CONTA",$G88&lt;&gt;"CONTA"),$F88,0))</f>
        <v>0</v>
      </c>
      <c r="AC88" s="36" t="n">
        <f aca="false">IF($B88="",0,IF(AND($G88="CONTA",$I88&lt;&gt;"CONTA"),$F88,0))</f>
        <v>0</v>
      </c>
      <c r="AD88" s="36" t="n">
        <f aca="false">IF($W88="RECEITA",$F88,0)</f>
        <v>0</v>
      </c>
      <c r="AE88" s="36" t="n">
        <f aca="false">IF($W88="DESPESA",$F88,0)</f>
        <v>0</v>
      </c>
      <c r="AF88" s="36" t="n">
        <f aca="false">IF($W88="RECEITA_FINANCEIRA",$F88,0)</f>
        <v>0</v>
      </c>
      <c r="AG88" s="36" t="n">
        <f aca="false">IF($B88="",0,IF($I88="CONTA",$F88,0)-IF($G88="CONTA",$F88,0))</f>
        <v>0</v>
      </c>
      <c r="AH88" s="36" t="n">
        <f aca="false">IF($B88="",0,IF($G88="CARTAO",$F88,0)-IF($I88="CARTAO",$F88,0))</f>
        <v>0</v>
      </c>
      <c r="AI88" s="36" t="n">
        <f aca="false">IF($B88="",0,IF($I88="INVESTIMENTO",$F88,0)-IF($G88="INVESTIMENTO",$F88,0))</f>
        <v>0</v>
      </c>
      <c r="AJ88" s="35" t="str">
        <f aca="false">IF($B88="","",IF(NOT(ISNUMBER($F88)),"ERRO: valor nao numerico",IF($F88&lt;=0,"ERRO: valor deve ser maior que zero",IF(COUNTIF(MAP_TIPO,$D88)=0,"ERRO: tipo de operacao nao cadastrado",IF(COUNTIF(LST_STATUS,$E88)=0,"ERRO: status invalido",IF(AND($G88="EXTERNO",$I88="EXTERNO"),"ERRO: origem e destino externos",IF(AND($G88&lt;&gt;"EXTERNO",COUNTIFS(ENT_ID,$H88,ENT_TIPO,$G88)=0),"ERRO: origem inexistente",IF(AND($I88&lt;&gt;"EXTERNO",COUNTIFS(ENT_ID,$J88,ENT_TIPO,$I88)=0),"ERRO: destino inexistente",IF(AND($K88&lt;&gt;"",COUNTIF(CAT_ID,$K88)=0),"ERRO: categoria inexistente",IF(AND($L88&lt;&gt;"",COUNTIF(SUB_ID,$L88)=0),"ERRO: subcategoria inexistente",IF(AND($L88&lt;&gt;"",$K88&lt;&gt;"",IFERROR(INDEX(SUB_CATID,MATCH($L88,SUB_ID,0)),"")&lt;&gt;$K88),"ERRO: subcategoria nao pertence a categoria",IF(AND($O88&lt;&gt;"",COUNTIF(P_ID,$O88)=0),"ERRO: parcela inexistente",IF(AND($N88&lt;&gt;"",COUNTIF(CM_ID,$N88)=0),"ERRO: compromisso inexistente","OK")))))))))))))</f>
        <v/>
      </c>
      <c r="AK88" s="35" t="str">
        <f aca="false">IF($B88="","",IF(AND($N88="",$O88="",$P88="",$Q88="",$R88=""),"","VINCULADO: "&amp;TRIM(IF($N88&lt;&gt;"",$N88&amp;" ","")&amp;IF($O88&lt;&gt;"",$O88&amp;" ","")&amp;IF($P88&lt;&gt;"",$P88&amp;" ","")&amp;IF($Q88&lt;&gt;"",$Q88&amp;" ","")&amp;IF($R88&lt;&gt;"",$R88,""))))</f>
        <v/>
      </c>
    </row>
    <row r="89" customFormat="false" ht="15" hidden="false" customHeight="false" outlineLevel="0" collapsed="false">
      <c r="A89" s="30" t="str">
        <f aca="false">IF($B89="","","LAN-"&amp;TEXT(ROW()-4,"000000"))</f>
        <v/>
      </c>
      <c r="B89" s="31"/>
      <c r="C89" s="32"/>
      <c r="D89" s="32"/>
      <c r="E89" s="32"/>
      <c r="F89" s="33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4" t="str">
        <f aca="false">IF($B89="","",YEAR($B89))</f>
        <v/>
      </c>
      <c r="U89" s="34" t="str">
        <f aca="false">IF($B89="","",MONTH($B89))</f>
        <v/>
      </c>
      <c r="V89" s="34" t="str">
        <f aca="false">IF($B89="","",YEAR($B89)*100+MONTH($B89))</f>
        <v/>
      </c>
      <c r="W89" s="35" t="str">
        <f aca="false">IF($D89="","",IFERROR(INDEX(MAP_CLASS,MATCH($D89,MAP_TIPO,0)),"TIPO INVALIDO"))</f>
        <v/>
      </c>
      <c r="X89" s="35" t="str">
        <f aca="false">IF($K89="","",IFERROR(INDEX(CAT_NOME,MATCH($K89,CAT_ID,0)),"?"))</f>
        <v/>
      </c>
      <c r="Y89" s="35" t="str">
        <f aca="false">IF($L89="","",IFERROR(INDEX(SUB_NOME,MATCH($L89,SUB_ID,0)),"?"))</f>
        <v/>
      </c>
      <c r="Z89" s="35" t="str">
        <f aca="false">IF($G89="","",IF($G89="EXTERNO","(Externo)",IFERROR(INDEX(ENT_NOME,MATCH($H89,ENT_ID,0)),"?")))</f>
        <v/>
      </c>
      <c r="AA89" s="35" t="str">
        <f aca="false">IF($I89="","",IF($I89="EXTERNO","(Externo)",IFERROR(INDEX(ENT_NOME,MATCH($J89,ENT_ID,0)),"?")))</f>
        <v/>
      </c>
      <c r="AB89" s="36" t="n">
        <f aca="false">IF($B89="",0,IF(AND($I89="CONTA",$G89&lt;&gt;"CONTA"),$F89,0))</f>
        <v>0</v>
      </c>
      <c r="AC89" s="36" t="n">
        <f aca="false">IF($B89="",0,IF(AND($G89="CONTA",$I89&lt;&gt;"CONTA"),$F89,0))</f>
        <v>0</v>
      </c>
      <c r="AD89" s="36" t="n">
        <f aca="false">IF($W89="RECEITA",$F89,0)</f>
        <v>0</v>
      </c>
      <c r="AE89" s="36" t="n">
        <f aca="false">IF($W89="DESPESA",$F89,0)</f>
        <v>0</v>
      </c>
      <c r="AF89" s="36" t="n">
        <f aca="false">IF($W89="RECEITA_FINANCEIRA",$F89,0)</f>
        <v>0</v>
      </c>
      <c r="AG89" s="36" t="n">
        <f aca="false">IF($B89="",0,IF($I89="CONTA",$F89,0)-IF($G89="CONTA",$F89,0))</f>
        <v>0</v>
      </c>
      <c r="AH89" s="36" t="n">
        <f aca="false">IF($B89="",0,IF($G89="CARTAO",$F89,0)-IF($I89="CARTAO",$F89,0))</f>
        <v>0</v>
      </c>
      <c r="AI89" s="36" t="n">
        <f aca="false">IF($B89="",0,IF($I89="INVESTIMENTO",$F89,0)-IF($G89="INVESTIMENTO",$F89,0))</f>
        <v>0</v>
      </c>
      <c r="AJ89" s="35" t="str">
        <f aca="false">IF($B89="","",IF(NOT(ISNUMBER($F89)),"ERRO: valor nao numerico",IF($F89&lt;=0,"ERRO: valor deve ser maior que zero",IF(COUNTIF(MAP_TIPO,$D89)=0,"ERRO: tipo de operacao nao cadastrado",IF(COUNTIF(LST_STATUS,$E89)=0,"ERRO: status invalido",IF(AND($G89="EXTERNO",$I89="EXTERNO"),"ERRO: origem e destino externos",IF(AND($G89&lt;&gt;"EXTERNO",COUNTIFS(ENT_ID,$H89,ENT_TIPO,$G89)=0),"ERRO: origem inexistente",IF(AND($I89&lt;&gt;"EXTERNO",COUNTIFS(ENT_ID,$J89,ENT_TIPO,$I89)=0),"ERRO: destino inexistente",IF(AND($K89&lt;&gt;"",COUNTIF(CAT_ID,$K89)=0),"ERRO: categoria inexistente",IF(AND($L89&lt;&gt;"",COUNTIF(SUB_ID,$L89)=0),"ERRO: subcategoria inexistente",IF(AND($L89&lt;&gt;"",$K89&lt;&gt;"",IFERROR(INDEX(SUB_CATID,MATCH($L89,SUB_ID,0)),"")&lt;&gt;$K89),"ERRO: subcategoria nao pertence a categoria",IF(AND($O89&lt;&gt;"",COUNTIF(P_ID,$O89)=0),"ERRO: parcela inexistente",IF(AND($N89&lt;&gt;"",COUNTIF(CM_ID,$N89)=0),"ERRO: compromisso inexistente","OK")))))))))))))</f>
        <v/>
      </c>
      <c r="AK89" s="35" t="str">
        <f aca="false">IF($B89="","",IF(AND($N89="",$O89="",$P89="",$Q89="",$R89=""),"","VINCULADO: "&amp;TRIM(IF($N89&lt;&gt;"",$N89&amp;" ","")&amp;IF($O89&lt;&gt;"",$O89&amp;" ","")&amp;IF($P89&lt;&gt;"",$P89&amp;" ","")&amp;IF($Q89&lt;&gt;"",$Q89&amp;" ","")&amp;IF($R89&lt;&gt;"",$R89,""))))</f>
        <v/>
      </c>
    </row>
    <row r="90" customFormat="false" ht="15" hidden="false" customHeight="false" outlineLevel="0" collapsed="false">
      <c r="A90" s="30" t="str">
        <f aca="false">IF($B90="","","LAN-"&amp;TEXT(ROW()-4,"000000"))</f>
        <v/>
      </c>
      <c r="B90" s="31"/>
      <c r="C90" s="32"/>
      <c r="D90" s="32"/>
      <c r="E90" s="32"/>
      <c r="F90" s="33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4" t="str">
        <f aca="false">IF($B90="","",YEAR($B90))</f>
        <v/>
      </c>
      <c r="U90" s="34" t="str">
        <f aca="false">IF($B90="","",MONTH($B90))</f>
        <v/>
      </c>
      <c r="V90" s="34" t="str">
        <f aca="false">IF($B90="","",YEAR($B90)*100+MONTH($B90))</f>
        <v/>
      </c>
      <c r="W90" s="35" t="str">
        <f aca="false">IF($D90="","",IFERROR(INDEX(MAP_CLASS,MATCH($D90,MAP_TIPO,0)),"TIPO INVALIDO"))</f>
        <v/>
      </c>
      <c r="X90" s="35" t="str">
        <f aca="false">IF($K90="","",IFERROR(INDEX(CAT_NOME,MATCH($K90,CAT_ID,0)),"?"))</f>
        <v/>
      </c>
      <c r="Y90" s="35" t="str">
        <f aca="false">IF($L90="","",IFERROR(INDEX(SUB_NOME,MATCH($L90,SUB_ID,0)),"?"))</f>
        <v/>
      </c>
      <c r="Z90" s="35" t="str">
        <f aca="false">IF($G90="","",IF($G90="EXTERNO","(Externo)",IFERROR(INDEX(ENT_NOME,MATCH($H90,ENT_ID,0)),"?")))</f>
        <v/>
      </c>
      <c r="AA90" s="35" t="str">
        <f aca="false">IF($I90="","",IF($I90="EXTERNO","(Externo)",IFERROR(INDEX(ENT_NOME,MATCH($J90,ENT_ID,0)),"?")))</f>
        <v/>
      </c>
      <c r="AB90" s="36" t="n">
        <f aca="false">IF($B90="",0,IF(AND($I90="CONTA",$G90&lt;&gt;"CONTA"),$F90,0))</f>
        <v>0</v>
      </c>
      <c r="AC90" s="36" t="n">
        <f aca="false">IF($B90="",0,IF(AND($G90="CONTA",$I90&lt;&gt;"CONTA"),$F90,0))</f>
        <v>0</v>
      </c>
      <c r="AD90" s="36" t="n">
        <f aca="false">IF($W90="RECEITA",$F90,0)</f>
        <v>0</v>
      </c>
      <c r="AE90" s="36" t="n">
        <f aca="false">IF($W90="DESPESA",$F90,0)</f>
        <v>0</v>
      </c>
      <c r="AF90" s="36" t="n">
        <f aca="false">IF($W90="RECEITA_FINANCEIRA",$F90,0)</f>
        <v>0</v>
      </c>
      <c r="AG90" s="36" t="n">
        <f aca="false">IF($B90="",0,IF($I90="CONTA",$F90,0)-IF($G90="CONTA",$F90,0))</f>
        <v>0</v>
      </c>
      <c r="AH90" s="36" t="n">
        <f aca="false">IF($B90="",0,IF($G90="CARTAO",$F90,0)-IF($I90="CARTAO",$F90,0))</f>
        <v>0</v>
      </c>
      <c r="AI90" s="36" t="n">
        <f aca="false">IF($B90="",0,IF($I90="INVESTIMENTO",$F90,0)-IF($G90="INVESTIMENTO",$F90,0))</f>
        <v>0</v>
      </c>
      <c r="AJ90" s="35" t="str">
        <f aca="false">IF($B90="","",IF(NOT(ISNUMBER($F90)),"ERRO: valor nao numerico",IF($F90&lt;=0,"ERRO: valor deve ser maior que zero",IF(COUNTIF(MAP_TIPO,$D90)=0,"ERRO: tipo de operacao nao cadastrado",IF(COUNTIF(LST_STATUS,$E90)=0,"ERRO: status invalido",IF(AND($G90="EXTERNO",$I90="EXTERNO"),"ERRO: origem e destino externos",IF(AND($G90&lt;&gt;"EXTERNO",COUNTIFS(ENT_ID,$H90,ENT_TIPO,$G90)=0),"ERRO: origem inexistente",IF(AND($I90&lt;&gt;"EXTERNO",COUNTIFS(ENT_ID,$J90,ENT_TIPO,$I90)=0),"ERRO: destino inexistente",IF(AND($K90&lt;&gt;"",COUNTIF(CAT_ID,$K90)=0),"ERRO: categoria inexistente",IF(AND($L90&lt;&gt;"",COUNTIF(SUB_ID,$L90)=0),"ERRO: subcategoria inexistente",IF(AND($L90&lt;&gt;"",$K90&lt;&gt;"",IFERROR(INDEX(SUB_CATID,MATCH($L90,SUB_ID,0)),"")&lt;&gt;$K90),"ERRO: subcategoria nao pertence a categoria",IF(AND($O90&lt;&gt;"",COUNTIF(P_ID,$O90)=0),"ERRO: parcela inexistente",IF(AND($N90&lt;&gt;"",COUNTIF(CM_ID,$N90)=0),"ERRO: compromisso inexistente","OK")))))))))))))</f>
        <v/>
      </c>
      <c r="AK90" s="35" t="str">
        <f aca="false">IF($B90="","",IF(AND($N90="",$O90="",$P90="",$Q90="",$R90=""),"","VINCULADO: "&amp;TRIM(IF($N90&lt;&gt;"",$N90&amp;" ","")&amp;IF($O90&lt;&gt;"",$O90&amp;" ","")&amp;IF($P90&lt;&gt;"",$P90&amp;" ","")&amp;IF($Q90&lt;&gt;"",$Q90&amp;" ","")&amp;IF($R90&lt;&gt;"",$R90,""))))</f>
        <v/>
      </c>
    </row>
    <row r="91" customFormat="false" ht="15" hidden="false" customHeight="false" outlineLevel="0" collapsed="false">
      <c r="A91" s="30" t="str">
        <f aca="false">IF($B91="","","LAN-"&amp;TEXT(ROW()-4,"000000"))</f>
        <v/>
      </c>
      <c r="B91" s="31"/>
      <c r="C91" s="32"/>
      <c r="D91" s="32"/>
      <c r="E91" s="32"/>
      <c r="F91" s="33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4" t="str">
        <f aca="false">IF($B91="","",YEAR($B91))</f>
        <v/>
      </c>
      <c r="U91" s="34" t="str">
        <f aca="false">IF($B91="","",MONTH($B91))</f>
        <v/>
      </c>
      <c r="V91" s="34" t="str">
        <f aca="false">IF($B91="","",YEAR($B91)*100+MONTH($B91))</f>
        <v/>
      </c>
      <c r="W91" s="35" t="str">
        <f aca="false">IF($D91="","",IFERROR(INDEX(MAP_CLASS,MATCH($D91,MAP_TIPO,0)),"TIPO INVALIDO"))</f>
        <v/>
      </c>
      <c r="X91" s="35" t="str">
        <f aca="false">IF($K91="","",IFERROR(INDEX(CAT_NOME,MATCH($K91,CAT_ID,0)),"?"))</f>
        <v/>
      </c>
      <c r="Y91" s="35" t="str">
        <f aca="false">IF($L91="","",IFERROR(INDEX(SUB_NOME,MATCH($L91,SUB_ID,0)),"?"))</f>
        <v/>
      </c>
      <c r="Z91" s="35" t="str">
        <f aca="false">IF($G91="","",IF($G91="EXTERNO","(Externo)",IFERROR(INDEX(ENT_NOME,MATCH($H91,ENT_ID,0)),"?")))</f>
        <v/>
      </c>
      <c r="AA91" s="35" t="str">
        <f aca="false">IF($I91="","",IF($I91="EXTERNO","(Externo)",IFERROR(INDEX(ENT_NOME,MATCH($J91,ENT_ID,0)),"?")))</f>
        <v/>
      </c>
      <c r="AB91" s="36" t="n">
        <f aca="false">IF($B91="",0,IF(AND($I91="CONTA",$G91&lt;&gt;"CONTA"),$F91,0))</f>
        <v>0</v>
      </c>
      <c r="AC91" s="36" t="n">
        <f aca="false">IF($B91="",0,IF(AND($G91="CONTA",$I91&lt;&gt;"CONTA"),$F91,0))</f>
        <v>0</v>
      </c>
      <c r="AD91" s="36" t="n">
        <f aca="false">IF($W91="RECEITA",$F91,0)</f>
        <v>0</v>
      </c>
      <c r="AE91" s="36" t="n">
        <f aca="false">IF($W91="DESPESA",$F91,0)</f>
        <v>0</v>
      </c>
      <c r="AF91" s="36" t="n">
        <f aca="false">IF($W91="RECEITA_FINANCEIRA",$F91,0)</f>
        <v>0</v>
      </c>
      <c r="AG91" s="36" t="n">
        <f aca="false">IF($B91="",0,IF($I91="CONTA",$F91,0)-IF($G91="CONTA",$F91,0))</f>
        <v>0</v>
      </c>
      <c r="AH91" s="36" t="n">
        <f aca="false">IF($B91="",0,IF($G91="CARTAO",$F91,0)-IF($I91="CARTAO",$F91,0))</f>
        <v>0</v>
      </c>
      <c r="AI91" s="36" t="n">
        <f aca="false">IF($B91="",0,IF($I91="INVESTIMENTO",$F91,0)-IF($G91="INVESTIMENTO",$F91,0))</f>
        <v>0</v>
      </c>
      <c r="AJ91" s="35" t="str">
        <f aca="false">IF($B91="","",IF(NOT(ISNUMBER($F91)),"ERRO: valor nao numerico",IF($F91&lt;=0,"ERRO: valor deve ser maior que zero",IF(COUNTIF(MAP_TIPO,$D91)=0,"ERRO: tipo de operacao nao cadastrado",IF(COUNTIF(LST_STATUS,$E91)=0,"ERRO: status invalido",IF(AND($G91="EXTERNO",$I91="EXTERNO"),"ERRO: origem e destino externos",IF(AND($G91&lt;&gt;"EXTERNO",COUNTIFS(ENT_ID,$H91,ENT_TIPO,$G91)=0),"ERRO: origem inexistente",IF(AND($I91&lt;&gt;"EXTERNO",COUNTIFS(ENT_ID,$J91,ENT_TIPO,$I91)=0),"ERRO: destino inexistente",IF(AND($K91&lt;&gt;"",COUNTIF(CAT_ID,$K91)=0),"ERRO: categoria inexistente",IF(AND($L91&lt;&gt;"",COUNTIF(SUB_ID,$L91)=0),"ERRO: subcategoria inexistente",IF(AND($L91&lt;&gt;"",$K91&lt;&gt;"",IFERROR(INDEX(SUB_CATID,MATCH($L91,SUB_ID,0)),"")&lt;&gt;$K91),"ERRO: subcategoria nao pertence a categoria",IF(AND($O91&lt;&gt;"",COUNTIF(P_ID,$O91)=0),"ERRO: parcela inexistente",IF(AND($N91&lt;&gt;"",COUNTIF(CM_ID,$N91)=0),"ERRO: compromisso inexistente","OK")))))))))))))</f>
        <v/>
      </c>
      <c r="AK91" s="35" t="str">
        <f aca="false">IF($B91="","",IF(AND($N91="",$O91="",$P91="",$Q91="",$R91=""),"","VINCULADO: "&amp;TRIM(IF($N91&lt;&gt;"",$N91&amp;" ","")&amp;IF($O91&lt;&gt;"",$O91&amp;" ","")&amp;IF($P91&lt;&gt;"",$P91&amp;" ","")&amp;IF($Q91&lt;&gt;"",$Q91&amp;" ","")&amp;IF($R91&lt;&gt;"",$R91,""))))</f>
        <v/>
      </c>
    </row>
    <row r="92" customFormat="false" ht="15" hidden="false" customHeight="false" outlineLevel="0" collapsed="false">
      <c r="A92" s="30" t="str">
        <f aca="false">IF($B92="","","LAN-"&amp;TEXT(ROW()-4,"000000"))</f>
        <v/>
      </c>
      <c r="B92" s="31"/>
      <c r="C92" s="32"/>
      <c r="D92" s="32"/>
      <c r="E92" s="32"/>
      <c r="F92" s="33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4" t="str">
        <f aca="false">IF($B92="","",YEAR($B92))</f>
        <v/>
      </c>
      <c r="U92" s="34" t="str">
        <f aca="false">IF($B92="","",MONTH($B92))</f>
        <v/>
      </c>
      <c r="V92" s="34" t="str">
        <f aca="false">IF($B92="","",YEAR($B92)*100+MONTH($B92))</f>
        <v/>
      </c>
      <c r="W92" s="35" t="str">
        <f aca="false">IF($D92="","",IFERROR(INDEX(MAP_CLASS,MATCH($D92,MAP_TIPO,0)),"TIPO INVALIDO"))</f>
        <v/>
      </c>
      <c r="X92" s="35" t="str">
        <f aca="false">IF($K92="","",IFERROR(INDEX(CAT_NOME,MATCH($K92,CAT_ID,0)),"?"))</f>
        <v/>
      </c>
      <c r="Y92" s="35" t="str">
        <f aca="false">IF($L92="","",IFERROR(INDEX(SUB_NOME,MATCH($L92,SUB_ID,0)),"?"))</f>
        <v/>
      </c>
      <c r="Z92" s="35" t="str">
        <f aca="false">IF($G92="","",IF($G92="EXTERNO","(Externo)",IFERROR(INDEX(ENT_NOME,MATCH($H92,ENT_ID,0)),"?")))</f>
        <v/>
      </c>
      <c r="AA92" s="35" t="str">
        <f aca="false">IF($I92="","",IF($I92="EXTERNO","(Externo)",IFERROR(INDEX(ENT_NOME,MATCH($J92,ENT_ID,0)),"?")))</f>
        <v/>
      </c>
      <c r="AB92" s="36" t="n">
        <f aca="false">IF($B92="",0,IF(AND($I92="CONTA",$G92&lt;&gt;"CONTA"),$F92,0))</f>
        <v>0</v>
      </c>
      <c r="AC92" s="36" t="n">
        <f aca="false">IF($B92="",0,IF(AND($G92="CONTA",$I92&lt;&gt;"CONTA"),$F92,0))</f>
        <v>0</v>
      </c>
      <c r="AD92" s="36" t="n">
        <f aca="false">IF($W92="RECEITA",$F92,0)</f>
        <v>0</v>
      </c>
      <c r="AE92" s="36" t="n">
        <f aca="false">IF($W92="DESPESA",$F92,0)</f>
        <v>0</v>
      </c>
      <c r="AF92" s="36" t="n">
        <f aca="false">IF($W92="RECEITA_FINANCEIRA",$F92,0)</f>
        <v>0</v>
      </c>
      <c r="AG92" s="36" t="n">
        <f aca="false">IF($B92="",0,IF($I92="CONTA",$F92,0)-IF($G92="CONTA",$F92,0))</f>
        <v>0</v>
      </c>
      <c r="AH92" s="36" t="n">
        <f aca="false">IF($B92="",0,IF($G92="CARTAO",$F92,0)-IF($I92="CARTAO",$F92,0))</f>
        <v>0</v>
      </c>
      <c r="AI92" s="36" t="n">
        <f aca="false">IF($B92="",0,IF($I92="INVESTIMENTO",$F92,0)-IF($G92="INVESTIMENTO",$F92,0))</f>
        <v>0</v>
      </c>
      <c r="AJ92" s="35" t="str">
        <f aca="false">IF($B92="","",IF(NOT(ISNUMBER($F92)),"ERRO: valor nao numerico",IF($F92&lt;=0,"ERRO: valor deve ser maior que zero",IF(COUNTIF(MAP_TIPO,$D92)=0,"ERRO: tipo de operacao nao cadastrado",IF(COUNTIF(LST_STATUS,$E92)=0,"ERRO: status invalido",IF(AND($G92="EXTERNO",$I92="EXTERNO"),"ERRO: origem e destino externos",IF(AND($G92&lt;&gt;"EXTERNO",COUNTIFS(ENT_ID,$H92,ENT_TIPO,$G92)=0),"ERRO: origem inexistente",IF(AND($I92&lt;&gt;"EXTERNO",COUNTIFS(ENT_ID,$J92,ENT_TIPO,$I92)=0),"ERRO: destino inexistente",IF(AND($K92&lt;&gt;"",COUNTIF(CAT_ID,$K92)=0),"ERRO: categoria inexistente",IF(AND($L92&lt;&gt;"",COUNTIF(SUB_ID,$L92)=0),"ERRO: subcategoria inexistente",IF(AND($L92&lt;&gt;"",$K92&lt;&gt;"",IFERROR(INDEX(SUB_CATID,MATCH($L92,SUB_ID,0)),"")&lt;&gt;$K92),"ERRO: subcategoria nao pertence a categoria",IF(AND($O92&lt;&gt;"",COUNTIF(P_ID,$O92)=0),"ERRO: parcela inexistente",IF(AND($N92&lt;&gt;"",COUNTIF(CM_ID,$N92)=0),"ERRO: compromisso inexistente","OK")))))))))))))</f>
        <v/>
      </c>
      <c r="AK92" s="35" t="str">
        <f aca="false">IF($B92="","",IF(AND($N92="",$O92="",$P92="",$Q92="",$R92=""),"","VINCULADO: "&amp;TRIM(IF($N92&lt;&gt;"",$N92&amp;" ","")&amp;IF($O92&lt;&gt;"",$O92&amp;" ","")&amp;IF($P92&lt;&gt;"",$P92&amp;" ","")&amp;IF($Q92&lt;&gt;"",$Q92&amp;" ","")&amp;IF($R92&lt;&gt;"",$R92,""))))</f>
        <v/>
      </c>
    </row>
    <row r="93" customFormat="false" ht="15" hidden="false" customHeight="false" outlineLevel="0" collapsed="false">
      <c r="A93" s="30" t="str">
        <f aca="false">IF($B93="","","LAN-"&amp;TEXT(ROW()-4,"000000"))</f>
        <v/>
      </c>
      <c r="B93" s="31"/>
      <c r="C93" s="32"/>
      <c r="D93" s="32"/>
      <c r="E93" s="32"/>
      <c r="F93" s="33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4" t="str">
        <f aca="false">IF($B93="","",YEAR($B93))</f>
        <v/>
      </c>
      <c r="U93" s="34" t="str">
        <f aca="false">IF($B93="","",MONTH($B93))</f>
        <v/>
      </c>
      <c r="V93" s="34" t="str">
        <f aca="false">IF($B93="","",YEAR($B93)*100+MONTH($B93))</f>
        <v/>
      </c>
      <c r="W93" s="35" t="str">
        <f aca="false">IF($D93="","",IFERROR(INDEX(MAP_CLASS,MATCH($D93,MAP_TIPO,0)),"TIPO INVALIDO"))</f>
        <v/>
      </c>
      <c r="X93" s="35" t="str">
        <f aca="false">IF($K93="","",IFERROR(INDEX(CAT_NOME,MATCH($K93,CAT_ID,0)),"?"))</f>
        <v/>
      </c>
      <c r="Y93" s="35" t="str">
        <f aca="false">IF($L93="","",IFERROR(INDEX(SUB_NOME,MATCH($L93,SUB_ID,0)),"?"))</f>
        <v/>
      </c>
      <c r="Z93" s="35" t="str">
        <f aca="false">IF($G93="","",IF($G93="EXTERNO","(Externo)",IFERROR(INDEX(ENT_NOME,MATCH($H93,ENT_ID,0)),"?")))</f>
        <v/>
      </c>
      <c r="AA93" s="35" t="str">
        <f aca="false">IF($I93="","",IF($I93="EXTERNO","(Externo)",IFERROR(INDEX(ENT_NOME,MATCH($J93,ENT_ID,0)),"?")))</f>
        <v/>
      </c>
      <c r="AB93" s="36" t="n">
        <f aca="false">IF($B93="",0,IF(AND($I93="CONTA",$G93&lt;&gt;"CONTA"),$F93,0))</f>
        <v>0</v>
      </c>
      <c r="AC93" s="36" t="n">
        <f aca="false">IF($B93="",0,IF(AND($G93="CONTA",$I93&lt;&gt;"CONTA"),$F93,0))</f>
        <v>0</v>
      </c>
      <c r="AD93" s="36" t="n">
        <f aca="false">IF($W93="RECEITA",$F93,0)</f>
        <v>0</v>
      </c>
      <c r="AE93" s="36" t="n">
        <f aca="false">IF($W93="DESPESA",$F93,0)</f>
        <v>0</v>
      </c>
      <c r="AF93" s="36" t="n">
        <f aca="false">IF($W93="RECEITA_FINANCEIRA",$F93,0)</f>
        <v>0</v>
      </c>
      <c r="AG93" s="36" t="n">
        <f aca="false">IF($B93="",0,IF($I93="CONTA",$F93,0)-IF($G93="CONTA",$F93,0))</f>
        <v>0</v>
      </c>
      <c r="AH93" s="36" t="n">
        <f aca="false">IF($B93="",0,IF($G93="CARTAO",$F93,0)-IF($I93="CARTAO",$F93,0))</f>
        <v>0</v>
      </c>
      <c r="AI93" s="36" t="n">
        <f aca="false">IF($B93="",0,IF($I93="INVESTIMENTO",$F93,0)-IF($G93="INVESTIMENTO",$F93,0))</f>
        <v>0</v>
      </c>
      <c r="AJ93" s="35" t="str">
        <f aca="false">IF($B93="","",IF(NOT(ISNUMBER($F93)),"ERRO: valor nao numerico",IF($F93&lt;=0,"ERRO: valor deve ser maior que zero",IF(COUNTIF(MAP_TIPO,$D93)=0,"ERRO: tipo de operacao nao cadastrado",IF(COUNTIF(LST_STATUS,$E93)=0,"ERRO: status invalido",IF(AND($G93="EXTERNO",$I93="EXTERNO"),"ERRO: origem e destino externos",IF(AND($G93&lt;&gt;"EXTERNO",COUNTIFS(ENT_ID,$H93,ENT_TIPO,$G93)=0),"ERRO: origem inexistente",IF(AND($I93&lt;&gt;"EXTERNO",COUNTIFS(ENT_ID,$J93,ENT_TIPO,$I93)=0),"ERRO: destino inexistente",IF(AND($K93&lt;&gt;"",COUNTIF(CAT_ID,$K93)=0),"ERRO: categoria inexistente",IF(AND($L93&lt;&gt;"",COUNTIF(SUB_ID,$L93)=0),"ERRO: subcategoria inexistente",IF(AND($L93&lt;&gt;"",$K93&lt;&gt;"",IFERROR(INDEX(SUB_CATID,MATCH($L93,SUB_ID,0)),"")&lt;&gt;$K93),"ERRO: subcategoria nao pertence a categoria",IF(AND($O93&lt;&gt;"",COUNTIF(P_ID,$O93)=0),"ERRO: parcela inexistente",IF(AND($N93&lt;&gt;"",COUNTIF(CM_ID,$N93)=0),"ERRO: compromisso inexistente","OK")))))))))))))</f>
        <v/>
      </c>
      <c r="AK93" s="35" t="str">
        <f aca="false">IF($B93="","",IF(AND($N93="",$O93="",$P93="",$Q93="",$R93=""),"","VINCULADO: "&amp;TRIM(IF($N93&lt;&gt;"",$N93&amp;" ","")&amp;IF($O93&lt;&gt;"",$O93&amp;" ","")&amp;IF($P93&lt;&gt;"",$P93&amp;" ","")&amp;IF($Q93&lt;&gt;"",$Q93&amp;" ","")&amp;IF($R93&lt;&gt;"",$R93,""))))</f>
        <v/>
      </c>
    </row>
    <row r="94" customFormat="false" ht="15" hidden="false" customHeight="false" outlineLevel="0" collapsed="false">
      <c r="A94" s="30" t="str">
        <f aca="false">IF($B94="","","LAN-"&amp;TEXT(ROW()-4,"000000"))</f>
        <v/>
      </c>
      <c r="B94" s="31"/>
      <c r="C94" s="32"/>
      <c r="D94" s="32"/>
      <c r="E94" s="32"/>
      <c r="F94" s="33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4" t="str">
        <f aca="false">IF($B94="","",YEAR($B94))</f>
        <v/>
      </c>
      <c r="U94" s="34" t="str">
        <f aca="false">IF($B94="","",MONTH($B94))</f>
        <v/>
      </c>
      <c r="V94" s="34" t="str">
        <f aca="false">IF($B94="","",YEAR($B94)*100+MONTH($B94))</f>
        <v/>
      </c>
      <c r="W94" s="35" t="str">
        <f aca="false">IF($D94="","",IFERROR(INDEX(MAP_CLASS,MATCH($D94,MAP_TIPO,0)),"TIPO INVALIDO"))</f>
        <v/>
      </c>
      <c r="X94" s="35" t="str">
        <f aca="false">IF($K94="","",IFERROR(INDEX(CAT_NOME,MATCH($K94,CAT_ID,0)),"?"))</f>
        <v/>
      </c>
      <c r="Y94" s="35" t="str">
        <f aca="false">IF($L94="","",IFERROR(INDEX(SUB_NOME,MATCH($L94,SUB_ID,0)),"?"))</f>
        <v/>
      </c>
      <c r="Z94" s="35" t="str">
        <f aca="false">IF($G94="","",IF($G94="EXTERNO","(Externo)",IFERROR(INDEX(ENT_NOME,MATCH($H94,ENT_ID,0)),"?")))</f>
        <v/>
      </c>
      <c r="AA94" s="35" t="str">
        <f aca="false">IF($I94="","",IF($I94="EXTERNO","(Externo)",IFERROR(INDEX(ENT_NOME,MATCH($J94,ENT_ID,0)),"?")))</f>
        <v/>
      </c>
      <c r="AB94" s="36" t="n">
        <f aca="false">IF($B94="",0,IF(AND($I94="CONTA",$G94&lt;&gt;"CONTA"),$F94,0))</f>
        <v>0</v>
      </c>
      <c r="AC94" s="36" t="n">
        <f aca="false">IF($B94="",0,IF(AND($G94="CONTA",$I94&lt;&gt;"CONTA"),$F94,0))</f>
        <v>0</v>
      </c>
      <c r="AD94" s="36" t="n">
        <f aca="false">IF($W94="RECEITA",$F94,0)</f>
        <v>0</v>
      </c>
      <c r="AE94" s="36" t="n">
        <f aca="false">IF($W94="DESPESA",$F94,0)</f>
        <v>0</v>
      </c>
      <c r="AF94" s="36" t="n">
        <f aca="false">IF($W94="RECEITA_FINANCEIRA",$F94,0)</f>
        <v>0</v>
      </c>
      <c r="AG94" s="36" t="n">
        <f aca="false">IF($B94="",0,IF($I94="CONTA",$F94,0)-IF($G94="CONTA",$F94,0))</f>
        <v>0</v>
      </c>
      <c r="AH94" s="36" t="n">
        <f aca="false">IF($B94="",0,IF($G94="CARTAO",$F94,0)-IF($I94="CARTAO",$F94,0))</f>
        <v>0</v>
      </c>
      <c r="AI94" s="36" t="n">
        <f aca="false">IF($B94="",0,IF($I94="INVESTIMENTO",$F94,0)-IF($G94="INVESTIMENTO",$F94,0))</f>
        <v>0</v>
      </c>
      <c r="AJ94" s="35" t="str">
        <f aca="false">IF($B94="","",IF(NOT(ISNUMBER($F94)),"ERRO: valor nao numerico",IF($F94&lt;=0,"ERRO: valor deve ser maior que zero",IF(COUNTIF(MAP_TIPO,$D94)=0,"ERRO: tipo de operacao nao cadastrado",IF(COUNTIF(LST_STATUS,$E94)=0,"ERRO: status invalido",IF(AND($G94="EXTERNO",$I94="EXTERNO"),"ERRO: origem e destino externos",IF(AND($G94&lt;&gt;"EXTERNO",COUNTIFS(ENT_ID,$H94,ENT_TIPO,$G94)=0),"ERRO: origem inexistente",IF(AND($I94&lt;&gt;"EXTERNO",COUNTIFS(ENT_ID,$J94,ENT_TIPO,$I94)=0),"ERRO: destino inexistente",IF(AND($K94&lt;&gt;"",COUNTIF(CAT_ID,$K94)=0),"ERRO: categoria inexistente",IF(AND($L94&lt;&gt;"",COUNTIF(SUB_ID,$L94)=0),"ERRO: subcategoria inexistente",IF(AND($L94&lt;&gt;"",$K94&lt;&gt;"",IFERROR(INDEX(SUB_CATID,MATCH($L94,SUB_ID,0)),"")&lt;&gt;$K94),"ERRO: subcategoria nao pertence a categoria",IF(AND($O94&lt;&gt;"",COUNTIF(P_ID,$O94)=0),"ERRO: parcela inexistente",IF(AND($N94&lt;&gt;"",COUNTIF(CM_ID,$N94)=0),"ERRO: compromisso inexistente","OK")))))))))))))</f>
        <v/>
      </c>
      <c r="AK94" s="35" t="str">
        <f aca="false">IF($B94="","",IF(AND($N94="",$O94="",$P94="",$Q94="",$R94=""),"","VINCULADO: "&amp;TRIM(IF($N94&lt;&gt;"",$N94&amp;" ","")&amp;IF($O94&lt;&gt;"",$O94&amp;" ","")&amp;IF($P94&lt;&gt;"",$P94&amp;" ","")&amp;IF($Q94&lt;&gt;"",$Q94&amp;" ","")&amp;IF($R94&lt;&gt;"",$R94,""))))</f>
        <v/>
      </c>
    </row>
    <row r="95" customFormat="false" ht="15" hidden="false" customHeight="false" outlineLevel="0" collapsed="false">
      <c r="A95" s="30" t="str">
        <f aca="false">IF($B95="","","LAN-"&amp;TEXT(ROW()-4,"000000"))</f>
        <v/>
      </c>
      <c r="B95" s="31"/>
      <c r="C95" s="32"/>
      <c r="D95" s="32"/>
      <c r="E95" s="32"/>
      <c r="F95" s="33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4" t="str">
        <f aca="false">IF($B95="","",YEAR($B95))</f>
        <v/>
      </c>
      <c r="U95" s="34" t="str">
        <f aca="false">IF($B95="","",MONTH($B95))</f>
        <v/>
      </c>
      <c r="V95" s="34" t="str">
        <f aca="false">IF($B95="","",YEAR($B95)*100+MONTH($B95))</f>
        <v/>
      </c>
      <c r="W95" s="35" t="str">
        <f aca="false">IF($D95="","",IFERROR(INDEX(MAP_CLASS,MATCH($D95,MAP_TIPO,0)),"TIPO INVALIDO"))</f>
        <v/>
      </c>
      <c r="X95" s="35" t="str">
        <f aca="false">IF($K95="","",IFERROR(INDEX(CAT_NOME,MATCH($K95,CAT_ID,0)),"?"))</f>
        <v/>
      </c>
      <c r="Y95" s="35" t="str">
        <f aca="false">IF($L95="","",IFERROR(INDEX(SUB_NOME,MATCH($L95,SUB_ID,0)),"?"))</f>
        <v/>
      </c>
      <c r="Z95" s="35" t="str">
        <f aca="false">IF($G95="","",IF($G95="EXTERNO","(Externo)",IFERROR(INDEX(ENT_NOME,MATCH($H95,ENT_ID,0)),"?")))</f>
        <v/>
      </c>
      <c r="AA95" s="35" t="str">
        <f aca="false">IF($I95="","",IF($I95="EXTERNO","(Externo)",IFERROR(INDEX(ENT_NOME,MATCH($J95,ENT_ID,0)),"?")))</f>
        <v/>
      </c>
      <c r="AB95" s="36" t="n">
        <f aca="false">IF($B95="",0,IF(AND($I95="CONTA",$G95&lt;&gt;"CONTA"),$F95,0))</f>
        <v>0</v>
      </c>
      <c r="AC95" s="36" t="n">
        <f aca="false">IF($B95="",0,IF(AND($G95="CONTA",$I95&lt;&gt;"CONTA"),$F95,0))</f>
        <v>0</v>
      </c>
      <c r="AD95" s="36" t="n">
        <f aca="false">IF($W95="RECEITA",$F95,0)</f>
        <v>0</v>
      </c>
      <c r="AE95" s="36" t="n">
        <f aca="false">IF($W95="DESPESA",$F95,0)</f>
        <v>0</v>
      </c>
      <c r="AF95" s="36" t="n">
        <f aca="false">IF($W95="RECEITA_FINANCEIRA",$F95,0)</f>
        <v>0</v>
      </c>
      <c r="AG95" s="36" t="n">
        <f aca="false">IF($B95="",0,IF($I95="CONTA",$F95,0)-IF($G95="CONTA",$F95,0))</f>
        <v>0</v>
      </c>
      <c r="AH95" s="36" t="n">
        <f aca="false">IF($B95="",0,IF($G95="CARTAO",$F95,0)-IF($I95="CARTAO",$F95,0))</f>
        <v>0</v>
      </c>
      <c r="AI95" s="36" t="n">
        <f aca="false">IF($B95="",0,IF($I95="INVESTIMENTO",$F95,0)-IF($G95="INVESTIMENTO",$F95,0))</f>
        <v>0</v>
      </c>
      <c r="AJ95" s="35" t="str">
        <f aca="false">IF($B95="","",IF(NOT(ISNUMBER($F95)),"ERRO: valor nao numerico",IF($F95&lt;=0,"ERRO: valor deve ser maior que zero",IF(COUNTIF(MAP_TIPO,$D95)=0,"ERRO: tipo de operacao nao cadastrado",IF(COUNTIF(LST_STATUS,$E95)=0,"ERRO: status invalido",IF(AND($G95="EXTERNO",$I95="EXTERNO"),"ERRO: origem e destino externos",IF(AND($G95&lt;&gt;"EXTERNO",COUNTIFS(ENT_ID,$H95,ENT_TIPO,$G95)=0),"ERRO: origem inexistente",IF(AND($I95&lt;&gt;"EXTERNO",COUNTIFS(ENT_ID,$J95,ENT_TIPO,$I95)=0),"ERRO: destino inexistente",IF(AND($K95&lt;&gt;"",COUNTIF(CAT_ID,$K95)=0),"ERRO: categoria inexistente",IF(AND($L95&lt;&gt;"",COUNTIF(SUB_ID,$L95)=0),"ERRO: subcategoria inexistente",IF(AND($L95&lt;&gt;"",$K95&lt;&gt;"",IFERROR(INDEX(SUB_CATID,MATCH($L95,SUB_ID,0)),"")&lt;&gt;$K95),"ERRO: subcategoria nao pertence a categoria",IF(AND($O95&lt;&gt;"",COUNTIF(P_ID,$O95)=0),"ERRO: parcela inexistente",IF(AND($N95&lt;&gt;"",COUNTIF(CM_ID,$N95)=0),"ERRO: compromisso inexistente","OK")))))))))))))</f>
        <v/>
      </c>
      <c r="AK95" s="35" t="str">
        <f aca="false">IF($B95="","",IF(AND($N95="",$O95="",$P95="",$Q95="",$R95=""),"","VINCULADO: "&amp;TRIM(IF($N95&lt;&gt;"",$N95&amp;" ","")&amp;IF($O95&lt;&gt;"",$O95&amp;" ","")&amp;IF($P95&lt;&gt;"",$P95&amp;" ","")&amp;IF($Q95&lt;&gt;"",$Q95&amp;" ","")&amp;IF($R95&lt;&gt;"",$R95,""))))</f>
        <v/>
      </c>
    </row>
    <row r="96" customFormat="false" ht="15" hidden="false" customHeight="false" outlineLevel="0" collapsed="false">
      <c r="A96" s="30" t="str">
        <f aca="false">IF($B96="","","LAN-"&amp;TEXT(ROW()-4,"000000"))</f>
        <v/>
      </c>
      <c r="B96" s="31"/>
      <c r="C96" s="32"/>
      <c r="D96" s="32"/>
      <c r="E96" s="32"/>
      <c r="F96" s="33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4" t="str">
        <f aca="false">IF($B96="","",YEAR($B96))</f>
        <v/>
      </c>
      <c r="U96" s="34" t="str">
        <f aca="false">IF($B96="","",MONTH($B96))</f>
        <v/>
      </c>
      <c r="V96" s="34" t="str">
        <f aca="false">IF($B96="","",YEAR($B96)*100+MONTH($B96))</f>
        <v/>
      </c>
      <c r="W96" s="35" t="str">
        <f aca="false">IF($D96="","",IFERROR(INDEX(MAP_CLASS,MATCH($D96,MAP_TIPO,0)),"TIPO INVALIDO"))</f>
        <v/>
      </c>
      <c r="X96" s="35" t="str">
        <f aca="false">IF($K96="","",IFERROR(INDEX(CAT_NOME,MATCH($K96,CAT_ID,0)),"?"))</f>
        <v/>
      </c>
      <c r="Y96" s="35" t="str">
        <f aca="false">IF($L96="","",IFERROR(INDEX(SUB_NOME,MATCH($L96,SUB_ID,0)),"?"))</f>
        <v/>
      </c>
      <c r="Z96" s="35" t="str">
        <f aca="false">IF($G96="","",IF($G96="EXTERNO","(Externo)",IFERROR(INDEX(ENT_NOME,MATCH($H96,ENT_ID,0)),"?")))</f>
        <v/>
      </c>
      <c r="AA96" s="35" t="str">
        <f aca="false">IF($I96="","",IF($I96="EXTERNO","(Externo)",IFERROR(INDEX(ENT_NOME,MATCH($J96,ENT_ID,0)),"?")))</f>
        <v/>
      </c>
      <c r="AB96" s="36" t="n">
        <f aca="false">IF($B96="",0,IF(AND($I96="CONTA",$G96&lt;&gt;"CONTA"),$F96,0))</f>
        <v>0</v>
      </c>
      <c r="AC96" s="36" t="n">
        <f aca="false">IF($B96="",0,IF(AND($G96="CONTA",$I96&lt;&gt;"CONTA"),$F96,0))</f>
        <v>0</v>
      </c>
      <c r="AD96" s="36" t="n">
        <f aca="false">IF($W96="RECEITA",$F96,0)</f>
        <v>0</v>
      </c>
      <c r="AE96" s="36" t="n">
        <f aca="false">IF($W96="DESPESA",$F96,0)</f>
        <v>0</v>
      </c>
      <c r="AF96" s="36" t="n">
        <f aca="false">IF($W96="RECEITA_FINANCEIRA",$F96,0)</f>
        <v>0</v>
      </c>
      <c r="AG96" s="36" t="n">
        <f aca="false">IF($B96="",0,IF($I96="CONTA",$F96,0)-IF($G96="CONTA",$F96,0))</f>
        <v>0</v>
      </c>
      <c r="AH96" s="36" t="n">
        <f aca="false">IF($B96="",0,IF($G96="CARTAO",$F96,0)-IF($I96="CARTAO",$F96,0))</f>
        <v>0</v>
      </c>
      <c r="AI96" s="36" t="n">
        <f aca="false">IF($B96="",0,IF($I96="INVESTIMENTO",$F96,0)-IF($G96="INVESTIMENTO",$F96,0))</f>
        <v>0</v>
      </c>
      <c r="AJ96" s="35" t="str">
        <f aca="false">IF($B96="","",IF(NOT(ISNUMBER($F96)),"ERRO: valor nao numerico",IF($F96&lt;=0,"ERRO: valor deve ser maior que zero",IF(COUNTIF(MAP_TIPO,$D96)=0,"ERRO: tipo de operacao nao cadastrado",IF(COUNTIF(LST_STATUS,$E96)=0,"ERRO: status invalido",IF(AND($G96="EXTERNO",$I96="EXTERNO"),"ERRO: origem e destino externos",IF(AND($G96&lt;&gt;"EXTERNO",COUNTIFS(ENT_ID,$H96,ENT_TIPO,$G96)=0),"ERRO: origem inexistente",IF(AND($I96&lt;&gt;"EXTERNO",COUNTIFS(ENT_ID,$J96,ENT_TIPO,$I96)=0),"ERRO: destino inexistente",IF(AND($K96&lt;&gt;"",COUNTIF(CAT_ID,$K96)=0),"ERRO: categoria inexistente",IF(AND($L96&lt;&gt;"",COUNTIF(SUB_ID,$L96)=0),"ERRO: subcategoria inexistente",IF(AND($L96&lt;&gt;"",$K96&lt;&gt;"",IFERROR(INDEX(SUB_CATID,MATCH($L96,SUB_ID,0)),"")&lt;&gt;$K96),"ERRO: subcategoria nao pertence a categoria",IF(AND($O96&lt;&gt;"",COUNTIF(P_ID,$O96)=0),"ERRO: parcela inexistente",IF(AND($N96&lt;&gt;"",COUNTIF(CM_ID,$N96)=0),"ERRO: compromisso inexistente","OK")))))))))))))</f>
        <v/>
      </c>
      <c r="AK96" s="35" t="str">
        <f aca="false">IF($B96="","",IF(AND($N96="",$O96="",$P96="",$Q96="",$R96=""),"","VINCULADO: "&amp;TRIM(IF($N96&lt;&gt;"",$N96&amp;" ","")&amp;IF($O96&lt;&gt;"",$O96&amp;" ","")&amp;IF($P96&lt;&gt;"",$P96&amp;" ","")&amp;IF($Q96&lt;&gt;"",$Q96&amp;" ","")&amp;IF($R96&lt;&gt;"",$R96,""))))</f>
        <v/>
      </c>
    </row>
    <row r="97" customFormat="false" ht="15" hidden="false" customHeight="false" outlineLevel="0" collapsed="false">
      <c r="A97" s="30" t="str">
        <f aca="false">IF($B97="","","LAN-"&amp;TEXT(ROW()-4,"000000"))</f>
        <v/>
      </c>
      <c r="B97" s="31"/>
      <c r="C97" s="32"/>
      <c r="D97" s="32"/>
      <c r="E97" s="32"/>
      <c r="F97" s="33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4" t="str">
        <f aca="false">IF($B97="","",YEAR($B97))</f>
        <v/>
      </c>
      <c r="U97" s="34" t="str">
        <f aca="false">IF($B97="","",MONTH($B97))</f>
        <v/>
      </c>
      <c r="V97" s="34" t="str">
        <f aca="false">IF($B97="","",YEAR($B97)*100+MONTH($B97))</f>
        <v/>
      </c>
      <c r="W97" s="35" t="str">
        <f aca="false">IF($D97="","",IFERROR(INDEX(MAP_CLASS,MATCH($D97,MAP_TIPO,0)),"TIPO INVALIDO"))</f>
        <v/>
      </c>
      <c r="X97" s="35" t="str">
        <f aca="false">IF($K97="","",IFERROR(INDEX(CAT_NOME,MATCH($K97,CAT_ID,0)),"?"))</f>
        <v/>
      </c>
      <c r="Y97" s="35" t="str">
        <f aca="false">IF($L97="","",IFERROR(INDEX(SUB_NOME,MATCH($L97,SUB_ID,0)),"?"))</f>
        <v/>
      </c>
      <c r="Z97" s="35" t="str">
        <f aca="false">IF($G97="","",IF($G97="EXTERNO","(Externo)",IFERROR(INDEX(ENT_NOME,MATCH($H97,ENT_ID,0)),"?")))</f>
        <v/>
      </c>
      <c r="AA97" s="35" t="str">
        <f aca="false">IF($I97="","",IF($I97="EXTERNO","(Externo)",IFERROR(INDEX(ENT_NOME,MATCH($J97,ENT_ID,0)),"?")))</f>
        <v/>
      </c>
      <c r="AB97" s="36" t="n">
        <f aca="false">IF($B97="",0,IF(AND($I97="CONTA",$G97&lt;&gt;"CONTA"),$F97,0))</f>
        <v>0</v>
      </c>
      <c r="AC97" s="36" t="n">
        <f aca="false">IF($B97="",0,IF(AND($G97="CONTA",$I97&lt;&gt;"CONTA"),$F97,0))</f>
        <v>0</v>
      </c>
      <c r="AD97" s="36" t="n">
        <f aca="false">IF($W97="RECEITA",$F97,0)</f>
        <v>0</v>
      </c>
      <c r="AE97" s="36" t="n">
        <f aca="false">IF($W97="DESPESA",$F97,0)</f>
        <v>0</v>
      </c>
      <c r="AF97" s="36" t="n">
        <f aca="false">IF($W97="RECEITA_FINANCEIRA",$F97,0)</f>
        <v>0</v>
      </c>
      <c r="AG97" s="36" t="n">
        <f aca="false">IF($B97="",0,IF($I97="CONTA",$F97,0)-IF($G97="CONTA",$F97,0))</f>
        <v>0</v>
      </c>
      <c r="AH97" s="36" t="n">
        <f aca="false">IF($B97="",0,IF($G97="CARTAO",$F97,0)-IF($I97="CARTAO",$F97,0))</f>
        <v>0</v>
      </c>
      <c r="AI97" s="36" t="n">
        <f aca="false">IF($B97="",0,IF($I97="INVESTIMENTO",$F97,0)-IF($G97="INVESTIMENTO",$F97,0))</f>
        <v>0</v>
      </c>
      <c r="AJ97" s="35" t="str">
        <f aca="false">IF($B97="","",IF(NOT(ISNUMBER($F97)),"ERRO: valor nao numerico",IF($F97&lt;=0,"ERRO: valor deve ser maior que zero",IF(COUNTIF(MAP_TIPO,$D97)=0,"ERRO: tipo de operacao nao cadastrado",IF(COUNTIF(LST_STATUS,$E97)=0,"ERRO: status invalido",IF(AND($G97="EXTERNO",$I97="EXTERNO"),"ERRO: origem e destino externos",IF(AND($G97&lt;&gt;"EXTERNO",COUNTIFS(ENT_ID,$H97,ENT_TIPO,$G97)=0),"ERRO: origem inexistente",IF(AND($I97&lt;&gt;"EXTERNO",COUNTIFS(ENT_ID,$J97,ENT_TIPO,$I97)=0),"ERRO: destino inexistente",IF(AND($K97&lt;&gt;"",COUNTIF(CAT_ID,$K97)=0),"ERRO: categoria inexistente",IF(AND($L97&lt;&gt;"",COUNTIF(SUB_ID,$L97)=0),"ERRO: subcategoria inexistente",IF(AND($L97&lt;&gt;"",$K97&lt;&gt;"",IFERROR(INDEX(SUB_CATID,MATCH($L97,SUB_ID,0)),"")&lt;&gt;$K97),"ERRO: subcategoria nao pertence a categoria",IF(AND($O97&lt;&gt;"",COUNTIF(P_ID,$O97)=0),"ERRO: parcela inexistente",IF(AND($N97&lt;&gt;"",COUNTIF(CM_ID,$N97)=0),"ERRO: compromisso inexistente","OK")))))))))))))</f>
        <v/>
      </c>
      <c r="AK97" s="35" t="str">
        <f aca="false">IF($B97="","",IF(AND($N97="",$O97="",$P97="",$Q97="",$R97=""),"","VINCULADO: "&amp;TRIM(IF($N97&lt;&gt;"",$N97&amp;" ","")&amp;IF($O97&lt;&gt;"",$O97&amp;" ","")&amp;IF($P97&lt;&gt;"",$P97&amp;" ","")&amp;IF($Q97&lt;&gt;"",$Q97&amp;" ","")&amp;IF($R97&lt;&gt;"",$R97,""))))</f>
        <v/>
      </c>
    </row>
    <row r="98" customFormat="false" ht="15" hidden="false" customHeight="false" outlineLevel="0" collapsed="false">
      <c r="A98" s="30" t="str">
        <f aca="false">IF($B98="","","LAN-"&amp;TEXT(ROW()-4,"000000"))</f>
        <v/>
      </c>
      <c r="B98" s="31"/>
      <c r="C98" s="32"/>
      <c r="D98" s="32"/>
      <c r="E98" s="32"/>
      <c r="F98" s="33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4" t="str">
        <f aca="false">IF($B98="","",YEAR($B98))</f>
        <v/>
      </c>
      <c r="U98" s="34" t="str">
        <f aca="false">IF($B98="","",MONTH($B98))</f>
        <v/>
      </c>
      <c r="V98" s="34" t="str">
        <f aca="false">IF($B98="","",YEAR($B98)*100+MONTH($B98))</f>
        <v/>
      </c>
      <c r="W98" s="35" t="str">
        <f aca="false">IF($D98="","",IFERROR(INDEX(MAP_CLASS,MATCH($D98,MAP_TIPO,0)),"TIPO INVALIDO"))</f>
        <v/>
      </c>
      <c r="X98" s="35" t="str">
        <f aca="false">IF($K98="","",IFERROR(INDEX(CAT_NOME,MATCH($K98,CAT_ID,0)),"?"))</f>
        <v/>
      </c>
      <c r="Y98" s="35" t="str">
        <f aca="false">IF($L98="","",IFERROR(INDEX(SUB_NOME,MATCH($L98,SUB_ID,0)),"?"))</f>
        <v/>
      </c>
      <c r="Z98" s="35" t="str">
        <f aca="false">IF($G98="","",IF($G98="EXTERNO","(Externo)",IFERROR(INDEX(ENT_NOME,MATCH($H98,ENT_ID,0)),"?")))</f>
        <v/>
      </c>
      <c r="AA98" s="35" t="str">
        <f aca="false">IF($I98="","",IF($I98="EXTERNO","(Externo)",IFERROR(INDEX(ENT_NOME,MATCH($J98,ENT_ID,0)),"?")))</f>
        <v/>
      </c>
      <c r="AB98" s="36" t="n">
        <f aca="false">IF($B98="",0,IF(AND($I98="CONTA",$G98&lt;&gt;"CONTA"),$F98,0))</f>
        <v>0</v>
      </c>
      <c r="AC98" s="36" t="n">
        <f aca="false">IF($B98="",0,IF(AND($G98="CONTA",$I98&lt;&gt;"CONTA"),$F98,0))</f>
        <v>0</v>
      </c>
      <c r="AD98" s="36" t="n">
        <f aca="false">IF($W98="RECEITA",$F98,0)</f>
        <v>0</v>
      </c>
      <c r="AE98" s="36" t="n">
        <f aca="false">IF($W98="DESPESA",$F98,0)</f>
        <v>0</v>
      </c>
      <c r="AF98" s="36" t="n">
        <f aca="false">IF($W98="RECEITA_FINANCEIRA",$F98,0)</f>
        <v>0</v>
      </c>
      <c r="AG98" s="36" t="n">
        <f aca="false">IF($B98="",0,IF($I98="CONTA",$F98,0)-IF($G98="CONTA",$F98,0))</f>
        <v>0</v>
      </c>
      <c r="AH98" s="36" t="n">
        <f aca="false">IF($B98="",0,IF($G98="CARTAO",$F98,0)-IF($I98="CARTAO",$F98,0))</f>
        <v>0</v>
      </c>
      <c r="AI98" s="36" t="n">
        <f aca="false">IF($B98="",0,IF($I98="INVESTIMENTO",$F98,0)-IF($G98="INVESTIMENTO",$F98,0))</f>
        <v>0</v>
      </c>
      <c r="AJ98" s="35" t="str">
        <f aca="false">IF($B98="","",IF(NOT(ISNUMBER($F98)),"ERRO: valor nao numerico",IF($F98&lt;=0,"ERRO: valor deve ser maior que zero",IF(COUNTIF(MAP_TIPO,$D98)=0,"ERRO: tipo de operacao nao cadastrado",IF(COUNTIF(LST_STATUS,$E98)=0,"ERRO: status invalido",IF(AND($G98="EXTERNO",$I98="EXTERNO"),"ERRO: origem e destino externos",IF(AND($G98&lt;&gt;"EXTERNO",COUNTIFS(ENT_ID,$H98,ENT_TIPO,$G98)=0),"ERRO: origem inexistente",IF(AND($I98&lt;&gt;"EXTERNO",COUNTIFS(ENT_ID,$J98,ENT_TIPO,$I98)=0),"ERRO: destino inexistente",IF(AND($K98&lt;&gt;"",COUNTIF(CAT_ID,$K98)=0),"ERRO: categoria inexistente",IF(AND($L98&lt;&gt;"",COUNTIF(SUB_ID,$L98)=0),"ERRO: subcategoria inexistente",IF(AND($L98&lt;&gt;"",$K98&lt;&gt;"",IFERROR(INDEX(SUB_CATID,MATCH($L98,SUB_ID,0)),"")&lt;&gt;$K98),"ERRO: subcategoria nao pertence a categoria",IF(AND($O98&lt;&gt;"",COUNTIF(P_ID,$O98)=0),"ERRO: parcela inexistente",IF(AND($N98&lt;&gt;"",COUNTIF(CM_ID,$N98)=0),"ERRO: compromisso inexistente","OK")))))))))))))</f>
        <v/>
      </c>
      <c r="AK98" s="35" t="str">
        <f aca="false">IF($B98="","",IF(AND($N98="",$O98="",$P98="",$Q98="",$R98=""),"","VINCULADO: "&amp;TRIM(IF($N98&lt;&gt;"",$N98&amp;" ","")&amp;IF($O98&lt;&gt;"",$O98&amp;" ","")&amp;IF($P98&lt;&gt;"",$P98&amp;" ","")&amp;IF($Q98&lt;&gt;"",$Q98&amp;" ","")&amp;IF($R98&lt;&gt;"",$R98,""))))</f>
        <v/>
      </c>
    </row>
    <row r="99" customFormat="false" ht="15" hidden="false" customHeight="false" outlineLevel="0" collapsed="false">
      <c r="A99" s="30" t="str">
        <f aca="false">IF($B99="","","LAN-"&amp;TEXT(ROW()-4,"000000"))</f>
        <v/>
      </c>
      <c r="B99" s="31"/>
      <c r="C99" s="32"/>
      <c r="D99" s="32"/>
      <c r="E99" s="32"/>
      <c r="F99" s="33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4" t="str">
        <f aca="false">IF($B99="","",YEAR($B99))</f>
        <v/>
      </c>
      <c r="U99" s="34" t="str">
        <f aca="false">IF($B99="","",MONTH($B99))</f>
        <v/>
      </c>
      <c r="V99" s="34" t="str">
        <f aca="false">IF($B99="","",YEAR($B99)*100+MONTH($B99))</f>
        <v/>
      </c>
      <c r="W99" s="35" t="str">
        <f aca="false">IF($D99="","",IFERROR(INDEX(MAP_CLASS,MATCH($D99,MAP_TIPO,0)),"TIPO INVALIDO"))</f>
        <v/>
      </c>
      <c r="X99" s="35" t="str">
        <f aca="false">IF($K99="","",IFERROR(INDEX(CAT_NOME,MATCH($K99,CAT_ID,0)),"?"))</f>
        <v/>
      </c>
      <c r="Y99" s="35" t="str">
        <f aca="false">IF($L99="","",IFERROR(INDEX(SUB_NOME,MATCH($L99,SUB_ID,0)),"?"))</f>
        <v/>
      </c>
      <c r="Z99" s="35" t="str">
        <f aca="false">IF($G99="","",IF($G99="EXTERNO","(Externo)",IFERROR(INDEX(ENT_NOME,MATCH($H99,ENT_ID,0)),"?")))</f>
        <v/>
      </c>
      <c r="AA99" s="35" t="str">
        <f aca="false">IF($I99="","",IF($I99="EXTERNO","(Externo)",IFERROR(INDEX(ENT_NOME,MATCH($J99,ENT_ID,0)),"?")))</f>
        <v/>
      </c>
      <c r="AB99" s="36" t="n">
        <f aca="false">IF($B99="",0,IF(AND($I99="CONTA",$G99&lt;&gt;"CONTA"),$F99,0))</f>
        <v>0</v>
      </c>
      <c r="AC99" s="36" t="n">
        <f aca="false">IF($B99="",0,IF(AND($G99="CONTA",$I99&lt;&gt;"CONTA"),$F99,0))</f>
        <v>0</v>
      </c>
      <c r="AD99" s="36" t="n">
        <f aca="false">IF($W99="RECEITA",$F99,0)</f>
        <v>0</v>
      </c>
      <c r="AE99" s="36" t="n">
        <f aca="false">IF($W99="DESPESA",$F99,0)</f>
        <v>0</v>
      </c>
      <c r="AF99" s="36" t="n">
        <f aca="false">IF($W99="RECEITA_FINANCEIRA",$F99,0)</f>
        <v>0</v>
      </c>
      <c r="AG99" s="36" t="n">
        <f aca="false">IF($B99="",0,IF($I99="CONTA",$F99,0)-IF($G99="CONTA",$F99,0))</f>
        <v>0</v>
      </c>
      <c r="AH99" s="36" t="n">
        <f aca="false">IF($B99="",0,IF($G99="CARTAO",$F99,0)-IF($I99="CARTAO",$F99,0))</f>
        <v>0</v>
      </c>
      <c r="AI99" s="36" t="n">
        <f aca="false">IF($B99="",0,IF($I99="INVESTIMENTO",$F99,0)-IF($G99="INVESTIMENTO",$F99,0))</f>
        <v>0</v>
      </c>
      <c r="AJ99" s="35" t="str">
        <f aca="false">IF($B99="","",IF(NOT(ISNUMBER($F99)),"ERRO: valor nao numerico",IF($F99&lt;=0,"ERRO: valor deve ser maior que zero",IF(COUNTIF(MAP_TIPO,$D99)=0,"ERRO: tipo de operacao nao cadastrado",IF(COUNTIF(LST_STATUS,$E99)=0,"ERRO: status invalido",IF(AND($G99="EXTERNO",$I99="EXTERNO"),"ERRO: origem e destino externos",IF(AND($G99&lt;&gt;"EXTERNO",COUNTIFS(ENT_ID,$H99,ENT_TIPO,$G99)=0),"ERRO: origem inexistente",IF(AND($I99&lt;&gt;"EXTERNO",COUNTIFS(ENT_ID,$J99,ENT_TIPO,$I99)=0),"ERRO: destino inexistente",IF(AND($K99&lt;&gt;"",COUNTIF(CAT_ID,$K99)=0),"ERRO: categoria inexistente",IF(AND($L99&lt;&gt;"",COUNTIF(SUB_ID,$L99)=0),"ERRO: subcategoria inexistente",IF(AND($L99&lt;&gt;"",$K99&lt;&gt;"",IFERROR(INDEX(SUB_CATID,MATCH($L99,SUB_ID,0)),"")&lt;&gt;$K99),"ERRO: subcategoria nao pertence a categoria",IF(AND($O99&lt;&gt;"",COUNTIF(P_ID,$O99)=0),"ERRO: parcela inexistente",IF(AND($N99&lt;&gt;"",COUNTIF(CM_ID,$N99)=0),"ERRO: compromisso inexistente","OK")))))))))))))</f>
        <v/>
      </c>
      <c r="AK99" s="35" t="str">
        <f aca="false">IF($B99="","",IF(AND($N99="",$O99="",$P99="",$Q99="",$R99=""),"","VINCULADO: "&amp;TRIM(IF($N99&lt;&gt;"",$N99&amp;" ","")&amp;IF($O99&lt;&gt;"",$O99&amp;" ","")&amp;IF($P99&lt;&gt;"",$P99&amp;" ","")&amp;IF($Q99&lt;&gt;"",$Q99&amp;" ","")&amp;IF($R99&lt;&gt;"",$R99,""))))</f>
        <v/>
      </c>
    </row>
    <row r="100" customFormat="false" ht="15" hidden="false" customHeight="false" outlineLevel="0" collapsed="false">
      <c r="A100" s="30" t="str">
        <f aca="false">IF($B100="","","LAN-"&amp;TEXT(ROW()-4,"000000"))</f>
        <v/>
      </c>
      <c r="B100" s="31"/>
      <c r="C100" s="32"/>
      <c r="D100" s="32"/>
      <c r="E100" s="32"/>
      <c r="F100" s="33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4" t="str">
        <f aca="false">IF($B100="","",YEAR($B100))</f>
        <v/>
      </c>
      <c r="U100" s="34" t="str">
        <f aca="false">IF($B100="","",MONTH($B100))</f>
        <v/>
      </c>
      <c r="V100" s="34" t="str">
        <f aca="false">IF($B100="","",YEAR($B100)*100+MONTH($B100))</f>
        <v/>
      </c>
      <c r="W100" s="35" t="str">
        <f aca="false">IF($D100="","",IFERROR(INDEX(MAP_CLASS,MATCH($D100,MAP_TIPO,0)),"TIPO INVALIDO"))</f>
        <v/>
      </c>
      <c r="X100" s="35" t="str">
        <f aca="false">IF($K100="","",IFERROR(INDEX(CAT_NOME,MATCH($K100,CAT_ID,0)),"?"))</f>
        <v/>
      </c>
      <c r="Y100" s="35" t="str">
        <f aca="false">IF($L100="","",IFERROR(INDEX(SUB_NOME,MATCH($L100,SUB_ID,0)),"?"))</f>
        <v/>
      </c>
      <c r="Z100" s="35" t="str">
        <f aca="false">IF($G100="","",IF($G100="EXTERNO","(Externo)",IFERROR(INDEX(ENT_NOME,MATCH($H100,ENT_ID,0)),"?")))</f>
        <v/>
      </c>
      <c r="AA100" s="35" t="str">
        <f aca="false">IF($I100="","",IF($I100="EXTERNO","(Externo)",IFERROR(INDEX(ENT_NOME,MATCH($J100,ENT_ID,0)),"?")))</f>
        <v/>
      </c>
      <c r="AB100" s="36" t="n">
        <f aca="false">IF($B100="",0,IF(AND($I100="CONTA",$G100&lt;&gt;"CONTA"),$F100,0))</f>
        <v>0</v>
      </c>
      <c r="AC100" s="36" t="n">
        <f aca="false">IF($B100="",0,IF(AND($G100="CONTA",$I100&lt;&gt;"CONTA"),$F100,0))</f>
        <v>0</v>
      </c>
      <c r="AD100" s="36" t="n">
        <f aca="false">IF($W100="RECEITA",$F100,0)</f>
        <v>0</v>
      </c>
      <c r="AE100" s="36" t="n">
        <f aca="false">IF($W100="DESPESA",$F100,0)</f>
        <v>0</v>
      </c>
      <c r="AF100" s="36" t="n">
        <f aca="false">IF($W100="RECEITA_FINANCEIRA",$F100,0)</f>
        <v>0</v>
      </c>
      <c r="AG100" s="36" t="n">
        <f aca="false">IF($B100="",0,IF($I100="CONTA",$F100,0)-IF($G100="CONTA",$F100,0))</f>
        <v>0</v>
      </c>
      <c r="AH100" s="36" t="n">
        <f aca="false">IF($B100="",0,IF($G100="CARTAO",$F100,0)-IF($I100="CARTAO",$F100,0))</f>
        <v>0</v>
      </c>
      <c r="AI100" s="36" t="n">
        <f aca="false">IF($B100="",0,IF($I100="INVESTIMENTO",$F100,0)-IF($G100="INVESTIMENTO",$F100,0))</f>
        <v>0</v>
      </c>
      <c r="AJ100" s="35" t="str">
        <f aca="false">IF($B100="","",IF(NOT(ISNUMBER($F100)),"ERRO: valor nao numerico",IF($F100&lt;=0,"ERRO: valor deve ser maior que zero",IF(COUNTIF(MAP_TIPO,$D100)=0,"ERRO: tipo de operacao nao cadastrado",IF(COUNTIF(LST_STATUS,$E100)=0,"ERRO: status invalido",IF(AND($G100="EXTERNO",$I100="EXTERNO"),"ERRO: origem e destino externos",IF(AND($G100&lt;&gt;"EXTERNO",COUNTIFS(ENT_ID,$H100,ENT_TIPO,$G100)=0),"ERRO: origem inexistente",IF(AND($I100&lt;&gt;"EXTERNO",COUNTIFS(ENT_ID,$J100,ENT_TIPO,$I100)=0),"ERRO: destino inexistente",IF(AND($K100&lt;&gt;"",COUNTIF(CAT_ID,$K100)=0),"ERRO: categoria inexistente",IF(AND($L100&lt;&gt;"",COUNTIF(SUB_ID,$L100)=0),"ERRO: subcategoria inexistente",IF(AND($L100&lt;&gt;"",$K100&lt;&gt;"",IFERROR(INDEX(SUB_CATID,MATCH($L100,SUB_ID,0)),"")&lt;&gt;$K100),"ERRO: subcategoria nao pertence a categoria",IF(AND($O100&lt;&gt;"",COUNTIF(P_ID,$O100)=0),"ERRO: parcela inexistente",IF(AND($N100&lt;&gt;"",COUNTIF(CM_ID,$N100)=0),"ERRO: compromisso inexistente","OK")))))))))))))</f>
        <v/>
      </c>
      <c r="AK100" s="35" t="str">
        <f aca="false">IF($B100="","",IF(AND($N100="",$O100="",$P100="",$Q100="",$R100=""),"","VINCULADO: "&amp;TRIM(IF($N100&lt;&gt;"",$N100&amp;" ","")&amp;IF($O100&lt;&gt;"",$O100&amp;" ","")&amp;IF($P100&lt;&gt;"",$P100&amp;" ","")&amp;IF($Q100&lt;&gt;"",$Q100&amp;" ","")&amp;IF($R100&lt;&gt;"",$R100,""))))</f>
        <v/>
      </c>
    </row>
    <row r="101" customFormat="false" ht="15" hidden="false" customHeight="false" outlineLevel="0" collapsed="false">
      <c r="A101" s="30" t="str">
        <f aca="false">IF($B101="","","LAN-"&amp;TEXT(ROW()-4,"000000"))</f>
        <v/>
      </c>
      <c r="B101" s="31"/>
      <c r="C101" s="32"/>
      <c r="D101" s="32"/>
      <c r="E101" s="32"/>
      <c r="F101" s="33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4" t="str">
        <f aca="false">IF($B101="","",YEAR($B101))</f>
        <v/>
      </c>
      <c r="U101" s="34" t="str">
        <f aca="false">IF($B101="","",MONTH($B101))</f>
        <v/>
      </c>
      <c r="V101" s="34" t="str">
        <f aca="false">IF($B101="","",YEAR($B101)*100+MONTH($B101))</f>
        <v/>
      </c>
      <c r="W101" s="35" t="str">
        <f aca="false">IF($D101="","",IFERROR(INDEX(MAP_CLASS,MATCH($D101,MAP_TIPO,0)),"TIPO INVALIDO"))</f>
        <v/>
      </c>
      <c r="X101" s="35" t="str">
        <f aca="false">IF($K101="","",IFERROR(INDEX(CAT_NOME,MATCH($K101,CAT_ID,0)),"?"))</f>
        <v/>
      </c>
      <c r="Y101" s="35" t="str">
        <f aca="false">IF($L101="","",IFERROR(INDEX(SUB_NOME,MATCH($L101,SUB_ID,0)),"?"))</f>
        <v/>
      </c>
      <c r="Z101" s="35" t="str">
        <f aca="false">IF($G101="","",IF($G101="EXTERNO","(Externo)",IFERROR(INDEX(ENT_NOME,MATCH($H101,ENT_ID,0)),"?")))</f>
        <v/>
      </c>
      <c r="AA101" s="35" t="str">
        <f aca="false">IF($I101="","",IF($I101="EXTERNO","(Externo)",IFERROR(INDEX(ENT_NOME,MATCH($J101,ENT_ID,0)),"?")))</f>
        <v/>
      </c>
      <c r="AB101" s="36" t="n">
        <f aca="false">IF($B101="",0,IF(AND($I101="CONTA",$G101&lt;&gt;"CONTA"),$F101,0))</f>
        <v>0</v>
      </c>
      <c r="AC101" s="36" t="n">
        <f aca="false">IF($B101="",0,IF(AND($G101="CONTA",$I101&lt;&gt;"CONTA"),$F101,0))</f>
        <v>0</v>
      </c>
      <c r="AD101" s="36" t="n">
        <f aca="false">IF($W101="RECEITA",$F101,0)</f>
        <v>0</v>
      </c>
      <c r="AE101" s="36" t="n">
        <f aca="false">IF($W101="DESPESA",$F101,0)</f>
        <v>0</v>
      </c>
      <c r="AF101" s="36" t="n">
        <f aca="false">IF($W101="RECEITA_FINANCEIRA",$F101,0)</f>
        <v>0</v>
      </c>
      <c r="AG101" s="36" t="n">
        <f aca="false">IF($B101="",0,IF($I101="CONTA",$F101,0)-IF($G101="CONTA",$F101,0))</f>
        <v>0</v>
      </c>
      <c r="AH101" s="36" t="n">
        <f aca="false">IF($B101="",0,IF($G101="CARTAO",$F101,0)-IF($I101="CARTAO",$F101,0))</f>
        <v>0</v>
      </c>
      <c r="AI101" s="36" t="n">
        <f aca="false">IF($B101="",0,IF($I101="INVESTIMENTO",$F101,0)-IF($G101="INVESTIMENTO",$F101,0))</f>
        <v>0</v>
      </c>
      <c r="AJ101" s="35" t="str">
        <f aca="false">IF($B101="","",IF(NOT(ISNUMBER($F101)),"ERRO: valor nao numerico",IF($F101&lt;=0,"ERRO: valor deve ser maior que zero",IF(COUNTIF(MAP_TIPO,$D101)=0,"ERRO: tipo de operacao nao cadastrado",IF(COUNTIF(LST_STATUS,$E101)=0,"ERRO: status invalido",IF(AND($G101="EXTERNO",$I101="EXTERNO"),"ERRO: origem e destino externos",IF(AND($G101&lt;&gt;"EXTERNO",COUNTIFS(ENT_ID,$H101,ENT_TIPO,$G101)=0),"ERRO: origem inexistente",IF(AND($I101&lt;&gt;"EXTERNO",COUNTIFS(ENT_ID,$J101,ENT_TIPO,$I101)=0),"ERRO: destino inexistente",IF(AND($K101&lt;&gt;"",COUNTIF(CAT_ID,$K101)=0),"ERRO: categoria inexistente",IF(AND($L101&lt;&gt;"",COUNTIF(SUB_ID,$L101)=0),"ERRO: subcategoria inexistente",IF(AND($L101&lt;&gt;"",$K101&lt;&gt;"",IFERROR(INDEX(SUB_CATID,MATCH($L101,SUB_ID,0)),"")&lt;&gt;$K101),"ERRO: subcategoria nao pertence a categoria",IF(AND($O101&lt;&gt;"",COUNTIF(P_ID,$O101)=0),"ERRO: parcela inexistente",IF(AND($N101&lt;&gt;"",COUNTIF(CM_ID,$N101)=0),"ERRO: compromisso inexistente","OK")))))))))))))</f>
        <v/>
      </c>
      <c r="AK101" s="35" t="str">
        <f aca="false">IF($B101="","",IF(AND($N101="",$O101="",$P101="",$Q101="",$R101=""),"","VINCULADO: "&amp;TRIM(IF($N101&lt;&gt;"",$N101&amp;" ","")&amp;IF($O101&lt;&gt;"",$O101&amp;" ","")&amp;IF($P101&lt;&gt;"",$P101&amp;" ","")&amp;IF($Q101&lt;&gt;"",$Q101&amp;" ","")&amp;IF($R101&lt;&gt;"",$R101,""))))</f>
        <v/>
      </c>
    </row>
    <row r="102" customFormat="false" ht="15" hidden="false" customHeight="false" outlineLevel="0" collapsed="false">
      <c r="A102" s="30" t="str">
        <f aca="false">IF($B102="","","LAN-"&amp;TEXT(ROW()-4,"000000"))</f>
        <v/>
      </c>
      <c r="B102" s="31"/>
      <c r="C102" s="32"/>
      <c r="D102" s="32"/>
      <c r="E102" s="32"/>
      <c r="F102" s="33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4" t="str">
        <f aca="false">IF($B102="","",YEAR($B102))</f>
        <v/>
      </c>
      <c r="U102" s="34" t="str">
        <f aca="false">IF($B102="","",MONTH($B102))</f>
        <v/>
      </c>
      <c r="V102" s="34" t="str">
        <f aca="false">IF($B102="","",YEAR($B102)*100+MONTH($B102))</f>
        <v/>
      </c>
      <c r="W102" s="35" t="str">
        <f aca="false">IF($D102="","",IFERROR(INDEX(MAP_CLASS,MATCH($D102,MAP_TIPO,0)),"TIPO INVALIDO"))</f>
        <v/>
      </c>
      <c r="X102" s="35" t="str">
        <f aca="false">IF($K102="","",IFERROR(INDEX(CAT_NOME,MATCH($K102,CAT_ID,0)),"?"))</f>
        <v/>
      </c>
      <c r="Y102" s="35" t="str">
        <f aca="false">IF($L102="","",IFERROR(INDEX(SUB_NOME,MATCH($L102,SUB_ID,0)),"?"))</f>
        <v/>
      </c>
      <c r="Z102" s="35" t="str">
        <f aca="false">IF($G102="","",IF($G102="EXTERNO","(Externo)",IFERROR(INDEX(ENT_NOME,MATCH($H102,ENT_ID,0)),"?")))</f>
        <v/>
      </c>
      <c r="AA102" s="35" t="str">
        <f aca="false">IF($I102="","",IF($I102="EXTERNO","(Externo)",IFERROR(INDEX(ENT_NOME,MATCH($J102,ENT_ID,0)),"?")))</f>
        <v/>
      </c>
      <c r="AB102" s="36" t="n">
        <f aca="false">IF($B102="",0,IF(AND($I102="CONTA",$G102&lt;&gt;"CONTA"),$F102,0))</f>
        <v>0</v>
      </c>
      <c r="AC102" s="36" t="n">
        <f aca="false">IF($B102="",0,IF(AND($G102="CONTA",$I102&lt;&gt;"CONTA"),$F102,0))</f>
        <v>0</v>
      </c>
      <c r="AD102" s="36" t="n">
        <f aca="false">IF($W102="RECEITA",$F102,0)</f>
        <v>0</v>
      </c>
      <c r="AE102" s="36" t="n">
        <f aca="false">IF($W102="DESPESA",$F102,0)</f>
        <v>0</v>
      </c>
      <c r="AF102" s="36" t="n">
        <f aca="false">IF($W102="RECEITA_FINANCEIRA",$F102,0)</f>
        <v>0</v>
      </c>
      <c r="AG102" s="36" t="n">
        <f aca="false">IF($B102="",0,IF($I102="CONTA",$F102,0)-IF($G102="CONTA",$F102,0))</f>
        <v>0</v>
      </c>
      <c r="AH102" s="36" t="n">
        <f aca="false">IF($B102="",0,IF($G102="CARTAO",$F102,0)-IF($I102="CARTAO",$F102,0))</f>
        <v>0</v>
      </c>
      <c r="AI102" s="36" t="n">
        <f aca="false">IF($B102="",0,IF($I102="INVESTIMENTO",$F102,0)-IF($G102="INVESTIMENTO",$F102,0))</f>
        <v>0</v>
      </c>
      <c r="AJ102" s="35" t="str">
        <f aca="false">IF($B102="","",IF(NOT(ISNUMBER($F102)),"ERRO: valor nao numerico",IF($F102&lt;=0,"ERRO: valor deve ser maior que zero",IF(COUNTIF(MAP_TIPO,$D102)=0,"ERRO: tipo de operacao nao cadastrado",IF(COUNTIF(LST_STATUS,$E102)=0,"ERRO: status invalido",IF(AND($G102="EXTERNO",$I102="EXTERNO"),"ERRO: origem e destino externos",IF(AND($G102&lt;&gt;"EXTERNO",COUNTIFS(ENT_ID,$H102,ENT_TIPO,$G102)=0),"ERRO: origem inexistente",IF(AND($I102&lt;&gt;"EXTERNO",COUNTIFS(ENT_ID,$J102,ENT_TIPO,$I102)=0),"ERRO: destino inexistente",IF(AND($K102&lt;&gt;"",COUNTIF(CAT_ID,$K102)=0),"ERRO: categoria inexistente",IF(AND($L102&lt;&gt;"",COUNTIF(SUB_ID,$L102)=0),"ERRO: subcategoria inexistente",IF(AND($L102&lt;&gt;"",$K102&lt;&gt;"",IFERROR(INDEX(SUB_CATID,MATCH($L102,SUB_ID,0)),"")&lt;&gt;$K102),"ERRO: subcategoria nao pertence a categoria",IF(AND($O102&lt;&gt;"",COUNTIF(P_ID,$O102)=0),"ERRO: parcela inexistente",IF(AND($N102&lt;&gt;"",COUNTIF(CM_ID,$N102)=0),"ERRO: compromisso inexistente","OK")))))))))))))</f>
        <v/>
      </c>
      <c r="AK102" s="35" t="str">
        <f aca="false">IF($B102="","",IF(AND($N102="",$O102="",$P102="",$Q102="",$R102=""),"","VINCULADO: "&amp;TRIM(IF($N102&lt;&gt;"",$N102&amp;" ","")&amp;IF($O102&lt;&gt;"",$O102&amp;" ","")&amp;IF($P102&lt;&gt;"",$P102&amp;" ","")&amp;IF($Q102&lt;&gt;"",$Q102&amp;" ","")&amp;IF($R102&lt;&gt;"",$R102,""))))</f>
        <v/>
      </c>
    </row>
    <row r="103" customFormat="false" ht="15" hidden="false" customHeight="false" outlineLevel="0" collapsed="false">
      <c r="A103" s="30" t="str">
        <f aca="false">IF($B103="","","LAN-"&amp;TEXT(ROW()-4,"000000"))</f>
        <v/>
      </c>
      <c r="B103" s="31"/>
      <c r="C103" s="32"/>
      <c r="D103" s="32"/>
      <c r="E103" s="32"/>
      <c r="F103" s="33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4" t="str">
        <f aca="false">IF($B103="","",YEAR($B103))</f>
        <v/>
      </c>
      <c r="U103" s="34" t="str">
        <f aca="false">IF($B103="","",MONTH($B103))</f>
        <v/>
      </c>
      <c r="V103" s="34" t="str">
        <f aca="false">IF($B103="","",YEAR($B103)*100+MONTH($B103))</f>
        <v/>
      </c>
      <c r="W103" s="35" t="str">
        <f aca="false">IF($D103="","",IFERROR(INDEX(MAP_CLASS,MATCH($D103,MAP_TIPO,0)),"TIPO INVALIDO"))</f>
        <v/>
      </c>
      <c r="X103" s="35" t="str">
        <f aca="false">IF($K103="","",IFERROR(INDEX(CAT_NOME,MATCH($K103,CAT_ID,0)),"?"))</f>
        <v/>
      </c>
      <c r="Y103" s="35" t="str">
        <f aca="false">IF($L103="","",IFERROR(INDEX(SUB_NOME,MATCH($L103,SUB_ID,0)),"?"))</f>
        <v/>
      </c>
      <c r="Z103" s="35" t="str">
        <f aca="false">IF($G103="","",IF($G103="EXTERNO","(Externo)",IFERROR(INDEX(ENT_NOME,MATCH($H103,ENT_ID,0)),"?")))</f>
        <v/>
      </c>
      <c r="AA103" s="35" t="str">
        <f aca="false">IF($I103="","",IF($I103="EXTERNO","(Externo)",IFERROR(INDEX(ENT_NOME,MATCH($J103,ENT_ID,0)),"?")))</f>
        <v/>
      </c>
      <c r="AB103" s="36" t="n">
        <f aca="false">IF($B103="",0,IF(AND($I103="CONTA",$G103&lt;&gt;"CONTA"),$F103,0))</f>
        <v>0</v>
      </c>
      <c r="AC103" s="36" t="n">
        <f aca="false">IF($B103="",0,IF(AND($G103="CONTA",$I103&lt;&gt;"CONTA"),$F103,0))</f>
        <v>0</v>
      </c>
      <c r="AD103" s="36" t="n">
        <f aca="false">IF($W103="RECEITA",$F103,0)</f>
        <v>0</v>
      </c>
      <c r="AE103" s="36" t="n">
        <f aca="false">IF($W103="DESPESA",$F103,0)</f>
        <v>0</v>
      </c>
      <c r="AF103" s="36" t="n">
        <f aca="false">IF($W103="RECEITA_FINANCEIRA",$F103,0)</f>
        <v>0</v>
      </c>
      <c r="AG103" s="36" t="n">
        <f aca="false">IF($B103="",0,IF($I103="CONTA",$F103,0)-IF($G103="CONTA",$F103,0))</f>
        <v>0</v>
      </c>
      <c r="AH103" s="36" t="n">
        <f aca="false">IF($B103="",0,IF($G103="CARTAO",$F103,0)-IF($I103="CARTAO",$F103,0))</f>
        <v>0</v>
      </c>
      <c r="AI103" s="36" t="n">
        <f aca="false">IF($B103="",0,IF($I103="INVESTIMENTO",$F103,0)-IF($G103="INVESTIMENTO",$F103,0))</f>
        <v>0</v>
      </c>
      <c r="AJ103" s="35" t="str">
        <f aca="false">IF($B103="","",IF(NOT(ISNUMBER($F103)),"ERRO: valor nao numerico",IF($F103&lt;=0,"ERRO: valor deve ser maior que zero",IF(COUNTIF(MAP_TIPO,$D103)=0,"ERRO: tipo de operacao nao cadastrado",IF(COUNTIF(LST_STATUS,$E103)=0,"ERRO: status invalido",IF(AND($G103="EXTERNO",$I103="EXTERNO"),"ERRO: origem e destino externos",IF(AND($G103&lt;&gt;"EXTERNO",COUNTIFS(ENT_ID,$H103,ENT_TIPO,$G103)=0),"ERRO: origem inexistente",IF(AND($I103&lt;&gt;"EXTERNO",COUNTIFS(ENT_ID,$J103,ENT_TIPO,$I103)=0),"ERRO: destino inexistente",IF(AND($K103&lt;&gt;"",COUNTIF(CAT_ID,$K103)=0),"ERRO: categoria inexistente",IF(AND($L103&lt;&gt;"",COUNTIF(SUB_ID,$L103)=0),"ERRO: subcategoria inexistente",IF(AND($L103&lt;&gt;"",$K103&lt;&gt;"",IFERROR(INDEX(SUB_CATID,MATCH($L103,SUB_ID,0)),"")&lt;&gt;$K103),"ERRO: subcategoria nao pertence a categoria",IF(AND($O103&lt;&gt;"",COUNTIF(P_ID,$O103)=0),"ERRO: parcela inexistente",IF(AND($N103&lt;&gt;"",COUNTIF(CM_ID,$N103)=0),"ERRO: compromisso inexistente","OK")))))))))))))</f>
        <v/>
      </c>
      <c r="AK103" s="35" t="str">
        <f aca="false">IF($B103="","",IF(AND($N103="",$O103="",$P103="",$Q103="",$R103=""),"","VINCULADO: "&amp;TRIM(IF($N103&lt;&gt;"",$N103&amp;" ","")&amp;IF($O103&lt;&gt;"",$O103&amp;" ","")&amp;IF($P103&lt;&gt;"",$P103&amp;" ","")&amp;IF($Q103&lt;&gt;"",$Q103&amp;" ","")&amp;IF($R103&lt;&gt;"",$R103,""))))</f>
        <v/>
      </c>
    </row>
    <row r="104" customFormat="false" ht="15" hidden="false" customHeight="false" outlineLevel="0" collapsed="false">
      <c r="A104" s="30" t="str">
        <f aca="false">IF($B104="","","LAN-"&amp;TEXT(ROW()-4,"000000"))</f>
        <v/>
      </c>
      <c r="B104" s="31"/>
      <c r="C104" s="32"/>
      <c r="D104" s="32"/>
      <c r="E104" s="32"/>
      <c r="F104" s="33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4" t="str">
        <f aca="false">IF($B104="","",YEAR($B104))</f>
        <v/>
      </c>
      <c r="U104" s="34" t="str">
        <f aca="false">IF($B104="","",MONTH($B104))</f>
        <v/>
      </c>
      <c r="V104" s="34" t="str">
        <f aca="false">IF($B104="","",YEAR($B104)*100+MONTH($B104))</f>
        <v/>
      </c>
      <c r="W104" s="35" t="str">
        <f aca="false">IF($D104="","",IFERROR(INDEX(MAP_CLASS,MATCH($D104,MAP_TIPO,0)),"TIPO INVALIDO"))</f>
        <v/>
      </c>
      <c r="X104" s="35" t="str">
        <f aca="false">IF($K104="","",IFERROR(INDEX(CAT_NOME,MATCH($K104,CAT_ID,0)),"?"))</f>
        <v/>
      </c>
      <c r="Y104" s="35" t="str">
        <f aca="false">IF($L104="","",IFERROR(INDEX(SUB_NOME,MATCH($L104,SUB_ID,0)),"?"))</f>
        <v/>
      </c>
      <c r="Z104" s="35" t="str">
        <f aca="false">IF($G104="","",IF($G104="EXTERNO","(Externo)",IFERROR(INDEX(ENT_NOME,MATCH($H104,ENT_ID,0)),"?")))</f>
        <v/>
      </c>
      <c r="AA104" s="35" t="str">
        <f aca="false">IF($I104="","",IF($I104="EXTERNO","(Externo)",IFERROR(INDEX(ENT_NOME,MATCH($J104,ENT_ID,0)),"?")))</f>
        <v/>
      </c>
      <c r="AB104" s="36" t="n">
        <f aca="false">IF($B104="",0,IF(AND($I104="CONTA",$G104&lt;&gt;"CONTA"),$F104,0))</f>
        <v>0</v>
      </c>
      <c r="AC104" s="36" t="n">
        <f aca="false">IF($B104="",0,IF(AND($G104="CONTA",$I104&lt;&gt;"CONTA"),$F104,0))</f>
        <v>0</v>
      </c>
      <c r="AD104" s="36" t="n">
        <f aca="false">IF($W104="RECEITA",$F104,0)</f>
        <v>0</v>
      </c>
      <c r="AE104" s="36" t="n">
        <f aca="false">IF($W104="DESPESA",$F104,0)</f>
        <v>0</v>
      </c>
      <c r="AF104" s="36" t="n">
        <f aca="false">IF($W104="RECEITA_FINANCEIRA",$F104,0)</f>
        <v>0</v>
      </c>
      <c r="AG104" s="36" t="n">
        <f aca="false">IF($B104="",0,IF($I104="CONTA",$F104,0)-IF($G104="CONTA",$F104,0))</f>
        <v>0</v>
      </c>
      <c r="AH104" s="36" t="n">
        <f aca="false">IF($B104="",0,IF($G104="CARTAO",$F104,0)-IF($I104="CARTAO",$F104,0))</f>
        <v>0</v>
      </c>
      <c r="AI104" s="36" t="n">
        <f aca="false">IF($B104="",0,IF($I104="INVESTIMENTO",$F104,0)-IF($G104="INVESTIMENTO",$F104,0))</f>
        <v>0</v>
      </c>
      <c r="AJ104" s="35" t="str">
        <f aca="false">IF($B104="","",IF(NOT(ISNUMBER($F104)),"ERRO: valor nao numerico",IF($F104&lt;=0,"ERRO: valor deve ser maior que zero",IF(COUNTIF(MAP_TIPO,$D104)=0,"ERRO: tipo de operacao nao cadastrado",IF(COUNTIF(LST_STATUS,$E104)=0,"ERRO: status invalido",IF(AND($G104="EXTERNO",$I104="EXTERNO"),"ERRO: origem e destino externos",IF(AND($G104&lt;&gt;"EXTERNO",COUNTIFS(ENT_ID,$H104,ENT_TIPO,$G104)=0),"ERRO: origem inexistente",IF(AND($I104&lt;&gt;"EXTERNO",COUNTIFS(ENT_ID,$J104,ENT_TIPO,$I104)=0),"ERRO: destino inexistente",IF(AND($K104&lt;&gt;"",COUNTIF(CAT_ID,$K104)=0),"ERRO: categoria inexistente",IF(AND($L104&lt;&gt;"",COUNTIF(SUB_ID,$L104)=0),"ERRO: subcategoria inexistente",IF(AND($L104&lt;&gt;"",$K104&lt;&gt;"",IFERROR(INDEX(SUB_CATID,MATCH($L104,SUB_ID,0)),"")&lt;&gt;$K104),"ERRO: subcategoria nao pertence a categoria",IF(AND($O104&lt;&gt;"",COUNTIF(P_ID,$O104)=0),"ERRO: parcela inexistente",IF(AND($N104&lt;&gt;"",COUNTIF(CM_ID,$N104)=0),"ERRO: compromisso inexistente","OK")))))))))))))</f>
        <v/>
      </c>
      <c r="AK104" s="35" t="str">
        <f aca="false">IF($B104="","",IF(AND($N104="",$O104="",$P104="",$Q104="",$R104=""),"","VINCULADO: "&amp;TRIM(IF($N104&lt;&gt;"",$N104&amp;" ","")&amp;IF($O104&lt;&gt;"",$O104&amp;" ","")&amp;IF($P104&lt;&gt;"",$P104&amp;" ","")&amp;IF($Q104&lt;&gt;"",$Q104&amp;" ","")&amp;IF($R104&lt;&gt;"",$R104,""))))</f>
        <v/>
      </c>
    </row>
    <row r="105" customFormat="false" ht="15" hidden="false" customHeight="false" outlineLevel="0" collapsed="false">
      <c r="A105" s="30" t="str">
        <f aca="false">IF($B105="","","LAN-"&amp;TEXT(ROW()-4,"000000"))</f>
        <v/>
      </c>
      <c r="B105" s="31"/>
      <c r="C105" s="32"/>
      <c r="D105" s="32"/>
      <c r="E105" s="32"/>
      <c r="F105" s="33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4" t="str">
        <f aca="false">IF($B105="","",YEAR($B105))</f>
        <v/>
      </c>
      <c r="U105" s="34" t="str">
        <f aca="false">IF($B105="","",MONTH($B105))</f>
        <v/>
      </c>
      <c r="V105" s="34" t="str">
        <f aca="false">IF($B105="","",YEAR($B105)*100+MONTH($B105))</f>
        <v/>
      </c>
      <c r="W105" s="35" t="str">
        <f aca="false">IF($D105="","",IFERROR(INDEX(MAP_CLASS,MATCH($D105,MAP_TIPO,0)),"TIPO INVALIDO"))</f>
        <v/>
      </c>
      <c r="X105" s="35" t="str">
        <f aca="false">IF($K105="","",IFERROR(INDEX(CAT_NOME,MATCH($K105,CAT_ID,0)),"?"))</f>
        <v/>
      </c>
      <c r="Y105" s="35" t="str">
        <f aca="false">IF($L105="","",IFERROR(INDEX(SUB_NOME,MATCH($L105,SUB_ID,0)),"?"))</f>
        <v/>
      </c>
      <c r="Z105" s="35" t="str">
        <f aca="false">IF($G105="","",IF($G105="EXTERNO","(Externo)",IFERROR(INDEX(ENT_NOME,MATCH($H105,ENT_ID,0)),"?")))</f>
        <v/>
      </c>
      <c r="AA105" s="35" t="str">
        <f aca="false">IF($I105="","",IF($I105="EXTERNO","(Externo)",IFERROR(INDEX(ENT_NOME,MATCH($J105,ENT_ID,0)),"?")))</f>
        <v/>
      </c>
      <c r="AB105" s="36" t="n">
        <f aca="false">IF($B105="",0,IF(AND($I105="CONTA",$G105&lt;&gt;"CONTA"),$F105,0))</f>
        <v>0</v>
      </c>
      <c r="AC105" s="36" t="n">
        <f aca="false">IF($B105="",0,IF(AND($G105="CONTA",$I105&lt;&gt;"CONTA"),$F105,0))</f>
        <v>0</v>
      </c>
      <c r="AD105" s="36" t="n">
        <f aca="false">IF($W105="RECEITA",$F105,0)</f>
        <v>0</v>
      </c>
      <c r="AE105" s="36" t="n">
        <f aca="false">IF($W105="DESPESA",$F105,0)</f>
        <v>0</v>
      </c>
      <c r="AF105" s="36" t="n">
        <f aca="false">IF($W105="RECEITA_FINANCEIRA",$F105,0)</f>
        <v>0</v>
      </c>
      <c r="AG105" s="36" t="n">
        <f aca="false">IF($B105="",0,IF($I105="CONTA",$F105,0)-IF($G105="CONTA",$F105,0))</f>
        <v>0</v>
      </c>
      <c r="AH105" s="36" t="n">
        <f aca="false">IF($B105="",0,IF($G105="CARTAO",$F105,0)-IF($I105="CARTAO",$F105,0))</f>
        <v>0</v>
      </c>
      <c r="AI105" s="36" t="n">
        <f aca="false">IF($B105="",0,IF($I105="INVESTIMENTO",$F105,0)-IF($G105="INVESTIMENTO",$F105,0))</f>
        <v>0</v>
      </c>
      <c r="AJ105" s="35" t="str">
        <f aca="false">IF($B105="","",IF(NOT(ISNUMBER($F105)),"ERRO: valor nao numerico",IF($F105&lt;=0,"ERRO: valor deve ser maior que zero",IF(COUNTIF(MAP_TIPO,$D105)=0,"ERRO: tipo de operacao nao cadastrado",IF(COUNTIF(LST_STATUS,$E105)=0,"ERRO: status invalido",IF(AND($G105="EXTERNO",$I105="EXTERNO"),"ERRO: origem e destino externos",IF(AND($G105&lt;&gt;"EXTERNO",COUNTIFS(ENT_ID,$H105,ENT_TIPO,$G105)=0),"ERRO: origem inexistente",IF(AND($I105&lt;&gt;"EXTERNO",COUNTIFS(ENT_ID,$J105,ENT_TIPO,$I105)=0),"ERRO: destino inexistente",IF(AND($K105&lt;&gt;"",COUNTIF(CAT_ID,$K105)=0),"ERRO: categoria inexistente",IF(AND($L105&lt;&gt;"",COUNTIF(SUB_ID,$L105)=0),"ERRO: subcategoria inexistente",IF(AND($L105&lt;&gt;"",$K105&lt;&gt;"",IFERROR(INDEX(SUB_CATID,MATCH($L105,SUB_ID,0)),"")&lt;&gt;$K105),"ERRO: subcategoria nao pertence a categoria",IF(AND($O105&lt;&gt;"",COUNTIF(P_ID,$O105)=0),"ERRO: parcela inexistente",IF(AND($N105&lt;&gt;"",COUNTIF(CM_ID,$N105)=0),"ERRO: compromisso inexistente","OK")))))))))))))</f>
        <v/>
      </c>
      <c r="AK105" s="35" t="str">
        <f aca="false">IF($B105="","",IF(AND($N105="",$O105="",$P105="",$Q105="",$R105=""),"","VINCULADO: "&amp;TRIM(IF($N105&lt;&gt;"",$N105&amp;" ","")&amp;IF($O105&lt;&gt;"",$O105&amp;" ","")&amp;IF($P105&lt;&gt;"",$P105&amp;" ","")&amp;IF($Q105&lt;&gt;"",$Q105&amp;" ","")&amp;IF($R105&lt;&gt;"",$R105,""))))</f>
        <v/>
      </c>
    </row>
    <row r="106" customFormat="false" ht="15" hidden="false" customHeight="false" outlineLevel="0" collapsed="false">
      <c r="A106" s="30" t="str">
        <f aca="false">IF($B106="","","LAN-"&amp;TEXT(ROW()-4,"000000"))</f>
        <v/>
      </c>
      <c r="B106" s="31"/>
      <c r="C106" s="32"/>
      <c r="D106" s="32"/>
      <c r="E106" s="32"/>
      <c r="F106" s="33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4" t="str">
        <f aca="false">IF($B106="","",YEAR($B106))</f>
        <v/>
      </c>
      <c r="U106" s="34" t="str">
        <f aca="false">IF($B106="","",MONTH($B106))</f>
        <v/>
      </c>
      <c r="V106" s="34" t="str">
        <f aca="false">IF($B106="","",YEAR($B106)*100+MONTH($B106))</f>
        <v/>
      </c>
      <c r="W106" s="35" t="str">
        <f aca="false">IF($D106="","",IFERROR(INDEX(MAP_CLASS,MATCH($D106,MAP_TIPO,0)),"TIPO INVALIDO"))</f>
        <v/>
      </c>
      <c r="X106" s="35" t="str">
        <f aca="false">IF($K106="","",IFERROR(INDEX(CAT_NOME,MATCH($K106,CAT_ID,0)),"?"))</f>
        <v/>
      </c>
      <c r="Y106" s="35" t="str">
        <f aca="false">IF($L106="","",IFERROR(INDEX(SUB_NOME,MATCH($L106,SUB_ID,0)),"?"))</f>
        <v/>
      </c>
      <c r="Z106" s="35" t="str">
        <f aca="false">IF($G106="","",IF($G106="EXTERNO","(Externo)",IFERROR(INDEX(ENT_NOME,MATCH($H106,ENT_ID,0)),"?")))</f>
        <v/>
      </c>
      <c r="AA106" s="35" t="str">
        <f aca="false">IF($I106="","",IF($I106="EXTERNO","(Externo)",IFERROR(INDEX(ENT_NOME,MATCH($J106,ENT_ID,0)),"?")))</f>
        <v/>
      </c>
      <c r="AB106" s="36" t="n">
        <f aca="false">IF($B106="",0,IF(AND($I106="CONTA",$G106&lt;&gt;"CONTA"),$F106,0))</f>
        <v>0</v>
      </c>
      <c r="AC106" s="36" t="n">
        <f aca="false">IF($B106="",0,IF(AND($G106="CONTA",$I106&lt;&gt;"CONTA"),$F106,0))</f>
        <v>0</v>
      </c>
      <c r="AD106" s="36" t="n">
        <f aca="false">IF($W106="RECEITA",$F106,0)</f>
        <v>0</v>
      </c>
      <c r="AE106" s="36" t="n">
        <f aca="false">IF($W106="DESPESA",$F106,0)</f>
        <v>0</v>
      </c>
      <c r="AF106" s="36" t="n">
        <f aca="false">IF($W106="RECEITA_FINANCEIRA",$F106,0)</f>
        <v>0</v>
      </c>
      <c r="AG106" s="36" t="n">
        <f aca="false">IF($B106="",0,IF($I106="CONTA",$F106,0)-IF($G106="CONTA",$F106,0))</f>
        <v>0</v>
      </c>
      <c r="AH106" s="36" t="n">
        <f aca="false">IF($B106="",0,IF($G106="CARTAO",$F106,0)-IF($I106="CARTAO",$F106,0))</f>
        <v>0</v>
      </c>
      <c r="AI106" s="36" t="n">
        <f aca="false">IF($B106="",0,IF($I106="INVESTIMENTO",$F106,0)-IF($G106="INVESTIMENTO",$F106,0))</f>
        <v>0</v>
      </c>
      <c r="AJ106" s="35" t="str">
        <f aca="false">IF($B106="","",IF(NOT(ISNUMBER($F106)),"ERRO: valor nao numerico",IF($F106&lt;=0,"ERRO: valor deve ser maior que zero",IF(COUNTIF(MAP_TIPO,$D106)=0,"ERRO: tipo de operacao nao cadastrado",IF(COUNTIF(LST_STATUS,$E106)=0,"ERRO: status invalido",IF(AND($G106="EXTERNO",$I106="EXTERNO"),"ERRO: origem e destino externos",IF(AND($G106&lt;&gt;"EXTERNO",COUNTIFS(ENT_ID,$H106,ENT_TIPO,$G106)=0),"ERRO: origem inexistente",IF(AND($I106&lt;&gt;"EXTERNO",COUNTIFS(ENT_ID,$J106,ENT_TIPO,$I106)=0),"ERRO: destino inexistente",IF(AND($K106&lt;&gt;"",COUNTIF(CAT_ID,$K106)=0),"ERRO: categoria inexistente",IF(AND($L106&lt;&gt;"",COUNTIF(SUB_ID,$L106)=0),"ERRO: subcategoria inexistente",IF(AND($L106&lt;&gt;"",$K106&lt;&gt;"",IFERROR(INDEX(SUB_CATID,MATCH($L106,SUB_ID,0)),"")&lt;&gt;$K106),"ERRO: subcategoria nao pertence a categoria",IF(AND($O106&lt;&gt;"",COUNTIF(P_ID,$O106)=0),"ERRO: parcela inexistente",IF(AND($N106&lt;&gt;"",COUNTIF(CM_ID,$N106)=0),"ERRO: compromisso inexistente","OK")))))))))))))</f>
        <v/>
      </c>
      <c r="AK106" s="35" t="str">
        <f aca="false">IF($B106="","",IF(AND($N106="",$O106="",$P106="",$Q106="",$R106=""),"","VINCULADO: "&amp;TRIM(IF($N106&lt;&gt;"",$N106&amp;" ","")&amp;IF($O106&lt;&gt;"",$O106&amp;" ","")&amp;IF($P106&lt;&gt;"",$P106&amp;" ","")&amp;IF($Q106&lt;&gt;"",$Q106&amp;" ","")&amp;IF($R106&lt;&gt;"",$R106,""))))</f>
        <v/>
      </c>
    </row>
    <row r="107" customFormat="false" ht="15" hidden="false" customHeight="false" outlineLevel="0" collapsed="false">
      <c r="A107" s="30" t="str">
        <f aca="false">IF($B107="","","LAN-"&amp;TEXT(ROW()-4,"000000"))</f>
        <v/>
      </c>
      <c r="B107" s="31"/>
      <c r="C107" s="32"/>
      <c r="D107" s="32"/>
      <c r="E107" s="32"/>
      <c r="F107" s="33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4" t="str">
        <f aca="false">IF($B107="","",YEAR($B107))</f>
        <v/>
      </c>
      <c r="U107" s="34" t="str">
        <f aca="false">IF($B107="","",MONTH($B107))</f>
        <v/>
      </c>
      <c r="V107" s="34" t="str">
        <f aca="false">IF($B107="","",YEAR($B107)*100+MONTH($B107))</f>
        <v/>
      </c>
      <c r="W107" s="35" t="str">
        <f aca="false">IF($D107="","",IFERROR(INDEX(MAP_CLASS,MATCH($D107,MAP_TIPO,0)),"TIPO INVALIDO"))</f>
        <v/>
      </c>
      <c r="X107" s="35" t="str">
        <f aca="false">IF($K107="","",IFERROR(INDEX(CAT_NOME,MATCH($K107,CAT_ID,0)),"?"))</f>
        <v/>
      </c>
      <c r="Y107" s="35" t="str">
        <f aca="false">IF($L107="","",IFERROR(INDEX(SUB_NOME,MATCH($L107,SUB_ID,0)),"?"))</f>
        <v/>
      </c>
      <c r="Z107" s="35" t="str">
        <f aca="false">IF($G107="","",IF($G107="EXTERNO","(Externo)",IFERROR(INDEX(ENT_NOME,MATCH($H107,ENT_ID,0)),"?")))</f>
        <v/>
      </c>
      <c r="AA107" s="35" t="str">
        <f aca="false">IF($I107="","",IF($I107="EXTERNO","(Externo)",IFERROR(INDEX(ENT_NOME,MATCH($J107,ENT_ID,0)),"?")))</f>
        <v/>
      </c>
      <c r="AB107" s="36" t="n">
        <f aca="false">IF($B107="",0,IF(AND($I107="CONTA",$G107&lt;&gt;"CONTA"),$F107,0))</f>
        <v>0</v>
      </c>
      <c r="AC107" s="36" t="n">
        <f aca="false">IF($B107="",0,IF(AND($G107="CONTA",$I107&lt;&gt;"CONTA"),$F107,0))</f>
        <v>0</v>
      </c>
      <c r="AD107" s="36" t="n">
        <f aca="false">IF($W107="RECEITA",$F107,0)</f>
        <v>0</v>
      </c>
      <c r="AE107" s="36" t="n">
        <f aca="false">IF($W107="DESPESA",$F107,0)</f>
        <v>0</v>
      </c>
      <c r="AF107" s="36" t="n">
        <f aca="false">IF($W107="RECEITA_FINANCEIRA",$F107,0)</f>
        <v>0</v>
      </c>
      <c r="AG107" s="36" t="n">
        <f aca="false">IF($B107="",0,IF($I107="CONTA",$F107,0)-IF($G107="CONTA",$F107,0))</f>
        <v>0</v>
      </c>
      <c r="AH107" s="36" t="n">
        <f aca="false">IF($B107="",0,IF($G107="CARTAO",$F107,0)-IF($I107="CARTAO",$F107,0))</f>
        <v>0</v>
      </c>
      <c r="AI107" s="36" t="n">
        <f aca="false">IF($B107="",0,IF($I107="INVESTIMENTO",$F107,0)-IF($G107="INVESTIMENTO",$F107,0))</f>
        <v>0</v>
      </c>
      <c r="AJ107" s="35" t="str">
        <f aca="false">IF($B107="","",IF(NOT(ISNUMBER($F107)),"ERRO: valor nao numerico",IF($F107&lt;=0,"ERRO: valor deve ser maior que zero",IF(COUNTIF(MAP_TIPO,$D107)=0,"ERRO: tipo de operacao nao cadastrado",IF(COUNTIF(LST_STATUS,$E107)=0,"ERRO: status invalido",IF(AND($G107="EXTERNO",$I107="EXTERNO"),"ERRO: origem e destino externos",IF(AND($G107&lt;&gt;"EXTERNO",COUNTIFS(ENT_ID,$H107,ENT_TIPO,$G107)=0),"ERRO: origem inexistente",IF(AND($I107&lt;&gt;"EXTERNO",COUNTIFS(ENT_ID,$J107,ENT_TIPO,$I107)=0),"ERRO: destino inexistente",IF(AND($K107&lt;&gt;"",COUNTIF(CAT_ID,$K107)=0),"ERRO: categoria inexistente",IF(AND($L107&lt;&gt;"",COUNTIF(SUB_ID,$L107)=0),"ERRO: subcategoria inexistente",IF(AND($L107&lt;&gt;"",$K107&lt;&gt;"",IFERROR(INDEX(SUB_CATID,MATCH($L107,SUB_ID,0)),"")&lt;&gt;$K107),"ERRO: subcategoria nao pertence a categoria",IF(AND($O107&lt;&gt;"",COUNTIF(P_ID,$O107)=0),"ERRO: parcela inexistente",IF(AND($N107&lt;&gt;"",COUNTIF(CM_ID,$N107)=0),"ERRO: compromisso inexistente","OK")))))))))))))</f>
        <v/>
      </c>
      <c r="AK107" s="35" t="str">
        <f aca="false">IF($B107="","",IF(AND($N107="",$O107="",$P107="",$Q107="",$R107=""),"","VINCULADO: "&amp;TRIM(IF($N107&lt;&gt;"",$N107&amp;" ","")&amp;IF($O107&lt;&gt;"",$O107&amp;" ","")&amp;IF($P107&lt;&gt;"",$P107&amp;" ","")&amp;IF($Q107&lt;&gt;"",$Q107&amp;" ","")&amp;IF($R107&lt;&gt;"",$R107,""))))</f>
        <v/>
      </c>
    </row>
    <row r="108" customFormat="false" ht="15" hidden="false" customHeight="false" outlineLevel="0" collapsed="false">
      <c r="A108" s="30" t="str">
        <f aca="false">IF($B108="","","LAN-"&amp;TEXT(ROW()-4,"000000"))</f>
        <v/>
      </c>
      <c r="B108" s="31"/>
      <c r="C108" s="32"/>
      <c r="D108" s="32"/>
      <c r="E108" s="32"/>
      <c r="F108" s="33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4" t="str">
        <f aca="false">IF($B108="","",YEAR($B108))</f>
        <v/>
      </c>
      <c r="U108" s="34" t="str">
        <f aca="false">IF($B108="","",MONTH($B108))</f>
        <v/>
      </c>
      <c r="V108" s="34" t="str">
        <f aca="false">IF($B108="","",YEAR($B108)*100+MONTH($B108))</f>
        <v/>
      </c>
      <c r="W108" s="35" t="str">
        <f aca="false">IF($D108="","",IFERROR(INDEX(MAP_CLASS,MATCH($D108,MAP_TIPO,0)),"TIPO INVALIDO"))</f>
        <v/>
      </c>
      <c r="X108" s="35" t="str">
        <f aca="false">IF($K108="","",IFERROR(INDEX(CAT_NOME,MATCH($K108,CAT_ID,0)),"?"))</f>
        <v/>
      </c>
      <c r="Y108" s="35" t="str">
        <f aca="false">IF($L108="","",IFERROR(INDEX(SUB_NOME,MATCH($L108,SUB_ID,0)),"?"))</f>
        <v/>
      </c>
      <c r="Z108" s="35" t="str">
        <f aca="false">IF($G108="","",IF($G108="EXTERNO","(Externo)",IFERROR(INDEX(ENT_NOME,MATCH($H108,ENT_ID,0)),"?")))</f>
        <v/>
      </c>
      <c r="AA108" s="35" t="str">
        <f aca="false">IF($I108="","",IF($I108="EXTERNO","(Externo)",IFERROR(INDEX(ENT_NOME,MATCH($J108,ENT_ID,0)),"?")))</f>
        <v/>
      </c>
      <c r="AB108" s="36" t="n">
        <f aca="false">IF($B108="",0,IF(AND($I108="CONTA",$G108&lt;&gt;"CONTA"),$F108,0))</f>
        <v>0</v>
      </c>
      <c r="AC108" s="36" t="n">
        <f aca="false">IF($B108="",0,IF(AND($G108="CONTA",$I108&lt;&gt;"CONTA"),$F108,0))</f>
        <v>0</v>
      </c>
      <c r="AD108" s="36" t="n">
        <f aca="false">IF($W108="RECEITA",$F108,0)</f>
        <v>0</v>
      </c>
      <c r="AE108" s="36" t="n">
        <f aca="false">IF($W108="DESPESA",$F108,0)</f>
        <v>0</v>
      </c>
      <c r="AF108" s="36" t="n">
        <f aca="false">IF($W108="RECEITA_FINANCEIRA",$F108,0)</f>
        <v>0</v>
      </c>
      <c r="AG108" s="36" t="n">
        <f aca="false">IF($B108="",0,IF($I108="CONTA",$F108,0)-IF($G108="CONTA",$F108,0))</f>
        <v>0</v>
      </c>
      <c r="AH108" s="36" t="n">
        <f aca="false">IF($B108="",0,IF($G108="CARTAO",$F108,0)-IF($I108="CARTAO",$F108,0))</f>
        <v>0</v>
      </c>
      <c r="AI108" s="36" t="n">
        <f aca="false">IF($B108="",0,IF($I108="INVESTIMENTO",$F108,0)-IF($G108="INVESTIMENTO",$F108,0))</f>
        <v>0</v>
      </c>
      <c r="AJ108" s="35" t="str">
        <f aca="false">IF($B108="","",IF(NOT(ISNUMBER($F108)),"ERRO: valor nao numerico",IF($F108&lt;=0,"ERRO: valor deve ser maior que zero",IF(COUNTIF(MAP_TIPO,$D108)=0,"ERRO: tipo de operacao nao cadastrado",IF(COUNTIF(LST_STATUS,$E108)=0,"ERRO: status invalido",IF(AND($G108="EXTERNO",$I108="EXTERNO"),"ERRO: origem e destino externos",IF(AND($G108&lt;&gt;"EXTERNO",COUNTIFS(ENT_ID,$H108,ENT_TIPO,$G108)=0),"ERRO: origem inexistente",IF(AND($I108&lt;&gt;"EXTERNO",COUNTIFS(ENT_ID,$J108,ENT_TIPO,$I108)=0),"ERRO: destino inexistente",IF(AND($K108&lt;&gt;"",COUNTIF(CAT_ID,$K108)=0),"ERRO: categoria inexistente",IF(AND($L108&lt;&gt;"",COUNTIF(SUB_ID,$L108)=0),"ERRO: subcategoria inexistente",IF(AND($L108&lt;&gt;"",$K108&lt;&gt;"",IFERROR(INDEX(SUB_CATID,MATCH($L108,SUB_ID,0)),"")&lt;&gt;$K108),"ERRO: subcategoria nao pertence a categoria",IF(AND($O108&lt;&gt;"",COUNTIF(P_ID,$O108)=0),"ERRO: parcela inexistente",IF(AND($N108&lt;&gt;"",COUNTIF(CM_ID,$N108)=0),"ERRO: compromisso inexistente","OK")))))))))))))</f>
        <v/>
      </c>
      <c r="AK108" s="35" t="str">
        <f aca="false">IF($B108="","",IF(AND($N108="",$O108="",$P108="",$Q108="",$R108=""),"","VINCULADO: "&amp;TRIM(IF($N108&lt;&gt;"",$N108&amp;" ","")&amp;IF($O108&lt;&gt;"",$O108&amp;" ","")&amp;IF($P108&lt;&gt;"",$P108&amp;" ","")&amp;IF($Q108&lt;&gt;"",$Q108&amp;" ","")&amp;IF($R108&lt;&gt;"",$R108,""))))</f>
        <v/>
      </c>
    </row>
    <row r="109" customFormat="false" ht="15" hidden="false" customHeight="false" outlineLevel="0" collapsed="false">
      <c r="A109" s="30" t="str">
        <f aca="false">IF($B109="","","LAN-"&amp;TEXT(ROW()-4,"000000"))</f>
        <v/>
      </c>
      <c r="B109" s="31"/>
      <c r="C109" s="32"/>
      <c r="D109" s="32"/>
      <c r="E109" s="32"/>
      <c r="F109" s="33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4" t="str">
        <f aca="false">IF($B109="","",YEAR($B109))</f>
        <v/>
      </c>
      <c r="U109" s="34" t="str">
        <f aca="false">IF($B109="","",MONTH($B109))</f>
        <v/>
      </c>
      <c r="V109" s="34" t="str">
        <f aca="false">IF($B109="","",YEAR($B109)*100+MONTH($B109))</f>
        <v/>
      </c>
      <c r="W109" s="35" t="str">
        <f aca="false">IF($D109="","",IFERROR(INDEX(MAP_CLASS,MATCH($D109,MAP_TIPO,0)),"TIPO INVALIDO"))</f>
        <v/>
      </c>
      <c r="X109" s="35" t="str">
        <f aca="false">IF($K109="","",IFERROR(INDEX(CAT_NOME,MATCH($K109,CAT_ID,0)),"?"))</f>
        <v/>
      </c>
      <c r="Y109" s="35" t="str">
        <f aca="false">IF($L109="","",IFERROR(INDEX(SUB_NOME,MATCH($L109,SUB_ID,0)),"?"))</f>
        <v/>
      </c>
      <c r="Z109" s="35" t="str">
        <f aca="false">IF($G109="","",IF($G109="EXTERNO","(Externo)",IFERROR(INDEX(ENT_NOME,MATCH($H109,ENT_ID,0)),"?")))</f>
        <v/>
      </c>
      <c r="AA109" s="35" t="str">
        <f aca="false">IF($I109="","",IF($I109="EXTERNO","(Externo)",IFERROR(INDEX(ENT_NOME,MATCH($J109,ENT_ID,0)),"?")))</f>
        <v/>
      </c>
      <c r="AB109" s="36" t="n">
        <f aca="false">IF($B109="",0,IF(AND($I109="CONTA",$G109&lt;&gt;"CONTA"),$F109,0))</f>
        <v>0</v>
      </c>
      <c r="AC109" s="36" t="n">
        <f aca="false">IF($B109="",0,IF(AND($G109="CONTA",$I109&lt;&gt;"CONTA"),$F109,0))</f>
        <v>0</v>
      </c>
      <c r="AD109" s="36" t="n">
        <f aca="false">IF($W109="RECEITA",$F109,0)</f>
        <v>0</v>
      </c>
      <c r="AE109" s="36" t="n">
        <f aca="false">IF($W109="DESPESA",$F109,0)</f>
        <v>0</v>
      </c>
      <c r="AF109" s="36" t="n">
        <f aca="false">IF($W109="RECEITA_FINANCEIRA",$F109,0)</f>
        <v>0</v>
      </c>
      <c r="AG109" s="36" t="n">
        <f aca="false">IF($B109="",0,IF($I109="CONTA",$F109,0)-IF($G109="CONTA",$F109,0))</f>
        <v>0</v>
      </c>
      <c r="AH109" s="36" t="n">
        <f aca="false">IF($B109="",0,IF($G109="CARTAO",$F109,0)-IF($I109="CARTAO",$F109,0))</f>
        <v>0</v>
      </c>
      <c r="AI109" s="36" t="n">
        <f aca="false">IF($B109="",0,IF($I109="INVESTIMENTO",$F109,0)-IF($G109="INVESTIMENTO",$F109,0))</f>
        <v>0</v>
      </c>
      <c r="AJ109" s="35" t="str">
        <f aca="false">IF($B109="","",IF(NOT(ISNUMBER($F109)),"ERRO: valor nao numerico",IF($F109&lt;=0,"ERRO: valor deve ser maior que zero",IF(COUNTIF(MAP_TIPO,$D109)=0,"ERRO: tipo de operacao nao cadastrado",IF(COUNTIF(LST_STATUS,$E109)=0,"ERRO: status invalido",IF(AND($G109="EXTERNO",$I109="EXTERNO"),"ERRO: origem e destino externos",IF(AND($G109&lt;&gt;"EXTERNO",COUNTIFS(ENT_ID,$H109,ENT_TIPO,$G109)=0),"ERRO: origem inexistente",IF(AND($I109&lt;&gt;"EXTERNO",COUNTIFS(ENT_ID,$J109,ENT_TIPO,$I109)=0),"ERRO: destino inexistente",IF(AND($K109&lt;&gt;"",COUNTIF(CAT_ID,$K109)=0),"ERRO: categoria inexistente",IF(AND($L109&lt;&gt;"",COUNTIF(SUB_ID,$L109)=0),"ERRO: subcategoria inexistente",IF(AND($L109&lt;&gt;"",$K109&lt;&gt;"",IFERROR(INDEX(SUB_CATID,MATCH($L109,SUB_ID,0)),"")&lt;&gt;$K109),"ERRO: subcategoria nao pertence a categoria",IF(AND($O109&lt;&gt;"",COUNTIF(P_ID,$O109)=0),"ERRO: parcela inexistente",IF(AND($N109&lt;&gt;"",COUNTIF(CM_ID,$N109)=0),"ERRO: compromisso inexistente","OK")))))))))))))</f>
        <v/>
      </c>
      <c r="AK109" s="35" t="str">
        <f aca="false">IF($B109="","",IF(AND($N109="",$O109="",$P109="",$Q109="",$R109=""),"","VINCULADO: "&amp;TRIM(IF($N109&lt;&gt;"",$N109&amp;" ","")&amp;IF($O109&lt;&gt;"",$O109&amp;" ","")&amp;IF($P109&lt;&gt;"",$P109&amp;" ","")&amp;IF($Q109&lt;&gt;"",$Q109&amp;" ","")&amp;IF($R109&lt;&gt;"",$R109,""))))</f>
        <v/>
      </c>
    </row>
    <row r="110" customFormat="false" ht="15" hidden="false" customHeight="false" outlineLevel="0" collapsed="false">
      <c r="A110" s="30" t="str">
        <f aca="false">IF($B110="","","LAN-"&amp;TEXT(ROW()-4,"000000"))</f>
        <v/>
      </c>
      <c r="B110" s="31"/>
      <c r="C110" s="32"/>
      <c r="D110" s="32"/>
      <c r="E110" s="32"/>
      <c r="F110" s="33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4" t="str">
        <f aca="false">IF($B110="","",YEAR($B110))</f>
        <v/>
      </c>
      <c r="U110" s="34" t="str">
        <f aca="false">IF($B110="","",MONTH($B110))</f>
        <v/>
      </c>
      <c r="V110" s="34" t="str">
        <f aca="false">IF($B110="","",YEAR($B110)*100+MONTH($B110))</f>
        <v/>
      </c>
      <c r="W110" s="35" t="str">
        <f aca="false">IF($D110="","",IFERROR(INDEX(MAP_CLASS,MATCH($D110,MAP_TIPO,0)),"TIPO INVALIDO"))</f>
        <v/>
      </c>
      <c r="X110" s="35" t="str">
        <f aca="false">IF($K110="","",IFERROR(INDEX(CAT_NOME,MATCH($K110,CAT_ID,0)),"?"))</f>
        <v/>
      </c>
      <c r="Y110" s="35" t="str">
        <f aca="false">IF($L110="","",IFERROR(INDEX(SUB_NOME,MATCH($L110,SUB_ID,0)),"?"))</f>
        <v/>
      </c>
      <c r="Z110" s="35" t="str">
        <f aca="false">IF($G110="","",IF($G110="EXTERNO","(Externo)",IFERROR(INDEX(ENT_NOME,MATCH($H110,ENT_ID,0)),"?")))</f>
        <v/>
      </c>
      <c r="AA110" s="35" t="str">
        <f aca="false">IF($I110="","",IF($I110="EXTERNO","(Externo)",IFERROR(INDEX(ENT_NOME,MATCH($J110,ENT_ID,0)),"?")))</f>
        <v/>
      </c>
      <c r="AB110" s="36" t="n">
        <f aca="false">IF($B110="",0,IF(AND($I110="CONTA",$G110&lt;&gt;"CONTA"),$F110,0))</f>
        <v>0</v>
      </c>
      <c r="AC110" s="36" t="n">
        <f aca="false">IF($B110="",0,IF(AND($G110="CONTA",$I110&lt;&gt;"CONTA"),$F110,0))</f>
        <v>0</v>
      </c>
      <c r="AD110" s="36" t="n">
        <f aca="false">IF($W110="RECEITA",$F110,0)</f>
        <v>0</v>
      </c>
      <c r="AE110" s="36" t="n">
        <f aca="false">IF($W110="DESPESA",$F110,0)</f>
        <v>0</v>
      </c>
      <c r="AF110" s="36" t="n">
        <f aca="false">IF($W110="RECEITA_FINANCEIRA",$F110,0)</f>
        <v>0</v>
      </c>
      <c r="AG110" s="36" t="n">
        <f aca="false">IF($B110="",0,IF($I110="CONTA",$F110,0)-IF($G110="CONTA",$F110,0))</f>
        <v>0</v>
      </c>
      <c r="AH110" s="36" t="n">
        <f aca="false">IF($B110="",0,IF($G110="CARTAO",$F110,0)-IF($I110="CARTAO",$F110,0))</f>
        <v>0</v>
      </c>
      <c r="AI110" s="36" t="n">
        <f aca="false">IF($B110="",0,IF($I110="INVESTIMENTO",$F110,0)-IF($G110="INVESTIMENTO",$F110,0))</f>
        <v>0</v>
      </c>
      <c r="AJ110" s="35" t="str">
        <f aca="false">IF($B110="","",IF(NOT(ISNUMBER($F110)),"ERRO: valor nao numerico",IF($F110&lt;=0,"ERRO: valor deve ser maior que zero",IF(COUNTIF(MAP_TIPO,$D110)=0,"ERRO: tipo de operacao nao cadastrado",IF(COUNTIF(LST_STATUS,$E110)=0,"ERRO: status invalido",IF(AND($G110="EXTERNO",$I110="EXTERNO"),"ERRO: origem e destino externos",IF(AND($G110&lt;&gt;"EXTERNO",COUNTIFS(ENT_ID,$H110,ENT_TIPO,$G110)=0),"ERRO: origem inexistente",IF(AND($I110&lt;&gt;"EXTERNO",COUNTIFS(ENT_ID,$J110,ENT_TIPO,$I110)=0),"ERRO: destino inexistente",IF(AND($K110&lt;&gt;"",COUNTIF(CAT_ID,$K110)=0),"ERRO: categoria inexistente",IF(AND($L110&lt;&gt;"",COUNTIF(SUB_ID,$L110)=0),"ERRO: subcategoria inexistente",IF(AND($L110&lt;&gt;"",$K110&lt;&gt;"",IFERROR(INDEX(SUB_CATID,MATCH($L110,SUB_ID,0)),"")&lt;&gt;$K110),"ERRO: subcategoria nao pertence a categoria",IF(AND($O110&lt;&gt;"",COUNTIF(P_ID,$O110)=0),"ERRO: parcela inexistente",IF(AND($N110&lt;&gt;"",COUNTIF(CM_ID,$N110)=0),"ERRO: compromisso inexistente","OK")))))))))))))</f>
        <v/>
      </c>
      <c r="AK110" s="35" t="str">
        <f aca="false">IF($B110="","",IF(AND($N110="",$O110="",$P110="",$Q110="",$R110=""),"","VINCULADO: "&amp;TRIM(IF($N110&lt;&gt;"",$N110&amp;" ","")&amp;IF($O110&lt;&gt;"",$O110&amp;" ","")&amp;IF($P110&lt;&gt;"",$P110&amp;" ","")&amp;IF($Q110&lt;&gt;"",$Q110&amp;" ","")&amp;IF($R110&lt;&gt;"",$R110,""))))</f>
        <v/>
      </c>
    </row>
    <row r="111" customFormat="false" ht="15" hidden="false" customHeight="false" outlineLevel="0" collapsed="false">
      <c r="A111" s="30" t="str">
        <f aca="false">IF($B111="","","LAN-"&amp;TEXT(ROW()-4,"000000"))</f>
        <v/>
      </c>
      <c r="B111" s="31"/>
      <c r="C111" s="32"/>
      <c r="D111" s="32"/>
      <c r="E111" s="32"/>
      <c r="F111" s="33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4" t="str">
        <f aca="false">IF($B111="","",YEAR($B111))</f>
        <v/>
      </c>
      <c r="U111" s="34" t="str">
        <f aca="false">IF($B111="","",MONTH($B111))</f>
        <v/>
      </c>
      <c r="V111" s="34" t="str">
        <f aca="false">IF($B111="","",YEAR($B111)*100+MONTH($B111))</f>
        <v/>
      </c>
      <c r="W111" s="35" t="str">
        <f aca="false">IF($D111="","",IFERROR(INDEX(MAP_CLASS,MATCH($D111,MAP_TIPO,0)),"TIPO INVALIDO"))</f>
        <v/>
      </c>
      <c r="X111" s="35" t="str">
        <f aca="false">IF($K111="","",IFERROR(INDEX(CAT_NOME,MATCH($K111,CAT_ID,0)),"?"))</f>
        <v/>
      </c>
      <c r="Y111" s="35" t="str">
        <f aca="false">IF($L111="","",IFERROR(INDEX(SUB_NOME,MATCH($L111,SUB_ID,0)),"?"))</f>
        <v/>
      </c>
      <c r="Z111" s="35" t="str">
        <f aca="false">IF($G111="","",IF($G111="EXTERNO","(Externo)",IFERROR(INDEX(ENT_NOME,MATCH($H111,ENT_ID,0)),"?")))</f>
        <v/>
      </c>
      <c r="AA111" s="35" t="str">
        <f aca="false">IF($I111="","",IF($I111="EXTERNO","(Externo)",IFERROR(INDEX(ENT_NOME,MATCH($J111,ENT_ID,0)),"?")))</f>
        <v/>
      </c>
      <c r="AB111" s="36" t="n">
        <f aca="false">IF($B111="",0,IF(AND($I111="CONTA",$G111&lt;&gt;"CONTA"),$F111,0))</f>
        <v>0</v>
      </c>
      <c r="AC111" s="36" t="n">
        <f aca="false">IF($B111="",0,IF(AND($G111="CONTA",$I111&lt;&gt;"CONTA"),$F111,0))</f>
        <v>0</v>
      </c>
      <c r="AD111" s="36" t="n">
        <f aca="false">IF($W111="RECEITA",$F111,0)</f>
        <v>0</v>
      </c>
      <c r="AE111" s="36" t="n">
        <f aca="false">IF($W111="DESPESA",$F111,0)</f>
        <v>0</v>
      </c>
      <c r="AF111" s="36" t="n">
        <f aca="false">IF($W111="RECEITA_FINANCEIRA",$F111,0)</f>
        <v>0</v>
      </c>
      <c r="AG111" s="36" t="n">
        <f aca="false">IF($B111="",0,IF($I111="CONTA",$F111,0)-IF($G111="CONTA",$F111,0))</f>
        <v>0</v>
      </c>
      <c r="AH111" s="36" t="n">
        <f aca="false">IF($B111="",0,IF($G111="CARTAO",$F111,0)-IF($I111="CARTAO",$F111,0))</f>
        <v>0</v>
      </c>
      <c r="AI111" s="36" t="n">
        <f aca="false">IF($B111="",0,IF($I111="INVESTIMENTO",$F111,0)-IF($G111="INVESTIMENTO",$F111,0))</f>
        <v>0</v>
      </c>
      <c r="AJ111" s="35" t="str">
        <f aca="false">IF($B111="","",IF(NOT(ISNUMBER($F111)),"ERRO: valor nao numerico",IF($F111&lt;=0,"ERRO: valor deve ser maior que zero",IF(COUNTIF(MAP_TIPO,$D111)=0,"ERRO: tipo de operacao nao cadastrado",IF(COUNTIF(LST_STATUS,$E111)=0,"ERRO: status invalido",IF(AND($G111="EXTERNO",$I111="EXTERNO"),"ERRO: origem e destino externos",IF(AND($G111&lt;&gt;"EXTERNO",COUNTIFS(ENT_ID,$H111,ENT_TIPO,$G111)=0),"ERRO: origem inexistente",IF(AND($I111&lt;&gt;"EXTERNO",COUNTIFS(ENT_ID,$J111,ENT_TIPO,$I111)=0),"ERRO: destino inexistente",IF(AND($K111&lt;&gt;"",COUNTIF(CAT_ID,$K111)=0),"ERRO: categoria inexistente",IF(AND($L111&lt;&gt;"",COUNTIF(SUB_ID,$L111)=0),"ERRO: subcategoria inexistente",IF(AND($L111&lt;&gt;"",$K111&lt;&gt;"",IFERROR(INDEX(SUB_CATID,MATCH($L111,SUB_ID,0)),"")&lt;&gt;$K111),"ERRO: subcategoria nao pertence a categoria",IF(AND($O111&lt;&gt;"",COUNTIF(P_ID,$O111)=0),"ERRO: parcela inexistente",IF(AND($N111&lt;&gt;"",COUNTIF(CM_ID,$N111)=0),"ERRO: compromisso inexistente","OK")))))))))))))</f>
        <v/>
      </c>
      <c r="AK111" s="35" t="str">
        <f aca="false">IF($B111="","",IF(AND($N111="",$O111="",$P111="",$Q111="",$R111=""),"","VINCULADO: "&amp;TRIM(IF($N111&lt;&gt;"",$N111&amp;" ","")&amp;IF($O111&lt;&gt;"",$O111&amp;" ","")&amp;IF($P111&lt;&gt;"",$P111&amp;" ","")&amp;IF($Q111&lt;&gt;"",$Q111&amp;" ","")&amp;IF($R111&lt;&gt;"",$R111,""))))</f>
        <v/>
      </c>
    </row>
    <row r="112" customFormat="false" ht="15" hidden="false" customHeight="false" outlineLevel="0" collapsed="false">
      <c r="A112" s="30" t="str">
        <f aca="false">IF($B112="","","LAN-"&amp;TEXT(ROW()-4,"000000"))</f>
        <v/>
      </c>
      <c r="B112" s="31"/>
      <c r="C112" s="32"/>
      <c r="D112" s="32"/>
      <c r="E112" s="32"/>
      <c r="F112" s="33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4" t="str">
        <f aca="false">IF($B112="","",YEAR($B112))</f>
        <v/>
      </c>
      <c r="U112" s="34" t="str">
        <f aca="false">IF($B112="","",MONTH($B112))</f>
        <v/>
      </c>
      <c r="V112" s="34" t="str">
        <f aca="false">IF($B112="","",YEAR($B112)*100+MONTH($B112))</f>
        <v/>
      </c>
      <c r="W112" s="35" t="str">
        <f aca="false">IF($D112="","",IFERROR(INDEX(MAP_CLASS,MATCH($D112,MAP_TIPO,0)),"TIPO INVALIDO"))</f>
        <v/>
      </c>
      <c r="X112" s="35" t="str">
        <f aca="false">IF($K112="","",IFERROR(INDEX(CAT_NOME,MATCH($K112,CAT_ID,0)),"?"))</f>
        <v/>
      </c>
      <c r="Y112" s="35" t="str">
        <f aca="false">IF($L112="","",IFERROR(INDEX(SUB_NOME,MATCH($L112,SUB_ID,0)),"?"))</f>
        <v/>
      </c>
      <c r="Z112" s="35" t="str">
        <f aca="false">IF($G112="","",IF($G112="EXTERNO","(Externo)",IFERROR(INDEX(ENT_NOME,MATCH($H112,ENT_ID,0)),"?")))</f>
        <v/>
      </c>
      <c r="AA112" s="35" t="str">
        <f aca="false">IF($I112="","",IF($I112="EXTERNO","(Externo)",IFERROR(INDEX(ENT_NOME,MATCH($J112,ENT_ID,0)),"?")))</f>
        <v/>
      </c>
      <c r="AB112" s="36" t="n">
        <f aca="false">IF($B112="",0,IF(AND($I112="CONTA",$G112&lt;&gt;"CONTA"),$F112,0))</f>
        <v>0</v>
      </c>
      <c r="AC112" s="36" t="n">
        <f aca="false">IF($B112="",0,IF(AND($G112="CONTA",$I112&lt;&gt;"CONTA"),$F112,0))</f>
        <v>0</v>
      </c>
      <c r="AD112" s="36" t="n">
        <f aca="false">IF($W112="RECEITA",$F112,0)</f>
        <v>0</v>
      </c>
      <c r="AE112" s="36" t="n">
        <f aca="false">IF($W112="DESPESA",$F112,0)</f>
        <v>0</v>
      </c>
      <c r="AF112" s="36" t="n">
        <f aca="false">IF($W112="RECEITA_FINANCEIRA",$F112,0)</f>
        <v>0</v>
      </c>
      <c r="AG112" s="36" t="n">
        <f aca="false">IF($B112="",0,IF($I112="CONTA",$F112,0)-IF($G112="CONTA",$F112,0))</f>
        <v>0</v>
      </c>
      <c r="AH112" s="36" t="n">
        <f aca="false">IF($B112="",0,IF($G112="CARTAO",$F112,0)-IF($I112="CARTAO",$F112,0))</f>
        <v>0</v>
      </c>
      <c r="AI112" s="36" t="n">
        <f aca="false">IF($B112="",0,IF($I112="INVESTIMENTO",$F112,0)-IF($G112="INVESTIMENTO",$F112,0))</f>
        <v>0</v>
      </c>
      <c r="AJ112" s="35" t="str">
        <f aca="false">IF($B112="","",IF(NOT(ISNUMBER($F112)),"ERRO: valor nao numerico",IF($F112&lt;=0,"ERRO: valor deve ser maior que zero",IF(COUNTIF(MAP_TIPO,$D112)=0,"ERRO: tipo de operacao nao cadastrado",IF(COUNTIF(LST_STATUS,$E112)=0,"ERRO: status invalido",IF(AND($G112="EXTERNO",$I112="EXTERNO"),"ERRO: origem e destino externos",IF(AND($G112&lt;&gt;"EXTERNO",COUNTIFS(ENT_ID,$H112,ENT_TIPO,$G112)=0),"ERRO: origem inexistente",IF(AND($I112&lt;&gt;"EXTERNO",COUNTIFS(ENT_ID,$J112,ENT_TIPO,$I112)=0),"ERRO: destino inexistente",IF(AND($K112&lt;&gt;"",COUNTIF(CAT_ID,$K112)=0),"ERRO: categoria inexistente",IF(AND($L112&lt;&gt;"",COUNTIF(SUB_ID,$L112)=0),"ERRO: subcategoria inexistente",IF(AND($L112&lt;&gt;"",$K112&lt;&gt;"",IFERROR(INDEX(SUB_CATID,MATCH($L112,SUB_ID,0)),"")&lt;&gt;$K112),"ERRO: subcategoria nao pertence a categoria",IF(AND($O112&lt;&gt;"",COUNTIF(P_ID,$O112)=0),"ERRO: parcela inexistente",IF(AND($N112&lt;&gt;"",COUNTIF(CM_ID,$N112)=0),"ERRO: compromisso inexistente","OK")))))))))))))</f>
        <v/>
      </c>
      <c r="AK112" s="35" t="str">
        <f aca="false">IF($B112="","",IF(AND($N112="",$O112="",$P112="",$Q112="",$R112=""),"","VINCULADO: "&amp;TRIM(IF($N112&lt;&gt;"",$N112&amp;" ","")&amp;IF($O112&lt;&gt;"",$O112&amp;" ","")&amp;IF($P112&lt;&gt;"",$P112&amp;" ","")&amp;IF($Q112&lt;&gt;"",$Q112&amp;" ","")&amp;IF($R112&lt;&gt;"",$R112,""))))</f>
        <v/>
      </c>
    </row>
    <row r="113" customFormat="false" ht="15" hidden="false" customHeight="false" outlineLevel="0" collapsed="false">
      <c r="A113" s="30" t="str">
        <f aca="false">IF($B113="","","LAN-"&amp;TEXT(ROW()-4,"000000"))</f>
        <v/>
      </c>
      <c r="B113" s="31"/>
      <c r="C113" s="32"/>
      <c r="D113" s="32"/>
      <c r="E113" s="32"/>
      <c r="F113" s="33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4" t="str">
        <f aca="false">IF($B113="","",YEAR($B113))</f>
        <v/>
      </c>
      <c r="U113" s="34" t="str">
        <f aca="false">IF($B113="","",MONTH($B113))</f>
        <v/>
      </c>
      <c r="V113" s="34" t="str">
        <f aca="false">IF($B113="","",YEAR($B113)*100+MONTH($B113))</f>
        <v/>
      </c>
      <c r="W113" s="35" t="str">
        <f aca="false">IF($D113="","",IFERROR(INDEX(MAP_CLASS,MATCH($D113,MAP_TIPO,0)),"TIPO INVALIDO"))</f>
        <v/>
      </c>
      <c r="X113" s="35" t="str">
        <f aca="false">IF($K113="","",IFERROR(INDEX(CAT_NOME,MATCH($K113,CAT_ID,0)),"?"))</f>
        <v/>
      </c>
      <c r="Y113" s="35" t="str">
        <f aca="false">IF($L113="","",IFERROR(INDEX(SUB_NOME,MATCH($L113,SUB_ID,0)),"?"))</f>
        <v/>
      </c>
      <c r="Z113" s="35" t="str">
        <f aca="false">IF($G113="","",IF($G113="EXTERNO","(Externo)",IFERROR(INDEX(ENT_NOME,MATCH($H113,ENT_ID,0)),"?")))</f>
        <v/>
      </c>
      <c r="AA113" s="35" t="str">
        <f aca="false">IF($I113="","",IF($I113="EXTERNO","(Externo)",IFERROR(INDEX(ENT_NOME,MATCH($J113,ENT_ID,0)),"?")))</f>
        <v/>
      </c>
      <c r="AB113" s="36" t="n">
        <f aca="false">IF($B113="",0,IF(AND($I113="CONTA",$G113&lt;&gt;"CONTA"),$F113,0))</f>
        <v>0</v>
      </c>
      <c r="AC113" s="36" t="n">
        <f aca="false">IF($B113="",0,IF(AND($G113="CONTA",$I113&lt;&gt;"CONTA"),$F113,0))</f>
        <v>0</v>
      </c>
      <c r="AD113" s="36" t="n">
        <f aca="false">IF($W113="RECEITA",$F113,0)</f>
        <v>0</v>
      </c>
      <c r="AE113" s="36" t="n">
        <f aca="false">IF($W113="DESPESA",$F113,0)</f>
        <v>0</v>
      </c>
      <c r="AF113" s="36" t="n">
        <f aca="false">IF($W113="RECEITA_FINANCEIRA",$F113,0)</f>
        <v>0</v>
      </c>
      <c r="AG113" s="36" t="n">
        <f aca="false">IF($B113="",0,IF($I113="CONTA",$F113,0)-IF($G113="CONTA",$F113,0))</f>
        <v>0</v>
      </c>
      <c r="AH113" s="36" t="n">
        <f aca="false">IF($B113="",0,IF($G113="CARTAO",$F113,0)-IF($I113="CARTAO",$F113,0))</f>
        <v>0</v>
      </c>
      <c r="AI113" s="36" t="n">
        <f aca="false">IF($B113="",0,IF($I113="INVESTIMENTO",$F113,0)-IF($G113="INVESTIMENTO",$F113,0))</f>
        <v>0</v>
      </c>
      <c r="AJ113" s="35" t="str">
        <f aca="false">IF($B113="","",IF(NOT(ISNUMBER($F113)),"ERRO: valor nao numerico",IF($F113&lt;=0,"ERRO: valor deve ser maior que zero",IF(COUNTIF(MAP_TIPO,$D113)=0,"ERRO: tipo de operacao nao cadastrado",IF(COUNTIF(LST_STATUS,$E113)=0,"ERRO: status invalido",IF(AND($G113="EXTERNO",$I113="EXTERNO"),"ERRO: origem e destino externos",IF(AND($G113&lt;&gt;"EXTERNO",COUNTIFS(ENT_ID,$H113,ENT_TIPO,$G113)=0),"ERRO: origem inexistente",IF(AND($I113&lt;&gt;"EXTERNO",COUNTIFS(ENT_ID,$J113,ENT_TIPO,$I113)=0),"ERRO: destino inexistente",IF(AND($K113&lt;&gt;"",COUNTIF(CAT_ID,$K113)=0),"ERRO: categoria inexistente",IF(AND($L113&lt;&gt;"",COUNTIF(SUB_ID,$L113)=0),"ERRO: subcategoria inexistente",IF(AND($L113&lt;&gt;"",$K113&lt;&gt;"",IFERROR(INDEX(SUB_CATID,MATCH($L113,SUB_ID,0)),"")&lt;&gt;$K113),"ERRO: subcategoria nao pertence a categoria",IF(AND($O113&lt;&gt;"",COUNTIF(P_ID,$O113)=0),"ERRO: parcela inexistente",IF(AND($N113&lt;&gt;"",COUNTIF(CM_ID,$N113)=0),"ERRO: compromisso inexistente","OK")))))))))))))</f>
        <v/>
      </c>
      <c r="AK113" s="35" t="str">
        <f aca="false">IF($B113="","",IF(AND($N113="",$O113="",$P113="",$Q113="",$R113=""),"","VINCULADO: "&amp;TRIM(IF($N113&lt;&gt;"",$N113&amp;" ","")&amp;IF($O113&lt;&gt;"",$O113&amp;" ","")&amp;IF($P113&lt;&gt;"",$P113&amp;" ","")&amp;IF($Q113&lt;&gt;"",$Q113&amp;" ","")&amp;IF($R113&lt;&gt;"",$R113,""))))</f>
        <v/>
      </c>
    </row>
    <row r="114" customFormat="false" ht="15" hidden="false" customHeight="false" outlineLevel="0" collapsed="false">
      <c r="A114" s="30" t="str">
        <f aca="false">IF($B114="","","LAN-"&amp;TEXT(ROW()-4,"000000"))</f>
        <v/>
      </c>
      <c r="B114" s="31"/>
      <c r="C114" s="32"/>
      <c r="D114" s="32"/>
      <c r="E114" s="32"/>
      <c r="F114" s="33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4" t="str">
        <f aca="false">IF($B114="","",YEAR($B114))</f>
        <v/>
      </c>
      <c r="U114" s="34" t="str">
        <f aca="false">IF($B114="","",MONTH($B114))</f>
        <v/>
      </c>
      <c r="V114" s="34" t="str">
        <f aca="false">IF($B114="","",YEAR($B114)*100+MONTH($B114))</f>
        <v/>
      </c>
      <c r="W114" s="35" t="str">
        <f aca="false">IF($D114="","",IFERROR(INDEX(MAP_CLASS,MATCH($D114,MAP_TIPO,0)),"TIPO INVALIDO"))</f>
        <v/>
      </c>
      <c r="X114" s="35" t="str">
        <f aca="false">IF($K114="","",IFERROR(INDEX(CAT_NOME,MATCH($K114,CAT_ID,0)),"?"))</f>
        <v/>
      </c>
      <c r="Y114" s="35" t="str">
        <f aca="false">IF($L114="","",IFERROR(INDEX(SUB_NOME,MATCH($L114,SUB_ID,0)),"?"))</f>
        <v/>
      </c>
      <c r="Z114" s="35" t="str">
        <f aca="false">IF($G114="","",IF($G114="EXTERNO","(Externo)",IFERROR(INDEX(ENT_NOME,MATCH($H114,ENT_ID,0)),"?")))</f>
        <v/>
      </c>
      <c r="AA114" s="35" t="str">
        <f aca="false">IF($I114="","",IF($I114="EXTERNO","(Externo)",IFERROR(INDEX(ENT_NOME,MATCH($J114,ENT_ID,0)),"?")))</f>
        <v/>
      </c>
      <c r="AB114" s="36" t="n">
        <f aca="false">IF($B114="",0,IF(AND($I114="CONTA",$G114&lt;&gt;"CONTA"),$F114,0))</f>
        <v>0</v>
      </c>
      <c r="AC114" s="36" t="n">
        <f aca="false">IF($B114="",0,IF(AND($G114="CONTA",$I114&lt;&gt;"CONTA"),$F114,0))</f>
        <v>0</v>
      </c>
      <c r="AD114" s="36" t="n">
        <f aca="false">IF($W114="RECEITA",$F114,0)</f>
        <v>0</v>
      </c>
      <c r="AE114" s="36" t="n">
        <f aca="false">IF($W114="DESPESA",$F114,0)</f>
        <v>0</v>
      </c>
      <c r="AF114" s="36" t="n">
        <f aca="false">IF($W114="RECEITA_FINANCEIRA",$F114,0)</f>
        <v>0</v>
      </c>
      <c r="AG114" s="36" t="n">
        <f aca="false">IF($B114="",0,IF($I114="CONTA",$F114,0)-IF($G114="CONTA",$F114,0))</f>
        <v>0</v>
      </c>
      <c r="AH114" s="36" t="n">
        <f aca="false">IF($B114="",0,IF($G114="CARTAO",$F114,0)-IF($I114="CARTAO",$F114,0))</f>
        <v>0</v>
      </c>
      <c r="AI114" s="36" t="n">
        <f aca="false">IF($B114="",0,IF($I114="INVESTIMENTO",$F114,0)-IF($G114="INVESTIMENTO",$F114,0))</f>
        <v>0</v>
      </c>
      <c r="AJ114" s="35" t="str">
        <f aca="false">IF($B114="","",IF(NOT(ISNUMBER($F114)),"ERRO: valor nao numerico",IF($F114&lt;=0,"ERRO: valor deve ser maior que zero",IF(COUNTIF(MAP_TIPO,$D114)=0,"ERRO: tipo de operacao nao cadastrado",IF(COUNTIF(LST_STATUS,$E114)=0,"ERRO: status invalido",IF(AND($G114="EXTERNO",$I114="EXTERNO"),"ERRO: origem e destino externos",IF(AND($G114&lt;&gt;"EXTERNO",COUNTIFS(ENT_ID,$H114,ENT_TIPO,$G114)=0),"ERRO: origem inexistente",IF(AND($I114&lt;&gt;"EXTERNO",COUNTIFS(ENT_ID,$J114,ENT_TIPO,$I114)=0),"ERRO: destino inexistente",IF(AND($K114&lt;&gt;"",COUNTIF(CAT_ID,$K114)=0),"ERRO: categoria inexistente",IF(AND($L114&lt;&gt;"",COUNTIF(SUB_ID,$L114)=0),"ERRO: subcategoria inexistente",IF(AND($L114&lt;&gt;"",$K114&lt;&gt;"",IFERROR(INDEX(SUB_CATID,MATCH($L114,SUB_ID,0)),"")&lt;&gt;$K114),"ERRO: subcategoria nao pertence a categoria",IF(AND($O114&lt;&gt;"",COUNTIF(P_ID,$O114)=0),"ERRO: parcela inexistente",IF(AND($N114&lt;&gt;"",COUNTIF(CM_ID,$N114)=0),"ERRO: compromisso inexistente","OK")))))))))))))</f>
        <v/>
      </c>
      <c r="AK114" s="35" t="str">
        <f aca="false">IF($B114="","",IF(AND($N114="",$O114="",$P114="",$Q114="",$R114=""),"","VINCULADO: "&amp;TRIM(IF($N114&lt;&gt;"",$N114&amp;" ","")&amp;IF($O114&lt;&gt;"",$O114&amp;" ","")&amp;IF($P114&lt;&gt;"",$P114&amp;" ","")&amp;IF($Q114&lt;&gt;"",$Q114&amp;" ","")&amp;IF($R114&lt;&gt;"",$R114,""))))</f>
        <v/>
      </c>
    </row>
    <row r="115" customFormat="false" ht="15" hidden="false" customHeight="false" outlineLevel="0" collapsed="false">
      <c r="A115" s="30" t="str">
        <f aca="false">IF($B115="","","LAN-"&amp;TEXT(ROW()-4,"000000"))</f>
        <v/>
      </c>
      <c r="B115" s="31"/>
      <c r="C115" s="32"/>
      <c r="D115" s="32"/>
      <c r="E115" s="32"/>
      <c r="F115" s="33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4" t="str">
        <f aca="false">IF($B115="","",YEAR($B115))</f>
        <v/>
      </c>
      <c r="U115" s="34" t="str">
        <f aca="false">IF($B115="","",MONTH($B115))</f>
        <v/>
      </c>
      <c r="V115" s="34" t="str">
        <f aca="false">IF($B115="","",YEAR($B115)*100+MONTH($B115))</f>
        <v/>
      </c>
      <c r="W115" s="35" t="str">
        <f aca="false">IF($D115="","",IFERROR(INDEX(MAP_CLASS,MATCH($D115,MAP_TIPO,0)),"TIPO INVALIDO"))</f>
        <v/>
      </c>
      <c r="X115" s="35" t="str">
        <f aca="false">IF($K115="","",IFERROR(INDEX(CAT_NOME,MATCH($K115,CAT_ID,0)),"?"))</f>
        <v/>
      </c>
      <c r="Y115" s="35" t="str">
        <f aca="false">IF($L115="","",IFERROR(INDEX(SUB_NOME,MATCH($L115,SUB_ID,0)),"?"))</f>
        <v/>
      </c>
      <c r="Z115" s="35" t="str">
        <f aca="false">IF($G115="","",IF($G115="EXTERNO","(Externo)",IFERROR(INDEX(ENT_NOME,MATCH($H115,ENT_ID,0)),"?")))</f>
        <v/>
      </c>
      <c r="AA115" s="35" t="str">
        <f aca="false">IF($I115="","",IF($I115="EXTERNO","(Externo)",IFERROR(INDEX(ENT_NOME,MATCH($J115,ENT_ID,0)),"?")))</f>
        <v/>
      </c>
      <c r="AB115" s="36" t="n">
        <f aca="false">IF($B115="",0,IF(AND($I115="CONTA",$G115&lt;&gt;"CONTA"),$F115,0))</f>
        <v>0</v>
      </c>
      <c r="AC115" s="36" t="n">
        <f aca="false">IF($B115="",0,IF(AND($G115="CONTA",$I115&lt;&gt;"CONTA"),$F115,0))</f>
        <v>0</v>
      </c>
      <c r="AD115" s="36" t="n">
        <f aca="false">IF($W115="RECEITA",$F115,0)</f>
        <v>0</v>
      </c>
      <c r="AE115" s="36" t="n">
        <f aca="false">IF($W115="DESPESA",$F115,0)</f>
        <v>0</v>
      </c>
      <c r="AF115" s="36" t="n">
        <f aca="false">IF($W115="RECEITA_FINANCEIRA",$F115,0)</f>
        <v>0</v>
      </c>
      <c r="AG115" s="36" t="n">
        <f aca="false">IF($B115="",0,IF($I115="CONTA",$F115,0)-IF($G115="CONTA",$F115,0))</f>
        <v>0</v>
      </c>
      <c r="AH115" s="36" t="n">
        <f aca="false">IF($B115="",0,IF($G115="CARTAO",$F115,0)-IF($I115="CARTAO",$F115,0))</f>
        <v>0</v>
      </c>
      <c r="AI115" s="36" t="n">
        <f aca="false">IF($B115="",0,IF($I115="INVESTIMENTO",$F115,0)-IF($G115="INVESTIMENTO",$F115,0))</f>
        <v>0</v>
      </c>
      <c r="AJ115" s="35" t="str">
        <f aca="false">IF($B115="","",IF(NOT(ISNUMBER($F115)),"ERRO: valor nao numerico",IF($F115&lt;=0,"ERRO: valor deve ser maior que zero",IF(COUNTIF(MAP_TIPO,$D115)=0,"ERRO: tipo de operacao nao cadastrado",IF(COUNTIF(LST_STATUS,$E115)=0,"ERRO: status invalido",IF(AND($G115="EXTERNO",$I115="EXTERNO"),"ERRO: origem e destino externos",IF(AND($G115&lt;&gt;"EXTERNO",COUNTIFS(ENT_ID,$H115,ENT_TIPO,$G115)=0),"ERRO: origem inexistente",IF(AND($I115&lt;&gt;"EXTERNO",COUNTIFS(ENT_ID,$J115,ENT_TIPO,$I115)=0),"ERRO: destino inexistente",IF(AND($K115&lt;&gt;"",COUNTIF(CAT_ID,$K115)=0),"ERRO: categoria inexistente",IF(AND($L115&lt;&gt;"",COUNTIF(SUB_ID,$L115)=0),"ERRO: subcategoria inexistente",IF(AND($L115&lt;&gt;"",$K115&lt;&gt;"",IFERROR(INDEX(SUB_CATID,MATCH($L115,SUB_ID,0)),"")&lt;&gt;$K115),"ERRO: subcategoria nao pertence a categoria",IF(AND($O115&lt;&gt;"",COUNTIF(P_ID,$O115)=0),"ERRO: parcela inexistente",IF(AND($N115&lt;&gt;"",COUNTIF(CM_ID,$N115)=0),"ERRO: compromisso inexistente","OK")))))))))))))</f>
        <v/>
      </c>
      <c r="AK115" s="35" t="str">
        <f aca="false">IF($B115="","",IF(AND($N115="",$O115="",$P115="",$Q115="",$R115=""),"","VINCULADO: "&amp;TRIM(IF($N115&lt;&gt;"",$N115&amp;" ","")&amp;IF($O115&lt;&gt;"",$O115&amp;" ","")&amp;IF($P115&lt;&gt;"",$P115&amp;" ","")&amp;IF($Q115&lt;&gt;"",$Q115&amp;" ","")&amp;IF($R115&lt;&gt;"",$R115,""))))</f>
        <v/>
      </c>
    </row>
    <row r="116" customFormat="false" ht="15" hidden="false" customHeight="false" outlineLevel="0" collapsed="false">
      <c r="A116" s="30" t="str">
        <f aca="false">IF($B116="","","LAN-"&amp;TEXT(ROW()-4,"000000"))</f>
        <v/>
      </c>
      <c r="B116" s="31"/>
      <c r="C116" s="32"/>
      <c r="D116" s="32"/>
      <c r="E116" s="32"/>
      <c r="F116" s="33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4" t="str">
        <f aca="false">IF($B116="","",YEAR($B116))</f>
        <v/>
      </c>
      <c r="U116" s="34" t="str">
        <f aca="false">IF($B116="","",MONTH($B116))</f>
        <v/>
      </c>
      <c r="V116" s="34" t="str">
        <f aca="false">IF($B116="","",YEAR($B116)*100+MONTH($B116))</f>
        <v/>
      </c>
      <c r="W116" s="35" t="str">
        <f aca="false">IF($D116="","",IFERROR(INDEX(MAP_CLASS,MATCH($D116,MAP_TIPO,0)),"TIPO INVALIDO"))</f>
        <v/>
      </c>
      <c r="X116" s="35" t="str">
        <f aca="false">IF($K116="","",IFERROR(INDEX(CAT_NOME,MATCH($K116,CAT_ID,0)),"?"))</f>
        <v/>
      </c>
      <c r="Y116" s="35" t="str">
        <f aca="false">IF($L116="","",IFERROR(INDEX(SUB_NOME,MATCH($L116,SUB_ID,0)),"?"))</f>
        <v/>
      </c>
      <c r="Z116" s="35" t="str">
        <f aca="false">IF($G116="","",IF($G116="EXTERNO","(Externo)",IFERROR(INDEX(ENT_NOME,MATCH($H116,ENT_ID,0)),"?")))</f>
        <v/>
      </c>
      <c r="AA116" s="35" t="str">
        <f aca="false">IF($I116="","",IF($I116="EXTERNO","(Externo)",IFERROR(INDEX(ENT_NOME,MATCH($J116,ENT_ID,0)),"?")))</f>
        <v/>
      </c>
      <c r="AB116" s="36" t="n">
        <f aca="false">IF($B116="",0,IF(AND($I116="CONTA",$G116&lt;&gt;"CONTA"),$F116,0))</f>
        <v>0</v>
      </c>
      <c r="AC116" s="36" t="n">
        <f aca="false">IF($B116="",0,IF(AND($G116="CONTA",$I116&lt;&gt;"CONTA"),$F116,0))</f>
        <v>0</v>
      </c>
      <c r="AD116" s="36" t="n">
        <f aca="false">IF($W116="RECEITA",$F116,0)</f>
        <v>0</v>
      </c>
      <c r="AE116" s="36" t="n">
        <f aca="false">IF($W116="DESPESA",$F116,0)</f>
        <v>0</v>
      </c>
      <c r="AF116" s="36" t="n">
        <f aca="false">IF($W116="RECEITA_FINANCEIRA",$F116,0)</f>
        <v>0</v>
      </c>
      <c r="AG116" s="36" t="n">
        <f aca="false">IF($B116="",0,IF($I116="CONTA",$F116,0)-IF($G116="CONTA",$F116,0))</f>
        <v>0</v>
      </c>
      <c r="AH116" s="36" t="n">
        <f aca="false">IF($B116="",0,IF($G116="CARTAO",$F116,0)-IF($I116="CARTAO",$F116,0))</f>
        <v>0</v>
      </c>
      <c r="AI116" s="36" t="n">
        <f aca="false">IF($B116="",0,IF($I116="INVESTIMENTO",$F116,0)-IF($G116="INVESTIMENTO",$F116,0))</f>
        <v>0</v>
      </c>
      <c r="AJ116" s="35" t="str">
        <f aca="false">IF($B116="","",IF(NOT(ISNUMBER($F116)),"ERRO: valor nao numerico",IF($F116&lt;=0,"ERRO: valor deve ser maior que zero",IF(COUNTIF(MAP_TIPO,$D116)=0,"ERRO: tipo de operacao nao cadastrado",IF(COUNTIF(LST_STATUS,$E116)=0,"ERRO: status invalido",IF(AND($G116="EXTERNO",$I116="EXTERNO"),"ERRO: origem e destino externos",IF(AND($G116&lt;&gt;"EXTERNO",COUNTIFS(ENT_ID,$H116,ENT_TIPO,$G116)=0),"ERRO: origem inexistente",IF(AND($I116&lt;&gt;"EXTERNO",COUNTIFS(ENT_ID,$J116,ENT_TIPO,$I116)=0),"ERRO: destino inexistente",IF(AND($K116&lt;&gt;"",COUNTIF(CAT_ID,$K116)=0),"ERRO: categoria inexistente",IF(AND($L116&lt;&gt;"",COUNTIF(SUB_ID,$L116)=0),"ERRO: subcategoria inexistente",IF(AND($L116&lt;&gt;"",$K116&lt;&gt;"",IFERROR(INDEX(SUB_CATID,MATCH($L116,SUB_ID,0)),"")&lt;&gt;$K116),"ERRO: subcategoria nao pertence a categoria",IF(AND($O116&lt;&gt;"",COUNTIF(P_ID,$O116)=0),"ERRO: parcela inexistente",IF(AND($N116&lt;&gt;"",COUNTIF(CM_ID,$N116)=0),"ERRO: compromisso inexistente","OK")))))))))))))</f>
        <v/>
      </c>
      <c r="AK116" s="35" t="str">
        <f aca="false">IF($B116="","",IF(AND($N116="",$O116="",$P116="",$Q116="",$R116=""),"","VINCULADO: "&amp;TRIM(IF($N116&lt;&gt;"",$N116&amp;" ","")&amp;IF($O116&lt;&gt;"",$O116&amp;" ","")&amp;IF($P116&lt;&gt;"",$P116&amp;" ","")&amp;IF($Q116&lt;&gt;"",$Q116&amp;" ","")&amp;IF($R116&lt;&gt;"",$R116,""))))</f>
        <v/>
      </c>
    </row>
    <row r="117" customFormat="false" ht="15" hidden="false" customHeight="false" outlineLevel="0" collapsed="false">
      <c r="A117" s="30" t="str">
        <f aca="false">IF($B117="","","LAN-"&amp;TEXT(ROW()-4,"000000"))</f>
        <v/>
      </c>
      <c r="B117" s="31"/>
      <c r="C117" s="32"/>
      <c r="D117" s="32"/>
      <c r="E117" s="32"/>
      <c r="F117" s="33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4" t="str">
        <f aca="false">IF($B117="","",YEAR($B117))</f>
        <v/>
      </c>
      <c r="U117" s="34" t="str">
        <f aca="false">IF($B117="","",MONTH($B117))</f>
        <v/>
      </c>
      <c r="V117" s="34" t="str">
        <f aca="false">IF($B117="","",YEAR($B117)*100+MONTH($B117))</f>
        <v/>
      </c>
      <c r="W117" s="35" t="str">
        <f aca="false">IF($D117="","",IFERROR(INDEX(MAP_CLASS,MATCH($D117,MAP_TIPO,0)),"TIPO INVALIDO"))</f>
        <v/>
      </c>
      <c r="X117" s="35" t="str">
        <f aca="false">IF($K117="","",IFERROR(INDEX(CAT_NOME,MATCH($K117,CAT_ID,0)),"?"))</f>
        <v/>
      </c>
      <c r="Y117" s="35" t="str">
        <f aca="false">IF($L117="","",IFERROR(INDEX(SUB_NOME,MATCH($L117,SUB_ID,0)),"?"))</f>
        <v/>
      </c>
      <c r="Z117" s="35" t="str">
        <f aca="false">IF($G117="","",IF($G117="EXTERNO","(Externo)",IFERROR(INDEX(ENT_NOME,MATCH($H117,ENT_ID,0)),"?")))</f>
        <v/>
      </c>
      <c r="AA117" s="35" t="str">
        <f aca="false">IF($I117="","",IF($I117="EXTERNO","(Externo)",IFERROR(INDEX(ENT_NOME,MATCH($J117,ENT_ID,0)),"?")))</f>
        <v/>
      </c>
      <c r="AB117" s="36" t="n">
        <f aca="false">IF($B117="",0,IF(AND($I117="CONTA",$G117&lt;&gt;"CONTA"),$F117,0))</f>
        <v>0</v>
      </c>
      <c r="AC117" s="36" t="n">
        <f aca="false">IF($B117="",0,IF(AND($G117="CONTA",$I117&lt;&gt;"CONTA"),$F117,0))</f>
        <v>0</v>
      </c>
      <c r="AD117" s="36" t="n">
        <f aca="false">IF($W117="RECEITA",$F117,0)</f>
        <v>0</v>
      </c>
      <c r="AE117" s="36" t="n">
        <f aca="false">IF($W117="DESPESA",$F117,0)</f>
        <v>0</v>
      </c>
      <c r="AF117" s="36" t="n">
        <f aca="false">IF($W117="RECEITA_FINANCEIRA",$F117,0)</f>
        <v>0</v>
      </c>
      <c r="AG117" s="36" t="n">
        <f aca="false">IF($B117="",0,IF($I117="CONTA",$F117,0)-IF($G117="CONTA",$F117,0))</f>
        <v>0</v>
      </c>
      <c r="AH117" s="36" t="n">
        <f aca="false">IF($B117="",0,IF($G117="CARTAO",$F117,0)-IF($I117="CARTAO",$F117,0))</f>
        <v>0</v>
      </c>
      <c r="AI117" s="36" t="n">
        <f aca="false">IF($B117="",0,IF($I117="INVESTIMENTO",$F117,0)-IF($G117="INVESTIMENTO",$F117,0))</f>
        <v>0</v>
      </c>
      <c r="AJ117" s="35" t="str">
        <f aca="false">IF($B117="","",IF(NOT(ISNUMBER($F117)),"ERRO: valor nao numerico",IF($F117&lt;=0,"ERRO: valor deve ser maior que zero",IF(COUNTIF(MAP_TIPO,$D117)=0,"ERRO: tipo de operacao nao cadastrado",IF(COUNTIF(LST_STATUS,$E117)=0,"ERRO: status invalido",IF(AND($G117="EXTERNO",$I117="EXTERNO"),"ERRO: origem e destino externos",IF(AND($G117&lt;&gt;"EXTERNO",COUNTIFS(ENT_ID,$H117,ENT_TIPO,$G117)=0),"ERRO: origem inexistente",IF(AND($I117&lt;&gt;"EXTERNO",COUNTIFS(ENT_ID,$J117,ENT_TIPO,$I117)=0),"ERRO: destino inexistente",IF(AND($K117&lt;&gt;"",COUNTIF(CAT_ID,$K117)=0),"ERRO: categoria inexistente",IF(AND($L117&lt;&gt;"",COUNTIF(SUB_ID,$L117)=0),"ERRO: subcategoria inexistente",IF(AND($L117&lt;&gt;"",$K117&lt;&gt;"",IFERROR(INDEX(SUB_CATID,MATCH($L117,SUB_ID,0)),"")&lt;&gt;$K117),"ERRO: subcategoria nao pertence a categoria",IF(AND($O117&lt;&gt;"",COUNTIF(P_ID,$O117)=0),"ERRO: parcela inexistente",IF(AND($N117&lt;&gt;"",COUNTIF(CM_ID,$N117)=0),"ERRO: compromisso inexistente","OK")))))))))))))</f>
        <v/>
      </c>
      <c r="AK117" s="35" t="str">
        <f aca="false">IF($B117="","",IF(AND($N117="",$O117="",$P117="",$Q117="",$R117=""),"","VINCULADO: "&amp;TRIM(IF($N117&lt;&gt;"",$N117&amp;" ","")&amp;IF($O117&lt;&gt;"",$O117&amp;" ","")&amp;IF($P117&lt;&gt;"",$P117&amp;" ","")&amp;IF($Q117&lt;&gt;"",$Q117&amp;" ","")&amp;IF($R117&lt;&gt;"",$R117,""))))</f>
        <v/>
      </c>
    </row>
    <row r="118" customFormat="false" ht="15" hidden="false" customHeight="false" outlineLevel="0" collapsed="false">
      <c r="A118" s="30" t="str">
        <f aca="false">IF($B118="","","LAN-"&amp;TEXT(ROW()-4,"000000"))</f>
        <v/>
      </c>
      <c r="B118" s="31"/>
      <c r="C118" s="32"/>
      <c r="D118" s="32"/>
      <c r="E118" s="32"/>
      <c r="F118" s="33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4" t="str">
        <f aca="false">IF($B118="","",YEAR($B118))</f>
        <v/>
      </c>
      <c r="U118" s="34" t="str">
        <f aca="false">IF($B118="","",MONTH($B118))</f>
        <v/>
      </c>
      <c r="V118" s="34" t="str">
        <f aca="false">IF($B118="","",YEAR($B118)*100+MONTH($B118))</f>
        <v/>
      </c>
      <c r="W118" s="35" t="str">
        <f aca="false">IF($D118="","",IFERROR(INDEX(MAP_CLASS,MATCH($D118,MAP_TIPO,0)),"TIPO INVALIDO"))</f>
        <v/>
      </c>
      <c r="X118" s="35" t="str">
        <f aca="false">IF($K118="","",IFERROR(INDEX(CAT_NOME,MATCH($K118,CAT_ID,0)),"?"))</f>
        <v/>
      </c>
      <c r="Y118" s="35" t="str">
        <f aca="false">IF($L118="","",IFERROR(INDEX(SUB_NOME,MATCH($L118,SUB_ID,0)),"?"))</f>
        <v/>
      </c>
      <c r="Z118" s="35" t="str">
        <f aca="false">IF($G118="","",IF($G118="EXTERNO","(Externo)",IFERROR(INDEX(ENT_NOME,MATCH($H118,ENT_ID,0)),"?")))</f>
        <v/>
      </c>
      <c r="AA118" s="35" t="str">
        <f aca="false">IF($I118="","",IF($I118="EXTERNO","(Externo)",IFERROR(INDEX(ENT_NOME,MATCH($J118,ENT_ID,0)),"?")))</f>
        <v/>
      </c>
      <c r="AB118" s="36" t="n">
        <f aca="false">IF($B118="",0,IF(AND($I118="CONTA",$G118&lt;&gt;"CONTA"),$F118,0))</f>
        <v>0</v>
      </c>
      <c r="AC118" s="36" t="n">
        <f aca="false">IF($B118="",0,IF(AND($G118="CONTA",$I118&lt;&gt;"CONTA"),$F118,0))</f>
        <v>0</v>
      </c>
      <c r="AD118" s="36" t="n">
        <f aca="false">IF($W118="RECEITA",$F118,0)</f>
        <v>0</v>
      </c>
      <c r="AE118" s="36" t="n">
        <f aca="false">IF($W118="DESPESA",$F118,0)</f>
        <v>0</v>
      </c>
      <c r="AF118" s="36" t="n">
        <f aca="false">IF($W118="RECEITA_FINANCEIRA",$F118,0)</f>
        <v>0</v>
      </c>
      <c r="AG118" s="36" t="n">
        <f aca="false">IF($B118="",0,IF($I118="CONTA",$F118,0)-IF($G118="CONTA",$F118,0))</f>
        <v>0</v>
      </c>
      <c r="AH118" s="36" t="n">
        <f aca="false">IF($B118="",0,IF($G118="CARTAO",$F118,0)-IF($I118="CARTAO",$F118,0))</f>
        <v>0</v>
      </c>
      <c r="AI118" s="36" t="n">
        <f aca="false">IF($B118="",0,IF($I118="INVESTIMENTO",$F118,0)-IF($G118="INVESTIMENTO",$F118,0))</f>
        <v>0</v>
      </c>
      <c r="AJ118" s="35" t="str">
        <f aca="false">IF($B118="","",IF(NOT(ISNUMBER($F118)),"ERRO: valor nao numerico",IF($F118&lt;=0,"ERRO: valor deve ser maior que zero",IF(COUNTIF(MAP_TIPO,$D118)=0,"ERRO: tipo de operacao nao cadastrado",IF(COUNTIF(LST_STATUS,$E118)=0,"ERRO: status invalido",IF(AND($G118="EXTERNO",$I118="EXTERNO"),"ERRO: origem e destino externos",IF(AND($G118&lt;&gt;"EXTERNO",COUNTIFS(ENT_ID,$H118,ENT_TIPO,$G118)=0),"ERRO: origem inexistente",IF(AND($I118&lt;&gt;"EXTERNO",COUNTIFS(ENT_ID,$J118,ENT_TIPO,$I118)=0),"ERRO: destino inexistente",IF(AND($K118&lt;&gt;"",COUNTIF(CAT_ID,$K118)=0),"ERRO: categoria inexistente",IF(AND($L118&lt;&gt;"",COUNTIF(SUB_ID,$L118)=0),"ERRO: subcategoria inexistente",IF(AND($L118&lt;&gt;"",$K118&lt;&gt;"",IFERROR(INDEX(SUB_CATID,MATCH($L118,SUB_ID,0)),"")&lt;&gt;$K118),"ERRO: subcategoria nao pertence a categoria",IF(AND($O118&lt;&gt;"",COUNTIF(P_ID,$O118)=0),"ERRO: parcela inexistente",IF(AND($N118&lt;&gt;"",COUNTIF(CM_ID,$N118)=0),"ERRO: compromisso inexistente","OK")))))))))))))</f>
        <v/>
      </c>
      <c r="AK118" s="35" t="str">
        <f aca="false">IF($B118="","",IF(AND($N118="",$O118="",$P118="",$Q118="",$R118=""),"","VINCULADO: "&amp;TRIM(IF($N118&lt;&gt;"",$N118&amp;" ","")&amp;IF($O118&lt;&gt;"",$O118&amp;" ","")&amp;IF($P118&lt;&gt;"",$P118&amp;" ","")&amp;IF($Q118&lt;&gt;"",$Q118&amp;" ","")&amp;IF($R118&lt;&gt;"",$R118,""))))</f>
        <v/>
      </c>
    </row>
    <row r="119" customFormat="false" ht="15" hidden="false" customHeight="false" outlineLevel="0" collapsed="false">
      <c r="A119" s="30" t="str">
        <f aca="false">IF($B119="","","LAN-"&amp;TEXT(ROW()-4,"000000"))</f>
        <v/>
      </c>
      <c r="B119" s="31"/>
      <c r="C119" s="32"/>
      <c r="D119" s="32"/>
      <c r="E119" s="32"/>
      <c r="F119" s="33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4" t="str">
        <f aca="false">IF($B119="","",YEAR($B119))</f>
        <v/>
      </c>
      <c r="U119" s="34" t="str">
        <f aca="false">IF($B119="","",MONTH($B119))</f>
        <v/>
      </c>
      <c r="V119" s="34" t="str">
        <f aca="false">IF($B119="","",YEAR($B119)*100+MONTH($B119))</f>
        <v/>
      </c>
      <c r="W119" s="35" t="str">
        <f aca="false">IF($D119="","",IFERROR(INDEX(MAP_CLASS,MATCH($D119,MAP_TIPO,0)),"TIPO INVALIDO"))</f>
        <v/>
      </c>
      <c r="X119" s="35" t="str">
        <f aca="false">IF($K119="","",IFERROR(INDEX(CAT_NOME,MATCH($K119,CAT_ID,0)),"?"))</f>
        <v/>
      </c>
      <c r="Y119" s="35" t="str">
        <f aca="false">IF($L119="","",IFERROR(INDEX(SUB_NOME,MATCH($L119,SUB_ID,0)),"?"))</f>
        <v/>
      </c>
      <c r="Z119" s="35" t="str">
        <f aca="false">IF($G119="","",IF($G119="EXTERNO","(Externo)",IFERROR(INDEX(ENT_NOME,MATCH($H119,ENT_ID,0)),"?")))</f>
        <v/>
      </c>
      <c r="AA119" s="35" t="str">
        <f aca="false">IF($I119="","",IF($I119="EXTERNO","(Externo)",IFERROR(INDEX(ENT_NOME,MATCH($J119,ENT_ID,0)),"?")))</f>
        <v/>
      </c>
      <c r="AB119" s="36" t="n">
        <f aca="false">IF($B119="",0,IF(AND($I119="CONTA",$G119&lt;&gt;"CONTA"),$F119,0))</f>
        <v>0</v>
      </c>
      <c r="AC119" s="36" t="n">
        <f aca="false">IF($B119="",0,IF(AND($G119="CONTA",$I119&lt;&gt;"CONTA"),$F119,0))</f>
        <v>0</v>
      </c>
      <c r="AD119" s="36" t="n">
        <f aca="false">IF($W119="RECEITA",$F119,0)</f>
        <v>0</v>
      </c>
      <c r="AE119" s="36" t="n">
        <f aca="false">IF($W119="DESPESA",$F119,0)</f>
        <v>0</v>
      </c>
      <c r="AF119" s="36" t="n">
        <f aca="false">IF($W119="RECEITA_FINANCEIRA",$F119,0)</f>
        <v>0</v>
      </c>
      <c r="AG119" s="36" t="n">
        <f aca="false">IF($B119="",0,IF($I119="CONTA",$F119,0)-IF($G119="CONTA",$F119,0))</f>
        <v>0</v>
      </c>
      <c r="AH119" s="36" t="n">
        <f aca="false">IF($B119="",0,IF($G119="CARTAO",$F119,0)-IF($I119="CARTAO",$F119,0))</f>
        <v>0</v>
      </c>
      <c r="AI119" s="36" t="n">
        <f aca="false">IF($B119="",0,IF($I119="INVESTIMENTO",$F119,0)-IF($G119="INVESTIMENTO",$F119,0))</f>
        <v>0</v>
      </c>
      <c r="AJ119" s="35" t="str">
        <f aca="false">IF($B119="","",IF(NOT(ISNUMBER($F119)),"ERRO: valor nao numerico",IF($F119&lt;=0,"ERRO: valor deve ser maior que zero",IF(COUNTIF(MAP_TIPO,$D119)=0,"ERRO: tipo de operacao nao cadastrado",IF(COUNTIF(LST_STATUS,$E119)=0,"ERRO: status invalido",IF(AND($G119="EXTERNO",$I119="EXTERNO"),"ERRO: origem e destino externos",IF(AND($G119&lt;&gt;"EXTERNO",COUNTIFS(ENT_ID,$H119,ENT_TIPO,$G119)=0),"ERRO: origem inexistente",IF(AND($I119&lt;&gt;"EXTERNO",COUNTIFS(ENT_ID,$J119,ENT_TIPO,$I119)=0),"ERRO: destino inexistente",IF(AND($K119&lt;&gt;"",COUNTIF(CAT_ID,$K119)=0),"ERRO: categoria inexistente",IF(AND($L119&lt;&gt;"",COUNTIF(SUB_ID,$L119)=0),"ERRO: subcategoria inexistente",IF(AND($L119&lt;&gt;"",$K119&lt;&gt;"",IFERROR(INDEX(SUB_CATID,MATCH($L119,SUB_ID,0)),"")&lt;&gt;$K119),"ERRO: subcategoria nao pertence a categoria",IF(AND($O119&lt;&gt;"",COUNTIF(P_ID,$O119)=0),"ERRO: parcela inexistente",IF(AND($N119&lt;&gt;"",COUNTIF(CM_ID,$N119)=0),"ERRO: compromisso inexistente","OK")))))))))))))</f>
        <v/>
      </c>
      <c r="AK119" s="35" t="str">
        <f aca="false">IF($B119="","",IF(AND($N119="",$O119="",$P119="",$Q119="",$R119=""),"","VINCULADO: "&amp;TRIM(IF($N119&lt;&gt;"",$N119&amp;" ","")&amp;IF($O119&lt;&gt;"",$O119&amp;" ","")&amp;IF($P119&lt;&gt;"",$P119&amp;" ","")&amp;IF($Q119&lt;&gt;"",$Q119&amp;" ","")&amp;IF($R119&lt;&gt;"",$R119,""))))</f>
        <v/>
      </c>
    </row>
    <row r="120" customFormat="false" ht="15" hidden="false" customHeight="false" outlineLevel="0" collapsed="false">
      <c r="A120" s="30" t="str">
        <f aca="false">IF($B120="","","LAN-"&amp;TEXT(ROW()-4,"000000"))</f>
        <v/>
      </c>
      <c r="B120" s="31"/>
      <c r="C120" s="32"/>
      <c r="D120" s="32"/>
      <c r="E120" s="32"/>
      <c r="F120" s="33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4" t="str">
        <f aca="false">IF($B120="","",YEAR($B120))</f>
        <v/>
      </c>
      <c r="U120" s="34" t="str">
        <f aca="false">IF($B120="","",MONTH($B120))</f>
        <v/>
      </c>
      <c r="V120" s="34" t="str">
        <f aca="false">IF($B120="","",YEAR($B120)*100+MONTH($B120))</f>
        <v/>
      </c>
      <c r="W120" s="35" t="str">
        <f aca="false">IF($D120="","",IFERROR(INDEX(MAP_CLASS,MATCH($D120,MAP_TIPO,0)),"TIPO INVALIDO"))</f>
        <v/>
      </c>
      <c r="X120" s="35" t="str">
        <f aca="false">IF($K120="","",IFERROR(INDEX(CAT_NOME,MATCH($K120,CAT_ID,0)),"?"))</f>
        <v/>
      </c>
      <c r="Y120" s="35" t="str">
        <f aca="false">IF($L120="","",IFERROR(INDEX(SUB_NOME,MATCH($L120,SUB_ID,0)),"?"))</f>
        <v/>
      </c>
      <c r="Z120" s="35" t="str">
        <f aca="false">IF($G120="","",IF($G120="EXTERNO","(Externo)",IFERROR(INDEX(ENT_NOME,MATCH($H120,ENT_ID,0)),"?")))</f>
        <v/>
      </c>
      <c r="AA120" s="35" t="str">
        <f aca="false">IF($I120="","",IF($I120="EXTERNO","(Externo)",IFERROR(INDEX(ENT_NOME,MATCH($J120,ENT_ID,0)),"?")))</f>
        <v/>
      </c>
      <c r="AB120" s="36" t="n">
        <f aca="false">IF($B120="",0,IF(AND($I120="CONTA",$G120&lt;&gt;"CONTA"),$F120,0))</f>
        <v>0</v>
      </c>
      <c r="AC120" s="36" t="n">
        <f aca="false">IF($B120="",0,IF(AND($G120="CONTA",$I120&lt;&gt;"CONTA"),$F120,0))</f>
        <v>0</v>
      </c>
      <c r="AD120" s="36" t="n">
        <f aca="false">IF($W120="RECEITA",$F120,0)</f>
        <v>0</v>
      </c>
      <c r="AE120" s="36" t="n">
        <f aca="false">IF($W120="DESPESA",$F120,0)</f>
        <v>0</v>
      </c>
      <c r="AF120" s="36" t="n">
        <f aca="false">IF($W120="RECEITA_FINANCEIRA",$F120,0)</f>
        <v>0</v>
      </c>
      <c r="AG120" s="36" t="n">
        <f aca="false">IF($B120="",0,IF($I120="CONTA",$F120,0)-IF($G120="CONTA",$F120,0))</f>
        <v>0</v>
      </c>
      <c r="AH120" s="36" t="n">
        <f aca="false">IF($B120="",0,IF($G120="CARTAO",$F120,0)-IF($I120="CARTAO",$F120,0))</f>
        <v>0</v>
      </c>
      <c r="AI120" s="36" t="n">
        <f aca="false">IF($B120="",0,IF($I120="INVESTIMENTO",$F120,0)-IF($G120="INVESTIMENTO",$F120,0))</f>
        <v>0</v>
      </c>
      <c r="AJ120" s="35" t="str">
        <f aca="false">IF($B120="","",IF(NOT(ISNUMBER($F120)),"ERRO: valor nao numerico",IF($F120&lt;=0,"ERRO: valor deve ser maior que zero",IF(COUNTIF(MAP_TIPO,$D120)=0,"ERRO: tipo de operacao nao cadastrado",IF(COUNTIF(LST_STATUS,$E120)=0,"ERRO: status invalido",IF(AND($G120="EXTERNO",$I120="EXTERNO"),"ERRO: origem e destino externos",IF(AND($G120&lt;&gt;"EXTERNO",COUNTIFS(ENT_ID,$H120,ENT_TIPO,$G120)=0),"ERRO: origem inexistente",IF(AND($I120&lt;&gt;"EXTERNO",COUNTIFS(ENT_ID,$J120,ENT_TIPO,$I120)=0),"ERRO: destino inexistente",IF(AND($K120&lt;&gt;"",COUNTIF(CAT_ID,$K120)=0),"ERRO: categoria inexistente",IF(AND($L120&lt;&gt;"",COUNTIF(SUB_ID,$L120)=0),"ERRO: subcategoria inexistente",IF(AND($L120&lt;&gt;"",$K120&lt;&gt;"",IFERROR(INDEX(SUB_CATID,MATCH($L120,SUB_ID,0)),"")&lt;&gt;$K120),"ERRO: subcategoria nao pertence a categoria",IF(AND($O120&lt;&gt;"",COUNTIF(P_ID,$O120)=0),"ERRO: parcela inexistente",IF(AND($N120&lt;&gt;"",COUNTIF(CM_ID,$N120)=0),"ERRO: compromisso inexistente","OK")))))))))))))</f>
        <v/>
      </c>
      <c r="AK120" s="35" t="str">
        <f aca="false">IF($B120="","",IF(AND($N120="",$O120="",$P120="",$Q120="",$R120=""),"","VINCULADO: "&amp;TRIM(IF($N120&lt;&gt;"",$N120&amp;" ","")&amp;IF($O120&lt;&gt;"",$O120&amp;" ","")&amp;IF($P120&lt;&gt;"",$P120&amp;" ","")&amp;IF($Q120&lt;&gt;"",$Q120&amp;" ","")&amp;IF($R120&lt;&gt;"",$R120,""))))</f>
        <v/>
      </c>
    </row>
    <row r="121" customFormat="false" ht="15" hidden="false" customHeight="false" outlineLevel="0" collapsed="false">
      <c r="A121" s="30" t="str">
        <f aca="false">IF($B121="","","LAN-"&amp;TEXT(ROW()-4,"000000"))</f>
        <v/>
      </c>
      <c r="B121" s="31"/>
      <c r="C121" s="32"/>
      <c r="D121" s="32"/>
      <c r="E121" s="32"/>
      <c r="F121" s="33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4" t="str">
        <f aca="false">IF($B121="","",YEAR($B121))</f>
        <v/>
      </c>
      <c r="U121" s="34" t="str">
        <f aca="false">IF($B121="","",MONTH($B121))</f>
        <v/>
      </c>
      <c r="V121" s="34" t="str">
        <f aca="false">IF($B121="","",YEAR($B121)*100+MONTH($B121))</f>
        <v/>
      </c>
      <c r="W121" s="35" t="str">
        <f aca="false">IF($D121="","",IFERROR(INDEX(MAP_CLASS,MATCH($D121,MAP_TIPO,0)),"TIPO INVALIDO"))</f>
        <v/>
      </c>
      <c r="X121" s="35" t="str">
        <f aca="false">IF($K121="","",IFERROR(INDEX(CAT_NOME,MATCH($K121,CAT_ID,0)),"?"))</f>
        <v/>
      </c>
      <c r="Y121" s="35" t="str">
        <f aca="false">IF($L121="","",IFERROR(INDEX(SUB_NOME,MATCH($L121,SUB_ID,0)),"?"))</f>
        <v/>
      </c>
      <c r="Z121" s="35" t="str">
        <f aca="false">IF($G121="","",IF($G121="EXTERNO","(Externo)",IFERROR(INDEX(ENT_NOME,MATCH($H121,ENT_ID,0)),"?")))</f>
        <v/>
      </c>
      <c r="AA121" s="35" t="str">
        <f aca="false">IF($I121="","",IF($I121="EXTERNO","(Externo)",IFERROR(INDEX(ENT_NOME,MATCH($J121,ENT_ID,0)),"?")))</f>
        <v/>
      </c>
      <c r="AB121" s="36" t="n">
        <f aca="false">IF($B121="",0,IF(AND($I121="CONTA",$G121&lt;&gt;"CONTA"),$F121,0))</f>
        <v>0</v>
      </c>
      <c r="AC121" s="36" t="n">
        <f aca="false">IF($B121="",0,IF(AND($G121="CONTA",$I121&lt;&gt;"CONTA"),$F121,0))</f>
        <v>0</v>
      </c>
      <c r="AD121" s="36" t="n">
        <f aca="false">IF($W121="RECEITA",$F121,0)</f>
        <v>0</v>
      </c>
      <c r="AE121" s="36" t="n">
        <f aca="false">IF($W121="DESPESA",$F121,0)</f>
        <v>0</v>
      </c>
      <c r="AF121" s="36" t="n">
        <f aca="false">IF($W121="RECEITA_FINANCEIRA",$F121,0)</f>
        <v>0</v>
      </c>
      <c r="AG121" s="36" t="n">
        <f aca="false">IF($B121="",0,IF($I121="CONTA",$F121,0)-IF($G121="CONTA",$F121,0))</f>
        <v>0</v>
      </c>
      <c r="AH121" s="36" t="n">
        <f aca="false">IF($B121="",0,IF($G121="CARTAO",$F121,0)-IF($I121="CARTAO",$F121,0))</f>
        <v>0</v>
      </c>
      <c r="AI121" s="36" t="n">
        <f aca="false">IF($B121="",0,IF($I121="INVESTIMENTO",$F121,0)-IF($G121="INVESTIMENTO",$F121,0))</f>
        <v>0</v>
      </c>
      <c r="AJ121" s="35" t="str">
        <f aca="false">IF($B121="","",IF(NOT(ISNUMBER($F121)),"ERRO: valor nao numerico",IF($F121&lt;=0,"ERRO: valor deve ser maior que zero",IF(COUNTIF(MAP_TIPO,$D121)=0,"ERRO: tipo de operacao nao cadastrado",IF(COUNTIF(LST_STATUS,$E121)=0,"ERRO: status invalido",IF(AND($G121="EXTERNO",$I121="EXTERNO"),"ERRO: origem e destino externos",IF(AND($G121&lt;&gt;"EXTERNO",COUNTIFS(ENT_ID,$H121,ENT_TIPO,$G121)=0),"ERRO: origem inexistente",IF(AND($I121&lt;&gt;"EXTERNO",COUNTIFS(ENT_ID,$J121,ENT_TIPO,$I121)=0),"ERRO: destino inexistente",IF(AND($K121&lt;&gt;"",COUNTIF(CAT_ID,$K121)=0),"ERRO: categoria inexistente",IF(AND($L121&lt;&gt;"",COUNTIF(SUB_ID,$L121)=0),"ERRO: subcategoria inexistente",IF(AND($L121&lt;&gt;"",$K121&lt;&gt;"",IFERROR(INDEX(SUB_CATID,MATCH($L121,SUB_ID,0)),"")&lt;&gt;$K121),"ERRO: subcategoria nao pertence a categoria",IF(AND($O121&lt;&gt;"",COUNTIF(P_ID,$O121)=0),"ERRO: parcela inexistente",IF(AND($N121&lt;&gt;"",COUNTIF(CM_ID,$N121)=0),"ERRO: compromisso inexistente","OK")))))))))))))</f>
        <v/>
      </c>
      <c r="AK121" s="35" t="str">
        <f aca="false">IF($B121="","",IF(AND($N121="",$O121="",$P121="",$Q121="",$R121=""),"","VINCULADO: "&amp;TRIM(IF($N121&lt;&gt;"",$N121&amp;" ","")&amp;IF($O121&lt;&gt;"",$O121&amp;" ","")&amp;IF($P121&lt;&gt;"",$P121&amp;" ","")&amp;IF($Q121&lt;&gt;"",$Q121&amp;" ","")&amp;IF($R121&lt;&gt;"",$R121,""))))</f>
        <v/>
      </c>
    </row>
    <row r="122" customFormat="false" ht="15" hidden="false" customHeight="false" outlineLevel="0" collapsed="false">
      <c r="A122" s="30" t="str">
        <f aca="false">IF($B122="","","LAN-"&amp;TEXT(ROW()-4,"000000"))</f>
        <v/>
      </c>
      <c r="B122" s="31"/>
      <c r="C122" s="32"/>
      <c r="D122" s="32"/>
      <c r="E122" s="32"/>
      <c r="F122" s="33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4" t="str">
        <f aca="false">IF($B122="","",YEAR($B122))</f>
        <v/>
      </c>
      <c r="U122" s="34" t="str">
        <f aca="false">IF($B122="","",MONTH($B122))</f>
        <v/>
      </c>
      <c r="V122" s="34" t="str">
        <f aca="false">IF($B122="","",YEAR($B122)*100+MONTH($B122))</f>
        <v/>
      </c>
      <c r="W122" s="35" t="str">
        <f aca="false">IF($D122="","",IFERROR(INDEX(MAP_CLASS,MATCH($D122,MAP_TIPO,0)),"TIPO INVALIDO"))</f>
        <v/>
      </c>
      <c r="X122" s="35" t="str">
        <f aca="false">IF($K122="","",IFERROR(INDEX(CAT_NOME,MATCH($K122,CAT_ID,0)),"?"))</f>
        <v/>
      </c>
      <c r="Y122" s="35" t="str">
        <f aca="false">IF($L122="","",IFERROR(INDEX(SUB_NOME,MATCH($L122,SUB_ID,0)),"?"))</f>
        <v/>
      </c>
      <c r="Z122" s="35" t="str">
        <f aca="false">IF($G122="","",IF($G122="EXTERNO","(Externo)",IFERROR(INDEX(ENT_NOME,MATCH($H122,ENT_ID,0)),"?")))</f>
        <v/>
      </c>
      <c r="AA122" s="35" t="str">
        <f aca="false">IF($I122="","",IF($I122="EXTERNO","(Externo)",IFERROR(INDEX(ENT_NOME,MATCH($J122,ENT_ID,0)),"?")))</f>
        <v/>
      </c>
      <c r="AB122" s="36" t="n">
        <f aca="false">IF($B122="",0,IF(AND($I122="CONTA",$G122&lt;&gt;"CONTA"),$F122,0))</f>
        <v>0</v>
      </c>
      <c r="AC122" s="36" t="n">
        <f aca="false">IF($B122="",0,IF(AND($G122="CONTA",$I122&lt;&gt;"CONTA"),$F122,0))</f>
        <v>0</v>
      </c>
      <c r="AD122" s="36" t="n">
        <f aca="false">IF($W122="RECEITA",$F122,0)</f>
        <v>0</v>
      </c>
      <c r="AE122" s="36" t="n">
        <f aca="false">IF($W122="DESPESA",$F122,0)</f>
        <v>0</v>
      </c>
      <c r="AF122" s="36" t="n">
        <f aca="false">IF($W122="RECEITA_FINANCEIRA",$F122,0)</f>
        <v>0</v>
      </c>
      <c r="AG122" s="36" t="n">
        <f aca="false">IF($B122="",0,IF($I122="CONTA",$F122,0)-IF($G122="CONTA",$F122,0))</f>
        <v>0</v>
      </c>
      <c r="AH122" s="36" t="n">
        <f aca="false">IF($B122="",0,IF($G122="CARTAO",$F122,0)-IF($I122="CARTAO",$F122,0))</f>
        <v>0</v>
      </c>
      <c r="AI122" s="36" t="n">
        <f aca="false">IF($B122="",0,IF($I122="INVESTIMENTO",$F122,0)-IF($G122="INVESTIMENTO",$F122,0))</f>
        <v>0</v>
      </c>
      <c r="AJ122" s="35" t="str">
        <f aca="false">IF($B122="","",IF(NOT(ISNUMBER($F122)),"ERRO: valor nao numerico",IF($F122&lt;=0,"ERRO: valor deve ser maior que zero",IF(COUNTIF(MAP_TIPO,$D122)=0,"ERRO: tipo de operacao nao cadastrado",IF(COUNTIF(LST_STATUS,$E122)=0,"ERRO: status invalido",IF(AND($G122="EXTERNO",$I122="EXTERNO"),"ERRO: origem e destino externos",IF(AND($G122&lt;&gt;"EXTERNO",COUNTIFS(ENT_ID,$H122,ENT_TIPO,$G122)=0),"ERRO: origem inexistente",IF(AND($I122&lt;&gt;"EXTERNO",COUNTIFS(ENT_ID,$J122,ENT_TIPO,$I122)=0),"ERRO: destino inexistente",IF(AND($K122&lt;&gt;"",COUNTIF(CAT_ID,$K122)=0),"ERRO: categoria inexistente",IF(AND($L122&lt;&gt;"",COUNTIF(SUB_ID,$L122)=0),"ERRO: subcategoria inexistente",IF(AND($L122&lt;&gt;"",$K122&lt;&gt;"",IFERROR(INDEX(SUB_CATID,MATCH($L122,SUB_ID,0)),"")&lt;&gt;$K122),"ERRO: subcategoria nao pertence a categoria",IF(AND($O122&lt;&gt;"",COUNTIF(P_ID,$O122)=0),"ERRO: parcela inexistente",IF(AND($N122&lt;&gt;"",COUNTIF(CM_ID,$N122)=0),"ERRO: compromisso inexistente","OK")))))))))))))</f>
        <v/>
      </c>
      <c r="AK122" s="35" t="str">
        <f aca="false">IF($B122="","",IF(AND($N122="",$O122="",$P122="",$Q122="",$R122=""),"","VINCULADO: "&amp;TRIM(IF($N122&lt;&gt;"",$N122&amp;" ","")&amp;IF($O122&lt;&gt;"",$O122&amp;" ","")&amp;IF($P122&lt;&gt;"",$P122&amp;" ","")&amp;IF($Q122&lt;&gt;"",$Q122&amp;" ","")&amp;IF($R122&lt;&gt;"",$R122,""))))</f>
        <v/>
      </c>
    </row>
    <row r="123" customFormat="false" ht="15" hidden="false" customHeight="false" outlineLevel="0" collapsed="false">
      <c r="A123" s="30" t="str">
        <f aca="false">IF($B123="","","LAN-"&amp;TEXT(ROW()-4,"000000"))</f>
        <v/>
      </c>
      <c r="B123" s="31"/>
      <c r="C123" s="32"/>
      <c r="D123" s="32"/>
      <c r="E123" s="32"/>
      <c r="F123" s="33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4" t="str">
        <f aca="false">IF($B123="","",YEAR($B123))</f>
        <v/>
      </c>
      <c r="U123" s="34" t="str">
        <f aca="false">IF($B123="","",MONTH($B123))</f>
        <v/>
      </c>
      <c r="V123" s="34" t="str">
        <f aca="false">IF($B123="","",YEAR($B123)*100+MONTH($B123))</f>
        <v/>
      </c>
      <c r="W123" s="35" t="str">
        <f aca="false">IF($D123="","",IFERROR(INDEX(MAP_CLASS,MATCH($D123,MAP_TIPO,0)),"TIPO INVALIDO"))</f>
        <v/>
      </c>
      <c r="X123" s="35" t="str">
        <f aca="false">IF($K123="","",IFERROR(INDEX(CAT_NOME,MATCH($K123,CAT_ID,0)),"?"))</f>
        <v/>
      </c>
      <c r="Y123" s="35" t="str">
        <f aca="false">IF($L123="","",IFERROR(INDEX(SUB_NOME,MATCH($L123,SUB_ID,0)),"?"))</f>
        <v/>
      </c>
      <c r="Z123" s="35" t="str">
        <f aca="false">IF($G123="","",IF($G123="EXTERNO","(Externo)",IFERROR(INDEX(ENT_NOME,MATCH($H123,ENT_ID,0)),"?")))</f>
        <v/>
      </c>
      <c r="AA123" s="35" t="str">
        <f aca="false">IF($I123="","",IF($I123="EXTERNO","(Externo)",IFERROR(INDEX(ENT_NOME,MATCH($J123,ENT_ID,0)),"?")))</f>
        <v/>
      </c>
      <c r="AB123" s="36" t="n">
        <f aca="false">IF($B123="",0,IF(AND($I123="CONTA",$G123&lt;&gt;"CONTA"),$F123,0))</f>
        <v>0</v>
      </c>
      <c r="AC123" s="36" t="n">
        <f aca="false">IF($B123="",0,IF(AND($G123="CONTA",$I123&lt;&gt;"CONTA"),$F123,0))</f>
        <v>0</v>
      </c>
      <c r="AD123" s="36" t="n">
        <f aca="false">IF($W123="RECEITA",$F123,0)</f>
        <v>0</v>
      </c>
      <c r="AE123" s="36" t="n">
        <f aca="false">IF($W123="DESPESA",$F123,0)</f>
        <v>0</v>
      </c>
      <c r="AF123" s="36" t="n">
        <f aca="false">IF($W123="RECEITA_FINANCEIRA",$F123,0)</f>
        <v>0</v>
      </c>
      <c r="AG123" s="36" t="n">
        <f aca="false">IF($B123="",0,IF($I123="CONTA",$F123,0)-IF($G123="CONTA",$F123,0))</f>
        <v>0</v>
      </c>
      <c r="AH123" s="36" t="n">
        <f aca="false">IF($B123="",0,IF($G123="CARTAO",$F123,0)-IF($I123="CARTAO",$F123,0))</f>
        <v>0</v>
      </c>
      <c r="AI123" s="36" t="n">
        <f aca="false">IF($B123="",0,IF($I123="INVESTIMENTO",$F123,0)-IF($G123="INVESTIMENTO",$F123,0))</f>
        <v>0</v>
      </c>
      <c r="AJ123" s="35" t="str">
        <f aca="false">IF($B123="","",IF(NOT(ISNUMBER($F123)),"ERRO: valor nao numerico",IF($F123&lt;=0,"ERRO: valor deve ser maior que zero",IF(COUNTIF(MAP_TIPO,$D123)=0,"ERRO: tipo de operacao nao cadastrado",IF(COUNTIF(LST_STATUS,$E123)=0,"ERRO: status invalido",IF(AND($G123="EXTERNO",$I123="EXTERNO"),"ERRO: origem e destino externos",IF(AND($G123&lt;&gt;"EXTERNO",COUNTIFS(ENT_ID,$H123,ENT_TIPO,$G123)=0),"ERRO: origem inexistente",IF(AND($I123&lt;&gt;"EXTERNO",COUNTIFS(ENT_ID,$J123,ENT_TIPO,$I123)=0),"ERRO: destino inexistente",IF(AND($K123&lt;&gt;"",COUNTIF(CAT_ID,$K123)=0),"ERRO: categoria inexistente",IF(AND($L123&lt;&gt;"",COUNTIF(SUB_ID,$L123)=0),"ERRO: subcategoria inexistente",IF(AND($L123&lt;&gt;"",$K123&lt;&gt;"",IFERROR(INDEX(SUB_CATID,MATCH($L123,SUB_ID,0)),"")&lt;&gt;$K123),"ERRO: subcategoria nao pertence a categoria",IF(AND($O123&lt;&gt;"",COUNTIF(P_ID,$O123)=0),"ERRO: parcela inexistente",IF(AND($N123&lt;&gt;"",COUNTIF(CM_ID,$N123)=0),"ERRO: compromisso inexistente","OK")))))))))))))</f>
        <v/>
      </c>
      <c r="AK123" s="35" t="str">
        <f aca="false">IF($B123="","",IF(AND($N123="",$O123="",$P123="",$Q123="",$R123=""),"","VINCULADO: "&amp;TRIM(IF($N123&lt;&gt;"",$N123&amp;" ","")&amp;IF($O123&lt;&gt;"",$O123&amp;" ","")&amp;IF($P123&lt;&gt;"",$P123&amp;" ","")&amp;IF($Q123&lt;&gt;"",$Q123&amp;" ","")&amp;IF($R123&lt;&gt;"",$R123,""))))</f>
        <v/>
      </c>
    </row>
    <row r="124" customFormat="false" ht="15" hidden="false" customHeight="false" outlineLevel="0" collapsed="false">
      <c r="A124" s="30" t="str">
        <f aca="false">IF($B124="","","LAN-"&amp;TEXT(ROW()-4,"000000"))</f>
        <v/>
      </c>
      <c r="B124" s="31"/>
      <c r="C124" s="32"/>
      <c r="D124" s="32"/>
      <c r="E124" s="32"/>
      <c r="F124" s="33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4" t="str">
        <f aca="false">IF($B124="","",YEAR($B124))</f>
        <v/>
      </c>
      <c r="U124" s="34" t="str">
        <f aca="false">IF($B124="","",MONTH($B124))</f>
        <v/>
      </c>
      <c r="V124" s="34" t="str">
        <f aca="false">IF($B124="","",YEAR($B124)*100+MONTH($B124))</f>
        <v/>
      </c>
      <c r="W124" s="35" t="str">
        <f aca="false">IF($D124="","",IFERROR(INDEX(MAP_CLASS,MATCH($D124,MAP_TIPO,0)),"TIPO INVALIDO"))</f>
        <v/>
      </c>
      <c r="X124" s="35" t="str">
        <f aca="false">IF($K124="","",IFERROR(INDEX(CAT_NOME,MATCH($K124,CAT_ID,0)),"?"))</f>
        <v/>
      </c>
      <c r="Y124" s="35" t="str">
        <f aca="false">IF($L124="","",IFERROR(INDEX(SUB_NOME,MATCH($L124,SUB_ID,0)),"?"))</f>
        <v/>
      </c>
      <c r="Z124" s="35" t="str">
        <f aca="false">IF($G124="","",IF($G124="EXTERNO","(Externo)",IFERROR(INDEX(ENT_NOME,MATCH($H124,ENT_ID,0)),"?")))</f>
        <v/>
      </c>
      <c r="AA124" s="35" t="str">
        <f aca="false">IF($I124="","",IF($I124="EXTERNO","(Externo)",IFERROR(INDEX(ENT_NOME,MATCH($J124,ENT_ID,0)),"?")))</f>
        <v/>
      </c>
      <c r="AB124" s="36" t="n">
        <f aca="false">IF($B124="",0,IF(AND($I124="CONTA",$G124&lt;&gt;"CONTA"),$F124,0))</f>
        <v>0</v>
      </c>
      <c r="AC124" s="36" t="n">
        <f aca="false">IF($B124="",0,IF(AND($G124="CONTA",$I124&lt;&gt;"CONTA"),$F124,0))</f>
        <v>0</v>
      </c>
      <c r="AD124" s="36" t="n">
        <f aca="false">IF($W124="RECEITA",$F124,0)</f>
        <v>0</v>
      </c>
      <c r="AE124" s="36" t="n">
        <f aca="false">IF($W124="DESPESA",$F124,0)</f>
        <v>0</v>
      </c>
      <c r="AF124" s="36" t="n">
        <f aca="false">IF($W124="RECEITA_FINANCEIRA",$F124,0)</f>
        <v>0</v>
      </c>
      <c r="AG124" s="36" t="n">
        <f aca="false">IF($B124="",0,IF($I124="CONTA",$F124,0)-IF($G124="CONTA",$F124,0))</f>
        <v>0</v>
      </c>
      <c r="AH124" s="36" t="n">
        <f aca="false">IF($B124="",0,IF($G124="CARTAO",$F124,0)-IF($I124="CARTAO",$F124,0))</f>
        <v>0</v>
      </c>
      <c r="AI124" s="36" t="n">
        <f aca="false">IF($B124="",0,IF($I124="INVESTIMENTO",$F124,0)-IF($G124="INVESTIMENTO",$F124,0))</f>
        <v>0</v>
      </c>
      <c r="AJ124" s="35" t="str">
        <f aca="false">IF($B124="","",IF(NOT(ISNUMBER($F124)),"ERRO: valor nao numerico",IF($F124&lt;=0,"ERRO: valor deve ser maior que zero",IF(COUNTIF(MAP_TIPO,$D124)=0,"ERRO: tipo de operacao nao cadastrado",IF(COUNTIF(LST_STATUS,$E124)=0,"ERRO: status invalido",IF(AND($G124="EXTERNO",$I124="EXTERNO"),"ERRO: origem e destino externos",IF(AND($G124&lt;&gt;"EXTERNO",COUNTIFS(ENT_ID,$H124,ENT_TIPO,$G124)=0),"ERRO: origem inexistente",IF(AND($I124&lt;&gt;"EXTERNO",COUNTIFS(ENT_ID,$J124,ENT_TIPO,$I124)=0),"ERRO: destino inexistente",IF(AND($K124&lt;&gt;"",COUNTIF(CAT_ID,$K124)=0),"ERRO: categoria inexistente",IF(AND($L124&lt;&gt;"",COUNTIF(SUB_ID,$L124)=0),"ERRO: subcategoria inexistente",IF(AND($L124&lt;&gt;"",$K124&lt;&gt;"",IFERROR(INDEX(SUB_CATID,MATCH($L124,SUB_ID,0)),"")&lt;&gt;$K124),"ERRO: subcategoria nao pertence a categoria",IF(AND($O124&lt;&gt;"",COUNTIF(P_ID,$O124)=0),"ERRO: parcela inexistente",IF(AND($N124&lt;&gt;"",COUNTIF(CM_ID,$N124)=0),"ERRO: compromisso inexistente","OK")))))))))))))</f>
        <v/>
      </c>
      <c r="AK124" s="35" t="str">
        <f aca="false">IF($B124="","",IF(AND($N124="",$O124="",$P124="",$Q124="",$R124=""),"","VINCULADO: "&amp;TRIM(IF($N124&lt;&gt;"",$N124&amp;" ","")&amp;IF($O124&lt;&gt;"",$O124&amp;" ","")&amp;IF($P124&lt;&gt;"",$P124&amp;" ","")&amp;IF($Q124&lt;&gt;"",$Q124&amp;" ","")&amp;IF($R124&lt;&gt;"",$R124,""))))</f>
        <v/>
      </c>
    </row>
    <row r="125" customFormat="false" ht="15" hidden="false" customHeight="false" outlineLevel="0" collapsed="false">
      <c r="A125" s="30" t="str">
        <f aca="false">IF($B125="","","LAN-"&amp;TEXT(ROW()-4,"000000"))</f>
        <v/>
      </c>
      <c r="B125" s="31"/>
      <c r="C125" s="32"/>
      <c r="D125" s="32"/>
      <c r="E125" s="32"/>
      <c r="F125" s="33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4" t="str">
        <f aca="false">IF($B125="","",YEAR($B125))</f>
        <v/>
      </c>
      <c r="U125" s="34" t="str">
        <f aca="false">IF($B125="","",MONTH($B125))</f>
        <v/>
      </c>
      <c r="V125" s="34" t="str">
        <f aca="false">IF($B125="","",YEAR($B125)*100+MONTH($B125))</f>
        <v/>
      </c>
      <c r="W125" s="35" t="str">
        <f aca="false">IF($D125="","",IFERROR(INDEX(MAP_CLASS,MATCH($D125,MAP_TIPO,0)),"TIPO INVALIDO"))</f>
        <v/>
      </c>
      <c r="X125" s="35" t="str">
        <f aca="false">IF($K125="","",IFERROR(INDEX(CAT_NOME,MATCH($K125,CAT_ID,0)),"?"))</f>
        <v/>
      </c>
      <c r="Y125" s="35" t="str">
        <f aca="false">IF($L125="","",IFERROR(INDEX(SUB_NOME,MATCH($L125,SUB_ID,0)),"?"))</f>
        <v/>
      </c>
      <c r="Z125" s="35" t="str">
        <f aca="false">IF($G125="","",IF($G125="EXTERNO","(Externo)",IFERROR(INDEX(ENT_NOME,MATCH($H125,ENT_ID,0)),"?")))</f>
        <v/>
      </c>
      <c r="AA125" s="35" t="str">
        <f aca="false">IF($I125="","",IF($I125="EXTERNO","(Externo)",IFERROR(INDEX(ENT_NOME,MATCH($J125,ENT_ID,0)),"?")))</f>
        <v/>
      </c>
      <c r="AB125" s="36" t="n">
        <f aca="false">IF($B125="",0,IF(AND($I125="CONTA",$G125&lt;&gt;"CONTA"),$F125,0))</f>
        <v>0</v>
      </c>
      <c r="AC125" s="36" t="n">
        <f aca="false">IF($B125="",0,IF(AND($G125="CONTA",$I125&lt;&gt;"CONTA"),$F125,0))</f>
        <v>0</v>
      </c>
      <c r="AD125" s="36" t="n">
        <f aca="false">IF($W125="RECEITA",$F125,0)</f>
        <v>0</v>
      </c>
      <c r="AE125" s="36" t="n">
        <f aca="false">IF($W125="DESPESA",$F125,0)</f>
        <v>0</v>
      </c>
      <c r="AF125" s="36" t="n">
        <f aca="false">IF($W125="RECEITA_FINANCEIRA",$F125,0)</f>
        <v>0</v>
      </c>
      <c r="AG125" s="36" t="n">
        <f aca="false">IF($B125="",0,IF($I125="CONTA",$F125,0)-IF($G125="CONTA",$F125,0))</f>
        <v>0</v>
      </c>
      <c r="AH125" s="36" t="n">
        <f aca="false">IF($B125="",0,IF($G125="CARTAO",$F125,0)-IF($I125="CARTAO",$F125,0))</f>
        <v>0</v>
      </c>
      <c r="AI125" s="36" t="n">
        <f aca="false">IF($B125="",0,IF($I125="INVESTIMENTO",$F125,0)-IF($G125="INVESTIMENTO",$F125,0))</f>
        <v>0</v>
      </c>
      <c r="AJ125" s="35" t="str">
        <f aca="false">IF($B125="","",IF(NOT(ISNUMBER($F125)),"ERRO: valor nao numerico",IF($F125&lt;=0,"ERRO: valor deve ser maior que zero",IF(COUNTIF(MAP_TIPO,$D125)=0,"ERRO: tipo de operacao nao cadastrado",IF(COUNTIF(LST_STATUS,$E125)=0,"ERRO: status invalido",IF(AND($G125="EXTERNO",$I125="EXTERNO"),"ERRO: origem e destino externos",IF(AND($G125&lt;&gt;"EXTERNO",COUNTIFS(ENT_ID,$H125,ENT_TIPO,$G125)=0),"ERRO: origem inexistente",IF(AND($I125&lt;&gt;"EXTERNO",COUNTIFS(ENT_ID,$J125,ENT_TIPO,$I125)=0),"ERRO: destino inexistente",IF(AND($K125&lt;&gt;"",COUNTIF(CAT_ID,$K125)=0),"ERRO: categoria inexistente",IF(AND($L125&lt;&gt;"",COUNTIF(SUB_ID,$L125)=0),"ERRO: subcategoria inexistente",IF(AND($L125&lt;&gt;"",$K125&lt;&gt;"",IFERROR(INDEX(SUB_CATID,MATCH($L125,SUB_ID,0)),"")&lt;&gt;$K125),"ERRO: subcategoria nao pertence a categoria",IF(AND($O125&lt;&gt;"",COUNTIF(P_ID,$O125)=0),"ERRO: parcela inexistente",IF(AND($N125&lt;&gt;"",COUNTIF(CM_ID,$N125)=0),"ERRO: compromisso inexistente","OK")))))))))))))</f>
        <v/>
      </c>
      <c r="AK125" s="35" t="str">
        <f aca="false">IF($B125="","",IF(AND($N125="",$O125="",$P125="",$Q125="",$R125=""),"","VINCULADO: "&amp;TRIM(IF($N125&lt;&gt;"",$N125&amp;" ","")&amp;IF($O125&lt;&gt;"",$O125&amp;" ","")&amp;IF($P125&lt;&gt;"",$P125&amp;" ","")&amp;IF($Q125&lt;&gt;"",$Q125&amp;" ","")&amp;IF($R125&lt;&gt;"",$R125,""))))</f>
        <v/>
      </c>
    </row>
    <row r="126" customFormat="false" ht="15" hidden="false" customHeight="false" outlineLevel="0" collapsed="false">
      <c r="A126" s="30" t="str">
        <f aca="false">IF($B126="","","LAN-"&amp;TEXT(ROW()-4,"000000"))</f>
        <v/>
      </c>
      <c r="B126" s="31"/>
      <c r="C126" s="32"/>
      <c r="D126" s="32"/>
      <c r="E126" s="32"/>
      <c r="F126" s="33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4" t="str">
        <f aca="false">IF($B126="","",YEAR($B126))</f>
        <v/>
      </c>
      <c r="U126" s="34" t="str">
        <f aca="false">IF($B126="","",MONTH($B126))</f>
        <v/>
      </c>
      <c r="V126" s="34" t="str">
        <f aca="false">IF($B126="","",YEAR($B126)*100+MONTH($B126))</f>
        <v/>
      </c>
      <c r="W126" s="35" t="str">
        <f aca="false">IF($D126="","",IFERROR(INDEX(MAP_CLASS,MATCH($D126,MAP_TIPO,0)),"TIPO INVALIDO"))</f>
        <v/>
      </c>
      <c r="X126" s="35" t="str">
        <f aca="false">IF($K126="","",IFERROR(INDEX(CAT_NOME,MATCH($K126,CAT_ID,0)),"?"))</f>
        <v/>
      </c>
      <c r="Y126" s="35" t="str">
        <f aca="false">IF($L126="","",IFERROR(INDEX(SUB_NOME,MATCH($L126,SUB_ID,0)),"?"))</f>
        <v/>
      </c>
      <c r="Z126" s="35" t="str">
        <f aca="false">IF($G126="","",IF($G126="EXTERNO","(Externo)",IFERROR(INDEX(ENT_NOME,MATCH($H126,ENT_ID,0)),"?")))</f>
        <v/>
      </c>
      <c r="AA126" s="35" t="str">
        <f aca="false">IF($I126="","",IF($I126="EXTERNO","(Externo)",IFERROR(INDEX(ENT_NOME,MATCH($J126,ENT_ID,0)),"?")))</f>
        <v/>
      </c>
      <c r="AB126" s="36" t="n">
        <f aca="false">IF($B126="",0,IF(AND($I126="CONTA",$G126&lt;&gt;"CONTA"),$F126,0))</f>
        <v>0</v>
      </c>
      <c r="AC126" s="36" t="n">
        <f aca="false">IF($B126="",0,IF(AND($G126="CONTA",$I126&lt;&gt;"CONTA"),$F126,0))</f>
        <v>0</v>
      </c>
      <c r="AD126" s="36" t="n">
        <f aca="false">IF($W126="RECEITA",$F126,0)</f>
        <v>0</v>
      </c>
      <c r="AE126" s="36" t="n">
        <f aca="false">IF($W126="DESPESA",$F126,0)</f>
        <v>0</v>
      </c>
      <c r="AF126" s="36" t="n">
        <f aca="false">IF($W126="RECEITA_FINANCEIRA",$F126,0)</f>
        <v>0</v>
      </c>
      <c r="AG126" s="36" t="n">
        <f aca="false">IF($B126="",0,IF($I126="CONTA",$F126,0)-IF($G126="CONTA",$F126,0))</f>
        <v>0</v>
      </c>
      <c r="AH126" s="36" t="n">
        <f aca="false">IF($B126="",0,IF($G126="CARTAO",$F126,0)-IF($I126="CARTAO",$F126,0))</f>
        <v>0</v>
      </c>
      <c r="AI126" s="36" t="n">
        <f aca="false">IF($B126="",0,IF($I126="INVESTIMENTO",$F126,0)-IF($G126="INVESTIMENTO",$F126,0))</f>
        <v>0</v>
      </c>
      <c r="AJ126" s="35" t="str">
        <f aca="false">IF($B126="","",IF(NOT(ISNUMBER($F126)),"ERRO: valor nao numerico",IF($F126&lt;=0,"ERRO: valor deve ser maior que zero",IF(COUNTIF(MAP_TIPO,$D126)=0,"ERRO: tipo de operacao nao cadastrado",IF(COUNTIF(LST_STATUS,$E126)=0,"ERRO: status invalido",IF(AND($G126="EXTERNO",$I126="EXTERNO"),"ERRO: origem e destino externos",IF(AND($G126&lt;&gt;"EXTERNO",COUNTIFS(ENT_ID,$H126,ENT_TIPO,$G126)=0),"ERRO: origem inexistente",IF(AND($I126&lt;&gt;"EXTERNO",COUNTIFS(ENT_ID,$J126,ENT_TIPO,$I126)=0),"ERRO: destino inexistente",IF(AND($K126&lt;&gt;"",COUNTIF(CAT_ID,$K126)=0),"ERRO: categoria inexistente",IF(AND($L126&lt;&gt;"",COUNTIF(SUB_ID,$L126)=0),"ERRO: subcategoria inexistente",IF(AND($L126&lt;&gt;"",$K126&lt;&gt;"",IFERROR(INDEX(SUB_CATID,MATCH($L126,SUB_ID,0)),"")&lt;&gt;$K126),"ERRO: subcategoria nao pertence a categoria",IF(AND($O126&lt;&gt;"",COUNTIF(P_ID,$O126)=0),"ERRO: parcela inexistente",IF(AND($N126&lt;&gt;"",COUNTIF(CM_ID,$N126)=0),"ERRO: compromisso inexistente","OK")))))))))))))</f>
        <v/>
      </c>
      <c r="AK126" s="35" t="str">
        <f aca="false">IF($B126="","",IF(AND($N126="",$O126="",$P126="",$Q126="",$R126=""),"","VINCULADO: "&amp;TRIM(IF($N126&lt;&gt;"",$N126&amp;" ","")&amp;IF($O126&lt;&gt;"",$O126&amp;" ","")&amp;IF($P126&lt;&gt;"",$P126&amp;" ","")&amp;IF($Q126&lt;&gt;"",$Q126&amp;" ","")&amp;IF($R126&lt;&gt;"",$R126,""))))</f>
        <v/>
      </c>
    </row>
    <row r="127" customFormat="false" ht="15" hidden="false" customHeight="false" outlineLevel="0" collapsed="false">
      <c r="A127" s="30" t="str">
        <f aca="false">IF($B127="","","LAN-"&amp;TEXT(ROW()-4,"000000"))</f>
        <v/>
      </c>
      <c r="B127" s="31"/>
      <c r="C127" s="32"/>
      <c r="D127" s="32"/>
      <c r="E127" s="32"/>
      <c r="F127" s="33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4" t="str">
        <f aca="false">IF($B127="","",YEAR($B127))</f>
        <v/>
      </c>
      <c r="U127" s="34" t="str">
        <f aca="false">IF($B127="","",MONTH($B127))</f>
        <v/>
      </c>
      <c r="V127" s="34" t="str">
        <f aca="false">IF($B127="","",YEAR($B127)*100+MONTH($B127))</f>
        <v/>
      </c>
      <c r="W127" s="35" t="str">
        <f aca="false">IF($D127="","",IFERROR(INDEX(MAP_CLASS,MATCH($D127,MAP_TIPO,0)),"TIPO INVALIDO"))</f>
        <v/>
      </c>
      <c r="X127" s="35" t="str">
        <f aca="false">IF($K127="","",IFERROR(INDEX(CAT_NOME,MATCH($K127,CAT_ID,0)),"?"))</f>
        <v/>
      </c>
      <c r="Y127" s="35" t="str">
        <f aca="false">IF($L127="","",IFERROR(INDEX(SUB_NOME,MATCH($L127,SUB_ID,0)),"?"))</f>
        <v/>
      </c>
      <c r="Z127" s="35" t="str">
        <f aca="false">IF($G127="","",IF($G127="EXTERNO","(Externo)",IFERROR(INDEX(ENT_NOME,MATCH($H127,ENT_ID,0)),"?")))</f>
        <v/>
      </c>
      <c r="AA127" s="35" t="str">
        <f aca="false">IF($I127="","",IF($I127="EXTERNO","(Externo)",IFERROR(INDEX(ENT_NOME,MATCH($J127,ENT_ID,0)),"?")))</f>
        <v/>
      </c>
      <c r="AB127" s="36" t="n">
        <f aca="false">IF($B127="",0,IF(AND($I127="CONTA",$G127&lt;&gt;"CONTA"),$F127,0))</f>
        <v>0</v>
      </c>
      <c r="AC127" s="36" t="n">
        <f aca="false">IF($B127="",0,IF(AND($G127="CONTA",$I127&lt;&gt;"CONTA"),$F127,0))</f>
        <v>0</v>
      </c>
      <c r="AD127" s="36" t="n">
        <f aca="false">IF($W127="RECEITA",$F127,0)</f>
        <v>0</v>
      </c>
      <c r="AE127" s="36" t="n">
        <f aca="false">IF($W127="DESPESA",$F127,0)</f>
        <v>0</v>
      </c>
      <c r="AF127" s="36" t="n">
        <f aca="false">IF($W127="RECEITA_FINANCEIRA",$F127,0)</f>
        <v>0</v>
      </c>
      <c r="AG127" s="36" t="n">
        <f aca="false">IF($B127="",0,IF($I127="CONTA",$F127,0)-IF($G127="CONTA",$F127,0))</f>
        <v>0</v>
      </c>
      <c r="AH127" s="36" t="n">
        <f aca="false">IF($B127="",0,IF($G127="CARTAO",$F127,0)-IF($I127="CARTAO",$F127,0))</f>
        <v>0</v>
      </c>
      <c r="AI127" s="36" t="n">
        <f aca="false">IF($B127="",0,IF($I127="INVESTIMENTO",$F127,0)-IF($G127="INVESTIMENTO",$F127,0))</f>
        <v>0</v>
      </c>
      <c r="AJ127" s="35" t="str">
        <f aca="false">IF($B127="","",IF(NOT(ISNUMBER($F127)),"ERRO: valor nao numerico",IF($F127&lt;=0,"ERRO: valor deve ser maior que zero",IF(COUNTIF(MAP_TIPO,$D127)=0,"ERRO: tipo de operacao nao cadastrado",IF(COUNTIF(LST_STATUS,$E127)=0,"ERRO: status invalido",IF(AND($G127="EXTERNO",$I127="EXTERNO"),"ERRO: origem e destino externos",IF(AND($G127&lt;&gt;"EXTERNO",COUNTIFS(ENT_ID,$H127,ENT_TIPO,$G127)=0),"ERRO: origem inexistente",IF(AND($I127&lt;&gt;"EXTERNO",COUNTIFS(ENT_ID,$J127,ENT_TIPO,$I127)=0),"ERRO: destino inexistente",IF(AND($K127&lt;&gt;"",COUNTIF(CAT_ID,$K127)=0),"ERRO: categoria inexistente",IF(AND($L127&lt;&gt;"",COUNTIF(SUB_ID,$L127)=0),"ERRO: subcategoria inexistente",IF(AND($L127&lt;&gt;"",$K127&lt;&gt;"",IFERROR(INDEX(SUB_CATID,MATCH($L127,SUB_ID,0)),"")&lt;&gt;$K127),"ERRO: subcategoria nao pertence a categoria",IF(AND($O127&lt;&gt;"",COUNTIF(P_ID,$O127)=0),"ERRO: parcela inexistente",IF(AND($N127&lt;&gt;"",COUNTIF(CM_ID,$N127)=0),"ERRO: compromisso inexistente","OK")))))))))))))</f>
        <v/>
      </c>
      <c r="AK127" s="35" t="str">
        <f aca="false">IF($B127="","",IF(AND($N127="",$O127="",$P127="",$Q127="",$R127=""),"","VINCULADO: "&amp;TRIM(IF($N127&lt;&gt;"",$N127&amp;" ","")&amp;IF($O127&lt;&gt;"",$O127&amp;" ","")&amp;IF($P127&lt;&gt;"",$P127&amp;" ","")&amp;IF($Q127&lt;&gt;"",$Q127&amp;" ","")&amp;IF($R127&lt;&gt;"",$R127,""))))</f>
        <v/>
      </c>
    </row>
    <row r="128" customFormat="false" ht="15" hidden="false" customHeight="false" outlineLevel="0" collapsed="false">
      <c r="A128" s="30" t="str">
        <f aca="false">IF($B128="","","LAN-"&amp;TEXT(ROW()-4,"000000"))</f>
        <v/>
      </c>
      <c r="B128" s="31"/>
      <c r="C128" s="32"/>
      <c r="D128" s="32"/>
      <c r="E128" s="32"/>
      <c r="F128" s="33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4" t="str">
        <f aca="false">IF($B128="","",YEAR($B128))</f>
        <v/>
      </c>
      <c r="U128" s="34" t="str">
        <f aca="false">IF($B128="","",MONTH($B128))</f>
        <v/>
      </c>
      <c r="V128" s="34" t="str">
        <f aca="false">IF($B128="","",YEAR($B128)*100+MONTH($B128))</f>
        <v/>
      </c>
      <c r="W128" s="35" t="str">
        <f aca="false">IF($D128="","",IFERROR(INDEX(MAP_CLASS,MATCH($D128,MAP_TIPO,0)),"TIPO INVALIDO"))</f>
        <v/>
      </c>
      <c r="X128" s="35" t="str">
        <f aca="false">IF($K128="","",IFERROR(INDEX(CAT_NOME,MATCH($K128,CAT_ID,0)),"?"))</f>
        <v/>
      </c>
      <c r="Y128" s="35" t="str">
        <f aca="false">IF($L128="","",IFERROR(INDEX(SUB_NOME,MATCH($L128,SUB_ID,0)),"?"))</f>
        <v/>
      </c>
      <c r="Z128" s="35" t="str">
        <f aca="false">IF($G128="","",IF($G128="EXTERNO","(Externo)",IFERROR(INDEX(ENT_NOME,MATCH($H128,ENT_ID,0)),"?")))</f>
        <v/>
      </c>
      <c r="AA128" s="35" t="str">
        <f aca="false">IF($I128="","",IF($I128="EXTERNO","(Externo)",IFERROR(INDEX(ENT_NOME,MATCH($J128,ENT_ID,0)),"?")))</f>
        <v/>
      </c>
      <c r="AB128" s="36" t="n">
        <f aca="false">IF($B128="",0,IF(AND($I128="CONTA",$G128&lt;&gt;"CONTA"),$F128,0))</f>
        <v>0</v>
      </c>
      <c r="AC128" s="36" t="n">
        <f aca="false">IF($B128="",0,IF(AND($G128="CONTA",$I128&lt;&gt;"CONTA"),$F128,0))</f>
        <v>0</v>
      </c>
      <c r="AD128" s="36" t="n">
        <f aca="false">IF($W128="RECEITA",$F128,0)</f>
        <v>0</v>
      </c>
      <c r="AE128" s="36" t="n">
        <f aca="false">IF($W128="DESPESA",$F128,0)</f>
        <v>0</v>
      </c>
      <c r="AF128" s="36" t="n">
        <f aca="false">IF($W128="RECEITA_FINANCEIRA",$F128,0)</f>
        <v>0</v>
      </c>
      <c r="AG128" s="36" t="n">
        <f aca="false">IF($B128="",0,IF($I128="CONTA",$F128,0)-IF($G128="CONTA",$F128,0))</f>
        <v>0</v>
      </c>
      <c r="AH128" s="36" t="n">
        <f aca="false">IF($B128="",0,IF($G128="CARTAO",$F128,0)-IF($I128="CARTAO",$F128,0))</f>
        <v>0</v>
      </c>
      <c r="AI128" s="36" t="n">
        <f aca="false">IF($B128="",0,IF($I128="INVESTIMENTO",$F128,0)-IF($G128="INVESTIMENTO",$F128,0))</f>
        <v>0</v>
      </c>
      <c r="AJ128" s="35" t="str">
        <f aca="false">IF($B128="","",IF(NOT(ISNUMBER($F128)),"ERRO: valor nao numerico",IF($F128&lt;=0,"ERRO: valor deve ser maior que zero",IF(COUNTIF(MAP_TIPO,$D128)=0,"ERRO: tipo de operacao nao cadastrado",IF(COUNTIF(LST_STATUS,$E128)=0,"ERRO: status invalido",IF(AND($G128="EXTERNO",$I128="EXTERNO"),"ERRO: origem e destino externos",IF(AND($G128&lt;&gt;"EXTERNO",COUNTIFS(ENT_ID,$H128,ENT_TIPO,$G128)=0),"ERRO: origem inexistente",IF(AND($I128&lt;&gt;"EXTERNO",COUNTIFS(ENT_ID,$J128,ENT_TIPO,$I128)=0),"ERRO: destino inexistente",IF(AND($K128&lt;&gt;"",COUNTIF(CAT_ID,$K128)=0),"ERRO: categoria inexistente",IF(AND($L128&lt;&gt;"",COUNTIF(SUB_ID,$L128)=0),"ERRO: subcategoria inexistente",IF(AND($L128&lt;&gt;"",$K128&lt;&gt;"",IFERROR(INDEX(SUB_CATID,MATCH($L128,SUB_ID,0)),"")&lt;&gt;$K128),"ERRO: subcategoria nao pertence a categoria",IF(AND($O128&lt;&gt;"",COUNTIF(P_ID,$O128)=0),"ERRO: parcela inexistente",IF(AND($N128&lt;&gt;"",COUNTIF(CM_ID,$N128)=0),"ERRO: compromisso inexistente","OK")))))))))))))</f>
        <v/>
      </c>
      <c r="AK128" s="35" t="str">
        <f aca="false">IF($B128="","",IF(AND($N128="",$O128="",$P128="",$Q128="",$R128=""),"","VINCULADO: "&amp;TRIM(IF($N128&lt;&gt;"",$N128&amp;" ","")&amp;IF($O128&lt;&gt;"",$O128&amp;" ","")&amp;IF($P128&lt;&gt;"",$P128&amp;" ","")&amp;IF($Q128&lt;&gt;"",$Q128&amp;" ","")&amp;IF($R128&lt;&gt;"",$R128,""))))</f>
        <v/>
      </c>
    </row>
    <row r="129" customFormat="false" ht="15" hidden="false" customHeight="false" outlineLevel="0" collapsed="false">
      <c r="A129" s="30" t="str">
        <f aca="false">IF($B129="","","LAN-"&amp;TEXT(ROW()-4,"000000"))</f>
        <v/>
      </c>
      <c r="B129" s="31"/>
      <c r="C129" s="32"/>
      <c r="D129" s="32"/>
      <c r="E129" s="32"/>
      <c r="F129" s="33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4" t="str">
        <f aca="false">IF($B129="","",YEAR($B129))</f>
        <v/>
      </c>
      <c r="U129" s="34" t="str">
        <f aca="false">IF($B129="","",MONTH($B129))</f>
        <v/>
      </c>
      <c r="V129" s="34" t="str">
        <f aca="false">IF($B129="","",YEAR($B129)*100+MONTH($B129))</f>
        <v/>
      </c>
      <c r="W129" s="35" t="str">
        <f aca="false">IF($D129="","",IFERROR(INDEX(MAP_CLASS,MATCH($D129,MAP_TIPO,0)),"TIPO INVALIDO"))</f>
        <v/>
      </c>
      <c r="X129" s="35" t="str">
        <f aca="false">IF($K129="","",IFERROR(INDEX(CAT_NOME,MATCH($K129,CAT_ID,0)),"?"))</f>
        <v/>
      </c>
      <c r="Y129" s="35" t="str">
        <f aca="false">IF($L129="","",IFERROR(INDEX(SUB_NOME,MATCH($L129,SUB_ID,0)),"?"))</f>
        <v/>
      </c>
      <c r="Z129" s="35" t="str">
        <f aca="false">IF($G129="","",IF($G129="EXTERNO","(Externo)",IFERROR(INDEX(ENT_NOME,MATCH($H129,ENT_ID,0)),"?")))</f>
        <v/>
      </c>
      <c r="AA129" s="35" t="str">
        <f aca="false">IF($I129="","",IF($I129="EXTERNO","(Externo)",IFERROR(INDEX(ENT_NOME,MATCH($J129,ENT_ID,0)),"?")))</f>
        <v/>
      </c>
      <c r="AB129" s="36" t="n">
        <f aca="false">IF($B129="",0,IF(AND($I129="CONTA",$G129&lt;&gt;"CONTA"),$F129,0))</f>
        <v>0</v>
      </c>
      <c r="AC129" s="36" t="n">
        <f aca="false">IF($B129="",0,IF(AND($G129="CONTA",$I129&lt;&gt;"CONTA"),$F129,0))</f>
        <v>0</v>
      </c>
      <c r="AD129" s="36" t="n">
        <f aca="false">IF($W129="RECEITA",$F129,0)</f>
        <v>0</v>
      </c>
      <c r="AE129" s="36" t="n">
        <f aca="false">IF($W129="DESPESA",$F129,0)</f>
        <v>0</v>
      </c>
      <c r="AF129" s="36" t="n">
        <f aca="false">IF($W129="RECEITA_FINANCEIRA",$F129,0)</f>
        <v>0</v>
      </c>
      <c r="AG129" s="36" t="n">
        <f aca="false">IF($B129="",0,IF($I129="CONTA",$F129,0)-IF($G129="CONTA",$F129,0))</f>
        <v>0</v>
      </c>
      <c r="AH129" s="36" t="n">
        <f aca="false">IF($B129="",0,IF($G129="CARTAO",$F129,0)-IF($I129="CARTAO",$F129,0))</f>
        <v>0</v>
      </c>
      <c r="AI129" s="36" t="n">
        <f aca="false">IF($B129="",0,IF($I129="INVESTIMENTO",$F129,0)-IF($G129="INVESTIMENTO",$F129,0))</f>
        <v>0</v>
      </c>
      <c r="AJ129" s="35" t="str">
        <f aca="false">IF($B129="","",IF(NOT(ISNUMBER($F129)),"ERRO: valor nao numerico",IF($F129&lt;=0,"ERRO: valor deve ser maior que zero",IF(COUNTIF(MAP_TIPO,$D129)=0,"ERRO: tipo de operacao nao cadastrado",IF(COUNTIF(LST_STATUS,$E129)=0,"ERRO: status invalido",IF(AND($G129="EXTERNO",$I129="EXTERNO"),"ERRO: origem e destino externos",IF(AND($G129&lt;&gt;"EXTERNO",COUNTIFS(ENT_ID,$H129,ENT_TIPO,$G129)=0),"ERRO: origem inexistente",IF(AND($I129&lt;&gt;"EXTERNO",COUNTIFS(ENT_ID,$J129,ENT_TIPO,$I129)=0),"ERRO: destino inexistente",IF(AND($K129&lt;&gt;"",COUNTIF(CAT_ID,$K129)=0),"ERRO: categoria inexistente",IF(AND($L129&lt;&gt;"",COUNTIF(SUB_ID,$L129)=0),"ERRO: subcategoria inexistente",IF(AND($L129&lt;&gt;"",$K129&lt;&gt;"",IFERROR(INDEX(SUB_CATID,MATCH($L129,SUB_ID,0)),"")&lt;&gt;$K129),"ERRO: subcategoria nao pertence a categoria",IF(AND($O129&lt;&gt;"",COUNTIF(P_ID,$O129)=0),"ERRO: parcela inexistente",IF(AND($N129&lt;&gt;"",COUNTIF(CM_ID,$N129)=0),"ERRO: compromisso inexistente","OK")))))))))))))</f>
        <v/>
      </c>
      <c r="AK129" s="35" t="str">
        <f aca="false">IF($B129="","",IF(AND($N129="",$O129="",$P129="",$Q129="",$R129=""),"","VINCULADO: "&amp;TRIM(IF($N129&lt;&gt;"",$N129&amp;" ","")&amp;IF($O129&lt;&gt;"",$O129&amp;" ","")&amp;IF($P129&lt;&gt;"",$P129&amp;" ","")&amp;IF($Q129&lt;&gt;"",$Q129&amp;" ","")&amp;IF($R129&lt;&gt;"",$R129,""))))</f>
        <v/>
      </c>
    </row>
    <row r="130" customFormat="false" ht="15" hidden="false" customHeight="false" outlineLevel="0" collapsed="false">
      <c r="A130" s="30" t="str">
        <f aca="false">IF($B130="","","LAN-"&amp;TEXT(ROW()-4,"000000"))</f>
        <v/>
      </c>
      <c r="B130" s="31"/>
      <c r="C130" s="32"/>
      <c r="D130" s="32"/>
      <c r="E130" s="32"/>
      <c r="F130" s="33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4" t="str">
        <f aca="false">IF($B130="","",YEAR($B130))</f>
        <v/>
      </c>
      <c r="U130" s="34" t="str">
        <f aca="false">IF($B130="","",MONTH($B130))</f>
        <v/>
      </c>
      <c r="V130" s="34" t="str">
        <f aca="false">IF($B130="","",YEAR($B130)*100+MONTH($B130))</f>
        <v/>
      </c>
      <c r="W130" s="35" t="str">
        <f aca="false">IF($D130="","",IFERROR(INDEX(MAP_CLASS,MATCH($D130,MAP_TIPO,0)),"TIPO INVALIDO"))</f>
        <v/>
      </c>
      <c r="X130" s="35" t="str">
        <f aca="false">IF($K130="","",IFERROR(INDEX(CAT_NOME,MATCH($K130,CAT_ID,0)),"?"))</f>
        <v/>
      </c>
      <c r="Y130" s="35" t="str">
        <f aca="false">IF($L130="","",IFERROR(INDEX(SUB_NOME,MATCH($L130,SUB_ID,0)),"?"))</f>
        <v/>
      </c>
      <c r="Z130" s="35" t="str">
        <f aca="false">IF($G130="","",IF($G130="EXTERNO","(Externo)",IFERROR(INDEX(ENT_NOME,MATCH($H130,ENT_ID,0)),"?")))</f>
        <v/>
      </c>
      <c r="AA130" s="35" t="str">
        <f aca="false">IF($I130="","",IF($I130="EXTERNO","(Externo)",IFERROR(INDEX(ENT_NOME,MATCH($J130,ENT_ID,0)),"?")))</f>
        <v/>
      </c>
      <c r="AB130" s="36" t="n">
        <f aca="false">IF($B130="",0,IF(AND($I130="CONTA",$G130&lt;&gt;"CONTA"),$F130,0))</f>
        <v>0</v>
      </c>
      <c r="AC130" s="36" t="n">
        <f aca="false">IF($B130="",0,IF(AND($G130="CONTA",$I130&lt;&gt;"CONTA"),$F130,0))</f>
        <v>0</v>
      </c>
      <c r="AD130" s="36" t="n">
        <f aca="false">IF($W130="RECEITA",$F130,0)</f>
        <v>0</v>
      </c>
      <c r="AE130" s="36" t="n">
        <f aca="false">IF($W130="DESPESA",$F130,0)</f>
        <v>0</v>
      </c>
      <c r="AF130" s="36" t="n">
        <f aca="false">IF($W130="RECEITA_FINANCEIRA",$F130,0)</f>
        <v>0</v>
      </c>
      <c r="AG130" s="36" t="n">
        <f aca="false">IF($B130="",0,IF($I130="CONTA",$F130,0)-IF($G130="CONTA",$F130,0))</f>
        <v>0</v>
      </c>
      <c r="AH130" s="36" t="n">
        <f aca="false">IF($B130="",0,IF($G130="CARTAO",$F130,0)-IF($I130="CARTAO",$F130,0))</f>
        <v>0</v>
      </c>
      <c r="AI130" s="36" t="n">
        <f aca="false">IF($B130="",0,IF($I130="INVESTIMENTO",$F130,0)-IF($G130="INVESTIMENTO",$F130,0))</f>
        <v>0</v>
      </c>
      <c r="AJ130" s="35" t="str">
        <f aca="false">IF($B130="","",IF(NOT(ISNUMBER($F130)),"ERRO: valor nao numerico",IF($F130&lt;=0,"ERRO: valor deve ser maior que zero",IF(COUNTIF(MAP_TIPO,$D130)=0,"ERRO: tipo de operacao nao cadastrado",IF(COUNTIF(LST_STATUS,$E130)=0,"ERRO: status invalido",IF(AND($G130="EXTERNO",$I130="EXTERNO"),"ERRO: origem e destino externos",IF(AND($G130&lt;&gt;"EXTERNO",COUNTIFS(ENT_ID,$H130,ENT_TIPO,$G130)=0),"ERRO: origem inexistente",IF(AND($I130&lt;&gt;"EXTERNO",COUNTIFS(ENT_ID,$J130,ENT_TIPO,$I130)=0),"ERRO: destino inexistente",IF(AND($K130&lt;&gt;"",COUNTIF(CAT_ID,$K130)=0),"ERRO: categoria inexistente",IF(AND($L130&lt;&gt;"",COUNTIF(SUB_ID,$L130)=0),"ERRO: subcategoria inexistente",IF(AND($L130&lt;&gt;"",$K130&lt;&gt;"",IFERROR(INDEX(SUB_CATID,MATCH($L130,SUB_ID,0)),"")&lt;&gt;$K130),"ERRO: subcategoria nao pertence a categoria",IF(AND($O130&lt;&gt;"",COUNTIF(P_ID,$O130)=0),"ERRO: parcela inexistente",IF(AND($N130&lt;&gt;"",COUNTIF(CM_ID,$N130)=0),"ERRO: compromisso inexistente","OK")))))))))))))</f>
        <v/>
      </c>
      <c r="AK130" s="35" t="str">
        <f aca="false">IF($B130="","",IF(AND($N130="",$O130="",$P130="",$Q130="",$R130=""),"","VINCULADO: "&amp;TRIM(IF($N130&lt;&gt;"",$N130&amp;" ","")&amp;IF($O130&lt;&gt;"",$O130&amp;" ","")&amp;IF($P130&lt;&gt;"",$P130&amp;" ","")&amp;IF($Q130&lt;&gt;"",$Q130&amp;" ","")&amp;IF($R130&lt;&gt;"",$R130,""))))</f>
        <v/>
      </c>
    </row>
    <row r="131" customFormat="false" ht="15" hidden="false" customHeight="false" outlineLevel="0" collapsed="false">
      <c r="A131" s="30" t="str">
        <f aca="false">IF($B131="","","LAN-"&amp;TEXT(ROW()-4,"000000"))</f>
        <v/>
      </c>
      <c r="B131" s="31"/>
      <c r="C131" s="32"/>
      <c r="D131" s="32"/>
      <c r="E131" s="32"/>
      <c r="F131" s="33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4" t="str">
        <f aca="false">IF($B131="","",YEAR($B131))</f>
        <v/>
      </c>
      <c r="U131" s="34" t="str">
        <f aca="false">IF($B131="","",MONTH($B131))</f>
        <v/>
      </c>
      <c r="V131" s="34" t="str">
        <f aca="false">IF($B131="","",YEAR($B131)*100+MONTH($B131))</f>
        <v/>
      </c>
      <c r="W131" s="35" t="str">
        <f aca="false">IF($D131="","",IFERROR(INDEX(MAP_CLASS,MATCH($D131,MAP_TIPO,0)),"TIPO INVALIDO"))</f>
        <v/>
      </c>
      <c r="X131" s="35" t="str">
        <f aca="false">IF($K131="","",IFERROR(INDEX(CAT_NOME,MATCH($K131,CAT_ID,0)),"?"))</f>
        <v/>
      </c>
      <c r="Y131" s="35" t="str">
        <f aca="false">IF($L131="","",IFERROR(INDEX(SUB_NOME,MATCH($L131,SUB_ID,0)),"?"))</f>
        <v/>
      </c>
      <c r="Z131" s="35" t="str">
        <f aca="false">IF($G131="","",IF($G131="EXTERNO","(Externo)",IFERROR(INDEX(ENT_NOME,MATCH($H131,ENT_ID,0)),"?")))</f>
        <v/>
      </c>
      <c r="AA131" s="35" t="str">
        <f aca="false">IF($I131="","",IF($I131="EXTERNO","(Externo)",IFERROR(INDEX(ENT_NOME,MATCH($J131,ENT_ID,0)),"?")))</f>
        <v/>
      </c>
      <c r="AB131" s="36" t="n">
        <f aca="false">IF($B131="",0,IF(AND($I131="CONTA",$G131&lt;&gt;"CONTA"),$F131,0))</f>
        <v>0</v>
      </c>
      <c r="AC131" s="36" t="n">
        <f aca="false">IF($B131="",0,IF(AND($G131="CONTA",$I131&lt;&gt;"CONTA"),$F131,0))</f>
        <v>0</v>
      </c>
      <c r="AD131" s="36" t="n">
        <f aca="false">IF($W131="RECEITA",$F131,0)</f>
        <v>0</v>
      </c>
      <c r="AE131" s="36" t="n">
        <f aca="false">IF($W131="DESPESA",$F131,0)</f>
        <v>0</v>
      </c>
      <c r="AF131" s="36" t="n">
        <f aca="false">IF($W131="RECEITA_FINANCEIRA",$F131,0)</f>
        <v>0</v>
      </c>
      <c r="AG131" s="36" t="n">
        <f aca="false">IF($B131="",0,IF($I131="CONTA",$F131,0)-IF($G131="CONTA",$F131,0))</f>
        <v>0</v>
      </c>
      <c r="AH131" s="36" t="n">
        <f aca="false">IF($B131="",0,IF($G131="CARTAO",$F131,0)-IF($I131="CARTAO",$F131,0))</f>
        <v>0</v>
      </c>
      <c r="AI131" s="36" t="n">
        <f aca="false">IF($B131="",0,IF($I131="INVESTIMENTO",$F131,0)-IF($G131="INVESTIMENTO",$F131,0))</f>
        <v>0</v>
      </c>
      <c r="AJ131" s="35" t="str">
        <f aca="false">IF($B131="","",IF(NOT(ISNUMBER($F131)),"ERRO: valor nao numerico",IF($F131&lt;=0,"ERRO: valor deve ser maior que zero",IF(COUNTIF(MAP_TIPO,$D131)=0,"ERRO: tipo de operacao nao cadastrado",IF(COUNTIF(LST_STATUS,$E131)=0,"ERRO: status invalido",IF(AND($G131="EXTERNO",$I131="EXTERNO"),"ERRO: origem e destino externos",IF(AND($G131&lt;&gt;"EXTERNO",COUNTIFS(ENT_ID,$H131,ENT_TIPO,$G131)=0),"ERRO: origem inexistente",IF(AND($I131&lt;&gt;"EXTERNO",COUNTIFS(ENT_ID,$J131,ENT_TIPO,$I131)=0),"ERRO: destino inexistente",IF(AND($K131&lt;&gt;"",COUNTIF(CAT_ID,$K131)=0),"ERRO: categoria inexistente",IF(AND($L131&lt;&gt;"",COUNTIF(SUB_ID,$L131)=0),"ERRO: subcategoria inexistente",IF(AND($L131&lt;&gt;"",$K131&lt;&gt;"",IFERROR(INDEX(SUB_CATID,MATCH($L131,SUB_ID,0)),"")&lt;&gt;$K131),"ERRO: subcategoria nao pertence a categoria",IF(AND($O131&lt;&gt;"",COUNTIF(P_ID,$O131)=0),"ERRO: parcela inexistente",IF(AND($N131&lt;&gt;"",COUNTIF(CM_ID,$N131)=0),"ERRO: compromisso inexistente","OK")))))))))))))</f>
        <v/>
      </c>
      <c r="AK131" s="35" t="str">
        <f aca="false">IF($B131="","",IF(AND($N131="",$O131="",$P131="",$Q131="",$R131=""),"","VINCULADO: "&amp;TRIM(IF($N131&lt;&gt;"",$N131&amp;" ","")&amp;IF($O131&lt;&gt;"",$O131&amp;" ","")&amp;IF($P131&lt;&gt;"",$P131&amp;" ","")&amp;IF($Q131&lt;&gt;"",$Q131&amp;" ","")&amp;IF($R131&lt;&gt;"",$R131,""))))</f>
        <v/>
      </c>
    </row>
    <row r="132" customFormat="false" ht="15" hidden="false" customHeight="false" outlineLevel="0" collapsed="false">
      <c r="A132" s="30" t="str">
        <f aca="false">IF($B132="","","LAN-"&amp;TEXT(ROW()-4,"000000"))</f>
        <v/>
      </c>
      <c r="B132" s="31"/>
      <c r="C132" s="32"/>
      <c r="D132" s="32"/>
      <c r="E132" s="32"/>
      <c r="F132" s="33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4" t="str">
        <f aca="false">IF($B132="","",YEAR($B132))</f>
        <v/>
      </c>
      <c r="U132" s="34" t="str">
        <f aca="false">IF($B132="","",MONTH($B132))</f>
        <v/>
      </c>
      <c r="V132" s="34" t="str">
        <f aca="false">IF($B132="","",YEAR($B132)*100+MONTH($B132))</f>
        <v/>
      </c>
      <c r="W132" s="35" t="str">
        <f aca="false">IF($D132="","",IFERROR(INDEX(MAP_CLASS,MATCH($D132,MAP_TIPO,0)),"TIPO INVALIDO"))</f>
        <v/>
      </c>
      <c r="X132" s="35" t="str">
        <f aca="false">IF($K132="","",IFERROR(INDEX(CAT_NOME,MATCH($K132,CAT_ID,0)),"?"))</f>
        <v/>
      </c>
      <c r="Y132" s="35" t="str">
        <f aca="false">IF($L132="","",IFERROR(INDEX(SUB_NOME,MATCH($L132,SUB_ID,0)),"?"))</f>
        <v/>
      </c>
      <c r="Z132" s="35" t="str">
        <f aca="false">IF($G132="","",IF($G132="EXTERNO","(Externo)",IFERROR(INDEX(ENT_NOME,MATCH($H132,ENT_ID,0)),"?")))</f>
        <v/>
      </c>
      <c r="AA132" s="35" t="str">
        <f aca="false">IF($I132="","",IF($I132="EXTERNO","(Externo)",IFERROR(INDEX(ENT_NOME,MATCH($J132,ENT_ID,0)),"?")))</f>
        <v/>
      </c>
      <c r="AB132" s="36" t="n">
        <f aca="false">IF($B132="",0,IF(AND($I132="CONTA",$G132&lt;&gt;"CONTA"),$F132,0))</f>
        <v>0</v>
      </c>
      <c r="AC132" s="36" t="n">
        <f aca="false">IF($B132="",0,IF(AND($G132="CONTA",$I132&lt;&gt;"CONTA"),$F132,0))</f>
        <v>0</v>
      </c>
      <c r="AD132" s="36" t="n">
        <f aca="false">IF($W132="RECEITA",$F132,0)</f>
        <v>0</v>
      </c>
      <c r="AE132" s="36" t="n">
        <f aca="false">IF($W132="DESPESA",$F132,0)</f>
        <v>0</v>
      </c>
      <c r="AF132" s="36" t="n">
        <f aca="false">IF($W132="RECEITA_FINANCEIRA",$F132,0)</f>
        <v>0</v>
      </c>
      <c r="AG132" s="36" t="n">
        <f aca="false">IF($B132="",0,IF($I132="CONTA",$F132,0)-IF($G132="CONTA",$F132,0))</f>
        <v>0</v>
      </c>
      <c r="AH132" s="36" t="n">
        <f aca="false">IF($B132="",0,IF($G132="CARTAO",$F132,0)-IF($I132="CARTAO",$F132,0))</f>
        <v>0</v>
      </c>
      <c r="AI132" s="36" t="n">
        <f aca="false">IF($B132="",0,IF($I132="INVESTIMENTO",$F132,0)-IF($G132="INVESTIMENTO",$F132,0))</f>
        <v>0</v>
      </c>
      <c r="AJ132" s="35" t="str">
        <f aca="false">IF($B132="","",IF(NOT(ISNUMBER($F132)),"ERRO: valor nao numerico",IF($F132&lt;=0,"ERRO: valor deve ser maior que zero",IF(COUNTIF(MAP_TIPO,$D132)=0,"ERRO: tipo de operacao nao cadastrado",IF(COUNTIF(LST_STATUS,$E132)=0,"ERRO: status invalido",IF(AND($G132="EXTERNO",$I132="EXTERNO"),"ERRO: origem e destino externos",IF(AND($G132&lt;&gt;"EXTERNO",COUNTIFS(ENT_ID,$H132,ENT_TIPO,$G132)=0),"ERRO: origem inexistente",IF(AND($I132&lt;&gt;"EXTERNO",COUNTIFS(ENT_ID,$J132,ENT_TIPO,$I132)=0),"ERRO: destino inexistente",IF(AND($K132&lt;&gt;"",COUNTIF(CAT_ID,$K132)=0),"ERRO: categoria inexistente",IF(AND($L132&lt;&gt;"",COUNTIF(SUB_ID,$L132)=0),"ERRO: subcategoria inexistente",IF(AND($L132&lt;&gt;"",$K132&lt;&gt;"",IFERROR(INDEX(SUB_CATID,MATCH($L132,SUB_ID,0)),"")&lt;&gt;$K132),"ERRO: subcategoria nao pertence a categoria",IF(AND($O132&lt;&gt;"",COUNTIF(P_ID,$O132)=0),"ERRO: parcela inexistente",IF(AND($N132&lt;&gt;"",COUNTIF(CM_ID,$N132)=0),"ERRO: compromisso inexistente","OK")))))))))))))</f>
        <v/>
      </c>
      <c r="AK132" s="35" t="str">
        <f aca="false">IF($B132="","",IF(AND($N132="",$O132="",$P132="",$Q132="",$R132=""),"","VINCULADO: "&amp;TRIM(IF($N132&lt;&gt;"",$N132&amp;" ","")&amp;IF($O132&lt;&gt;"",$O132&amp;" ","")&amp;IF($P132&lt;&gt;"",$P132&amp;" ","")&amp;IF($Q132&lt;&gt;"",$Q132&amp;" ","")&amp;IF($R132&lt;&gt;"",$R132,""))))</f>
        <v/>
      </c>
    </row>
    <row r="133" customFormat="false" ht="15" hidden="false" customHeight="false" outlineLevel="0" collapsed="false">
      <c r="A133" s="30" t="str">
        <f aca="false">IF($B133="","","LAN-"&amp;TEXT(ROW()-4,"000000"))</f>
        <v/>
      </c>
      <c r="B133" s="31"/>
      <c r="C133" s="32"/>
      <c r="D133" s="32"/>
      <c r="E133" s="32"/>
      <c r="F133" s="33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4" t="str">
        <f aca="false">IF($B133="","",YEAR($B133))</f>
        <v/>
      </c>
      <c r="U133" s="34" t="str">
        <f aca="false">IF($B133="","",MONTH($B133))</f>
        <v/>
      </c>
      <c r="V133" s="34" t="str">
        <f aca="false">IF($B133="","",YEAR($B133)*100+MONTH($B133))</f>
        <v/>
      </c>
      <c r="W133" s="35" t="str">
        <f aca="false">IF($D133="","",IFERROR(INDEX(MAP_CLASS,MATCH($D133,MAP_TIPO,0)),"TIPO INVALIDO"))</f>
        <v/>
      </c>
      <c r="X133" s="35" t="str">
        <f aca="false">IF($K133="","",IFERROR(INDEX(CAT_NOME,MATCH($K133,CAT_ID,0)),"?"))</f>
        <v/>
      </c>
      <c r="Y133" s="35" t="str">
        <f aca="false">IF($L133="","",IFERROR(INDEX(SUB_NOME,MATCH($L133,SUB_ID,0)),"?"))</f>
        <v/>
      </c>
      <c r="Z133" s="35" t="str">
        <f aca="false">IF($G133="","",IF($G133="EXTERNO","(Externo)",IFERROR(INDEX(ENT_NOME,MATCH($H133,ENT_ID,0)),"?")))</f>
        <v/>
      </c>
      <c r="AA133" s="35" t="str">
        <f aca="false">IF($I133="","",IF($I133="EXTERNO","(Externo)",IFERROR(INDEX(ENT_NOME,MATCH($J133,ENT_ID,0)),"?")))</f>
        <v/>
      </c>
      <c r="AB133" s="36" t="n">
        <f aca="false">IF($B133="",0,IF(AND($I133="CONTA",$G133&lt;&gt;"CONTA"),$F133,0))</f>
        <v>0</v>
      </c>
      <c r="AC133" s="36" t="n">
        <f aca="false">IF($B133="",0,IF(AND($G133="CONTA",$I133&lt;&gt;"CONTA"),$F133,0))</f>
        <v>0</v>
      </c>
      <c r="AD133" s="36" t="n">
        <f aca="false">IF($W133="RECEITA",$F133,0)</f>
        <v>0</v>
      </c>
      <c r="AE133" s="36" t="n">
        <f aca="false">IF($W133="DESPESA",$F133,0)</f>
        <v>0</v>
      </c>
      <c r="AF133" s="36" t="n">
        <f aca="false">IF($W133="RECEITA_FINANCEIRA",$F133,0)</f>
        <v>0</v>
      </c>
      <c r="AG133" s="36" t="n">
        <f aca="false">IF($B133="",0,IF($I133="CONTA",$F133,0)-IF($G133="CONTA",$F133,0))</f>
        <v>0</v>
      </c>
      <c r="AH133" s="36" t="n">
        <f aca="false">IF($B133="",0,IF($G133="CARTAO",$F133,0)-IF($I133="CARTAO",$F133,0))</f>
        <v>0</v>
      </c>
      <c r="AI133" s="36" t="n">
        <f aca="false">IF($B133="",0,IF($I133="INVESTIMENTO",$F133,0)-IF($G133="INVESTIMENTO",$F133,0))</f>
        <v>0</v>
      </c>
      <c r="AJ133" s="35" t="str">
        <f aca="false">IF($B133="","",IF(NOT(ISNUMBER($F133)),"ERRO: valor nao numerico",IF($F133&lt;=0,"ERRO: valor deve ser maior que zero",IF(COUNTIF(MAP_TIPO,$D133)=0,"ERRO: tipo de operacao nao cadastrado",IF(COUNTIF(LST_STATUS,$E133)=0,"ERRO: status invalido",IF(AND($G133="EXTERNO",$I133="EXTERNO"),"ERRO: origem e destino externos",IF(AND($G133&lt;&gt;"EXTERNO",COUNTIFS(ENT_ID,$H133,ENT_TIPO,$G133)=0),"ERRO: origem inexistente",IF(AND($I133&lt;&gt;"EXTERNO",COUNTIFS(ENT_ID,$J133,ENT_TIPO,$I133)=0),"ERRO: destino inexistente",IF(AND($K133&lt;&gt;"",COUNTIF(CAT_ID,$K133)=0),"ERRO: categoria inexistente",IF(AND($L133&lt;&gt;"",COUNTIF(SUB_ID,$L133)=0),"ERRO: subcategoria inexistente",IF(AND($L133&lt;&gt;"",$K133&lt;&gt;"",IFERROR(INDEX(SUB_CATID,MATCH($L133,SUB_ID,0)),"")&lt;&gt;$K133),"ERRO: subcategoria nao pertence a categoria",IF(AND($O133&lt;&gt;"",COUNTIF(P_ID,$O133)=0),"ERRO: parcela inexistente",IF(AND($N133&lt;&gt;"",COUNTIF(CM_ID,$N133)=0),"ERRO: compromisso inexistente","OK")))))))))))))</f>
        <v/>
      </c>
      <c r="AK133" s="35" t="str">
        <f aca="false">IF($B133="","",IF(AND($N133="",$O133="",$P133="",$Q133="",$R133=""),"","VINCULADO: "&amp;TRIM(IF($N133&lt;&gt;"",$N133&amp;" ","")&amp;IF($O133&lt;&gt;"",$O133&amp;" ","")&amp;IF($P133&lt;&gt;"",$P133&amp;" ","")&amp;IF($Q133&lt;&gt;"",$Q133&amp;" ","")&amp;IF($R133&lt;&gt;"",$R133,""))))</f>
        <v/>
      </c>
    </row>
    <row r="134" customFormat="false" ht="15" hidden="false" customHeight="false" outlineLevel="0" collapsed="false">
      <c r="A134" s="30" t="str">
        <f aca="false">IF($B134="","","LAN-"&amp;TEXT(ROW()-4,"000000"))</f>
        <v/>
      </c>
      <c r="B134" s="31"/>
      <c r="C134" s="32"/>
      <c r="D134" s="32"/>
      <c r="E134" s="32"/>
      <c r="F134" s="33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4" t="str">
        <f aca="false">IF($B134="","",YEAR($B134))</f>
        <v/>
      </c>
      <c r="U134" s="34" t="str">
        <f aca="false">IF($B134="","",MONTH($B134))</f>
        <v/>
      </c>
      <c r="V134" s="34" t="str">
        <f aca="false">IF($B134="","",YEAR($B134)*100+MONTH($B134))</f>
        <v/>
      </c>
      <c r="W134" s="35" t="str">
        <f aca="false">IF($D134="","",IFERROR(INDEX(MAP_CLASS,MATCH($D134,MAP_TIPO,0)),"TIPO INVALIDO"))</f>
        <v/>
      </c>
      <c r="X134" s="35" t="str">
        <f aca="false">IF($K134="","",IFERROR(INDEX(CAT_NOME,MATCH($K134,CAT_ID,0)),"?"))</f>
        <v/>
      </c>
      <c r="Y134" s="35" t="str">
        <f aca="false">IF($L134="","",IFERROR(INDEX(SUB_NOME,MATCH($L134,SUB_ID,0)),"?"))</f>
        <v/>
      </c>
      <c r="Z134" s="35" t="str">
        <f aca="false">IF($G134="","",IF($G134="EXTERNO","(Externo)",IFERROR(INDEX(ENT_NOME,MATCH($H134,ENT_ID,0)),"?")))</f>
        <v/>
      </c>
      <c r="AA134" s="35" t="str">
        <f aca="false">IF($I134="","",IF($I134="EXTERNO","(Externo)",IFERROR(INDEX(ENT_NOME,MATCH($J134,ENT_ID,0)),"?")))</f>
        <v/>
      </c>
      <c r="AB134" s="36" t="n">
        <f aca="false">IF($B134="",0,IF(AND($I134="CONTA",$G134&lt;&gt;"CONTA"),$F134,0))</f>
        <v>0</v>
      </c>
      <c r="AC134" s="36" t="n">
        <f aca="false">IF($B134="",0,IF(AND($G134="CONTA",$I134&lt;&gt;"CONTA"),$F134,0))</f>
        <v>0</v>
      </c>
      <c r="AD134" s="36" t="n">
        <f aca="false">IF($W134="RECEITA",$F134,0)</f>
        <v>0</v>
      </c>
      <c r="AE134" s="36" t="n">
        <f aca="false">IF($W134="DESPESA",$F134,0)</f>
        <v>0</v>
      </c>
      <c r="AF134" s="36" t="n">
        <f aca="false">IF($W134="RECEITA_FINANCEIRA",$F134,0)</f>
        <v>0</v>
      </c>
      <c r="AG134" s="36" t="n">
        <f aca="false">IF($B134="",0,IF($I134="CONTA",$F134,0)-IF($G134="CONTA",$F134,0))</f>
        <v>0</v>
      </c>
      <c r="AH134" s="36" t="n">
        <f aca="false">IF($B134="",0,IF($G134="CARTAO",$F134,0)-IF($I134="CARTAO",$F134,0))</f>
        <v>0</v>
      </c>
      <c r="AI134" s="36" t="n">
        <f aca="false">IF($B134="",0,IF($I134="INVESTIMENTO",$F134,0)-IF($G134="INVESTIMENTO",$F134,0))</f>
        <v>0</v>
      </c>
      <c r="AJ134" s="35" t="str">
        <f aca="false">IF($B134="","",IF(NOT(ISNUMBER($F134)),"ERRO: valor nao numerico",IF($F134&lt;=0,"ERRO: valor deve ser maior que zero",IF(COUNTIF(MAP_TIPO,$D134)=0,"ERRO: tipo de operacao nao cadastrado",IF(COUNTIF(LST_STATUS,$E134)=0,"ERRO: status invalido",IF(AND($G134="EXTERNO",$I134="EXTERNO"),"ERRO: origem e destino externos",IF(AND($G134&lt;&gt;"EXTERNO",COUNTIFS(ENT_ID,$H134,ENT_TIPO,$G134)=0),"ERRO: origem inexistente",IF(AND($I134&lt;&gt;"EXTERNO",COUNTIFS(ENT_ID,$J134,ENT_TIPO,$I134)=0),"ERRO: destino inexistente",IF(AND($K134&lt;&gt;"",COUNTIF(CAT_ID,$K134)=0),"ERRO: categoria inexistente",IF(AND($L134&lt;&gt;"",COUNTIF(SUB_ID,$L134)=0),"ERRO: subcategoria inexistente",IF(AND($L134&lt;&gt;"",$K134&lt;&gt;"",IFERROR(INDEX(SUB_CATID,MATCH($L134,SUB_ID,0)),"")&lt;&gt;$K134),"ERRO: subcategoria nao pertence a categoria",IF(AND($O134&lt;&gt;"",COUNTIF(P_ID,$O134)=0),"ERRO: parcela inexistente",IF(AND($N134&lt;&gt;"",COUNTIF(CM_ID,$N134)=0),"ERRO: compromisso inexistente","OK")))))))))))))</f>
        <v/>
      </c>
      <c r="AK134" s="35" t="str">
        <f aca="false">IF($B134="","",IF(AND($N134="",$O134="",$P134="",$Q134="",$R134=""),"","VINCULADO: "&amp;TRIM(IF($N134&lt;&gt;"",$N134&amp;" ","")&amp;IF($O134&lt;&gt;"",$O134&amp;" ","")&amp;IF($P134&lt;&gt;"",$P134&amp;" ","")&amp;IF($Q134&lt;&gt;"",$Q134&amp;" ","")&amp;IF($R134&lt;&gt;"",$R134,""))))</f>
        <v/>
      </c>
    </row>
    <row r="135" customFormat="false" ht="15" hidden="false" customHeight="false" outlineLevel="0" collapsed="false">
      <c r="A135" s="30" t="str">
        <f aca="false">IF($B135="","","LAN-"&amp;TEXT(ROW()-4,"000000"))</f>
        <v/>
      </c>
      <c r="B135" s="31"/>
      <c r="C135" s="32"/>
      <c r="D135" s="32"/>
      <c r="E135" s="32"/>
      <c r="F135" s="33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4" t="str">
        <f aca="false">IF($B135="","",YEAR($B135))</f>
        <v/>
      </c>
      <c r="U135" s="34" t="str">
        <f aca="false">IF($B135="","",MONTH($B135))</f>
        <v/>
      </c>
      <c r="V135" s="34" t="str">
        <f aca="false">IF($B135="","",YEAR($B135)*100+MONTH($B135))</f>
        <v/>
      </c>
      <c r="W135" s="35" t="str">
        <f aca="false">IF($D135="","",IFERROR(INDEX(MAP_CLASS,MATCH($D135,MAP_TIPO,0)),"TIPO INVALIDO"))</f>
        <v/>
      </c>
      <c r="X135" s="35" t="str">
        <f aca="false">IF($K135="","",IFERROR(INDEX(CAT_NOME,MATCH($K135,CAT_ID,0)),"?"))</f>
        <v/>
      </c>
      <c r="Y135" s="35" t="str">
        <f aca="false">IF($L135="","",IFERROR(INDEX(SUB_NOME,MATCH($L135,SUB_ID,0)),"?"))</f>
        <v/>
      </c>
      <c r="Z135" s="35" t="str">
        <f aca="false">IF($G135="","",IF($G135="EXTERNO","(Externo)",IFERROR(INDEX(ENT_NOME,MATCH($H135,ENT_ID,0)),"?")))</f>
        <v/>
      </c>
      <c r="AA135" s="35" t="str">
        <f aca="false">IF($I135="","",IF($I135="EXTERNO","(Externo)",IFERROR(INDEX(ENT_NOME,MATCH($J135,ENT_ID,0)),"?")))</f>
        <v/>
      </c>
      <c r="AB135" s="36" t="n">
        <f aca="false">IF($B135="",0,IF(AND($I135="CONTA",$G135&lt;&gt;"CONTA"),$F135,0))</f>
        <v>0</v>
      </c>
      <c r="AC135" s="36" t="n">
        <f aca="false">IF($B135="",0,IF(AND($G135="CONTA",$I135&lt;&gt;"CONTA"),$F135,0))</f>
        <v>0</v>
      </c>
      <c r="AD135" s="36" t="n">
        <f aca="false">IF($W135="RECEITA",$F135,0)</f>
        <v>0</v>
      </c>
      <c r="AE135" s="36" t="n">
        <f aca="false">IF($W135="DESPESA",$F135,0)</f>
        <v>0</v>
      </c>
      <c r="AF135" s="36" t="n">
        <f aca="false">IF($W135="RECEITA_FINANCEIRA",$F135,0)</f>
        <v>0</v>
      </c>
      <c r="AG135" s="36" t="n">
        <f aca="false">IF($B135="",0,IF($I135="CONTA",$F135,0)-IF($G135="CONTA",$F135,0))</f>
        <v>0</v>
      </c>
      <c r="AH135" s="36" t="n">
        <f aca="false">IF($B135="",0,IF($G135="CARTAO",$F135,0)-IF($I135="CARTAO",$F135,0))</f>
        <v>0</v>
      </c>
      <c r="AI135" s="36" t="n">
        <f aca="false">IF($B135="",0,IF($I135="INVESTIMENTO",$F135,0)-IF($G135="INVESTIMENTO",$F135,0))</f>
        <v>0</v>
      </c>
      <c r="AJ135" s="35" t="str">
        <f aca="false">IF($B135="","",IF(NOT(ISNUMBER($F135)),"ERRO: valor nao numerico",IF($F135&lt;=0,"ERRO: valor deve ser maior que zero",IF(COUNTIF(MAP_TIPO,$D135)=0,"ERRO: tipo de operacao nao cadastrado",IF(COUNTIF(LST_STATUS,$E135)=0,"ERRO: status invalido",IF(AND($G135="EXTERNO",$I135="EXTERNO"),"ERRO: origem e destino externos",IF(AND($G135&lt;&gt;"EXTERNO",COUNTIFS(ENT_ID,$H135,ENT_TIPO,$G135)=0),"ERRO: origem inexistente",IF(AND($I135&lt;&gt;"EXTERNO",COUNTIFS(ENT_ID,$J135,ENT_TIPO,$I135)=0),"ERRO: destino inexistente",IF(AND($K135&lt;&gt;"",COUNTIF(CAT_ID,$K135)=0),"ERRO: categoria inexistente",IF(AND($L135&lt;&gt;"",COUNTIF(SUB_ID,$L135)=0),"ERRO: subcategoria inexistente",IF(AND($L135&lt;&gt;"",$K135&lt;&gt;"",IFERROR(INDEX(SUB_CATID,MATCH($L135,SUB_ID,0)),"")&lt;&gt;$K135),"ERRO: subcategoria nao pertence a categoria",IF(AND($O135&lt;&gt;"",COUNTIF(P_ID,$O135)=0),"ERRO: parcela inexistente",IF(AND($N135&lt;&gt;"",COUNTIF(CM_ID,$N135)=0),"ERRO: compromisso inexistente","OK")))))))))))))</f>
        <v/>
      </c>
      <c r="AK135" s="35" t="str">
        <f aca="false">IF($B135="","",IF(AND($N135="",$O135="",$P135="",$Q135="",$R135=""),"","VINCULADO: "&amp;TRIM(IF($N135&lt;&gt;"",$N135&amp;" ","")&amp;IF($O135&lt;&gt;"",$O135&amp;" ","")&amp;IF($P135&lt;&gt;"",$P135&amp;" ","")&amp;IF($Q135&lt;&gt;"",$Q135&amp;" ","")&amp;IF($R135&lt;&gt;"",$R135,""))))</f>
        <v/>
      </c>
    </row>
    <row r="136" customFormat="false" ht="15" hidden="false" customHeight="false" outlineLevel="0" collapsed="false">
      <c r="A136" s="30" t="str">
        <f aca="false">IF($B136="","","LAN-"&amp;TEXT(ROW()-4,"000000"))</f>
        <v/>
      </c>
      <c r="B136" s="31"/>
      <c r="C136" s="32"/>
      <c r="D136" s="32"/>
      <c r="E136" s="32"/>
      <c r="F136" s="33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4" t="str">
        <f aca="false">IF($B136="","",YEAR($B136))</f>
        <v/>
      </c>
      <c r="U136" s="34" t="str">
        <f aca="false">IF($B136="","",MONTH($B136))</f>
        <v/>
      </c>
      <c r="V136" s="34" t="str">
        <f aca="false">IF($B136="","",YEAR($B136)*100+MONTH($B136))</f>
        <v/>
      </c>
      <c r="W136" s="35" t="str">
        <f aca="false">IF($D136="","",IFERROR(INDEX(MAP_CLASS,MATCH($D136,MAP_TIPO,0)),"TIPO INVALIDO"))</f>
        <v/>
      </c>
      <c r="X136" s="35" t="str">
        <f aca="false">IF($K136="","",IFERROR(INDEX(CAT_NOME,MATCH($K136,CAT_ID,0)),"?"))</f>
        <v/>
      </c>
      <c r="Y136" s="35" t="str">
        <f aca="false">IF($L136="","",IFERROR(INDEX(SUB_NOME,MATCH($L136,SUB_ID,0)),"?"))</f>
        <v/>
      </c>
      <c r="Z136" s="35" t="str">
        <f aca="false">IF($G136="","",IF($G136="EXTERNO","(Externo)",IFERROR(INDEX(ENT_NOME,MATCH($H136,ENT_ID,0)),"?")))</f>
        <v/>
      </c>
      <c r="AA136" s="35" t="str">
        <f aca="false">IF($I136="","",IF($I136="EXTERNO","(Externo)",IFERROR(INDEX(ENT_NOME,MATCH($J136,ENT_ID,0)),"?")))</f>
        <v/>
      </c>
      <c r="AB136" s="36" t="n">
        <f aca="false">IF($B136="",0,IF(AND($I136="CONTA",$G136&lt;&gt;"CONTA"),$F136,0))</f>
        <v>0</v>
      </c>
      <c r="AC136" s="36" t="n">
        <f aca="false">IF($B136="",0,IF(AND($G136="CONTA",$I136&lt;&gt;"CONTA"),$F136,0))</f>
        <v>0</v>
      </c>
      <c r="AD136" s="36" t="n">
        <f aca="false">IF($W136="RECEITA",$F136,0)</f>
        <v>0</v>
      </c>
      <c r="AE136" s="36" t="n">
        <f aca="false">IF($W136="DESPESA",$F136,0)</f>
        <v>0</v>
      </c>
      <c r="AF136" s="36" t="n">
        <f aca="false">IF($W136="RECEITA_FINANCEIRA",$F136,0)</f>
        <v>0</v>
      </c>
      <c r="AG136" s="36" t="n">
        <f aca="false">IF($B136="",0,IF($I136="CONTA",$F136,0)-IF($G136="CONTA",$F136,0))</f>
        <v>0</v>
      </c>
      <c r="AH136" s="36" t="n">
        <f aca="false">IF($B136="",0,IF($G136="CARTAO",$F136,0)-IF($I136="CARTAO",$F136,0))</f>
        <v>0</v>
      </c>
      <c r="AI136" s="36" t="n">
        <f aca="false">IF($B136="",0,IF($I136="INVESTIMENTO",$F136,0)-IF($G136="INVESTIMENTO",$F136,0))</f>
        <v>0</v>
      </c>
      <c r="AJ136" s="35" t="str">
        <f aca="false">IF($B136="","",IF(NOT(ISNUMBER($F136)),"ERRO: valor nao numerico",IF($F136&lt;=0,"ERRO: valor deve ser maior que zero",IF(COUNTIF(MAP_TIPO,$D136)=0,"ERRO: tipo de operacao nao cadastrado",IF(COUNTIF(LST_STATUS,$E136)=0,"ERRO: status invalido",IF(AND($G136="EXTERNO",$I136="EXTERNO"),"ERRO: origem e destino externos",IF(AND($G136&lt;&gt;"EXTERNO",COUNTIFS(ENT_ID,$H136,ENT_TIPO,$G136)=0),"ERRO: origem inexistente",IF(AND($I136&lt;&gt;"EXTERNO",COUNTIFS(ENT_ID,$J136,ENT_TIPO,$I136)=0),"ERRO: destino inexistente",IF(AND($K136&lt;&gt;"",COUNTIF(CAT_ID,$K136)=0),"ERRO: categoria inexistente",IF(AND($L136&lt;&gt;"",COUNTIF(SUB_ID,$L136)=0),"ERRO: subcategoria inexistente",IF(AND($L136&lt;&gt;"",$K136&lt;&gt;"",IFERROR(INDEX(SUB_CATID,MATCH($L136,SUB_ID,0)),"")&lt;&gt;$K136),"ERRO: subcategoria nao pertence a categoria",IF(AND($O136&lt;&gt;"",COUNTIF(P_ID,$O136)=0),"ERRO: parcela inexistente",IF(AND($N136&lt;&gt;"",COUNTIF(CM_ID,$N136)=0),"ERRO: compromisso inexistente","OK")))))))))))))</f>
        <v/>
      </c>
      <c r="AK136" s="35" t="str">
        <f aca="false">IF($B136="","",IF(AND($N136="",$O136="",$P136="",$Q136="",$R136=""),"","VINCULADO: "&amp;TRIM(IF($N136&lt;&gt;"",$N136&amp;" ","")&amp;IF($O136&lt;&gt;"",$O136&amp;" ","")&amp;IF($P136&lt;&gt;"",$P136&amp;" ","")&amp;IF($Q136&lt;&gt;"",$Q136&amp;" ","")&amp;IF($R136&lt;&gt;"",$R136,""))))</f>
        <v/>
      </c>
    </row>
    <row r="137" customFormat="false" ht="15" hidden="false" customHeight="false" outlineLevel="0" collapsed="false">
      <c r="A137" s="30" t="str">
        <f aca="false">IF($B137="","","LAN-"&amp;TEXT(ROW()-4,"000000"))</f>
        <v/>
      </c>
      <c r="B137" s="31"/>
      <c r="C137" s="32"/>
      <c r="D137" s="32"/>
      <c r="E137" s="32"/>
      <c r="F137" s="33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4" t="str">
        <f aca="false">IF($B137="","",YEAR($B137))</f>
        <v/>
      </c>
      <c r="U137" s="34" t="str">
        <f aca="false">IF($B137="","",MONTH($B137))</f>
        <v/>
      </c>
      <c r="V137" s="34" t="str">
        <f aca="false">IF($B137="","",YEAR($B137)*100+MONTH($B137))</f>
        <v/>
      </c>
      <c r="W137" s="35" t="str">
        <f aca="false">IF($D137="","",IFERROR(INDEX(MAP_CLASS,MATCH($D137,MAP_TIPO,0)),"TIPO INVALIDO"))</f>
        <v/>
      </c>
      <c r="X137" s="35" t="str">
        <f aca="false">IF($K137="","",IFERROR(INDEX(CAT_NOME,MATCH($K137,CAT_ID,0)),"?"))</f>
        <v/>
      </c>
      <c r="Y137" s="35" t="str">
        <f aca="false">IF($L137="","",IFERROR(INDEX(SUB_NOME,MATCH($L137,SUB_ID,0)),"?"))</f>
        <v/>
      </c>
      <c r="Z137" s="35" t="str">
        <f aca="false">IF($G137="","",IF($G137="EXTERNO","(Externo)",IFERROR(INDEX(ENT_NOME,MATCH($H137,ENT_ID,0)),"?")))</f>
        <v/>
      </c>
      <c r="AA137" s="35" t="str">
        <f aca="false">IF($I137="","",IF($I137="EXTERNO","(Externo)",IFERROR(INDEX(ENT_NOME,MATCH($J137,ENT_ID,0)),"?")))</f>
        <v/>
      </c>
      <c r="AB137" s="36" t="n">
        <f aca="false">IF($B137="",0,IF(AND($I137="CONTA",$G137&lt;&gt;"CONTA"),$F137,0))</f>
        <v>0</v>
      </c>
      <c r="AC137" s="36" t="n">
        <f aca="false">IF($B137="",0,IF(AND($G137="CONTA",$I137&lt;&gt;"CONTA"),$F137,0))</f>
        <v>0</v>
      </c>
      <c r="AD137" s="36" t="n">
        <f aca="false">IF($W137="RECEITA",$F137,0)</f>
        <v>0</v>
      </c>
      <c r="AE137" s="36" t="n">
        <f aca="false">IF($W137="DESPESA",$F137,0)</f>
        <v>0</v>
      </c>
      <c r="AF137" s="36" t="n">
        <f aca="false">IF($W137="RECEITA_FINANCEIRA",$F137,0)</f>
        <v>0</v>
      </c>
      <c r="AG137" s="36" t="n">
        <f aca="false">IF($B137="",0,IF($I137="CONTA",$F137,0)-IF($G137="CONTA",$F137,0))</f>
        <v>0</v>
      </c>
      <c r="AH137" s="36" t="n">
        <f aca="false">IF($B137="",0,IF($G137="CARTAO",$F137,0)-IF($I137="CARTAO",$F137,0))</f>
        <v>0</v>
      </c>
      <c r="AI137" s="36" t="n">
        <f aca="false">IF($B137="",0,IF($I137="INVESTIMENTO",$F137,0)-IF($G137="INVESTIMENTO",$F137,0))</f>
        <v>0</v>
      </c>
      <c r="AJ137" s="35" t="str">
        <f aca="false">IF($B137="","",IF(NOT(ISNUMBER($F137)),"ERRO: valor nao numerico",IF($F137&lt;=0,"ERRO: valor deve ser maior que zero",IF(COUNTIF(MAP_TIPO,$D137)=0,"ERRO: tipo de operacao nao cadastrado",IF(COUNTIF(LST_STATUS,$E137)=0,"ERRO: status invalido",IF(AND($G137="EXTERNO",$I137="EXTERNO"),"ERRO: origem e destino externos",IF(AND($G137&lt;&gt;"EXTERNO",COUNTIFS(ENT_ID,$H137,ENT_TIPO,$G137)=0),"ERRO: origem inexistente",IF(AND($I137&lt;&gt;"EXTERNO",COUNTIFS(ENT_ID,$J137,ENT_TIPO,$I137)=0),"ERRO: destino inexistente",IF(AND($K137&lt;&gt;"",COUNTIF(CAT_ID,$K137)=0),"ERRO: categoria inexistente",IF(AND($L137&lt;&gt;"",COUNTIF(SUB_ID,$L137)=0),"ERRO: subcategoria inexistente",IF(AND($L137&lt;&gt;"",$K137&lt;&gt;"",IFERROR(INDEX(SUB_CATID,MATCH($L137,SUB_ID,0)),"")&lt;&gt;$K137),"ERRO: subcategoria nao pertence a categoria",IF(AND($O137&lt;&gt;"",COUNTIF(P_ID,$O137)=0),"ERRO: parcela inexistente",IF(AND($N137&lt;&gt;"",COUNTIF(CM_ID,$N137)=0),"ERRO: compromisso inexistente","OK")))))))))))))</f>
        <v/>
      </c>
      <c r="AK137" s="35" t="str">
        <f aca="false">IF($B137="","",IF(AND($N137="",$O137="",$P137="",$Q137="",$R137=""),"","VINCULADO: "&amp;TRIM(IF($N137&lt;&gt;"",$N137&amp;" ","")&amp;IF($O137&lt;&gt;"",$O137&amp;" ","")&amp;IF($P137&lt;&gt;"",$P137&amp;" ","")&amp;IF($Q137&lt;&gt;"",$Q137&amp;" ","")&amp;IF($R137&lt;&gt;"",$R137,""))))</f>
        <v/>
      </c>
    </row>
    <row r="138" customFormat="false" ht="15" hidden="false" customHeight="false" outlineLevel="0" collapsed="false">
      <c r="A138" s="30" t="str">
        <f aca="false">IF($B138="","","LAN-"&amp;TEXT(ROW()-4,"000000"))</f>
        <v/>
      </c>
      <c r="B138" s="31"/>
      <c r="C138" s="32"/>
      <c r="D138" s="32"/>
      <c r="E138" s="32"/>
      <c r="F138" s="33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4" t="str">
        <f aca="false">IF($B138="","",YEAR($B138))</f>
        <v/>
      </c>
      <c r="U138" s="34" t="str">
        <f aca="false">IF($B138="","",MONTH($B138))</f>
        <v/>
      </c>
      <c r="V138" s="34" t="str">
        <f aca="false">IF($B138="","",YEAR($B138)*100+MONTH($B138))</f>
        <v/>
      </c>
      <c r="W138" s="35" t="str">
        <f aca="false">IF($D138="","",IFERROR(INDEX(MAP_CLASS,MATCH($D138,MAP_TIPO,0)),"TIPO INVALIDO"))</f>
        <v/>
      </c>
      <c r="X138" s="35" t="str">
        <f aca="false">IF($K138="","",IFERROR(INDEX(CAT_NOME,MATCH($K138,CAT_ID,0)),"?"))</f>
        <v/>
      </c>
      <c r="Y138" s="35" t="str">
        <f aca="false">IF($L138="","",IFERROR(INDEX(SUB_NOME,MATCH($L138,SUB_ID,0)),"?"))</f>
        <v/>
      </c>
      <c r="Z138" s="35" t="str">
        <f aca="false">IF($G138="","",IF($G138="EXTERNO","(Externo)",IFERROR(INDEX(ENT_NOME,MATCH($H138,ENT_ID,0)),"?")))</f>
        <v/>
      </c>
      <c r="AA138" s="35" t="str">
        <f aca="false">IF($I138="","",IF($I138="EXTERNO","(Externo)",IFERROR(INDEX(ENT_NOME,MATCH($J138,ENT_ID,0)),"?")))</f>
        <v/>
      </c>
      <c r="AB138" s="36" t="n">
        <f aca="false">IF($B138="",0,IF(AND($I138="CONTA",$G138&lt;&gt;"CONTA"),$F138,0))</f>
        <v>0</v>
      </c>
      <c r="AC138" s="36" t="n">
        <f aca="false">IF($B138="",0,IF(AND($G138="CONTA",$I138&lt;&gt;"CONTA"),$F138,0))</f>
        <v>0</v>
      </c>
      <c r="AD138" s="36" t="n">
        <f aca="false">IF($W138="RECEITA",$F138,0)</f>
        <v>0</v>
      </c>
      <c r="AE138" s="36" t="n">
        <f aca="false">IF($W138="DESPESA",$F138,0)</f>
        <v>0</v>
      </c>
      <c r="AF138" s="36" t="n">
        <f aca="false">IF($W138="RECEITA_FINANCEIRA",$F138,0)</f>
        <v>0</v>
      </c>
      <c r="AG138" s="36" t="n">
        <f aca="false">IF($B138="",0,IF($I138="CONTA",$F138,0)-IF($G138="CONTA",$F138,0))</f>
        <v>0</v>
      </c>
      <c r="AH138" s="36" t="n">
        <f aca="false">IF($B138="",0,IF($G138="CARTAO",$F138,0)-IF($I138="CARTAO",$F138,0))</f>
        <v>0</v>
      </c>
      <c r="AI138" s="36" t="n">
        <f aca="false">IF($B138="",0,IF($I138="INVESTIMENTO",$F138,0)-IF($G138="INVESTIMENTO",$F138,0))</f>
        <v>0</v>
      </c>
      <c r="AJ138" s="35" t="str">
        <f aca="false">IF($B138="","",IF(NOT(ISNUMBER($F138)),"ERRO: valor nao numerico",IF($F138&lt;=0,"ERRO: valor deve ser maior que zero",IF(COUNTIF(MAP_TIPO,$D138)=0,"ERRO: tipo de operacao nao cadastrado",IF(COUNTIF(LST_STATUS,$E138)=0,"ERRO: status invalido",IF(AND($G138="EXTERNO",$I138="EXTERNO"),"ERRO: origem e destino externos",IF(AND($G138&lt;&gt;"EXTERNO",COUNTIFS(ENT_ID,$H138,ENT_TIPO,$G138)=0),"ERRO: origem inexistente",IF(AND($I138&lt;&gt;"EXTERNO",COUNTIFS(ENT_ID,$J138,ENT_TIPO,$I138)=0),"ERRO: destino inexistente",IF(AND($K138&lt;&gt;"",COUNTIF(CAT_ID,$K138)=0),"ERRO: categoria inexistente",IF(AND($L138&lt;&gt;"",COUNTIF(SUB_ID,$L138)=0),"ERRO: subcategoria inexistente",IF(AND($L138&lt;&gt;"",$K138&lt;&gt;"",IFERROR(INDEX(SUB_CATID,MATCH($L138,SUB_ID,0)),"")&lt;&gt;$K138),"ERRO: subcategoria nao pertence a categoria",IF(AND($O138&lt;&gt;"",COUNTIF(P_ID,$O138)=0),"ERRO: parcela inexistente",IF(AND($N138&lt;&gt;"",COUNTIF(CM_ID,$N138)=0),"ERRO: compromisso inexistente","OK")))))))))))))</f>
        <v/>
      </c>
      <c r="AK138" s="35" t="str">
        <f aca="false">IF($B138="","",IF(AND($N138="",$O138="",$P138="",$Q138="",$R138=""),"","VINCULADO: "&amp;TRIM(IF($N138&lt;&gt;"",$N138&amp;" ","")&amp;IF($O138&lt;&gt;"",$O138&amp;" ","")&amp;IF($P138&lt;&gt;"",$P138&amp;" ","")&amp;IF($Q138&lt;&gt;"",$Q138&amp;" ","")&amp;IF($R138&lt;&gt;"",$R138,""))))</f>
        <v/>
      </c>
    </row>
    <row r="139" customFormat="false" ht="15" hidden="false" customHeight="false" outlineLevel="0" collapsed="false">
      <c r="A139" s="30" t="str">
        <f aca="false">IF($B139="","","LAN-"&amp;TEXT(ROW()-4,"000000"))</f>
        <v/>
      </c>
      <c r="B139" s="31"/>
      <c r="C139" s="32"/>
      <c r="D139" s="32"/>
      <c r="E139" s="32"/>
      <c r="F139" s="33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4" t="str">
        <f aca="false">IF($B139="","",YEAR($B139))</f>
        <v/>
      </c>
      <c r="U139" s="34" t="str">
        <f aca="false">IF($B139="","",MONTH($B139))</f>
        <v/>
      </c>
      <c r="V139" s="34" t="str">
        <f aca="false">IF($B139="","",YEAR($B139)*100+MONTH($B139))</f>
        <v/>
      </c>
      <c r="W139" s="35" t="str">
        <f aca="false">IF($D139="","",IFERROR(INDEX(MAP_CLASS,MATCH($D139,MAP_TIPO,0)),"TIPO INVALIDO"))</f>
        <v/>
      </c>
      <c r="X139" s="35" t="str">
        <f aca="false">IF($K139="","",IFERROR(INDEX(CAT_NOME,MATCH($K139,CAT_ID,0)),"?"))</f>
        <v/>
      </c>
      <c r="Y139" s="35" t="str">
        <f aca="false">IF($L139="","",IFERROR(INDEX(SUB_NOME,MATCH($L139,SUB_ID,0)),"?"))</f>
        <v/>
      </c>
      <c r="Z139" s="35" t="str">
        <f aca="false">IF($G139="","",IF($G139="EXTERNO","(Externo)",IFERROR(INDEX(ENT_NOME,MATCH($H139,ENT_ID,0)),"?")))</f>
        <v/>
      </c>
      <c r="AA139" s="35" t="str">
        <f aca="false">IF($I139="","",IF($I139="EXTERNO","(Externo)",IFERROR(INDEX(ENT_NOME,MATCH($J139,ENT_ID,0)),"?")))</f>
        <v/>
      </c>
      <c r="AB139" s="36" t="n">
        <f aca="false">IF($B139="",0,IF(AND($I139="CONTA",$G139&lt;&gt;"CONTA"),$F139,0))</f>
        <v>0</v>
      </c>
      <c r="AC139" s="36" t="n">
        <f aca="false">IF($B139="",0,IF(AND($G139="CONTA",$I139&lt;&gt;"CONTA"),$F139,0))</f>
        <v>0</v>
      </c>
      <c r="AD139" s="36" t="n">
        <f aca="false">IF($W139="RECEITA",$F139,0)</f>
        <v>0</v>
      </c>
      <c r="AE139" s="36" t="n">
        <f aca="false">IF($W139="DESPESA",$F139,0)</f>
        <v>0</v>
      </c>
      <c r="AF139" s="36" t="n">
        <f aca="false">IF($W139="RECEITA_FINANCEIRA",$F139,0)</f>
        <v>0</v>
      </c>
      <c r="AG139" s="36" t="n">
        <f aca="false">IF($B139="",0,IF($I139="CONTA",$F139,0)-IF($G139="CONTA",$F139,0))</f>
        <v>0</v>
      </c>
      <c r="AH139" s="36" t="n">
        <f aca="false">IF($B139="",0,IF($G139="CARTAO",$F139,0)-IF($I139="CARTAO",$F139,0))</f>
        <v>0</v>
      </c>
      <c r="AI139" s="36" t="n">
        <f aca="false">IF($B139="",0,IF($I139="INVESTIMENTO",$F139,0)-IF($G139="INVESTIMENTO",$F139,0))</f>
        <v>0</v>
      </c>
      <c r="AJ139" s="35" t="str">
        <f aca="false">IF($B139="","",IF(NOT(ISNUMBER($F139)),"ERRO: valor nao numerico",IF($F139&lt;=0,"ERRO: valor deve ser maior que zero",IF(COUNTIF(MAP_TIPO,$D139)=0,"ERRO: tipo de operacao nao cadastrado",IF(COUNTIF(LST_STATUS,$E139)=0,"ERRO: status invalido",IF(AND($G139="EXTERNO",$I139="EXTERNO"),"ERRO: origem e destino externos",IF(AND($G139&lt;&gt;"EXTERNO",COUNTIFS(ENT_ID,$H139,ENT_TIPO,$G139)=0),"ERRO: origem inexistente",IF(AND($I139&lt;&gt;"EXTERNO",COUNTIFS(ENT_ID,$J139,ENT_TIPO,$I139)=0),"ERRO: destino inexistente",IF(AND($K139&lt;&gt;"",COUNTIF(CAT_ID,$K139)=0),"ERRO: categoria inexistente",IF(AND($L139&lt;&gt;"",COUNTIF(SUB_ID,$L139)=0),"ERRO: subcategoria inexistente",IF(AND($L139&lt;&gt;"",$K139&lt;&gt;"",IFERROR(INDEX(SUB_CATID,MATCH($L139,SUB_ID,0)),"")&lt;&gt;$K139),"ERRO: subcategoria nao pertence a categoria",IF(AND($O139&lt;&gt;"",COUNTIF(P_ID,$O139)=0),"ERRO: parcela inexistente",IF(AND($N139&lt;&gt;"",COUNTIF(CM_ID,$N139)=0),"ERRO: compromisso inexistente","OK")))))))))))))</f>
        <v/>
      </c>
      <c r="AK139" s="35" t="str">
        <f aca="false">IF($B139="","",IF(AND($N139="",$O139="",$P139="",$Q139="",$R139=""),"","VINCULADO: "&amp;TRIM(IF($N139&lt;&gt;"",$N139&amp;" ","")&amp;IF($O139&lt;&gt;"",$O139&amp;" ","")&amp;IF($P139&lt;&gt;"",$P139&amp;" ","")&amp;IF($Q139&lt;&gt;"",$Q139&amp;" ","")&amp;IF($R139&lt;&gt;"",$R139,""))))</f>
        <v/>
      </c>
    </row>
    <row r="140" customFormat="false" ht="15" hidden="false" customHeight="false" outlineLevel="0" collapsed="false">
      <c r="A140" s="30" t="str">
        <f aca="false">IF($B140="","","LAN-"&amp;TEXT(ROW()-4,"000000"))</f>
        <v/>
      </c>
      <c r="B140" s="31"/>
      <c r="C140" s="32"/>
      <c r="D140" s="32"/>
      <c r="E140" s="32"/>
      <c r="F140" s="33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4" t="str">
        <f aca="false">IF($B140="","",YEAR($B140))</f>
        <v/>
      </c>
      <c r="U140" s="34" t="str">
        <f aca="false">IF($B140="","",MONTH($B140))</f>
        <v/>
      </c>
      <c r="V140" s="34" t="str">
        <f aca="false">IF($B140="","",YEAR($B140)*100+MONTH($B140))</f>
        <v/>
      </c>
      <c r="W140" s="35" t="str">
        <f aca="false">IF($D140="","",IFERROR(INDEX(MAP_CLASS,MATCH($D140,MAP_TIPO,0)),"TIPO INVALIDO"))</f>
        <v/>
      </c>
      <c r="X140" s="35" t="str">
        <f aca="false">IF($K140="","",IFERROR(INDEX(CAT_NOME,MATCH($K140,CAT_ID,0)),"?"))</f>
        <v/>
      </c>
      <c r="Y140" s="35" t="str">
        <f aca="false">IF($L140="","",IFERROR(INDEX(SUB_NOME,MATCH($L140,SUB_ID,0)),"?"))</f>
        <v/>
      </c>
      <c r="Z140" s="35" t="str">
        <f aca="false">IF($G140="","",IF($G140="EXTERNO","(Externo)",IFERROR(INDEX(ENT_NOME,MATCH($H140,ENT_ID,0)),"?")))</f>
        <v/>
      </c>
      <c r="AA140" s="35" t="str">
        <f aca="false">IF($I140="","",IF($I140="EXTERNO","(Externo)",IFERROR(INDEX(ENT_NOME,MATCH($J140,ENT_ID,0)),"?")))</f>
        <v/>
      </c>
      <c r="AB140" s="36" t="n">
        <f aca="false">IF($B140="",0,IF(AND($I140="CONTA",$G140&lt;&gt;"CONTA"),$F140,0))</f>
        <v>0</v>
      </c>
      <c r="AC140" s="36" t="n">
        <f aca="false">IF($B140="",0,IF(AND($G140="CONTA",$I140&lt;&gt;"CONTA"),$F140,0))</f>
        <v>0</v>
      </c>
      <c r="AD140" s="36" t="n">
        <f aca="false">IF($W140="RECEITA",$F140,0)</f>
        <v>0</v>
      </c>
      <c r="AE140" s="36" t="n">
        <f aca="false">IF($W140="DESPESA",$F140,0)</f>
        <v>0</v>
      </c>
      <c r="AF140" s="36" t="n">
        <f aca="false">IF($W140="RECEITA_FINANCEIRA",$F140,0)</f>
        <v>0</v>
      </c>
      <c r="AG140" s="36" t="n">
        <f aca="false">IF($B140="",0,IF($I140="CONTA",$F140,0)-IF($G140="CONTA",$F140,0))</f>
        <v>0</v>
      </c>
      <c r="AH140" s="36" t="n">
        <f aca="false">IF($B140="",0,IF($G140="CARTAO",$F140,0)-IF($I140="CARTAO",$F140,0))</f>
        <v>0</v>
      </c>
      <c r="AI140" s="36" t="n">
        <f aca="false">IF($B140="",0,IF($I140="INVESTIMENTO",$F140,0)-IF($G140="INVESTIMENTO",$F140,0))</f>
        <v>0</v>
      </c>
      <c r="AJ140" s="35" t="str">
        <f aca="false">IF($B140="","",IF(NOT(ISNUMBER($F140)),"ERRO: valor nao numerico",IF($F140&lt;=0,"ERRO: valor deve ser maior que zero",IF(COUNTIF(MAP_TIPO,$D140)=0,"ERRO: tipo de operacao nao cadastrado",IF(COUNTIF(LST_STATUS,$E140)=0,"ERRO: status invalido",IF(AND($G140="EXTERNO",$I140="EXTERNO"),"ERRO: origem e destino externos",IF(AND($G140&lt;&gt;"EXTERNO",COUNTIFS(ENT_ID,$H140,ENT_TIPO,$G140)=0),"ERRO: origem inexistente",IF(AND($I140&lt;&gt;"EXTERNO",COUNTIFS(ENT_ID,$J140,ENT_TIPO,$I140)=0),"ERRO: destino inexistente",IF(AND($K140&lt;&gt;"",COUNTIF(CAT_ID,$K140)=0),"ERRO: categoria inexistente",IF(AND($L140&lt;&gt;"",COUNTIF(SUB_ID,$L140)=0),"ERRO: subcategoria inexistente",IF(AND($L140&lt;&gt;"",$K140&lt;&gt;"",IFERROR(INDEX(SUB_CATID,MATCH($L140,SUB_ID,0)),"")&lt;&gt;$K140),"ERRO: subcategoria nao pertence a categoria",IF(AND($O140&lt;&gt;"",COUNTIF(P_ID,$O140)=0),"ERRO: parcela inexistente",IF(AND($N140&lt;&gt;"",COUNTIF(CM_ID,$N140)=0),"ERRO: compromisso inexistente","OK")))))))))))))</f>
        <v/>
      </c>
      <c r="AK140" s="35" t="str">
        <f aca="false">IF($B140="","",IF(AND($N140="",$O140="",$P140="",$Q140="",$R140=""),"","VINCULADO: "&amp;TRIM(IF($N140&lt;&gt;"",$N140&amp;" ","")&amp;IF($O140&lt;&gt;"",$O140&amp;" ","")&amp;IF($P140&lt;&gt;"",$P140&amp;" ","")&amp;IF($Q140&lt;&gt;"",$Q140&amp;" ","")&amp;IF($R140&lt;&gt;"",$R140,""))))</f>
        <v/>
      </c>
    </row>
    <row r="141" customFormat="false" ht="15" hidden="false" customHeight="false" outlineLevel="0" collapsed="false">
      <c r="A141" s="30" t="str">
        <f aca="false">IF($B141="","","LAN-"&amp;TEXT(ROW()-4,"000000"))</f>
        <v/>
      </c>
      <c r="B141" s="31"/>
      <c r="C141" s="32"/>
      <c r="D141" s="32"/>
      <c r="E141" s="32"/>
      <c r="F141" s="33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4" t="str">
        <f aca="false">IF($B141="","",YEAR($B141))</f>
        <v/>
      </c>
      <c r="U141" s="34" t="str">
        <f aca="false">IF($B141="","",MONTH($B141))</f>
        <v/>
      </c>
      <c r="V141" s="34" t="str">
        <f aca="false">IF($B141="","",YEAR($B141)*100+MONTH($B141))</f>
        <v/>
      </c>
      <c r="W141" s="35" t="str">
        <f aca="false">IF($D141="","",IFERROR(INDEX(MAP_CLASS,MATCH($D141,MAP_TIPO,0)),"TIPO INVALIDO"))</f>
        <v/>
      </c>
      <c r="X141" s="35" t="str">
        <f aca="false">IF($K141="","",IFERROR(INDEX(CAT_NOME,MATCH($K141,CAT_ID,0)),"?"))</f>
        <v/>
      </c>
      <c r="Y141" s="35" t="str">
        <f aca="false">IF($L141="","",IFERROR(INDEX(SUB_NOME,MATCH($L141,SUB_ID,0)),"?"))</f>
        <v/>
      </c>
      <c r="Z141" s="35" t="str">
        <f aca="false">IF($G141="","",IF($G141="EXTERNO","(Externo)",IFERROR(INDEX(ENT_NOME,MATCH($H141,ENT_ID,0)),"?")))</f>
        <v/>
      </c>
      <c r="AA141" s="35" t="str">
        <f aca="false">IF($I141="","",IF($I141="EXTERNO","(Externo)",IFERROR(INDEX(ENT_NOME,MATCH($J141,ENT_ID,0)),"?")))</f>
        <v/>
      </c>
      <c r="AB141" s="36" t="n">
        <f aca="false">IF($B141="",0,IF(AND($I141="CONTA",$G141&lt;&gt;"CONTA"),$F141,0))</f>
        <v>0</v>
      </c>
      <c r="AC141" s="36" t="n">
        <f aca="false">IF($B141="",0,IF(AND($G141="CONTA",$I141&lt;&gt;"CONTA"),$F141,0))</f>
        <v>0</v>
      </c>
      <c r="AD141" s="36" t="n">
        <f aca="false">IF($W141="RECEITA",$F141,0)</f>
        <v>0</v>
      </c>
      <c r="AE141" s="36" t="n">
        <f aca="false">IF($W141="DESPESA",$F141,0)</f>
        <v>0</v>
      </c>
      <c r="AF141" s="36" t="n">
        <f aca="false">IF($W141="RECEITA_FINANCEIRA",$F141,0)</f>
        <v>0</v>
      </c>
      <c r="AG141" s="36" t="n">
        <f aca="false">IF($B141="",0,IF($I141="CONTA",$F141,0)-IF($G141="CONTA",$F141,0))</f>
        <v>0</v>
      </c>
      <c r="AH141" s="36" t="n">
        <f aca="false">IF($B141="",0,IF($G141="CARTAO",$F141,0)-IF($I141="CARTAO",$F141,0))</f>
        <v>0</v>
      </c>
      <c r="AI141" s="36" t="n">
        <f aca="false">IF($B141="",0,IF($I141="INVESTIMENTO",$F141,0)-IF($G141="INVESTIMENTO",$F141,0))</f>
        <v>0</v>
      </c>
      <c r="AJ141" s="35" t="str">
        <f aca="false">IF($B141="","",IF(NOT(ISNUMBER($F141)),"ERRO: valor nao numerico",IF($F141&lt;=0,"ERRO: valor deve ser maior que zero",IF(COUNTIF(MAP_TIPO,$D141)=0,"ERRO: tipo de operacao nao cadastrado",IF(COUNTIF(LST_STATUS,$E141)=0,"ERRO: status invalido",IF(AND($G141="EXTERNO",$I141="EXTERNO"),"ERRO: origem e destino externos",IF(AND($G141&lt;&gt;"EXTERNO",COUNTIFS(ENT_ID,$H141,ENT_TIPO,$G141)=0),"ERRO: origem inexistente",IF(AND($I141&lt;&gt;"EXTERNO",COUNTIFS(ENT_ID,$J141,ENT_TIPO,$I141)=0),"ERRO: destino inexistente",IF(AND($K141&lt;&gt;"",COUNTIF(CAT_ID,$K141)=0),"ERRO: categoria inexistente",IF(AND($L141&lt;&gt;"",COUNTIF(SUB_ID,$L141)=0),"ERRO: subcategoria inexistente",IF(AND($L141&lt;&gt;"",$K141&lt;&gt;"",IFERROR(INDEX(SUB_CATID,MATCH($L141,SUB_ID,0)),"")&lt;&gt;$K141),"ERRO: subcategoria nao pertence a categoria",IF(AND($O141&lt;&gt;"",COUNTIF(P_ID,$O141)=0),"ERRO: parcela inexistente",IF(AND($N141&lt;&gt;"",COUNTIF(CM_ID,$N141)=0),"ERRO: compromisso inexistente","OK")))))))))))))</f>
        <v/>
      </c>
      <c r="AK141" s="35" t="str">
        <f aca="false">IF($B141="","",IF(AND($N141="",$O141="",$P141="",$Q141="",$R141=""),"","VINCULADO: "&amp;TRIM(IF($N141&lt;&gt;"",$N141&amp;" ","")&amp;IF($O141&lt;&gt;"",$O141&amp;" ","")&amp;IF($P141&lt;&gt;"",$P141&amp;" ","")&amp;IF($Q141&lt;&gt;"",$Q141&amp;" ","")&amp;IF($R141&lt;&gt;"",$R141,""))))</f>
        <v/>
      </c>
    </row>
    <row r="142" customFormat="false" ht="15" hidden="false" customHeight="false" outlineLevel="0" collapsed="false">
      <c r="A142" s="30" t="str">
        <f aca="false">IF($B142="","","LAN-"&amp;TEXT(ROW()-4,"000000"))</f>
        <v/>
      </c>
      <c r="B142" s="31"/>
      <c r="C142" s="32"/>
      <c r="D142" s="32"/>
      <c r="E142" s="32"/>
      <c r="F142" s="33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4" t="str">
        <f aca="false">IF($B142="","",YEAR($B142))</f>
        <v/>
      </c>
      <c r="U142" s="34" t="str">
        <f aca="false">IF($B142="","",MONTH($B142))</f>
        <v/>
      </c>
      <c r="V142" s="34" t="str">
        <f aca="false">IF($B142="","",YEAR($B142)*100+MONTH($B142))</f>
        <v/>
      </c>
      <c r="W142" s="35" t="str">
        <f aca="false">IF($D142="","",IFERROR(INDEX(MAP_CLASS,MATCH($D142,MAP_TIPO,0)),"TIPO INVALIDO"))</f>
        <v/>
      </c>
      <c r="X142" s="35" t="str">
        <f aca="false">IF($K142="","",IFERROR(INDEX(CAT_NOME,MATCH($K142,CAT_ID,0)),"?"))</f>
        <v/>
      </c>
      <c r="Y142" s="35" t="str">
        <f aca="false">IF($L142="","",IFERROR(INDEX(SUB_NOME,MATCH($L142,SUB_ID,0)),"?"))</f>
        <v/>
      </c>
      <c r="Z142" s="35" t="str">
        <f aca="false">IF($G142="","",IF($G142="EXTERNO","(Externo)",IFERROR(INDEX(ENT_NOME,MATCH($H142,ENT_ID,0)),"?")))</f>
        <v/>
      </c>
      <c r="AA142" s="35" t="str">
        <f aca="false">IF($I142="","",IF($I142="EXTERNO","(Externo)",IFERROR(INDEX(ENT_NOME,MATCH($J142,ENT_ID,0)),"?")))</f>
        <v/>
      </c>
      <c r="AB142" s="36" t="n">
        <f aca="false">IF($B142="",0,IF(AND($I142="CONTA",$G142&lt;&gt;"CONTA"),$F142,0))</f>
        <v>0</v>
      </c>
      <c r="AC142" s="36" t="n">
        <f aca="false">IF($B142="",0,IF(AND($G142="CONTA",$I142&lt;&gt;"CONTA"),$F142,0))</f>
        <v>0</v>
      </c>
      <c r="AD142" s="36" t="n">
        <f aca="false">IF($W142="RECEITA",$F142,0)</f>
        <v>0</v>
      </c>
      <c r="AE142" s="36" t="n">
        <f aca="false">IF($W142="DESPESA",$F142,0)</f>
        <v>0</v>
      </c>
      <c r="AF142" s="36" t="n">
        <f aca="false">IF($W142="RECEITA_FINANCEIRA",$F142,0)</f>
        <v>0</v>
      </c>
      <c r="AG142" s="36" t="n">
        <f aca="false">IF($B142="",0,IF($I142="CONTA",$F142,0)-IF($G142="CONTA",$F142,0))</f>
        <v>0</v>
      </c>
      <c r="AH142" s="36" t="n">
        <f aca="false">IF($B142="",0,IF($G142="CARTAO",$F142,0)-IF($I142="CARTAO",$F142,0))</f>
        <v>0</v>
      </c>
      <c r="AI142" s="36" t="n">
        <f aca="false">IF($B142="",0,IF($I142="INVESTIMENTO",$F142,0)-IF($G142="INVESTIMENTO",$F142,0))</f>
        <v>0</v>
      </c>
      <c r="AJ142" s="35" t="str">
        <f aca="false">IF($B142="","",IF(NOT(ISNUMBER($F142)),"ERRO: valor nao numerico",IF($F142&lt;=0,"ERRO: valor deve ser maior que zero",IF(COUNTIF(MAP_TIPO,$D142)=0,"ERRO: tipo de operacao nao cadastrado",IF(COUNTIF(LST_STATUS,$E142)=0,"ERRO: status invalido",IF(AND($G142="EXTERNO",$I142="EXTERNO"),"ERRO: origem e destino externos",IF(AND($G142&lt;&gt;"EXTERNO",COUNTIFS(ENT_ID,$H142,ENT_TIPO,$G142)=0),"ERRO: origem inexistente",IF(AND($I142&lt;&gt;"EXTERNO",COUNTIFS(ENT_ID,$J142,ENT_TIPO,$I142)=0),"ERRO: destino inexistente",IF(AND($K142&lt;&gt;"",COUNTIF(CAT_ID,$K142)=0),"ERRO: categoria inexistente",IF(AND($L142&lt;&gt;"",COUNTIF(SUB_ID,$L142)=0),"ERRO: subcategoria inexistente",IF(AND($L142&lt;&gt;"",$K142&lt;&gt;"",IFERROR(INDEX(SUB_CATID,MATCH($L142,SUB_ID,0)),"")&lt;&gt;$K142),"ERRO: subcategoria nao pertence a categoria",IF(AND($O142&lt;&gt;"",COUNTIF(P_ID,$O142)=0),"ERRO: parcela inexistente",IF(AND($N142&lt;&gt;"",COUNTIF(CM_ID,$N142)=0),"ERRO: compromisso inexistente","OK")))))))))))))</f>
        <v/>
      </c>
      <c r="AK142" s="35" t="str">
        <f aca="false">IF($B142="","",IF(AND($N142="",$O142="",$P142="",$Q142="",$R142=""),"","VINCULADO: "&amp;TRIM(IF($N142&lt;&gt;"",$N142&amp;" ","")&amp;IF($O142&lt;&gt;"",$O142&amp;" ","")&amp;IF($P142&lt;&gt;"",$P142&amp;" ","")&amp;IF($Q142&lt;&gt;"",$Q142&amp;" ","")&amp;IF($R142&lt;&gt;"",$R142,""))))</f>
        <v/>
      </c>
    </row>
    <row r="143" customFormat="false" ht="15" hidden="false" customHeight="false" outlineLevel="0" collapsed="false">
      <c r="A143" s="30" t="str">
        <f aca="false">IF($B143="","","LAN-"&amp;TEXT(ROW()-4,"000000"))</f>
        <v/>
      </c>
      <c r="B143" s="31"/>
      <c r="C143" s="32"/>
      <c r="D143" s="32"/>
      <c r="E143" s="32"/>
      <c r="F143" s="33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4" t="str">
        <f aca="false">IF($B143="","",YEAR($B143))</f>
        <v/>
      </c>
      <c r="U143" s="34" t="str">
        <f aca="false">IF($B143="","",MONTH($B143))</f>
        <v/>
      </c>
      <c r="V143" s="34" t="str">
        <f aca="false">IF($B143="","",YEAR($B143)*100+MONTH($B143))</f>
        <v/>
      </c>
      <c r="W143" s="35" t="str">
        <f aca="false">IF($D143="","",IFERROR(INDEX(MAP_CLASS,MATCH($D143,MAP_TIPO,0)),"TIPO INVALIDO"))</f>
        <v/>
      </c>
      <c r="X143" s="35" t="str">
        <f aca="false">IF($K143="","",IFERROR(INDEX(CAT_NOME,MATCH($K143,CAT_ID,0)),"?"))</f>
        <v/>
      </c>
      <c r="Y143" s="35" t="str">
        <f aca="false">IF($L143="","",IFERROR(INDEX(SUB_NOME,MATCH($L143,SUB_ID,0)),"?"))</f>
        <v/>
      </c>
      <c r="Z143" s="35" t="str">
        <f aca="false">IF($G143="","",IF($G143="EXTERNO","(Externo)",IFERROR(INDEX(ENT_NOME,MATCH($H143,ENT_ID,0)),"?")))</f>
        <v/>
      </c>
      <c r="AA143" s="35" t="str">
        <f aca="false">IF($I143="","",IF($I143="EXTERNO","(Externo)",IFERROR(INDEX(ENT_NOME,MATCH($J143,ENT_ID,0)),"?")))</f>
        <v/>
      </c>
      <c r="AB143" s="36" t="n">
        <f aca="false">IF($B143="",0,IF(AND($I143="CONTA",$G143&lt;&gt;"CONTA"),$F143,0))</f>
        <v>0</v>
      </c>
      <c r="AC143" s="36" t="n">
        <f aca="false">IF($B143="",0,IF(AND($G143="CONTA",$I143&lt;&gt;"CONTA"),$F143,0))</f>
        <v>0</v>
      </c>
      <c r="AD143" s="36" t="n">
        <f aca="false">IF($W143="RECEITA",$F143,0)</f>
        <v>0</v>
      </c>
      <c r="AE143" s="36" t="n">
        <f aca="false">IF($W143="DESPESA",$F143,0)</f>
        <v>0</v>
      </c>
      <c r="AF143" s="36" t="n">
        <f aca="false">IF($W143="RECEITA_FINANCEIRA",$F143,0)</f>
        <v>0</v>
      </c>
      <c r="AG143" s="36" t="n">
        <f aca="false">IF($B143="",0,IF($I143="CONTA",$F143,0)-IF($G143="CONTA",$F143,0))</f>
        <v>0</v>
      </c>
      <c r="AH143" s="36" t="n">
        <f aca="false">IF($B143="",0,IF($G143="CARTAO",$F143,0)-IF($I143="CARTAO",$F143,0))</f>
        <v>0</v>
      </c>
      <c r="AI143" s="36" t="n">
        <f aca="false">IF($B143="",0,IF($I143="INVESTIMENTO",$F143,0)-IF($G143="INVESTIMENTO",$F143,0))</f>
        <v>0</v>
      </c>
      <c r="AJ143" s="35" t="str">
        <f aca="false">IF($B143="","",IF(NOT(ISNUMBER($F143)),"ERRO: valor nao numerico",IF($F143&lt;=0,"ERRO: valor deve ser maior que zero",IF(COUNTIF(MAP_TIPO,$D143)=0,"ERRO: tipo de operacao nao cadastrado",IF(COUNTIF(LST_STATUS,$E143)=0,"ERRO: status invalido",IF(AND($G143="EXTERNO",$I143="EXTERNO"),"ERRO: origem e destino externos",IF(AND($G143&lt;&gt;"EXTERNO",COUNTIFS(ENT_ID,$H143,ENT_TIPO,$G143)=0),"ERRO: origem inexistente",IF(AND($I143&lt;&gt;"EXTERNO",COUNTIFS(ENT_ID,$J143,ENT_TIPO,$I143)=0),"ERRO: destino inexistente",IF(AND($K143&lt;&gt;"",COUNTIF(CAT_ID,$K143)=0),"ERRO: categoria inexistente",IF(AND($L143&lt;&gt;"",COUNTIF(SUB_ID,$L143)=0),"ERRO: subcategoria inexistente",IF(AND($L143&lt;&gt;"",$K143&lt;&gt;"",IFERROR(INDEX(SUB_CATID,MATCH($L143,SUB_ID,0)),"")&lt;&gt;$K143),"ERRO: subcategoria nao pertence a categoria",IF(AND($O143&lt;&gt;"",COUNTIF(P_ID,$O143)=0),"ERRO: parcela inexistente",IF(AND($N143&lt;&gt;"",COUNTIF(CM_ID,$N143)=0),"ERRO: compromisso inexistente","OK")))))))))))))</f>
        <v/>
      </c>
      <c r="AK143" s="35" t="str">
        <f aca="false">IF($B143="","",IF(AND($N143="",$O143="",$P143="",$Q143="",$R143=""),"","VINCULADO: "&amp;TRIM(IF($N143&lt;&gt;"",$N143&amp;" ","")&amp;IF($O143&lt;&gt;"",$O143&amp;" ","")&amp;IF($P143&lt;&gt;"",$P143&amp;" ","")&amp;IF($Q143&lt;&gt;"",$Q143&amp;" ","")&amp;IF($R143&lt;&gt;"",$R143,""))))</f>
        <v/>
      </c>
    </row>
    <row r="144" customFormat="false" ht="15" hidden="false" customHeight="false" outlineLevel="0" collapsed="false">
      <c r="A144" s="30" t="str">
        <f aca="false">IF($B144="","","LAN-"&amp;TEXT(ROW()-4,"000000"))</f>
        <v/>
      </c>
      <c r="B144" s="31"/>
      <c r="C144" s="32"/>
      <c r="D144" s="32"/>
      <c r="E144" s="32"/>
      <c r="F144" s="33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4" t="str">
        <f aca="false">IF($B144="","",YEAR($B144))</f>
        <v/>
      </c>
      <c r="U144" s="34" t="str">
        <f aca="false">IF($B144="","",MONTH($B144))</f>
        <v/>
      </c>
      <c r="V144" s="34" t="str">
        <f aca="false">IF($B144="","",YEAR($B144)*100+MONTH($B144))</f>
        <v/>
      </c>
      <c r="W144" s="35" t="str">
        <f aca="false">IF($D144="","",IFERROR(INDEX(MAP_CLASS,MATCH($D144,MAP_TIPO,0)),"TIPO INVALIDO"))</f>
        <v/>
      </c>
      <c r="X144" s="35" t="str">
        <f aca="false">IF($K144="","",IFERROR(INDEX(CAT_NOME,MATCH($K144,CAT_ID,0)),"?"))</f>
        <v/>
      </c>
      <c r="Y144" s="35" t="str">
        <f aca="false">IF($L144="","",IFERROR(INDEX(SUB_NOME,MATCH($L144,SUB_ID,0)),"?"))</f>
        <v/>
      </c>
      <c r="Z144" s="35" t="str">
        <f aca="false">IF($G144="","",IF($G144="EXTERNO","(Externo)",IFERROR(INDEX(ENT_NOME,MATCH($H144,ENT_ID,0)),"?")))</f>
        <v/>
      </c>
      <c r="AA144" s="35" t="str">
        <f aca="false">IF($I144="","",IF($I144="EXTERNO","(Externo)",IFERROR(INDEX(ENT_NOME,MATCH($J144,ENT_ID,0)),"?")))</f>
        <v/>
      </c>
      <c r="AB144" s="36" t="n">
        <f aca="false">IF($B144="",0,IF(AND($I144="CONTA",$G144&lt;&gt;"CONTA"),$F144,0))</f>
        <v>0</v>
      </c>
      <c r="AC144" s="36" t="n">
        <f aca="false">IF($B144="",0,IF(AND($G144="CONTA",$I144&lt;&gt;"CONTA"),$F144,0))</f>
        <v>0</v>
      </c>
      <c r="AD144" s="36" t="n">
        <f aca="false">IF($W144="RECEITA",$F144,0)</f>
        <v>0</v>
      </c>
      <c r="AE144" s="36" t="n">
        <f aca="false">IF($W144="DESPESA",$F144,0)</f>
        <v>0</v>
      </c>
      <c r="AF144" s="36" t="n">
        <f aca="false">IF($W144="RECEITA_FINANCEIRA",$F144,0)</f>
        <v>0</v>
      </c>
      <c r="AG144" s="36" t="n">
        <f aca="false">IF($B144="",0,IF($I144="CONTA",$F144,0)-IF($G144="CONTA",$F144,0))</f>
        <v>0</v>
      </c>
      <c r="AH144" s="36" t="n">
        <f aca="false">IF($B144="",0,IF($G144="CARTAO",$F144,0)-IF($I144="CARTAO",$F144,0))</f>
        <v>0</v>
      </c>
      <c r="AI144" s="36" t="n">
        <f aca="false">IF($B144="",0,IF($I144="INVESTIMENTO",$F144,0)-IF($G144="INVESTIMENTO",$F144,0))</f>
        <v>0</v>
      </c>
      <c r="AJ144" s="35" t="str">
        <f aca="false">IF($B144="","",IF(NOT(ISNUMBER($F144)),"ERRO: valor nao numerico",IF($F144&lt;=0,"ERRO: valor deve ser maior que zero",IF(COUNTIF(MAP_TIPO,$D144)=0,"ERRO: tipo de operacao nao cadastrado",IF(COUNTIF(LST_STATUS,$E144)=0,"ERRO: status invalido",IF(AND($G144="EXTERNO",$I144="EXTERNO"),"ERRO: origem e destino externos",IF(AND($G144&lt;&gt;"EXTERNO",COUNTIFS(ENT_ID,$H144,ENT_TIPO,$G144)=0),"ERRO: origem inexistente",IF(AND($I144&lt;&gt;"EXTERNO",COUNTIFS(ENT_ID,$J144,ENT_TIPO,$I144)=0),"ERRO: destino inexistente",IF(AND($K144&lt;&gt;"",COUNTIF(CAT_ID,$K144)=0),"ERRO: categoria inexistente",IF(AND($L144&lt;&gt;"",COUNTIF(SUB_ID,$L144)=0),"ERRO: subcategoria inexistente",IF(AND($L144&lt;&gt;"",$K144&lt;&gt;"",IFERROR(INDEX(SUB_CATID,MATCH($L144,SUB_ID,0)),"")&lt;&gt;$K144),"ERRO: subcategoria nao pertence a categoria",IF(AND($O144&lt;&gt;"",COUNTIF(P_ID,$O144)=0),"ERRO: parcela inexistente",IF(AND($N144&lt;&gt;"",COUNTIF(CM_ID,$N144)=0),"ERRO: compromisso inexistente","OK")))))))))))))</f>
        <v/>
      </c>
      <c r="AK144" s="35" t="str">
        <f aca="false">IF($B144="","",IF(AND($N144="",$O144="",$P144="",$Q144="",$R144=""),"","VINCULADO: "&amp;TRIM(IF($N144&lt;&gt;"",$N144&amp;" ","")&amp;IF($O144&lt;&gt;"",$O144&amp;" ","")&amp;IF($P144&lt;&gt;"",$P144&amp;" ","")&amp;IF($Q144&lt;&gt;"",$Q144&amp;" ","")&amp;IF($R144&lt;&gt;"",$R144,""))))</f>
        <v/>
      </c>
    </row>
    <row r="145" customFormat="false" ht="15" hidden="false" customHeight="false" outlineLevel="0" collapsed="false">
      <c r="A145" s="30" t="str">
        <f aca="false">IF($B145="","","LAN-"&amp;TEXT(ROW()-4,"000000"))</f>
        <v/>
      </c>
      <c r="B145" s="31"/>
      <c r="C145" s="32"/>
      <c r="D145" s="32"/>
      <c r="E145" s="32"/>
      <c r="F145" s="33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4" t="str">
        <f aca="false">IF($B145="","",YEAR($B145))</f>
        <v/>
      </c>
      <c r="U145" s="34" t="str">
        <f aca="false">IF($B145="","",MONTH($B145))</f>
        <v/>
      </c>
      <c r="V145" s="34" t="str">
        <f aca="false">IF($B145="","",YEAR($B145)*100+MONTH($B145))</f>
        <v/>
      </c>
      <c r="W145" s="35" t="str">
        <f aca="false">IF($D145="","",IFERROR(INDEX(MAP_CLASS,MATCH($D145,MAP_TIPO,0)),"TIPO INVALIDO"))</f>
        <v/>
      </c>
      <c r="X145" s="35" t="str">
        <f aca="false">IF($K145="","",IFERROR(INDEX(CAT_NOME,MATCH($K145,CAT_ID,0)),"?"))</f>
        <v/>
      </c>
      <c r="Y145" s="35" t="str">
        <f aca="false">IF($L145="","",IFERROR(INDEX(SUB_NOME,MATCH($L145,SUB_ID,0)),"?"))</f>
        <v/>
      </c>
      <c r="Z145" s="35" t="str">
        <f aca="false">IF($G145="","",IF($G145="EXTERNO","(Externo)",IFERROR(INDEX(ENT_NOME,MATCH($H145,ENT_ID,0)),"?")))</f>
        <v/>
      </c>
      <c r="AA145" s="35" t="str">
        <f aca="false">IF($I145="","",IF($I145="EXTERNO","(Externo)",IFERROR(INDEX(ENT_NOME,MATCH($J145,ENT_ID,0)),"?")))</f>
        <v/>
      </c>
      <c r="AB145" s="36" t="n">
        <f aca="false">IF($B145="",0,IF(AND($I145="CONTA",$G145&lt;&gt;"CONTA"),$F145,0))</f>
        <v>0</v>
      </c>
      <c r="AC145" s="36" t="n">
        <f aca="false">IF($B145="",0,IF(AND($G145="CONTA",$I145&lt;&gt;"CONTA"),$F145,0))</f>
        <v>0</v>
      </c>
      <c r="AD145" s="36" t="n">
        <f aca="false">IF($W145="RECEITA",$F145,0)</f>
        <v>0</v>
      </c>
      <c r="AE145" s="36" t="n">
        <f aca="false">IF($W145="DESPESA",$F145,0)</f>
        <v>0</v>
      </c>
      <c r="AF145" s="36" t="n">
        <f aca="false">IF($W145="RECEITA_FINANCEIRA",$F145,0)</f>
        <v>0</v>
      </c>
      <c r="AG145" s="36" t="n">
        <f aca="false">IF($B145="",0,IF($I145="CONTA",$F145,0)-IF($G145="CONTA",$F145,0))</f>
        <v>0</v>
      </c>
      <c r="AH145" s="36" t="n">
        <f aca="false">IF($B145="",0,IF($G145="CARTAO",$F145,0)-IF($I145="CARTAO",$F145,0))</f>
        <v>0</v>
      </c>
      <c r="AI145" s="36" t="n">
        <f aca="false">IF($B145="",0,IF($I145="INVESTIMENTO",$F145,0)-IF($G145="INVESTIMENTO",$F145,0))</f>
        <v>0</v>
      </c>
      <c r="AJ145" s="35" t="str">
        <f aca="false">IF($B145="","",IF(NOT(ISNUMBER($F145)),"ERRO: valor nao numerico",IF($F145&lt;=0,"ERRO: valor deve ser maior que zero",IF(COUNTIF(MAP_TIPO,$D145)=0,"ERRO: tipo de operacao nao cadastrado",IF(COUNTIF(LST_STATUS,$E145)=0,"ERRO: status invalido",IF(AND($G145="EXTERNO",$I145="EXTERNO"),"ERRO: origem e destino externos",IF(AND($G145&lt;&gt;"EXTERNO",COUNTIFS(ENT_ID,$H145,ENT_TIPO,$G145)=0),"ERRO: origem inexistente",IF(AND($I145&lt;&gt;"EXTERNO",COUNTIFS(ENT_ID,$J145,ENT_TIPO,$I145)=0),"ERRO: destino inexistente",IF(AND($K145&lt;&gt;"",COUNTIF(CAT_ID,$K145)=0),"ERRO: categoria inexistente",IF(AND($L145&lt;&gt;"",COUNTIF(SUB_ID,$L145)=0),"ERRO: subcategoria inexistente",IF(AND($L145&lt;&gt;"",$K145&lt;&gt;"",IFERROR(INDEX(SUB_CATID,MATCH($L145,SUB_ID,0)),"")&lt;&gt;$K145),"ERRO: subcategoria nao pertence a categoria",IF(AND($O145&lt;&gt;"",COUNTIF(P_ID,$O145)=0),"ERRO: parcela inexistente",IF(AND($N145&lt;&gt;"",COUNTIF(CM_ID,$N145)=0),"ERRO: compromisso inexistente","OK")))))))))))))</f>
        <v/>
      </c>
      <c r="AK145" s="35" t="str">
        <f aca="false">IF($B145="","",IF(AND($N145="",$O145="",$P145="",$Q145="",$R145=""),"","VINCULADO: "&amp;TRIM(IF($N145&lt;&gt;"",$N145&amp;" ","")&amp;IF($O145&lt;&gt;"",$O145&amp;" ","")&amp;IF($P145&lt;&gt;"",$P145&amp;" ","")&amp;IF($Q145&lt;&gt;"",$Q145&amp;" ","")&amp;IF($R145&lt;&gt;"",$R145,""))))</f>
        <v/>
      </c>
    </row>
    <row r="146" customFormat="false" ht="15" hidden="false" customHeight="false" outlineLevel="0" collapsed="false">
      <c r="A146" s="30" t="str">
        <f aca="false">IF($B146="","","LAN-"&amp;TEXT(ROW()-4,"000000"))</f>
        <v/>
      </c>
      <c r="B146" s="31"/>
      <c r="C146" s="32"/>
      <c r="D146" s="32"/>
      <c r="E146" s="32"/>
      <c r="F146" s="33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4" t="str">
        <f aca="false">IF($B146="","",YEAR($B146))</f>
        <v/>
      </c>
      <c r="U146" s="34" t="str">
        <f aca="false">IF($B146="","",MONTH($B146))</f>
        <v/>
      </c>
      <c r="V146" s="34" t="str">
        <f aca="false">IF($B146="","",YEAR($B146)*100+MONTH($B146))</f>
        <v/>
      </c>
      <c r="W146" s="35" t="str">
        <f aca="false">IF($D146="","",IFERROR(INDEX(MAP_CLASS,MATCH($D146,MAP_TIPO,0)),"TIPO INVALIDO"))</f>
        <v/>
      </c>
      <c r="X146" s="35" t="str">
        <f aca="false">IF($K146="","",IFERROR(INDEX(CAT_NOME,MATCH($K146,CAT_ID,0)),"?"))</f>
        <v/>
      </c>
      <c r="Y146" s="35" t="str">
        <f aca="false">IF($L146="","",IFERROR(INDEX(SUB_NOME,MATCH($L146,SUB_ID,0)),"?"))</f>
        <v/>
      </c>
      <c r="Z146" s="35" t="str">
        <f aca="false">IF($G146="","",IF($G146="EXTERNO","(Externo)",IFERROR(INDEX(ENT_NOME,MATCH($H146,ENT_ID,0)),"?")))</f>
        <v/>
      </c>
      <c r="AA146" s="35" t="str">
        <f aca="false">IF($I146="","",IF($I146="EXTERNO","(Externo)",IFERROR(INDEX(ENT_NOME,MATCH($J146,ENT_ID,0)),"?")))</f>
        <v/>
      </c>
      <c r="AB146" s="36" t="n">
        <f aca="false">IF($B146="",0,IF(AND($I146="CONTA",$G146&lt;&gt;"CONTA"),$F146,0))</f>
        <v>0</v>
      </c>
      <c r="AC146" s="36" t="n">
        <f aca="false">IF($B146="",0,IF(AND($G146="CONTA",$I146&lt;&gt;"CONTA"),$F146,0))</f>
        <v>0</v>
      </c>
      <c r="AD146" s="36" t="n">
        <f aca="false">IF($W146="RECEITA",$F146,0)</f>
        <v>0</v>
      </c>
      <c r="AE146" s="36" t="n">
        <f aca="false">IF($W146="DESPESA",$F146,0)</f>
        <v>0</v>
      </c>
      <c r="AF146" s="36" t="n">
        <f aca="false">IF($W146="RECEITA_FINANCEIRA",$F146,0)</f>
        <v>0</v>
      </c>
      <c r="AG146" s="36" t="n">
        <f aca="false">IF($B146="",0,IF($I146="CONTA",$F146,0)-IF($G146="CONTA",$F146,0))</f>
        <v>0</v>
      </c>
      <c r="AH146" s="36" t="n">
        <f aca="false">IF($B146="",0,IF($G146="CARTAO",$F146,0)-IF($I146="CARTAO",$F146,0))</f>
        <v>0</v>
      </c>
      <c r="AI146" s="36" t="n">
        <f aca="false">IF($B146="",0,IF($I146="INVESTIMENTO",$F146,0)-IF($G146="INVESTIMENTO",$F146,0))</f>
        <v>0</v>
      </c>
      <c r="AJ146" s="35" t="str">
        <f aca="false">IF($B146="","",IF(NOT(ISNUMBER($F146)),"ERRO: valor nao numerico",IF($F146&lt;=0,"ERRO: valor deve ser maior que zero",IF(COUNTIF(MAP_TIPO,$D146)=0,"ERRO: tipo de operacao nao cadastrado",IF(COUNTIF(LST_STATUS,$E146)=0,"ERRO: status invalido",IF(AND($G146="EXTERNO",$I146="EXTERNO"),"ERRO: origem e destino externos",IF(AND($G146&lt;&gt;"EXTERNO",COUNTIFS(ENT_ID,$H146,ENT_TIPO,$G146)=0),"ERRO: origem inexistente",IF(AND($I146&lt;&gt;"EXTERNO",COUNTIFS(ENT_ID,$J146,ENT_TIPO,$I146)=0),"ERRO: destino inexistente",IF(AND($K146&lt;&gt;"",COUNTIF(CAT_ID,$K146)=0),"ERRO: categoria inexistente",IF(AND($L146&lt;&gt;"",COUNTIF(SUB_ID,$L146)=0),"ERRO: subcategoria inexistente",IF(AND($L146&lt;&gt;"",$K146&lt;&gt;"",IFERROR(INDEX(SUB_CATID,MATCH($L146,SUB_ID,0)),"")&lt;&gt;$K146),"ERRO: subcategoria nao pertence a categoria",IF(AND($O146&lt;&gt;"",COUNTIF(P_ID,$O146)=0),"ERRO: parcela inexistente",IF(AND($N146&lt;&gt;"",COUNTIF(CM_ID,$N146)=0),"ERRO: compromisso inexistente","OK")))))))))))))</f>
        <v/>
      </c>
      <c r="AK146" s="35" t="str">
        <f aca="false">IF($B146="","",IF(AND($N146="",$O146="",$P146="",$Q146="",$R146=""),"","VINCULADO: "&amp;TRIM(IF($N146&lt;&gt;"",$N146&amp;" ","")&amp;IF($O146&lt;&gt;"",$O146&amp;" ","")&amp;IF($P146&lt;&gt;"",$P146&amp;" ","")&amp;IF($Q146&lt;&gt;"",$Q146&amp;" ","")&amp;IF($R146&lt;&gt;"",$R146,""))))</f>
        <v/>
      </c>
    </row>
    <row r="147" customFormat="false" ht="15" hidden="false" customHeight="false" outlineLevel="0" collapsed="false">
      <c r="A147" s="30" t="str">
        <f aca="false">IF($B147="","","LAN-"&amp;TEXT(ROW()-4,"000000"))</f>
        <v/>
      </c>
      <c r="B147" s="31"/>
      <c r="C147" s="32"/>
      <c r="D147" s="32"/>
      <c r="E147" s="32"/>
      <c r="F147" s="33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4" t="str">
        <f aca="false">IF($B147="","",YEAR($B147))</f>
        <v/>
      </c>
      <c r="U147" s="34" t="str">
        <f aca="false">IF($B147="","",MONTH($B147))</f>
        <v/>
      </c>
      <c r="V147" s="34" t="str">
        <f aca="false">IF($B147="","",YEAR($B147)*100+MONTH($B147))</f>
        <v/>
      </c>
      <c r="W147" s="35" t="str">
        <f aca="false">IF($D147="","",IFERROR(INDEX(MAP_CLASS,MATCH($D147,MAP_TIPO,0)),"TIPO INVALIDO"))</f>
        <v/>
      </c>
      <c r="X147" s="35" t="str">
        <f aca="false">IF($K147="","",IFERROR(INDEX(CAT_NOME,MATCH($K147,CAT_ID,0)),"?"))</f>
        <v/>
      </c>
      <c r="Y147" s="35" t="str">
        <f aca="false">IF($L147="","",IFERROR(INDEX(SUB_NOME,MATCH($L147,SUB_ID,0)),"?"))</f>
        <v/>
      </c>
      <c r="Z147" s="35" t="str">
        <f aca="false">IF($G147="","",IF($G147="EXTERNO","(Externo)",IFERROR(INDEX(ENT_NOME,MATCH($H147,ENT_ID,0)),"?")))</f>
        <v/>
      </c>
      <c r="AA147" s="35" t="str">
        <f aca="false">IF($I147="","",IF($I147="EXTERNO","(Externo)",IFERROR(INDEX(ENT_NOME,MATCH($J147,ENT_ID,0)),"?")))</f>
        <v/>
      </c>
      <c r="AB147" s="36" t="n">
        <f aca="false">IF($B147="",0,IF(AND($I147="CONTA",$G147&lt;&gt;"CONTA"),$F147,0))</f>
        <v>0</v>
      </c>
      <c r="AC147" s="36" t="n">
        <f aca="false">IF($B147="",0,IF(AND($G147="CONTA",$I147&lt;&gt;"CONTA"),$F147,0))</f>
        <v>0</v>
      </c>
      <c r="AD147" s="36" t="n">
        <f aca="false">IF($W147="RECEITA",$F147,0)</f>
        <v>0</v>
      </c>
      <c r="AE147" s="36" t="n">
        <f aca="false">IF($W147="DESPESA",$F147,0)</f>
        <v>0</v>
      </c>
      <c r="AF147" s="36" t="n">
        <f aca="false">IF($W147="RECEITA_FINANCEIRA",$F147,0)</f>
        <v>0</v>
      </c>
      <c r="AG147" s="36" t="n">
        <f aca="false">IF($B147="",0,IF($I147="CONTA",$F147,0)-IF($G147="CONTA",$F147,0))</f>
        <v>0</v>
      </c>
      <c r="AH147" s="36" t="n">
        <f aca="false">IF($B147="",0,IF($G147="CARTAO",$F147,0)-IF($I147="CARTAO",$F147,0))</f>
        <v>0</v>
      </c>
      <c r="AI147" s="36" t="n">
        <f aca="false">IF($B147="",0,IF($I147="INVESTIMENTO",$F147,0)-IF($G147="INVESTIMENTO",$F147,0))</f>
        <v>0</v>
      </c>
      <c r="AJ147" s="35" t="str">
        <f aca="false">IF($B147="","",IF(NOT(ISNUMBER($F147)),"ERRO: valor nao numerico",IF($F147&lt;=0,"ERRO: valor deve ser maior que zero",IF(COUNTIF(MAP_TIPO,$D147)=0,"ERRO: tipo de operacao nao cadastrado",IF(COUNTIF(LST_STATUS,$E147)=0,"ERRO: status invalido",IF(AND($G147="EXTERNO",$I147="EXTERNO"),"ERRO: origem e destino externos",IF(AND($G147&lt;&gt;"EXTERNO",COUNTIFS(ENT_ID,$H147,ENT_TIPO,$G147)=0),"ERRO: origem inexistente",IF(AND($I147&lt;&gt;"EXTERNO",COUNTIFS(ENT_ID,$J147,ENT_TIPO,$I147)=0),"ERRO: destino inexistente",IF(AND($K147&lt;&gt;"",COUNTIF(CAT_ID,$K147)=0),"ERRO: categoria inexistente",IF(AND($L147&lt;&gt;"",COUNTIF(SUB_ID,$L147)=0),"ERRO: subcategoria inexistente",IF(AND($L147&lt;&gt;"",$K147&lt;&gt;"",IFERROR(INDEX(SUB_CATID,MATCH($L147,SUB_ID,0)),"")&lt;&gt;$K147),"ERRO: subcategoria nao pertence a categoria",IF(AND($O147&lt;&gt;"",COUNTIF(P_ID,$O147)=0),"ERRO: parcela inexistente",IF(AND($N147&lt;&gt;"",COUNTIF(CM_ID,$N147)=0),"ERRO: compromisso inexistente","OK")))))))))))))</f>
        <v/>
      </c>
      <c r="AK147" s="35" t="str">
        <f aca="false">IF($B147="","",IF(AND($N147="",$O147="",$P147="",$Q147="",$R147=""),"","VINCULADO: "&amp;TRIM(IF($N147&lt;&gt;"",$N147&amp;" ","")&amp;IF($O147&lt;&gt;"",$O147&amp;" ","")&amp;IF($P147&lt;&gt;"",$P147&amp;" ","")&amp;IF($Q147&lt;&gt;"",$Q147&amp;" ","")&amp;IF($R147&lt;&gt;"",$R147,""))))</f>
        <v/>
      </c>
    </row>
    <row r="148" customFormat="false" ht="15" hidden="false" customHeight="false" outlineLevel="0" collapsed="false">
      <c r="A148" s="30" t="str">
        <f aca="false">IF($B148="","","LAN-"&amp;TEXT(ROW()-4,"000000"))</f>
        <v/>
      </c>
      <c r="B148" s="31"/>
      <c r="C148" s="32"/>
      <c r="D148" s="32"/>
      <c r="E148" s="32"/>
      <c r="F148" s="33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4" t="str">
        <f aca="false">IF($B148="","",YEAR($B148))</f>
        <v/>
      </c>
      <c r="U148" s="34" t="str">
        <f aca="false">IF($B148="","",MONTH($B148))</f>
        <v/>
      </c>
      <c r="V148" s="34" t="str">
        <f aca="false">IF($B148="","",YEAR($B148)*100+MONTH($B148))</f>
        <v/>
      </c>
      <c r="W148" s="35" t="str">
        <f aca="false">IF($D148="","",IFERROR(INDEX(MAP_CLASS,MATCH($D148,MAP_TIPO,0)),"TIPO INVALIDO"))</f>
        <v/>
      </c>
      <c r="X148" s="35" t="str">
        <f aca="false">IF($K148="","",IFERROR(INDEX(CAT_NOME,MATCH($K148,CAT_ID,0)),"?"))</f>
        <v/>
      </c>
      <c r="Y148" s="35" t="str">
        <f aca="false">IF($L148="","",IFERROR(INDEX(SUB_NOME,MATCH($L148,SUB_ID,0)),"?"))</f>
        <v/>
      </c>
      <c r="Z148" s="35" t="str">
        <f aca="false">IF($G148="","",IF($G148="EXTERNO","(Externo)",IFERROR(INDEX(ENT_NOME,MATCH($H148,ENT_ID,0)),"?")))</f>
        <v/>
      </c>
      <c r="AA148" s="35" t="str">
        <f aca="false">IF($I148="","",IF($I148="EXTERNO","(Externo)",IFERROR(INDEX(ENT_NOME,MATCH($J148,ENT_ID,0)),"?")))</f>
        <v/>
      </c>
      <c r="AB148" s="36" t="n">
        <f aca="false">IF($B148="",0,IF(AND($I148="CONTA",$G148&lt;&gt;"CONTA"),$F148,0))</f>
        <v>0</v>
      </c>
      <c r="AC148" s="36" t="n">
        <f aca="false">IF($B148="",0,IF(AND($G148="CONTA",$I148&lt;&gt;"CONTA"),$F148,0))</f>
        <v>0</v>
      </c>
      <c r="AD148" s="36" t="n">
        <f aca="false">IF($W148="RECEITA",$F148,0)</f>
        <v>0</v>
      </c>
      <c r="AE148" s="36" t="n">
        <f aca="false">IF($W148="DESPESA",$F148,0)</f>
        <v>0</v>
      </c>
      <c r="AF148" s="36" t="n">
        <f aca="false">IF($W148="RECEITA_FINANCEIRA",$F148,0)</f>
        <v>0</v>
      </c>
      <c r="AG148" s="36" t="n">
        <f aca="false">IF($B148="",0,IF($I148="CONTA",$F148,0)-IF($G148="CONTA",$F148,0))</f>
        <v>0</v>
      </c>
      <c r="AH148" s="36" t="n">
        <f aca="false">IF($B148="",0,IF($G148="CARTAO",$F148,0)-IF($I148="CARTAO",$F148,0))</f>
        <v>0</v>
      </c>
      <c r="AI148" s="36" t="n">
        <f aca="false">IF($B148="",0,IF($I148="INVESTIMENTO",$F148,0)-IF($G148="INVESTIMENTO",$F148,0))</f>
        <v>0</v>
      </c>
      <c r="AJ148" s="35" t="str">
        <f aca="false">IF($B148="","",IF(NOT(ISNUMBER($F148)),"ERRO: valor nao numerico",IF($F148&lt;=0,"ERRO: valor deve ser maior que zero",IF(COUNTIF(MAP_TIPO,$D148)=0,"ERRO: tipo de operacao nao cadastrado",IF(COUNTIF(LST_STATUS,$E148)=0,"ERRO: status invalido",IF(AND($G148="EXTERNO",$I148="EXTERNO"),"ERRO: origem e destino externos",IF(AND($G148&lt;&gt;"EXTERNO",COUNTIFS(ENT_ID,$H148,ENT_TIPO,$G148)=0),"ERRO: origem inexistente",IF(AND($I148&lt;&gt;"EXTERNO",COUNTIFS(ENT_ID,$J148,ENT_TIPO,$I148)=0),"ERRO: destino inexistente",IF(AND($K148&lt;&gt;"",COUNTIF(CAT_ID,$K148)=0),"ERRO: categoria inexistente",IF(AND($L148&lt;&gt;"",COUNTIF(SUB_ID,$L148)=0),"ERRO: subcategoria inexistente",IF(AND($L148&lt;&gt;"",$K148&lt;&gt;"",IFERROR(INDEX(SUB_CATID,MATCH($L148,SUB_ID,0)),"")&lt;&gt;$K148),"ERRO: subcategoria nao pertence a categoria",IF(AND($O148&lt;&gt;"",COUNTIF(P_ID,$O148)=0),"ERRO: parcela inexistente",IF(AND($N148&lt;&gt;"",COUNTIF(CM_ID,$N148)=0),"ERRO: compromisso inexistente","OK")))))))))))))</f>
        <v/>
      </c>
      <c r="AK148" s="35" t="str">
        <f aca="false">IF($B148="","",IF(AND($N148="",$O148="",$P148="",$Q148="",$R148=""),"","VINCULADO: "&amp;TRIM(IF($N148&lt;&gt;"",$N148&amp;" ","")&amp;IF($O148&lt;&gt;"",$O148&amp;" ","")&amp;IF($P148&lt;&gt;"",$P148&amp;" ","")&amp;IF($Q148&lt;&gt;"",$Q148&amp;" ","")&amp;IF($R148&lt;&gt;"",$R148,""))))</f>
        <v/>
      </c>
    </row>
    <row r="149" customFormat="false" ht="15" hidden="false" customHeight="false" outlineLevel="0" collapsed="false">
      <c r="A149" s="30" t="str">
        <f aca="false">IF($B149="","","LAN-"&amp;TEXT(ROW()-4,"000000"))</f>
        <v/>
      </c>
      <c r="B149" s="31"/>
      <c r="C149" s="32"/>
      <c r="D149" s="32"/>
      <c r="E149" s="32"/>
      <c r="F149" s="33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4" t="str">
        <f aca="false">IF($B149="","",YEAR($B149))</f>
        <v/>
      </c>
      <c r="U149" s="34" t="str">
        <f aca="false">IF($B149="","",MONTH($B149))</f>
        <v/>
      </c>
      <c r="V149" s="34" t="str">
        <f aca="false">IF($B149="","",YEAR($B149)*100+MONTH($B149))</f>
        <v/>
      </c>
      <c r="W149" s="35" t="str">
        <f aca="false">IF($D149="","",IFERROR(INDEX(MAP_CLASS,MATCH($D149,MAP_TIPO,0)),"TIPO INVALIDO"))</f>
        <v/>
      </c>
      <c r="X149" s="35" t="str">
        <f aca="false">IF($K149="","",IFERROR(INDEX(CAT_NOME,MATCH($K149,CAT_ID,0)),"?"))</f>
        <v/>
      </c>
      <c r="Y149" s="35" t="str">
        <f aca="false">IF($L149="","",IFERROR(INDEX(SUB_NOME,MATCH($L149,SUB_ID,0)),"?"))</f>
        <v/>
      </c>
      <c r="Z149" s="35" t="str">
        <f aca="false">IF($G149="","",IF($G149="EXTERNO","(Externo)",IFERROR(INDEX(ENT_NOME,MATCH($H149,ENT_ID,0)),"?")))</f>
        <v/>
      </c>
      <c r="AA149" s="35" t="str">
        <f aca="false">IF($I149="","",IF($I149="EXTERNO","(Externo)",IFERROR(INDEX(ENT_NOME,MATCH($J149,ENT_ID,0)),"?")))</f>
        <v/>
      </c>
      <c r="AB149" s="36" t="n">
        <f aca="false">IF($B149="",0,IF(AND($I149="CONTA",$G149&lt;&gt;"CONTA"),$F149,0))</f>
        <v>0</v>
      </c>
      <c r="AC149" s="36" t="n">
        <f aca="false">IF($B149="",0,IF(AND($G149="CONTA",$I149&lt;&gt;"CONTA"),$F149,0))</f>
        <v>0</v>
      </c>
      <c r="AD149" s="36" t="n">
        <f aca="false">IF($W149="RECEITA",$F149,0)</f>
        <v>0</v>
      </c>
      <c r="AE149" s="36" t="n">
        <f aca="false">IF($W149="DESPESA",$F149,0)</f>
        <v>0</v>
      </c>
      <c r="AF149" s="36" t="n">
        <f aca="false">IF($W149="RECEITA_FINANCEIRA",$F149,0)</f>
        <v>0</v>
      </c>
      <c r="AG149" s="36" t="n">
        <f aca="false">IF($B149="",0,IF($I149="CONTA",$F149,0)-IF($G149="CONTA",$F149,0))</f>
        <v>0</v>
      </c>
      <c r="AH149" s="36" t="n">
        <f aca="false">IF($B149="",0,IF($G149="CARTAO",$F149,0)-IF($I149="CARTAO",$F149,0))</f>
        <v>0</v>
      </c>
      <c r="AI149" s="36" t="n">
        <f aca="false">IF($B149="",0,IF($I149="INVESTIMENTO",$F149,0)-IF($G149="INVESTIMENTO",$F149,0))</f>
        <v>0</v>
      </c>
      <c r="AJ149" s="35" t="str">
        <f aca="false">IF($B149="","",IF(NOT(ISNUMBER($F149)),"ERRO: valor nao numerico",IF($F149&lt;=0,"ERRO: valor deve ser maior que zero",IF(COUNTIF(MAP_TIPO,$D149)=0,"ERRO: tipo de operacao nao cadastrado",IF(COUNTIF(LST_STATUS,$E149)=0,"ERRO: status invalido",IF(AND($G149="EXTERNO",$I149="EXTERNO"),"ERRO: origem e destino externos",IF(AND($G149&lt;&gt;"EXTERNO",COUNTIFS(ENT_ID,$H149,ENT_TIPO,$G149)=0),"ERRO: origem inexistente",IF(AND($I149&lt;&gt;"EXTERNO",COUNTIFS(ENT_ID,$J149,ENT_TIPO,$I149)=0),"ERRO: destino inexistente",IF(AND($K149&lt;&gt;"",COUNTIF(CAT_ID,$K149)=0),"ERRO: categoria inexistente",IF(AND($L149&lt;&gt;"",COUNTIF(SUB_ID,$L149)=0),"ERRO: subcategoria inexistente",IF(AND($L149&lt;&gt;"",$K149&lt;&gt;"",IFERROR(INDEX(SUB_CATID,MATCH($L149,SUB_ID,0)),"")&lt;&gt;$K149),"ERRO: subcategoria nao pertence a categoria",IF(AND($O149&lt;&gt;"",COUNTIF(P_ID,$O149)=0),"ERRO: parcela inexistente",IF(AND($N149&lt;&gt;"",COUNTIF(CM_ID,$N149)=0),"ERRO: compromisso inexistente","OK")))))))))))))</f>
        <v/>
      </c>
      <c r="AK149" s="35" t="str">
        <f aca="false">IF($B149="","",IF(AND($N149="",$O149="",$P149="",$Q149="",$R149=""),"","VINCULADO: "&amp;TRIM(IF($N149&lt;&gt;"",$N149&amp;" ","")&amp;IF($O149&lt;&gt;"",$O149&amp;" ","")&amp;IF($P149&lt;&gt;"",$P149&amp;" ","")&amp;IF($Q149&lt;&gt;"",$Q149&amp;" ","")&amp;IF($R149&lt;&gt;"",$R149,""))))</f>
        <v/>
      </c>
    </row>
    <row r="150" customFormat="false" ht="15" hidden="false" customHeight="false" outlineLevel="0" collapsed="false">
      <c r="A150" s="30" t="str">
        <f aca="false">IF($B150="","","LAN-"&amp;TEXT(ROW()-4,"000000"))</f>
        <v/>
      </c>
      <c r="B150" s="31"/>
      <c r="C150" s="32"/>
      <c r="D150" s="32"/>
      <c r="E150" s="32"/>
      <c r="F150" s="33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4" t="str">
        <f aca="false">IF($B150="","",YEAR($B150))</f>
        <v/>
      </c>
      <c r="U150" s="34" t="str">
        <f aca="false">IF($B150="","",MONTH($B150))</f>
        <v/>
      </c>
      <c r="V150" s="34" t="str">
        <f aca="false">IF($B150="","",YEAR($B150)*100+MONTH($B150))</f>
        <v/>
      </c>
      <c r="W150" s="35" t="str">
        <f aca="false">IF($D150="","",IFERROR(INDEX(MAP_CLASS,MATCH($D150,MAP_TIPO,0)),"TIPO INVALIDO"))</f>
        <v/>
      </c>
      <c r="X150" s="35" t="str">
        <f aca="false">IF($K150="","",IFERROR(INDEX(CAT_NOME,MATCH($K150,CAT_ID,0)),"?"))</f>
        <v/>
      </c>
      <c r="Y150" s="35" t="str">
        <f aca="false">IF($L150="","",IFERROR(INDEX(SUB_NOME,MATCH($L150,SUB_ID,0)),"?"))</f>
        <v/>
      </c>
      <c r="Z150" s="35" t="str">
        <f aca="false">IF($G150="","",IF($G150="EXTERNO","(Externo)",IFERROR(INDEX(ENT_NOME,MATCH($H150,ENT_ID,0)),"?")))</f>
        <v/>
      </c>
      <c r="AA150" s="35" t="str">
        <f aca="false">IF($I150="","",IF($I150="EXTERNO","(Externo)",IFERROR(INDEX(ENT_NOME,MATCH($J150,ENT_ID,0)),"?")))</f>
        <v/>
      </c>
      <c r="AB150" s="36" t="n">
        <f aca="false">IF($B150="",0,IF(AND($I150="CONTA",$G150&lt;&gt;"CONTA"),$F150,0))</f>
        <v>0</v>
      </c>
      <c r="AC150" s="36" t="n">
        <f aca="false">IF($B150="",0,IF(AND($G150="CONTA",$I150&lt;&gt;"CONTA"),$F150,0))</f>
        <v>0</v>
      </c>
      <c r="AD150" s="36" t="n">
        <f aca="false">IF($W150="RECEITA",$F150,0)</f>
        <v>0</v>
      </c>
      <c r="AE150" s="36" t="n">
        <f aca="false">IF($W150="DESPESA",$F150,0)</f>
        <v>0</v>
      </c>
      <c r="AF150" s="36" t="n">
        <f aca="false">IF($W150="RECEITA_FINANCEIRA",$F150,0)</f>
        <v>0</v>
      </c>
      <c r="AG150" s="36" t="n">
        <f aca="false">IF($B150="",0,IF($I150="CONTA",$F150,0)-IF($G150="CONTA",$F150,0))</f>
        <v>0</v>
      </c>
      <c r="AH150" s="36" t="n">
        <f aca="false">IF($B150="",0,IF($G150="CARTAO",$F150,0)-IF($I150="CARTAO",$F150,0))</f>
        <v>0</v>
      </c>
      <c r="AI150" s="36" t="n">
        <f aca="false">IF($B150="",0,IF($I150="INVESTIMENTO",$F150,0)-IF($G150="INVESTIMENTO",$F150,0))</f>
        <v>0</v>
      </c>
      <c r="AJ150" s="35" t="str">
        <f aca="false">IF($B150="","",IF(NOT(ISNUMBER($F150)),"ERRO: valor nao numerico",IF($F150&lt;=0,"ERRO: valor deve ser maior que zero",IF(COUNTIF(MAP_TIPO,$D150)=0,"ERRO: tipo de operacao nao cadastrado",IF(COUNTIF(LST_STATUS,$E150)=0,"ERRO: status invalido",IF(AND($G150="EXTERNO",$I150="EXTERNO"),"ERRO: origem e destino externos",IF(AND($G150&lt;&gt;"EXTERNO",COUNTIFS(ENT_ID,$H150,ENT_TIPO,$G150)=0),"ERRO: origem inexistente",IF(AND($I150&lt;&gt;"EXTERNO",COUNTIFS(ENT_ID,$J150,ENT_TIPO,$I150)=0),"ERRO: destino inexistente",IF(AND($K150&lt;&gt;"",COUNTIF(CAT_ID,$K150)=0),"ERRO: categoria inexistente",IF(AND($L150&lt;&gt;"",COUNTIF(SUB_ID,$L150)=0),"ERRO: subcategoria inexistente",IF(AND($L150&lt;&gt;"",$K150&lt;&gt;"",IFERROR(INDEX(SUB_CATID,MATCH($L150,SUB_ID,0)),"")&lt;&gt;$K150),"ERRO: subcategoria nao pertence a categoria",IF(AND($O150&lt;&gt;"",COUNTIF(P_ID,$O150)=0),"ERRO: parcela inexistente",IF(AND($N150&lt;&gt;"",COUNTIF(CM_ID,$N150)=0),"ERRO: compromisso inexistente","OK")))))))))))))</f>
        <v/>
      </c>
      <c r="AK150" s="35" t="str">
        <f aca="false">IF($B150="","",IF(AND($N150="",$O150="",$P150="",$Q150="",$R150=""),"","VINCULADO: "&amp;TRIM(IF($N150&lt;&gt;"",$N150&amp;" ","")&amp;IF($O150&lt;&gt;"",$O150&amp;" ","")&amp;IF($P150&lt;&gt;"",$P150&amp;" ","")&amp;IF($Q150&lt;&gt;"",$Q150&amp;" ","")&amp;IF($R150&lt;&gt;"",$R150,""))))</f>
        <v/>
      </c>
    </row>
    <row r="151" customFormat="false" ht="15" hidden="false" customHeight="false" outlineLevel="0" collapsed="false">
      <c r="A151" s="30" t="str">
        <f aca="false">IF($B151="","","LAN-"&amp;TEXT(ROW()-4,"000000"))</f>
        <v/>
      </c>
      <c r="B151" s="31"/>
      <c r="C151" s="32"/>
      <c r="D151" s="32"/>
      <c r="E151" s="32"/>
      <c r="F151" s="33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4" t="str">
        <f aca="false">IF($B151="","",YEAR($B151))</f>
        <v/>
      </c>
      <c r="U151" s="34" t="str">
        <f aca="false">IF($B151="","",MONTH($B151))</f>
        <v/>
      </c>
      <c r="V151" s="34" t="str">
        <f aca="false">IF($B151="","",YEAR($B151)*100+MONTH($B151))</f>
        <v/>
      </c>
      <c r="W151" s="35" t="str">
        <f aca="false">IF($D151="","",IFERROR(INDEX(MAP_CLASS,MATCH($D151,MAP_TIPO,0)),"TIPO INVALIDO"))</f>
        <v/>
      </c>
      <c r="X151" s="35" t="str">
        <f aca="false">IF($K151="","",IFERROR(INDEX(CAT_NOME,MATCH($K151,CAT_ID,0)),"?"))</f>
        <v/>
      </c>
      <c r="Y151" s="35" t="str">
        <f aca="false">IF($L151="","",IFERROR(INDEX(SUB_NOME,MATCH($L151,SUB_ID,0)),"?"))</f>
        <v/>
      </c>
      <c r="Z151" s="35" t="str">
        <f aca="false">IF($G151="","",IF($G151="EXTERNO","(Externo)",IFERROR(INDEX(ENT_NOME,MATCH($H151,ENT_ID,0)),"?")))</f>
        <v/>
      </c>
      <c r="AA151" s="35" t="str">
        <f aca="false">IF($I151="","",IF($I151="EXTERNO","(Externo)",IFERROR(INDEX(ENT_NOME,MATCH($J151,ENT_ID,0)),"?")))</f>
        <v/>
      </c>
      <c r="AB151" s="36" t="n">
        <f aca="false">IF($B151="",0,IF(AND($I151="CONTA",$G151&lt;&gt;"CONTA"),$F151,0))</f>
        <v>0</v>
      </c>
      <c r="AC151" s="36" t="n">
        <f aca="false">IF($B151="",0,IF(AND($G151="CONTA",$I151&lt;&gt;"CONTA"),$F151,0))</f>
        <v>0</v>
      </c>
      <c r="AD151" s="36" t="n">
        <f aca="false">IF($W151="RECEITA",$F151,0)</f>
        <v>0</v>
      </c>
      <c r="AE151" s="36" t="n">
        <f aca="false">IF($W151="DESPESA",$F151,0)</f>
        <v>0</v>
      </c>
      <c r="AF151" s="36" t="n">
        <f aca="false">IF($W151="RECEITA_FINANCEIRA",$F151,0)</f>
        <v>0</v>
      </c>
      <c r="AG151" s="36" t="n">
        <f aca="false">IF($B151="",0,IF($I151="CONTA",$F151,0)-IF($G151="CONTA",$F151,0))</f>
        <v>0</v>
      </c>
      <c r="AH151" s="36" t="n">
        <f aca="false">IF($B151="",0,IF($G151="CARTAO",$F151,0)-IF($I151="CARTAO",$F151,0))</f>
        <v>0</v>
      </c>
      <c r="AI151" s="36" t="n">
        <f aca="false">IF($B151="",0,IF($I151="INVESTIMENTO",$F151,0)-IF($G151="INVESTIMENTO",$F151,0))</f>
        <v>0</v>
      </c>
      <c r="AJ151" s="35" t="str">
        <f aca="false">IF($B151="","",IF(NOT(ISNUMBER($F151)),"ERRO: valor nao numerico",IF($F151&lt;=0,"ERRO: valor deve ser maior que zero",IF(COUNTIF(MAP_TIPO,$D151)=0,"ERRO: tipo de operacao nao cadastrado",IF(COUNTIF(LST_STATUS,$E151)=0,"ERRO: status invalido",IF(AND($G151="EXTERNO",$I151="EXTERNO"),"ERRO: origem e destino externos",IF(AND($G151&lt;&gt;"EXTERNO",COUNTIFS(ENT_ID,$H151,ENT_TIPO,$G151)=0),"ERRO: origem inexistente",IF(AND($I151&lt;&gt;"EXTERNO",COUNTIFS(ENT_ID,$J151,ENT_TIPO,$I151)=0),"ERRO: destino inexistente",IF(AND($K151&lt;&gt;"",COUNTIF(CAT_ID,$K151)=0),"ERRO: categoria inexistente",IF(AND($L151&lt;&gt;"",COUNTIF(SUB_ID,$L151)=0),"ERRO: subcategoria inexistente",IF(AND($L151&lt;&gt;"",$K151&lt;&gt;"",IFERROR(INDEX(SUB_CATID,MATCH($L151,SUB_ID,0)),"")&lt;&gt;$K151),"ERRO: subcategoria nao pertence a categoria",IF(AND($O151&lt;&gt;"",COUNTIF(P_ID,$O151)=0),"ERRO: parcela inexistente",IF(AND($N151&lt;&gt;"",COUNTIF(CM_ID,$N151)=0),"ERRO: compromisso inexistente","OK")))))))))))))</f>
        <v/>
      </c>
      <c r="AK151" s="35" t="str">
        <f aca="false">IF($B151="","",IF(AND($N151="",$O151="",$P151="",$Q151="",$R151=""),"","VINCULADO: "&amp;TRIM(IF($N151&lt;&gt;"",$N151&amp;" ","")&amp;IF($O151&lt;&gt;"",$O151&amp;" ","")&amp;IF($P151&lt;&gt;"",$P151&amp;" ","")&amp;IF($Q151&lt;&gt;"",$Q151&amp;" ","")&amp;IF($R151&lt;&gt;"",$R151,""))))</f>
        <v/>
      </c>
    </row>
    <row r="152" customFormat="false" ht="15" hidden="false" customHeight="false" outlineLevel="0" collapsed="false">
      <c r="A152" s="30" t="str">
        <f aca="false">IF($B152="","","LAN-"&amp;TEXT(ROW()-4,"000000"))</f>
        <v/>
      </c>
      <c r="B152" s="31"/>
      <c r="C152" s="32"/>
      <c r="D152" s="32"/>
      <c r="E152" s="32"/>
      <c r="F152" s="33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4" t="str">
        <f aca="false">IF($B152="","",YEAR($B152))</f>
        <v/>
      </c>
      <c r="U152" s="34" t="str">
        <f aca="false">IF($B152="","",MONTH($B152))</f>
        <v/>
      </c>
      <c r="V152" s="34" t="str">
        <f aca="false">IF($B152="","",YEAR($B152)*100+MONTH($B152))</f>
        <v/>
      </c>
      <c r="W152" s="35" t="str">
        <f aca="false">IF($D152="","",IFERROR(INDEX(MAP_CLASS,MATCH($D152,MAP_TIPO,0)),"TIPO INVALIDO"))</f>
        <v/>
      </c>
      <c r="X152" s="35" t="str">
        <f aca="false">IF($K152="","",IFERROR(INDEX(CAT_NOME,MATCH($K152,CAT_ID,0)),"?"))</f>
        <v/>
      </c>
      <c r="Y152" s="35" t="str">
        <f aca="false">IF($L152="","",IFERROR(INDEX(SUB_NOME,MATCH($L152,SUB_ID,0)),"?"))</f>
        <v/>
      </c>
      <c r="Z152" s="35" t="str">
        <f aca="false">IF($G152="","",IF($G152="EXTERNO","(Externo)",IFERROR(INDEX(ENT_NOME,MATCH($H152,ENT_ID,0)),"?")))</f>
        <v/>
      </c>
      <c r="AA152" s="35" t="str">
        <f aca="false">IF($I152="","",IF($I152="EXTERNO","(Externo)",IFERROR(INDEX(ENT_NOME,MATCH($J152,ENT_ID,0)),"?")))</f>
        <v/>
      </c>
      <c r="AB152" s="36" t="n">
        <f aca="false">IF($B152="",0,IF(AND($I152="CONTA",$G152&lt;&gt;"CONTA"),$F152,0))</f>
        <v>0</v>
      </c>
      <c r="AC152" s="36" t="n">
        <f aca="false">IF($B152="",0,IF(AND($G152="CONTA",$I152&lt;&gt;"CONTA"),$F152,0))</f>
        <v>0</v>
      </c>
      <c r="AD152" s="36" t="n">
        <f aca="false">IF($W152="RECEITA",$F152,0)</f>
        <v>0</v>
      </c>
      <c r="AE152" s="36" t="n">
        <f aca="false">IF($W152="DESPESA",$F152,0)</f>
        <v>0</v>
      </c>
      <c r="AF152" s="36" t="n">
        <f aca="false">IF($W152="RECEITA_FINANCEIRA",$F152,0)</f>
        <v>0</v>
      </c>
      <c r="AG152" s="36" t="n">
        <f aca="false">IF($B152="",0,IF($I152="CONTA",$F152,0)-IF($G152="CONTA",$F152,0))</f>
        <v>0</v>
      </c>
      <c r="AH152" s="36" t="n">
        <f aca="false">IF($B152="",0,IF($G152="CARTAO",$F152,0)-IF($I152="CARTAO",$F152,0))</f>
        <v>0</v>
      </c>
      <c r="AI152" s="36" t="n">
        <f aca="false">IF($B152="",0,IF($I152="INVESTIMENTO",$F152,0)-IF($G152="INVESTIMENTO",$F152,0))</f>
        <v>0</v>
      </c>
      <c r="AJ152" s="35" t="str">
        <f aca="false">IF($B152="","",IF(NOT(ISNUMBER($F152)),"ERRO: valor nao numerico",IF($F152&lt;=0,"ERRO: valor deve ser maior que zero",IF(COUNTIF(MAP_TIPO,$D152)=0,"ERRO: tipo de operacao nao cadastrado",IF(COUNTIF(LST_STATUS,$E152)=0,"ERRO: status invalido",IF(AND($G152="EXTERNO",$I152="EXTERNO"),"ERRO: origem e destino externos",IF(AND($G152&lt;&gt;"EXTERNO",COUNTIFS(ENT_ID,$H152,ENT_TIPO,$G152)=0),"ERRO: origem inexistente",IF(AND($I152&lt;&gt;"EXTERNO",COUNTIFS(ENT_ID,$J152,ENT_TIPO,$I152)=0),"ERRO: destino inexistente",IF(AND($K152&lt;&gt;"",COUNTIF(CAT_ID,$K152)=0),"ERRO: categoria inexistente",IF(AND($L152&lt;&gt;"",COUNTIF(SUB_ID,$L152)=0),"ERRO: subcategoria inexistente",IF(AND($L152&lt;&gt;"",$K152&lt;&gt;"",IFERROR(INDEX(SUB_CATID,MATCH($L152,SUB_ID,0)),"")&lt;&gt;$K152),"ERRO: subcategoria nao pertence a categoria",IF(AND($O152&lt;&gt;"",COUNTIF(P_ID,$O152)=0),"ERRO: parcela inexistente",IF(AND($N152&lt;&gt;"",COUNTIF(CM_ID,$N152)=0),"ERRO: compromisso inexistente","OK")))))))))))))</f>
        <v/>
      </c>
      <c r="AK152" s="35" t="str">
        <f aca="false">IF($B152="","",IF(AND($N152="",$O152="",$P152="",$Q152="",$R152=""),"","VINCULADO: "&amp;TRIM(IF($N152&lt;&gt;"",$N152&amp;" ","")&amp;IF($O152&lt;&gt;"",$O152&amp;" ","")&amp;IF($P152&lt;&gt;"",$P152&amp;" ","")&amp;IF($Q152&lt;&gt;"",$Q152&amp;" ","")&amp;IF($R152&lt;&gt;"",$R152,""))))</f>
        <v/>
      </c>
    </row>
    <row r="153" customFormat="false" ht="15" hidden="false" customHeight="false" outlineLevel="0" collapsed="false">
      <c r="A153" s="30" t="str">
        <f aca="false">IF($B153="","","LAN-"&amp;TEXT(ROW()-4,"000000"))</f>
        <v/>
      </c>
      <c r="B153" s="31"/>
      <c r="C153" s="32"/>
      <c r="D153" s="32"/>
      <c r="E153" s="32"/>
      <c r="F153" s="33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4" t="str">
        <f aca="false">IF($B153="","",YEAR($B153))</f>
        <v/>
      </c>
      <c r="U153" s="34" t="str">
        <f aca="false">IF($B153="","",MONTH($B153))</f>
        <v/>
      </c>
      <c r="V153" s="34" t="str">
        <f aca="false">IF($B153="","",YEAR($B153)*100+MONTH($B153))</f>
        <v/>
      </c>
      <c r="W153" s="35" t="str">
        <f aca="false">IF($D153="","",IFERROR(INDEX(MAP_CLASS,MATCH($D153,MAP_TIPO,0)),"TIPO INVALIDO"))</f>
        <v/>
      </c>
      <c r="X153" s="35" t="str">
        <f aca="false">IF($K153="","",IFERROR(INDEX(CAT_NOME,MATCH($K153,CAT_ID,0)),"?"))</f>
        <v/>
      </c>
      <c r="Y153" s="35" t="str">
        <f aca="false">IF($L153="","",IFERROR(INDEX(SUB_NOME,MATCH($L153,SUB_ID,0)),"?"))</f>
        <v/>
      </c>
      <c r="Z153" s="35" t="str">
        <f aca="false">IF($G153="","",IF($G153="EXTERNO","(Externo)",IFERROR(INDEX(ENT_NOME,MATCH($H153,ENT_ID,0)),"?")))</f>
        <v/>
      </c>
      <c r="AA153" s="35" t="str">
        <f aca="false">IF($I153="","",IF($I153="EXTERNO","(Externo)",IFERROR(INDEX(ENT_NOME,MATCH($J153,ENT_ID,0)),"?")))</f>
        <v/>
      </c>
      <c r="AB153" s="36" t="n">
        <f aca="false">IF($B153="",0,IF(AND($I153="CONTA",$G153&lt;&gt;"CONTA"),$F153,0))</f>
        <v>0</v>
      </c>
      <c r="AC153" s="36" t="n">
        <f aca="false">IF($B153="",0,IF(AND($G153="CONTA",$I153&lt;&gt;"CONTA"),$F153,0))</f>
        <v>0</v>
      </c>
      <c r="AD153" s="36" t="n">
        <f aca="false">IF($W153="RECEITA",$F153,0)</f>
        <v>0</v>
      </c>
      <c r="AE153" s="36" t="n">
        <f aca="false">IF($W153="DESPESA",$F153,0)</f>
        <v>0</v>
      </c>
      <c r="AF153" s="36" t="n">
        <f aca="false">IF($W153="RECEITA_FINANCEIRA",$F153,0)</f>
        <v>0</v>
      </c>
      <c r="AG153" s="36" t="n">
        <f aca="false">IF($B153="",0,IF($I153="CONTA",$F153,0)-IF($G153="CONTA",$F153,0))</f>
        <v>0</v>
      </c>
      <c r="AH153" s="36" t="n">
        <f aca="false">IF($B153="",0,IF($G153="CARTAO",$F153,0)-IF($I153="CARTAO",$F153,0))</f>
        <v>0</v>
      </c>
      <c r="AI153" s="36" t="n">
        <f aca="false">IF($B153="",0,IF($I153="INVESTIMENTO",$F153,0)-IF($G153="INVESTIMENTO",$F153,0))</f>
        <v>0</v>
      </c>
      <c r="AJ153" s="35" t="str">
        <f aca="false">IF($B153="","",IF(NOT(ISNUMBER($F153)),"ERRO: valor nao numerico",IF($F153&lt;=0,"ERRO: valor deve ser maior que zero",IF(COUNTIF(MAP_TIPO,$D153)=0,"ERRO: tipo de operacao nao cadastrado",IF(COUNTIF(LST_STATUS,$E153)=0,"ERRO: status invalido",IF(AND($G153="EXTERNO",$I153="EXTERNO"),"ERRO: origem e destino externos",IF(AND($G153&lt;&gt;"EXTERNO",COUNTIFS(ENT_ID,$H153,ENT_TIPO,$G153)=0),"ERRO: origem inexistente",IF(AND($I153&lt;&gt;"EXTERNO",COUNTIFS(ENT_ID,$J153,ENT_TIPO,$I153)=0),"ERRO: destino inexistente",IF(AND($K153&lt;&gt;"",COUNTIF(CAT_ID,$K153)=0),"ERRO: categoria inexistente",IF(AND($L153&lt;&gt;"",COUNTIF(SUB_ID,$L153)=0),"ERRO: subcategoria inexistente",IF(AND($L153&lt;&gt;"",$K153&lt;&gt;"",IFERROR(INDEX(SUB_CATID,MATCH($L153,SUB_ID,0)),"")&lt;&gt;$K153),"ERRO: subcategoria nao pertence a categoria",IF(AND($O153&lt;&gt;"",COUNTIF(P_ID,$O153)=0),"ERRO: parcela inexistente",IF(AND($N153&lt;&gt;"",COUNTIF(CM_ID,$N153)=0),"ERRO: compromisso inexistente","OK")))))))))))))</f>
        <v/>
      </c>
      <c r="AK153" s="35" t="str">
        <f aca="false">IF($B153="","",IF(AND($N153="",$O153="",$P153="",$Q153="",$R153=""),"","VINCULADO: "&amp;TRIM(IF($N153&lt;&gt;"",$N153&amp;" ","")&amp;IF($O153&lt;&gt;"",$O153&amp;" ","")&amp;IF($P153&lt;&gt;"",$P153&amp;" ","")&amp;IF($Q153&lt;&gt;"",$Q153&amp;" ","")&amp;IF($R153&lt;&gt;"",$R153,""))))</f>
        <v/>
      </c>
    </row>
    <row r="154" customFormat="false" ht="15" hidden="false" customHeight="false" outlineLevel="0" collapsed="false">
      <c r="A154" s="30" t="str">
        <f aca="false">IF($B154="","","LAN-"&amp;TEXT(ROW()-4,"000000"))</f>
        <v/>
      </c>
      <c r="B154" s="31"/>
      <c r="C154" s="32"/>
      <c r="D154" s="32"/>
      <c r="E154" s="32"/>
      <c r="F154" s="33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4" t="str">
        <f aca="false">IF($B154="","",YEAR($B154))</f>
        <v/>
      </c>
      <c r="U154" s="34" t="str">
        <f aca="false">IF($B154="","",MONTH($B154))</f>
        <v/>
      </c>
      <c r="V154" s="34" t="str">
        <f aca="false">IF($B154="","",YEAR($B154)*100+MONTH($B154))</f>
        <v/>
      </c>
      <c r="W154" s="35" t="str">
        <f aca="false">IF($D154="","",IFERROR(INDEX(MAP_CLASS,MATCH($D154,MAP_TIPO,0)),"TIPO INVALIDO"))</f>
        <v/>
      </c>
      <c r="X154" s="35" t="str">
        <f aca="false">IF($K154="","",IFERROR(INDEX(CAT_NOME,MATCH($K154,CAT_ID,0)),"?"))</f>
        <v/>
      </c>
      <c r="Y154" s="35" t="str">
        <f aca="false">IF($L154="","",IFERROR(INDEX(SUB_NOME,MATCH($L154,SUB_ID,0)),"?"))</f>
        <v/>
      </c>
      <c r="Z154" s="35" t="str">
        <f aca="false">IF($G154="","",IF($G154="EXTERNO","(Externo)",IFERROR(INDEX(ENT_NOME,MATCH($H154,ENT_ID,0)),"?")))</f>
        <v/>
      </c>
      <c r="AA154" s="35" t="str">
        <f aca="false">IF($I154="","",IF($I154="EXTERNO","(Externo)",IFERROR(INDEX(ENT_NOME,MATCH($J154,ENT_ID,0)),"?")))</f>
        <v/>
      </c>
      <c r="AB154" s="36" t="n">
        <f aca="false">IF($B154="",0,IF(AND($I154="CONTA",$G154&lt;&gt;"CONTA"),$F154,0))</f>
        <v>0</v>
      </c>
      <c r="AC154" s="36" t="n">
        <f aca="false">IF($B154="",0,IF(AND($G154="CONTA",$I154&lt;&gt;"CONTA"),$F154,0))</f>
        <v>0</v>
      </c>
      <c r="AD154" s="36" t="n">
        <f aca="false">IF($W154="RECEITA",$F154,0)</f>
        <v>0</v>
      </c>
      <c r="AE154" s="36" t="n">
        <f aca="false">IF($W154="DESPESA",$F154,0)</f>
        <v>0</v>
      </c>
      <c r="AF154" s="36" t="n">
        <f aca="false">IF($W154="RECEITA_FINANCEIRA",$F154,0)</f>
        <v>0</v>
      </c>
      <c r="AG154" s="36" t="n">
        <f aca="false">IF($B154="",0,IF($I154="CONTA",$F154,0)-IF($G154="CONTA",$F154,0))</f>
        <v>0</v>
      </c>
      <c r="AH154" s="36" t="n">
        <f aca="false">IF($B154="",0,IF($G154="CARTAO",$F154,0)-IF($I154="CARTAO",$F154,0))</f>
        <v>0</v>
      </c>
      <c r="AI154" s="36" t="n">
        <f aca="false">IF($B154="",0,IF($I154="INVESTIMENTO",$F154,0)-IF($G154="INVESTIMENTO",$F154,0))</f>
        <v>0</v>
      </c>
      <c r="AJ154" s="35" t="str">
        <f aca="false">IF($B154="","",IF(NOT(ISNUMBER($F154)),"ERRO: valor nao numerico",IF($F154&lt;=0,"ERRO: valor deve ser maior que zero",IF(COUNTIF(MAP_TIPO,$D154)=0,"ERRO: tipo de operacao nao cadastrado",IF(COUNTIF(LST_STATUS,$E154)=0,"ERRO: status invalido",IF(AND($G154="EXTERNO",$I154="EXTERNO"),"ERRO: origem e destino externos",IF(AND($G154&lt;&gt;"EXTERNO",COUNTIFS(ENT_ID,$H154,ENT_TIPO,$G154)=0),"ERRO: origem inexistente",IF(AND($I154&lt;&gt;"EXTERNO",COUNTIFS(ENT_ID,$J154,ENT_TIPO,$I154)=0),"ERRO: destino inexistente",IF(AND($K154&lt;&gt;"",COUNTIF(CAT_ID,$K154)=0),"ERRO: categoria inexistente",IF(AND($L154&lt;&gt;"",COUNTIF(SUB_ID,$L154)=0),"ERRO: subcategoria inexistente",IF(AND($L154&lt;&gt;"",$K154&lt;&gt;"",IFERROR(INDEX(SUB_CATID,MATCH($L154,SUB_ID,0)),"")&lt;&gt;$K154),"ERRO: subcategoria nao pertence a categoria",IF(AND($O154&lt;&gt;"",COUNTIF(P_ID,$O154)=0),"ERRO: parcela inexistente",IF(AND($N154&lt;&gt;"",COUNTIF(CM_ID,$N154)=0),"ERRO: compromisso inexistente","OK")))))))))))))</f>
        <v/>
      </c>
      <c r="AK154" s="35" t="str">
        <f aca="false">IF($B154="","",IF(AND($N154="",$O154="",$P154="",$Q154="",$R154=""),"","VINCULADO: "&amp;TRIM(IF($N154&lt;&gt;"",$N154&amp;" ","")&amp;IF($O154&lt;&gt;"",$O154&amp;" ","")&amp;IF($P154&lt;&gt;"",$P154&amp;" ","")&amp;IF($Q154&lt;&gt;"",$Q154&amp;" ","")&amp;IF($R154&lt;&gt;"",$R154,""))))</f>
        <v/>
      </c>
    </row>
    <row r="155" customFormat="false" ht="15" hidden="false" customHeight="false" outlineLevel="0" collapsed="false">
      <c r="A155" s="30" t="str">
        <f aca="false">IF($B155="","","LAN-"&amp;TEXT(ROW()-4,"000000"))</f>
        <v/>
      </c>
      <c r="B155" s="31"/>
      <c r="C155" s="32"/>
      <c r="D155" s="32"/>
      <c r="E155" s="32"/>
      <c r="F155" s="33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4" t="str">
        <f aca="false">IF($B155="","",YEAR($B155))</f>
        <v/>
      </c>
      <c r="U155" s="34" t="str">
        <f aca="false">IF($B155="","",MONTH($B155))</f>
        <v/>
      </c>
      <c r="V155" s="34" t="str">
        <f aca="false">IF($B155="","",YEAR($B155)*100+MONTH($B155))</f>
        <v/>
      </c>
      <c r="W155" s="35" t="str">
        <f aca="false">IF($D155="","",IFERROR(INDEX(MAP_CLASS,MATCH($D155,MAP_TIPO,0)),"TIPO INVALIDO"))</f>
        <v/>
      </c>
      <c r="X155" s="35" t="str">
        <f aca="false">IF($K155="","",IFERROR(INDEX(CAT_NOME,MATCH($K155,CAT_ID,0)),"?"))</f>
        <v/>
      </c>
      <c r="Y155" s="35" t="str">
        <f aca="false">IF($L155="","",IFERROR(INDEX(SUB_NOME,MATCH($L155,SUB_ID,0)),"?"))</f>
        <v/>
      </c>
      <c r="Z155" s="35" t="str">
        <f aca="false">IF($G155="","",IF($G155="EXTERNO","(Externo)",IFERROR(INDEX(ENT_NOME,MATCH($H155,ENT_ID,0)),"?")))</f>
        <v/>
      </c>
      <c r="AA155" s="35" t="str">
        <f aca="false">IF($I155="","",IF($I155="EXTERNO","(Externo)",IFERROR(INDEX(ENT_NOME,MATCH($J155,ENT_ID,0)),"?")))</f>
        <v/>
      </c>
      <c r="AB155" s="36" t="n">
        <f aca="false">IF($B155="",0,IF(AND($I155="CONTA",$G155&lt;&gt;"CONTA"),$F155,0))</f>
        <v>0</v>
      </c>
      <c r="AC155" s="36" t="n">
        <f aca="false">IF($B155="",0,IF(AND($G155="CONTA",$I155&lt;&gt;"CONTA"),$F155,0))</f>
        <v>0</v>
      </c>
      <c r="AD155" s="36" t="n">
        <f aca="false">IF($W155="RECEITA",$F155,0)</f>
        <v>0</v>
      </c>
      <c r="AE155" s="36" t="n">
        <f aca="false">IF($W155="DESPESA",$F155,0)</f>
        <v>0</v>
      </c>
      <c r="AF155" s="36" t="n">
        <f aca="false">IF($W155="RECEITA_FINANCEIRA",$F155,0)</f>
        <v>0</v>
      </c>
      <c r="AG155" s="36" t="n">
        <f aca="false">IF($B155="",0,IF($I155="CONTA",$F155,0)-IF($G155="CONTA",$F155,0))</f>
        <v>0</v>
      </c>
      <c r="AH155" s="36" t="n">
        <f aca="false">IF($B155="",0,IF($G155="CARTAO",$F155,0)-IF($I155="CARTAO",$F155,0))</f>
        <v>0</v>
      </c>
      <c r="AI155" s="36" t="n">
        <f aca="false">IF($B155="",0,IF($I155="INVESTIMENTO",$F155,0)-IF($G155="INVESTIMENTO",$F155,0))</f>
        <v>0</v>
      </c>
      <c r="AJ155" s="35" t="str">
        <f aca="false">IF($B155="","",IF(NOT(ISNUMBER($F155)),"ERRO: valor nao numerico",IF($F155&lt;=0,"ERRO: valor deve ser maior que zero",IF(COUNTIF(MAP_TIPO,$D155)=0,"ERRO: tipo de operacao nao cadastrado",IF(COUNTIF(LST_STATUS,$E155)=0,"ERRO: status invalido",IF(AND($G155="EXTERNO",$I155="EXTERNO"),"ERRO: origem e destino externos",IF(AND($G155&lt;&gt;"EXTERNO",COUNTIFS(ENT_ID,$H155,ENT_TIPO,$G155)=0),"ERRO: origem inexistente",IF(AND($I155&lt;&gt;"EXTERNO",COUNTIFS(ENT_ID,$J155,ENT_TIPO,$I155)=0),"ERRO: destino inexistente",IF(AND($K155&lt;&gt;"",COUNTIF(CAT_ID,$K155)=0),"ERRO: categoria inexistente",IF(AND($L155&lt;&gt;"",COUNTIF(SUB_ID,$L155)=0),"ERRO: subcategoria inexistente",IF(AND($L155&lt;&gt;"",$K155&lt;&gt;"",IFERROR(INDEX(SUB_CATID,MATCH($L155,SUB_ID,0)),"")&lt;&gt;$K155),"ERRO: subcategoria nao pertence a categoria",IF(AND($O155&lt;&gt;"",COUNTIF(P_ID,$O155)=0),"ERRO: parcela inexistente",IF(AND($N155&lt;&gt;"",COUNTIF(CM_ID,$N155)=0),"ERRO: compromisso inexistente","OK")))))))))))))</f>
        <v/>
      </c>
      <c r="AK155" s="35" t="str">
        <f aca="false">IF($B155="","",IF(AND($N155="",$O155="",$P155="",$Q155="",$R155=""),"","VINCULADO: "&amp;TRIM(IF($N155&lt;&gt;"",$N155&amp;" ","")&amp;IF($O155&lt;&gt;"",$O155&amp;" ","")&amp;IF($P155&lt;&gt;"",$P155&amp;" ","")&amp;IF($Q155&lt;&gt;"",$Q155&amp;" ","")&amp;IF($R155&lt;&gt;"",$R155,""))))</f>
        <v/>
      </c>
    </row>
    <row r="156" customFormat="false" ht="15" hidden="false" customHeight="false" outlineLevel="0" collapsed="false">
      <c r="A156" s="30" t="str">
        <f aca="false">IF($B156="","","LAN-"&amp;TEXT(ROW()-4,"000000"))</f>
        <v/>
      </c>
      <c r="B156" s="31"/>
      <c r="C156" s="32"/>
      <c r="D156" s="32"/>
      <c r="E156" s="32"/>
      <c r="F156" s="33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4" t="str">
        <f aca="false">IF($B156="","",YEAR($B156))</f>
        <v/>
      </c>
      <c r="U156" s="34" t="str">
        <f aca="false">IF($B156="","",MONTH($B156))</f>
        <v/>
      </c>
      <c r="V156" s="34" t="str">
        <f aca="false">IF($B156="","",YEAR($B156)*100+MONTH($B156))</f>
        <v/>
      </c>
      <c r="W156" s="35" t="str">
        <f aca="false">IF($D156="","",IFERROR(INDEX(MAP_CLASS,MATCH($D156,MAP_TIPO,0)),"TIPO INVALIDO"))</f>
        <v/>
      </c>
      <c r="X156" s="35" t="str">
        <f aca="false">IF($K156="","",IFERROR(INDEX(CAT_NOME,MATCH($K156,CAT_ID,0)),"?"))</f>
        <v/>
      </c>
      <c r="Y156" s="35" t="str">
        <f aca="false">IF($L156="","",IFERROR(INDEX(SUB_NOME,MATCH($L156,SUB_ID,0)),"?"))</f>
        <v/>
      </c>
      <c r="Z156" s="35" t="str">
        <f aca="false">IF($G156="","",IF($G156="EXTERNO","(Externo)",IFERROR(INDEX(ENT_NOME,MATCH($H156,ENT_ID,0)),"?")))</f>
        <v/>
      </c>
      <c r="AA156" s="35" t="str">
        <f aca="false">IF($I156="","",IF($I156="EXTERNO","(Externo)",IFERROR(INDEX(ENT_NOME,MATCH($J156,ENT_ID,0)),"?")))</f>
        <v/>
      </c>
      <c r="AB156" s="36" t="n">
        <f aca="false">IF($B156="",0,IF(AND($I156="CONTA",$G156&lt;&gt;"CONTA"),$F156,0))</f>
        <v>0</v>
      </c>
      <c r="AC156" s="36" t="n">
        <f aca="false">IF($B156="",0,IF(AND($G156="CONTA",$I156&lt;&gt;"CONTA"),$F156,0))</f>
        <v>0</v>
      </c>
      <c r="AD156" s="36" t="n">
        <f aca="false">IF($W156="RECEITA",$F156,0)</f>
        <v>0</v>
      </c>
      <c r="AE156" s="36" t="n">
        <f aca="false">IF($W156="DESPESA",$F156,0)</f>
        <v>0</v>
      </c>
      <c r="AF156" s="36" t="n">
        <f aca="false">IF($W156="RECEITA_FINANCEIRA",$F156,0)</f>
        <v>0</v>
      </c>
      <c r="AG156" s="36" t="n">
        <f aca="false">IF($B156="",0,IF($I156="CONTA",$F156,0)-IF($G156="CONTA",$F156,0))</f>
        <v>0</v>
      </c>
      <c r="AH156" s="36" t="n">
        <f aca="false">IF($B156="",0,IF($G156="CARTAO",$F156,0)-IF($I156="CARTAO",$F156,0))</f>
        <v>0</v>
      </c>
      <c r="AI156" s="36" t="n">
        <f aca="false">IF($B156="",0,IF($I156="INVESTIMENTO",$F156,0)-IF($G156="INVESTIMENTO",$F156,0))</f>
        <v>0</v>
      </c>
      <c r="AJ156" s="35" t="str">
        <f aca="false">IF($B156="","",IF(NOT(ISNUMBER($F156)),"ERRO: valor nao numerico",IF($F156&lt;=0,"ERRO: valor deve ser maior que zero",IF(COUNTIF(MAP_TIPO,$D156)=0,"ERRO: tipo de operacao nao cadastrado",IF(COUNTIF(LST_STATUS,$E156)=0,"ERRO: status invalido",IF(AND($G156="EXTERNO",$I156="EXTERNO"),"ERRO: origem e destino externos",IF(AND($G156&lt;&gt;"EXTERNO",COUNTIFS(ENT_ID,$H156,ENT_TIPO,$G156)=0),"ERRO: origem inexistente",IF(AND($I156&lt;&gt;"EXTERNO",COUNTIFS(ENT_ID,$J156,ENT_TIPO,$I156)=0),"ERRO: destino inexistente",IF(AND($K156&lt;&gt;"",COUNTIF(CAT_ID,$K156)=0),"ERRO: categoria inexistente",IF(AND($L156&lt;&gt;"",COUNTIF(SUB_ID,$L156)=0),"ERRO: subcategoria inexistente",IF(AND($L156&lt;&gt;"",$K156&lt;&gt;"",IFERROR(INDEX(SUB_CATID,MATCH($L156,SUB_ID,0)),"")&lt;&gt;$K156),"ERRO: subcategoria nao pertence a categoria",IF(AND($O156&lt;&gt;"",COUNTIF(P_ID,$O156)=0),"ERRO: parcela inexistente",IF(AND($N156&lt;&gt;"",COUNTIF(CM_ID,$N156)=0),"ERRO: compromisso inexistente","OK")))))))))))))</f>
        <v/>
      </c>
      <c r="AK156" s="35" t="str">
        <f aca="false">IF($B156="","",IF(AND($N156="",$O156="",$P156="",$Q156="",$R156=""),"","VINCULADO: "&amp;TRIM(IF($N156&lt;&gt;"",$N156&amp;" ","")&amp;IF($O156&lt;&gt;"",$O156&amp;" ","")&amp;IF($P156&lt;&gt;"",$P156&amp;" ","")&amp;IF($Q156&lt;&gt;"",$Q156&amp;" ","")&amp;IF($R156&lt;&gt;"",$R156,""))))</f>
        <v/>
      </c>
    </row>
    <row r="157" customFormat="false" ht="15" hidden="false" customHeight="false" outlineLevel="0" collapsed="false">
      <c r="A157" s="30" t="str">
        <f aca="false">IF($B157="","","LAN-"&amp;TEXT(ROW()-4,"000000"))</f>
        <v/>
      </c>
      <c r="B157" s="31"/>
      <c r="C157" s="32"/>
      <c r="D157" s="32"/>
      <c r="E157" s="32"/>
      <c r="F157" s="33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4" t="str">
        <f aca="false">IF($B157="","",YEAR($B157))</f>
        <v/>
      </c>
      <c r="U157" s="34" t="str">
        <f aca="false">IF($B157="","",MONTH($B157))</f>
        <v/>
      </c>
      <c r="V157" s="34" t="str">
        <f aca="false">IF($B157="","",YEAR($B157)*100+MONTH($B157))</f>
        <v/>
      </c>
      <c r="W157" s="35" t="str">
        <f aca="false">IF($D157="","",IFERROR(INDEX(MAP_CLASS,MATCH($D157,MAP_TIPO,0)),"TIPO INVALIDO"))</f>
        <v/>
      </c>
      <c r="X157" s="35" t="str">
        <f aca="false">IF($K157="","",IFERROR(INDEX(CAT_NOME,MATCH($K157,CAT_ID,0)),"?"))</f>
        <v/>
      </c>
      <c r="Y157" s="35" t="str">
        <f aca="false">IF($L157="","",IFERROR(INDEX(SUB_NOME,MATCH($L157,SUB_ID,0)),"?"))</f>
        <v/>
      </c>
      <c r="Z157" s="35" t="str">
        <f aca="false">IF($G157="","",IF($G157="EXTERNO","(Externo)",IFERROR(INDEX(ENT_NOME,MATCH($H157,ENT_ID,0)),"?")))</f>
        <v/>
      </c>
      <c r="AA157" s="35" t="str">
        <f aca="false">IF($I157="","",IF($I157="EXTERNO","(Externo)",IFERROR(INDEX(ENT_NOME,MATCH($J157,ENT_ID,0)),"?")))</f>
        <v/>
      </c>
      <c r="AB157" s="36" t="n">
        <f aca="false">IF($B157="",0,IF(AND($I157="CONTA",$G157&lt;&gt;"CONTA"),$F157,0))</f>
        <v>0</v>
      </c>
      <c r="AC157" s="36" t="n">
        <f aca="false">IF($B157="",0,IF(AND($G157="CONTA",$I157&lt;&gt;"CONTA"),$F157,0))</f>
        <v>0</v>
      </c>
      <c r="AD157" s="36" t="n">
        <f aca="false">IF($W157="RECEITA",$F157,0)</f>
        <v>0</v>
      </c>
      <c r="AE157" s="36" t="n">
        <f aca="false">IF($W157="DESPESA",$F157,0)</f>
        <v>0</v>
      </c>
      <c r="AF157" s="36" t="n">
        <f aca="false">IF($W157="RECEITA_FINANCEIRA",$F157,0)</f>
        <v>0</v>
      </c>
      <c r="AG157" s="36" t="n">
        <f aca="false">IF($B157="",0,IF($I157="CONTA",$F157,0)-IF($G157="CONTA",$F157,0))</f>
        <v>0</v>
      </c>
      <c r="AH157" s="36" t="n">
        <f aca="false">IF($B157="",0,IF($G157="CARTAO",$F157,0)-IF($I157="CARTAO",$F157,0))</f>
        <v>0</v>
      </c>
      <c r="AI157" s="36" t="n">
        <f aca="false">IF($B157="",0,IF($I157="INVESTIMENTO",$F157,0)-IF($G157="INVESTIMENTO",$F157,0))</f>
        <v>0</v>
      </c>
      <c r="AJ157" s="35" t="str">
        <f aca="false">IF($B157="","",IF(NOT(ISNUMBER($F157)),"ERRO: valor nao numerico",IF($F157&lt;=0,"ERRO: valor deve ser maior que zero",IF(COUNTIF(MAP_TIPO,$D157)=0,"ERRO: tipo de operacao nao cadastrado",IF(COUNTIF(LST_STATUS,$E157)=0,"ERRO: status invalido",IF(AND($G157="EXTERNO",$I157="EXTERNO"),"ERRO: origem e destino externos",IF(AND($G157&lt;&gt;"EXTERNO",COUNTIFS(ENT_ID,$H157,ENT_TIPO,$G157)=0),"ERRO: origem inexistente",IF(AND($I157&lt;&gt;"EXTERNO",COUNTIFS(ENT_ID,$J157,ENT_TIPO,$I157)=0),"ERRO: destino inexistente",IF(AND($K157&lt;&gt;"",COUNTIF(CAT_ID,$K157)=0),"ERRO: categoria inexistente",IF(AND($L157&lt;&gt;"",COUNTIF(SUB_ID,$L157)=0),"ERRO: subcategoria inexistente",IF(AND($L157&lt;&gt;"",$K157&lt;&gt;"",IFERROR(INDEX(SUB_CATID,MATCH($L157,SUB_ID,0)),"")&lt;&gt;$K157),"ERRO: subcategoria nao pertence a categoria",IF(AND($O157&lt;&gt;"",COUNTIF(P_ID,$O157)=0),"ERRO: parcela inexistente",IF(AND($N157&lt;&gt;"",COUNTIF(CM_ID,$N157)=0),"ERRO: compromisso inexistente","OK")))))))))))))</f>
        <v/>
      </c>
      <c r="AK157" s="35" t="str">
        <f aca="false">IF($B157="","",IF(AND($N157="",$O157="",$P157="",$Q157="",$R157=""),"","VINCULADO: "&amp;TRIM(IF($N157&lt;&gt;"",$N157&amp;" ","")&amp;IF($O157&lt;&gt;"",$O157&amp;" ","")&amp;IF($P157&lt;&gt;"",$P157&amp;" ","")&amp;IF($Q157&lt;&gt;"",$Q157&amp;" ","")&amp;IF($R157&lt;&gt;"",$R157,""))))</f>
        <v/>
      </c>
    </row>
    <row r="158" customFormat="false" ht="15" hidden="false" customHeight="false" outlineLevel="0" collapsed="false">
      <c r="A158" s="30" t="str">
        <f aca="false">IF($B158="","","LAN-"&amp;TEXT(ROW()-4,"000000"))</f>
        <v/>
      </c>
      <c r="B158" s="31"/>
      <c r="C158" s="32"/>
      <c r="D158" s="32"/>
      <c r="E158" s="32"/>
      <c r="F158" s="33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4" t="str">
        <f aca="false">IF($B158="","",YEAR($B158))</f>
        <v/>
      </c>
      <c r="U158" s="34" t="str">
        <f aca="false">IF($B158="","",MONTH($B158))</f>
        <v/>
      </c>
      <c r="V158" s="34" t="str">
        <f aca="false">IF($B158="","",YEAR($B158)*100+MONTH($B158))</f>
        <v/>
      </c>
      <c r="W158" s="35" t="str">
        <f aca="false">IF($D158="","",IFERROR(INDEX(MAP_CLASS,MATCH($D158,MAP_TIPO,0)),"TIPO INVALIDO"))</f>
        <v/>
      </c>
      <c r="X158" s="35" t="str">
        <f aca="false">IF($K158="","",IFERROR(INDEX(CAT_NOME,MATCH($K158,CAT_ID,0)),"?"))</f>
        <v/>
      </c>
      <c r="Y158" s="35" t="str">
        <f aca="false">IF($L158="","",IFERROR(INDEX(SUB_NOME,MATCH($L158,SUB_ID,0)),"?"))</f>
        <v/>
      </c>
      <c r="Z158" s="35" t="str">
        <f aca="false">IF($G158="","",IF($G158="EXTERNO","(Externo)",IFERROR(INDEX(ENT_NOME,MATCH($H158,ENT_ID,0)),"?")))</f>
        <v/>
      </c>
      <c r="AA158" s="35" t="str">
        <f aca="false">IF($I158="","",IF($I158="EXTERNO","(Externo)",IFERROR(INDEX(ENT_NOME,MATCH($J158,ENT_ID,0)),"?")))</f>
        <v/>
      </c>
      <c r="AB158" s="36" t="n">
        <f aca="false">IF($B158="",0,IF(AND($I158="CONTA",$G158&lt;&gt;"CONTA"),$F158,0))</f>
        <v>0</v>
      </c>
      <c r="AC158" s="36" t="n">
        <f aca="false">IF($B158="",0,IF(AND($G158="CONTA",$I158&lt;&gt;"CONTA"),$F158,0))</f>
        <v>0</v>
      </c>
      <c r="AD158" s="36" t="n">
        <f aca="false">IF($W158="RECEITA",$F158,0)</f>
        <v>0</v>
      </c>
      <c r="AE158" s="36" t="n">
        <f aca="false">IF($W158="DESPESA",$F158,0)</f>
        <v>0</v>
      </c>
      <c r="AF158" s="36" t="n">
        <f aca="false">IF($W158="RECEITA_FINANCEIRA",$F158,0)</f>
        <v>0</v>
      </c>
      <c r="AG158" s="36" t="n">
        <f aca="false">IF($B158="",0,IF($I158="CONTA",$F158,0)-IF($G158="CONTA",$F158,0))</f>
        <v>0</v>
      </c>
      <c r="AH158" s="36" t="n">
        <f aca="false">IF($B158="",0,IF($G158="CARTAO",$F158,0)-IF($I158="CARTAO",$F158,0))</f>
        <v>0</v>
      </c>
      <c r="AI158" s="36" t="n">
        <f aca="false">IF($B158="",0,IF($I158="INVESTIMENTO",$F158,0)-IF($G158="INVESTIMENTO",$F158,0))</f>
        <v>0</v>
      </c>
      <c r="AJ158" s="35" t="str">
        <f aca="false">IF($B158="","",IF(NOT(ISNUMBER($F158)),"ERRO: valor nao numerico",IF($F158&lt;=0,"ERRO: valor deve ser maior que zero",IF(COUNTIF(MAP_TIPO,$D158)=0,"ERRO: tipo de operacao nao cadastrado",IF(COUNTIF(LST_STATUS,$E158)=0,"ERRO: status invalido",IF(AND($G158="EXTERNO",$I158="EXTERNO"),"ERRO: origem e destino externos",IF(AND($G158&lt;&gt;"EXTERNO",COUNTIFS(ENT_ID,$H158,ENT_TIPO,$G158)=0),"ERRO: origem inexistente",IF(AND($I158&lt;&gt;"EXTERNO",COUNTIFS(ENT_ID,$J158,ENT_TIPO,$I158)=0),"ERRO: destino inexistente",IF(AND($K158&lt;&gt;"",COUNTIF(CAT_ID,$K158)=0),"ERRO: categoria inexistente",IF(AND($L158&lt;&gt;"",COUNTIF(SUB_ID,$L158)=0),"ERRO: subcategoria inexistente",IF(AND($L158&lt;&gt;"",$K158&lt;&gt;"",IFERROR(INDEX(SUB_CATID,MATCH($L158,SUB_ID,0)),"")&lt;&gt;$K158),"ERRO: subcategoria nao pertence a categoria",IF(AND($O158&lt;&gt;"",COUNTIF(P_ID,$O158)=0),"ERRO: parcela inexistente",IF(AND($N158&lt;&gt;"",COUNTIF(CM_ID,$N158)=0),"ERRO: compromisso inexistente","OK")))))))))))))</f>
        <v/>
      </c>
      <c r="AK158" s="35" t="str">
        <f aca="false">IF($B158="","",IF(AND($N158="",$O158="",$P158="",$Q158="",$R158=""),"","VINCULADO: "&amp;TRIM(IF($N158&lt;&gt;"",$N158&amp;" ","")&amp;IF($O158&lt;&gt;"",$O158&amp;" ","")&amp;IF($P158&lt;&gt;"",$P158&amp;" ","")&amp;IF($Q158&lt;&gt;"",$Q158&amp;" ","")&amp;IF($R158&lt;&gt;"",$R158,""))))</f>
        <v/>
      </c>
    </row>
    <row r="159" customFormat="false" ht="15" hidden="false" customHeight="false" outlineLevel="0" collapsed="false">
      <c r="A159" s="30" t="str">
        <f aca="false">IF($B159="","","LAN-"&amp;TEXT(ROW()-4,"000000"))</f>
        <v/>
      </c>
      <c r="B159" s="31"/>
      <c r="C159" s="32"/>
      <c r="D159" s="32"/>
      <c r="E159" s="32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4" t="str">
        <f aca="false">IF($B159="","",YEAR($B159))</f>
        <v/>
      </c>
      <c r="U159" s="34" t="str">
        <f aca="false">IF($B159="","",MONTH($B159))</f>
        <v/>
      </c>
      <c r="V159" s="34" t="str">
        <f aca="false">IF($B159="","",YEAR($B159)*100+MONTH($B159))</f>
        <v/>
      </c>
      <c r="W159" s="35" t="str">
        <f aca="false">IF($D159="","",IFERROR(INDEX(MAP_CLASS,MATCH($D159,MAP_TIPO,0)),"TIPO INVALIDO"))</f>
        <v/>
      </c>
      <c r="X159" s="35" t="str">
        <f aca="false">IF($K159="","",IFERROR(INDEX(CAT_NOME,MATCH($K159,CAT_ID,0)),"?"))</f>
        <v/>
      </c>
      <c r="Y159" s="35" t="str">
        <f aca="false">IF($L159="","",IFERROR(INDEX(SUB_NOME,MATCH($L159,SUB_ID,0)),"?"))</f>
        <v/>
      </c>
      <c r="Z159" s="35" t="str">
        <f aca="false">IF($G159="","",IF($G159="EXTERNO","(Externo)",IFERROR(INDEX(ENT_NOME,MATCH($H159,ENT_ID,0)),"?")))</f>
        <v/>
      </c>
      <c r="AA159" s="35" t="str">
        <f aca="false">IF($I159="","",IF($I159="EXTERNO","(Externo)",IFERROR(INDEX(ENT_NOME,MATCH($J159,ENT_ID,0)),"?")))</f>
        <v/>
      </c>
      <c r="AB159" s="36" t="n">
        <f aca="false">IF($B159="",0,IF(AND($I159="CONTA",$G159&lt;&gt;"CONTA"),$F159,0))</f>
        <v>0</v>
      </c>
      <c r="AC159" s="36" t="n">
        <f aca="false">IF($B159="",0,IF(AND($G159="CONTA",$I159&lt;&gt;"CONTA"),$F159,0))</f>
        <v>0</v>
      </c>
      <c r="AD159" s="36" t="n">
        <f aca="false">IF($W159="RECEITA",$F159,0)</f>
        <v>0</v>
      </c>
      <c r="AE159" s="36" t="n">
        <f aca="false">IF($W159="DESPESA",$F159,0)</f>
        <v>0</v>
      </c>
      <c r="AF159" s="36" t="n">
        <f aca="false">IF($W159="RECEITA_FINANCEIRA",$F159,0)</f>
        <v>0</v>
      </c>
      <c r="AG159" s="36" t="n">
        <f aca="false">IF($B159="",0,IF($I159="CONTA",$F159,0)-IF($G159="CONTA",$F159,0))</f>
        <v>0</v>
      </c>
      <c r="AH159" s="36" t="n">
        <f aca="false">IF($B159="",0,IF($G159="CARTAO",$F159,0)-IF($I159="CARTAO",$F159,0))</f>
        <v>0</v>
      </c>
      <c r="AI159" s="36" t="n">
        <f aca="false">IF($B159="",0,IF($I159="INVESTIMENTO",$F159,0)-IF($G159="INVESTIMENTO",$F159,0))</f>
        <v>0</v>
      </c>
      <c r="AJ159" s="35" t="str">
        <f aca="false">IF($B159="","",IF(NOT(ISNUMBER($F159)),"ERRO: valor nao numerico",IF($F159&lt;=0,"ERRO: valor deve ser maior que zero",IF(COUNTIF(MAP_TIPO,$D159)=0,"ERRO: tipo de operacao nao cadastrado",IF(COUNTIF(LST_STATUS,$E159)=0,"ERRO: status invalido",IF(AND($G159="EXTERNO",$I159="EXTERNO"),"ERRO: origem e destino externos",IF(AND($G159&lt;&gt;"EXTERNO",COUNTIFS(ENT_ID,$H159,ENT_TIPO,$G159)=0),"ERRO: origem inexistente",IF(AND($I159&lt;&gt;"EXTERNO",COUNTIFS(ENT_ID,$J159,ENT_TIPO,$I159)=0),"ERRO: destino inexistente",IF(AND($K159&lt;&gt;"",COUNTIF(CAT_ID,$K159)=0),"ERRO: categoria inexistente",IF(AND($L159&lt;&gt;"",COUNTIF(SUB_ID,$L159)=0),"ERRO: subcategoria inexistente",IF(AND($L159&lt;&gt;"",$K159&lt;&gt;"",IFERROR(INDEX(SUB_CATID,MATCH($L159,SUB_ID,0)),"")&lt;&gt;$K159),"ERRO: subcategoria nao pertence a categoria",IF(AND($O159&lt;&gt;"",COUNTIF(P_ID,$O159)=0),"ERRO: parcela inexistente",IF(AND($N159&lt;&gt;"",COUNTIF(CM_ID,$N159)=0),"ERRO: compromisso inexistente","OK")))))))))))))</f>
        <v/>
      </c>
      <c r="AK159" s="35" t="str">
        <f aca="false">IF($B159="","",IF(AND($N159="",$O159="",$P159="",$Q159="",$R159=""),"","VINCULADO: "&amp;TRIM(IF($N159&lt;&gt;"",$N159&amp;" ","")&amp;IF($O159&lt;&gt;"",$O159&amp;" ","")&amp;IF($P159&lt;&gt;"",$P159&amp;" ","")&amp;IF($Q159&lt;&gt;"",$Q159&amp;" ","")&amp;IF($R159&lt;&gt;"",$R159,""))))</f>
        <v/>
      </c>
    </row>
    <row r="160" customFormat="false" ht="15" hidden="false" customHeight="false" outlineLevel="0" collapsed="false">
      <c r="A160" s="30" t="str">
        <f aca="false">IF($B160="","","LAN-"&amp;TEXT(ROW()-4,"000000"))</f>
        <v/>
      </c>
      <c r="B160" s="31"/>
      <c r="C160" s="32"/>
      <c r="D160" s="32"/>
      <c r="E160" s="32"/>
      <c r="F160" s="33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4" t="str">
        <f aca="false">IF($B160="","",YEAR($B160))</f>
        <v/>
      </c>
      <c r="U160" s="34" t="str">
        <f aca="false">IF($B160="","",MONTH($B160))</f>
        <v/>
      </c>
      <c r="V160" s="34" t="str">
        <f aca="false">IF($B160="","",YEAR($B160)*100+MONTH($B160))</f>
        <v/>
      </c>
      <c r="W160" s="35" t="str">
        <f aca="false">IF($D160="","",IFERROR(INDEX(MAP_CLASS,MATCH($D160,MAP_TIPO,0)),"TIPO INVALIDO"))</f>
        <v/>
      </c>
      <c r="X160" s="35" t="str">
        <f aca="false">IF($K160="","",IFERROR(INDEX(CAT_NOME,MATCH($K160,CAT_ID,0)),"?"))</f>
        <v/>
      </c>
      <c r="Y160" s="35" t="str">
        <f aca="false">IF($L160="","",IFERROR(INDEX(SUB_NOME,MATCH($L160,SUB_ID,0)),"?"))</f>
        <v/>
      </c>
      <c r="Z160" s="35" t="str">
        <f aca="false">IF($G160="","",IF($G160="EXTERNO","(Externo)",IFERROR(INDEX(ENT_NOME,MATCH($H160,ENT_ID,0)),"?")))</f>
        <v/>
      </c>
      <c r="AA160" s="35" t="str">
        <f aca="false">IF($I160="","",IF($I160="EXTERNO","(Externo)",IFERROR(INDEX(ENT_NOME,MATCH($J160,ENT_ID,0)),"?")))</f>
        <v/>
      </c>
      <c r="AB160" s="36" t="n">
        <f aca="false">IF($B160="",0,IF(AND($I160="CONTA",$G160&lt;&gt;"CONTA"),$F160,0))</f>
        <v>0</v>
      </c>
      <c r="AC160" s="36" t="n">
        <f aca="false">IF($B160="",0,IF(AND($G160="CONTA",$I160&lt;&gt;"CONTA"),$F160,0))</f>
        <v>0</v>
      </c>
      <c r="AD160" s="36" t="n">
        <f aca="false">IF($W160="RECEITA",$F160,0)</f>
        <v>0</v>
      </c>
      <c r="AE160" s="36" t="n">
        <f aca="false">IF($W160="DESPESA",$F160,0)</f>
        <v>0</v>
      </c>
      <c r="AF160" s="36" t="n">
        <f aca="false">IF($W160="RECEITA_FINANCEIRA",$F160,0)</f>
        <v>0</v>
      </c>
      <c r="AG160" s="36" t="n">
        <f aca="false">IF($B160="",0,IF($I160="CONTA",$F160,0)-IF($G160="CONTA",$F160,0))</f>
        <v>0</v>
      </c>
      <c r="AH160" s="36" t="n">
        <f aca="false">IF($B160="",0,IF($G160="CARTAO",$F160,0)-IF($I160="CARTAO",$F160,0))</f>
        <v>0</v>
      </c>
      <c r="AI160" s="36" t="n">
        <f aca="false">IF($B160="",0,IF($I160="INVESTIMENTO",$F160,0)-IF($G160="INVESTIMENTO",$F160,0))</f>
        <v>0</v>
      </c>
      <c r="AJ160" s="35" t="str">
        <f aca="false">IF($B160="","",IF(NOT(ISNUMBER($F160)),"ERRO: valor nao numerico",IF($F160&lt;=0,"ERRO: valor deve ser maior que zero",IF(COUNTIF(MAP_TIPO,$D160)=0,"ERRO: tipo de operacao nao cadastrado",IF(COUNTIF(LST_STATUS,$E160)=0,"ERRO: status invalido",IF(AND($G160="EXTERNO",$I160="EXTERNO"),"ERRO: origem e destino externos",IF(AND($G160&lt;&gt;"EXTERNO",COUNTIFS(ENT_ID,$H160,ENT_TIPO,$G160)=0),"ERRO: origem inexistente",IF(AND($I160&lt;&gt;"EXTERNO",COUNTIFS(ENT_ID,$J160,ENT_TIPO,$I160)=0),"ERRO: destino inexistente",IF(AND($K160&lt;&gt;"",COUNTIF(CAT_ID,$K160)=0),"ERRO: categoria inexistente",IF(AND($L160&lt;&gt;"",COUNTIF(SUB_ID,$L160)=0),"ERRO: subcategoria inexistente",IF(AND($L160&lt;&gt;"",$K160&lt;&gt;"",IFERROR(INDEX(SUB_CATID,MATCH($L160,SUB_ID,0)),"")&lt;&gt;$K160),"ERRO: subcategoria nao pertence a categoria",IF(AND($O160&lt;&gt;"",COUNTIF(P_ID,$O160)=0),"ERRO: parcela inexistente",IF(AND($N160&lt;&gt;"",COUNTIF(CM_ID,$N160)=0),"ERRO: compromisso inexistente","OK")))))))))))))</f>
        <v/>
      </c>
      <c r="AK160" s="35" t="str">
        <f aca="false">IF($B160="","",IF(AND($N160="",$O160="",$P160="",$Q160="",$R160=""),"","VINCULADO: "&amp;TRIM(IF($N160&lt;&gt;"",$N160&amp;" ","")&amp;IF($O160&lt;&gt;"",$O160&amp;" ","")&amp;IF($P160&lt;&gt;"",$P160&amp;" ","")&amp;IF($Q160&lt;&gt;"",$Q160&amp;" ","")&amp;IF($R160&lt;&gt;"",$R160,""))))</f>
        <v/>
      </c>
    </row>
    <row r="161" customFormat="false" ht="15" hidden="false" customHeight="false" outlineLevel="0" collapsed="false">
      <c r="A161" s="30" t="str">
        <f aca="false">IF($B161="","","LAN-"&amp;TEXT(ROW()-4,"000000"))</f>
        <v/>
      </c>
      <c r="B161" s="31"/>
      <c r="C161" s="32"/>
      <c r="D161" s="32"/>
      <c r="E161" s="32"/>
      <c r="F161" s="33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4" t="str">
        <f aca="false">IF($B161="","",YEAR($B161))</f>
        <v/>
      </c>
      <c r="U161" s="34" t="str">
        <f aca="false">IF($B161="","",MONTH($B161))</f>
        <v/>
      </c>
      <c r="V161" s="34" t="str">
        <f aca="false">IF($B161="","",YEAR($B161)*100+MONTH($B161))</f>
        <v/>
      </c>
      <c r="W161" s="35" t="str">
        <f aca="false">IF($D161="","",IFERROR(INDEX(MAP_CLASS,MATCH($D161,MAP_TIPO,0)),"TIPO INVALIDO"))</f>
        <v/>
      </c>
      <c r="X161" s="35" t="str">
        <f aca="false">IF($K161="","",IFERROR(INDEX(CAT_NOME,MATCH($K161,CAT_ID,0)),"?"))</f>
        <v/>
      </c>
      <c r="Y161" s="35" t="str">
        <f aca="false">IF($L161="","",IFERROR(INDEX(SUB_NOME,MATCH($L161,SUB_ID,0)),"?"))</f>
        <v/>
      </c>
      <c r="Z161" s="35" t="str">
        <f aca="false">IF($G161="","",IF($G161="EXTERNO","(Externo)",IFERROR(INDEX(ENT_NOME,MATCH($H161,ENT_ID,0)),"?")))</f>
        <v/>
      </c>
      <c r="AA161" s="35" t="str">
        <f aca="false">IF($I161="","",IF($I161="EXTERNO","(Externo)",IFERROR(INDEX(ENT_NOME,MATCH($J161,ENT_ID,0)),"?")))</f>
        <v/>
      </c>
      <c r="AB161" s="36" t="n">
        <f aca="false">IF($B161="",0,IF(AND($I161="CONTA",$G161&lt;&gt;"CONTA"),$F161,0))</f>
        <v>0</v>
      </c>
      <c r="AC161" s="36" t="n">
        <f aca="false">IF($B161="",0,IF(AND($G161="CONTA",$I161&lt;&gt;"CONTA"),$F161,0))</f>
        <v>0</v>
      </c>
      <c r="AD161" s="36" t="n">
        <f aca="false">IF($W161="RECEITA",$F161,0)</f>
        <v>0</v>
      </c>
      <c r="AE161" s="36" t="n">
        <f aca="false">IF($W161="DESPESA",$F161,0)</f>
        <v>0</v>
      </c>
      <c r="AF161" s="36" t="n">
        <f aca="false">IF($W161="RECEITA_FINANCEIRA",$F161,0)</f>
        <v>0</v>
      </c>
      <c r="AG161" s="36" t="n">
        <f aca="false">IF($B161="",0,IF($I161="CONTA",$F161,0)-IF($G161="CONTA",$F161,0))</f>
        <v>0</v>
      </c>
      <c r="AH161" s="36" t="n">
        <f aca="false">IF($B161="",0,IF($G161="CARTAO",$F161,0)-IF($I161="CARTAO",$F161,0))</f>
        <v>0</v>
      </c>
      <c r="AI161" s="36" t="n">
        <f aca="false">IF($B161="",0,IF($I161="INVESTIMENTO",$F161,0)-IF($G161="INVESTIMENTO",$F161,0))</f>
        <v>0</v>
      </c>
      <c r="AJ161" s="35" t="str">
        <f aca="false">IF($B161="","",IF(NOT(ISNUMBER($F161)),"ERRO: valor nao numerico",IF($F161&lt;=0,"ERRO: valor deve ser maior que zero",IF(COUNTIF(MAP_TIPO,$D161)=0,"ERRO: tipo de operacao nao cadastrado",IF(COUNTIF(LST_STATUS,$E161)=0,"ERRO: status invalido",IF(AND($G161="EXTERNO",$I161="EXTERNO"),"ERRO: origem e destino externos",IF(AND($G161&lt;&gt;"EXTERNO",COUNTIFS(ENT_ID,$H161,ENT_TIPO,$G161)=0),"ERRO: origem inexistente",IF(AND($I161&lt;&gt;"EXTERNO",COUNTIFS(ENT_ID,$J161,ENT_TIPO,$I161)=0),"ERRO: destino inexistente",IF(AND($K161&lt;&gt;"",COUNTIF(CAT_ID,$K161)=0),"ERRO: categoria inexistente",IF(AND($L161&lt;&gt;"",COUNTIF(SUB_ID,$L161)=0),"ERRO: subcategoria inexistente",IF(AND($L161&lt;&gt;"",$K161&lt;&gt;"",IFERROR(INDEX(SUB_CATID,MATCH($L161,SUB_ID,0)),"")&lt;&gt;$K161),"ERRO: subcategoria nao pertence a categoria",IF(AND($O161&lt;&gt;"",COUNTIF(P_ID,$O161)=0),"ERRO: parcela inexistente",IF(AND($N161&lt;&gt;"",COUNTIF(CM_ID,$N161)=0),"ERRO: compromisso inexistente","OK")))))))))))))</f>
        <v/>
      </c>
      <c r="AK161" s="35" t="str">
        <f aca="false">IF($B161="","",IF(AND($N161="",$O161="",$P161="",$Q161="",$R161=""),"","VINCULADO: "&amp;TRIM(IF($N161&lt;&gt;"",$N161&amp;" ","")&amp;IF($O161&lt;&gt;"",$O161&amp;" ","")&amp;IF($P161&lt;&gt;"",$P161&amp;" ","")&amp;IF($Q161&lt;&gt;"",$Q161&amp;" ","")&amp;IF($R161&lt;&gt;"",$R161,""))))</f>
        <v/>
      </c>
    </row>
    <row r="162" customFormat="false" ht="15" hidden="false" customHeight="false" outlineLevel="0" collapsed="false">
      <c r="A162" s="30" t="str">
        <f aca="false">IF($B162="","","LAN-"&amp;TEXT(ROW()-4,"000000"))</f>
        <v/>
      </c>
      <c r="B162" s="31"/>
      <c r="C162" s="32"/>
      <c r="D162" s="32"/>
      <c r="E162" s="32"/>
      <c r="F162" s="33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4" t="str">
        <f aca="false">IF($B162="","",YEAR($B162))</f>
        <v/>
      </c>
      <c r="U162" s="34" t="str">
        <f aca="false">IF($B162="","",MONTH($B162))</f>
        <v/>
      </c>
      <c r="V162" s="34" t="str">
        <f aca="false">IF($B162="","",YEAR($B162)*100+MONTH($B162))</f>
        <v/>
      </c>
      <c r="W162" s="35" t="str">
        <f aca="false">IF($D162="","",IFERROR(INDEX(MAP_CLASS,MATCH($D162,MAP_TIPO,0)),"TIPO INVALIDO"))</f>
        <v/>
      </c>
      <c r="X162" s="35" t="str">
        <f aca="false">IF($K162="","",IFERROR(INDEX(CAT_NOME,MATCH($K162,CAT_ID,0)),"?"))</f>
        <v/>
      </c>
      <c r="Y162" s="35" t="str">
        <f aca="false">IF($L162="","",IFERROR(INDEX(SUB_NOME,MATCH($L162,SUB_ID,0)),"?"))</f>
        <v/>
      </c>
      <c r="Z162" s="35" t="str">
        <f aca="false">IF($G162="","",IF($G162="EXTERNO","(Externo)",IFERROR(INDEX(ENT_NOME,MATCH($H162,ENT_ID,0)),"?")))</f>
        <v/>
      </c>
      <c r="AA162" s="35" t="str">
        <f aca="false">IF($I162="","",IF($I162="EXTERNO","(Externo)",IFERROR(INDEX(ENT_NOME,MATCH($J162,ENT_ID,0)),"?")))</f>
        <v/>
      </c>
      <c r="AB162" s="36" t="n">
        <f aca="false">IF($B162="",0,IF(AND($I162="CONTA",$G162&lt;&gt;"CONTA"),$F162,0))</f>
        <v>0</v>
      </c>
      <c r="AC162" s="36" t="n">
        <f aca="false">IF($B162="",0,IF(AND($G162="CONTA",$I162&lt;&gt;"CONTA"),$F162,0))</f>
        <v>0</v>
      </c>
      <c r="AD162" s="36" t="n">
        <f aca="false">IF($W162="RECEITA",$F162,0)</f>
        <v>0</v>
      </c>
      <c r="AE162" s="36" t="n">
        <f aca="false">IF($W162="DESPESA",$F162,0)</f>
        <v>0</v>
      </c>
      <c r="AF162" s="36" t="n">
        <f aca="false">IF($W162="RECEITA_FINANCEIRA",$F162,0)</f>
        <v>0</v>
      </c>
      <c r="AG162" s="36" t="n">
        <f aca="false">IF($B162="",0,IF($I162="CONTA",$F162,0)-IF($G162="CONTA",$F162,0))</f>
        <v>0</v>
      </c>
      <c r="AH162" s="36" t="n">
        <f aca="false">IF($B162="",0,IF($G162="CARTAO",$F162,0)-IF($I162="CARTAO",$F162,0))</f>
        <v>0</v>
      </c>
      <c r="AI162" s="36" t="n">
        <f aca="false">IF($B162="",0,IF($I162="INVESTIMENTO",$F162,0)-IF($G162="INVESTIMENTO",$F162,0))</f>
        <v>0</v>
      </c>
      <c r="AJ162" s="35" t="str">
        <f aca="false">IF($B162="","",IF(NOT(ISNUMBER($F162)),"ERRO: valor nao numerico",IF($F162&lt;=0,"ERRO: valor deve ser maior que zero",IF(COUNTIF(MAP_TIPO,$D162)=0,"ERRO: tipo de operacao nao cadastrado",IF(COUNTIF(LST_STATUS,$E162)=0,"ERRO: status invalido",IF(AND($G162="EXTERNO",$I162="EXTERNO"),"ERRO: origem e destino externos",IF(AND($G162&lt;&gt;"EXTERNO",COUNTIFS(ENT_ID,$H162,ENT_TIPO,$G162)=0),"ERRO: origem inexistente",IF(AND($I162&lt;&gt;"EXTERNO",COUNTIFS(ENT_ID,$J162,ENT_TIPO,$I162)=0),"ERRO: destino inexistente",IF(AND($K162&lt;&gt;"",COUNTIF(CAT_ID,$K162)=0),"ERRO: categoria inexistente",IF(AND($L162&lt;&gt;"",COUNTIF(SUB_ID,$L162)=0),"ERRO: subcategoria inexistente",IF(AND($L162&lt;&gt;"",$K162&lt;&gt;"",IFERROR(INDEX(SUB_CATID,MATCH($L162,SUB_ID,0)),"")&lt;&gt;$K162),"ERRO: subcategoria nao pertence a categoria",IF(AND($O162&lt;&gt;"",COUNTIF(P_ID,$O162)=0),"ERRO: parcela inexistente",IF(AND($N162&lt;&gt;"",COUNTIF(CM_ID,$N162)=0),"ERRO: compromisso inexistente","OK")))))))))))))</f>
        <v/>
      </c>
      <c r="AK162" s="35" t="str">
        <f aca="false">IF($B162="","",IF(AND($N162="",$O162="",$P162="",$Q162="",$R162=""),"","VINCULADO: "&amp;TRIM(IF($N162&lt;&gt;"",$N162&amp;" ","")&amp;IF($O162&lt;&gt;"",$O162&amp;" ","")&amp;IF($P162&lt;&gt;"",$P162&amp;" ","")&amp;IF($Q162&lt;&gt;"",$Q162&amp;" ","")&amp;IF($R162&lt;&gt;"",$R162,""))))</f>
        <v/>
      </c>
    </row>
    <row r="163" customFormat="false" ht="15" hidden="false" customHeight="false" outlineLevel="0" collapsed="false">
      <c r="A163" s="30" t="str">
        <f aca="false">IF($B163="","","LAN-"&amp;TEXT(ROW()-4,"000000"))</f>
        <v/>
      </c>
      <c r="B163" s="31"/>
      <c r="C163" s="32"/>
      <c r="D163" s="32"/>
      <c r="E163" s="32"/>
      <c r="F163" s="33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4" t="str">
        <f aca="false">IF($B163="","",YEAR($B163))</f>
        <v/>
      </c>
      <c r="U163" s="34" t="str">
        <f aca="false">IF($B163="","",MONTH($B163))</f>
        <v/>
      </c>
      <c r="V163" s="34" t="str">
        <f aca="false">IF($B163="","",YEAR($B163)*100+MONTH($B163))</f>
        <v/>
      </c>
      <c r="W163" s="35" t="str">
        <f aca="false">IF($D163="","",IFERROR(INDEX(MAP_CLASS,MATCH($D163,MAP_TIPO,0)),"TIPO INVALIDO"))</f>
        <v/>
      </c>
      <c r="X163" s="35" t="str">
        <f aca="false">IF($K163="","",IFERROR(INDEX(CAT_NOME,MATCH($K163,CAT_ID,0)),"?"))</f>
        <v/>
      </c>
      <c r="Y163" s="35" t="str">
        <f aca="false">IF($L163="","",IFERROR(INDEX(SUB_NOME,MATCH($L163,SUB_ID,0)),"?"))</f>
        <v/>
      </c>
      <c r="Z163" s="35" t="str">
        <f aca="false">IF($G163="","",IF($G163="EXTERNO","(Externo)",IFERROR(INDEX(ENT_NOME,MATCH($H163,ENT_ID,0)),"?")))</f>
        <v/>
      </c>
      <c r="AA163" s="35" t="str">
        <f aca="false">IF($I163="","",IF($I163="EXTERNO","(Externo)",IFERROR(INDEX(ENT_NOME,MATCH($J163,ENT_ID,0)),"?")))</f>
        <v/>
      </c>
      <c r="AB163" s="36" t="n">
        <f aca="false">IF($B163="",0,IF(AND($I163="CONTA",$G163&lt;&gt;"CONTA"),$F163,0))</f>
        <v>0</v>
      </c>
      <c r="AC163" s="36" t="n">
        <f aca="false">IF($B163="",0,IF(AND($G163="CONTA",$I163&lt;&gt;"CONTA"),$F163,0))</f>
        <v>0</v>
      </c>
      <c r="AD163" s="36" t="n">
        <f aca="false">IF($W163="RECEITA",$F163,0)</f>
        <v>0</v>
      </c>
      <c r="AE163" s="36" t="n">
        <f aca="false">IF($W163="DESPESA",$F163,0)</f>
        <v>0</v>
      </c>
      <c r="AF163" s="36" t="n">
        <f aca="false">IF($W163="RECEITA_FINANCEIRA",$F163,0)</f>
        <v>0</v>
      </c>
      <c r="AG163" s="36" t="n">
        <f aca="false">IF($B163="",0,IF($I163="CONTA",$F163,0)-IF($G163="CONTA",$F163,0))</f>
        <v>0</v>
      </c>
      <c r="AH163" s="36" t="n">
        <f aca="false">IF($B163="",0,IF($G163="CARTAO",$F163,0)-IF($I163="CARTAO",$F163,0))</f>
        <v>0</v>
      </c>
      <c r="AI163" s="36" t="n">
        <f aca="false">IF($B163="",0,IF($I163="INVESTIMENTO",$F163,0)-IF($G163="INVESTIMENTO",$F163,0))</f>
        <v>0</v>
      </c>
      <c r="AJ163" s="35" t="str">
        <f aca="false">IF($B163="","",IF(NOT(ISNUMBER($F163)),"ERRO: valor nao numerico",IF($F163&lt;=0,"ERRO: valor deve ser maior que zero",IF(COUNTIF(MAP_TIPO,$D163)=0,"ERRO: tipo de operacao nao cadastrado",IF(COUNTIF(LST_STATUS,$E163)=0,"ERRO: status invalido",IF(AND($G163="EXTERNO",$I163="EXTERNO"),"ERRO: origem e destino externos",IF(AND($G163&lt;&gt;"EXTERNO",COUNTIFS(ENT_ID,$H163,ENT_TIPO,$G163)=0),"ERRO: origem inexistente",IF(AND($I163&lt;&gt;"EXTERNO",COUNTIFS(ENT_ID,$J163,ENT_TIPO,$I163)=0),"ERRO: destino inexistente",IF(AND($K163&lt;&gt;"",COUNTIF(CAT_ID,$K163)=0),"ERRO: categoria inexistente",IF(AND($L163&lt;&gt;"",COUNTIF(SUB_ID,$L163)=0),"ERRO: subcategoria inexistente",IF(AND($L163&lt;&gt;"",$K163&lt;&gt;"",IFERROR(INDEX(SUB_CATID,MATCH($L163,SUB_ID,0)),"")&lt;&gt;$K163),"ERRO: subcategoria nao pertence a categoria",IF(AND($O163&lt;&gt;"",COUNTIF(P_ID,$O163)=0),"ERRO: parcela inexistente",IF(AND($N163&lt;&gt;"",COUNTIF(CM_ID,$N163)=0),"ERRO: compromisso inexistente","OK")))))))))))))</f>
        <v/>
      </c>
      <c r="AK163" s="35" t="str">
        <f aca="false">IF($B163="","",IF(AND($N163="",$O163="",$P163="",$Q163="",$R163=""),"","VINCULADO: "&amp;TRIM(IF($N163&lt;&gt;"",$N163&amp;" ","")&amp;IF($O163&lt;&gt;"",$O163&amp;" ","")&amp;IF($P163&lt;&gt;"",$P163&amp;" ","")&amp;IF($Q163&lt;&gt;"",$Q163&amp;" ","")&amp;IF($R163&lt;&gt;"",$R163,""))))</f>
        <v/>
      </c>
    </row>
    <row r="164" customFormat="false" ht="15" hidden="false" customHeight="false" outlineLevel="0" collapsed="false">
      <c r="A164" s="30" t="str">
        <f aca="false">IF($B164="","","LAN-"&amp;TEXT(ROW()-4,"000000"))</f>
        <v/>
      </c>
      <c r="B164" s="31"/>
      <c r="C164" s="32"/>
      <c r="D164" s="32"/>
      <c r="E164" s="32"/>
      <c r="F164" s="33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4" t="str">
        <f aca="false">IF($B164="","",YEAR($B164))</f>
        <v/>
      </c>
      <c r="U164" s="34" t="str">
        <f aca="false">IF($B164="","",MONTH($B164))</f>
        <v/>
      </c>
      <c r="V164" s="34" t="str">
        <f aca="false">IF($B164="","",YEAR($B164)*100+MONTH($B164))</f>
        <v/>
      </c>
      <c r="W164" s="35" t="str">
        <f aca="false">IF($D164="","",IFERROR(INDEX(MAP_CLASS,MATCH($D164,MAP_TIPO,0)),"TIPO INVALIDO"))</f>
        <v/>
      </c>
      <c r="X164" s="35" t="str">
        <f aca="false">IF($K164="","",IFERROR(INDEX(CAT_NOME,MATCH($K164,CAT_ID,0)),"?"))</f>
        <v/>
      </c>
      <c r="Y164" s="35" t="str">
        <f aca="false">IF($L164="","",IFERROR(INDEX(SUB_NOME,MATCH($L164,SUB_ID,0)),"?"))</f>
        <v/>
      </c>
      <c r="Z164" s="35" t="str">
        <f aca="false">IF($G164="","",IF($G164="EXTERNO","(Externo)",IFERROR(INDEX(ENT_NOME,MATCH($H164,ENT_ID,0)),"?")))</f>
        <v/>
      </c>
      <c r="AA164" s="35" t="str">
        <f aca="false">IF($I164="","",IF($I164="EXTERNO","(Externo)",IFERROR(INDEX(ENT_NOME,MATCH($J164,ENT_ID,0)),"?")))</f>
        <v/>
      </c>
      <c r="AB164" s="36" t="n">
        <f aca="false">IF($B164="",0,IF(AND($I164="CONTA",$G164&lt;&gt;"CONTA"),$F164,0))</f>
        <v>0</v>
      </c>
      <c r="AC164" s="36" t="n">
        <f aca="false">IF($B164="",0,IF(AND($G164="CONTA",$I164&lt;&gt;"CONTA"),$F164,0))</f>
        <v>0</v>
      </c>
      <c r="AD164" s="36" t="n">
        <f aca="false">IF($W164="RECEITA",$F164,0)</f>
        <v>0</v>
      </c>
      <c r="AE164" s="36" t="n">
        <f aca="false">IF($W164="DESPESA",$F164,0)</f>
        <v>0</v>
      </c>
      <c r="AF164" s="36" t="n">
        <f aca="false">IF($W164="RECEITA_FINANCEIRA",$F164,0)</f>
        <v>0</v>
      </c>
      <c r="AG164" s="36" t="n">
        <f aca="false">IF($B164="",0,IF($I164="CONTA",$F164,0)-IF($G164="CONTA",$F164,0))</f>
        <v>0</v>
      </c>
      <c r="AH164" s="36" t="n">
        <f aca="false">IF($B164="",0,IF($G164="CARTAO",$F164,0)-IF($I164="CARTAO",$F164,0))</f>
        <v>0</v>
      </c>
      <c r="AI164" s="36" t="n">
        <f aca="false">IF($B164="",0,IF($I164="INVESTIMENTO",$F164,0)-IF($G164="INVESTIMENTO",$F164,0))</f>
        <v>0</v>
      </c>
      <c r="AJ164" s="35" t="str">
        <f aca="false">IF($B164="","",IF(NOT(ISNUMBER($F164)),"ERRO: valor nao numerico",IF($F164&lt;=0,"ERRO: valor deve ser maior que zero",IF(COUNTIF(MAP_TIPO,$D164)=0,"ERRO: tipo de operacao nao cadastrado",IF(COUNTIF(LST_STATUS,$E164)=0,"ERRO: status invalido",IF(AND($G164="EXTERNO",$I164="EXTERNO"),"ERRO: origem e destino externos",IF(AND($G164&lt;&gt;"EXTERNO",COUNTIFS(ENT_ID,$H164,ENT_TIPO,$G164)=0),"ERRO: origem inexistente",IF(AND($I164&lt;&gt;"EXTERNO",COUNTIFS(ENT_ID,$J164,ENT_TIPO,$I164)=0),"ERRO: destino inexistente",IF(AND($K164&lt;&gt;"",COUNTIF(CAT_ID,$K164)=0),"ERRO: categoria inexistente",IF(AND($L164&lt;&gt;"",COUNTIF(SUB_ID,$L164)=0),"ERRO: subcategoria inexistente",IF(AND($L164&lt;&gt;"",$K164&lt;&gt;"",IFERROR(INDEX(SUB_CATID,MATCH($L164,SUB_ID,0)),"")&lt;&gt;$K164),"ERRO: subcategoria nao pertence a categoria",IF(AND($O164&lt;&gt;"",COUNTIF(P_ID,$O164)=0),"ERRO: parcela inexistente",IF(AND($N164&lt;&gt;"",COUNTIF(CM_ID,$N164)=0),"ERRO: compromisso inexistente","OK")))))))))))))</f>
        <v/>
      </c>
      <c r="AK164" s="35" t="str">
        <f aca="false">IF($B164="","",IF(AND($N164="",$O164="",$P164="",$Q164="",$R164=""),"","VINCULADO: "&amp;TRIM(IF($N164&lt;&gt;"",$N164&amp;" ","")&amp;IF($O164&lt;&gt;"",$O164&amp;" ","")&amp;IF($P164&lt;&gt;"",$P164&amp;" ","")&amp;IF($Q164&lt;&gt;"",$Q164&amp;" ","")&amp;IF($R164&lt;&gt;"",$R164,""))))</f>
        <v/>
      </c>
    </row>
    <row r="165" customFormat="false" ht="15" hidden="false" customHeight="false" outlineLevel="0" collapsed="false">
      <c r="A165" s="30" t="str">
        <f aca="false">IF($B165="","","LAN-"&amp;TEXT(ROW()-4,"000000"))</f>
        <v/>
      </c>
      <c r="B165" s="31"/>
      <c r="C165" s="32"/>
      <c r="D165" s="32"/>
      <c r="E165" s="32"/>
      <c r="F165" s="33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4" t="str">
        <f aca="false">IF($B165="","",YEAR($B165))</f>
        <v/>
      </c>
      <c r="U165" s="34" t="str">
        <f aca="false">IF($B165="","",MONTH($B165))</f>
        <v/>
      </c>
      <c r="V165" s="34" t="str">
        <f aca="false">IF($B165="","",YEAR($B165)*100+MONTH($B165))</f>
        <v/>
      </c>
      <c r="W165" s="35" t="str">
        <f aca="false">IF($D165="","",IFERROR(INDEX(MAP_CLASS,MATCH($D165,MAP_TIPO,0)),"TIPO INVALIDO"))</f>
        <v/>
      </c>
      <c r="X165" s="35" t="str">
        <f aca="false">IF($K165="","",IFERROR(INDEX(CAT_NOME,MATCH($K165,CAT_ID,0)),"?"))</f>
        <v/>
      </c>
      <c r="Y165" s="35" t="str">
        <f aca="false">IF($L165="","",IFERROR(INDEX(SUB_NOME,MATCH($L165,SUB_ID,0)),"?"))</f>
        <v/>
      </c>
      <c r="Z165" s="35" t="str">
        <f aca="false">IF($G165="","",IF($G165="EXTERNO","(Externo)",IFERROR(INDEX(ENT_NOME,MATCH($H165,ENT_ID,0)),"?")))</f>
        <v/>
      </c>
      <c r="AA165" s="35" t="str">
        <f aca="false">IF($I165="","",IF($I165="EXTERNO","(Externo)",IFERROR(INDEX(ENT_NOME,MATCH($J165,ENT_ID,0)),"?")))</f>
        <v/>
      </c>
      <c r="AB165" s="36" t="n">
        <f aca="false">IF($B165="",0,IF(AND($I165="CONTA",$G165&lt;&gt;"CONTA"),$F165,0))</f>
        <v>0</v>
      </c>
      <c r="AC165" s="36" t="n">
        <f aca="false">IF($B165="",0,IF(AND($G165="CONTA",$I165&lt;&gt;"CONTA"),$F165,0))</f>
        <v>0</v>
      </c>
      <c r="AD165" s="36" t="n">
        <f aca="false">IF($W165="RECEITA",$F165,0)</f>
        <v>0</v>
      </c>
      <c r="AE165" s="36" t="n">
        <f aca="false">IF($W165="DESPESA",$F165,0)</f>
        <v>0</v>
      </c>
      <c r="AF165" s="36" t="n">
        <f aca="false">IF($W165="RECEITA_FINANCEIRA",$F165,0)</f>
        <v>0</v>
      </c>
      <c r="AG165" s="36" t="n">
        <f aca="false">IF($B165="",0,IF($I165="CONTA",$F165,0)-IF($G165="CONTA",$F165,0))</f>
        <v>0</v>
      </c>
      <c r="AH165" s="36" t="n">
        <f aca="false">IF($B165="",0,IF($G165="CARTAO",$F165,0)-IF($I165="CARTAO",$F165,0))</f>
        <v>0</v>
      </c>
      <c r="AI165" s="36" t="n">
        <f aca="false">IF($B165="",0,IF($I165="INVESTIMENTO",$F165,0)-IF($G165="INVESTIMENTO",$F165,0))</f>
        <v>0</v>
      </c>
      <c r="AJ165" s="35" t="str">
        <f aca="false">IF($B165="","",IF(NOT(ISNUMBER($F165)),"ERRO: valor nao numerico",IF($F165&lt;=0,"ERRO: valor deve ser maior que zero",IF(COUNTIF(MAP_TIPO,$D165)=0,"ERRO: tipo de operacao nao cadastrado",IF(COUNTIF(LST_STATUS,$E165)=0,"ERRO: status invalido",IF(AND($G165="EXTERNO",$I165="EXTERNO"),"ERRO: origem e destino externos",IF(AND($G165&lt;&gt;"EXTERNO",COUNTIFS(ENT_ID,$H165,ENT_TIPO,$G165)=0),"ERRO: origem inexistente",IF(AND($I165&lt;&gt;"EXTERNO",COUNTIFS(ENT_ID,$J165,ENT_TIPO,$I165)=0),"ERRO: destino inexistente",IF(AND($K165&lt;&gt;"",COUNTIF(CAT_ID,$K165)=0),"ERRO: categoria inexistente",IF(AND($L165&lt;&gt;"",COUNTIF(SUB_ID,$L165)=0),"ERRO: subcategoria inexistente",IF(AND($L165&lt;&gt;"",$K165&lt;&gt;"",IFERROR(INDEX(SUB_CATID,MATCH($L165,SUB_ID,0)),"")&lt;&gt;$K165),"ERRO: subcategoria nao pertence a categoria",IF(AND($O165&lt;&gt;"",COUNTIF(P_ID,$O165)=0),"ERRO: parcela inexistente",IF(AND($N165&lt;&gt;"",COUNTIF(CM_ID,$N165)=0),"ERRO: compromisso inexistente","OK")))))))))))))</f>
        <v/>
      </c>
      <c r="AK165" s="35" t="str">
        <f aca="false">IF($B165="","",IF(AND($N165="",$O165="",$P165="",$Q165="",$R165=""),"","VINCULADO: "&amp;TRIM(IF($N165&lt;&gt;"",$N165&amp;" ","")&amp;IF($O165&lt;&gt;"",$O165&amp;" ","")&amp;IF($P165&lt;&gt;"",$P165&amp;" ","")&amp;IF($Q165&lt;&gt;"",$Q165&amp;" ","")&amp;IF($R165&lt;&gt;"",$R165,""))))</f>
        <v/>
      </c>
    </row>
    <row r="166" customFormat="false" ht="15" hidden="false" customHeight="false" outlineLevel="0" collapsed="false">
      <c r="A166" s="30" t="str">
        <f aca="false">IF($B166="","","LAN-"&amp;TEXT(ROW()-4,"000000"))</f>
        <v/>
      </c>
      <c r="B166" s="31"/>
      <c r="C166" s="32"/>
      <c r="D166" s="32"/>
      <c r="E166" s="32"/>
      <c r="F166" s="33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4" t="str">
        <f aca="false">IF($B166="","",YEAR($B166))</f>
        <v/>
      </c>
      <c r="U166" s="34" t="str">
        <f aca="false">IF($B166="","",MONTH($B166))</f>
        <v/>
      </c>
      <c r="V166" s="34" t="str">
        <f aca="false">IF($B166="","",YEAR($B166)*100+MONTH($B166))</f>
        <v/>
      </c>
      <c r="W166" s="35" t="str">
        <f aca="false">IF($D166="","",IFERROR(INDEX(MAP_CLASS,MATCH($D166,MAP_TIPO,0)),"TIPO INVALIDO"))</f>
        <v/>
      </c>
      <c r="X166" s="35" t="str">
        <f aca="false">IF($K166="","",IFERROR(INDEX(CAT_NOME,MATCH($K166,CAT_ID,0)),"?"))</f>
        <v/>
      </c>
      <c r="Y166" s="35" t="str">
        <f aca="false">IF($L166="","",IFERROR(INDEX(SUB_NOME,MATCH($L166,SUB_ID,0)),"?"))</f>
        <v/>
      </c>
      <c r="Z166" s="35" t="str">
        <f aca="false">IF($G166="","",IF($G166="EXTERNO","(Externo)",IFERROR(INDEX(ENT_NOME,MATCH($H166,ENT_ID,0)),"?")))</f>
        <v/>
      </c>
      <c r="AA166" s="35" t="str">
        <f aca="false">IF($I166="","",IF($I166="EXTERNO","(Externo)",IFERROR(INDEX(ENT_NOME,MATCH($J166,ENT_ID,0)),"?")))</f>
        <v/>
      </c>
      <c r="AB166" s="36" t="n">
        <f aca="false">IF($B166="",0,IF(AND($I166="CONTA",$G166&lt;&gt;"CONTA"),$F166,0))</f>
        <v>0</v>
      </c>
      <c r="AC166" s="36" t="n">
        <f aca="false">IF($B166="",0,IF(AND($G166="CONTA",$I166&lt;&gt;"CONTA"),$F166,0))</f>
        <v>0</v>
      </c>
      <c r="AD166" s="36" t="n">
        <f aca="false">IF($W166="RECEITA",$F166,0)</f>
        <v>0</v>
      </c>
      <c r="AE166" s="36" t="n">
        <f aca="false">IF($W166="DESPESA",$F166,0)</f>
        <v>0</v>
      </c>
      <c r="AF166" s="36" t="n">
        <f aca="false">IF($W166="RECEITA_FINANCEIRA",$F166,0)</f>
        <v>0</v>
      </c>
      <c r="AG166" s="36" t="n">
        <f aca="false">IF($B166="",0,IF($I166="CONTA",$F166,0)-IF($G166="CONTA",$F166,0))</f>
        <v>0</v>
      </c>
      <c r="AH166" s="36" t="n">
        <f aca="false">IF($B166="",0,IF($G166="CARTAO",$F166,0)-IF($I166="CARTAO",$F166,0))</f>
        <v>0</v>
      </c>
      <c r="AI166" s="36" t="n">
        <f aca="false">IF($B166="",0,IF($I166="INVESTIMENTO",$F166,0)-IF($G166="INVESTIMENTO",$F166,0))</f>
        <v>0</v>
      </c>
      <c r="AJ166" s="35" t="str">
        <f aca="false">IF($B166="","",IF(NOT(ISNUMBER($F166)),"ERRO: valor nao numerico",IF($F166&lt;=0,"ERRO: valor deve ser maior que zero",IF(COUNTIF(MAP_TIPO,$D166)=0,"ERRO: tipo de operacao nao cadastrado",IF(COUNTIF(LST_STATUS,$E166)=0,"ERRO: status invalido",IF(AND($G166="EXTERNO",$I166="EXTERNO"),"ERRO: origem e destino externos",IF(AND($G166&lt;&gt;"EXTERNO",COUNTIFS(ENT_ID,$H166,ENT_TIPO,$G166)=0),"ERRO: origem inexistente",IF(AND($I166&lt;&gt;"EXTERNO",COUNTIFS(ENT_ID,$J166,ENT_TIPO,$I166)=0),"ERRO: destino inexistente",IF(AND($K166&lt;&gt;"",COUNTIF(CAT_ID,$K166)=0),"ERRO: categoria inexistente",IF(AND($L166&lt;&gt;"",COUNTIF(SUB_ID,$L166)=0),"ERRO: subcategoria inexistente",IF(AND($L166&lt;&gt;"",$K166&lt;&gt;"",IFERROR(INDEX(SUB_CATID,MATCH($L166,SUB_ID,0)),"")&lt;&gt;$K166),"ERRO: subcategoria nao pertence a categoria",IF(AND($O166&lt;&gt;"",COUNTIF(P_ID,$O166)=0),"ERRO: parcela inexistente",IF(AND($N166&lt;&gt;"",COUNTIF(CM_ID,$N166)=0),"ERRO: compromisso inexistente","OK")))))))))))))</f>
        <v/>
      </c>
      <c r="AK166" s="35" t="str">
        <f aca="false">IF($B166="","",IF(AND($N166="",$O166="",$P166="",$Q166="",$R166=""),"","VINCULADO: "&amp;TRIM(IF($N166&lt;&gt;"",$N166&amp;" ","")&amp;IF($O166&lt;&gt;"",$O166&amp;" ","")&amp;IF($P166&lt;&gt;"",$P166&amp;" ","")&amp;IF($Q166&lt;&gt;"",$Q166&amp;" ","")&amp;IF($R166&lt;&gt;"",$R166,""))))</f>
        <v/>
      </c>
    </row>
    <row r="167" customFormat="false" ht="15" hidden="false" customHeight="false" outlineLevel="0" collapsed="false">
      <c r="A167" s="30" t="str">
        <f aca="false">IF($B167="","","LAN-"&amp;TEXT(ROW()-4,"000000"))</f>
        <v/>
      </c>
      <c r="B167" s="31"/>
      <c r="C167" s="32"/>
      <c r="D167" s="32"/>
      <c r="E167" s="32"/>
      <c r="F167" s="33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4" t="str">
        <f aca="false">IF($B167="","",YEAR($B167))</f>
        <v/>
      </c>
      <c r="U167" s="34" t="str">
        <f aca="false">IF($B167="","",MONTH($B167))</f>
        <v/>
      </c>
      <c r="V167" s="34" t="str">
        <f aca="false">IF($B167="","",YEAR($B167)*100+MONTH($B167))</f>
        <v/>
      </c>
      <c r="W167" s="35" t="str">
        <f aca="false">IF($D167="","",IFERROR(INDEX(MAP_CLASS,MATCH($D167,MAP_TIPO,0)),"TIPO INVALIDO"))</f>
        <v/>
      </c>
      <c r="X167" s="35" t="str">
        <f aca="false">IF($K167="","",IFERROR(INDEX(CAT_NOME,MATCH($K167,CAT_ID,0)),"?"))</f>
        <v/>
      </c>
      <c r="Y167" s="35" t="str">
        <f aca="false">IF($L167="","",IFERROR(INDEX(SUB_NOME,MATCH($L167,SUB_ID,0)),"?"))</f>
        <v/>
      </c>
      <c r="Z167" s="35" t="str">
        <f aca="false">IF($G167="","",IF($G167="EXTERNO","(Externo)",IFERROR(INDEX(ENT_NOME,MATCH($H167,ENT_ID,0)),"?")))</f>
        <v/>
      </c>
      <c r="AA167" s="35" t="str">
        <f aca="false">IF($I167="","",IF($I167="EXTERNO","(Externo)",IFERROR(INDEX(ENT_NOME,MATCH($J167,ENT_ID,0)),"?")))</f>
        <v/>
      </c>
      <c r="AB167" s="36" t="n">
        <f aca="false">IF($B167="",0,IF(AND($I167="CONTA",$G167&lt;&gt;"CONTA"),$F167,0))</f>
        <v>0</v>
      </c>
      <c r="AC167" s="36" t="n">
        <f aca="false">IF($B167="",0,IF(AND($G167="CONTA",$I167&lt;&gt;"CONTA"),$F167,0))</f>
        <v>0</v>
      </c>
      <c r="AD167" s="36" t="n">
        <f aca="false">IF($W167="RECEITA",$F167,0)</f>
        <v>0</v>
      </c>
      <c r="AE167" s="36" t="n">
        <f aca="false">IF($W167="DESPESA",$F167,0)</f>
        <v>0</v>
      </c>
      <c r="AF167" s="36" t="n">
        <f aca="false">IF($W167="RECEITA_FINANCEIRA",$F167,0)</f>
        <v>0</v>
      </c>
      <c r="AG167" s="36" t="n">
        <f aca="false">IF($B167="",0,IF($I167="CONTA",$F167,0)-IF($G167="CONTA",$F167,0))</f>
        <v>0</v>
      </c>
      <c r="AH167" s="36" t="n">
        <f aca="false">IF($B167="",0,IF($G167="CARTAO",$F167,0)-IF($I167="CARTAO",$F167,0))</f>
        <v>0</v>
      </c>
      <c r="AI167" s="36" t="n">
        <f aca="false">IF($B167="",0,IF($I167="INVESTIMENTO",$F167,0)-IF($G167="INVESTIMENTO",$F167,0))</f>
        <v>0</v>
      </c>
      <c r="AJ167" s="35" t="str">
        <f aca="false">IF($B167="","",IF(NOT(ISNUMBER($F167)),"ERRO: valor nao numerico",IF($F167&lt;=0,"ERRO: valor deve ser maior que zero",IF(COUNTIF(MAP_TIPO,$D167)=0,"ERRO: tipo de operacao nao cadastrado",IF(COUNTIF(LST_STATUS,$E167)=0,"ERRO: status invalido",IF(AND($G167="EXTERNO",$I167="EXTERNO"),"ERRO: origem e destino externos",IF(AND($G167&lt;&gt;"EXTERNO",COUNTIFS(ENT_ID,$H167,ENT_TIPO,$G167)=0),"ERRO: origem inexistente",IF(AND($I167&lt;&gt;"EXTERNO",COUNTIFS(ENT_ID,$J167,ENT_TIPO,$I167)=0),"ERRO: destino inexistente",IF(AND($K167&lt;&gt;"",COUNTIF(CAT_ID,$K167)=0),"ERRO: categoria inexistente",IF(AND($L167&lt;&gt;"",COUNTIF(SUB_ID,$L167)=0),"ERRO: subcategoria inexistente",IF(AND($L167&lt;&gt;"",$K167&lt;&gt;"",IFERROR(INDEX(SUB_CATID,MATCH($L167,SUB_ID,0)),"")&lt;&gt;$K167),"ERRO: subcategoria nao pertence a categoria",IF(AND($O167&lt;&gt;"",COUNTIF(P_ID,$O167)=0),"ERRO: parcela inexistente",IF(AND($N167&lt;&gt;"",COUNTIF(CM_ID,$N167)=0),"ERRO: compromisso inexistente","OK")))))))))))))</f>
        <v/>
      </c>
      <c r="AK167" s="35" t="str">
        <f aca="false">IF($B167="","",IF(AND($N167="",$O167="",$P167="",$Q167="",$R167=""),"","VINCULADO: "&amp;TRIM(IF($N167&lt;&gt;"",$N167&amp;" ","")&amp;IF($O167&lt;&gt;"",$O167&amp;" ","")&amp;IF($P167&lt;&gt;"",$P167&amp;" ","")&amp;IF($Q167&lt;&gt;"",$Q167&amp;" ","")&amp;IF($R167&lt;&gt;"",$R167,""))))</f>
        <v/>
      </c>
    </row>
    <row r="168" customFormat="false" ht="15" hidden="false" customHeight="false" outlineLevel="0" collapsed="false">
      <c r="A168" s="30" t="str">
        <f aca="false">IF($B168="","","LAN-"&amp;TEXT(ROW()-4,"000000"))</f>
        <v/>
      </c>
      <c r="B168" s="31"/>
      <c r="C168" s="32"/>
      <c r="D168" s="32"/>
      <c r="E168" s="32"/>
      <c r="F168" s="33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4" t="str">
        <f aca="false">IF($B168="","",YEAR($B168))</f>
        <v/>
      </c>
      <c r="U168" s="34" t="str">
        <f aca="false">IF($B168="","",MONTH($B168))</f>
        <v/>
      </c>
      <c r="V168" s="34" t="str">
        <f aca="false">IF($B168="","",YEAR($B168)*100+MONTH($B168))</f>
        <v/>
      </c>
      <c r="W168" s="35" t="str">
        <f aca="false">IF($D168="","",IFERROR(INDEX(MAP_CLASS,MATCH($D168,MAP_TIPO,0)),"TIPO INVALIDO"))</f>
        <v/>
      </c>
      <c r="X168" s="35" t="str">
        <f aca="false">IF($K168="","",IFERROR(INDEX(CAT_NOME,MATCH($K168,CAT_ID,0)),"?"))</f>
        <v/>
      </c>
      <c r="Y168" s="35" t="str">
        <f aca="false">IF($L168="","",IFERROR(INDEX(SUB_NOME,MATCH($L168,SUB_ID,0)),"?"))</f>
        <v/>
      </c>
      <c r="Z168" s="35" t="str">
        <f aca="false">IF($G168="","",IF($G168="EXTERNO","(Externo)",IFERROR(INDEX(ENT_NOME,MATCH($H168,ENT_ID,0)),"?")))</f>
        <v/>
      </c>
      <c r="AA168" s="35" t="str">
        <f aca="false">IF($I168="","",IF($I168="EXTERNO","(Externo)",IFERROR(INDEX(ENT_NOME,MATCH($J168,ENT_ID,0)),"?")))</f>
        <v/>
      </c>
      <c r="AB168" s="36" t="n">
        <f aca="false">IF($B168="",0,IF(AND($I168="CONTA",$G168&lt;&gt;"CONTA"),$F168,0))</f>
        <v>0</v>
      </c>
      <c r="AC168" s="36" t="n">
        <f aca="false">IF($B168="",0,IF(AND($G168="CONTA",$I168&lt;&gt;"CONTA"),$F168,0))</f>
        <v>0</v>
      </c>
      <c r="AD168" s="36" t="n">
        <f aca="false">IF($W168="RECEITA",$F168,0)</f>
        <v>0</v>
      </c>
      <c r="AE168" s="36" t="n">
        <f aca="false">IF($W168="DESPESA",$F168,0)</f>
        <v>0</v>
      </c>
      <c r="AF168" s="36" t="n">
        <f aca="false">IF($W168="RECEITA_FINANCEIRA",$F168,0)</f>
        <v>0</v>
      </c>
      <c r="AG168" s="36" t="n">
        <f aca="false">IF($B168="",0,IF($I168="CONTA",$F168,0)-IF($G168="CONTA",$F168,0))</f>
        <v>0</v>
      </c>
      <c r="AH168" s="36" t="n">
        <f aca="false">IF($B168="",0,IF($G168="CARTAO",$F168,0)-IF($I168="CARTAO",$F168,0))</f>
        <v>0</v>
      </c>
      <c r="AI168" s="36" t="n">
        <f aca="false">IF($B168="",0,IF($I168="INVESTIMENTO",$F168,0)-IF($G168="INVESTIMENTO",$F168,0))</f>
        <v>0</v>
      </c>
      <c r="AJ168" s="35" t="str">
        <f aca="false">IF($B168="","",IF(NOT(ISNUMBER($F168)),"ERRO: valor nao numerico",IF($F168&lt;=0,"ERRO: valor deve ser maior que zero",IF(COUNTIF(MAP_TIPO,$D168)=0,"ERRO: tipo de operacao nao cadastrado",IF(COUNTIF(LST_STATUS,$E168)=0,"ERRO: status invalido",IF(AND($G168="EXTERNO",$I168="EXTERNO"),"ERRO: origem e destino externos",IF(AND($G168&lt;&gt;"EXTERNO",COUNTIFS(ENT_ID,$H168,ENT_TIPO,$G168)=0),"ERRO: origem inexistente",IF(AND($I168&lt;&gt;"EXTERNO",COUNTIFS(ENT_ID,$J168,ENT_TIPO,$I168)=0),"ERRO: destino inexistente",IF(AND($K168&lt;&gt;"",COUNTIF(CAT_ID,$K168)=0),"ERRO: categoria inexistente",IF(AND($L168&lt;&gt;"",COUNTIF(SUB_ID,$L168)=0),"ERRO: subcategoria inexistente",IF(AND($L168&lt;&gt;"",$K168&lt;&gt;"",IFERROR(INDEX(SUB_CATID,MATCH($L168,SUB_ID,0)),"")&lt;&gt;$K168),"ERRO: subcategoria nao pertence a categoria",IF(AND($O168&lt;&gt;"",COUNTIF(P_ID,$O168)=0),"ERRO: parcela inexistente",IF(AND($N168&lt;&gt;"",COUNTIF(CM_ID,$N168)=0),"ERRO: compromisso inexistente","OK")))))))))))))</f>
        <v/>
      </c>
      <c r="AK168" s="35" t="str">
        <f aca="false">IF($B168="","",IF(AND($N168="",$O168="",$P168="",$Q168="",$R168=""),"","VINCULADO: "&amp;TRIM(IF($N168&lt;&gt;"",$N168&amp;" ","")&amp;IF($O168&lt;&gt;"",$O168&amp;" ","")&amp;IF($P168&lt;&gt;"",$P168&amp;" ","")&amp;IF($Q168&lt;&gt;"",$Q168&amp;" ","")&amp;IF($R168&lt;&gt;"",$R168,""))))</f>
        <v/>
      </c>
    </row>
    <row r="169" customFormat="false" ht="15" hidden="false" customHeight="false" outlineLevel="0" collapsed="false">
      <c r="A169" s="30" t="str">
        <f aca="false">IF($B169="","","LAN-"&amp;TEXT(ROW()-4,"000000"))</f>
        <v/>
      </c>
      <c r="B169" s="31"/>
      <c r="C169" s="32"/>
      <c r="D169" s="32"/>
      <c r="E169" s="32"/>
      <c r="F169" s="33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4" t="str">
        <f aca="false">IF($B169="","",YEAR($B169))</f>
        <v/>
      </c>
      <c r="U169" s="34" t="str">
        <f aca="false">IF($B169="","",MONTH($B169))</f>
        <v/>
      </c>
      <c r="V169" s="34" t="str">
        <f aca="false">IF($B169="","",YEAR($B169)*100+MONTH($B169))</f>
        <v/>
      </c>
      <c r="W169" s="35" t="str">
        <f aca="false">IF($D169="","",IFERROR(INDEX(MAP_CLASS,MATCH($D169,MAP_TIPO,0)),"TIPO INVALIDO"))</f>
        <v/>
      </c>
      <c r="X169" s="35" t="str">
        <f aca="false">IF($K169="","",IFERROR(INDEX(CAT_NOME,MATCH($K169,CAT_ID,0)),"?"))</f>
        <v/>
      </c>
      <c r="Y169" s="35" t="str">
        <f aca="false">IF($L169="","",IFERROR(INDEX(SUB_NOME,MATCH($L169,SUB_ID,0)),"?"))</f>
        <v/>
      </c>
      <c r="Z169" s="35" t="str">
        <f aca="false">IF($G169="","",IF($G169="EXTERNO","(Externo)",IFERROR(INDEX(ENT_NOME,MATCH($H169,ENT_ID,0)),"?")))</f>
        <v/>
      </c>
      <c r="AA169" s="35" t="str">
        <f aca="false">IF($I169="","",IF($I169="EXTERNO","(Externo)",IFERROR(INDEX(ENT_NOME,MATCH($J169,ENT_ID,0)),"?")))</f>
        <v/>
      </c>
      <c r="AB169" s="36" t="n">
        <f aca="false">IF($B169="",0,IF(AND($I169="CONTA",$G169&lt;&gt;"CONTA"),$F169,0))</f>
        <v>0</v>
      </c>
      <c r="AC169" s="36" t="n">
        <f aca="false">IF($B169="",0,IF(AND($G169="CONTA",$I169&lt;&gt;"CONTA"),$F169,0))</f>
        <v>0</v>
      </c>
      <c r="AD169" s="36" t="n">
        <f aca="false">IF($W169="RECEITA",$F169,0)</f>
        <v>0</v>
      </c>
      <c r="AE169" s="36" t="n">
        <f aca="false">IF($W169="DESPESA",$F169,0)</f>
        <v>0</v>
      </c>
      <c r="AF169" s="36" t="n">
        <f aca="false">IF($W169="RECEITA_FINANCEIRA",$F169,0)</f>
        <v>0</v>
      </c>
      <c r="AG169" s="36" t="n">
        <f aca="false">IF($B169="",0,IF($I169="CONTA",$F169,0)-IF($G169="CONTA",$F169,0))</f>
        <v>0</v>
      </c>
      <c r="AH169" s="36" t="n">
        <f aca="false">IF($B169="",0,IF($G169="CARTAO",$F169,0)-IF($I169="CARTAO",$F169,0))</f>
        <v>0</v>
      </c>
      <c r="AI169" s="36" t="n">
        <f aca="false">IF($B169="",0,IF($I169="INVESTIMENTO",$F169,0)-IF($G169="INVESTIMENTO",$F169,0))</f>
        <v>0</v>
      </c>
      <c r="AJ169" s="35" t="str">
        <f aca="false">IF($B169="","",IF(NOT(ISNUMBER($F169)),"ERRO: valor nao numerico",IF($F169&lt;=0,"ERRO: valor deve ser maior que zero",IF(COUNTIF(MAP_TIPO,$D169)=0,"ERRO: tipo de operacao nao cadastrado",IF(COUNTIF(LST_STATUS,$E169)=0,"ERRO: status invalido",IF(AND($G169="EXTERNO",$I169="EXTERNO"),"ERRO: origem e destino externos",IF(AND($G169&lt;&gt;"EXTERNO",COUNTIFS(ENT_ID,$H169,ENT_TIPO,$G169)=0),"ERRO: origem inexistente",IF(AND($I169&lt;&gt;"EXTERNO",COUNTIFS(ENT_ID,$J169,ENT_TIPO,$I169)=0),"ERRO: destino inexistente",IF(AND($K169&lt;&gt;"",COUNTIF(CAT_ID,$K169)=0),"ERRO: categoria inexistente",IF(AND($L169&lt;&gt;"",COUNTIF(SUB_ID,$L169)=0),"ERRO: subcategoria inexistente",IF(AND($L169&lt;&gt;"",$K169&lt;&gt;"",IFERROR(INDEX(SUB_CATID,MATCH($L169,SUB_ID,0)),"")&lt;&gt;$K169),"ERRO: subcategoria nao pertence a categoria",IF(AND($O169&lt;&gt;"",COUNTIF(P_ID,$O169)=0),"ERRO: parcela inexistente",IF(AND($N169&lt;&gt;"",COUNTIF(CM_ID,$N169)=0),"ERRO: compromisso inexistente","OK")))))))))))))</f>
        <v/>
      </c>
      <c r="AK169" s="35" t="str">
        <f aca="false">IF($B169="","",IF(AND($N169="",$O169="",$P169="",$Q169="",$R169=""),"","VINCULADO: "&amp;TRIM(IF($N169&lt;&gt;"",$N169&amp;" ","")&amp;IF($O169&lt;&gt;"",$O169&amp;" ","")&amp;IF($P169&lt;&gt;"",$P169&amp;" ","")&amp;IF($Q169&lt;&gt;"",$Q169&amp;" ","")&amp;IF($R169&lt;&gt;"",$R169,""))))</f>
        <v/>
      </c>
    </row>
    <row r="170" customFormat="false" ht="15" hidden="false" customHeight="false" outlineLevel="0" collapsed="false">
      <c r="A170" s="30" t="str">
        <f aca="false">IF($B170="","","LAN-"&amp;TEXT(ROW()-4,"000000"))</f>
        <v/>
      </c>
      <c r="B170" s="31"/>
      <c r="C170" s="32"/>
      <c r="D170" s="32"/>
      <c r="E170" s="32"/>
      <c r="F170" s="33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4" t="str">
        <f aca="false">IF($B170="","",YEAR($B170))</f>
        <v/>
      </c>
      <c r="U170" s="34" t="str">
        <f aca="false">IF($B170="","",MONTH($B170))</f>
        <v/>
      </c>
      <c r="V170" s="34" t="str">
        <f aca="false">IF($B170="","",YEAR($B170)*100+MONTH($B170))</f>
        <v/>
      </c>
      <c r="W170" s="35" t="str">
        <f aca="false">IF($D170="","",IFERROR(INDEX(MAP_CLASS,MATCH($D170,MAP_TIPO,0)),"TIPO INVALIDO"))</f>
        <v/>
      </c>
      <c r="X170" s="35" t="str">
        <f aca="false">IF($K170="","",IFERROR(INDEX(CAT_NOME,MATCH($K170,CAT_ID,0)),"?"))</f>
        <v/>
      </c>
      <c r="Y170" s="35" t="str">
        <f aca="false">IF($L170="","",IFERROR(INDEX(SUB_NOME,MATCH($L170,SUB_ID,0)),"?"))</f>
        <v/>
      </c>
      <c r="Z170" s="35" t="str">
        <f aca="false">IF($G170="","",IF($G170="EXTERNO","(Externo)",IFERROR(INDEX(ENT_NOME,MATCH($H170,ENT_ID,0)),"?")))</f>
        <v/>
      </c>
      <c r="AA170" s="35" t="str">
        <f aca="false">IF($I170="","",IF($I170="EXTERNO","(Externo)",IFERROR(INDEX(ENT_NOME,MATCH($J170,ENT_ID,0)),"?")))</f>
        <v/>
      </c>
      <c r="AB170" s="36" t="n">
        <f aca="false">IF($B170="",0,IF(AND($I170="CONTA",$G170&lt;&gt;"CONTA"),$F170,0))</f>
        <v>0</v>
      </c>
      <c r="AC170" s="36" t="n">
        <f aca="false">IF($B170="",0,IF(AND($G170="CONTA",$I170&lt;&gt;"CONTA"),$F170,0))</f>
        <v>0</v>
      </c>
      <c r="AD170" s="36" t="n">
        <f aca="false">IF($W170="RECEITA",$F170,0)</f>
        <v>0</v>
      </c>
      <c r="AE170" s="36" t="n">
        <f aca="false">IF($W170="DESPESA",$F170,0)</f>
        <v>0</v>
      </c>
      <c r="AF170" s="36" t="n">
        <f aca="false">IF($W170="RECEITA_FINANCEIRA",$F170,0)</f>
        <v>0</v>
      </c>
      <c r="AG170" s="36" t="n">
        <f aca="false">IF($B170="",0,IF($I170="CONTA",$F170,0)-IF($G170="CONTA",$F170,0))</f>
        <v>0</v>
      </c>
      <c r="AH170" s="36" t="n">
        <f aca="false">IF($B170="",0,IF($G170="CARTAO",$F170,0)-IF($I170="CARTAO",$F170,0))</f>
        <v>0</v>
      </c>
      <c r="AI170" s="36" t="n">
        <f aca="false">IF($B170="",0,IF($I170="INVESTIMENTO",$F170,0)-IF($G170="INVESTIMENTO",$F170,0))</f>
        <v>0</v>
      </c>
      <c r="AJ170" s="35" t="str">
        <f aca="false">IF($B170="","",IF(NOT(ISNUMBER($F170)),"ERRO: valor nao numerico",IF($F170&lt;=0,"ERRO: valor deve ser maior que zero",IF(COUNTIF(MAP_TIPO,$D170)=0,"ERRO: tipo de operacao nao cadastrado",IF(COUNTIF(LST_STATUS,$E170)=0,"ERRO: status invalido",IF(AND($G170="EXTERNO",$I170="EXTERNO"),"ERRO: origem e destino externos",IF(AND($G170&lt;&gt;"EXTERNO",COUNTIFS(ENT_ID,$H170,ENT_TIPO,$G170)=0),"ERRO: origem inexistente",IF(AND($I170&lt;&gt;"EXTERNO",COUNTIFS(ENT_ID,$J170,ENT_TIPO,$I170)=0),"ERRO: destino inexistente",IF(AND($K170&lt;&gt;"",COUNTIF(CAT_ID,$K170)=0),"ERRO: categoria inexistente",IF(AND($L170&lt;&gt;"",COUNTIF(SUB_ID,$L170)=0),"ERRO: subcategoria inexistente",IF(AND($L170&lt;&gt;"",$K170&lt;&gt;"",IFERROR(INDEX(SUB_CATID,MATCH($L170,SUB_ID,0)),"")&lt;&gt;$K170),"ERRO: subcategoria nao pertence a categoria",IF(AND($O170&lt;&gt;"",COUNTIF(P_ID,$O170)=0),"ERRO: parcela inexistente",IF(AND($N170&lt;&gt;"",COUNTIF(CM_ID,$N170)=0),"ERRO: compromisso inexistente","OK")))))))))))))</f>
        <v/>
      </c>
      <c r="AK170" s="35" t="str">
        <f aca="false">IF($B170="","",IF(AND($N170="",$O170="",$P170="",$Q170="",$R170=""),"","VINCULADO: "&amp;TRIM(IF($N170&lt;&gt;"",$N170&amp;" ","")&amp;IF($O170&lt;&gt;"",$O170&amp;" ","")&amp;IF($P170&lt;&gt;"",$P170&amp;" ","")&amp;IF($Q170&lt;&gt;"",$Q170&amp;" ","")&amp;IF($R170&lt;&gt;"",$R170,""))))</f>
        <v/>
      </c>
    </row>
    <row r="171" customFormat="false" ht="15" hidden="false" customHeight="false" outlineLevel="0" collapsed="false">
      <c r="A171" s="30" t="str">
        <f aca="false">IF($B171="","","LAN-"&amp;TEXT(ROW()-4,"000000"))</f>
        <v/>
      </c>
      <c r="B171" s="31"/>
      <c r="C171" s="32"/>
      <c r="D171" s="32"/>
      <c r="E171" s="32"/>
      <c r="F171" s="33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4" t="str">
        <f aca="false">IF($B171="","",YEAR($B171))</f>
        <v/>
      </c>
      <c r="U171" s="34" t="str">
        <f aca="false">IF($B171="","",MONTH($B171))</f>
        <v/>
      </c>
      <c r="V171" s="34" t="str">
        <f aca="false">IF($B171="","",YEAR($B171)*100+MONTH($B171))</f>
        <v/>
      </c>
      <c r="W171" s="35" t="str">
        <f aca="false">IF($D171="","",IFERROR(INDEX(MAP_CLASS,MATCH($D171,MAP_TIPO,0)),"TIPO INVALIDO"))</f>
        <v/>
      </c>
      <c r="X171" s="35" t="str">
        <f aca="false">IF($K171="","",IFERROR(INDEX(CAT_NOME,MATCH($K171,CAT_ID,0)),"?"))</f>
        <v/>
      </c>
      <c r="Y171" s="35" t="str">
        <f aca="false">IF($L171="","",IFERROR(INDEX(SUB_NOME,MATCH($L171,SUB_ID,0)),"?"))</f>
        <v/>
      </c>
      <c r="Z171" s="35" t="str">
        <f aca="false">IF($G171="","",IF($G171="EXTERNO","(Externo)",IFERROR(INDEX(ENT_NOME,MATCH($H171,ENT_ID,0)),"?")))</f>
        <v/>
      </c>
      <c r="AA171" s="35" t="str">
        <f aca="false">IF($I171="","",IF($I171="EXTERNO","(Externo)",IFERROR(INDEX(ENT_NOME,MATCH($J171,ENT_ID,0)),"?")))</f>
        <v/>
      </c>
      <c r="AB171" s="36" t="n">
        <f aca="false">IF($B171="",0,IF(AND($I171="CONTA",$G171&lt;&gt;"CONTA"),$F171,0))</f>
        <v>0</v>
      </c>
      <c r="AC171" s="36" t="n">
        <f aca="false">IF($B171="",0,IF(AND($G171="CONTA",$I171&lt;&gt;"CONTA"),$F171,0))</f>
        <v>0</v>
      </c>
      <c r="AD171" s="36" t="n">
        <f aca="false">IF($W171="RECEITA",$F171,0)</f>
        <v>0</v>
      </c>
      <c r="AE171" s="36" t="n">
        <f aca="false">IF($W171="DESPESA",$F171,0)</f>
        <v>0</v>
      </c>
      <c r="AF171" s="36" t="n">
        <f aca="false">IF($W171="RECEITA_FINANCEIRA",$F171,0)</f>
        <v>0</v>
      </c>
      <c r="AG171" s="36" t="n">
        <f aca="false">IF($B171="",0,IF($I171="CONTA",$F171,0)-IF($G171="CONTA",$F171,0))</f>
        <v>0</v>
      </c>
      <c r="AH171" s="36" t="n">
        <f aca="false">IF($B171="",0,IF($G171="CARTAO",$F171,0)-IF($I171="CARTAO",$F171,0))</f>
        <v>0</v>
      </c>
      <c r="AI171" s="36" t="n">
        <f aca="false">IF($B171="",0,IF($I171="INVESTIMENTO",$F171,0)-IF($G171="INVESTIMENTO",$F171,0))</f>
        <v>0</v>
      </c>
      <c r="AJ171" s="35" t="str">
        <f aca="false">IF($B171="","",IF(NOT(ISNUMBER($F171)),"ERRO: valor nao numerico",IF($F171&lt;=0,"ERRO: valor deve ser maior que zero",IF(COUNTIF(MAP_TIPO,$D171)=0,"ERRO: tipo de operacao nao cadastrado",IF(COUNTIF(LST_STATUS,$E171)=0,"ERRO: status invalido",IF(AND($G171="EXTERNO",$I171="EXTERNO"),"ERRO: origem e destino externos",IF(AND($G171&lt;&gt;"EXTERNO",COUNTIFS(ENT_ID,$H171,ENT_TIPO,$G171)=0),"ERRO: origem inexistente",IF(AND($I171&lt;&gt;"EXTERNO",COUNTIFS(ENT_ID,$J171,ENT_TIPO,$I171)=0),"ERRO: destino inexistente",IF(AND($K171&lt;&gt;"",COUNTIF(CAT_ID,$K171)=0),"ERRO: categoria inexistente",IF(AND($L171&lt;&gt;"",COUNTIF(SUB_ID,$L171)=0),"ERRO: subcategoria inexistente",IF(AND($L171&lt;&gt;"",$K171&lt;&gt;"",IFERROR(INDEX(SUB_CATID,MATCH($L171,SUB_ID,0)),"")&lt;&gt;$K171),"ERRO: subcategoria nao pertence a categoria",IF(AND($O171&lt;&gt;"",COUNTIF(P_ID,$O171)=0),"ERRO: parcela inexistente",IF(AND($N171&lt;&gt;"",COUNTIF(CM_ID,$N171)=0),"ERRO: compromisso inexistente","OK")))))))))))))</f>
        <v/>
      </c>
      <c r="AK171" s="35" t="str">
        <f aca="false">IF($B171="","",IF(AND($N171="",$O171="",$P171="",$Q171="",$R171=""),"","VINCULADO: "&amp;TRIM(IF($N171&lt;&gt;"",$N171&amp;" ","")&amp;IF($O171&lt;&gt;"",$O171&amp;" ","")&amp;IF($P171&lt;&gt;"",$P171&amp;" ","")&amp;IF($Q171&lt;&gt;"",$Q171&amp;" ","")&amp;IF($R171&lt;&gt;"",$R171,""))))</f>
        <v/>
      </c>
    </row>
    <row r="172" customFormat="false" ht="15" hidden="false" customHeight="false" outlineLevel="0" collapsed="false">
      <c r="A172" s="30" t="str">
        <f aca="false">IF($B172="","","LAN-"&amp;TEXT(ROW()-4,"000000"))</f>
        <v/>
      </c>
      <c r="B172" s="31"/>
      <c r="C172" s="32"/>
      <c r="D172" s="32"/>
      <c r="E172" s="32"/>
      <c r="F172" s="33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4" t="str">
        <f aca="false">IF($B172="","",YEAR($B172))</f>
        <v/>
      </c>
      <c r="U172" s="34" t="str">
        <f aca="false">IF($B172="","",MONTH($B172))</f>
        <v/>
      </c>
      <c r="V172" s="34" t="str">
        <f aca="false">IF($B172="","",YEAR($B172)*100+MONTH($B172))</f>
        <v/>
      </c>
      <c r="W172" s="35" t="str">
        <f aca="false">IF($D172="","",IFERROR(INDEX(MAP_CLASS,MATCH($D172,MAP_TIPO,0)),"TIPO INVALIDO"))</f>
        <v/>
      </c>
      <c r="X172" s="35" t="str">
        <f aca="false">IF($K172="","",IFERROR(INDEX(CAT_NOME,MATCH($K172,CAT_ID,0)),"?"))</f>
        <v/>
      </c>
      <c r="Y172" s="35" t="str">
        <f aca="false">IF($L172="","",IFERROR(INDEX(SUB_NOME,MATCH($L172,SUB_ID,0)),"?"))</f>
        <v/>
      </c>
      <c r="Z172" s="35" t="str">
        <f aca="false">IF($G172="","",IF($G172="EXTERNO","(Externo)",IFERROR(INDEX(ENT_NOME,MATCH($H172,ENT_ID,0)),"?")))</f>
        <v/>
      </c>
      <c r="AA172" s="35" t="str">
        <f aca="false">IF($I172="","",IF($I172="EXTERNO","(Externo)",IFERROR(INDEX(ENT_NOME,MATCH($J172,ENT_ID,0)),"?")))</f>
        <v/>
      </c>
      <c r="AB172" s="36" t="n">
        <f aca="false">IF($B172="",0,IF(AND($I172="CONTA",$G172&lt;&gt;"CONTA"),$F172,0))</f>
        <v>0</v>
      </c>
      <c r="AC172" s="36" t="n">
        <f aca="false">IF($B172="",0,IF(AND($G172="CONTA",$I172&lt;&gt;"CONTA"),$F172,0))</f>
        <v>0</v>
      </c>
      <c r="AD172" s="36" t="n">
        <f aca="false">IF($W172="RECEITA",$F172,0)</f>
        <v>0</v>
      </c>
      <c r="AE172" s="36" t="n">
        <f aca="false">IF($W172="DESPESA",$F172,0)</f>
        <v>0</v>
      </c>
      <c r="AF172" s="36" t="n">
        <f aca="false">IF($W172="RECEITA_FINANCEIRA",$F172,0)</f>
        <v>0</v>
      </c>
      <c r="AG172" s="36" t="n">
        <f aca="false">IF($B172="",0,IF($I172="CONTA",$F172,0)-IF($G172="CONTA",$F172,0))</f>
        <v>0</v>
      </c>
      <c r="AH172" s="36" t="n">
        <f aca="false">IF($B172="",0,IF($G172="CARTAO",$F172,0)-IF($I172="CARTAO",$F172,0))</f>
        <v>0</v>
      </c>
      <c r="AI172" s="36" t="n">
        <f aca="false">IF($B172="",0,IF($I172="INVESTIMENTO",$F172,0)-IF($G172="INVESTIMENTO",$F172,0))</f>
        <v>0</v>
      </c>
      <c r="AJ172" s="35" t="str">
        <f aca="false">IF($B172="","",IF(NOT(ISNUMBER($F172)),"ERRO: valor nao numerico",IF($F172&lt;=0,"ERRO: valor deve ser maior que zero",IF(COUNTIF(MAP_TIPO,$D172)=0,"ERRO: tipo de operacao nao cadastrado",IF(COUNTIF(LST_STATUS,$E172)=0,"ERRO: status invalido",IF(AND($G172="EXTERNO",$I172="EXTERNO"),"ERRO: origem e destino externos",IF(AND($G172&lt;&gt;"EXTERNO",COUNTIFS(ENT_ID,$H172,ENT_TIPO,$G172)=0),"ERRO: origem inexistente",IF(AND($I172&lt;&gt;"EXTERNO",COUNTIFS(ENT_ID,$J172,ENT_TIPO,$I172)=0),"ERRO: destino inexistente",IF(AND($K172&lt;&gt;"",COUNTIF(CAT_ID,$K172)=0),"ERRO: categoria inexistente",IF(AND($L172&lt;&gt;"",COUNTIF(SUB_ID,$L172)=0),"ERRO: subcategoria inexistente",IF(AND($L172&lt;&gt;"",$K172&lt;&gt;"",IFERROR(INDEX(SUB_CATID,MATCH($L172,SUB_ID,0)),"")&lt;&gt;$K172),"ERRO: subcategoria nao pertence a categoria",IF(AND($O172&lt;&gt;"",COUNTIF(P_ID,$O172)=0),"ERRO: parcela inexistente",IF(AND($N172&lt;&gt;"",COUNTIF(CM_ID,$N172)=0),"ERRO: compromisso inexistente","OK")))))))))))))</f>
        <v/>
      </c>
      <c r="AK172" s="35" t="str">
        <f aca="false">IF($B172="","",IF(AND($N172="",$O172="",$P172="",$Q172="",$R172=""),"","VINCULADO: "&amp;TRIM(IF($N172&lt;&gt;"",$N172&amp;" ","")&amp;IF($O172&lt;&gt;"",$O172&amp;" ","")&amp;IF($P172&lt;&gt;"",$P172&amp;" ","")&amp;IF($Q172&lt;&gt;"",$Q172&amp;" ","")&amp;IF($R172&lt;&gt;"",$R172,""))))</f>
        <v/>
      </c>
    </row>
    <row r="173" customFormat="false" ht="15" hidden="false" customHeight="false" outlineLevel="0" collapsed="false">
      <c r="A173" s="30" t="str">
        <f aca="false">IF($B173="","","LAN-"&amp;TEXT(ROW()-4,"000000"))</f>
        <v/>
      </c>
      <c r="B173" s="31"/>
      <c r="C173" s="32"/>
      <c r="D173" s="32"/>
      <c r="E173" s="32"/>
      <c r="F173" s="33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4" t="str">
        <f aca="false">IF($B173="","",YEAR($B173))</f>
        <v/>
      </c>
      <c r="U173" s="34" t="str">
        <f aca="false">IF($B173="","",MONTH($B173))</f>
        <v/>
      </c>
      <c r="V173" s="34" t="str">
        <f aca="false">IF($B173="","",YEAR($B173)*100+MONTH($B173))</f>
        <v/>
      </c>
      <c r="W173" s="35" t="str">
        <f aca="false">IF($D173="","",IFERROR(INDEX(MAP_CLASS,MATCH($D173,MAP_TIPO,0)),"TIPO INVALIDO"))</f>
        <v/>
      </c>
      <c r="X173" s="35" t="str">
        <f aca="false">IF($K173="","",IFERROR(INDEX(CAT_NOME,MATCH($K173,CAT_ID,0)),"?"))</f>
        <v/>
      </c>
      <c r="Y173" s="35" t="str">
        <f aca="false">IF($L173="","",IFERROR(INDEX(SUB_NOME,MATCH($L173,SUB_ID,0)),"?"))</f>
        <v/>
      </c>
      <c r="Z173" s="35" t="str">
        <f aca="false">IF($G173="","",IF($G173="EXTERNO","(Externo)",IFERROR(INDEX(ENT_NOME,MATCH($H173,ENT_ID,0)),"?")))</f>
        <v/>
      </c>
      <c r="AA173" s="35" t="str">
        <f aca="false">IF($I173="","",IF($I173="EXTERNO","(Externo)",IFERROR(INDEX(ENT_NOME,MATCH($J173,ENT_ID,0)),"?")))</f>
        <v/>
      </c>
      <c r="AB173" s="36" t="n">
        <f aca="false">IF($B173="",0,IF(AND($I173="CONTA",$G173&lt;&gt;"CONTA"),$F173,0))</f>
        <v>0</v>
      </c>
      <c r="AC173" s="36" t="n">
        <f aca="false">IF($B173="",0,IF(AND($G173="CONTA",$I173&lt;&gt;"CONTA"),$F173,0))</f>
        <v>0</v>
      </c>
      <c r="AD173" s="36" t="n">
        <f aca="false">IF($W173="RECEITA",$F173,0)</f>
        <v>0</v>
      </c>
      <c r="AE173" s="36" t="n">
        <f aca="false">IF($W173="DESPESA",$F173,0)</f>
        <v>0</v>
      </c>
      <c r="AF173" s="36" t="n">
        <f aca="false">IF($W173="RECEITA_FINANCEIRA",$F173,0)</f>
        <v>0</v>
      </c>
      <c r="AG173" s="36" t="n">
        <f aca="false">IF($B173="",0,IF($I173="CONTA",$F173,0)-IF($G173="CONTA",$F173,0))</f>
        <v>0</v>
      </c>
      <c r="AH173" s="36" t="n">
        <f aca="false">IF($B173="",0,IF($G173="CARTAO",$F173,0)-IF($I173="CARTAO",$F173,0))</f>
        <v>0</v>
      </c>
      <c r="AI173" s="36" t="n">
        <f aca="false">IF($B173="",0,IF($I173="INVESTIMENTO",$F173,0)-IF($G173="INVESTIMENTO",$F173,0))</f>
        <v>0</v>
      </c>
      <c r="AJ173" s="35" t="str">
        <f aca="false">IF($B173="","",IF(NOT(ISNUMBER($F173)),"ERRO: valor nao numerico",IF($F173&lt;=0,"ERRO: valor deve ser maior que zero",IF(COUNTIF(MAP_TIPO,$D173)=0,"ERRO: tipo de operacao nao cadastrado",IF(COUNTIF(LST_STATUS,$E173)=0,"ERRO: status invalido",IF(AND($G173="EXTERNO",$I173="EXTERNO"),"ERRO: origem e destino externos",IF(AND($G173&lt;&gt;"EXTERNO",COUNTIFS(ENT_ID,$H173,ENT_TIPO,$G173)=0),"ERRO: origem inexistente",IF(AND($I173&lt;&gt;"EXTERNO",COUNTIFS(ENT_ID,$J173,ENT_TIPO,$I173)=0),"ERRO: destino inexistente",IF(AND($K173&lt;&gt;"",COUNTIF(CAT_ID,$K173)=0),"ERRO: categoria inexistente",IF(AND($L173&lt;&gt;"",COUNTIF(SUB_ID,$L173)=0),"ERRO: subcategoria inexistente",IF(AND($L173&lt;&gt;"",$K173&lt;&gt;"",IFERROR(INDEX(SUB_CATID,MATCH($L173,SUB_ID,0)),"")&lt;&gt;$K173),"ERRO: subcategoria nao pertence a categoria",IF(AND($O173&lt;&gt;"",COUNTIF(P_ID,$O173)=0),"ERRO: parcela inexistente",IF(AND($N173&lt;&gt;"",COUNTIF(CM_ID,$N173)=0),"ERRO: compromisso inexistente","OK")))))))))))))</f>
        <v/>
      </c>
      <c r="AK173" s="35" t="str">
        <f aca="false">IF($B173="","",IF(AND($N173="",$O173="",$P173="",$Q173="",$R173=""),"","VINCULADO: "&amp;TRIM(IF($N173&lt;&gt;"",$N173&amp;" ","")&amp;IF($O173&lt;&gt;"",$O173&amp;" ","")&amp;IF($P173&lt;&gt;"",$P173&amp;" ","")&amp;IF($Q173&lt;&gt;"",$Q173&amp;" ","")&amp;IF($R173&lt;&gt;"",$R173,""))))</f>
        <v/>
      </c>
    </row>
    <row r="174" customFormat="false" ht="15" hidden="false" customHeight="false" outlineLevel="0" collapsed="false">
      <c r="A174" s="30" t="str">
        <f aca="false">IF($B174="","","LAN-"&amp;TEXT(ROW()-4,"000000"))</f>
        <v/>
      </c>
      <c r="B174" s="31"/>
      <c r="C174" s="32"/>
      <c r="D174" s="32"/>
      <c r="E174" s="32"/>
      <c r="F174" s="33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4" t="str">
        <f aca="false">IF($B174="","",YEAR($B174))</f>
        <v/>
      </c>
      <c r="U174" s="34" t="str">
        <f aca="false">IF($B174="","",MONTH($B174))</f>
        <v/>
      </c>
      <c r="V174" s="34" t="str">
        <f aca="false">IF($B174="","",YEAR($B174)*100+MONTH($B174))</f>
        <v/>
      </c>
      <c r="W174" s="35" t="str">
        <f aca="false">IF($D174="","",IFERROR(INDEX(MAP_CLASS,MATCH($D174,MAP_TIPO,0)),"TIPO INVALIDO"))</f>
        <v/>
      </c>
      <c r="X174" s="35" t="str">
        <f aca="false">IF($K174="","",IFERROR(INDEX(CAT_NOME,MATCH($K174,CAT_ID,0)),"?"))</f>
        <v/>
      </c>
      <c r="Y174" s="35" t="str">
        <f aca="false">IF($L174="","",IFERROR(INDEX(SUB_NOME,MATCH($L174,SUB_ID,0)),"?"))</f>
        <v/>
      </c>
      <c r="Z174" s="35" t="str">
        <f aca="false">IF($G174="","",IF($G174="EXTERNO","(Externo)",IFERROR(INDEX(ENT_NOME,MATCH($H174,ENT_ID,0)),"?")))</f>
        <v/>
      </c>
      <c r="AA174" s="35" t="str">
        <f aca="false">IF($I174="","",IF($I174="EXTERNO","(Externo)",IFERROR(INDEX(ENT_NOME,MATCH($J174,ENT_ID,0)),"?")))</f>
        <v/>
      </c>
      <c r="AB174" s="36" t="n">
        <f aca="false">IF($B174="",0,IF(AND($I174="CONTA",$G174&lt;&gt;"CONTA"),$F174,0))</f>
        <v>0</v>
      </c>
      <c r="AC174" s="36" t="n">
        <f aca="false">IF($B174="",0,IF(AND($G174="CONTA",$I174&lt;&gt;"CONTA"),$F174,0))</f>
        <v>0</v>
      </c>
      <c r="AD174" s="36" t="n">
        <f aca="false">IF($W174="RECEITA",$F174,0)</f>
        <v>0</v>
      </c>
      <c r="AE174" s="36" t="n">
        <f aca="false">IF($W174="DESPESA",$F174,0)</f>
        <v>0</v>
      </c>
      <c r="AF174" s="36" t="n">
        <f aca="false">IF($W174="RECEITA_FINANCEIRA",$F174,0)</f>
        <v>0</v>
      </c>
      <c r="AG174" s="36" t="n">
        <f aca="false">IF($B174="",0,IF($I174="CONTA",$F174,0)-IF($G174="CONTA",$F174,0))</f>
        <v>0</v>
      </c>
      <c r="AH174" s="36" t="n">
        <f aca="false">IF($B174="",0,IF($G174="CARTAO",$F174,0)-IF($I174="CARTAO",$F174,0))</f>
        <v>0</v>
      </c>
      <c r="AI174" s="36" t="n">
        <f aca="false">IF($B174="",0,IF($I174="INVESTIMENTO",$F174,0)-IF($G174="INVESTIMENTO",$F174,0))</f>
        <v>0</v>
      </c>
      <c r="AJ174" s="35" t="str">
        <f aca="false">IF($B174="","",IF(NOT(ISNUMBER($F174)),"ERRO: valor nao numerico",IF($F174&lt;=0,"ERRO: valor deve ser maior que zero",IF(COUNTIF(MAP_TIPO,$D174)=0,"ERRO: tipo de operacao nao cadastrado",IF(COUNTIF(LST_STATUS,$E174)=0,"ERRO: status invalido",IF(AND($G174="EXTERNO",$I174="EXTERNO"),"ERRO: origem e destino externos",IF(AND($G174&lt;&gt;"EXTERNO",COUNTIFS(ENT_ID,$H174,ENT_TIPO,$G174)=0),"ERRO: origem inexistente",IF(AND($I174&lt;&gt;"EXTERNO",COUNTIFS(ENT_ID,$J174,ENT_TIPO,$I174)=0),"ERRO: destino inexistente",IF(AND($K174&lt;&gt;"",COUNTIF(CAT_ID,$K174)=0),"ERRO: categoria inexistente",IF(AND($L174&lt;&gt;"",COUNTIF(SUB_ID,$L174)=0),"ERRO: subcategoria inexistente",IF(AND($L174&lt;&gt;"",$K174&lt;&gt;"",IFERROR(INDEX(SUB_CATID,MATCH($L174,SUB_ID,0)),"")&lt;&gt;$K174),"ERRO: subcategoria nao pertence a categoria",IF(AND($O174&lt;&gt;"",COUNTIF(P_ID,$O174)=0),"ERRO: parcela inexistente",IF(AND($N174&lt;&gt;"",COUNTIF(CM_ID,$N174)=0),"ERRO: compromisso inexistente","OK")))))))))))))</f>
        <v/>
      </c>
      <c r="AK174" s="35" t="str">
        <f aca="false">IF($B174="","",IF(AND($N174="",$O174="",$P174="",$Q174="",$R174=""),"","VINCULADO: "&amp;TRIM(IF($N174&lt;&gt;"",$N174&amp;" ","")&amp;IF($O174&lt;&gt;"",$O174&amp;" ","")&amp;IF($P174&lt;&gt;"",$P174&amp;" ","")&amp;IF($Q174&lt;&gt;"",$Q174&amp;" ","")&amp;IF($R174&lt;&gt;"",$R174,""))))</f>
        <v/>
      </c>
    </row>
    <row r="175" customFormat="false" ht="15" hidden="false" customHeight="false" outlineLevel="0" collapsed="false">
      <c r="A175" s="30" t="str">
        <f aca="false">IF($B175="","","LAN-"&amp;TEXT(ROW()-4,"000000"))</f>
        <v/>
      </c>
      <c r="B175" s="31"/>
      <c r="C175" s="32"/>
      <c r="D175" s="32"/>
      <c r="E175" s="32"/>
      <c r="F175" s="33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4" t="str">
        <f aca="false">IF($B175="","",YEAR($B175))</f>
        <v/>
      </c>
      <c r="U175" s="34" t="str">
        <f aca="false">IF($B175="","",MONTH($B175))</f>
        <v/>
      </c>
      <c r="V175" s="34" t="str">
        <f aca="false">IF($B175="","",YEAR($B175)*100+MONTH($B175))</f>
        <v/>
      </c>
      <c r="W175" s="35" t="str">
        <f aca="false">IF($D175="","",IFERROR(INDEX(MAP_CLASS,MATCH($D175,MAP_TIPO,0)),"TIPO INVALIDO"))</f>
        <v/>
      </c>
      <c r="X175" s="35" t="str">
        <f aca="false">IF($K175="","",IFERROR(INDEX(CAT_NOME,MATCH($K175,CAT_ID,0)),"?"))</f>
        <v/>
      </c>
      <c r="Y175" s="35" t="str">
        <f aca="false">IF($L175="","",IFERROR(INDEX(SUB_NOME,MATCH($L175,SUB_ID,0)),"?"))</f>
        <v/>
      </c>
      <c r="Z175" s="35" t="str">
        <f aca="false">IF($G175="","",IF($G175="EXTERNO","(Externo)",IFERROR(INDEX(ENT_NOME,MATCH($H175,ENT_ID,0)),"?")))</f>
        <v/>
      </c>
      <c r="AA175" s="35" t="str">
        <f aca="false">IF($I175="","",IF($I175="EXTERNO","(Externo)",IFERROR(INDEX(ENT_NOME,MATCH($J175,ENT_ID,0)),"?")))</f>
        <v/>
      </c>
      <c r="AB175" s="36" t="n">
        <f aca="false">IF($B175="",0,IF(AND($I175="CONTA",$G175&lt;&gt;"CONTA"),$F175,0))</f>
        <v>0</v>
      </c>
      <c r="AC175" s="36" t="n">
        <f aca="false">IF($B175="",0,IF(AND($G175="CONTA",$I175&lt;&gt;"CONTA"),$F175,0))</f>
        <v>0</v>
      </c>
      <c r="AD175" s="36" t="n">
        <f aca="false">IF($W175="RECEITA",$F175,0)</f>
        <v>0</v>
      </c>
      <c r="AE175" s="36" t="n">
        <f aca="false">IF($W175="DESPESA",$F175,0)</f>
        <v>0</v>
      </c>
      <c r="AF175" s="36" t="n">
        <f aca="false">IF($W175="RECEITA_FINANCEIRA",$F175,0)</f>
        <v>0</v>
      </c>
      <c r="AG175" s="36" t="n">
        <f aca="false">IF($B175="",0,IF($I175="CONTA",$F175,0)-IF($G175="CONTA",$F175,0))</f>
        <v>0</v>
      </c>
      <c r="AH175" s="36" t="n">
        <f aca="false">IF($B175="",0,IF($G175="CARTAO",$F175,0)-IF($I175="CARTAO",$F175,0))</f>
        <v>0</v>
      </c>
      <c r="AI175" s="36" t="n">
        <f aca="false">IF($B175="",0,IF($I175="INVESTIMENTO",$F175,0)-IF($G175="INVESTIMENTO",$F175,0))</f>
        <v>0</v>
      </c>
      <c r="AJ175" s="35" t="str">
        <f aca="false">IF($B175="","",IF(NOT(ISNUMBER($F175)),"ERRO: valor nao numerico",IF($F175&lt;=0,"ERRO: valor deve ser maior que zero",IF(COUNTIF(MAP_TIPO,$D175)=0,"ERRO: tipo de operacao nao cadastrado",IF(COUNTIF(LST_STATUS,$E175)=0,"ERRO: status invalido",IF(AND($G175="EXTERNO",$I175="EXTERNO"),"ERRO: origem e destino externos",IF(AND($G175&lt;&gt;"EXTERNO",COUNTIFS(ENT_ID,$H175,ENT_TIPO,$G175)=0),"ERRO: origem inexistente",IF(AND($I175&lt;&gt;"EXTERNO",COUNTIFS(ENT_ID,$J175,ENT_TIPO,$I175)=0),"ERRO: destino inexistente",IF(AND($K175&lt;&gt;"",COUNTIF(CAT_ID,$K175)=0),"ERRO: categoria inexistente",IF(AND($L175&lt;&gt;"",COUNTIF(SUB_ID,$L175)=0),"ERRO: subcategoria inexistente",IF(AND($L175&lt;&gt;"",$K175&lt;&gt;"",IFERROR(INDEX(SUB_CATID,MATCH($L175,SUB_ID,0)),"")&lt;&gt;$K175),"ERRO: subcategoria nao pertence a categoria",IF(AND($O175&lt;&gt;"",COUNTIF(P_ID,$O175)=0),"ERRO: parcela inexistente",IF(AND($N175&lt;&gt;"",COUNTIF(CM_ID,$N175)=0),"ERRO: compromisso inexistente","OK")))))))))))))</f>
        <v/>
      </c>
      <c r="AK175" s="35" t="str">
        <f aca="false">IF($B175="","",IF(AND($N175="",$O175="",$P175="",$Q175="",$R175=""),"","VINCULADO: "&amp;TRIM(IF($N175&lt;&gt;"",$N175&amp;" ","")&amp;IF($O175&lt;&gt;"",$O175&amp;" ","")&amp;IF($P175&lt;&gt;"",$P175&amp;" ","")&amp;IF($Q175&lt;&gt;"",$Q175&amp;" ","")&amp;IF($R175&lt;&gt;"",$R175,""))))</f>
        <v/>
      </c>
    </row>
    <row r="176" customFormat="false" ht="15" hidden="false" customHeight="false" outlineLevel="0" collapsed="false">
      <c r="A176" s="30" t="str">
        <f aca="false">IF($B176="","","LAN-"&amp;TEXT(ROW()-4,"000000"))</f>
        <v/>
      </c>
      <c r="B176" s="31"/>
      <c r="C176" s="32"/>
      <c r="D176" s="32"/>
      <c r="E176" s="32"/>
      <c r="F176" s="33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4" t="str">
        <f aca="false">IF($B176="","",YEAR($B176))</f>
        <v/>
      </c>
      <c r="U176" s="34" t="str">
        <f aca="false">IF($B176="","",MONTH($B176))</f>
        <v/>
      </c>
      <c r="V176" s="34" t="str">
        <f aca="false">IF($B176="","",YEAR($B176)*100+MONTH($B176))</f>
        <v/>
      </c>
      <c r="W176" s="35" t="str">
        <f aca="false">IF($D176="","",IFERROR(INDEX(MAP_CLASS,MATCH($D176,MAP_TIPO,0)),"TIPO INVALIDO"))</f>
        <v/>
      </c>
      <c r="X176" s="35" t="str">
        <f aca="false">IF($K176="","",IFERROR(INDEX(CAT_NOME,MATCH($K176,CAT_ID,0)),"?"))</f>
        <v/>
      </c>
      <c r="Y176" s="35" t="str">
        <f aca="false">IF($L176="","",IFERROR(INDEX(SUB_NOME,MATCH($L176,SUB_ID,0)),"?"))</f>
        <v/>
      </c>
      <c r="Z176" s="35" t="str">
        <f aca="false">IF($G176="","",IF($G176="EXTERNO","(Externo)",IFERROR(INDEX(ENT_NOME,MATCH($H176,ENT_ID,0)),"?")))</f>
        <v/>
      </c>
      <c r="AA176" s="35" t="str">
        <f aca="false">IF($I176="","",IF($I176="EXTERNO","(Externo)",IFERROR(INDEX(ENT_NOME,MATCH($J176,ENT_ID,0)),"?")))</f>
        <v/>
      </c>
      <c r="AB176" s="36" t="n">
        <f aca="false">IF($B176="",0,IF(AND($I176="CONTA",$G176&lt;&gt;"CONTA"),$F176,0))</f>
        <v>0</v>
      </c>
      <c r="AC176" s="36" t="n">
        <f aca="false">IF($B176="",0,IF(AND($G176="CONTA",$I176&lt;&gt;"CONTA"),$F176,0))</f>
        <v>0</v>
      </c>
      <c r="AD176" s="36" t="n">
        <f aca="false">IF($W176="RECEITA",$F176,0)</f>
        <v>0</v>
      </c>
      <c r="AE176" s="36" t="n">
        <f aca="false">IF($W176="DESPESA",$F176,0)</f>
        <v>0</v>
      </c>
      <c r="AF176" s="36" t="n">
        <f aca="false">IF($W176="RECEITA_FINANCEIRA",$F176,0)</f>
        <v>0</v>
      </c>
      <c r="AG176" s="36" t="n">
        <f aca="false">IF($B176="",0,IF($I176="CONTA",$F176,0)-IF($G176="CONTA",$F176,0))</f>
        <v>0</v>
      </c>
      <c r="AH176" s="36" t="n">
        <f aca="false">IF($B176="",0,IF($G176="CARTAO",$F176,0)-IF($I176="CARTAO",$F176,0))</f>
        <v>0</v>
      </c>
      <c r="AI176" s="36" t="n">
        <f aca="false">IF($B176="",0,IF($I176="INVESTIMENTO",$F176,0)-IF($G176="INVESTIMENTO",$F176,0))</f>
        <v>0</v>
      </c>
      <c r="AJ176" s="35" t="str">
        <f aca="false">IF($B176="","",IF(NOT(ISNUMBER($F176)),"ERRO: valor nao numerico",IF($F176&lt;=0,"ERRO: valor deve ser maior que zero",IF(COUNTIF(MAP_TIPO,$D176)=0,"ERRO: tipo de operacao nao cadastrado",IF(COUNTIF(LST_STATUS,$E176)=0,"ERRO: status invalido",IF(AND($G176="EXTERNO",$I176="EXTERNO"),"ERRO: origem e destino externos",IF(AND($G176&lt;&gt;"EXTERNO",COUNTIFS(ENT_ID,$H176,ENT_TIPO,$G176)=0),"ERRO: origem inexistente",IF(AND($I176&lt;&gt;"EXTERNO",COUNTIFS(ENT_ID,$J176,ENT_TIPO,$I176)=0),"ERRO: destino inexistente",IF(AND($K176&lt;&gt;"",COUNTIF(CAT_ID,$K176)=0),"ERRO: categoria inexistente",IF(AND($L176&lt;&gt;"",COUNTIF(SUB_ID,$L176)=0),"ERRO: subcategoria inexistente",IF(AND($L176&lt;&gt;"",$K176&lt;&gt;"",IFERROR(INDEX(SUB_CATID,MATCH($L176,SUB_ID,0)),"")&lt;&gt;$K176),"ERRO: subcategoria nao pertence a categoria",IF(AND($O176&lt;&gt;"",COUNTIF(P_ID,$O176)=0),"ERRO: parcela inexistente",IF(AND($N176&lt;&gt;"",COUNTIF(CM_ID,$N176)=0),"ERRO: compromisso inexistente","OK")))))))))))))</f>
        <v/>
      </c>
      <c r="AK176" s="35" t="str">
        <f aca="false">IF($B176="","",IF(AND($N176="",$O176="",$P176="",$Q176="",$R176=""),"","VINCULADO: "&amp;TRIM(IF($N176&lt;&gt;"",$N176&amp;" ","")&amp;IF($O176&lt;&gt;"",$O176&amp;" ","")&amp;IF($P176&lt;&gt;"",$P176&amp;" ","")&amp;IF($Q176&lt;&gt;"",$Q176&amp;" ","")&amp;IF($R176&lt;&gt;"",$R176,""))))</f>
        <v/>
      </c>
    </row>
    <row r="177" customFormat="false" ht="15" hidden="false" customHeight="false" outlineLevel="0" collapsed="false">
      <c r="A177" s="30" t="str">
        <f aca="false">IF($B177="","","LAN-"&amp;TEXT(ROW()-4,"000000"))</f>
        <v/>
      </c>
      <c r="B177" s="31"/>
      <c r="C177" s="32"/>
      <c r="D177" s="32"/>
      <c r="E177" s="32"/>
      <c r="F177" s="33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4" t="str">
        <f aca="false">IF($B177="","",YEAR($B177))</f>
        <v/>
      </c>
      <c r="U177" s="34" t="str">
        <f aca="false">IF($B177="","",MONTH($B177))</f>
        <v/>
      </c>
      <c r="V177" s="34" t="str">
        <f aca="false">IF($B177="","",YEAR($B177)*100+MONTH($B177))</f>
        <v/>
      </c>
      <c r="W177" s="35" t="str">
        <f aca="false">IF($D177="","",IFERROR(INDEX(MAP_CLASS,MATCH($D177,MAP_TIPO,0)),"TIPO INVALIDO"))</f>
        <v/>
      </c>
      <c r="X177" s="35" t="str">
        <f aca="false">IF($K177="","",IFERROR(INDEX(CAT_NOME,MATCH($K177,CAT_ID,0)),"?"))</f>
        <v/>
      </c>
      <c r="Y177" s="35" t="str">
        <f aca="false">IF($L177="","",IFERROR(INDEX(SUB_NOME,MATCH($L177,SUB_ID,0)),"?"))</f>
        <v/>
      </c>
      <c r="Z177" s="35" t="str">
        <f aca="false">IF($G177="","",IF($G177="EXTERNO","(Externo)",IFERROR(INDEX(ENT_NOME,MATCH($H177,ENT_ID,0)),"?")))</f>
        <v/>
      </c>
      <c r="AA177" s="35" t="str">
        <f aca="false">IF($I177="","",IF($I177="EXTERNO","(Externo)",IFERROR(INDEX(ENT_NOME,MATCH($J177,ENT_ID,0)),"?")))</f>
        <v/>
      </c>
      <c r="AB177" s="36" t="n">
        <f aca="false">IF($B177="",0,IF(AND($I177="CONTA",$G177&lt;&gt;"CONTA"),$F177,0))</f>
        <v>0</v>
      </c>
      <c r="AC177" s="36" t="n">
        <f aca="false">IF($B177="",0,IF(AND($G177="CONTA",$I177&lt;&gt;"CONTA"),$F177,0))</f>
        <v>0</v>
      </c>
      <c r="AD177" s="36" t="n">
        <f aca="false">IF($W177="RECEITA",$F177,0)</f>
        <v>0</v>
      </c>
      <c r="AE177" s="36" t="n">
        <f aca="false">IF($W177="DESPESA",$F177,0)</f>
        <v>0</v>
      </c>
      <c r="AF177" s="36" t="n">
        <f aca="false">IF($W177="RECEITA_FINANCEIRA",$F177,0)</f>
        <v>0</v>
      </c>
      <c r="AG177" s="36" t="n">
        <f aca="false">IF($B177="",0,IF($I177="CONTA",$F177,0)-IF($G177="CONTA",$F177,0))</f>
        <v>0</v>
      </c>
      <c r="AH177" s="36" t="n">
        <f aca="false">IF($B177="",0,IF($G177="CARTAO",$F177,0)-IF($I177="CARTAO",$F177,0))</f>
        <v>0</v>
      </c>
      <c r="AI177" s="36" t="n">
        <f aca="false">IF($B177="",0,IF($I177="INVESTIMENTO",$F177,0)-IF($G177="INVESTIMENTO",$F177,0))</f>
        <v>0</v>
      </c>
      <c r="AJ177" s="35" t="str">
        <f aca="false">IF($B177="","",IF(NOT(ISNUMBER($F177)),"ERRO: valor nao numerico",IF($F177&lt;=0,"ERRO: valor deve ser maior que zero",IF(COUNTIF(MAP_TIPO,$D177)=0,"ERRO: tipo de operacao nao cadastrado",IF(COUNTIF(LST_STATUS,$E177)=0,"ERRO: status invalido",IF(AND($G177="EXTERNO",$I177="EXTERNO"),"ERRO: origem e destino externos",IF(AND($G177&lt;&gt;"EXTERNO",COUNTIFS(ENT_ID,$H177,ENT_TIPO,$G177)=0),"ERRO: origem inexistente",IF(AND($I177&lt;&gt;"EXTERNO",COUNTIFS(ENT_ID,$J177,ENT_TIPO,$I177)=0),"ERRO: destino inexistente",IF(AND($K177&lt;&gt;"",COUNTIF(CAT_ID,$K177)=0),"ERRO: categoria inexistente",IF(AND($L177&lt;&gt;"",COUNTIF(SUB_ID,$L177)=0),"ERRO: subcategoria inexistente",IF(AND($L177&lt;&gt;"",$K177&lt;&gt;"",IFERROR(INDEX(SUB_CATID,MATCH($L177,SUB_ID,0)),"")&lt;&gt;$K177),"ERRO: subcategoria nao pertence a categoria",IF(AND($O177&lt;&gt;"",COUNTIF(P_ID,$O177)=0),"ERRO: parcela inexistente",IF(AND($N177&lt;&gt;"",COUNTIF(CM_ID,$N177)=0),"ERRO: compromisso inexistente","OK")))))))))))))</f>
        <v/>
      </c>
      <c r="AK177" s="35" t="str">
        <f aca="false">IF($B177="","",IF(AND($N177="",$O177="",$P177="",$Q177="",$R177=""),"","VINCULADO: "&amp;TRIM(IF($N177&lt;&gt;"",$N177&amp;" ","")&amp;IF($O177&lt;&gt;"",$O177&amp;" ","")&amp;IF($P177&lt;&gt;"",$P177&amp;" ","")&amp;IF($Q177&lt;&gt;"",$Q177&amp;" ","")&amp;IF($R177&lt;&gt;"",$R177,""))))</f>
        <v/>
      </c>
    </row>
    <row r="178" customFormat="false" ht="15" hidden="false" customHeight="false" outlineLevel="0" collapsed="false">
      <c r="A178" s="30" t="str">
        <f aca="false">IF($B178="","","LAN-"&amp;TEXT(ROW()-4,"000000"))</f>
        <v/>
      </c>
      <c r="B178" s="31"/>
      <c r="C178" s="32"/>
      <c r="D178" s="32"/>
      <c r="E178" s="32"/>
      <c r="F178" s="33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4" t="str">
        <f aca="false">IF($B178="","",YEAR($B178))</f>
        <v/>
      </c>
      <c r="U178" s="34" t="str">
        <f aca="false">IF($B178="","",MONTH($B178))</f>
        <v/>
      </c>
      <c r="V178" s="34" t="str">
        <f aca="false">IF($B178="","",YEAR($B178)*100+MONTH($B178))</f>
        <v/>
      </c>
      <c r="W178" s="35" t="str">
        <f aca="false">IF($D178="","",IFERROR(INDEX(MAP_CLASS,MATCH($D178,MAP_TIPO,0)),"TIPO INVALIDO"))</f>
        <v/>
      </c>
      <c r="X178" s="35" t="str">
        <f aca="false">IF($K178="","",IFERROR(INDEX(CAT_NOME,MATCH($K178,CAT_ID,0)),"?"))</f>
        <v/>
      </c>
      <c r="Y178" s="35" t="str">
        <f aca="false">IF($L178="","",IFERROR(INDEX(SUB_NOME,MATCH($L178,SUB_ID,0)),"?"))</f>
        <v/>
      </c>
      <c r="Z178" s="35" t="str">
        <f aca="false">IF($G178="","",IF($G178="EXTERNO","(Externo)",IFERROR(INDEX(ENT_NOME,MATCH($H178,ENT_ID,0)),"?")))</f>
        <v/>
      </c>
      <c r="AA178" s="35" t="str">
        <f aca="false">IF($I178="","",IF($I178="EXTERNO","(Externo)",IFERROR(INDEX(ENT_NOME,MATCH($J178,ENT_ID,0)),"?")))</f>
        <v/>
      </c>
      <c r="AB178" s="36" t="n">
        <f aca="false">IF($B178="",0,IF(AND($I178="CONTA",$G178&lt;&gt;"CONTA"),$F178,0))</f>
        <v>0</v>
      </c>
      <c r="AC178" s="36" t="n">
        <f aca="false">IF($B178="",0,IF(AND($G178="CONTA",$I178&lt;&gt;"CONTA"),$F178,0))</f>
        <v>0</v>
      </c>
      <c r="AD178" s="36" t="n">
        <f aca="false">IF($W178="RECEITA",$F178,0)</f>
        <v>0</v>
      </c>
      <c r="AE178" s="36" t="n">
        <f aca="false">IF($W178="DESPESA",$F178,0)</f>
        <v>0</v>
      </c>
      <c r="AF178" s="36" t="n">
        <f aca="false">IF($W178="RECEITA_FINANCEIRA",$F178,0)</f>
        <v>0</v>
      </c>
      <c r="AG178" s="36" t="n">
        <f aca="false">IF($B178="",0,IF($I178="CONTA",$F178,0)-IF($G178="CONTA",$F178,0))</f>
        <v>0</v>
      </c>
      <c r="AH178" s="36" t="n">
        <f aca="false">IF($B178="",0,IF($G178="CARTAO",$F178,0)-IF($I178="CARTAO",$F178,0))</f>
        <v>0</v>
      </c>
      <c r="AI178" s="36" t="n">
        <f aca="false">IF($B178="",0,IF($I178="INVESTIMENTO",$F178,0)-IF($G178="INVESTIMENTO",$F178,0))</f>
        <v>0</v>
      </c>
      <c r="AJ178" s="35" t="str">
        <f aca="false">IF($B178="","",IF(NOT(ISNUMBER($F178)),"ERRO: valor nao numerico",IF($F178&lt;=0,"ERRO: valor deve ser maior que zero",IF(COUNTIF(MAP_TIPO,$D178)=0,"ERRO: tipo de operacao nao cadastrado",IF(COUNTIF(LST_STATUS,$E178)=0,"ERRO: status invalido",IF(AND($G178="EXTERNO",$I178="EXTERNO"),"ERRO: origem e destino externos",IF(AND($G178&lt;&gt;"EXTERNO",COUNTIFS(ENT_ID,$H178,ENT_TIPO,$G178)=0),"ERRO: origem inexistente",IF(AND($I178&lt;&gt;"EXTERNO",COUNTIFS(ENT_ID,$J178,ENT_TIPO,$I178)=0),"ERRO: destino inexistente",IF(AND($K178&lt;&gt;"",COUNTIF(CAT_ID,$K178)=0),"ERRO: categoria inexistente",IF(AND($L178&lt;&gt;"",COUNTIF(SUB_ID,$L178)=0),"ERRO: subcategoria inexistente",IF(AND($L178&lt;&gt;"",$K178&lt;&gt;"",IFERROR(INDEX(SUB_CATID,MATCH($L178,SUB_ID,0)),"")&lt;&gt;$K178),"ERRO: subcategoria nao pertence a categoria",IF(AND($O178&lt;&gt;"",COUNTIF(P_ID,$O178)=0),"ERRO: parcela inexistente",IF(AND($N178&lt;&gt;"",COUNTIF(CM_ID,$N178)=0),"ERRO: compromisso inexistente","OK")))))))))))))</f>
        <v/>
      </c>
      <c r="AK178" s="35" t="str">
        <f aca="false">IF($B178="","",IF(AND($N178="",$O178="",$P178="",$Q178="",$R178=""),"","VINCULADO: "&amp;TRIM(IF($N178&lt;&gt;"",$N178&amp;" ","")&amp;IF($O178&lt;&gt;"",$O178&amp;" ","")&amp;IF($P178&lt;&gt;"",$P178&amp;" ","")&amp;IF($Q178&lt;&gt;"",$Q178&amp;" ","")&amp;IF($R178&lt;&gt;"",$R178,""))))</f>
        <v/>
      </c>
    </row>
    <row r="179" customFormat="false" ht="15" hidden="false" customHeight="false" outlineLevel="0" collapsed="false">
      <c r="A179" s="30" t="str">
        <f aca="false">IF($B179="","","LAN-"&amp;TEXT(ROW()-4,"000000"))</f>
        <v/>
      </c>
      <c r="B179" s="31"/>
      <c r="C179" s="32"/>
      <c r="D179" s="32"/>
      <c r="E179" s="32"/>
      <c r="F179" s="33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4" t="str">
        <f aca="false">IF($B179="","",YEAR($B179))</f>
        <v/>
      </c>
      <c r="U179" s="34" t="str">
        <f aca="false">IF($B179="","",MONTH($B179))</f>
        <v/>
      </c>
      <c r="V179" s="34" t="str">
        <f aca="false">IF($B179="","",YEAR($B179)*100+MONTH($B179))</f>
        <v/>
      </c>
      <c r="W179" s="35" t="str">
        <f aca="false">IF($D179="","",IFERROR(INDEX(MAP_CLASS,MATCH($D179,MAP_TIPO,0)),"TIPO INVALIDO"))</f>
        <v/>
      </c>
      <c r="X179" s="35" t="str">
        <f aca="false">IF($K179="","",IFERROR(INDEX(CAT_NOME,MATCH($K179,CAT_ID,0)),"?"))</f>
        <v/>
      </c>
      <c r="Y179" s="35" t="str">
        <f aca="false">IF($L179="","",IFERROR(INDEX(SUB_NOME,MATCH($L179,SUB_ID,0)),"?"))</f>
        <v/>
      </c>
      <c r="Z179" s="35" t="str">
        <f aca="false">IF($G179="","",IF($G179="EXTERNO","(Externo)",IFERROR(INDEX(ENT_NOME,MATCH($H179,ENT_ID,0)),"?")))</f>
        <v/>
      </c>
      <c r="AA179" s="35" t="str">
        <f aca="false">IF($I179="","",IF($I179="EXTERNO","(Externo)",IFERROR(INDEX(ENT_NOME,MATCH($J179,ENT_ID,0)),"?")))</f>
        <v/>
      </c>
      <c r="AB179" s="36" t="n">
        <f aca="false">IF($B179="",0,IF(AND($I179="CONTA",$G179&lt;&gt;"CONTA"),$F179,0))</f>
        <v>0</v>
      </c>
      <c r="AC179" s="36" t="n">
        <f aca="false">IF($B179="",0,IF(AND($G179="CONTA",$I179&lt;&gt;"CONTA"),$F179,0))</f>
        <v>0</v>
      </c>
      <c r="AD179" s="36" t="n">
        <f aca="false">IF($W179="RECEITA",$F179,0)</f>
        <v>0</v>
      </c>
      <c r="AE179" s="36" t="n">
        <f aca="false">IF($W179="DESPESA",$F179,0)</f>
        <v>0</v>
      </c>
      <c r="AF179" s="36" t="n">
        <f aca="false">IF($W179="RECEITA_FINANCEIRA",$F179,0)</f>
        <v>0</v>
      </c>
      <c r="AG179" s="36" t="n">
        <f aca="false">IF($B179="",0,IF($I179="CONTA",$F179,0)-IF($G179="CONTA",$F179,0))</f>
        <v>0</v>
      </c>
      <c r="AH179" s="36" t="n">
        <f aca="false">IF($B179="",0,IF($G179="CARTAO",$F179,0)-IF($I179="CARTAO",$F179,0))</f>
        <v>0</v>
      </c>
      <c r="AI179" s="36" t="n">
        <f aca="false">IF($B179="",0,IF($I179="INVESTIMENTO",$F179,0)-IF($G179="INVESTIMENTO",$F179,0))</f>
        <v>0</v>
      </c>
      <c r="AJ179" s="35" t="str">
        <f aca="false">IF($B179="","",IF(NOT(ISNUMBER($F179)),"ERRO: valor nao numerico",IF($F179&lt;=0,"ERRO: valor deve ser maior que zero",IF(COUNTIF(MAP_TIPO,$D179)=0,"ERRO: tipo de operacao nao cadastrado",IF(COUNTIF(LST_STATUS,$E179)=0,"ERRO: status invalido",IF(AND($G179="EXTERNO",$I179="EXTERNO"),"ERRO: origem e destino externos",IF(AND($G179&lt;&gt;"EXTERNO",COUNTIFS(ENT_ID,$H179,ENT_TIPO,$G179)=0),"ERRO: origem inexistente",IF(AND($I179&lt;&gt;"EXTERNO",COUNTIFS(ENT_ID,$J179,ENT_TIPO,$I179)=0),"ERRO: destino inexistente",IF(AND($K179&lt;&gt;"",COUNTIF(CAT_ID,$K179)=0),"ERRO: categoria inexistente",IF(AND($L179&lt;&gt;"",COUNTIF(SUB_ID,$L179)=0),"ERRO: subcategoria inexistente",IF(AND($L179&lt;&gt;"",$K179&lt;&gt;"",IFERROR(INDEX(SUB_CATID,MATCH($L179,SUB_ID,0)),"")&lt;&gt;$K179),"ERRO: subcategoria nao pertence a categoria",IF(AND($O179&lt;&gt;"",COUNTIF(P_ID,$O179)=0),"ERRO: parcela inexistente",IF(AND($N179&lt;&gt;"",COUNTIF(CM_ID,$N179)=0),"ERRO: compromisso inexistente","OK")))))))))))))</f>
        <v/>
      </c>
      <c r="AK179" s="35" t="str">
        <f aca="false">IF($B179="","",IF(AND($N179="",$O179="",$P179="",$Q179="",$R179=""),"","VINCULADO: "&amp;TRIM(IF($N179&lt;&gt;"",$N179&amp;" ","")&amp;IF($O179&lt;&gt;"",$O179&amp;" ","")&amp;IF($P179&lt;&gt;"",$P179&amp;" ","")&amp;IF($Q179&lt;&gt;"",$Q179&amp;" ","")&amp;IF($R179&lt;&gt;"",$R179,""))))</f>
        <v/>
      </c>
    </row>
    <row r="180" customFormat="false" ht="15" hidden="false" customHeight="false" outlineLevel="0" collapsed="false">
      <c r="A180" s="30" t="str">
        <f aca="false">IF($B180="","","LAN-"&amp;TEXT(ROW()-4,"000000"))</f>
        <v/>
      </c>
      <c r="B180" s="31"/>
      <c r="C180" s="32"/>
      <c r="D180" s="32"/>
      <c r="E180" s="32"/>
      <c r="F180" s="33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4" t="str">
        <f aca="false">IF($B180="","",YEAR($B180))</f>
        <v/>
      </c>
      <c r="U180" s="34" t="str">
        <f aca="false">IF($B180="","",MONTH($B180))</f>
        <v/>
      </c>
      <c r="V180" s="34" t="str">
        <f aca="false">IF($B180="","",YEAR($B180)*100+MONTH($B180))</f>
        <v/>
      </c>
      <c r="W180" s="35" t="str">
        <f aca="false">IF($D180="","",IFERROR(INDEX(MAP_CLASS,MATCH($D180,MAP_TIPO,0)),"TIPO INVALIDO"))</f>
        <v/>
      </c>
      <c r="X180" s="35" t="str">
        <f aca="false">IF($K180="","",IFERROR(INDEX(CAT_NOME,MATCH($K180,CAT_ID,0)),"?"))</f>
        <v/>
      </c>
      <c r="Y180" s="35" t="str">
        <f aca="false">IF($L180="","",IFERROR(INDEX(SUB_NOME,MATCH($L180,SUB_ID,0)),"?"))</f>
        <v/>
      </c>
      <c r="Z180" s="35" t="str">
        <f aca="false">IF($G180="","",IF($G180="EXTERNO","(Externo)",IFERROR(INDEX(ENT_NOME,MATCH($H180,ENT_ID,0)),"?")))</f>
        <v/>
      </c>
      <c r="AA180" s="35" t="str">
        <f aca="false">IF($I180="","",IF($I180="EXTERNO","(Externo)",IFERROR(INDEX(ENT_NOME,MATCH($J180,ENT_ID,0)),"?")))</f>
        <v/>
      </c>
      <c r="AB180" s="36" t="n">
        <f aca="false">IF($B180="",0,IF(AND($I180="CONTA",$G180&lt;&gt;"CONTA"),$F180,0))</f>
        <v>0</v>
      </c>
      <c r="AC180" s="36" t="n">
        <f aca="false">IF($B180="",0,IF(AND($G180="CONTA",$I180&lt;&gt;"CONTA"),$F180,0))</f>
        <v>0</v>
      </c>
      <c r="AD180" s="36" t="n">
        <f aca="false">IF($W180="RECEITA",$F180,0)</f>
        <v>0</v>
      </c>
      <c r="AE180" s="36" t="n">
        <f aca="false">IF($W180="DESPESA",$F180,0)</f>
        <v>0</v>
      </c>
      <c r="AF180" s="36" t="n">
        <f aca="false">IF($W180="RECEITA_FINANCEIRA",$F180,0)</f>
        <v>0</v>
      </c>
      <c r="AG180" s="36" t="n">
        <f aca="false">IF($B180="",0,IF($I180="CONTA",$F180,0)-IF($G180="CONTA",$F180,0))</f>
        <v>0</v>
      </c>
      <c r="AH180" s="36" t="n">
        <f aca="false">IF($B180="",0,IF($G180="CARTAO",$F180,0)-IF($I180="CARTAO",$F180,0))</f>
        <v>0</v>
      </c>
      <c r="AI180" s="36" t="n">
        <f aca="false">IF($B180="",0,IF($I180="INVESTIMENTO",$F180,0)-IF($G180="INVESTIMENTO",$F180,0))</f>
        <v>0</v>
      </c>
      <c r="AJ180" s="35" t="str">
        <f aca="false">IF($B180="","",IF(NOT(ISNUMBER($F180)),"ERRO: valor nao numerico",IF($F180&lt;=0,"ERRO: valor deve ser maior que zero",IF(COUNTIF(MAP_TIPO,$D180)=0,"ERRO: tipo de operacao nao cadastrado",IF(COUNTIF(LST_STATUS,$E180)=0,"ERRO: status invalido",IF(AND($G180="EXTERNO",$I180="EXTERNO"),"ERRO: origem e destino externos",IF(AND($G180&lt;&gt;"EXTERNO",COUNTIFS(ENT_ID,$H180,ENT_TIPO,$G180)=0),"ERRO: origem inexistente",IF(AND($I180&lt;&gt;"EXTERNO",COUNTIFS(ENT_ID,$J180,ENT_TIPO,$I180)=0),"ERRO: destino inexistente",IF(AND($K180&lt;&gt;"",COUNTIF(CAT_ID,$K180)=0),"ERRO: categoria inexistente",IF(AND($L180&lt;&gt;"",COUNTIF(SUB_ID,$L180)=0),"ERRO: subcategoria inexistente",IF(AND($L180&lt;&gt;"",$K180&lt;&gt;"",IFERROR(INDEX(SUB_CATID,MATCH($L180,SUB_ID,0)),"")&lt;&gt;$K180),"ERRO: subcategoria nao pertence a categoria",IF(AND($O180&lt;&gt;"",COUNTIF(P_ID,$O180)=0),"ERRO: parcela inexistente",IF(AND($N180&lt;&gt;"",COUNTIF(CM_ID,$N180)=0),"ERRO: compromisso inexistente","OK")))))))))))))</f>
        <v/>
      </c>
      <c r="AK180" s="35" t="str">
        <f aca="false">IF($B180="","",IF(AND($N180="",$O180="",$P180="",$Q180="",$R180=""),"","VINCULADO: "&amp;TRIM(IF($N180&lt;&gt;"",$N180&amp;" ","")&amp;IF($O180&lt;&gt;"",$O180&amp;" ","")&amp;IF($P180&lt;&gt;"",$P180&amp;" ","")&amp;IF($Q180&lt;&gt;"",$Q180&amp;" ","")&amp;IF($R180&lt;&gt;"",$R180,""))))</f>
        <v/>
      </c>
    </row>
    <row r="181" customFormat="false" ht="15" hidden="false" customHeight="false" outlineLevel="0" collapsed="false">
      <c r="A181" s="30" t="str">
        <f aca="false">IF($B181="","","LAN-"&amp;TEXT(ROW()-4,"000000"))</f>
        <v/>
      </c>
      <c r="B181" s="31"/>
      <c r="C181" s="32"/>
      <c r="D181" s="32"/>
      <c r="E181" s="32"/>
      <c r="F181" s="33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4" t="str">
        <f aca="false">IF($B181="","",YEAR($B181))</f>
        <v/>
      </c>
      <c r="U181" s="34" t="str">
        <f aca="false">IF($B181="","",MONTH($B181))</f>
        <v/>
      </c>
      <c r="V181" s="34" t="str">
        <f aca="false">IF($B181="","",YEAR($B181)*100+MONTH($B181))</f>
        <v/>
      </c>
      <c r="W181" s="35" t="str">
        <f aca="false">IF($D181="","",IFERROR(INDEX(MAP_CLASS,MATCH($D181,MAP_TIPO,0)),"TIPO INVALIDO"))</f>
        <v/>
      </c>
      <c r="X181" s="35" t="str">
        <f aca="false">IF($K181="","",IFERROR(INDEX(CAT_NOME,MATCH($K181,CAT_ID,0)),"?"))</f>
        <v/>
      </c>
      <c r="Y181" s="35" t="str">
        <f aca="false">IF($L181="","",IFERROR(INDEX(SUB_NOME,MATCH($L181,SUB_ID,0)),"?"))</f>
        <v/>
      </c>
      <c r="Z181" s="35" t="str">
        <f aca="false">IF($G181="","",IF($G181="EXTERNO","(Externo)",IFERROR(INDEX(ENT_NOME,MATCH($H181,ENT_ID,0)),"?")))</f>
        <v/>
      </c>
      <c r="AA181" s="35" t="str">
        <f aca="false">IF($I181="","",IF($I181="EXTERNO","(Externo)",IFERROR(INDEX(ENT_NOME,MATCH($J181,ENT_ID,0)),"?")))</f>
        <v/>
      </c>
      <c r="AB181" s="36" t="n">
        <f aca="false">IF($B181="",0,IF(AND($I181="CONTA",$G181&lt;&gt;"CONTA"),$F181,0))</f>
        <v>0</v>
      </c>
      <c r="AC181" s="36" t="n">
        <f aca="false">IF($B181="",0,IF(AND($G181="CONTA",$I181&lt;&gt;"CONTA"),$F181,0))</f>
        <v>0</v>
      </c>
      <c r="AD181" s="36" t="n">
        <f aca="false">IF($W181="RECEITA",$F181,0)</f>
        <v>0</v>
      </c>
      <c r="AE181" s="36" t="n">
        <f aca="false">IF($W181="DESPESA",$F181,0)</f>
        <v>0</v>
      </c>
      <c r="AF181" s="36" t="n">
        <f aca="false">IF($W181="RECEITA_FINANCEIRA",$F181,0)</f>
        <v>0</v>
      </c>
      <c r="AG181" s="36" t="n">
        <f aca="false">IF($B181="",0,IF($I181="CONTA",$F181,0)-IF($G181="CONTA",$F181,0))</f>
        <v>0</v>
      </c>
      <c r="AH181" s="36" t="n">
        <f aca="false">IF($B181="",0,IF($G181="CARTAO",$F181,0)-IF($I181="CARTAO",$F181,0))</f>
        <v>0</v>
      </c>
      <c r="AI181" s="36" t="n">
        <f aca="false">IF($B181="",0,IF($I181="INVESTIMENTO",$F181,0)-IF($G181="INVESTIMENTO",$F181,0))</f>
        <v>0</v>
      </c>
      <c r="AJ181" s="35" t="str">
        <f aca="false">IF($B181="","",IF(NOT(ISNUMBER($F181)),"ERRO: valor nao numerico",IF($F181&lt;=0,"ERRO: valor deve ser maior que zero",IF(COUNTIF(MAP_TIPO,$D181)=0,"ERRO: tipo de operacao nao cadastrado",IF(COUNTIF(LST_STATUS,$E181)=0,"ERRO: status invalido",IF(AND($G181="EXTERNO",$I181="EXTERNO"),"ERRO: origem e destino externos",IF(AND($G181&lt;&gt;"EXTERNO",COUNTIFS(ENT_ID,$H181,ENT_TIPO,$G181)=0),"ERRO: origem inexistente",IF(AND($I181&lt;&gt;"EXTERNO",COUNTIFS(ENT_ID,$J181,ENT_TIPO,$I181)=0),"ERRO: destino inexistente",IF(AND($K181&lt;&gt;"",COUNTIF(CAT_ID,$K181)=0),"ERRO: categoria inexistente",IF(AND($L181&lt;&gt;"",COUNTIF(SUB_ID,$L181)=0),"ERRO: subcategoria inexistente",IF(AND($L181&lt;&gt;"",$K181&lt;&gt;"",IFERROR(INDEX(SUB_CATID,MATCH($L181,SUB_ID,0)),"")&lt;&gt;$K181),"ERRO: subcategoria nao pertence a categoria",IF(AND($O181&lt;&gt;"",COUNTIF(P_ID,$O181)=0),"ERRO: parcela inexistente",IF(AND($N181&lt;&gt;"",COUNTIF(CM_ID,$N181)=0),"ERRO: compromisso inexistente","OK")))))))))))))</f>
        <v/>
      </c>
      <c r="AK181" s="35" t="str">
        <f aca="false">IF($B181="","",IF(AND($N181="",$O181="",$P181="",$Q181="",$R181=""),"","VINCULADO: "&amp;TRIM(IF($N181&lt;&gt;"",$N181&amp;" ","")&amp;IF($O181&lt;&gt;"",$O181&amp;" ","")&amp;IF($P181&lt;&gt;"",$P181&amp;" ","")&amp;IF($Q181&lt;&gt;"",$Q181&amp;" ","")&amp;IF($R181&lt;&gt;"",$R181,""))))</f>
        <v/>
      </c>
    </row>
    <row r="182" customFormat="false" ht="15" hidden="false" customHeight="false" outlineLevel="0" collapsed="false">
      <c r="A182" s="30" t="str">
        <f aca="false">IF($B182="","","LAN-"&amp;TEXT(ROW()-4,"000000"))</f>
        <v/>
      </c>
      <c r="B182" s="31"/>
      <c r="C182" s="32"/>
      <c r="D182" s="32"/>
      <c r="E182" s="32"/>
      <c r="F182" s="33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4" t="str">
        <f aca="false">IF($B182="","",YEAR($B182))</f>
        <v/>
      </c>
      <c r="U182" s="34" t="str">
        <f aca="false">IF($B182="","",MONTH($B182))</f>
        <v/>
      </c>
      <c r="V182" s="34" t="str">
        <f aca="false">IF($B182="","",YEAR($B182)*100+MONTH($B182))</f>
        <v/>
      </c>
      <c r="W182" s="35" t="str">
        <f aca="false">IF($D182="","",IFERROR(INDEX(MAP_CLASS,MATCH($D182,MAP_TIPO,0)),"TIPO INVALIDO"))</f>
        <v/>
      </c>
      <c r="X182" s="35" t="str">
        <f aca="false">IF($K182="","",IFERROR(INDEX(CAT_NOME,MATCH($K182,CAT_ID,0)),"?"))</f>
        <v/>
      </c>
      <c r="Y182" s="35" t="str">
        <f aca="false">IF($L182="","",IFERROR(INDEX(SUB_NOME,MATCH($L182,SUB_ID,0)),"?"))</f>
        <v/>
      </c>
      <c r="Z182" s="35" t="str">
        <f aca="false">IF($G182="","",IF($G182="EXTERNO","(Externo)",IFERROR(INDEX(ENT_NOME,MATCH($H182,ENT_ID,0)),"?")))</f>
        <v/>
      </c>
      <c r="AA182" s="35" t="str">
        <f aca="false">IF($I182="","",IF($I182="EXTERNO","(Externo)",IFERROR(INDEX(ENT_NOME,MATCH($J182,ENT_ID,0)),"?")))</f>
        <v/>
      </c>
      <c r="AB182" s="36" t="n">
        <f aca="false">IF($B182="",0,IF(AND($I182="CONTA",$G182&lt;&gt;"CONTA"),$F182,0))</f>
        <v>0</v>
      </c>
      <c r="AC182" s="36" t="n">
        <f aca="false">IF($B182="",0,IF(AND($G182="CONTA",$I182&lt;&gt;"CONTA"),$F182,0))</f>
        <v>0</v>
      </c>
      <c r="AD182" s="36" t="n">
        <f aca="false">IF($W182="RECEITA",$F182,0)</f>
        <v>0</v>
      </c>
      <c r="AE182" s="36" t="n">
        <f aca="false">IF($W182="DESPESA",$F182,0)</f>
        <v>0</v>
      </c>
      <c r="AF182" s="36" t="n">
        <f aca="false">IF($W182="RECEITA_FINANCEIRA",$F182,0)</f>
        <v>0</v>
      </c>
      <c r="AG182" s="36" t="n">
        <f aca="false">IF($B182="",0,IF($I182="CONTA",$F182,0)-IF($G182="CONTA",$F182,0))</f>
        <v>0</v>
      </c>
      <c r="AH182" s="36" t="n">
        <f aca="false">IF($B182="",0,IF($G182="CARTAO",$F182,0)-IF($I182="CARTAO",$F182,0))</f>
        <v>0</v>
      </c>
      <c r="AI182" s="36" t="n">
        <f aca="false">IF($B182="",0,IF($I182="INVESTIMENTO",$F182,0)-IF($G182="INVESTIMENTO",$F182,0))</f>
        <v>0</v>
      </c>
      <c r="AJ182" s="35" t="str">
        <f aca="false">IF($B182="","",IF(NOT(ISNUMBER($F182)),"ERRO: valor nao numerico",IF($F182&lt;=0,"ERRO: valor deve ser maior que zero",IF(COUNTIF(MAP_TIPO,$D182)=0,"ERRO: tipo de operacao nao cadastrado",IF(COUNTIF(LST_STATUS,$E182)=0,"ERRO: status invalido",IF(AND($G182="EXTERNO",$I182="EXTERNO"),"ERRO: origem e destino externos",IF(AND($G182&lt;&gt;"EXTERNO",COUNTIFS(ENT_ID,$H182,ENT_TIPO,$G182)=0),"ERRO: origem inexistente",IF(AND($I182&lt;&gt;"EXTERNO",COUNTIFS(ENT_ID,$J182,ENT_TIPO,$I182)=0),"ERRO: destino inexistente",IF(AND($K182&lt;&gt;"",COUNTIF(CAT_ID,$K182)=0),"ERRO: categoria inexistente",IF(AND($L182&lt;&gt;"",COUNTIF(SUB_ID,$L182)=0),"ERRO: subcategoria inexistente",IF(AND($L182&lt;&gt;"",$K182&lt;&gt;"",IFERROR(INDEX(SUB_CATID,MATCH($L182,SUB_ID,0)),"")&lt;&gt;$K182),"ERRO: subcategoria nao pertence a categoria",IF(AND($O182&lt;&gt;"",COUNTIF(P_ID,$O182)=0),"ERRO: parcela inexistente",IF(AND($N182&lt;&gt;"",COUNTIF(CM_ID,$N182)=0),"ERRO: compromisso inexistente","OK")))))))))))))</f>
        <v/>
      </c>
      <c r="AK182" s="35" t="str">
        <f aca="false">IF($B182="","",IF(AND($N182="",$O182="",$P182="",$Q182="",$R182=""),"","VINCULADO: "&amp;TRIM(IF($N182&lt;&gt;"",$N182&amp;" ","")&amp;IF($O182&lt;&gt;"",$O182&amp;" ","")&amp;IF($P182&lt;&gt;"",$P182&amp;" ","")&amp;IF($Q182&lt;&gt;"",$Q182&amp;" ","")&amp;IF($R182&lt;&gt;"",$R182,""))))</f>
        <v/>
      </c>
    </row>
    <row r="183" customFormat="false" ht="15" hidden="false" customHeight="false" outlineLevel="0" collapsed="false">
      <c r="A183" s="30" t="str">
        <f aca="false">IF($B183="","","LAN-"&amp;TEXT(ROW()-4,"000000"))</f>
        <v/>
      </c>
      <c r="B183" s="31"/>
      <c r="C183" s="32"/>
      <c r="D183" s="32"/>
      <c r="E183" s="32"/>
      <c r="F183" s="33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4" t="str">
        <f aca="false">IF($B183="","",YEAR($B183))</f>
        <v/>
      </c>
      <c r="U183" s="34" t="str">
        <f aca="false">IF($B183="","",MONTH($B183))</f>
        <v/>
      </c>
      <c r="V183" s="34" t="str">
        <f aca="false">IF($B183="","",YEAR($B183)*100+MONTH($B183))</f>
        <v/>
      </c>
      <c r="W183" s="35" t="str">
        <f aca="false">IF($D183="","",IFERROR(INDEX(MAP_CLASS,MATCH($D183,MAP_TIPO,0)),"TIPO INVALIDO"))</f>
        <v/>
      </c>
      <c r="X183" s="35" t="str">
        <f aca="false">IF($K183="","",IFERROR(INDEX(CAT_NOME,MATCH($K183,CAT_ID,0)),"?"))</f>
        <v/>
      </c>
      <c r="Y183" s="35" t="str">
        <f aca="false">IF($L183="","",IFERROR(INDEX(SUB_NOME,MATCH($L183,SUB_ID,0)),"?"))</f>
        <v/>
      </c>
      <c r="Z183" s="35" t="str">
        <f aca="false">IF($G183="","",IF($G183="EXTERNO","(Externo)",IFERROR(INDEX(ENT_NOME,MATCH($H183,ENT_ID,0)),"?")))</f>
        <v/>
      </c>
      <c r="AA183" s="35" t="str">
        <f aca="false">IF($I183="","",IF($I183="EXTERNO","(Externo)",IFERROR(INDEX(ENT_NOME,MATCH($J183,ENT_ID,0)),"?")))</f>
        <v/>
      </c>
      <c r="AB183" s="36" t="n">
        <f aca="false">IF($B183="",0,IF(AND($I183="CONTA",$G183&lt;&gt;"CONTA"),$F183,0))</f>
        <v>0</v>
      </c>
      <c r="AC183" s="36" t="n">
        <f aca="false">IF($B183="",0,IF(AND($G183="CONTA",$I183&lt;&gt;"CONTA"),$F183,0))</f>
        <v>0</v>
      </c>
      <c r="AD183" s="36" t="n">
        <f aca="false">IF($W183="RECEITA",$F183,0)</f>
        <v>0</v>
      </c>
      <c r="AE183" s="36" t="n">
        <f aca="false">IF($W183="DESPESA",$F183,0)</f>
        <v>0</v>
      </c>
      <c r="AF183" s="36" t="n">
        <f aca="false">IF($W183="RECEITA_FINANCEIRA",$F183,0)</f>
        <v>0</v>
      </c>
      <c r="AG183" s="36" t="n">
        <f aca="false">IF($B183="",0,IF($I183="CONTA",$F183,0)-IF($G183="CONTA",$F183,0))</f>
        <v>0</v>
      </c>
      <c r="AH183" s="36" t="n">
        <f aca="false">IF($B183="",0,IF($G183="CARTAO",$F183,0)-IF($I183="CARTAO",$F183,0))</f>
        <v>0</v>
      </c>
      <c r="AI183" s="36" t="n">
        <f aca="false">IF($B183="",0,IF($I183="INVESTIMENTO",$F183,0)-IF($G183="INVESTIMENTO",$F183,0))</f>
        <v>0</v>
      </c>
      <c r="AJ183" s="35" t="str">
        <f aca="false">IF($B183="","",IF(NOT(ISNUMBER($F183)),"ERRO: valor nao numerico",IF($F183&lt;=0,"ERRO: valor deve ser maior que zero",IF(COUNTIF(MAP_TIPO,$D183)=0,"ERRO: tipo de operacao nao cadastrado",IF(COUNTIF(LST_STATUS,$E183)=0,"ERRO: status invalido",IF(AND($G183="EXTERNO",$I183="EXTERNO"),"ERRO: origem e destino externos",IF(AND($G183&lt;&gt;"EXTERNO",COUNTIFS(ENT_ID,$H183,ENT_TIPO,$G183)=0),"ERRO: origem inexistente",IF(AND($I183&lt;&gt;"EXTERNO",COUNTIFS(ENT_ID,$J183,ENT_TIPO,$I183)=0),"ERRO: destino inexistente",IF(AND($K183&lt;&gt;"",COUNTIF(CAT_ID,$K183)=0),"ERRO: categoria inexistente",IF(AND($L183&lt;&gt;"",COUNTIF(SUB_ID,$L183)=0),"ERRO: subcategoria inexistente",IF(AND($L183&lt;&gt;"",$K183&lt;&gt;"",IFERROR(INDEX(SUB_CATID,MATCH($L183,SUB_ID,0)),"")&lt;&gt;$K183),"ERRO: subcategoria nao pertence a categoria",IF(AND($O183&lt;&gt;"",COUNTIF(P_ID,$O183)=0),"ERRO: parcela inexistente",IF(AND($N183&lt;&gt;"",COUNTIF(CM_ID,$N183)=0),"ERRO: compromisso inexistente","OK")))))))))))))</f>
        <v/>
      </c>
      <c r="AK183" s="35" t="str">
        <f aca="false">IF($B183="","",IF(AND($N183="",$O183="",$P183="",$Q183="",$R183=""),"","VINCULADO: "&amp;TRIM(IF($N183&lt;&gt;"",$N183&amp;" ","")&amp;IF($O183&lt;&gt;"",$O183&amp;" ","")&amp;IF($P183&lt;&gt;"",$P183&amp;" ","")&amp;IF($Q183&lt;&gt;"",$Q183&amp;" ","")&amp;IF($R183&lt;&gt;"",$R183,""))))</f>
        <v/>
      </c>
    </row>
    <row r="184" customFormat="false" ht="15" hidden="false" customHeight="false" outlineLevel="0" collapsed="false">
      <c r="A184" s="30" t="str">
        <f aca="false">IF($B184="","","LAN-"&amp;TEXT(ROW()-4,"000000"))</f>
        <v/>
      </c>
      <c r="B184" s="31"/>
      <c r="C184" s="32"/>
      <c r="D184" s="32"/>
      <c r="E184" s="32"/>
      <c r="F184" s="33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4" t="str">
        <f aca="false">IF($B184="","",YEAR($B184))</f>
        <v/>
      </c>
      <c r="U184" s="34" t="str">
        <f aca="false">IF($B184="","",MONTH($B184))</f>
        <v/>
      </c>
      <c r="V184" s="34" t="str">
        <f aca="false">IF($B184="","",YEAR($B184)*100+MONTH($B184))</f>
        <v/>
      </c>
      <c r="W184" s="35" t="str">
        <f aca="false">IF($D184="","",IFERROR(INDEX(MAP_CLASS,MATCH($D184,MAP_TIPO,0)),"TIPO INVALIDO"))</f>
        <v/>
      </c>
      <c r="X184" s="35" t="str">
        <f aca="false">IF($K184="","",IFERROR(INDEX(CAT_NOME,MATCH($K184,CAT_ID,0)),"?"))</f>
        <v/>
      </c>
      <c r="Y184" s="35" t="str">
        <f aca="false">IF($L184="","",IFERROR(INDEX(SUB_NOME,MATCH($L184,SUB_ID,0)),"?"))</f>
        <v/>
      </c>
      <c r="Z184" s="35" t="str">
        <f aca="false">IF($G184="","",IF($G184="EXTERNO","(Externo)",IFERROR(INDEX(ENT_NOME,MATCH($H184,ENT_ID,0)),"?")))</f>
        <v/>
      </c>
      <c r="AA184" s="35" t="str">
        <f aca="false">IF($I184="","",IF($I184="EXTERNO","(Externo)",IFERROR(INDEX(ENT_NOME,MATCH($J184,ENT_ID,0)),"?")))</f>
        <v/>
      </c>
      <c r="AB184" s="36" t="n">
        <f aca="false">IF($B184="",0,IF(AND($I184="CONTA",$G184&lt;&gt;"CONTA"),$F184,0))</f>
        <v>0</v>
      </c>
      <c r="AC184" s="36" t="n">
        <f aca="false">IF($B184="",0,IF(AND($G184="CONTA",$I184&lt;&gt;"CONTA"),$F184,0))</f>
        <v>0</v>
      </c>
      <c r="AD184" s="36" t="n">
        <f aca="false">IF($W184="RECEITA",$F184,0)</f>
        <v>0</v>
      </c>
      <c r="AE184" s="36" t="n">
        <f aca="false">IF($W184="DESPESA",$F184,0)</f>
        <v>0</v>
      </c>
      <c r="AF184" s="36" t="n">
        <f aca="false">IF($W184="RECEITA_FINANCEIRA",$F184,0)</f>
        <v>0</v>
      </c>
      <c r="AG184" s="36" t="n">
        <f aca="false">IF($B184="",0,IF($I184="CONTA",$F184,0)-IF($G184="CONTA",$F184,0))</f>
        <v>0</v>
      </c>
      <c r="AH184" s="36" t="n">
        <f aca="false">IF($B184="",0,IF($G184="CARTAO",$F184,0)-IF($I184="CARTAO",$F184,0))</f>
        <v>0</v>
      </c>
      <c r="AI184" s="36" t="n">
        <f aca="false">IF($B184="",0,IF($I184="INVESTIMENTO",$F184,0)-IF($G184="INVESTIMENTO",$F184,0))</f>
        <v>0</v>
      </c>
      <c r="AJ184" s="35" t="str">
        <f aca="false">IF($B184="","",IF(NOT(ISNUMBER($F184)),"ERRO: valor nao numerico",IF($F184&lt;=0,"ERRO: valor deve ser maior que zero",IF(COUNTIF(MAP_TIPO,$D184)=0,"ERRO: tipo de operacao nao cadastrado",IF(COUNTIF(LST_STATUS,$E184)=0,"ERRO: status invalido",IF(AND($G184="EXTERNO",$I184="EXTERNO"),"ERRO: origem e destino externos",IF(AND($G184&lt;&gt;"EXTERNO",COUNTIFS(ENT_ID,$H184,ENT_TIPO,$G184)=0),"ERRO: origem inexistente",IF(AND($I184&lt;&gt;"EXTERNO",COUNTIFS(ENT_ID,$J184,ENT_TIPO,$I184)=0),"ERRO: destino inexistente",IF(AND($K184&lt;&gt;"",COUNTIF(CAT_ID,$K184)=0),"ERRO: categoria inexistente",IF(AND($L184&lt;&gt;"",COUNTIF(SUB_ID,$L184)=0),"ERRO: subcategoria inexistente",IF(AND($L184&lt;&gt;"",$K184&lt;&gt;"",IFERROR(INDEX(SUB_CATID,MATCH($L184,SUB_ID,0)),"")&lt;&gt;$K184),"ERRO: subcategoria nao pertence a categoria",IF(AND($O184&lt;&gt;"",COUNTIF(P_ID,$O184)=0),"ERRO: parcela inexistente",IF(AND($N184&lt;&gt;"",COUNTIF(CM_ID,$N184)=0),"ERRO: compromisso inexistente","OK")))))))))))))</f>
        <v/>
      </c>
      <c r="AK184" s="35" t="str">
        <f aca="false">IF($B184="","",IF(AND($N184="",$O184="",$P184="",$Q184="",$R184=""),"","VINCULADO: "&amp;TRIM(IF($N184&lt;&gt;"",$N184&amp;" ","")&amp;IF($O184&lt;&gt;"",$O184&amp;" ","")&amp;IF($P184&lt;&gt;"",$P184&amp;" ","")&amp;IF($Q184&lt;&gt;"",$Q184&amp;" ","")&amp;IF($R184&lt;&gt;"",$R184,""))))</f>
        <v/>
      </c>
    </row>
    <row r="185" customFormat="false" ht="15" hidden="false" customHeight="false" outlineLevel="0" collapsed="false">
      <c r="A185" s="30" t="str">
        <f aca="false">IF($B185="","","LAN-"&amp;TEXT(ROW()-4,"000000"))</f>
        <v/>
      </c>
      <c r="B185" s="31"/>
      <c r="C185" s="32"/>
      <c r="D185" s="32"/>
      <c r="E185" s="32"/>
      <c r="F185" s="33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4" t="str">
        <f aca="false">IF($B185="","",YEAR($B185))</f>
        <v/>
      </c>
      <c r="U185" s="34" t="str">
        <f aca="false">IF($B185="","",MONTH($B185))</f>
        <v/>
      </c>
      <c r="V185" s="34" t="str">
        <f aca="false">IF($B185="","",YEAR($B185)*100+MONTH($B185))</f>
        <v/>
      </c>
      <c r="W185" s="35" t="str">
        <f aca="false">IF($D185="","",IFERROR(INDEX(MAP_CLASS,MATCH($D185,MAP_TIPO,0)),"TIPO INVALIDO"))</f>
        <v/>
      </c>
      <c r="X185" s="35" t="str">
        <f aca="false">IF($K185="","",IFERROR(INDEX(CAT_NOME,MATCH($K185,CAT_ID,0)),"?"))</f>
        <v/>
      </c>
      <c r="Y185" s="35" t="str">
        <f aca="false">IF($L185="","",IFERROR(INDEX(SUB_NOME,MATCH($L185,SUB_ID,0)),"?"))</f>
        <v/>
      </c>
      <c r="Z185" s="35" t="str">
        <f aca="false">IF($G185="","",IF($G185="EXTERNO","(Externo)",IFERROR(INDEX(ENT_NOME,MATCH($H185,ENT_ID,0)),"?")))</f>
        <v/>
      </c>
      <c r="AA185" s="35" t="str">
        <f aca="false">IF($I185="","",IF($I185="EXTERNO","(Externo)",IFERROR(INDEX(ENT_NOME,MATCH($J185,ENT_ID,0)),"?")))</f>
        <v/>
      </c>
      <c r="AB185" s="36" t="n">
        <f aca="false">IF($B185="",0,IF(AND($I185="CONTA",$G185&lt;&gt;"CONTA"),$F185,0))</f>
        <v>0</v>
      </c>
      <c r="AC185" s="36" t="n">
        <f aca="false">IF($B185="",0,IF(AND($G185="CONTA",$I185&lt;&gt;"CONTA"),$F185,0))</f>
        <v>0</v>
      </c>
      <c r="AD185" s="36" t="n">
        <f aca="false">IF($W185="RECEITA",$F185,0)</f>
        <v>0</v>
      </c>
      <c r="AE185" s="36" t="n">
        <f aca="false">IF($W185="DESPESA",$F185,0)</f>
        <v>0</v>
      </c>
      <c r="AF185" s="36" t="n">
        <f aca="false">IF($W185="RECEITA_FINANCEIRA",$F185,0)</f>
        <v>0</v>
      </c>
      <c r="AG185" s="36" t="n">
        <f aca="false">IF($B185="",0,IF($I185="CONTA",$F185,0)-IF($G185="CONTA",$F185,0))</f>
        <v>0</v>
      </c>
      <c r="AH185" s="36" t="n">
        <f aca="false">IF($B185="",0,IF($G185="CARTAO",$F185,0)-IF($I185="CARTAO",$F185,0))</f>
        <v>0</v>
      </c>
      <c r="AI185" s="36" t="n">
        <f aca="false">IF($B185="",0,IF($I185="INVESTIMENTO",$F185,0)-IF($G185="INVESTIMENTO",$F185,0))</f>
        <v>0</v>
      </c>
      <c r="AJ185" s="35" t="str">
        <f aca="false">IF($B185="","",IF(NOT(ISNUMBER($F185)),"ERRO: valor nao numerico",IF($F185&lt;=0,"ERRO: valor deve ser maior que zero",IF(COUNTIF(MAP_TIPO,$D185)=0,"ERRO: tipo de operacao nao cadastrado",IF(COUNTIF(LST_STATUS,$E185)=0,"ERRO: status invalido",IF(AND($G185="EXTERNO",$I185="EXTERNO"),"ERRO: origem e destino externos",IF(AND($G185&lt;&gt;"EXTERNO",COUNTIFS(ENT_ID,$H185,ENT_TIPO,$G185)=0),"ERRO: origem inexistente",IF(AND($I185&lt;&gt;"EXTERNO",COUNTIFS(ENT_ID,$J185,ENT_TIPO,$I185)=0),"ERRO: destino inexistente",IF(AND($K185&lt;&gt;"",COUNTIF(CAT_ID,$K185)=0),"ERRO: categoria inexistente",IF(AND($L185&lt;&gt;"",COUNTIF(SUB_ID,$L185)=0),"ERRO: subcategoria inexistente",IF(AND($L185&lt;&gt;"",$K185&lt;&gt;"",IFERROR(INDEX(SUB_CATID,MATCH($L185,SUB_ID,0)),"")&lt;&gt;$K185),"ERRO: subcategoria nao pertence a categoria",IF(AND($O185&lt;&gt;"",COUNTIF(P_ID,$O185)=0),"ERRO: parcela inexistente",IF(AND($N185&lt;&gt;"",COUNTIF(CM_ID,$N185)=0),"ERRO: compromisso inexistente","OK")))))))))))))</f>
        <v/>
      </c>
      <c r="AK185" s="35" t="str">
        <f aca="false">IF($B185="","",IF(AND($N185="",$O185="",$P185="",$Q185="",$R185=""),"","VINCULADO: "&amp;TRIM(IF($N185&lt;&gt;"",$N185&amp;" ","")&amp;IF($O185&lt;&gt;"",$O185&amp;" ","")&amp;IF($P185&lt;&gt;"",$P185&amp;" ","")&amp;IF($Q185&lt;&gt;"",$Q185&amp;" ","")&amp;IF($R185&lt;&gt;"",$R185,""))))</f>
        <v/>
      </c>
    </row>
    <row r="186" customFormat="false" ht="15" hidden="false" customHeight="false" outlineLevel="0" collapsed="false">
      <c r="A186" s="30" t="str">
        <f aca="false">IF($B186="","","LAN-"&amp;TEXT(ROW()-4,"000000"))</f>
        <v/>
      </c>
      <c r="B186" s="31"/>
      <c r="C186" s="32"/>
      <c r="D186" s="32"/>
      <c r="E186" s="32"/>
      <c r="F186" s="33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4" t="str">
        <f aca="false">IF($B186="","",YEAR($B186))</f>
        <v/>
      </c>
      <c r="U186" s="34" t="str">
        <f aca="false">IF($B186="","",MONTH($B186))</f>
        <v/>
      </c>
      <c r="V186" s="34" t="str">
        <f aca="false">IF($B186="","",YEAR($B186)*100+MONTH($B186))</f>
        <v/>
      </c>
      <c r="W186" s="35" t="str">
        <f aca="false">IF($D186="","",IFERROR(INDEX(MAP_CLASS,MATCH($D186,MAP_TIPO,0)),"TIPO INVALIDO"))</f>
        <v/>
      </c>
      <c r="X186" s="35" t="str">
        <f aca="false">IF($K186="","",IFERROR(INDEX(CAT_NOME,MATCH($K186,CAT_ID,0)),"?"))</f>
        <v/>
      </c>
      <c r="Y186" s="35" t="str">
        <f aca="false">IF($L186="","",IFERROR(INDEX(SUB_NOME,MATCH($L186,SUB_ID,0)),"?"))</f>
        <v/>
      </c>
      <c r="Z186" s="35" t="str">
        <f aca="false">IF($G186="","",IF($G186="EXTERNO","(Externo)",IFERROR(INDEX(ENT_NOME,MATCH($H186,ENT_ID,0)),"?")))</f>
        <v/>
      </c>
      <c r="AA186" s="35" t="str">
        <f aca="false">IF($I186="","",IF($I186="EXTERNO","(Externo)",IFERROR(INDEX(ENT_NOME,MATCH($J186,ENT_ID,0)),"?")))</f>
        <v/>
      </c>
      <c r="AB186" s="36" t="n">
        <f aca="false">IF($B186="",0,IF(AND($I186="CONTA",$G186&lt;&gt;"CONTA"),$F186,0))</f>
        <v>0</v>
      </c>
      <c r="AC186" s="36" t="n">
        <f aca="false">IF($B186="",0,IF(AND($G186="CONTA",$I186&lt;&gt;"CONTA"),$F186,0))</f>
        <v>0</v>
      </c>
      <c r="AD186" s="36" t="n">
        <f aca="false">IF($W186="RECEITA",$F186,0)</f>
        <v>0</v>
      </c>
      <c r="AE186" s="36" t="n">
        <f aca="false">IF($W186="DESPESA",$F186,0)</f>
        <v>0</v>
      </c>
      <c r="AF186" s="36" t="n">
        <f aca="false">IF($W186="RECEITA_FINANCEIRA",$F186,0)</f>
        <v>0</v>
      </c>
      <c r="AG186" s="36" t="n">
        <f aca="false">IF($B186="",0,IF($I186="CONTA",$F186,0)-IF($G186="CONTA",$F186,0))</f>
        <v>0</v>
      </c>
      <c r="AH186" s="36" t="n">
        <f aca="false">IF($B186="",0,IF($G186="CARTAO",$F186,0)-IF($I186="CARTAO",$F186,0))</f>
        <v>0</v>
      </c>
      <c r="AI186" s="36" t="n">
        <f aca="false">IF($B186="",0,IF($I186="INVESTIMENTO",$F186,0)-IF($G186="INVESTIMENTO",$F186,0))</f>
        <v>0</v>
      </c>
      <c r="AJ186" s="35" t="str">
        <f aca="false">IF($B186="","",IF(NOT(ISNUMBER($F186)),"ERRO: valor nao numerico",IF($F186&lt;=0,"ERRO: valor deve ser maior que zero",IF(COUNTIF(MAP_TIPO,$D186)=0,"ERRO: tipo de operacao nao cadastrado",IF(COUNTIF(LST_STATUS,$E186)=0,"ERRO: status invalido",IF(AND($G186="EXTERNO",$I186="EXTERNO"),"ERRO: origem e destino externos",IF(AND($G186&lt;&gt;"EXTERNO",COUNTIFS(ENT_ID,$H186,ENT_TIPO,$G186)=0),"ERRO: origem inexistente",IF(AND($I186&lt;&gt;"EXTERNO",COUNTIFS(ENT_ID,$J186,ENT_TIPO,$I186)=0),"ERRO: destino inexistente",IF(AND($K186&lt;&gt;"",COUNTIF(CAT_ID,$K186)=0),"ERRO: categoria inexistente",IF(AND($L186&lt;&gt;"",COUNTIF(SUB_ID,$L186)=0),"ERRO: subcategoria inexistente",IF(AND($L186&lt;&gt;"",$K186&lt;&gt;"",IFERROR(INDEX(SUB_CATID,MATCH($L186,SUB_ID,0)),"")&lt;&gt;$K186),"ERRO: subcategoria nao pertence a categoria",IF(AND($O186&lt;&gt;"",COUNTIF(P_ID,$O186)=0),"ERRO: parcela inexistente",IF(AND($N186&lt;&gt;"",COUNTIF(CM_ID,$N186)=0),"ERRO: compromisso inexistente","OK")))))))))))))</f>
        <v/>
      </c>
      <c r="AK186" s="35" t="str">
        <f aca="false">IF($B186="","",IF(AND($N186="",$O186="",$P186="",$Q186="",$R186=""),"","VINCULADO: "&amp;TRIM(IF($N186&lt;&gt;"",$N186&amp;" ","")&amp;IF($O186&lt;&gt;"",$O186&amp;" ","")&amp;IF($P186&lt;&gt;"",$P186&amp;" ","")&amp;IF($Q186&lt;&gt;"",$Q186&amp;" ","")&amp;IF($R186&lt;&gt;"",$R186,""))))</f>
        <v/>
      </c>
    </row>
    <row r="187" customFormat="false" ht="15" hidden="false" customHeight="false" outlineLevel="0" collapsed="false">
      <c r="A187" s="30" t="str">
        <f aca="false">IF($B187="","","LAN-"&amp;TEXT(ROW()-4,"000000"))</f>
        <v/>
      </c>
      <c r="B187" s="31"/>
      <c r="C187" s="32"/>
      <c r="D187" s="32"/>
      <c r="E187" s="32"/>
      <c r="F187" s="33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4" t="str">
        <f aca="false">IF($B187="","",YEAR($B187))</f>
        <v/>
      </c>
      <c r="U187" s="34" t="str">
        <f aca="false">IF($B187="","",MONTH($B187))</f>
        <v/>
      </c>
      <c r="V187" s="34" t="str">
        <f aca="false">IF($B187="","",YEAR($B187)*100+MONTH($B187))</f>
        <v/>
      </c>
      <c r="W187" s="35" t="str">
        <f aca="false">IF($D187="","",IFERROR(INDEX(MAP_CLASS,MATCH($D187,MAP_TIPO,0)),"TIPO INVALIDO"))</f>
        <v/>
      </c>
      <c r="X187" s="35" t="str">
        <f aca="false">IF($K187="","",IFERROR(INDEX(CAT_NOME,MATCH($K187,CAT_ID,0)),"?"))</f>
        <v/>
      </c>
      <c r="Y187" s="35" t="str">
        <f aca="false">IF($L187="","",IFERROR(INDEX(SUB_NOME,MATCH($L187,SUB_ID,0)),"?"))</f>
        <v/>
      </c>
      <c r="Z187" s="35" t="str">
        <f aca="false">IF($G187="","",IF($G187="EXTERNO","(Externo)",IFERROR(INDEX(ENT_NOME,MATCH($H187,ENT_ID,0)),"?")))</f>
        <v/>
      </c>
      <c r="AA187" s="35" t="str">
        <f aca="false">IF($I187="","",IF($I187="EXTERNO","(Externo)",IFERROR(INDEX(ENT_NOME,MATCH($J187,ENT_ID,0)),"?")))</f>
        <v/>
      </c>
      <c r="AB187" s="36" t="n">
        <f aca="false">IF($B187="",0,IF(AND($I187="CONTA",$G187&lt;&gt;"CONTA"),$F187,0))</f>
        <v>0</v>
      </c>
      <c r="AC187" s="36" t="n">
        <f aca="false">IF($B187="",0,IF(AND($G187="CONTA",$I187&lt;&gt;"CONTA"),$F187,0))</f>
        <v>0</v>
      </c>
      <c r="AD187" s="36" t="n">
        <f aca="false">IF($W187="RECEITA",$F187,0)</f>
        <v>0</v>
      </c>
      <c r="AE187" s="36" t="n">
        <f aca="false">IF($W187="DESPESA",$F187,0)</f>
        <v>0</v>
      </c>
      <c r="AF187" s="36" t="n">
        <f aca="false">IF($W187="RECEITA_FINANCEIRA",$F187,0)</f>
        <v>0</v>
      </c>
      <c r="AG187" s="36" t="n">
        <f aca="false">IF($B187="",0,IF($I187="CONTA",$F187,0)-IF($G187="CONTA",$F187,0))</f>
        <v>0</v>
      </c>
      <c r="AH187" s="36" t="n">
        <f aca="false">IF($B187="",0,IF($G187="CARTAO",$F187,0)-IF($I187="CARTAO",$F187,0))</f>
        <v>0</v>
      </c>
      <c r="AI187" s="36" t="n">
        <f aca="false">IF($B187="",0,IF($I187="INVESTIMENTO",$F187,0)-IF($G187="INVESTIMENTO",$F187,0))</f>
        <v>0</v>
      </c>
      <c r="AJ187" s="35" t="str">
        <f aca="false">IF($B187="","",IF(NOT(ISNUMBER($F187)),"ERRO: valor nao numerico",IF($F187&lt;=0,"ERRO: valor deve ser maior que zero",IF(COUNTIF(MAP_TIPO,$D187)=0,"ERRO: tipo de operacao nao cadastrado",IF(COUNTIF(LST_STATUS,$E187)=0,"ERRO: status invalido",IF(AND($G187="EXTERNO",$I187="EXTERNO"),"ERRO: origem e destino externos",IF(AND($G187&lt;&gt;"EXTERNO",COUNTIFS(ENT_ID,$H187,ENT_TIPO,$G187)=0),"ERRO: origem inexistente",IF(AND($I187&lt;&gt;"EXTERNO",COUNTIFS(ENT_ID,$J187,ENT_TIPO,$I187)=0),"ERRO: destino inexistente",IF(AND($K187&lt;&gt;"",COUNTIF(CAT_ID,$K187)=0),"ERRO: categoria inexistente",IF(AND($L187&lt;&gt;"",COUNTIF(SUB_ID,$L187)=0),"ERRO: subcategoria inexistente",IF(AND($L187&lt;&gt;"",$K187&lt;&gt;"",IFERROR(INDEX(SUB_CATID,MATCH($L187,SUB_ID,0)),"")&lt;&gt;$K187),"ERRO: subcategoria nao pertence a categoria",IF(AND($O187&lt;&gt;"",COUNTIF(P_ID,$O187)=0),"ERRO: parcela inexistente",IF(AND($N187&lt;&gt;"",COUNTIF(CM_ID,$N187)=0),"ERRO: compromisso inexistente","OK")))))))))))))</f>
        <v/>
      </c>
      <c r="AK187" s="35" t="str">
        <f aca="false">IF($B187="","",IF(AND($N187="",$O187="",$P187="",$Q187="",$R187=""),"","VINCULADO: "&amp;TRIM(IF($N187&lt;&gt;"",$N187&amp;" ","")&amp;IF($O187&lt;&gt;"",$O187&amp;" ","")&amp;IF($P187&lt;&gt;"",$P187&amp;" ","")&amp;IF($Q187&lt;&gt;"",$Q187&amp;" ","")&amp;IF($R187&lt;&gt;"",$R187,""))))</f>
        <v/>
      </c>
    </row>
    <row r="188" customFormat="false" ht="15" hidden="false" customHeight="false" outlineLevel="0" collapsed="false">
      <c r="A188" s="30" t="str">
        <f aca="false">IF($B188="","","LAN-"&amp;TEXT(ROW()-4,"000000"))</f>
        <v/>
      </c>
      <c r="B188" s="31"/>
      <c r="C188" s="32"/>
      <c r="D188" s="32"/>
      <c r="E188" s="32"/>
      <c r="F188" s="33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4" t="str">
        <f aca="false">IF($B188="","",YEAR($B188))</f>
        <v/>
      </c>
      <c r="U188" s="34" t="str">
        <f aca="false">IF($B188="","",MONTH($B188))</f>
        <v/>
      </c>
      <c r="V188" s="34" t="str">
        <f aca="false">IF($B188="","",YEAR($B188)*100+MONTH($B188))</f>
        <v/>
      </c>
      <c r="W188" s="35" t="str">
        <f aca="false">IF($D188="","",IFERROR(INDEX(MAP_CLASS,MATCH($D188,MAP_TIPO,0)),"TIPO INVALIDO"))</f>
        <v/>
      </c>
      <c r="X188" s="35" t="str">
        <f aca="false">IF($K188="","",IFERROR(INDEX(CAT_NOME,MATCH($K188,CAT_ID,0)),"?"))</f>
        <v/>
      </c>
      <c r="Y188" s="35" t="str">
        <f aca="false">IF($L188="","",IFERROR(INDEX(SUB_NOME,MATCH($L188,SUB_ID,0)),"?"))</f>
        <v/>
      </c>
      <c r="Z188" s="35" t="str">
        <f aca="false">IF($G188="","",IF($G188="EXTERNO","(Externo)",IFERROR(INDEX(ENT_NOME,MATCH($H188,ENT_ID,0)),"?")))</f>
        <v/>
      </c>
      <c r="AA188" s="35" t="str">
        <f aca="false">IF($I188="","",IF($I188="EXTERNO","(Externo)",IFERROR(INDEX(ENT_NOME,MATCH($J188,ENT_ID,0)),"?")))</f>
        <v/>
      </c>
      <c r="AB188" s="36" t="n">
        <f aca="false">IF($B188="",0,IF(AND($I188="CONTA",$G188&lt;&gt;"CONTA"),$F188,0))</f>
        <v>0</v>
      </c>
      <c r="AC188" s="36" t="n">
        <f aca="false">IF($B188="",0,IF(AND($G188="CONTA",$I188&lt;&gt;"CONTA"),$F188,0))</f>
        <v>0</v>
      </c>
      <c r="AD188" s="36" t="n">
        <f aca="false">IF($W188="RECEITA",$F188,0)</f>
        <v>0</v>
      </c>
      <c r="AE188" s="36" t="n">
        <f aca="false">IF($W188="DESPESA",$F188,0)</f>
        <v>0</v>
      </c>
      <c r="AF188" s="36" t="n">
        <f aca="false">IF($W188="RECEITA_FINANCEIRA",$F188,0)</f>
        <v>0</v>
      </c>
      <c r="AG188" s="36" t="n">
        <f aca="false">IF($B188="",0,IF($I188="CONTA",$F188,0)-IF($G188="CONTA",$F188,0))</f>
        <v>0</v>
      </c>
      <c r="AH188" s="36" t="n">
        <f aca="false">IF($B188="",0,IF($G188="CARTAO",$F188,0)-IF($I188="CARTAO",$F188,0))</f>
        <v>0</v>
      </c>
      <c r="AI188" s="36" t="n">
        <f aca="false">IF($B188="",0,IF($I188="INVESTIMENTO",$F188,0)-IF($G188="INVESTIMENTO",$F188,0))</f>
        <v>0</v>
      </c>
      <c r="AJ188" s="35" t="str">
        <f aca="false">IF($B188="","",IF(NOT(ISNUMBER($F188)),"ERRO: valor nao numerico",IF($F188&lt;=0,"ERRO: valor deve ser maior que zero",IF(COUNTIF(MAP_TIPO,$D188)=0,"ERRO: tipo de operacao nao cadastrado",IF(COUNTIF(LST_STATUS,$E188)=0,"ERRO: status invalido",IF(AND($G188="EXTERNO",$I188="EXTERNO"),"ERRO: origem e destino externos",IF(AND($G188&lt;&gt;"EXTERNO",COUNTIFS(ENT_ID,$H188,ENT_TIPO,$G188)=0),"ERRO: origem inexistente",IF(AND($I188&lt;&gt;"EXTERNO",COUNTIFS(ENT_ID,$J188,ENT_TIPO,$I188)=0),"ERRO: destino inexistente",IF(AND($K188&lt;&gt;"",COUNTIF(CAT_ID,$K188)=0),"ERRO: categoria inexistente",IF(AND($L188&lt;&gt;"",COUNTIF(SUB_ID,$L188)=0),"ERRO: subcategoria inexistente",IF(AND($L188&lt;&gt;"",$K188&lt;&gt;"",IFERROR(INDEX(SUB_CATID,MATCH($L188,SUB_ID,0)),"")&lt;&gt;$K188),"ERRO: subcategoria nao pertence a categoria",IF(AND($O188&lt;&gt;"",COUNTIF(P_ID,$O188)=0),"ERRO: parcela inexistente",IF(AND($N188&lt;&gt;"",COUNTIF(CM_ID,$N188)=0),"ERRO: compromisso inexistente","OK")))))))))))))</f>
        <v/>
      </c>
      <c r="AK188" s="35" t="str">
        <f aca="false">IF($B188="","",IF(AND($N188="",$O188="",$P188="",$Q188="",$R188=""),"","VINCULADO: "&amp;TRIM(IF($N188&lt;&gt;"",$N188&amp;" ","")&amp;IF($O188&lt;&gt;"",$O188&amp;" ","")&amp;IF($P188&lt;&gt;"",$P188&amp;" ","")&amp;IF($Q188&lt;&gt;"",$Q188&amp;" ","")&amp;IF($R188&lt;&gt;"",$R188,""))))</f>
        <v/>
      </c>
    </row>
    <row r="189" customFormat="false" ht="15" hidden="false" customHeight="false" outlineLevel="0" collapsed="false">
      <c r="A189" s="30" t="str">
        <f aca="false">IF($B189="","","LAN-"&amp;TEXT(ROW()-4,"000000"))</f>
        <v/>
      </c>
      <c r="B189" s="31"/>
      <c r="C189" s="32"/>
      <c r="D189" s="32"/>
      <c r="E189" s="32"/>
      <c r="F189" s="33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4" t="str">
        <f aca="false">IF($B189="","",YEAR($B189))</f>
        <v/>
      </c>
      <c r="U189" s="34" t="str">
        <f aca="false">IF($B189="","",MONTH($B189))</f>
        <v/>
      </c>
      <c r="V189" s="34" t="str">
        <f aca="false">IF($B189="","",YEAR($B189)*100+MONTH($B189))</f>
        <v/>
      </c>
      <c r="W189" s="35" t="str">
        <f aca="false">IF($D189="","",IFERROR(INDEX(MAP_CLASS,MATCH($D189,MAP_TIPO,0)),"TIPO INVALIDO"))</f>
        <v/>
      </c>
      <c r="X189" s="35" t="str">
        <f aca="false">IF($K189="","",IFERROR(INDEX(CAT_NOME,MATCH($K189,CAT_ID,0)),"?"))</f>
        <v/>
      </c>
      <c r="Y189" s="35" t="str">
        <f aca="false">IF($L189="","",IFERROR(INDEX(SUB_NOME,MATCH($L189,SUB_ID,0)),"?"))</f>
        <v/>
      </c>
      <c r="Z189" s="35" t="str">
        <f aca="false">IF($G189="","",IF($G189="EXTERNO","(Externo)",IFERROR(INDEX(ENT_NOME,MATCH($H189,ENT_ID,0)),"?")))</f>
        <v/>
      </c>
      <c r="AA189" s="35" t="str">
        <f aca="false">IF($I189="","",IF($I189="EXTERNO","(Externo)",IFERROR(INDEX(ENT_NOME,MATCH($J189,ENT_ID,0)),"?")))</f>
        <v/>
      </c>
      <c r="AB189" s="36" t="n">
        <f aca="false">IF($B189="",0,IF(AND($I189="CONTA",$G189&lt;&gt;"CONTA"),$F189,0))</f>
        <v>0</v>
      </c>
      <c r="AC189" s="36" t="n">
        <f aca="false">IF($B189="",0,IF(AND($G189="CONTA",$I189&lt;&gt;"CONTA"),$F189,0))</f>
        <v>0</v>
      </c>
      <c r="AD189" s="36" t="n">
        <f aca="false">IF($W189="RECEITA",$F189,0)</f>
        <v>0</v>
      </c>
      <c r="AE189" s="36" t="n">
        <f aca="false">IF($W189="DESPESA",$F189,0)</f>
        <v>0</v>
      </c>
      <c r="AF189" s="36" t="n">
        <f aca="false">IF($W189="RECEITA_FINANCEIRA",$F189,0)</f>
        <v>0</v>
      </c>
      <c r="AG189" s="36" t="n">
        <f aca="false">IF($B189="",0,IF($I189="CONTA",$F189,0)-IF($G189="CONTA",$F189,0))</f>
        <v>0</v>
      </c>
      <c r="AH189" s="36" t="n">
        <f aca="false">IF($B189="",0,IF($G189="CARTAO",$F189,0)-IF($I189="CARTAO",$F189,0))</f>
        <v>0</v>
      </c>
      <c r="AI189" s="36" t="n">
        <f aca="false">IF($B189="",0,IF($I189="INVESTIMENTO",$F189,0)-IF($G189="INVESTIMENTO",$F189,0))</f>
        <v>0</v>
      </c>
      <c r="AJ189" s="35" t="str">
        <f aca="false">IF($B189="","",IF(NOT(ISNUMBER($F189)),"ERRO: valor nao numerico",IF($F189&lt;=0,"ERRO: valor deve ser maior que zero",IF(COUNTIF(MAP_TIPO,$D189)=0,"ERRO: tipo de operacao nao cadastrado",IF(COUNTIF(LST_STATUS,$E189)=0,"ERRO: status invalido",IF(AND($G189="EXTERNO",$I189="EXTERNO"),"ERRO: origem e destino externos",IF(AND($G189&lt;&gt;"EXTERNO",COUNTIFS(ENT_ID,$H189,ENT_TIPO,$G189)=0),"ERRO: origem inexistente",IF(AND($I189&lt;&gt;"EXTERNO",COUNTIFS(ENT_ID,$J189,ENT_TIPO,$I189)=0),"ERRO: destino inexistente",IF(AND($K189&lt;&gt;"",COUNTIF(CAT_ID,$K189)=0),"ERRO: categoria inexistente",IF(AND($L189&lt;&gt;"",COUNTIF(SUB_ID,$L189)=0),"ERRO: subcategoria inexistente",IF(AND($L189&lt;&gt;"",$K189&lt;&gt;"",IFERROR(INDEX(SUB_CATID,MATCH($L189,SUB_ID,0)),"")&lt;&gt;$K189),"ERRO: subcategoria nao pertence a categoria",IF(AND($O189&lt;&gt;"",COUNTIF(P_ID,$O189)=0),"ERRO: parcela inexistente",IF(AND($N189&lt;&gt;"",COUNTIF(CM_ID,$N189)=0),"ERRO: compromisso inexistente","OK")))))))))))))</f>
        <v/>
      </c>
      <c r="AK189" s="35" t="str">
        <f aca="false">IF($B189="","",IF(AND($N189="",$O189="",$P189="",$Q189="",$R189=""),"","VINCULADO: "&amp;TRIM(IF($N189&lt;&gt;"",$N189&amp;" ","")&amp;IF($O189&lt;&gt;"",$O189&amp;" ","")&amp;IF($P189&lt;&gt;"",$P189&amp;" ","")&amp;IF($Q189&lt;&gt;"",$Q189&amp;" ","")&amp;IF($R189&lt;&gt;"",$R189,""))))</f>
        <v/>
      </c>
    </row>
    <row r="190" customFormat="false" ht="15" hidden="false" customHeight="false" outlineLevel="0" collapsed="false">
      <c r="A190" s="30" t="str">
        <f aca="false">IF($B190="","","LAN-"&amp;TEXT(ROW()-4,"000000"))</f>
        <v/>
      </c>
      <c r="B190" s="31"/>
      <c r="C190" s="32"/>
      <c r="D190" s="32"/>
      <c r="E190" s="32"/>
      <c r="F190" s="33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4" t="str">
        <f aca="false">IF($B190="","",YEAR($B190))</f>
        <v/>
      </c>
      <c r="U190" s="34" t="str">
        <f aca="false">IF($B190="","",MONTH($B190))</f>
        <v/>
      </c>
      <c r="V190" s="34" t="str">
        <f aca="false">IF($B190="","",YEAR($B190)*100+MONTH($B190))</f>
        <v/>
      </c>
      <c r="W190" s="35" t="str">
        <f aca="false">IF($D190="","",IFERROR(INDEX(MAP_CLASS,MATCH($D190,MAP_TIPO,0)),"TIPO INVALIDO"))</f>
        <v/>
      </c>
      <c r="X190" s="35" t="str">
        <f aca="false">IF($K190="","",IFERROR(INDEX(CAT_NOME,MATCH($K190,CAT_ID,0)),"?"))</f>
        <v/>
      </c>
      <c r="Y190" s="35" t="str">
        <f aca="false">IF($L190="","",IFERROR(INDEX(SUB_NOME,MATCH($L190,SUB_ID,0)),"?"))</f>
        <v/>
      </c>
      <c r="Z190" s="35" t="str">
        <f aca="false">IF($G190="","",IF($G190="EXTERNO","(Externo)",IFERROR(INDEX(ENT_NOME,MATCH($H190,ENT_ID,0)),"?")))</f>
        <v/>
      </c>
      <c r="AA190" s="35" t="str">
        <f aca="false">IF($I190="","",IF($I190="EXTERNO","(Externo)",IFERROR(INDEX(ENT_NOME,MATCH($J190,ENT_ID,0)),"?")))</f>
        <v/>
      </c>
      <c r="AB190" s="36" t="n">
        <f aca="false">IF($B190="",0,IF(AND($I190="CONTA",$G190&lt;&gt;"CONTA"),$F190,0))</f>
        <v>0</v>
      </c>
      <c r="AC190" s="36" t="n">
        <f aca="false">IF($B190="",0,IF(AND($G190="CONTA",$I190&lt;&gt;"CONTA"),$F190,0))</f>
        <v>0</v>
      </c>
      <c r="AD190" s="36" t="n">
        <f aca="false">IF($W190="RECEITA",$F190,0)</f>
        <v>0</v>
      </c>
      <c r="AE190" s="36" t="n">
        <f aca="false">IF($W190="DESPESA",$F190,0)</f>
        <v>0</v>
      </c>
      <c r="AF190" s="36" t="n">
        <f aca="false">IF($W190="RECEITA_FINANCEIRA",$F190,0)</f>
        <v>0</v>
      </c>
      <c r="AG190" s="36" t="n">
        <f aca="false">IF($B190="",0,IF($I190="CONTA",$F190,0)-IF($G190="CONTA",$F190,0))</f>
        <v>0</v>
      </c>
      <c r="AH190" s="36" t="n">
        <f aca="false">IF($B190="",0,IF($G190="CARTAO",$F190,0)-IF($I190="CARTAO",$F190,0))</f>
        <v>0</v>
      </c>
      <c r="AI190" s="36" t="n">
        <f aca="false">IF($B190="",0,IF($I190="INVESTIMENTO",$F190,0)-IF($G190="INVESTIMENTO",$F190,0))</f>
        <v>0</v>
      </c>
      <c r="AJ190" s="35" t="str">
        <f aca="false">IF($B190="","",IF(NOT(ISNUMBER($F190)),"ERRO: valor nao numerico",IF($F190&lt;=0,"ERRO: valor deve ser maior que zero",IF(COUNTIF(MAP_TIPO,$D190)=0,"ERRO: tipo de operacao nao cadastrado",IF(COUNTIF(LST_STATUS,$E190)=0,"ERRO: status invalido",IF(AND($G190="EXTERNO",$I190="EXTERNO"),"ERRO: origem e destino externos",IF(AND($G190&lt;&gt;"EXTERNO",COUNTIFS(ENT_ID,$H190,ENT_TIPO,$G190)=0),"ERRO: origem inexistente",IF(AND($I190&lt;&gt;"EXTERNO",COUNTIFS(ENT_ID,$J190,ENT_TIPO,$I190)=0),"ERRO: destino inexistente",IF(AND($K190&lt;&gt;"",COUNTIF(CAT_ID,$K190)=0),"ERRO: categoria inexistente",IF(AND($L190&lt;&gt;"",COUNTIF(SUB_ID,$L190)=0),"ERRO: subcategoria inexistente",IF(AND($L190&lt;&gt;"",$K190&lt;&gt;"",IFERROR(INDEX(SUB_CATID,MATCH($L190,SUB_ID,0)),"")&lt;&gt;$K190),"ERRO: subcategoria nao pertence a categoria",IF(AND($O190&lt;&gt;"",COUNTIF(P_ID,$O190)=0),"ERRO: parcela inexistente",IF(AND($N190&lt;&gt;"",COUNTIF(CM_ID,$N190)=0),"ERRO: compromisso inexistente","OK")))))))))))))</f>
        <v/>
      </c>
      <c r="AK190" s="35" t="str">
        <f aca="false">IF($B190="","",IF(AND($N190="",$O190="",$P190="",$Q190="",$R190=""),"","VINCULADO: "&amp;TRIM(IF($N190&lt;&gt;"",$N190&amp;" ","")&amp;IF($O190&lt;&gt;"",$O190&amp;" ","")&amp;IF($P190&lt;&gt;"",$P190&amp;" ","")&amp;IF($Q190&lt;&gt;"",$Q190&amp;" ","")&amp;IF($R190&lt;&gt;"",$R190,""))))</f>
        <v/>
      </c>
    </row>
    <row r="191" customFormat="false" ht="15" hidden="false" customHeight="false" outlineLevel="0" collapsed="false">
      <c r="A191" s="30" t="str">
        <f aca="false">IF($B191="","","LAN-"&amp;TEXT(ROW()-4,"000000"))</f>
        <v/>
      </c>
      <c r="B191" s="31"/>
      <c r="C191" s="32"/>
      <c r="D191" s="32"/>
      <c r="E191" s="32"/>
      <c r="F191" s="33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4" t="str">
        <f aca="false">IF($B191="","",YEAR($B191))</f>
        <v/>
      </c>
      <c r="U191" s="34" t="str">
        <f aca="false">IF($B191="","",MONTH($B191))</f>
        <v/>
      </c>
      <c r="V191" s="34" t="str">
        <f aca="false">IF($B191="","",YEAR($B191)*100+MONTH($B191))</f>
        <v/>
      </c>
      <c r="W191" s="35" t="str">
        <f aca="false">IF($D191="","",IFERROR(INDEX(MAP_CLASS,MATCH($D191,MAP_TIPO,0)),"TIPO INVALIDO"))</f>
        <v/>
      </c>
      <c r="X191" s="35" t="str">
        <f aca="false">IF($K191="","",IFERROR(INDEX(CAT_NOME,MATCH($K191,CAT_ID,0)),"?"))</f>
        <v/>
      </c>
      <c r="Y191" s="35" t="str">
        <f aca="false">IF($L191="","",IFERROR(INDEX(SUB_NOME,MATCH($L191,SUB_ID,0)),"?"))</f>
        <v/>
      </c>
      <c r="Z191" s="35" t="str">
        <f aca="false">IF($G191="","",IF($G191="EXTERNO","(Externo)",IFERROR(INDEX(ENT_NOME,MATCH($H191,ENT_ID,0)),"?")))</f>
        <v/>
      </c>
      <c r="AA191" s="35" t="str">
        <f aca="false">IF($I191="","",IF($I191="EXTERNO","(Externo)",IFERROR(INDEX(ENT_NOME,MATCH($J191,ENT_ID,0)),"?")))</f>
        <v/>
      </c>
      <c r="AB191" s="36" t="n">
        <f aca="false">IF($B191="",0,IF(AND($I191="CONTA",$G191&lt;&gt;"CONTA"),$F191,0))</f>
        <v>0</v>
      </c>
      <c r="AC191" s="36" t="n">
        <f aca="false">IF($B191="",0,IF(AND($G191="CONTA",$I191&lt;&gt;"CONTA"),$F191,0))</f>
        <v>0</v>
      </c>
      <c r="AD191" s="36" t="n">
        <f aca="false">IF($W191="RECEITA",$F191,0)</f>
        <v>0</v>
      </c>
      <c r="AE191" s="36" t="n">
        <f aca="false">IF($W191="DESPESA",$F191,0)</f>
        <v>0</v>
      </c>
      <c r="AF191" s="36" t="n">
        <f aca="false">IF($W191="RECEITA_FINANCEIRA",$F191,0)</f>
        <v>0</v>
      </c>
      <c r="AG191" s="36" t="n">
        <f aca="false">IF($B191="",0,IF($I191="CONTA",$F191,0)-IF($G191="CONTA",$F191,0))</f>
        <v>0</v>
      </c>
      <c r="AH191" s="36" t="n">
        <f aca="false">IF($B191="",0,IF($G191="CARTAO",$F191,0)-IF($I191="CARTAO",$F191,0))</f>
        <v>0</v>
      </c>
      <c r="AI191" s="36" t="n">
        <f aca="false">IF($B191="",0,IF($I191="INVESTIMENTO",$F191,0)-IF($G191="INVESTIMENTO",$F191,0))</f>
        <v>0</v>
      </c>
      <c r="AJ191" s="35" t="str">
        <f aca="false">IF($B191="","",IF(NOT(ISNUMBER($F191)),"ERRO: valor nao numerico",IF($F191&lt;=0,"ERRO: valor deve ser maior que zero",IF(COUNTIF(MAP_TIPO,$D191)=0,"ERRO: tipo de operacao nao cadastrado",IF(COUNTIF(LST_STATUS,$E191)=0,"ERRO: status invalido",IF(AND($G191="EXTERNO",$I191="EXTERNO"),"ERRO: origem e destino externos",IF(AND($G191&lt;&gt;"EXTERNO",COUNTIFS(ENT_ID,$H191,ENT_TIPO,$G191)=0),"ERRO: origem inexistente",IF(AND($I191&lt;&gt;"EXTERNO",COUNTIFS(ENT_ID,$J191,ENT_TIPO,$I191)=0),"ERRO: destino inexistente",IF(AND($K191&lt;&gt;"",COUNTIF(CAT_ID,$K191)=0),"ERRO: categoria inexistente",IF(AND($L191&lt;&gt;"",COUNTIF(SUB_ID,$L191)=0),"ERRO: subcategoria inexistente",IF(AND($L191&lt;&gt;"",$K191&lt;&gt;"",IFERROR(INDEX(SUB_CATID,MATCH($L191,SUB_ID,0)),"")&lt;&gt;$K191),"ERRO: subcategoria nao pertence a categoria",IF(AND($O191&lt;&gt;"",COUNTIF(P_ID,$O191)=0),"ERRO: parcela inexistente",IF(AND($N191&lt;&gt;"",COUNTIF(CM_ID,$N191)=0),"ERRO: compromisso inexistente","OK")))))))))))))</f>
        <v/>
      </c>
      <c r="AK191" s="35" t="str">
        <f aca="false">IF($B191="","",IF(AND($N191="",$O191="",$P191="",$Q191="",$R191=""),"","VINCULADO: "&amp;TRIM(IF($N191&lt;&gt;"",$N191&amp;" ","")&amp;IF($O191&lt;&gt;"",$O191&amp;" ","")&amp;IF($P191&lt;&gt;"",$P191&amp;" ","")&amp;IF($Q191&lt;&gt;"",$Q191&amp;" ","")&amp;IF($R191&lt;&gt;"",$R191,""))))</f>
        <v/>
      </c>
    </row>
    <row r="192" customFormat="false" ht="15" hidden="false" customHeight="false" outlineLevel="0" collapsed="false">
      <c r="A192" s="30" t="str">
        <f aca="false">IF($B192="","","LAN-"&amp;TEXT(ROW()-4,"000000"))</f>
        <v/>
      </c>
      <c r="B192" s="31"/>
      <c r="C192" s="32"/>
      <c r="D192" s="32"/>
      <c r="E192" s="32"/>
      <c r="F192" s="33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4" t="str">
        <f aca="false">IF($B192="","",YEAR($B192))</f>
        <v/>
      </c>
      <c r="U192" s="34" t="str">
        <f aca="false">IF($B192="","",MONTH($B192))</f>
        <v/>
      </c>
      <c r="V192" s="34" t="str">
        <f aca="false">IF($B192="","",YEAR($B192)*100+MONTH($B192))</f>
        <v/>
      </c>
      <c r="W192" s="35" t="str">
        <f aca="false">IF($D192="","",IFERROR(INDEX(MAP_CLASS,MATCH($D192,MAP_TIPO,0)),"TIPO INVALIDO"))</f>
        <v/>
      </c>
      <c r="X192" s="35" t="str">
        <f aca="false">IF($K192="","",IFERROR(INDEX(CAT_NOME,MATCH($K192,CAT_ID,0)),"?"))</f>
        <v/>
      </c>
      <c r="Y192" s="35" t="str">
        <f aca="false">IF($L192="","",IFERROR(INDEX(SUB_NOME,MATCH($L192,SUB_ID,0)),"?"))</f>
        <v/>
      </c>
      <c r="Z192" s="35" t="str">
        <f aca="false">IF($G192="","",IF($G192="EXTERNO","(Externo)",IFERROR(INDEX(ENT_NOME,MATCH($H192,ENT_ID,0)),"?")))</f>
        <v/>
      </c>
      <c r="AA192" s="35" t="str">
        <f aca="false">IF($I192="","",IF($I192="EXTERNO","(Externo)",IFERROR(INDEX(ENT_NOME,MATCH($J192,ENT_ID,0)),"?")))</f>
        <v/>
      </c>
      <c r="AB192" s="36" t="n">
        <f aca="false">IF($B192="",0,IF(AND($I192="CONTA",$G192&lt;&gt;"CONTA"),$F192,0))</f>
        <v>0</v>
      </c>
      <c r="AC192" s="36" t="n">
        <f aca="false">IF($B192="",0,IF(AND($G192="CONTA",$I192&lt;&gt;"CONTA"),$F192,0))</f>
        <v>0</v>
      </c>
      <c r="AD192" s="36" t="n">
        <f aca="false">IF($W192="RECEITA",$F192,0)</f>
        <v>0</v>
      </c>
      <c r="AE192" s="36" t="n">
        <f aca="false">IF($W192="DESPESA",$F192,0)</f>
        <v>0</v>
      </c>
      <c r="AF192" s="36" t="n">
        <f aca="false">IF($W192="RECEITA_FINANCEIRA",$F192,0)</f>
        <v>0</v>
      </c>
      <c r="AG192" s="36" t="n">
        <f aca="false">IF($B192="",0,IF($I192="CONTA",$F192,0)-IF($G192="CONTA",$F192,0))</f>
        <v>0</v>
      </c>
      <c r="AH192" s="36" t="n">
        <f aca="false">IF($B192="",0,IF($G192="CARTAO",$F192,0)-IF($I192="CARTAO",$F192,0))</f>
        <v>0</v>
      </c>
      <c r="AI192" s="36" t="n">
        <f aca="false">IF($B192="",0,IF($I192="INVESTIMENTO",$F192,0)-IF($G192="INVESTIMENTO",$F192,0))</f>
        <v>0</v>
      </c>
      <c r="AJ192" s="35" t="str">
        <f aca="false">IF($B192="","",IF(NOT(ISNUMBER($F192)),"ERRO: valor nao numerico",IF($F192&lt;=0,"ERRO: valor deve ser maior que zero",IF(COUNTIF(MAP_TIPO,$D192)=0,"ERRO: tipo de operacao nao cadastrado",IF(COUNTIF(LST_STATUS,$E192)=0,"ERRO: status invalido",IF(AND($G192="EXTERNO",$I192="EXTERNO"),"ERRO: origem e destino externos",IF(AND($G192&lt;&gt;"EXTERNO",COUNTIFS(ENT_ID,$H192,ENT_TIPO,$G192)=0),"ERRO: origem inexistente",IF(AND($I192&lt;&gt;"EXTERNO",COUNTIFS(ENT_ID,$J192,ENT_TIPO,$I192)=0),"ERRO: destino inexistente",IF(AND($K192&lt;&gt;"",COUNTIF(CAT_ID,$K192)=0),"ERRO: categoria inexistente",IF(AND($L192&lt;&gt;"",COUNTIF(SUB_ID,$L192)=0),"ERRO: subcategoria inexistente",IF(AND($L192&lt;&gt;"",$K192&lt;&gt;"",IFERROR(INDEX(SUB_CATID,MATCH($L192,SUB_ID,0)),"")&lt;&gt;$K192),"ERRO: subcategoria nao pertence a categoria",IF(AND($O192&lt;&gt;"",COUNTIF(P_ID,$O192)=0),"ERRO: parcela inexistente",IF(AND($N192&lt;&gt;"",COUNTIF(CM_ID,$N192)=0),"ERRO: compromisso inexistente","OK")))))))))))))</f>
        <v/>
      </c>
      <c r="AK192" s="35" t="str">
        <f aca="false">IF($B192="","",IF(AND($N192="",$O192="",$P192="",$Q192="",$R192=""),"","VINCULADO: "&amp;TRIM(IF($N192&lt;&gt;"",$N192&amp;" ","")&amp;IF($O192&lt;&gt;"",$O192&amp;" ","")&amp;IF($P192&lt;&gt;"",$P192&amp;" ","")&amp;IF($Q192&lt;&gt;"",$Q192&amp;" ","")&amp;IF($R192&lt;&gt;"",$R192,""))))</f>
        <v/>
      </c>
    </row>
    <row r="193" customFormat="false" ht="15" hidden="false" customHeight="false" outlineLevel="0" collapsed="false">
      <c r="A193" s="30" t="str">
        <f aca="false">IF($B193="","","LAN-"&amp;TEXT(ROW()-4,"000000"))</f>
        <v/>
      </c>
      <c r="B193" s="31"/>
      <c r="C193" s="32"/>
      <c r="D193" s="32"/>
      <c r="E193" s="32"/>
      <c r="F193" s="33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4" t="str">
        <f aca="false">IF($B193="","",YEAR($B193))</f>
        <v/>
      </c>
      <c r="U193" s="34" t="str">
        <f aca="false">IF($B193="","",MONTH($B193))</f>
        <v/>
      </c>
      <c r="V193" s="34" t="str">
        <f aca="false">IF($B193="","",YEAR($B193)*100+MONTH($B193))</f>
        <v/>
      </c>
      <c r="W193" s="35" t="str">
        <f aca="false">IF($D193="","",IFERROR(INDEX(MAP_CLASS,MATCH($D193,MAP_TIPO,0)),"TIPO INVALIDO"))</f>
        <v/>
      </c>
      <c r="X193" s="35" t="str">
        <f aca="false">IF($K193="","",IFERROR(INDEX(CAT_NOME,MATCH($K193,CAT_ID,0)),"?"))</f>
        <v/>
      </c>
      <c r="Y193" s="35" t="str">
        <f aca="false">IF($L193="","",IFERROR(INDEX(SUB_NOME,MATCH($L193,SUB_ID,0)),"?"))</f>
        <v/>
      </c>
      <c r="Z193" s="35" t="str">
        <f aca="false">IF($G193="","",IF($G193="EXTERNO","(Externo)",IFERROR(INDEX(ENT_NOME,MATCH($H193,ENT_ID,0)),"?")))</f>
        <v/>
      </c>
      <c r="AA193" s="35" t="str">
        <f aca="false">IF($I193="","",IF($I193="EXTERNO","(Externo)",IFERROR(INDEX(ENT_NOME,MATCH($J193,ENT_ID,0)),"?")))</f>
        <v/>
      </c>
      <c r="AB193" s="36" t="n">
        <f aca="false">IF($B193="",0,IF(AND($I193="CONTA",$G193&lt;&gt;"CONTA"),$F193,0))</f>
        <v>0</v>
      </c>
      <c r="AC193" s="36" t="n">
        <f aca="false">IF($B193="",0,IF(AND($G193="CONTA",$I193&lt;&gt;"CONTA"),$F193,0))</f>
        <v>0</v>
      </c>
      <c r="AD193" s="36" t="n">
        <f aca="false">IF($W193="RECEITA",$F193,0)</f>
        <v>0</v>
      </c>
      <c r="AE193" s="36" t="n">
        <f aca="false">IF($W193="DESPESA",$F193,0)</f>
        <v>0</v>
      </c>
      <c r="AF193" s="36" t="n">
        <f aca="false">IF($W193="RECEITA_FINANCEIRA",$F193,0)</f>
        <v>0</v>
      </c>
      <c r="AG193" s="36" t="n">
        <f aca="false">IF($B193="",0,IF($I193="CONTA",$F193,0)-IF($G193="CONTA",$F193,0))</f>
        <v>0</v>
      </c>
      <c r="AH193" s="36" t="n">
        <f aca="false">IF($B193="",0,IF($G193="CARTAO",$F193,0)-IF($I193="CARTAO",$F193,0))</f>
        <v>0</v>
      </c>
      <c r="AI193" s="36" t="n">
        <f aca="false">IF($B193="",0,IF($I193="INVESTIMENTO",$F193,0)-IF($G193="INVESTIMENTO",$F193,0))</f>
        <v>0</v>
      </c>
      <c r="AJ193" s="35" t="str">
        <f aca="false">IF($B193="","",IF(NOT(ISNUMBER($F193)),"ERRO: valor nao numerico",IF($F193&lt;=0,"ERRO: valor deve ser maior que zero",IF(COUNTIF(MAP_TIPO,$D193)=0,"ERRO: tipo de operacao nao cadastrado",IF(COUNTIF(LST_STATUS,$E193)=0,"ERRO: status invalido",IF(AND($G193="EXTERNO",$I193="EXTERNO"),"ERRO: origem e destino externos",IF(AND($G193&lt;&gt;"EXTERNO",COUNTIFS(ENT_ID,$H193,ENT_TIPO,$G193)=0),"ERRO: origem inexistente",IF(AND($I193&lt;&gt;"EXTERNO",COUNTIFS(ENT_ID,$J193,ENT_TIPO,$I193)=0),"ERRO: destino inexistente",IF(AND($K193&lt;&gt;"",COUNTIF(CAT_ID,$K193)=0),"ERRO: categoria inexistente",IF(AND($L193&lt;&gt;"",COUNTIF(SUB_ID,$L193)=0),"ERRO: subcategoria inexistente",IF(AND($L193&lt;&gt;"",$K193&lt;&gt;"",IFERROR(INDEX(SUB_CATID,MATCH($L193,SUB_ID,0)),"")&lt;&gt;$K193),"ERRO: subcategoria nao pertence a categoria",IF(AND($O193&lt;&gt;"",COUNTIF(P_ID,$O193)=0),"ERRO: parcela inexistente",IF(AND($N193&lt;&gt;"",COUNTIF(CM_ID,$N193)=0),"ERRO: compromisso inexistente","OK")))))))))))))</f>
        <v/>
      </c>
      <c r="AK193" s="35" t="str">
        <f aca="false">IF($B193="","",IF(AND($N193="",$O193="",$P193="",$Q193="",$R193=""),"","VINCULADO: "&amp;TRIM(IF($N193&lt;&gt;"",$N193&amp;" ","")&amp;IF($O193&lt;&gt;"",$O193&amp;" ","")&amp;IF($P193&lt;&gt;"",$P193&amp;" ","")&amp;IF($Q193&lt;&gt;"",$Q193&amp;" ","")&amp;IF($R193&lt;&gt;"",$R193,""))))</f>
        <v/>
      </c>
    </row>
    <row r="194" customFormat="false" ht="15" hidden="false" customHeight="false" outlineLevel="0" collapsed="false">
      <c r="A194" s="30" t="str">
        <f aca="false">IF($B194="","","LAN-"&amp;TEXT(ROW()-4,"000000"))</f>
        <v/>
      </c>
      <c r="B194" s="31"/>
      <c r="C194" s="32"/>
      <c r="D194" s="32"/>
      <c r="E194" s="32"/>
      <c r="F194" s="33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4" t="str">
        <f aca="false">IF($B194="","",YEAR($B194))</f>
        <v/>
      </c>
      <c r="U194" s="34" t="str">
        <f aca="false">IF($B194="","",MONTH($B194))</f>
        <v/>
      </c>
      <c r="V194" s="34" t="str">
        <f aca="false">IF($B194="","",YEAR($B194)*100+MONTH($B194))</f>
        <v/>
      </c>
      <c r="W194" s="35" t="str">
        <f aca="false">IF($D194="","",IFERROR(INDEX(MAP_CLASS,MATCH($D194,MAP_TIPO,0)),"TIPO INVALIDO"))</f>
        <v/>
      </c>
      <c r="X194" s="35" t="str">
        <f aca="false">IF($K194="","",IFERROR(INDEX(CAT_NOME,MATCH($K194,CAT_ID,0)),"?"))</f>
        <v/>
      </c>
      <c r="Y194" s="35" t="str">
        <f aca="false">IF($L194="","",IFERROR(INDEX(SUB_NOME,MATCH($L194,SUB_ID,0)),"?"))</f>
        <v/>
      </c>
      <c r="Z194" s="35" t="str">
        <f aca="false">IF($G194="","",IF($G194="EXTERNO","(Externo)",IFERROR(INDEX(ENT_NOME,MATCH($H194,ENT_ID,0)),"?")))</f>
        <v/>
      </c>
      <c r="AA194" s="35" t="str">
        <f aca="false">IF($I194="","",IF($I194="EXTERNO","(Externo)",IFERROR(INDEX(ENT_NOME,MATCH($J194,ENT_ID,0)),"?")))</f>
        <v/>
      </c>
      <c r="AB194" s="36" t="n">
        <f aca="false">IF($B194="",0,IF(AND($I194="CONTA",$G194&lt;&gt;"CONTA"),$F194,0))</f>
        <v>0</v>
      </c>
      <c r="AC194" s="36" t="n">
        <f aca="false">IF($B194="",0,IF(AND($G194="CONTA",$I194&lt;&gt;"CONTA"),$F194,0))</f>
        <v>0</v>
      </c>
      <c r="AD194" s="36" t="n">
        <f aca="false">IF($W194="RECEITA",$F194,0)</f>
        <v>0</v>
      </c>
      <c r="AE194" s="36" t="n">
        <f aca="false">IF($W194="DESPESA",$F194,0)</f>
        <v>0</v>
      </c>
      <c r="AF194" s="36" t="n">
        <f aca="false">IF($W194="RECEITA_FINANCEIRA",$F194,0)</f>
        <v>0</v>
      </c>
      <c r="AG194" s="36" t="n">
        <f aca="false">IF($B194="",0,IF($I194="CONTA",$F194,0)-IF($G194="CONTA",$F194,0))</f>
        <v>0</v>
      </c>
      <c r="AH194" s="36" t="n">
        <f aca="false">IF($B194="",0,IF($G194="CARTAO",$F194,0)-IF($I194="CARTAO",$F194,0))</f>
        <v>0</v>
      </c>
      <c r="AI194" s="36" t="n">
        <f aca="false">IF($B194="",0,IF($I194="INVESTIMENTO",$F194,0)-IF($G194="INVESTIMENTO",$F194,0))</f>
        <v>0</v>
      </c>
      <c r="AJ194" s="35" t="str">
        <f aca="false">IF($B194="","",IF(NOT(ISNUMBER($F194)),"ERRO: valor nao numerico",IF($F194&lt;=0,"ERRO: valor deve ser maior que zero",IF(COUNTIF(MAP_TIPO,$D194)=0,"ERRO: tipo de operacao nao cadastrado",IF(COUNTIF(LST_STATUS,$E194)=0,"ERRO: status invalido",IF(AND($G194="EXTERNO",$I194="EXTERNO"),"ERRO: origem e destino externos",IF(AND($G194&lt;&gt;"EXTERNO",COUNTIFS(ENT_ID,$H194,ENT_TIPO,$G194)=0),"ERRO: origem inexistente",IF(AND($I194&lt;&gt;"EXTERNO",COUNTIFS(ENT_ID,$J194,ENT_TIPO,$I194)=0),"ERRO: destino inexistente",IF(AND($K194&lt;&gt;"",COUNTIF(CAT_ID,$K194)=0),"ERRO: categoria inexistente",IF(AND($L194&lt;&gt;"",COUNTIF(SUB_ID,$L194)=0),"ERRO: subcategoria inexistente",IF(AND($L194&lt;&gt;"",$K194&lt;&gt;"",IFERROR(INDEX(SUB_CATID,MATCH($L194,SUB_ID,0)),"")&lt;&gt;$K194),"ERRO: subcategoria nao pertence a categoria",IF(AND($O194&lt;&gt;"",COUNTIF(P_ID,$O194)=0),"ERRO: parcela inexistente",IF(AND($N194&lt;&gt;"",COUNTIF(CM_ID,$N194)=0),"ERRO: compromisso inexistente","OK")))))))))))))</f>
        <v/>
      </c>
      <c r="AK194" s="35" t="str">
        <f aca="false">IF($B194="","",IF(AND($N194="",$O194="",$P194="",$Q194="",$R194=""),"","VINCULADO: "&amp;TRIM(IF($N194&lt;&gt;"",$N194&amp;" ","")&amp;IF($O194&lt;&gt;"",$O194&amp;" ","")&amp;IF($P194&lt;&gt;"",$P194&amp;" ","")&amp;IF($Q194&lt;&gt;"",$Q194&amp;" ","")&amp;IF($R194&lt;&gt;"",$R194,""))))</f>
        <v/>
      </c>
    </row>
    <row r="195" customFormat="false" ht="15" hidden="false" customHeight="false" outlineLevel="0" collapsed="false">
      <c r="A195" s="30" t="str">
        <f aca="false">IF($B195="","","LAN-"&amp;TEXT(ROW()-4,"000000"))</f>
        <v/>
      </c>
      <c r="B195" s="31"/>
      <c r="C195" s="32"/>
      <c r="D195" s="32"/>
      <c r="E195" s="32"/>
      <c r="F195" s="33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4" t="str">
        <f aca="false">IF($B195="","",YEAR($B195))</f>
        <v/>
      </c>
      <c r="U195" s="34" t="str">
        <f aca="false">IF($B195="","",MONTH($B195))</f>
        <v/>
      </c>
      <c r="V195" s="34" t="str">
        <f aca="false">IF($B195="","",YEAR($B195)*100+MONTH($B195))</f>
        <v/>
      </c>
      <c r="W195" s="35" t="str">
        <f aca="false">IF($D195="","",IFERROR(INDEX(MAP_CLASS,MATCH($D195,MAP_TIPO,0)),"TIPO INVALIDO"))</f>
        <v/>
      </c>
      <c r="X195" s="35" t="str">
        <f aca="false">IF($K195="","",IFERROR(INDEX(CAT_NOME,MATCH($K195,CAT_ID,0)),"?"))</f>
        <v/>
      </c>
      <c r="Y195" s="35" t="str">
        <f aca="false">IF($L195="","",IFERROR(INDEX(SUB_NOME,MATCH($L195,SUB_ID,0)),"?"))</f>
        <v/>
      </c>
      <c r="Z195" s="35" t="str">
        <f aca="false">IF($G195="","",IF($G195="EXTERNO","(Externo)",IFERROR(INDEX(ENT_NOME,MATCH($H195,ENT_ID,0)),"?")))</f>
        <v/>
      </c>
      <c r="AA195" s="35" t="str">
        <f aca="false">IF($I195="","",IF($I195="EXTERNO","(Externo)",IFERROR(INDEX(ENT_NOME,MATCH($J195,ENT_ID,0)),"?")))</f>
        <v/>
      </c>
      <c r="AB195" s="36" t="n">
        <f aca="false">IF($B195="",0,IF(AND($I195="CONTA",$G195&lt;&gt;"CONTA"),$F195,0))</f>
        <v>0</v>
      </c>
      <c r="AC195" s="36" t="n">
        <f aca="false">IF($B195="",0,IF(AND($G195="CONTA",$I195&lt;&gt;"CONTA"),$F195,0))</f>
        <v>0</v>
      </c>
      <c r="AD195" s="36" t="n">
        <f aca="false">IF($W195="RECEITA",$F195,0)</f>
        <v>0</v>
      </c>
      <c r="AE195" s="36" t="n">
        <f aca="false">IF($W195="DESPESA",$F195,0)</f>
        <v>0</v>
      </c>
      <c r="AF195" s="36" t="n">
        <f aca="false">IF($W195="RECEITA_FINANCEIRA",$F195,0)</f>
        <v>0</v>
      </c>
      <c r="AG195" s="36" t="n">
        <f aca="false">IF($B195="",0,IF($I195="CONTA",$F195,0)-IF($G195="CONTA",$F195,0))</f>
        <v>0</v>
      </c>
      <c r="AH195" s="36" t="n">
        <f aca="false">IF($B195="",0,IF($G195="CARTAO",$F195,0)-IF($I195="CARTAO",$F195,0))</f>
        <v>0</v>
      </c>
      <c r="AI195" s="36" t="n">
        <f aca="false">IF($B195="",0,IF($I195="INVESTIMENTO",$F195,0)-IF($G195="INVESTIMENTO",$F195,0))</f>
        <v>0</v>
      </c>
      <c r="AJ195" s="35" t="str">
        <f aca="false">IF($B195="","",IF(NOT(ISNUMBER($F195)),"ERRO: valor nao numerico",IF($F195&lt;=0,"ERRO: valor deve ser maior que zero",IF(COUNTIF(MAP_TIPO,$D195)=0,"ERRO: tipo de operacao nao cadastrado",IF(COUNTIF(LST_STATUS,$E195)=0,"ERRO: status invalido",IF(AND($G195="EXTERNO",$I195="EXTERNO"),"ERRO: origem e destino externos",IF(AND($G195&lt;&gt;"EXTERNO",COUNTIFS(ENT_ID,$H195,ENT_TIPO,$G195)=0),"ERRO: origem inexistente",IF(AND($I195&lt;&gt;"EXTERNO",COUNTIFS(ENT_ID,$J195,ENT_TIPO,$I195)=0),"ERRO: destino inexistente",IF(AND($K195&lt;&gt;"",COUNTIF(CAT_ID,$K195)=0),"ERRO: categoria inexistente",IF(AND($L195&lt;&gt;"",COUNTIF(SUB_ID,$L195)=0),"ERRO: subcategoria inexistente",IF(AND($L195&lt;&gt;"",$K195&lt;&gt;"",IFERROR(INDEX(SUB_CATID,MATCH($L195,SUB_ID,0)),"")&lt;&gt;$K195),"ERRO: subcategoria nao pertence a categoria",IF(AND($O195&lt;&gt;"",COUNTIF(P_ID,$O195)=0),"ERRO: parcela inexistente",IF(AND($N195&lt;&gt;"",COUNTIF(CM_ID,$N195)=0),"ERRO: compromisso inexistente","OK")))))))))))))</f>
        <v/>
      </c>
      <c r="AK195" s="35" t="str">
        <f aca="false">IF($B195="","",IF(AND($N195="",$O195="",$P195="",$Q195="",$R195=""),"","VINCULADO: "&amp;TRIM(IF($N195&lt;&gt;"",$N195&amp;" ","")&amp;IF($O195&lt;&gt;"",$O195&amp;" ","")&amp;IF($P195&lt;&gt;"",$P195&amp;" ","")&amp;IF($Q195&lt;&gt;"",$Q195&amp;" ","")&amp;IF($R195&lt;&gt;"",$R195,""))))</f>
        <v/>
      </c>
    </row>
    <row r="196" customFormat="false" ht="15" hidden="false" customHeight="false" outlineLevel="0" collapsed="false">
      <c r="A196" s="30" t="str">
        <f aca="false">IF($B196="","","LAN-"&amp;TEXT(ROW()-4,"000000"))</f>
        <v/>
      </c>
      <c r="B196" s="31"/>
      <c r="C196" s="32"/>
      <c r="D196" s="32"/>
      <c r="E196" s="32"/>
      <c r="F196" s="33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4" t="str">
        <f aca="false">IF($B196="","",YEAR($B196))</f>
        <v/>
      </c>
      <c r="U196" s="34" t="str">
        <f aca="false">IF($B196="","",MONTH($B196))</f>
        <v/>
      </c>
      <c r="V196" s="34" t="str">
        <f aca="false">IF($B196="","",YEAR($B196)*100+MONTH($B196))</f>
        <v/>
      </c>
      <c r="W196" s="35" t="str">
        <f aca="false">IF($D196="","",IFERROR(INDEX(MAP_CLASS,MATCH($D196,MAP_TIPO,0)),"TIPO INVALIDO"))</f>
        <v/>
      </c>
      <c r="X196" s="35" t="str">
        <f aca="false">IF($K196="","",IFERROR(INDEX(CAT_NOME,MATCH($K196,CAT_ID,0)),"?"))</f>
        <v/>
      </c>
      <c r="Y196" s="35" t="str">
        <f aca="false">IF($L196="","",IFERROR(INDEX(SUB_NOME,MATCH($L196,SUB_ID,0)),"?"))</f>
        <v/>
      </c>
      <c r="Z196" s="35" t="str">
        <f aca="false">IF($G196="","",IF($G196="EXTERNO","(Externo)",IFERROR(INDEX(ENT_NOME,MATCH($H196,ENT_ID,0)),"?")))</f>
        <v/>
      </c>
      <c r="AA196" s="35" t="str">
        <f aca="false">IF($I196="","",IF($I196="EXTERNO","(Externo)",IFERROR(INDEX(ENT_NOME,MATCH($J196,ENT_ID,0)),"?")))</f>
        <v/>
      </c>
      <c r="AB196" s="36" t="n">
        <f aca="false">IF($B196="",0,IF(AND($I196="CONTA",$G196&lt;&gt;"CONTA"),$F196,0))</f>
        <v>0</v>
      </c>
      <c r="AC196" s="36" t="n">
        <f aca="false">IF($B196="",0,IF(AND($G196="CONTA",$I196&lt;&gt;"CONTA"),$F196,0))</f>
        <v>0</v>
      </c>
      <c r="AD196" s="36" t="n">
        <f aca="false">IF($W196="RECEITA",$F196,0)</f>
        <v>0</v>
      </c>
      <c r="AE196" s="36" t="n">
        <f aca="false">IF($W196="DESPESA",$F196,0)</f>
        <v>0</v>
      </c>
      <c r="AF196" s="36" t="n">
        <f aca="false">IF($W196="RECEITA_FINANCEIRA",$F196,0)</f>
        <v>0</v>
      </c>
      <c r="AG196" s="36" t="n">
        <f aca="false">IF($B196="",0,IF($I196="CONTA",$F196,0)-IF($G196="CONTA",$F196,0))</f>
        <v>0</v>
      </c>
      <c r="AH196" s="36" t="n">
        <f aca="false">IF($B196="",0,IF($G196="CARTAO",$F196,0)-IF($I196="CARTAO",$F196,0))</f>
        <v>0</v>
      </c>
      <c r="AI196" s="36" t="n">
        <f aca="false">IF($B196="",0,IF($I196="INVESTIMENTO",$F196,0)-IF($G196="INVESTIMENTO",$F196,0))</f>
        <v>0</v>
      </c>
      <c r="AJ196" s="35" t="str">
        <f aca="false">IF($B196="","",IF(NOT(ISNUMBER($F196)),"ERRO: valor nao numerico",IF($F196&lt;=0,"ERRO: valor deve ser maior que zero",IF(COUNTIF(MAP_TIPO,$D196)=0,"ERRO: tipo de operacao nao cadastrado",IF(COUNTIF(LST_STATUS,$E196)=0,"ERRO: status invalido",IF(AND($G196="EXTERNO",$I196="EXTERNO"),"ERRO: origem e destino externos",IF(AND($G196&lt;&gt;"EXTERNO",COUNTIFS(ENT_ID,$H196,ENT_TIPO,$G196)=0),"ERRO: origem inexistente",IF(AND($I196&lt;&gt;"EXTERNO",COUNTIFS(ENT_ID,$J196,ENT_TIPO,$I196)=0),"ERRO: destino inexistente",IF(AND($K196&lt;&gt;"",COUNTIF(CAT_ID,$K196)=0),"ERRO: categoria inexistente",IF(AND($L196&lt;&gt;"",COUNTIF(SUB_ID,$L196)=0),"ERRO: subcategoria inexistente",IF(AND($L196&lt;&gt;"",$K196&lt;&gt;"",IFERROR(INDEX(SUB_CATID,MATCH($L196,SUB_ID,0)),"")&lt;&gt;$K196),"ERRO: subcategoria nao pertence a categoria",IF(AND($O196&lt;&gt;"",COUNTIF(P_ID,$O196)=0),"ERRO: parcela inexistente",IF(AND($N196&lt;&gt;"",COUNTIF(CM_ID,$N196)=0),"ERRO: compromisso inexistente","OK")))))))))))))</f>
        <v/>
      </c>
      <c r="AK196" s="35" t="str">
        <f aca="false">IF($B196="","",IF(AND($N196="",$O196="",$P196="",$Q196="",$R196=""),"","VINCULADO: "&amp;TRIM(IF($N196&lt;&gt;"",$N196&amp;" ","")&amp;IF($O196&lt;&gt;"",$O196&amp;" ","")&amp;IF($P196&lt;&gt;"",$P196&amp;" ","")&amp;IF($Q196&lt;&gt;"",$Q196&amp;" ","")&amp;IF($R196&lt;&gt;"",$R196,""))))</f>
        <v/>
      </c>
    </row>
    <row r="197" customFormat="false" ht="15" hidden="false" customHeight="false" outlineLevel="0" collapsed="false">
      <c r="A197" s="30" t="str">
        <f aca="false">IF($B197="","","LAN-"&amp;TEXT(ROW()-4,"000000"))</f>
        <v/>
      </c>
      <c r="B197" s="31"/>
      <c r="C197" s="32"/>
      <c r="D197" s="32"/>
      <c r="E197" s="32"/>
      <c r="F197" s="33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4" t="str">
        <f aca="false">IF($B197="","",YEAR($B197))</f>
        <v/>
      </c>
      <c r="U197" s="34" t="str">
        <f aca="false">IF($B197="","",MONTH($B197))</f>
        <v/>
      </c>
      <c r="V197" s="34" t="str">
        <f aca="false">IF($B197="","",YEAR($B197)*100+MONTH($B197))</f>
        <v/>
      </c>
      <c r="W197" s="35" t="str">
        <f aca="false">IF($D197="","",IFERROR(INDEX(MAP_CLASS,MATCH($D197,MAP_TIPO,0)),"TIPO INVALIDO"))</f>
        <v/>
      </c>
      <c r="X197" s="35" t="str">
        <f aca="false">IF($K197="","",IFERROR(INDEX(CAT_NOME,MATCH($K197,CAT_ID,0)),"?"))</f>
        <v/>
      </c>
      <c r="Y197" s="35" t="str">
        <f aca="false">IF($L197="","",IFERROR(INDEX(SUB_NOME,MATCH($L197,SUB_ID,0)),"?"))</f>
        <v/>
      </c>
      <c r="Z197" s="35" t="str">
        <f aca="false">IF($G197="","",IF($G197="EXTERNO","(Externo)",IFERROR(INDEX(ENT_NOME,MATCH($H197,ENT_ID,0)),"?")))</f>
        <v/>
      </c>
      <c r="AA197" s="35" t="str">
        <f aca="false">IF($I197="","",IF($I197="EXTERNO","(Externo)",IFERROR(INDEX(ENT_NOME,MATCH($J197,ENT_ID,0)),"?")))</f>
        <v/>
      </c>
      <c r="AB197" s="36" t="n">
        <f aca="false">IF($B197="",0,IF(AND($I197="CONTA",$G197&lt;&gt;"CONTA"),$F197,0))</f>
        <v>0</v>
      </c>
      <c r="AC197" s="36" t="n">
        <f aca="false">IF($B197="",0,IF(AND($G197="CONTA",$I197&lt;&gt;"CONTA"),$F197,0))</f>
        <v>0</v>
      </c>
      <c r="AD197" s="36" t="n">
        <f aca="false">IF($W197="RECEITA",$F197,0)</f>
        <v>0</v>
      </c>
      <c r="AE197" s="36" t="n">
        <f aca="false">IF($W197="DESPESA",$F197,0)</f>
        <v>0</v>
      </c>
      <c r="AF197" s="36" t="n">
        <f aca="false">IF($W197="RECEITA_FINANCEIRA",$F197,0)</f>
        <v>0</v>
      </c>
      <c r="AG197" s="36" t="n">
        <f aca="false">IF($B197="",0,IF($I197="CONTA",$F197,0)-IF($G197="CONTA",$F197,0))</f>
        <v>0</v>
      </c>
      <c r="AH197" s="36" t="n">
        <f aca="false">IF($B197="",0,IF($G197="CARTAO",$F197,0)-IF($I197="CARTAO",$F197,0))</f>
        <v>0</v>
      </c>
      <c r="AI197" s="36" t="n">
        <f aca="false">IF($B197="",0,IF($I197="INVESTIMENTO",$F197,0)-IF($G197="INVESTIMENTO",$F197,0))</f>
        <v>0</v>
      </c>
      <c r="AJ197" s="35" t="str">
        <f aca="false">IF($B197="","",IF(NOT(ISNUMBER($F197)),"ERRO: valor nao numerico",IF($F197&lt;=0,"ERRO: valor deve ser maior que zero",IF(COUNTIF(MAP_TIPO,$D197)=0,"ERRO: tipo de operacao nao cadastrado",IF(COUNTIF(LST_STATUS,$E197)=0,"ERRO: status invalido",IF(AND($G197="EXTERNO",$I197="EXTERNO"),"ERRO: origem e destino externos",IF(AND($G197&lt;&gt;"EXTERNO",COUNTIFS(ENT_ID,$H197,ENT_TIPO,$G197)=0),"ERRO: origem inexistente",IF(AND($I197&lt;&gt;"EXTERNO",COUNTIFS(ENT_ID,$J197,ENT_TIPO,$I197)=0),"ERRO: destino inexistente",IF(AND($K197&lt;&gt;"",COUNTIF(CAT_ID,$K197)=0),"ERRO: categoria inexistente",IF(AND($L197&lt;&gt;"",COUNTIF(SUB_ID,$L197)=0),"ERRO: subcategoria inexistente",IF(AND($L197&lt;&gt;"",$K197&lt;&gt;"",IFERROR(INDEX(SUB_CATID,MATCH($L197,SUB_ID,0)),"")&lt;&gt;$K197),"ERRO: subcategoria nao pertence a categoria",IF(AND($O197&lt;&gt;"",COUNTIF(P_ID,$O197)=0),"ERRO: parcela inexistente",IF(AND($N197&lt;&gt;"",COUNTIF(CM_ID,$N197)=0),"ERRO: compromisso inexistente","OK")))))))))))))</f>
        <v/>
      </c>
      <c r="AK197" s="35" t="str">
        <f aca="false">IF($B197="","",IF(AND($N197="",$O197="",$P197="",$Q197="",$R197=""),"","VINCULADO: "&amp;TRIM(IF($N197&lt;&gt;"",$N197&amp;" ","")&amp;IF($O197&lt;&gt;"",$O197&amp;" ","")&amp;IF($P197&lt;&gt;"",$P197&amp;" ","")&amp;IF($Q197&lt;&gt;"",$Q197&amp;" ","")&amp;IF($R197&lt;&gt;"",$R197,""))))</f>
        <v/>
      </c>
    </row>
    <row r="198" customFormat="false" ht="15" hidden="false" customHeight="false" outlineLevel="0" collapsed="false">
      <c r="A198" s="30" t="str">
        <f aca="false">IF($B198="","","LAN-"&amp;TEXT(ROW()-4,"000000"))</f>
        <v/>
      </c>
      <c r="B198" s="31"/>
      <c r="C198" s="32"/>
      <c r="D198" s="32"/>
      <c r="E198" s="32"/>
      <c r="F198" s="33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4" t="str">
        <f aca="false">IF($B198="","",YEAR($B198))</f>
        <v/>
      </c>
      <c r="U198" s="34" t="str">
        <f aca="false">IF($B198="","",MONTH($B198))</f>
        <v/>
      </c>
      <c r="V198" s="34" t="str">
        <f aca="false">IF($B198="","",YEAR($B198)*100+MONTH($B198))</f>
        <v/>
      </c>
      <c r="W198" s="35" t="str">
        <f aca="false">IF($D198="","",IFERROR(INDEX(MAP_CLASS,MATCH($D198,MAP_TIPO,0)),"TIPO INVALIDO"))</f>
        <v/>
      </c>
      <c r="X198" s="35" t="str">
        <f aca="false">IF($K198="","",IFERROR(INDEX(CAT_NOME,MATCH($K198,CAT_ID,0)),"?"))</f>
        <v/>
      </c>
      <c r="Y198" s="35" t="str">
        <f aca="false">IF($L198="","",IFERROR(INDEX(SUB_NOME,MATCH($L198,SUB_ID,0)),"?"))</f>
        <v/>
      </c>
      <c r="Z198" s="35" t="str">
        <f aca="false">IF($G198="","",IF($G198="EXTERNO","(Externo)",IFERROR(INDEX(ENT_NOME,MATCH($H198,ENT_ID,0)),"?")))</f>
        <v/>
      </c>
      <c r="AA198" s="35" t="str">
        <f aca="false">IF($I198="","",IF($I198="EXTERNO","(Externo)",IFERROR(INDEX(ENT_NOME,MATCH($J198,ENT_ID,0)),"?")))</f>
        <v/>
      </c>
      <c r="AB198" s="36" t="n">
        <f aca="false">IF($B198="",0,IF(AND($I198="CONTA",$G198&lt;&gt;"CONTA"),$F198,0))</f>
        <v>0</v>
      </c>
      <c r="AC198" s="36" t="n">
        <f aca="false">IF($B198="",0,IF(AND($G198="CONTA",$I198&lt;&gt;"CONTA"),$F198,0))</f>
        <v>0</v>
      </c>
      <c r="AD198" s="36" t="n">
        <f aca="false">IF($W198="RECEITA",$F198,0)</f>
        <v>0</v>
      </c>
      <c r="AE198" s="36" t="n">
        <f aca="false">IF($W198="DESPESA",$F198,0)</f>
        <v>0</v>
      </c>
      <c r="AF198" s="36" t="n">
        <f aca="false">IF($W198="RECEITA_FINANCEIRA",$F198,0)</f>
        <v>0</v>
      </c>
      <c r="AG198" s="36" t="n">
        <f aca="false">IF($B198="",0,IF($I198="CONTA",$F198,0)-IF($G198="CONTA",$F198,0))</f>
        <v>0</v>
      </c>
      <c r="AH198" s="36" t="n">
        <f aca="false">IF($B198="",0,IF($G198="CARTAO",$F198,0)-IF($I198="CARTAO",$F198,0))</f>
        <v>0</v>
      </c>
      <c r="AI198" s="36" t="n">
        <f aca="false">IF($B198="",0,IF($I198="INVESTIMENTO",$F198,0)-IF($G198="INVESTIMENTO",$F198,0))</f>
        <v>0</v>
      </c>
      <c r="AJ198" s="35" t="str">
        <f aca="false">IF($B198="","",IF(NOT(ISNUMBER($F198)),"ERRO: valor nao numerico",IF($F198&lt;=0,"ERRO: valor deve ser maior que zero",IF(COUNTIF(MAP_TIPO,$D198)=0,"ERRO: tipo de operacao nao cadastrado",IF(COUNTIF(LST_STATUS,$E198)=0,"ERRO: status invalido",IF(AND($G198="EXTERNO",$I198="EXTERNO"),"ERRO: origem e destino externos",IF(AND($G198&lt;&gt;"EXTERNO",COUNTIFS(ENT_ID,$H198,ENT_TIPO,$G198)=0),"ERRO: origem inexistente",IF(AND($I198&lt;&gt;"EXTERNO",COUNTIFS(ENT_ID,$J198,ENT_TIPO,$I198)=0),"ERRO: destino inexistente",IF(AND($K198&lt;&gt;"",COUNTIF(CAT_ID,$K198)=0),"ERRO: categoria inexistente",IF(AND($L198&lt;&gt;"",COUNTIF(SUB_ID,$L198)=0),"ERRO: subcategoria inexistente",IF(AND($L198&lt;&gt;"",$K198&lt;&gt;"",IFERROR(INDEX(SUB_CATID,MATCH($L198,SUB_ID,0)),"")&lt;&gt;$K198),"ERRO: subcategoria nao pertence a categoria",IF(AND($O198&lt;&gt;"",COUNTIF(P_ID,$O198)=0),"ERRO: parcela inexistente",IF(AND($N198&lt;&gt;"",COUNTIF(CM_ID,$N198)=0),"ERRO: compromisso inexistente","OK")))))))))))))</f>
        <v/>
      </c>
      <c r="AK198" s="35" t="str">
        <f aca="false">IF($B198="","",IF(AND($N198="",$O198="",$P198="",$Q198="",$R198=""),"","VINCULADO: "&amp;TRIM(IF($N198&lt;&gt;"",$N198&amp;" ","")&amp;IF($O198&lt;&gt;"",$O198&amp;" ","")&amp;IF($P198&lt;&gt;"",$P198&amp;" ","")&amp;IF($Q198&lt;&gt;"",$Q198&amp;" ","")&amp;IF($R198&lt;&gt;"",$R198,""))))</f>
        <v/>
      </c>
    </row>
    <row r="199" customFormat="false" ht="15" hidden="false" customHeight="false" outlineLevel="0" collapsed="false">
      <c r="A199" s="30" t="str">
        <f aca="false">IF($B199="","","LAN-"&amp;TEXT(ROW()-4,"000000"))</f>
        <v/>
      </c>
      <c r="B199" s="31"/>
      <c r="C199" s="32"/>
      <c r="D199" s="32"/>
      <c r="E199" s="32"/>
      <c r="F199" s="33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4" t="str">
        <f aca="false">IF($B199="","",YEAR($B199))</f>
        <v/>
      </c>
      <c r="U199" s="34" t="str">
        <f aca="false">IF($B199="","",MONTH($B199))</f>
        <v/>
      </c>
      <c r="V199" s="34" t="str">
        <f aca="false">IF($B199="","",YEAR($B199)*100+MONTH($B199))</f>
        <v/>
      </c>
      <c r="W199" s="35" t="str">
        <f aca="false">IF($D199="","",IFERROR(INDEX(MAP_CLASS,MATCH($D199,MAP_TIPO,0)),"TIPO INVALIDO"))</f>
        <v/>
      </c>
      <c r="X199" s="35" t="str">
        <f aca="false">IF($K199="","",IFERROR(INDEX(CAT_NOME,MATCH($K199,CAT_ID,0)),"?"))</f>
        <v/>
      </c>
      <c r="Y199" s="35" t="str">
        <f aca="false">IF($L199="","",IFERROR(INDEX(SUB_NOME,MATCH($L199,SUB_ID,0)),"?"))</f>
        <v/>
      </c>
      <c r="Z199" s="35" t="str">
        <f aca="false">IF($G199="","",IF($G199="EXTERNO","(Externo)",IFERROR(INDEX(ENT_NOME,MATCH($H199,ENT_ID,0)),"?")))</f>
        <v/>
      </c>
      <c r="AA199" s="35" t="str">
        <f aca="false">IF($I199="","",IF($I199="EXTERNO","(Externo)",IFERROR(INDEX(ENT_NOME,MATCH($J199,ENT_ID,0)),"?")))</f>
        <v/>
      </c>
      <c r="AB199" s="36" t="n">
        <f aca="false">IF($B199="",0,IF(AND($I199="CONTA",$G199&lt;&gt;"CONTA"),$F199,0))</f>
        <v>0</v>
      </c>
      <c r="AC199" s="36" t="n">
        <f aca="false">IF($B199="",0,IF(AND($G199="CONTA",$I199&lt;&gt;"CONTA"),$F199,0))</f>
        <v>0</v>
      </c>
      <c r="AD199" s="36" t="n">
        <f aca="false">IF($W199="RECEITA",$F199,0)</f>
        <v>0</v>
      </c>
      <c r="AE199" s="36" t="n">
        <f aca="false">IF($W199="DESPESA",$F199,0)</f>
        <v>0</v>
      </c>
      <c r="AF199" s="36" t="n">
        <f aca="false">IF($W199="RECEITA_FINANCEIRA",$F199,0)</f>
        <v>0</v>
      </c>
      <c r="AG199" s="36" t="n">
        <f aca="false">IF($B199="",0,IF($I199="CONTA",$F199,0)-IF($G199="CONTA",$F199,0))</f>
        <v>0</v>
      </c>
      <c r="AH199" s="36" t="n">
        <f aca="false">IF($B199="",0,IF($G199="CARTAO",$F199,0)-IF($I199="CARTAO",$F199,0))</f>
        <v>0</v>
      </c>
      <c r="AI199" s="36" t="n">
        <f aca="false">IF($B199="",0,IF($I199="INVESTIMENTO",$F199,0)-IF($G199="INVESTIMENTO",$F199,0))</f>
        <v>0</v>
      </c>
      <c r="AJ199" s="35" t="str">
        <f aca="false">IF($B199="","",IF(NOT(ISNUMBER($F199)),"ERRO: valor nao numerico",IF($F199&lt;=0,"ERRO: valor deve ser maior que zero",IF(COUNTIF(MAP_TIPO,$D199)=0,"ERRO: tipo de operacao nao cadastrado",IF(COUNTIF(LST_STATUS,$E199)=0,"ERRO: status invalido",IF(AND($G199="EXTERNO",$I199="EXTERNO"),"ERRO: origem e destino externos",IF(AND($G199&lt;&gt;"EXTERNO",COUNTIFS(ENT_ID,$H199,ENT_TIPO,$G199)=0),"ERRO: origem inexistente",IF(AND($I199&lt;&gt;"EXTERNO",COUNTIFS(ENT_ID,$J199,ENT_TIPO,$I199)=0),"ERRO: destino inexistente",IF(AND($K199&lt;&gt;"",COUNTIF(CAT_ID,$K199)=0),"ERRO: categoria inexistente",IF(AND($L199&lt;&gt;"",COUNTIF(SUB_ID,$L199)=0),"ERRO: subcategoria inexistente",IF(AND($L199&lt;&gt;"",$K199&lt;&gt;"",IFERROR(INDEX(SUB_CATID,MATCH($L199,SUB_ID,0)),"")&lt;&gt;$K199),"ERRO: subcategoria nao pertence a categoria",IF(AND($O199&lt;&gt;"",COUNTIF(P_ID,$O199)=0),"ERRO: parcela inexistente",IF(AND($N199&lt;&gt;"",COUNTIF(CM_ID,$N199)=0),"ERRO: compromisso inexistente","OK")))))))))))))</f>
        <v/>
      </c>
      <c r="AK199" s="35" t="str">
        <f aca="false">IF($B199="","",IF(AND($N199="",$O199="",$P199="",$Q199="",$R199=""),"","VINCULADO: "&amp;TRIM(IF($N199&lt;&gt;"",$N199&amp;" ","")&amp;IF($O199&lt;&gt;"",$O199&amp;" ","")&amp;IF($P199&lt;&gt;"",$P199&amp;" ","")&amp;IF($Q199&lt;&gt;"",$Q199&amp;" ","")&amp;IF($R199&lt;&gt;"",$R199,""))))</f>
        <v/>
      </c>
    </row>
    <row r="200" customFormat="false" ht="15" hidden="false" customHeight="false" outlineLevel="0" collapsed="false">
      <c r="A200" s="30" t="str">
        <f aca="false">IF($B200="","","LAN-"&amp;TEXT(ROW()-4,"000000"))</f>
        <v/>
      </c>
      <c r="B200" s="31"/>
      <c r="C200" s="32"/>
      <c r="D200" s="32"/>
      <c r="E200" s="32"/>
      <c r="F200" s="33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4" t="str">
        <f aca="false">IF($B200="","",YEAR($B200))</f>
        <v/>
      </c>
      <c r="U200" s="34" t="str">
        <f aca="false">IF($B200="","",MONTH($B200))</f>
        <v/>
      </c>
      <c r="V200" s="34" t="str">
        <f aca="false">IF($B200="","",YEAR($B200)*100+MONTH($B200))</f>
        <v/>
      </c>
      <c r="W200" s="35" t="str">
        <f aca="false">IF($D200="","",IFERROR(INDEX(MAP_CLASS,MATCH($D200,MAP_TIPO,0)),"TIPO INVALIDO"))</f>
        <v/>
      </c>
      <c r="X200" s="35" t="str">
        <f aca="false">IF($K200="","",IFERROR(INDEX(CAT_NOME,MATCH($K200,CAT_ID,0)),"?"))</f>
        <v/>
      </c>
      <c r="Y200" s="35" t="str">
        <f aca="false">IF($L200="","",IFERROR(INDEX(SUB_NOME,MATCH($L200,SUB_ID,0)),"?"))</f>
        <v/>
      </c>
      <c r="Z200" s="35" t="str">
        <f aca="false">IF($G200="","",IF($G200="EXTERNO","(Externo)",IFERROR(INDEX(ENT_NOME,MATCH($H200,ENT_ID,0)),"?")))</f>
        <v/>
      </c>
      <c r="AA200" s="35" t="str">
        <f aca="false">IF($I200="","",IF($I200="EXTERNO","(Externo)",IFERROR(INDEX(ENT_NOME,MATCH($J200,ENT_ID,0)),"?")))</f>
        <v/>
      </c>
      <c r="AB200" s="36" t="n">
        <f aca="false">IF($B200="",0,IF(AND($I200="CONTA",$G200&lt;&gt;"CONTA"),$F200,0))</f>
        <v>0</v>
      </c>
      <c r="AC200" s="36" t="n">
        <f aca="false">IF($B200="",0,IF(AND($G200="CONTA",$I200&lt;&gt;"CONTA"),$F200,0))</f>
        <v>0</v>
      </c>
      <c r="AD200" s="36" t="n">
        <f aca="false">IF($W200="RECEITA",$F200,0)</f>
        <v>0</v>
      </c>
      <c r="AE200" s="36" t="n">
        <f aca="false">IF($W200="DESPESA",$F200,0)</f>
        <v>0</v>
      </c>
      <c r="AF200" s="36" t="n">
        <f aca="false">IF($W200="RECEITA_FINANCEIRA",$F200,0)</f>
        <v>0</v>
      </c>
      <c r="AG200" s="36" t="n">
        <f aca="false">IF($B200="",0,IF($I200="CONTA",$F200,0)-IF($G200="CONTA",$F200,0))</f>
        <v>0</v>
      </c>
      <c r="AH200" s="36" t="n">
        <f aca="false">IF($B200="",0,IF($G200="CARTAO",$F200,0)-IF($I200="CARTAO",$F200,0))</f>
        <v>0</v>
      </c>
      <c r="AI200" s="36" t="n">
        <f aca="false">IF($B200="",0,IF($I200="INVESTIMENTO",$F200,0)-IF($G200="INVESTIMENTO",$F200,0))</f>
        <v>0</v>
      </c>
      <c r="AJ200" s="35" t="str">
        <f aca="false">IF($B200="","",IF(NOT(ISNUMBER($F200)),"ERRO: valor nao numerico",IF($F200&lt;=0,"ERRO: valor deve ser maior que zero",IF(COUNTIF(MAP_TIPO,$D200)=0,"ERRO: tipo de operacao nao cadastrado",IF(COUNTIF(LST_STATUS,$E200)=0,"ERRO: status invalido",IF(AND($G200="EXTERNO",$I200="EXTERNO"),"ERRO: origem e destino externos",IF(AND($G200&lt;&gt;"EXTERNO",COUNTIFS(ENT_ID,$H200,ENT_TIPO,$G200)=0),"ERRO: origem inexistente",IF(AND($I200&lt;&gt;"EXTERNO",COUNTIFS(ENT_ID,$J200,ENT_TIPO,$I200)=0),"ERRO: destino inexistente",IF(AND($K200&lt;&gt;"",COUNTIF(CAT_ID,$K200)=0),"ERRO: categoria inexistente",IF(AND($L200&lt;&gt;"",COUNTIF(SUB_ID,$L200)=0),"ERRO: subcategoria inexistente",IF(AND($L200&lt;&gt;"",$K200&lt;&gt;"",IFERROR(INDEX(SUB_CATID,MATCH($L200,SUB_ID,0)),"")&lt;&gt;$K200),"ERRO: subcategoria nao pertence a categoria",IF(AND($O200&lt;&gt;"",COUNTIF(P_ID,$O200)=0),"ERRO: parcela inexistente",IF(AND($N200&lt;&gt;"",COUNTIF(CM_ID,$N200)=0),"ERRO: compromisso inexistente","OK")))))))))))))</f>
        <v/>
      </c>
      <c r="AK200" s="35" t="str">
        <f aca="false">IF($B200="","",IF(AND($N200="",$O200="",$P200="",$Q200="",$R200=""),"","VINCULADO: "&amp;TRIM(IF($N200&lt;&gt;"",$N200&amp;" ","")&amp;IF($O200&lt;&gt;"",$O200&amp;" ","")&amp;IF($P200&lt;&gt;"",$P200&amp;" ","")&amp;IF($Q200&lt;&gt;"",$Q200&amp;" ","")&amp;IF($R200&lt;&gt;"",$R200,""))))</f>
        <v/>
      </c>
    </row>
    <row r="201" customFormat="false" ht="15" hidden="false" customHeight="false" outlineLevel="0" collapsed="false">
      <c r="A201" s="30" t="str">
        <f aca="false">IF($B201="","","LAN-"&amp;TEXT(ROW()-4,"000000"))</f>
        <v/>
      </c>
      <c r="B201" s="31"/>
      <c r="C201" s="32"/>
      <c r="D201" s="32"/>
      <c r="E201" s="32"/>
      <c r="F201" s="33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4" t="str">
        <f aca="false">IF($B201="","",YEAR($B201))</f>
        <v/>
      </c>
      <c r="U201" s="34" t="str">
        <f aca="false">IF($B201="","",MONTH($B201))</f>
        <v/>
      </c>
      <c r="V201" s="34" t="str">
        <f aca="false">IF($B201="","",YEAR($B201)*100+MONTH($B201))</f>
        <v/>
      </c>
      <c r="W201" s="35" t="str">
        <f aca="false">IF($D201="","",IFERROR(INDEX(MAP_CLASS,MATCH($D201,MAP_TIPO,0)),"TIPO INVALIDO"))</f>
        <v/>
      </c>
      <c r="X201" s="35" t="str">
        <f aca="false">IF($K201="","",IFERROR(INDEX(CAT_NOME,MATCH($K201,CAT_ID,0)),"?"))</f>
        <v/>
      </c>
      <c r="Y201" s="35" t="str">
        <f aca="false">IF($L201="","",IFERROR(INDEX(SUB_NOME,MATCH($L201,SUB_ID,0)),"?"))</f>
        <v/>
      </c>
      <c r="Z201" s="35" t="str">
        <f aca="false">IF($G201="","",IF($G201="EXTERNO","(Externo)",IFERROR(INDEX(ENT_NOME,MATCH($H201,ENT_ID,0)),"?")))</f>
        <v/>
      </c>
      <c r="AA201" s="35" t="str">
        <f aca="false">IF($I201="","",IF($I201="EXTERNO","(Externo)",IFERROR(INDEX(ENT_NOME,MATCH($J201,ENT_ID,0)),"?")))</f>
        <v/>
      </c>
      <c r="AB201" s="36" t="n">
        <f aca="false">IF($B201="",0,IF(AND($I201="CONTA",$G201&lt;&gt;"CONTA"),$F201,0))</f>
        <v>0</v>
      </c>
      <c r="AC201" s="36" t="n">
        <f aca="false">IF($B201="",0,IF(AND($G201="CONTA",$I201&lt;&gt;"CONTA"),$F201,0))</f>
        <v>0</v>
      </c>
      <c r="AD201" s="36" t="n">
        <f aca="false">IF($W201="RECEITA",$F201,0)</f>
        <v>0</v>
      </c>
      <c r="AE201" s="36" t="n">
        <f aca="false">IF($W201="DESPESA",$F201,0)</f>
        <v>0</v>
      </c>
      <c r="AF201" s="36" t="n">
        <f aca="false">IF($W201="RECEITA_FINANCEIRA",$F201,0)</f>
        <v>0</v>
      </c>
      <c r="AG201" s="36" t="n">
        <f aca="false">IF($B201="",0,IF($I201="CONTA",$F201,0)-IF($G201="CONTA",$F201,0))</f>
        <v>0</v>
      </c>
      <c r="AH201" s="36" t="n">
        <f aca="false">IF($B201="",0,IF($G201="CARTAO",$F201,0)-IF($I201="CARTAO",$F201,0))</f>
        <v>0</v>
      </c>
      <c r="AI201" s="36" t="n">
        <f aca="false">IF($B201="",0,IF($I201="INVESTIMENTO",$F201,0)-IF($G201="INVESTIMENTO",$F201,0))</f>
        <v>0</v>
      </c>
      <c r="AJ201" s="35" t="str">
        <f aca="false">IF($B201="","",IF(NOT(ISNUMBER($F201)),"ERRO: valor nao numerico",IF($F201&lt;=0,"ERRO: valor deve ser maior que zero",IF(COUNTIF(MAP_TIPO,$D201)=0,"ERRO: tipo de operacao nao cadastrado",IF(COUNTIF(LST_STATUS,$E201)=0,"ERRO: status invalido",IF(AND($G201="EXTERNO",$I201="EXTERNO"),"ERRO: origem e destino externos",IF(AND($G201&lt;&gt;"EXTERNO",COUNTIFS(ENT_ID,$H201,ENT_TIPO,$G201)=0),"ERRO: origem inexistente",IF(AND($I201&lt;&gt;"EXTERNO",COUNTIFS(ENT_ID,$J201,ENT_TIPO,$I201)=0),"ERRO: destino inexistente",IF(AND($K201&lt;&gt;"",COUNTIF(CAT_ID,$K201)=0),"ERRO: categoria inexistente",IF(AND($L201&lt;&gt;"",COUNTIF(SUB_ID,$L201)=0),"ERRO: subcategoria inexistente",IF(AND($L201&lt;&gt;"",$K201&lt;&gt;"",IFERROR(INDEX(SUB_CATID,MATCH($L201,SUB_ID,0)),"")&lt;&gt;$K201),"ERRO: subcategoria nao pertence a categoria",IF(AND($O201&lt;&gt;"",COUNTIF(P_ID,$O201)=0),"ERRO: parcela inexistente",IF(AND($N201&lt;&gt;"",COUNTIF(CM_ID,$N201)=0),"ERRO: compromisso inexistente","OK")))))))))))))</f>
        <v/>
      </c>
      <c r="AK201" s="35" t="str">
        <f aca="false">IF($B201="","",IF(AND($N201="",$O201="",$P201="",$Q201="",$R201=""),"","VINCULADO: "&amp;TRIM(IF($N201&lt;&gt;"",$N201&amp;" ","")&amp;IF($O201&lt;&gt;"",$O201&amp;" ","")&amp;IF($P201&lt;&gt;"",$P201&amp;" ","")&amp;IF($Q201&lt;&gt;"",$Q201&amp;" ","")&amp;IF($R201&lt;&gt;"",$R201,""))))</f>
        <v/>
      </c>
    </row>
    <row r="202" customFormat="false" ht="15" hidden="false" customHeight="false" outlineLevel="0" collapsed="false">
      <c r="A202" s="30" t="str">
        <f aca="false">IF($B202="","","LAN-"&amp;TEXT(ROW()-4,"000000"))</f>
        <v/>
      </c>
      <c r="B202" s="31"/>
      <c r="C202" s="32"/>
      <c r="D202" s="32"/>
      <c r="E202" s="32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4" t="str">
        <f aca="false">IF($B202="","",YEAR($B202))</f>
        <v/>
      </c>
      <c r="U202" s="34" t="str">
        <f aca="false">IF($B202="","",MONTH($B202))</f>
        <v/>
      </c>
      <c r="V202" s="34" t="str">
        <f aca="false">IF($B202="","",YEAR($B202)*100+MONTH($B202))</f>
        <v/>
      </c>
      <c r="W202" s="35" t="str">
        <f aca="false">IF($D202="","",IFERROR(INDEX(MAP_CLASS,MATCH($D202,MAP_TIPO,0)),"TIPO INVALIDO"))</f>
        <v/>
      </c>
      <c r="X202" s="35" t="str">
        <f aca="false">IF($K202="","",IFERROR(INDEX(CAT_NOME,MATCH($K202,CAT_ID,0)),"?"))</f>
        <v/>
      </c>
      <c r="Y202" s="35" t="str">
        <f aca="false">IF($L202="","",IFERROR(INDEX(SUB_NOME,MATCH($L202,SUB_ID,0)),"?"))</f>
        <v/>
      </c>
      <c r="Z202" s="35" t="str">
        <f aca="false">IF($G202="","",IF($G202="EXTERNO","(Externo)",IFERROR(INDEX(ENT_NOME,MATCH($H202,ENT_ID,0)),"?")))</f>
        <v/>
      </c>
      <c r="AA202" s="35" t="str">
        <f aca="false">IF($I202="","",IF($I202="EXTERNO","(Externo)",IFERROR(INDEX(ENT_NOME,MATCH($J202,ENT_ID,0)),"?")))</f>
        <v/>
      </c>
      <c r="AB202" s="36" t="n">
        <f aca="false">IF($B202="",0,IF(AND($I202="CONTA",$G202&lt;&gt;"CONTA"),$F202,0))</f>
        <v>0</v>
      </c>
      <c r="AC202" s="36" t="n">
        <f aca="false">IF($B202="",0,IF(AND($G202="CONTA",$I202&lt;&gt;"CONTA"),$F202,0))</f>
        <v>0</v>
      </c>
      <c r="AD202" s="36" t="n">
        <f aca="false">IF($W202="RECEITA",$F202,0)</f>
        <v>0</v>
      </c>
      <c r="AE202" s="36" t="n">
        <f aca="false">IF($W202="DESPESA",$F202,0)</f>
        <v>0</v>
      </c>
      <c r="AF202" s="36" t="n">
        <f aca="false">IF($W202="RECEITA_FINANCEIRA",$F202,0)</f>
        <v>0</v>
      </c>
      <c r="AG202" s="36" t="n">
        <f aca="false">IF($B202="",0,IF($I202="CONTA",$F202,0)-IF($G202="CONTA",$F202,0))</f>
        <v>0</v>
      </c>
      <c r="AH202" s="36" t="n">
        <f aca="false">IF($B202="",0,IF($G202="CARTAO",$F202,0)-IF($I202="CARTAO",$F202,0))</f>
        <v>0</v>
      </c>
      <c r="AI202" s="36" t="n">
        <f aca="false">IF($B202="",0,IF($I202="INVESTIMENTO",$F202,0)-IF($G202="INVESTIMENTO",$F202,0))</f>
        <v>0</v>
      </c>
      <c r="AJ202" s="35" t="str">
        <f aca="false">IF($B202="","",IF(NOT(ISNUMBER($F202)),"ERRO: valor nao numerico",IF($F202&lt;=0,"ERRO: valor deve ser maior que zero",IF(COUNTIF(MAP_TIPO,$D202)=0,"ERRO: tipo de operacao nao cadastrado",IF(COUNTIF(LST_STATUS,$E202)=0,"ERRO: status invalido",IF(AND($G202="EXTERNO",$I202="EXTERNO"),"ERRO: origem e destino externos",IF(AND($G202&lt;&gt;"EXTERNO",COUNTIFS(ENT_ID,$H202,ENT_TIPO,$G202)=0),"ERRO: origem inexistente",IF(AND($I202&lt;&gt;"EXTERNO",COUNTIFS(ENT_ID,$J202,ENT_TIPO,$I202)=0),"ERRO: destino inexistente",IF(AND($K202&lt;&gt;"",COUNTIF(CAT_ID,$K202)=0),"ERRO: categoria inexistente",IF(AND($L202&lt;&gt;"",COUNTIF(SUB_ID,$L202)=0),"ERRO: subcategoria inexistente",IF(AND($L202&lt;&gt;"",$K202&lt;&gt;"",IFERROR(INDEX(SUB_CATID,MATCH($L202,SUB_ID,0)),"")&lt;&gt;$K202),"ERRO: subcategoria nao pertence a categoria",IF(AND($O202&lt;&gt;"",COUNTIF(P_ID,$O202)=0),"ERRO: parcela inexistente",IF(AND($N202&lt;&gt;"",COUNTIF(CM_ID,$N202)=0),"ERRO: compromisso inexistente","OK")))))))))))))</f>
        <v/>
      </c>
      <c r="AK202" s="35" t="str">
        <f aca="false">IF($B202="","",IF(AND($N202="",$O202="",$P202="",$Q202="",$R202=""),"","VINCULADO: "&amp;TRIM(IF($N202&lt;&gt;"",$N202&amp;" ","")&amp;IF($O202&lt;&gt;"",$O202&amp;" ","")&amp;IF($P202&lt;&gt;"",$P202&amp;" ","")&amp;IF($Q202&lt;&gt;"",$Q202&amp;" ","")&amp;IF($R202&lt;&gt;"",$R202,""))))</f>
        <v/>
      </c>
    </row>
    <row r="203" customFormat="false" ht="15" hidden="false" customHeight="false" outlineLevel="0" collapsed="false">
      <c r="A203" s="30" t="str">
        <f aca="false">IF($B203="","","LAN-"&amp;TEXT(ROW()-4,"000000"))</f>
        <v/>
      </c>
      <c r="B203" s="31"/>
      <c r="C203" s="32"/>
      <c r="D203" s="32"/>
      <c r="E203" s="32"/>
      <c r="F203" s="33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4" t="str">
        <f aca="false">IF($B203="","",YEAR($B203))</f>
        <v/>
      </c>
      <c r="U203" s="34" t="str">
        <f aca="false">IF($B203="","",MONTH($B203))</f>
        <v/>
      </c>
      <c r="V203" s="34" t="str">
        <f aca="false">IF($B203="","",YEAR($B203)*100+MONTH($B203))</f>
        <v/>
      </c>
      <c r="W203" s="35" t="str">
        <f aca="false">IF($D203="","",IFERROR(INDEX(MAP_CLASS,MATCH($D203,MAP_TIPO,0)),"TIPO INVALIDO"))</f>
        <v/>
      </c>
      <c r="X203" s="35" t="str">
        <f aca="false">IF($K203="","",IFERROR(INDEX(CAT_NOME,MATCH($K203,CAT_ID,0)),"?"))</f>
        <v/>
      </c>
      <c r="Y203" s="35" t="str">
        <f aca="false">IF($L203="","",IFERROR(INDEX(SUB_NOME,MATCH($L203,SUB_ID,0)),"?"))</f>
        <v/>
      </c>
      <c r="Z203" s="35" t="str">
        <f aca="false">IF($G203="","",IF($G203="EXTERNO","(Externo)",IFERROR(INDEX(ENT_NOME,MATCH($H203,ENT_ID,0)),"?")))</f>
        <v/>
      </c>
      <c r="AA203" s="35" t="str">
        <f aca="false">IF($I203="","",IF($I203="EXTERNO","(Externo)",IFERROR(INDEX(ENT_NOME,MATCH($J203,ENT_ID,0)),"?")))</f>
        <v/>
      </c>
      <c r="AB203" s="36" t="n">
        <f aca="false">IF($B203="",0,IF(AND($I203="CONTA",$G203&lt;&gt;"CONTA"),$F203,0))</f>
        <v>0</v>
      </c>
      <c r="AC203" s="36" t="n">
        <f aca="false">IF($B203="",0,IF(AND($G203="CONTA",$I203&lt;&gt;"CONTA"),$F203,0))</f>
        <v>0</v>
      </c>
      <c r="AD203" s="36" t="n">
        <f aca="false">IF($W203="RECEITA",$F203,0)</f>
        <v>0</v>
      </c>
      <c r="AE203" s="36" t="n">
        <f aca="false">IF($W203="DESPESA",$F203,0)</f>
        <v>0</v>
      </c>
      <c r="AF203" s="36" t="n">
        <f aca="false">IF($W203="RECEITA_FINANCEIRA",$F203,0)</f>
        <v>0</v>
      </c>
      <c r="AG203" s="36" t="n">
        <f aca="false">IF($B203="",0,IF($I203="CONTA",$F203,0)-IF($G203="CONTA",$F203,0))</f>
        <v>0</v>
      </c>
      <c r="AH203" s="36" t="n">
        <f aca="false">IF($B203="",0,IF($G203="CARTAO",$F203,0)-IF($I203="CARTAO",$F203,0))</f>
        <v>0</v>
      </c>
      <c r="AI203" s="36" t="n">
        <f aca="false">IF($B203="",0,IF($I203="INVESTIMENTO",$F203,0)-IF($G203="INVESTIMENTO",$F203,0))</f>
        <v>0</v>
      </c>
      <c r="AJ203" s="35" t="str">
        <f aca="false">IF($B203="","",IF(NOT(ISNUMBER($F203)),"ERRO: valor nao numerico",IF($F203&lt;=0,"ERRO: valor deve ser maior que zero",IF(COUNTIF(MAP_TIPO,$D203)=0,"ERRO: tipo de operacao nao cadastrado",IF(COUNTIF(LST_STATUS,$E203)=0,"ERRO: status invalido",IF(AND($G203="EXTERNO",$I203="EXTERNO"),"ERRO: origem e destino externos",IF(AND($G203&lt;&gt;"EXTERNO",COUNTIFS(ENT_ID,$H203,ENT_TIPO,$G203)=0),"ERRO: origem inexistente",IF(AND($I203&lt;&gt;"EXTERNO",COUNTIFS(ENT_ID,$J203,ENT_TIPO,$I203)=0),"ERRO: destino inexistente",IF(AND($K203&lt;&gt;"",COUNTIF(CAT_ID,$K203)=0),"ERRO: categoria inexistente",IF(AND($L203&lt;&gt;"",COUNTIF(SUB_ID,$L203)=0),"ERRO: subcategoria inexistente",IF(AND($L203&lt;&gt;"",$K203&lt;&gt;"",IFERROR(INDEX(SUB_CATID,MATCH($L203,SUB_ID,0)),"")&lt;&gt;$K203),"ERRO: subcategoria nao pertence a categoria",IF(AND($O203&lt;&gt;"",COUNTIF(P_ID,$O203)=0),"ERRO: parcela inexistente",IF(AND($N203&lt;&gt;"",COUNTIF(CM_ID,$N203)=0),"ERRO: compromisso inexistente","OK")))))))))))))</f>
        <v/>
      </c>
      <c r="AK203" s="35" t="str">
        <f aca="false">IF($B203="","",IF(AND($N203="",$O203="",$P203="",$Q203="",$R203=""),"","VINCULADO: "&amp;TRIM(IF($N203&lt;&gt;"",$N203&amp;" ","")&amp;IF($O203&lt;&gt;"",$O203&amp;" ","")&amp;IF($P203&lt;&gt;"",$P203&amp;" ","")&amp;IF($Q203&lt;&gt;"",$Q203&amp;" ","")&amp;IF($R203&lt;&gt;"",$R203,""))))</f>
        <v/>
      </c>
    </row>
    <row r="204" customFormat="false" ht="15" hidden="false" customHeight="false" outlineLevel="0" collapsed="false">
      <c r="A204" s="30" t="str">
        <f aca="false">IF($B204="","","LAN-"&amp;TEXT(ROW()-4,"000000"))</f>
        <v/>
      </c>
      <c r="B204" s="31"/>
      <c r="C204" s="32"/>
      <c r="D204" s="32"/>
      <c r="E204" s="32"/>
      <c r="F204" s="33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4" t="str">
        <f aca="false">IF($B204="","",YEAR($B204))</f>
        <v/>
      </c>
      <c r="U204" s="34" t="str">
        <f aca="false">IF($B204="","",MONTH($B204))</f>
        <v/>
      </c>
      <c r="V204" s="34" t="str">
        <f aca="false">IF($B204="","",YEAR($B204)*100+MONTH($B204))</f>
        <v/>
      </c>
      <c r="W204" s="35" t="str">
        <f aca="false">IF($D204="","",IFERROR(INDEX(MAP_CLASS,MATCH($D204,MAP_TIPO,0)),"TIPO INVALIDO"))</f>
        <v/>
      </c>
      <c r="X204" s="35" t="str">
        <f aca="false">IF($K204="","",IFERROR(INDEX(CAT_NOME,MATCH($K204,CAT_ID,0)),"?"))</f>
        <v/>
      </c>
      <c r="Y204" s="35" t="str">
        <f aca="false">IF($L204="","",IFERROR(INDEX(SUB_NOME,MATCH($L204,SUB_ID,0)),"?"))</f>
        <v/>
      </c>
      <c r="Z204" s="35" t="str">
        <f aca="false">IF($G204="","",IF($G204="EXTERNO","(Externo)",IFERROR(INDEX(ENT_NOME,MATCH($H204,ENT_ID,0)),"?")))</f>
        <v/>
      </c>
      <c r="AA204" s="35" t="str">
        <f aca="false">IF($I204="","",IF($I204="EXTERNO","(Externo)",IFERROR(INDEX(ENT_NOME,MATCH($J204,ENT_ID,0)),"?")))</f>
        <v/>
      </c>
      <c r="AB204" s="36" t="n">
        <f aca="false">IF($B204="",0,IF(AND($I204="CONTA",$G204&lt;&gt;"CONTA"),$F204,0))</f>
        <v>0</v>
      </c>
      <c r="AC204" s="36" t="n">
        <f aca="false">IF($B204="",0,IF(AND($G204="CONTA",$I204&lt;&gt;"CONTA"),$F204,0))</f>
        <v>0</v>
      </c>
      <c r="AD204" s="36" t="n">
        <f aca="false">IF($W204="RECEITA",$F204,0)</f>
        <v>0</v>
      </c>
      <c r="AE204" s="36" t="n">
        <f aca="false">IF($W204="DESPESA",$F204,0)</f>
        <v>0</v>
      </c>
      <c r="AF204" s="36" t="n">
        <f aca="false">IF($W204="RECEITA_FINANCEIRA",$F204,0)</f>
        <v>0</v>
      </c>
      <c r="AG204" s="36" t="n">
        <f aca="false">IF($B204="",0,IF($I204="CONTA",$F204,0)-IF($G204="CONTA",$F204,0))</f>
        <v>0</v>
      </c>
      <c r="AH204" s="36" t="n">
        <f aca="false">IF($B204="",0,IF($G204="CARTAO",$F204,0)-IF($I204="CARTAO",$F204,0))</f>
        <v>0</v>
      </c>
      <c r="AI204" s="36" t="n">
        <f aca="false">IF($B204="",0,IF($I204="INVESTIMENTO",$F204,0)-IF($G204="INVESTIMENTO",$F204,0))</f>
        <v>0</v>
      </c>
      <c r="AJ204" s="35" t="str">
        <f aca="false">IF($B204="","",IF(NOT(ISNUMBER($F204)),"ERRO: valor nao numerico",IF($F204&lt;=0,"ERRO: valor deve ser maior que zero",IF(COUNTIF(MAP_TIPO,$D204)=0,"ERRO: tipo de operacao nao cadastrado",IF(COUNTIF(LST_STATUS,$E204)=0,"ERRO: status invalido",IF(AND($G204="EXTERNO",$I204="EXTERNO"),"ERRO: origem e destino externos",IF(AND($G204&lt;&gt;"EXTERNO",COUNTIFS(ENT_ID,$H204,ENT_TIPO,$G204)=0),"ERRO: origem inexistente",IF(AND($I204&lt;&gt;"EXTERNO",COUNTIFS(ENT_ID,$J204,ENT_TIPO,$I204)=0),"ERRO: destino inexistente",IF(AND($K204&lt;&gt;"",COUNTIF(CAT_ID,$K204)=0),"ERRO: categoria inexistente",IF(AND($L204&lt;&gt;"",COUNTIF(SUB_ID,$L204)=0),"ERRO: subcategoria inexistente",IF(AND($L204&lt;&gt;"",$K204&lt;&gt;"",IFERROR(INDEX(SUB_CATID,MATCH($L204,SUB_ID,0)),"")&lt;&gt;$K204),"ERRO: subcategoria nao pertence a categoria",IF(AND($O204&lt;&gt;"",COUNTIF(P_ID,$O204)=0),"ERRO: parcela inexistente",IF(AND($N204&lt;&gt;"",COUNTIF(CM_ID,$N204)=0),"ERRO: compromisso inexistente","OK")))))))))))))</f>
        <v/>
      </c>
      <c r="AK204" s="35" t="str">
        <f aca="false">IF($B204="","",IF(AND($N204="",$O204="",$P204="",$Q204="",$R204=""),"","VINCULADO: "&amp;TRIM(IF($N204&lt;&gt;"",$N204&amp;" ","")&amp;IF($O204&lt;&gt;"",$O204&amp;" ","")&amp;IF($P204&lt;&gt;"",$P204&amp;" ","")&amp;IF($Q204&lt;&gt;"",$Q204&amp;" ","")&amp;IF($R204&lt;&gt;"",$R204,""))))</f>
        <v/>
      </c>
    </row>
    <row r="205" customFormat="false" ht="15" hidden="false" customHeight="false" outlineLevel="0" collapsed="false">
      <c r="A205" s="30" t="str">
        <f aca="false">IF($B205="","","LAN-"&amp;TEXT(ROW()-4,"000000"))</f>
        <v/>
      </c>
      <c r="B205" s="31"/>
      <c r="C205" s="32"/>
      <c r="D205" s="32"/>
      <c r="E205" s="32"/>
      <c r="F205" s="33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4" t="str">
        <f aca="false">IF($B205="","",YEAR($B205))</f>
        <v/>
      </c>
      <c r="U205" s="34" t="str">
        <f aca="false">IF($B205="","",MONTH($B205))</f>
        <v/>
      </c>
      <c r="V205" s="34" t="str">
        <f aca="false">IF($B205="","",YEAR($B205)*100+MONTH($B205))</f>
        <v/>
      </c>
      <c r="W205" s="35" t="str">
        <f aca="false">IF($D205="","",IFERROR(INDEX(MAP_CLASS,MATCH($D205,MAP_TIPO,0)),"TIPO INVALIDO"))</f>
        <v/>
      </c>
      <c r="X205" s="35" t="str">
        <f aca="false">IF($K205="","",IFERROR(INDEX(CAT_NOME,MATCH($K205,CAT_ID,0)),"?"))</f>
        <v/>
      </c>
      <c r="Y205" s="35" t="str">
        <f aca="false">IF($L205="","",IFERROR(INDEX(SUB_NOME,MATCH($L205,SUB_ID,0)),"?"))</f>
        <v/>
      </c>
      <c r="Z205" s="35" t="str">
        <f aca="false">IF($G205="","",IF($G205="EXTERNO","(Externo)",IFERROR(INDEX(ENT_NOME,MATCH($H205,ENT_ID,0)),"?")))</f>
        <v/>
      </c>
      <c r="AA205" s="35" t="str">
        <f aca="false">IF($I205="","",IF($I205="EXTERNO","(Externo)",IFERROR(INDEX(ENT_NOME,MATCH($J205,ENT_ID,0)),"?")))</f>
        <v/>
      </c>
      <c r="AB205" s="36" t="n">
        <f aca="false">IF($B205="",0,IF(AND($I205="CONTA",$G205&lt;&gt;"CONTA"),$F205,0))</f>
        <v>0</v>
      </c>
      <c r="AC205" s="36" t="n">
        <f aca="false">IF($B205="",0,IF(AND($G205="CONTA",$I205&lt;&gt;"CONTA"),$F205,0))</f>
        <v>0</v>
      </c>
      <c r="AD205" s="36" t="n">
        <f aca="false">IF($W205="RECEITA",$F205,0)</f>
        <v>0</v>
      </c>
      <c r="AE205" s="36" t="n">
        <f aca="false">IF($W205="DESPESA",$F205,0)</f>
        <v>0</v>
      </c>
      <c r="AF205" s="36" t="n">
        <f aca="false">IF($W205="RECEITA_FINANCEIRA",$F205,0)</f>
        <v>0</v>
      </c>
      <c r="AG205" s="36" t="n">
        <f aca="false">IF($B205="",0,IF($I205="CONTA",$F205,0)-IF($G205="CONTA",$F205,0))</f>
        <v>0</v>
      </c>
      <c r="AH205" s="36" t="n">
        <f aca="false">IF($B205="",0,IF($G205="CARTAO",$F205,0)-IF($I205="CARTAO",$F205,0))</f>
        <v>0</v>
      </c>
      <c r="AI205" s="36" t="n">
        <f aca="false">IF($B205="",0,IF($I205="INVESTIMENTO",$F205,0)-IF($G205="INVESTIMENTO",$F205,0))</f>
        <v>0</v>
      </c>
      <c r="AJ205" s="35" t="str">
        <f aca="false">IF($B205="","",IF(NOT(ISNUMBER($F205)),"ERRO: valor nao numerico",IF($F205&lt;=0,"ERRO: valor deve ser maior que zero",IF(COUNTIF(MAP_TIPO,$D205)=0,"ERRO: tipo de operacao nao cadastrado",IF(COUNTIF(LST_STATUS,$E205)=0,"ERRO: status invalido",IF(AND($G205="EXTERNO",$I205="EXTERNO"),"ERRO: origem e destino externos",IF(AND($G205&lt;&gt;"EXTERNO",COUNTIFS(ENT_ID,$H205,ENT_TIPO,$G205)=0),"ERRO: origem inexistente",IF(AND($I205&lt;&gt;"EXTERNO",COUNTIFS(ENT_ID,$J205,ENT_TIPO,$I205)=0),"ERRO: destino inexistente",IF(AND($K205&lt;&gt;"",COUNTIF(CAT_ID,$K205)=0),"ERRO: categoria inexistente",IF(AND($L205&lt;&gt;"",COUNTIF(SUB_ID,$L205)=0),"ERRO: subcategoria inexistente",IF(AND($L205&lt;&gt;"",$K205&lt;&gt;"",IFERROR(INDEX(SUB_CATID,MATCH($L205,SUB_ID,0)),"")&lt;&gt;$K205),"ERRO: subcategoria nao pertence a categoria",IF(AND($O205&lt;&gt;"",COUNTIF(P_ID,$O205)=0),"ERRO: parcela inexistente",IF(AND($N205&lt;&gt;"",COUNTIF(CM_ID,$N205)=0),"ERRO: compromisso inexistente","OK")))))))))))))</f>
        <v/>
      </c>
      <c r="AK205" s="35" t="str">
        <f aca="false">IF($B205="","",IF(AND($N205="",$O205="",$P205="",$Q205="",$R205=""),"","VINCULADO: "&amp;TRIM(IF($N205&lt;&gt;"",$N205&amp;" ","")&amp;IF($O205&lt;&gt;"",$O205&amp;" ","")&amp;IF($P205&lt;&gt;"",$P205&amp;" ","")&amp;IF($Q205&lt;&gt;"",$Q205&amp;" ","")&amp;IF($R205&lt;&gt;"",$R205,""))))</f>
        <v/>
      </c>
    </row>
    <row r="206" customFormat="false" ht="15" hidden="false" customHeight="false" outlineLevel="0" collapsed="false">
      <c r="A206" s="30" t="str">
        <f aca="false">IF($B206="","","LAN-"&amp;TEXT(ROW()-4,"000000"))</f>
        <v/>
      </c>
      <c r="B206" s="31"/>
      <c r="C206" s="32"/>
      <c r="D206" s="32"/>
      <c r="E206" s="32"/>
      <c r="F206" s="33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4" t="str">
        <f aca="false">IF($B206="","",YEAR($B206))</f>
        <v/>
      </c>
      <c r="U206" s="34" t="str">
        <f aca="false">IF($B206="","",MONTH($B206))</f>
        <v/>
      </c>
      <c r="V206" s="34" t="str">
        <f aca="false">IF($B206="","",YEAR($B206)*100+MONTH($B206))</f>
        <v/>
      </c>
      <c r="W206" s="35" t="str">
        <f aca="false">IF($D206="","",IFERROR(INDEX(MAP_CLASS,MATCH($D206,MAP_TIPO,0)),"TIPO INVALIDO"))</f>
        <v/>
      </c>
      <c r="X206" s="35" t="str">
        <f aca="false">IF($K206="","",IFERROR(INDEX(CAT_NOME,MATCH($K206,CAT_ID,0)),"?"))</f>
        <v/>
      </c>
      <c r="Y206" s="35" t="str">
        <f aca="false">IF($L206="","",IFERROR(INDEX(SUB_NOME,MATCH($L206,SUB_ID,0)),"?"))</f>
        <v/>
      </c>
      <c r="Z206" s="35" t="str">
        <f aca="false">IF($G206="","",IF($G206="EXTERNO","(Externo)",IFERROR(INDEX(ENT_NOME,MATCH($H206,ENT_ID,0)),"?")))</f>
        <v/>
      </c>
      <c r="AA206" s="35" t="str">
        <f aca="false">IF($I206="","",IF($I206="EXTERNO","(Externo)",IFERROR(INDEX(ENT_NOME,MATCH($J206,ENT_ID,0)),"?")))</f>
        <v/>
      </c>
      <c r="AB206" s="36" t="n">
        <f aca="false">IF($B206="",0,IF(AND($I206="CONTA",$G206&lt;&gt;"CONTA"),$F206,0))</f>
        <v>0</v>
      </c>
      <c r="AC206" s="36" t="n">
        <f aca="false">IF($B206="",0,IF(AND($G206="CONTA",$I206&lt;&gt;"CONTA"),$F206,0))</f>
        <v>0</v>
      </c>
      <c r="AD206" s="36" t="n">
        <f aca="false">IF($W206="RECEITA",$F206,0)</f>
        <v>0</v>
      </c>
      <c r="AE206" s="36" t="n">
        <f aca="false">IF($W206="DESPESA",$F206,0)</f>
        <v>0</v>
      </c>
      <c r="AF206" s="36" t="n">
        <f aca="false">IF($W206="RECEITA_FINANCEIRA",$F206,0)</f>
        <v>0</v>
      </c>
      <c r="AG206" s="36" t="n">
        <f aca="false">IF($B206="",0,IF($I206="CONTA",$F206,0)-IF($G206="CONTA",$F206,0))</f>
        <v>0</v>
      </c>
      <c r="AH206" s="36" t="n">
        <f aca="false">IF($B206="",0,IF($G206="CARTAO",$F206,0)-IF($I206="CARTAO",$F206,0))</f>
        <v>0</v>
      </c>
      <c r="AI206" s="36" t="n">
        <f aca="false">IF($B206="",0,IF($I206="INVESTIMENTO",$F206,0)-IF($G206="INVESTIMENTO",$F206,0))</f>
        <v>0</v>
      </c>
      <c r="AJ206" s="35" t="str">
        <f aca="false">IF($B206="","",IF(NOT(ISNUMBER($F206)),"ERRO: valor nao numerico",IF($F206&lt;=0,"ERRO: valor deve ser maior que zero",IF(COUNTIF(MAP_TIPO,$D206)=0,"ERRO: tipo de operacao nao cadastrado",IF(COUNTIF(LST_STATUS,$E206)=0,"ERRO: status invalido",IF(AND($G206="EXTERNO",$I206="EXTERNO"),"ERRO: origem e destino externos",IF(AND($G206&lt;&gt;"EXTERNO",COUNTIFS(ENT_ID,$H206,ENT_TIPO,$G206)=0),"ERRO: origem inexistente",IF(AND($I206&lt;&gt;"EXTERNO",COUNTIFS(ENT_ID,$J206,ENT_TIPO,$I206)=0),"ERRO: destino inexistente",IF(AND($K206&lt;&gt;"",COUNTIF(CAT_ID,$K206)=0),"ERRO: categoria inexistente",IF(AND($L206&lt;&gt;"",COUNTIF(SUB_ID,$L206)=0),"ERRO: subcategoria inexistente",IF(AND($L206&lt;&gt;"",$K206&lt;&gt;"",IFERROR(INDEX(SUB_CATID,MATCH($L206,SUB_ID,0)),"")&lt;&gt;$K206),"ERRO: subcategoria nao pertence a categoria",IF(AND($O206&lt;&gt;"",COUNTIF(P_ID,$O206)=0),"ERRO: parcela inexistente",IF(AND($N206&lt;&gt;"",COUNTIF(CM_ID,$N206)=0),"ERRO: compromisso inexistente","OK")))))))))))))</f>
        <v/>
      </c>
      <c r="AK206" s="35" t="str">
        <f aca="false">IF($B206="","",IF(AND($N206="",$O206="",$P206="",$Q206="",$R206=""),"","VINCULADO: "&amp;TRIM(IF($N206&lt;&gt;"",$N206&amp;" ","")&amp;IF($O206&lt;&gt;"",$O206&amp;" ","")&amp;IF($P206&lt;&gt;"",$P206&amp;" ","")&amp;IF($Q206&lt;&gt;"",$Q206&amp;" ","")&amp;IF($R206&lt;&gt;"",$R206,""))))</f>
        <v/>
      </c>
    </row>
    <row r="207" customFormat="false" ht="15" hidden="false" customHeight="false" outlineLevel="0" collapsed="false">
      <c r="A207" s="30" t="str">
        <f aca="false">IF($B207="","","LAN-"&amp;TEXT(ROW()-4,"000000"))</f>
        <v/>
      </c>
      <c r="B207" s="31"/>
      <c r="C207" s="32"/>
      <c r="D207" s="32"/>
      <c r="E207" s="32"/>
      <c r="F207" s="33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4" t="str">
        <f aca="false">IF($B207="","",YEAR($B207))</f>
        <v/>
      </c>
      <c r="U207" s="34" t="str">
        <f aca="false">IF($B207="","",MONTH($B207))</f>
        <v/>
      </c>
      <c r="V207" s="34" t="str">
        <f aca="false">IF($B207="","",YEAR($B207)*100+MONTH($B207))</f>
        <v/>
      </c>
      <c r="W207" s="35" t="str">
        <f aca="false">IF($D207="","",IFERROR(INDEX(MAP_CLASS,MATCH($D207,MAP_TIPO,0)),"TIPO INVALIDO"))</f>
        <v/>
      </c>
      <c r="X207" s="35" t="str">
        <f aca="false">IF($K207="","",IFERROR(INDEX(CAT_NOME,MATCH($K207,CAT_ID,0)),"?"))</f>
        <v/>
      </c>
      <c r="Y207" s="35" t="str">
        <f aca="false">IF($L207="","",IFERROR(INDEX(SUB_NOME,MATCH($L207,SUB_ID,0)),"?"))</f>
        <v/>
      </c>
      <c r="Z207" s="35" t="str">
        <f aca="false">IF($G207="","",IF($G207="EXTERNO","(Externo)",IFERROR(INDEX(ENT_NOME,MATCH($H207,ENT_ID,0)),"?")))</f>
        <v/>
      </c>
      <c r="AA207" s="35" t="str">
        <f aca="false">IF($I207="","",IF($I207="EXTERNO","(Externo)",IFERROR(INDEX(ENT_NOME,MATCH($J207,ENT_ID,0)),"?")))</f>
        <v/>
      </c>
      <c r="AB207" s="36" t="n">
        <f aca="false">IF($B207="",0,IF(AND($I207="CONTA",$G207&lt;&gt;"CONTA"),$F207,0))</f>
        <v>0</v>
      </c>
      <c r="AC207" s="36" t="n">
        <f aca="false">IF($B207="",0,IF(AND($G207="CONTA",$I207&lt;&gt;"CONTA"),$F207,0))</f>
        <v>0</v>
      </c>
      <c r="AD207" s="36" t="n">
        <f aca="false">IF($W207="RECEITA",$F207,0)</f>
        <v>0</v>
      </c>
      <c r="AE207" s="36" t="n">
        <f aca="false">IF($W207="DESPESA",$F207,0)</f>
        <v>0</v>
      </c>
      <c r="AF207" s="36" t="n">
        <f aca="false">IF($W207="RECEITA_FINANCEIRA",$F207,0)</f>
        <v>0</v>
      </c>
      <c r="AG207" s="36" t="n">
        <f aca="false">IF($B207="",0,IF($I207="CONTA",$F207,0)-IF($G207="CONTA",$F207,0))</f>
        <v>0</v>
      </c>
      <c r="AH207" s="36" t="n">
        <f aca="false">IF($B207="",0,IF($G207="CARTAO",$F207,0)-IF($I207="CARTAO",$F207,0))</f>
        <v>0</v>
      </c>
      <c r="AI207" s="36" t="n">
        <f aca="false">IF($B207="",0,IF($I207="INVESTIMENTO",$F207,0)-IF($G207="INVESTIMENTO",$F207,0))</f>
        <v>0</v>
      </c>
      <c r="AJ207" s="35" t="str">
        <f aca="false">IF($B207="","",IF(NOT(ISNUMBER($F207)),"ERRO: valor nao numerico",IF($F207&lt;=0,"ERRO: valor deve ser maior que zero",IF(COUNTIF(MAP_TIPO,$D207)=0,"ERRO: tipo de operacao nao cadastrado",IF(COUNTIF(LST_STATUS,$E207)=0,"ERRO: status invalido",IF(AND($G207="EXTERNO",$I207="EXTERNO"),"ERRO: origem e destino externos",IF(AND($G207&lt;&gt;"EXTERNO",COUNTIFS(ENT_ID,$H207,ENT_TIPO,$G207)=0),"ERRO: origem inexistente",IF(AND($I207&lt;&gt;"EXTERNO",COUNTIFS(ENT_ID,$J207,ENT_TIPO,$I207)=0),"ERRO: destino inexistente",IF(AND($K207&lt;&gt;"",COUNTIF(CAT_ID,$K207)=0),"ERRO: categoria inexistente",IF(AND($L207&lt;&gt;"",COUNTIF(SUB_ID,$L207)=0),"ERRO: subcategoria inexistente",IF(AND($L207&lt;&gt;"",$K207&lt;&gt;"",IFERROR(INDEX(SUB_CATID,MATCH($L207,SUB_ID,0)),"")&lt;&gt;$K207),"ERRO: subcategoria nao pertence a categoria",IF(AND($O207&lt;&gt;"",COUNTIF(P_ID,$O207)=0),"ERRO: parcela inexistente",IF(AND($N207&lt;&gt;"",COUNTIF(CM_ID,$N207)=0),"ERRO: compromisso inexistente","OK")))))))))))))</f>
        <v/>
      </c>
      <c r="AK207" s="35" t="str">
        <f aca="false">IF($B207="","",IF(AND($N207="",$O207="",$P207="",$Q207="",$R207=""),"","VINCULADO: "&amp;TRIM(IF($N207&lt;&gt;"",$N207&amp;" ","")&amp;IF($O207&lt;&gt;"",$O207&amp;" ","")&amp;IF($P207&lt;&gt;"",$P207&amp;" ","")&amp;IF($Q207&lt;&gt;"",$Q207&amp;" ","")&amp;IF($R207&lt;&gt;"",$R207,""))))</f>
        <v/>
      </c>
    </row>
    <row r="208" customFormat="false" ht="15" hidden="false" customHeight="false" outlineLevel="0" collapsed="false">
      <c r="A208" s="30" t="str">
        <f aca="false">IF($B208="","","LAN-"&amp;TEXT(ROW()-4,"000000"))</f>
        <v/>
      </c>
      <c r="B208" s="31"/>
      <c r="C208" s="32"/>
      <c r="D208" s="32"/>
      <c r="E208" s="32"/>
      <c r="F208" s="33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4" t="str">
        <f aca="false">IF($B208="","",YEAR($B208))</f>
        <v/>
      </c>
      <c r="U208" s="34" t="str">
        <f aca="false">IF($B208="","",MONTH($B208))</f>
        <v/>
      </c>
      <c r="V208" s="34" t="str">
        <f aca="false">IF($B208="","",YEAR($B208)*100+MONTH($B208))</f>
        <v/>
      </c>
      <c r="W208" s="35" t="str">
        <f aca="false">IF($D208="","",IFERROR(INDEX(MAP_CLASS,MATCH($D208,MAP_TIPO,0)),"TIPO INVALIDO"))</f>
        <v/>
      </c>
      <c r="X208" s="35" t="str">
        <f aca="false">IF($K208="","",IFERROR(INDEX(CAT_NOME,MATCH($K208,CAT_ID,0)),"?"))</f>
        <v/>
      </c>
      <c r="Y208" s="35" t="str">
        <f aca="false">IF($L208="","",IFERROR(INDEX(SUB_NOME,MATCH($L208,SUB_ID,0)),"?"))</f>
        <v/>
      </c>
      <c r="Z208" s="35" t="str">
        <f aca="false">IF($G208="","",IF($G208="EXTERNO","(Externo)",IFERROR(INDEX(ENT_NOME,MATCH($H208,ENT_ID,0)),"?")))</f>
        <v/>
      </c>
      <c r="AA208" s="35" t="str">
        <f aca="false">IF($I208="","",IF($I208="EXTERNO","(Externo)",IFERROR(INDEX(ENT_NOME,MATCH($J208,ENT_ID,0)),"?")))</f>
        <v/>
      </c>
      <c r="AB208" s="36" t="n">
        <f aca="false">IF($B208="",0,IF(AND($I208="CONTA",$G208&lt;&gt;"CONTA"),$F208,0))</f>
        <v>0</v>
      </c>
      <c r="AC208" s="36" t="n">
        <f aca="false">IF($B208="",0,IF(AND($G208="CONTA",$I208&lt;&gt;"CONTA"),$F208,0))</f>
        <v>0</v>
      </c>
      <c r="AD208" s="36" t="n">
        <f aca="false">IF($W208="RECEITA",$F208,0)</f>
        <v>0</v>
      </c>
      <c r="AE208" s="36" t="n">
        <f aca="false">IF($W208="DESPESA",$F208,0)</f>
        <v>0</v>
      </c>
      <c r="AF208" s="36" t="n">
        <f aca="false">IF($W208="RECEITA_FINANCEIRA",$F208,0)</f>
        <v>0</v>
      </c>
      <c r="AG208" s="36" t="n">
        <f aca="false">IF($B208="",0,IF($I208="CONTA",$F208,0)-IF($G208="CONTA",$F208,0))</f>
        <v>0</v>
      </c>
      <c r="AH208" s="36" t="n">
        <f aca="false">IF($B208="",0,IF($G208="CARTAO",$F208,0)-IF($I208="CARTAO",$F208,0))</f>
        <v>0</v>
      </c>
      <c r="AI208" s="36" t="n">
        <f aca="false">IF($B208="",0,IF($I208="INVESTIMENTO",$F208,0)-IF($G208="INVESTIMENTO",$F208,0))</f>
        <v>0</v>
      </c>
      <c r="AJ208" s="35" t="str">
        <f aca="false">IF($B208="","",IF(NOT(ISNUMBER($F208)),"ERRO: valor nao numerico",IF($F208&lt;=0,"ERRO: valor deve ser maior que zero",IF(COUNTIF(MAP_TIPO,$D208)=0,"ERRO: tipo de operacao nao cadastrado",IF(COUNTIF(LST_STATUS,$E208)=0,"ERRO: status invalido",IF(AND($G208="EXTERNO",$I208="EXTERNO"),"ERRO: origem e destino externos",IF(AND($G208&lt;&gt;"EXTERNO",COUNTIFS(ENT_ID,$H208,ENT_TIPO,$G208)=0),"ERRO: origem inexistente",IF(AND($I208&lt;&gt;"EXTERNO",COUNTIFS(ENT_ID,$J208,ENT_TIPO,$I208)=0),"ERRO: destino inexistente",IF(AND($K208&lt;&gt;"",COUNTIF(CAT_ID,$K208)=0),"ERRO: categoria inexistente",IF(AND($L208&lt;&gt;"",COUNTIF(SUB_ID,$L208)=0),"ERRO: subcategoria inexistente",IF(AND($L208&lt;&gt;"",$K208&lt;&gt;"",IFERROR(INDEX(SUB_CATID,MATCH($L208,SUB_ID,0)),"")&lt;&gt;$K208),"ERRO: subcategoria nao pertence a categoria",IF(AND($O208&lt;&gt;"",COUNTIF(P_ID,$O208)=0),"ERRO: parcela inexistente",IF(AND($N208&lt;&gt;"",COUNTIF(CM_ID,$N208)=0),"ERRO: compromisso inexistente","OK")))))))))))))</f>
        <v/>
      </c>
      <c r="AK208" s="35" t="str">
        <f aca="false">IF($B208="","",IF(AND($N208="",$O208="",$P208="",$Q208="",$R208=""),"","VINCULADO: "&amp;TRIM(IF($N208&lt;&gt;"",$N208&amp;" ","")&amp;IF($O208&lt;&gt;"",$O208&amp;" ","")&amp;IF($P208&lt;&gt;"",$P208&amp;" ","")&amp;IF($Q208&lt;&gt;"",$Q208&amp;" ","")&amp;IF($R208&lt;&gt;"",$R208,""))))</f>
        <v/>
      </c>
    </row>
    <row r="209" customFormat="false" ht="15" hidden="false" customHeight="false" outlineLevel="0" collapsed="false">
      <c r="A209" s="30" t="str">
        <f aca="false">IF($B209="","","LAN-"&amp;TEXT(ROW()-4,"000000"))</f>
        <v/>
      </c>
      <c r="B209" s="31"/>
      <c r="C209" s="32"/>
      <c r="D209" s="32"/>
      <c r="E209" s="32"/>
      <c r="F209" s="33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4" t="str">
        <f aca="false">IF($B209="","",YEAR($B209))</f>
        <v/>
      </c>
      <c r="U209" s="34" t="str">
        <f aca="false">IF($B209="","",MONTH($B209))</f>
        <v/>
      </c>
      <c r="V209" s="34" t="str">
        <f aca="false">IF($B209="","",YEAR($B209)*100+MONTH($B209))</f>
        <v/>
      </c>
      <c r="W209" s="35" t="str">
        <f aca="false">IF($D209="","",IFERROR(INDEX(MAP_CLASS,MATCH($D209,MAP_TIPO,0)),"TIPO INVALIDO"))</f>
        <v/>
      </c>
      <c r="X209" s="35" t="str">
        <f aca="false">IF($K209="","",IFERROR(INDEX(CAT_NOME,MATCH($K209,CAT_ID,0)),"?"))</f>
        <v/>
      </c>
      <c r="Y209" s="35" t="str">
        <f aca="false">IF($L209="","",IFERROR(INDEX(SUB_NOME,MATCH($L209,SUB_ID,0)),"?"))</f>
        <v/>
      </c>
      <c r="Z209" s="35" t="str">
        <f aca="false">IF($G209="","",IF($G209="EXTERNO","(Externo)",IFERROR(INDEX(ENT_NOME,MATCH($H209,ENT_ID,0)),"?")))</f>
        <v/>
      </c>
      <c r="AA209" s="35" t="str">
        <f aca="false">IF($I209="","",IF($I209="EXTERNO","(Externo)",IFERROR(INDEX(ENT_NOME,MATCH($J209,ENT_ID,0)),"?")))</f>
        <v/>
      </c>
      <c r="AB209" s="36" t="n">
        <f aca="false">IF($B209="",0,IF(AND($I209="CONTA",$G209&lt;&gt;"CONTA"),$F209,0))</f>
        <v>0</v>
      </c>
      <c r="AC209" s="36" t="n">
        <f aca="false">IF($B209="",0,IF(AND($G209="CONTA",$I209&lt;&gt;"CONTA"),$F209,0))</f>
        <v>0</v>
      </c>
      <c r="AD209" s="36" t="n">
        <f aca="false">IF($W209="RECEITA",$F209,0)</f>
        <v>0</v>
      </c>
      <c r="AE209" s="36" t="n">
        <f aca="false">IF($W209="DESPESA",$F209,0)</f>
        <v>0</v>
      </c>
      <c r="AF209" s="36" t="n">
        <f aca="false">IF($W209="RECEITA_FINANCEIRA",$F209,0)</f>
        <v>0</v>
      </c>
      <c r="AG209" s="36" t="n">
        <f aca="false">IF($B209="",0,IF($I209="CONTA",$F209,0)-IF($G209="CONTA",$F209,0))</f>
        <v>0</v>
      </c>
      <c r="AH209" s="36" t="n">
        <f aca="false">IF($B209="",0,IF($G209="CARTAO",$F209,0)-IF($I209="CARTAO",$F209,0))</f>
        <v>0</v>
      </c>
      <c r="AI209" s="36" t="n">
        <f aca="false">IF($B209="",0,IF($I209="INVESTIMENTO",$F209,0)-IF($G209="INVESTIMENTO",$F209,0))</f>
        <v>0</v>
      </c>
      <c r="AJ209" s="35" t="str">
        <f aca="false">IF($B209="","",IF(NOT(ISNUMBER($F209)),"ERRO: valor nao numerico",IF($F209&lt;=0,"ERRO: valor deve ser maior que zero",IF(COUNTIF(MAP_TIPO,$D209)=0,"ERRO: tipo de operacao nao cadastrado",IF(COUNTIF(LST_STATUS,$E209)=0,"ERRO: status invalido",IF(AND($G209="EXTERNO",$I209="EXTERNO"),"ERRO: origem e destino externos",IF(AND($G209&lt;&gt;"EXTERNO",COUNTIFS(ENT_ID,$H209,ENT_TIPO,$G209)=0),"ERRO: origem inexistente",IF(AND($I209&lt;&gt;"EXTERNO",COUNTIFS(ENT_ID,$J209,ENT_TIPO,$I209)=0),"ERRO: destino inexistente",IF(AND($K209&lt;&gt;"",COUNTIF(CAT_ID,$K209)=0),"ERRO: categoria inexistente",IF(AND($L209&lt;&gt;"",COUNTIF(SUB_ID,$L209)=0),"ERRO: subcategoria inexistente",IF(AND($L209&lt;&gt;"",$K209&lt;&gt;"",IFERROR(INDEX(SUB_CATID,MATCH($L209,SUB_ID,0)),"")&lt;&gt;$K209),"ERRO: subcategoria nao pertence a categoria",IF(AND($O209&lt;&gt;"",COUNTIF(P_ID,$O209)=0),"ERRO: parcela inexistente",IF(AND($N209&lt;&gt;"",COUNTIF(CM_ID,$N209)=0),"ERRO: compromisso inexistente","OK")))))))))))))</f>
        <v/>
      </c>
      <c r="AK209" s="35" t="str">
        <f aca="false">IF($B209="","",IF(AND($N209="",$O209="",$P209="",$Q209="",$R209=""),"","VINCULADO: "&amp;TRIM(IF($N209&lt;&gt;"",$N209&amp;" ","")&amp;IF($O209&lt;&gt;"",$O209&amp;" ","")&amp;IF($P209&lt;&gt;"",$P209&amp;" ","")&amp;IF($Q209&lt;&gt;"",$Q209&amp;" ","")&amp;IF($R209&lt;&gt;"",$R209,""))))</f>
        <v/>
      </c>
    </row>
    <row r="210" customFormat="false" ht="15" hidden="false" customHeight="false" outlineLevel="0" collapsed="false">
      <c r="A210" s="30" t="str">
        <f aca="false">IF($B210="","","LAN-"&amp;TEXT(ROW()-4,"000000"))</f>
        <v/>
      </c>
      <c r="B210" s="31"/>
      <c r="C210" s="32"/>
      <c r="D210" s="32"/>
      <c r="E210" s="32"/>
      <c r="F210" s="33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4" t="str">
        <f aca="false">IF($B210="","",YEAR($B210))</f>
        <v/>
      </c>
      <c r="U210" s="34" t="str">
        <f aca="false">IF($B210="","",MONTH($B210))</f>
        <v/>
      </c>
      <c r="V210" s="34" t="str">
        <f aca="false">IF($B210="","",YEAR($B210)*100+MONTH($B210))</f>
        <v/>
      </c>
      <c r="W210" s="35" t="str">
        <f aca="false">IF($D210="","",IFERROR(INDEX(MAP_CLASS,MATCH($D210,MAP_TIPO,0)),"TIPO INVALIDO"))</f>
        <v/>
      </c>
      <c r="X210" s="35" t="str">
        <f aca="false">IF($K210="","",IFERROR(INDEX(CAT_NOME,MATCH($K210,CAT_ID,0)),"?"))</f>
        <v/>
      </c>
      <c r="Y210" s="35" t="str">
        <f aca="false">IF($L210="","",IFERROR(INDEX(SUB_NOME,MATCH($L210,SUB_ID,0)),"?"))</f>
        <v/>
      </c>
      <c r="Z210" s="35" t="str">
        <f aca="false">IF($G210="","",IF($G210="EXTERNO","(Externo)",IFERROR(INDEX(ENT_NOME,MATCH($H210,ENT_ID,0)),"?")))</f>
        <v/>
      </c>
      <c r="AA210" s="35" t="str">
        <f aca="false">IF($I210="","",IF($I210="EXTERNO","(Externo)",IFERROR(INDEX(ENT_NOME,MATCH($J210,ENT_ID,0)),"?")))</f>
        <v/>
      </c>
      <c r="AB210" s="36" t="n">
        <f aca="false">IF($B210="",0,IF(AND($I210="CONTA",$G210&lt;&gt;"CONTA"),$F210,0))</f>
        <v>0</v>
      </c>
      <c r="AC210" s="36" t="n">
        <f aca="false">IF($B210="",0,IF(AND($G210="CONTA",$I210&lt;&gt;"CONTA"),$F210,0))</f>
        <v>0</v>
      </c>
      <c r="AD210" s="36" t="n">
        <f aca="false">IF($W210="RECEITA",$F210,0)</f>
        <v>0</v>
      </c>
      <c r="AE210" s="36" t="n">
        <f aca="false">IF($W210="DESPESA",$F210,0)</f>
        <v>0</v>
      </c>
      <c r="AF210" s="36" t="n">
        <f aca="false">IF($W210="RECEITA_FINANCEIRA",$F210,0)</f>
        <v>0</v>
      </c>
      <c r="AG210" s="36" t="n">
        <f aca="false">IF($B210="",0,IF($I210="CONTA",$F210,0)-IF($G210="CONTA",$F210,0))</f>
        <v>0</v>
      </c>
      <c r="AH210" s="36" t="n">
        <f aca="false">IF($B210="",0,IF($G210="CARTAO",$F210,0)-IF($I210="CARTAO",$F210,0))</f>
        <v>0</v>
      </c>
      <c r="AI210" s="36" t="n">
        <f aca="false">IF($B210="",0,IF($I210="INVESTIMENTO",$F210,0)-IF($G210="INVESTIMENTO",$F210,0))</f>
        <v>0</v>
      </c>
      <c r="AJ210" s="35" t="str">
        <f aca="false">IF($B210="","",IF(NOT(ISNUMBER($F210)),"ERRO: valor nao numerico",IF($F210&lt;=0,"ERRO: valor deve ser maior que zero",IF(COUNTIF(MAP_TIPO,$D210)=0,"ERRO: tipo de operacao nao cadastrado",IF(COUNTIF(LST_STATUS,$E210)=0,"ERRO: status invalido",IF(AND($G210="EXTERNO",$I210="EXTERNO"),"ERRO: origem e destino externos",IF(AND($G210&lt;&gt;"EXTERNO",COUNTIFS(ENT_ID,$H210,ENT_TIPO,$G210)=0),"ERRO: origem inexistente",IF(AND($I210&lt;&gt;"EXTERNO",COUNTIFS(ENT_ID,$J210,ENT_TIPO,$I210)=0),"ERRO: destino inexistente",IF(AND($K210&lt;&gt;"",COUNTIF(CAT_ID,$K210)=0),"ERRO: categoria inexistente",IF(AND($L210&lt;&gt;"",COUNTIF(SUB_ID,$L210)=0),"ERRO: subcategoria inexistente",IF(AND($L210&lt;&gt;"",$K210&lt;&gt;"",IFERROR(INDEX(SUB_CATID,MATCH($L210,SUB_ID,0)),"")&lt;&gt;$K210),"ERRO: subcategoria nao pertence a categoria",IF(AND($O210&lt;&gt;"",COUNTIF(P_ID,$O210)=0),"ERRO: parcela inexistente",IF(AND($N210&lt;&gt;"",COUNTIF(CM_ID,$N210)=0),"ERRO: compromisso inexistente","OK")))))))))))))</f>
        <v/>
      </c>
      <c r="AK210" s="35" t="str">
        <f aca="false">IF($B210="","",IF(AND($N210="",$O210="",$P210="",$Q210="",$R210=""),"","VINCULADO: "&amp;TRIM(IF($N210&lt;&gt;"",$N210&amp;" ","")&amp;IF($O210&lt;&gt;"",$O210&amp;" ","")&amp;IF($P210&lt;&gt;"",$P210&amp;" ","")&amp;IF($Q210&lt;&gt;"",$Q210&amp;" ","")&amp;IF($R210&lt;&gt;"",$R210,""))))</f>
        <v/>
      </c>
    </row>
    <row r="211" customFormat="false" ht="15" hidden="false" customHeight="false" outlineLevel="0" collapsed="false">
      <c r="A211" s="30" t="str">
        <f aca="false">IF($B211="","","LAN-"&amp;TEXT(ROW()-4,"000000"))</f>
        <v/>
      </c>
      <c r="B211" s="31"/>
      <c r="C211" s="32"/>
      <c r="D211" s="32"/>
      <c r="E211" s="32"/>
      <c r="F211" s="33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4" t="str">
        <f aca="false">IF($B211="","",YEAR($B211))</f>
        <v/>
      </c>
      <c r="U211" s="34" t="str">
        <f aca="false">IF($B211="","",MONTH($B211))</f>
        <v/>
      </c>
      <c r="V211" s="34" t="str">
        <f aca="false">IF($B211="","",YEAR($B211)*100+MONTH($B211))</f>
        <v/>
      </c>
      <c r="W211" s="35" t="str">
        <f aca="false">IF($D211="","",IFERROR(INDEX(MAP_CLASS,MATCH($D211,MAP_TIPO,0)),"TIPO INVALIDO"))</f>
        <v/>
      </c>
      <c r="X211" s="35" t="str">
        <f aca="false">IF($K211="","",IFERROR(INDEX(CAT_NOME,MATCH($K211,CAT_ID,0)),"?"))</f>
        <v/>
      </c>
      <c r="Y211" s="35" t="str">
        <f aca="false">IF($L211="","",IFERROR(INDEX(SUB_NOME,MATCH($L211,SUB_ID,0)),"?"))</f>
        <v/>
      </c>
      <c r="Z211" s="35" t="str">
        <f aca="false">IF($G211="","",IF($G211="EXTERNO","(Externo)",IFERROR(INDEX(ENT_NOME,MATCH($H211,ENT_ID,0)),"?")))</f>
        <v/>
      </c>
      <c r="AA211" s="35" t="str">
        <f aca="false">IF($I211="","",IF($I211="EXTERNO","(Externo)",IFERROR(INDEX(ENT_NOME,MATCH($J211,ENT_ID,0)),"?")))</f>
        <v/>
      </c>
      <c r="AB211" s="36" t="n">
        <f aca="false">IF($B211="",0,IF(AND($I211="CONTA",$G211&lt;&gt;"CONTA"),$F211,0))</f>
        <v>0</v>
      </c>
      <c r="AC211" s="36" t="n">
        <f aca="false">IF($B211="",0,IF(AND($G211="CONTA",$I211&lt;&gt;"CONTA"),$F211,0))</f>
        <v>0</v>
      </c>
      <c r="AD211" s="36" t="n">
        <f aca="false">IF($W211="RECEITA",$F211,0)</f>
        <v>0</v>
      </c>
      <c r="AE211" s="36" t="n">
        <f aca="false">IF($W211="DESPESA",$F211,0)</f>
        <v>0</v>
      </c>
      <c r="AF211" s="36" t="n">
        <f aca="false">IF($W211="RECEITA_FINANCEIRA",$F211,0)</f>
        <v>0</v>
      </c>
      <c r="AG211" s="36" t="n">
        <f aca="false">IF($B211="",0,IF($I211="CONTA",$F211,0)-IF($G211="CONTA",$F211,0))</f>
        <v>0</v>
      </c>
      <c r="AH211" s="36" t="n">
        <f aca="false">IF($B211="",0,IF($G211="CARTAO",$F211,0)-IF($I211="CARTAO",$F211,0))</f>
        <v>0</v>
      </c>
      <c r="AI211" s="36" t="n">
        <f aca="false">IF($B211="",0,IF($I211="INVESTIMENTO",$F211,0)-IF($G211="INVESTIMENTO",$F211,0))</f>
        <v>0</v>
      </c>
      <c r="AJ211" s="35" t="str">
        <f aca="false">IF($B211="","",IF(NOT(ISNUMBER($F211)),"ERRO: valor nao numerico",IF($F211&lt;=0,"ERRO: valor deve ser maior que zero",IF(COUNTIF(MAP_TIPO,$D211)=0,"ERRO: tipo de operacao nao cadastrado",IF(COUNTIF(LST_STATUS,$E211)=0,"ERRO: status invalido",IF(AND($G211="EXTERNO",$I211="EXTERNO"),"ERRO: origem e destino externos",IF(AND($G211&lt;&gt;"EXTERNO",COUNTIFS(ENT_ID,$H211,ENT_TIPO,$G211)=0),"ERRO: origem inexistente",IF(AND($I211&lt;&gt;"EXTERNO",COUNTIFS(ENT_ID,$J211,ENT_TIPO,$I211)=0),"ERRO: destino inexistente",IF(AND($K211&lt;&gt;"",COUNTIF(CAT_ID,$K211)=0),"ERRO: categoria inexistente",IF(AND($L211&lt;&gt;"",COUNTIF(SUB_ID,$L211)=0),"ERRO: subcategoria inexistente",IF(AND($L211&lt;&gt;"",$K211&lt;&gt;"",IFERROR(INDEX(SUB_CATID,MATCH($L211,SUB_ID,0)),"")&lt;&gt;$K211),"ERRO: subcategoria nao pertence a categoria",IF(AND($O211&lt;&gt;"",COUNTIF(P_ID,$O211)=0),"ERRO: parcela inexistente",IF(AND($N211&lt;&gt;"",COUNTIF(CM_ID,$N211)=0),"ERRO: compromisso inexistente","OK")))))))))))))</f>
        <v/>
      </c>
      <c r="AK211" s="35" t="str">
        <f aca="false">IF($B211="","",IF(AND($N211="",$O211="",$P211="",$Q211="",$R211=""),"","VINCULADO: "&amp;TRIM(IF($N211&lt;&gt;"",$N211&amp;" ","")&amp;IF($O211&lt;&gt;"",$O211&amp;" ","")&amp;IF($P211&lt;&gt;"",$P211&amp;" ","")&amp;IF($Q211&lt;&gt;"",$Q211&amp;" ","")&amp;IF($R211&lt;&gt;"",$R211,""))))</f>
        <v/>
      </c>
    </row>
    <row r="212" customFormat="false" ht="15" hidden="false" customHeight="false" outlineLevel="0" collapsed="false">
      <c r="A212" s="30" t="str">
        <f aca="false">IF($B212="","","LAN-"&amp;TEXT(ROW()-4,"000000"))</f>
        <v/>
      </c>
      <c r="B212" s="31"/>
      <c r="C212" s="32"/>
      <c r="D212" s="32"/>
      <c r="E212" s="32"/>
      <c r="F212" s="33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4" t="str">
        <f aca="false">IF($B212="","",YEAR($B212))</f>
        <v/>
      </c>
      <c r="U212" s="34" t="str">
        <f aca="false">IF($B212="","",MONTH($B212))</f>
        <v/>
      </c>
      <c r="V212" s="34" t="str">
        <f aca="false">IF($B212="","",YEAR($B212)*100+MONTH($B212))</f>
        <v/>
      </c>
      <c r="W212" s="35" t="str">
        <f aca="false">IF($D212="","",IFERROR(INDEX(MAP_CLASS,MATCH($D212,MAP_TIPO,0)),"TIPO INVALIDO"))</f>
        <v/>
      </c>
      <c r="X212" s="35" t="str">
        <f aca="false">IF($K212="","",IFERROR(INDEX(CAT_NOME,MATCH($K212,CAT_ID,0)),"?"))</f>
        <v/>
      </c>
      <c r="Y212" s="35" t="str">
        <f aca="false">IF($L212="","",IFERROR(INDEX(SUB_NOME,MATCH($L212,SUB_ID,0)),"?"))</f>
        <v/>
      </c>
      <c r="Z212" s="35" t="str">
        <f aca="false">IF($G212="","",IF($G212="EXTERNO","(Externo)",IFERROR(INDEX(ENT_NOME,MATCH($H212,ENT_ID,0)),"?")))</f>
        <v/>
      </c>
      <c r="AA212" s="35" t="str">
        <f aca="false">IF($I212="","",IF($I212="EXTERNO","(Externo)",IFERROR(INDEX(ENT_NOME,MATCH($J212,ENT_ID,0)),"?")))</f>
        <v/>
      </c>
      <c r="AB212" s="36" t="n">
        <f aca="false">IF($B212="",0,IF(AND($I212="CONTA",$G212&lt;&gt;"CONTA"),$F212,0))</f>
        <v>0</v>
      </c>
      <c r="AC212" s="36" t="n">
        <f aca="false">IF($B212="",0,IF(AND($G212="CONTA",$I212&lt;&gt;"CONTA"),$F212,0))</f>
        <v>0</v>
      </c>
      <c r="AD212" s="36" t="n">
        <f aca="false">IF($W212="RECEITA",$F212,0)</f>
        <v>0</v>
      </c>
      <c r="AE212" s="36" t="n">
        <f aca="false">IF($W212="DESPESA",$F212,0)</f>
        <v>0</v>
      </c>
      <c r="AF212" s="36" t="n">
        <f aca="false">IF($W212="RECEITA_FINANCEIRA",$F212,0)</f>
        <v>0</v>
      </c>
      <c r="AG212" s="36" t="n">
        <f aca="false">IF($B212="",0,IF($I212="CONTA",$F212,0)-IF($G212="CONTA",$F212,0))</f>
        <v>0</v>
      </c>
      <c r="AH212" s="36" t="n">
        <f aca="false">IF($B212="",0,IF($G212="CARTAO",$F212,0)-IF($I212="CARTAO",$F212,0))</f>
        <v>0</v>
      </c>
      <c r="AI212" s="36" t="n">
        <f aca="false">IF($B212="",0,IF($I212="INVESTIMENTO",$F212,0)-IF($G212="INVESTIMENTO",$F212,0))</f>
        <v>0</v>
      </c>
      <c r="AJ212" s="35" t="str">
        <f aca="false">IF($B212="","",IF(NOT(ISNUMBER($F212)),"ERRO: valor nao numerico",IF($F212&lt;=0,"ERRO: valor deve ser maior que zero",IF(COUNTIF(MAP_TIPO,$D212)=0,"ERRO: tipo de operacao nao cadastrado",IF(COUNTIF(LST_STATUS,$E212)=0,"ERRO: status invalido",IF(AND($G212="EXTERNO",$I212="EXTERNO"),"ERRO: origem e destino externos",IF(AND($G212&lt;&gt;"EXTERNO",COUNTIFS(ENT_ID,$H212,ENT_TIPO,$G212)=0),"ERRO: origem inexistente",IF(AND($I212&lt;&gt;"EXTERNO",COUNTIFS(ENT_ID,$J212,ENT_TIPO,$I212)=0),"ERRO: destino inexistente",IF(AND($K212&lt;&gt;"",COUNTIF(CAT_ID,$K212)=0),"ERRO: categoria inexistente",IF(AND($L212&lt;&gt;"",COUNTIF(SUB_ID,$L212)=0),"ERRO: subcategoria inexistente",IF(AND($L212&lt;&gt;"",$K212&lt;&gt;"",IFERROR(INDEX(SUB_CATID,MATCH($L212,SUB_ID,0)),"")&lt;&gt;$K212),"ERRO: subcategoria nao pertence a categoria",IF(AND($O212&lt;&gt;"",COUNTIF(P_ID,$O212)=0),"ERRO: parcela inexistente",IF(AND($N212&lt;&gt;"",COUNTIF(CM_ID,$N212)=0),"ERRO: compromisso inexistente","OK")))))))))))))</f>
        <v/>
      </c>
      <c r="AK212" s="35" t="str">
        <f aca="false">IF($B212="","",IF(AND($N212="",$O212="",$P212="",$Q212="",$R212=""),"","VINCULADO: "&amp;TRIM(IF($N212&lt;&gt;"",$N212&amp;" ","")&amp;IF($O212&lt;&gt;"",$O212&amp;" ","")&amp;IF($P212&lt;&gt;"",$P212&amp;" ","")&amp;IF($Q212&lt;&gt;"",$Q212&amp;" ","")&amp;IF($R212&lt;&gt;"",$R212,""))))</f>
        <v/>
      </c>
    </row>
    <row r="213" customFormat="false" ht="15" hidden="false" customHeight="false" outlineLevel="0" collapsed="false">
      <c r="A213" s="30" t="str">
        <f aca="false">IF($B213="","","LAN-"&amp;TEXT(ROW()-4,"000000"))</f>
        <v/>
      </c>
      <c r="B213" s="31"/>
      <c r="C213" s="32"/>
      <c r="D213" s="32"/>
      <c r="E213" s="32"/>
      <c r="F213" s="33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4" t="str">
        <f aca="false">IF($B213="","",YEAR($B213))</f>
        <v/>
      </c>
      <c r="U213" s="34" t="str">
        <f aca="false">IF($B213="","",MONTH($B213))</f>
        <v/>
      </c>
      <c r="V213" s="34" t="str">
        <f aca="false">IF($B213="","",YEAR($B213)*100+MONTH($B213))</f>
        <v/>
      </c>
      <c r="W213" s="35" t="str">
        <f aca="false">IF($D213="","",IFERROR(INDEX(MAP_CLASS,MATCH($D213,MAP_TIPO,0)),"TIPO INVALIDO"))</f>
        <v/>
      </c>
      <c r="X213" s="35" t="str">
        <f aca="false">IF($K213="","",IFERROR(INDEX(CAT_NOME,MATCH($K213,CAT_ID,0)),"?"))</f>
        <v/>
      </c>
      <c r="Y213" s="35" t="str">
        <f aca="false">IF($L213="","",IFERROR(INDEX(SUB_NOME,MATCH($L213,SUB_ID,0)),"?"))</f>
        <v/>
      </c>
      <c r="Z213" s="35" t="str">
        <f aca="false">IF($G213="","",IF($G213="EXTERNO","(Externo)",IFERROR(INDEX(ENT_NOME,MATCH($H213,ENT_ID,0)),"?")))</f>
        <v/>
      </c>
      <c r="AA213" s="35" t="str">
        <f aca="false">IF($I213="","",IF($I213="EXTERNO","(Externo)",IFERROR(INDEX(ENT_NOME,MATCH($J213,ENT_ID,0)),"?")))</f>
        <v/>
      </c>
      <c r="AB213" s="36" t="n">
        <f aca="false">IF($B213="",0,IF(AND($I213="CONTA",$G213&lt;&gt;"CONTA"),$F213,0))</f>
        <v>0</v>
      </c>
      <c r="AC213" s="36" t="n">
        <f aca="false">IF($B213="",0,IF(AND($G213="CONTA",$I213&lt;&gt;"CONTA"),$F213,0))</f>
        <v>0</v>
      </c>
      <c r="AD213" s="36" t="n">
        <f aca="false">IF($W213="RECEITA",$F213,0)</f>
        <v>0</v>
      </c>
      <c r="AE213" s="36" t="n">
        <f aca="false">IF($W213="DESPESA",$F213,0)</f>
        <v>0</v>
      </c>
      <c r="AF213" s="36" t="n">
        <f aca="false">IF($W213="RECEITA_FINANCEIRA",$F213,0)</f>
        <v>0</v>
      </c>
      <c r="AG213" s="36" t="n">
        <f aca="false">IF($B213="",0,IF($I213="CONTA",$F213,0)-IF($G213="CONTA",$F213,0))</f>
        <v>0</v>
      </c>
      <c r="AH213" s="36" t="n">
        <f aca="false">IF($B213="",0,IF($G213="CARTAO",$F213,0)-IF($I213="CARTAO",$F213,0))</f>
        <v>0</v>
      </c>
      <c r="AI213" s="36" t="n">
        <f aca="false">IF($B213="",0,IF($I213="INVESTIMENTO",$F213,0)-IF($G213="INVESTIMENTO",$F213,0))</f>
        <v>0</v>
      </c>
      <c r="AJ213" s="35" t="str">
        <f aca="false">IF($B213="","",IF(NOT(ISNUMBER($F213)),"ERRO: valor nao numerico",IF($F213&lt;=0,"ERRO: valor deve ser maior que zero",IF(COUNTIF(MAP_TIPO,$D213)=0,"ERRO: tipo de operacao nao cadastrado",IF(COUNTIF(LST_STATUS,$E213)=0,"ERRO: status invalido",IF(AND($G213="EXTERNO",$I213="EXTERNO"),"ERRO: origem e destino externos",IF(AND($G213&lt;&gt;"EXTERNO",COUNTIFS(ENT_ID,$H213,ENT_TIPO,$G213)=0),"ERRO: origem inexistente",IF(AND($I213&lt;&gt;"EXTERNO",COUNTIFS(ENT_ID,$J213,ENT_TIPO,$I213)=0),"ERRO: destino inexistente",IF(AND($K213&lt;&gt;"",COUNTIF(CAT_ID,$K213)=0),"ERRO: categoria inexistente",IF(AND($L213&lt;&gt;"",COUNTIF(SUB_ID,$L213)=0),"ERRO: subcategoria inexistente",IF(AND($L213&lt;&gt;"",$K213&lt;&gt;"",IFERROR(INDEX(SUB_CATID,MATCH($L213,SUB_ID,0)),"")&lt;&gt;$K213),"ERRO: subcategoria nao pertence a categoria",IF(AND($O213&lt;&gt;"",COUNTIF(P_ID,$O213)=0),"ERRO: parcela inexistente",IF(AND($N213&lt;&gt;"",COUNTIF(CM_ID,$N213)=0),"ERRO: compromisso inexistente","OK")))))))))))))</f>
        <v/>
      </c>
      <c r="AK213" s="35" t="str">
        <f aca="false">IF($B213="","",IF(AND($N213="",$O213="",$P213="",$Q213="",$R213=""),"","VINCULADO: "&amp;TRIM(IF($N213&lt;&gt;"",$N213&amp;" ","")&amp;IF($O213&lt;&gt;"",$O213&amp;" ","")&amp;IF($P213&lt;&gt;"",$P213&amp;" ","")&amp;IF($Q213&lt;&gt;"",$Q213&amp;" ","")&amp;IF($R213&lt;&gt;"",$R213,""))))</f>
        <v/>
      </c>
    </row>
    <row r="214" customFormat="false" ht="15" hidden="false" customHeight="false" outlineLevel="0" collapsed="false">
      <c r="A214" s="30" t="str">
        <f aca="false">IF($B214="","","LAN-"&amp;TEXT(ROW()-4,"000000"))</f>
        <v/>
      </c>
      <c r="B214" s="31"/>
      <c r="C214" s="32"/>
      <c r="D214" s="32"/>
      <c r="E214" s="32"/>
      <c r="F214" s="33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4" t="str">
        <f aca="false">IF($B214="","",YEAR($B214))</f>
        <v/>
      </c>
      <c r="U214" s="34" t="str">
        <f aca="false">IF($B214="","",MONTH($B214))</f>
        <v/>
      </c>
      <c r="V214" s="34" t="str">
        <f aca="false">IF($B214="","",YEAR($B214)*100+MONTH($B214))</f>
        <v/>
      </c>
      <c r="W214" s="35" t="str">
        <f aca="false">IF($D214="","",IFERROR(INDEX(MAP_CLASS,MATCH($D214,MAP_TIPO,0)),"TIPO INVALIDO"))</f>
        <v/>
      </c>
      <c r="X214" s="35" t="str">
        <f aca="false">IF($K214="","",IFERROR(INDEX(CAT_NOME,MATCH($K214,CAT_ID,0)),"?"))</f>
        <v/>
      </c>
      <c r="Y214" s="35" t="str">
        <f aca="false">IF($L214="","",IFERROR(INDEX(SUB_NOME,MATCH($L214,SUB_ID,0)),"?"))</f>
        <v/>
      </c>
      <c r="Z214" s="35" t="str">
        <f aca="false">IF($G214="","",IF($G214="EXTERNO","(Externo)",IFERROR(INDEX(ENT_NOME,MATCH($H214,ENT_ID,0)),"?")))</f>
        <v/>
      </c>
      <c r="AA214" s="35" t="str">
        <f aca="false">IF($I214="","",IF($I214="EXTERNO","(Externo)",IFERROR(INDEX(ENT_NOME,MATCH($J214,ENT_ID,0)),"?")))</f>
        <v/>
      </c>
      <c r="AB214" s="36" t="n">
        <f aca="false">IF($B214="",0,IF(AND($I214="CONTA",$G214&lt;&gt;"CONTA"),$F214,0))</f>
        <v>0</v>
      </c>
      <c r="AC214" s="36" t="n">
        <f aca="false">IF($B214="",0,IF(AND($G214="CONTA",$I214&lt;&gt;"CONTA"),$F214,0))</f>
        <v>0</v>
      </c>
      <c r="AD214" s="36" t="n">
        <f aca="false">IF($W214="RECEITA",$F214,0)</f>
        <v>0</v>
      </c>
      <c r="AE214" s="36" t="n">
        <f aca="false">IF($W214="DESPESA",$F214,0)</f>
        <v>0</v>
      </c>
      <c r="AF214" s="36" t="n">
        <f aca="false">IF($W214="RECEITA_FINANCEIRA",$F214,0)</f>
        <v>0</v>
      </c>
      <c r="AG214" s="36" t="n">
        <f aca="false">IF($B214="",0,IF($I214="CONTA",$F214,0)-IF($G214="CONTA",$F214,0))</f>
        <v>0</v>
      </c>
      <c r="AH214" s="36" t="n">
        <f aca="false">IF($B214="",0,IF($G214="CARTAO",$F214,0)-IF($I214="CARTAO",$F214,0))</f>
        <v>0</v>
      </c>
      <c r="AI214" s="36" t="n">
        <f aca="false">IF($B214="",0,IF($I214="INVESTIMENTO",$F214,0)-IF($G214="INVESTIMENTO",$F214,0))</f>
        <v>0</v>
      </c>
      <c r="AJ214" s="35" t="str">
        <f aca="false">IF($B214="","",IF(NOT(ISNUMBER($F214)),"ERRO: valor nao numerico",IF($F214&lt;=0,"ERRO: valor deve ser maior que zero",IF(COUNTIF(MAP_TIPO,$D214)=0,"ERRO: tipo de operacao nao cadastrado",IF(COUNTIF(LST_STATUS,$E214)=0,"ERRO: status invalido",IF(AND($G214="EXTERNO",$I214="EXTERNO"),"ERRO: origem e destino externos",IF(AND($G214&lt;&gt;"EXTERNO",COUNTIFS(ENT_ID,$H214,ENT_TIPO,$G214)=0),"ERRO: origem inexistente",IF(AND($I214&lt;&gt;"EXTERNO",COUNTIFS(ENT_ID,$J214,ENT_TIPO,$I214)=0),"ERRO: destino inexistente",IF(AND($K214&lt;&gt;"",COUNTIF(CAT_ID,$K214)=0),"ERRO: categoria inexistente",IF(AND($L214&lt;&gt;"",COUNTIF(SUB_ID,$L214)=0),"ERRO: subcategoria inexistente",IF(AND($L214&lt;&gt;"",$K214&lt;&gt;"",IFERROR(INDEX(SUB_CATID,MATCH($L214,SUB_ID,0)),"")&lt;&gt;$K214),"ERRO: subcategoria nao pertence a categoria",IF(AND($O214&lt;&gt;"",COUNTIF(P_ID,$O214)=0),"ERRO: parcela inexistente",IF(AND($N214&lt;&gt;"",COUNTIF(CM_ID,$N214)=0),"ERRO: compromisso inexistente","OK")))))))))))))</f>
        <v/>
      </c>
      <c r="AK214" s="35" t="str">
        <f aca="false">IF($B214="","",IF(AND($N214="",$O214="",$P214="",$Q214="",$R214=""),"","VINCULADO: "&amp;TRIM(IF($N214&lt;&gt;"",$N214&amp;" ","")&amp;IF($O214&lt;&gt;"",$O214&amp;" ","")&amp;IF($P214&lt;&gt;"",$P214&amp;" ","")&amp;IF($Q214&lt;&gt;"",$Q214&amp;" ","")&amp;IF($R214&lt;&gt;"",$R214,""))))</f>
        <v/>
      </c>
    </row>
    <row r="215" customFormat="false" ht="15" hidden="false" customHeight="false" outlineLevel="0" collapsed="false">
      <c r="A215" s="30" t="str">
        <f aca="false">IF($B215="","","LAN-"&amp;TEXT(ROW()-4,"000000"))</f>
        <v/>
      </c>
      <c r="B215" s="31"/>
      <c r="C215" s="32"/>
      <c r="D215" s="32"/>
      <c r="E215" s="32"/>
      <c r="F215" s="33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4" t="str">
        <f aca="false">IF($B215="","",YEAR($B215))</f>
        <v/>
      </c>
      <c r="U215" s="34" t="str">
        <f aca="false">IF($B215="","",MONTH($B215))</f>
        <v/>
      </c>
      <c r="V215" s="34" t="str">
        <f aca="false">IF($B215="","",YEAR($B215)*100+MONTH($B215))</f>
        <v/>
      </c>
      <c r="W215" s="35" t="str">
        <f aca="false">IF($D215="","",IFERROR(INDEX(MAP_CLASS,MATCH($D215,MAP_TIPO,0)),"TIPO INVALIDO"))</f>
        <v/>
      </c>
      <c r="X215" s="35" t="str">
        <f aca="false">IF($K215="","",IFERROR(INDEX(CAT_NOME,MATCH($K215,CAT_ID,0)),"?"))</f>
        <v/>
      </c>
      <c r="Y215" s="35" t="str">
        <f aca="false">IF($L215="","",IFERROR(INDEX(SUB_NOME,MATCH($L215,SUB_ID,0)),"?"))</f>
        <v/>
      </c>
      <c r="Z215" s="35" t="str">
        <f aca="false">IF($G215="","",IF($G215="EXTERNO","(Externo)",IFERROR(INDEX(ENT_NOME,MATCH($H215,ENT_ID,0)),"?")))</f>
        <v/>
      </c>
      <c r="AA215" s="35" t="str">
        <f aca="false">IF($I215="","",IF($I215="EXTERNO","(Externo)",IFERROR(INDEX(ENT_NOME,MATCH($J215,ENT_ID,0)),"?")))</f>
        <v/>
      </c>
      <c r="AB215" s="36" t="n">
        <f aca="false">IF($B215="",0,IF(AND($I215="CONTA",$G215&lt;&gt;"CONTA"),$F215,0))</f>
        <v>0</v>
      </c>
      <c r="AC215" s="36" t="n">
        <f aca="false">IF($B215="",0,IF(AND($G215="CONTA",$I215&lt;&gt;"CONTA"),$F215,0))</f>
        <v>0</v>
      </c>
      <c r="AD215" s="36" t="n">
        <f aca="false">IF($W215="RECEITA",$F215,0)</f>
        <v>0</v>
      </c>
      <c r="AE215" s="36" t="n">
        <f aca="false">IF($W215="DESPESA",$F215,0)</f>
        <v>0</v>
      </c>
      <c r="AF215" s="36" t="n">
        <f aca="false">IF($W215="RECEITA_FINANCEIRA",$F215,0)</f>
        <v>0</v>
      </c>
      <c r="AG215" s="36" t="n">
        <f aca="false">IF($B215="",0,IF($I215="CONTA",$F215,0)-IF($G215="CONTA",$F215,0))</f>
        <v>0</v>
      </c>
      <c r="AH215" s="36" t="n">
        <f aca="false">IF($B215="",0,IF($G215="CARTAO",$F215,0)-IF($I215="CARTAO",$F215,0))</f>
        <v>0</v>
      </c>
      <c r="AI215" s="36" t="n">
        <f aca="false">IF($B215="",0,IF($I215="INVESTIMENTO",$F215,0)-IF($G215="INVESTIMENTO",$F215,0))</f>
        <v>0</v>
      </c>
      <c r="AJ215" s="35" t="str">
        <f aca="false">IF($B215="","",IF(NOT(ISNUMBER($F215)),"ERRO: valor nao numerico",IF($F215&lt;=0,"ERRO: valor deve ser maior que zero",IF(COUNTIF(MAP_TIPO,$D215)=0,"ERRO: tipo de operacao nao cadastrado",IF(COUNTIF(LST_STATUS,$E215)=0,"ERRO: status invalido",IF(AND($G215="EXTERNO",$I215="EXTERNO"),"ERRO: origem e destino externos",IF(AND($G215&lt;&gt;"EXTERNO",COUNTIFS(ENT_ID,$H215,ENT_TIPO,$G215)=0),"ERRO: origem inexistente",IF(AND($I215&lt;&gt;"EXTERNO",COUNTIFS(ENT_ID,$J215,ENT_TIPO,$I215)=0),"ERRO: destino inexistente",IF(AND($K215&lt;&gt;"",COUNTIF(CAT_ID,$K215)=0),"ERRO: categoria inexistente",IF(AND($L215&lt;&gt;"",COUNTIF(SUB_ID,$L215)=0),"ERRO: subcategoria inexistente",IF(AND($L215&lt;&gt;"",$K215&lt;&gt;"",IFERROR(INDEX(SUB_CATID,MATCH($L215,SUB_ID,0)),"")&lt;&gt;$K215),"ERRO: subcategoria nao pertence a categoria",IF(AND($O215&lt;&gt;"",COUNTIF(P_ID,$O215)=0),"ERRO: parcela inexistente",IF(AND($N215&lt;&gt;"",COUNTIF(CM_ID,$N215)=0),"ERRO: compromisso inexistente","OK")))))))))))))</f>
        <v/>
      </c>
      <c r="AK215" s="35" t="str">
        <f aca="false">IF($B215="","",IF(AND($N215="",$O215="",$P215="",$Q215="",$R215=""),"","VINCULADO: "&amp;TRIM(IF($N215&lt;&gt;"",$N215&amp;" ","")&amp;IF($O215&lt;&gt;"",$O215&amp;" ","")&amp;IF($P215&lt;&gt;"",$P215&amp;" ","")&amp;IF($Q215&lt;&gt;"",$Q215&amp;" ","")&amp;IF($R215&lt;&gt;"",$R215,""))))</f>
        <v/>
      </c>
    </row>
    <row r="216" customFormat="false" ht="15" hidden="false" customHeight="false" outlineLevel="0" collapsed="false">
      <c r="A216" s="30" t="str">
        <f aca="false">IF($B216="","","LAN-"&amp;TEXT(ROW()-4,"000000"))</f>
        <v/>
      </c>
      <c r="B216" s="31"/>
      <c r="C216" s="32"/>
      <c r="D216" s="32"/>
      <c r="E216" s="32"/>
      <c r="F216" s="33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4" t="str">
        <f aca="false">IF($B216="","",YEAR($B216))</f>
        <v/>
      </c>
      <c r="U216" s="34" t="str">
        <f aca="false">IF($B216="","",MONTH($B216))</f>
        <v/>
      </c>
      <c r="V216" s="34" t="str">
        <f aca="false">IF($B216="","",YEAR($B216)*100+MONTH($B216))</f>
        <v/>
      </c>
      <c r="W216" s="35" t="str">
        <f aca="false">IF($D216="","",IFERROR(INDEX(MAP_CLASS,MATCH($D216,MAP_TIPO,0)),"TIPO INVALIDO"))</f>
        <v/>
      </c>
      <c r="X216" s="35" t="str">
        <f aca="false">IF($K216="","",IFERROR(INDEX(CAT_NOME,MATCH($K216,CAT_ID,0)),"?"))</f>
        <v/>
      </c>
      <c r="Y216" s="35" t="str">
        <f aca="false">IF($L216="","",IFERROR(INDEX(SUB_NOME,MATCH($L216,SUB_ID,0)),"?"))</f>
        <v/>
      </c>
      <c r="Z216" s="35" t="str">
        <f aca="false">IF($G216="","",IF($G216="EXTERNO","(Externo)",IFERROR(INDEX(ENT_NOME,MATCH($H216,ENT_ID,0)),"?")))</f>
        <v/>
      </c>
      <c r="AA216" s="35" t="str">
        <f aca="false">IF($I216="","",IF($I216="EXTERNO","(Externo)",IFERROR(INDEX(ENT_NOME,MATCH($J216,ENT_ID,0)),"?")))</f>
        <v/>
      </c>
      <c r="AB216" s="36" t="n">
        <f aca="false">IF($B216="",0,IF(AND($I216="CONTA",$G216&lt;&gt;"CONTA"),$F216,0))</f>
        <v>0</v>
      </c>
      <c r="AC216" s="36" t="n">
        <f aca="false">IF($B216="",0,IF(AND($G216="CONTA",$I216&lt;&gt;"CONTA"),$F216,0))</f>
        <v>0</v>
      </c>
      <c r="AD216" s="36" t="n">
        <f aca="false">IF($W216="RECEITA",$F216,0)</f>
        <v>0</v>
      </c>
      <c r="AE216" s="36" t="n">
        <f aca="false">IF($W216="DESPESA",$F216,0)</f>
        <v>0</v>
      </c>
      <c r="AF216" s="36" t="n">
        <f aca="false">IF($W216="RECEITA_FINANCEIRA",$F216,0)</f>
        <v>0</v>
      </c>
      <c r="AG216" s="36" t="n">
        <f aca="false">IF($B216="",0,IF($I216="CONTA",$F216,0)-IF($G216="CONTA",$F216,0))</f>
        <v>0</v>
      </c>
      <c r="AH216" s="36" t="n">
        <f aca="false">IF($B216="",0,IF($G216="CARTAO",$F216,0)-IF($I216="CARTAO",$F216,0))</f>
        <v>0</v>
      </c>
      <c r="AI216" s="36" t="n">
        <f aca="false">IF($B216="",0,IF($I216="INVESTIMENTO",$F216,0)-IF($G216="INVESTIMENTO",$F216,0))</f>
        <v>0</v>
      </c>
      <c r="AJ216" s="35" t="str">
        <f aca="false">IF($B216="","",IF(NOT(ISNUMBER($F216)),"ERRO: valor nao numerico",IF($F216&lt;=0,"ERRO: valor deve ser maior que zero",IF(COUNTIF(MAP_TIPO,$D216)=0,"ERRO: tipo de operacao nao cadastrado",IF(COUNTIF(LST_STATUS,$E216)=0,"ERRO: status invalido",IF(AND($G216="EXTERNO",$I216="EXTERNO"),"ERRO: origem e destino externos",IF(AND($G216&lt;&gt;"EXTERNO",COUNTIFS(ENT_ID,$H216,ENT_TIPO,$G216)=0),"ERRO: origem inexistente",IF(AND($I216&lt;&gt;"EXTERNO",COUNTIFS(ENT_ID,$J216,ENT_TIPO,$I216)=0),"ERRO: destino inexistente",IF(AND($K216&lt;&gt;"",COUNTIF(CAT_ID,$K216)=0),"ERRO: categoria inexistente",IF(AND($L216&lt;&gt;"",COUNTIF(SUB_ID,$L216)=0),"ERRO: subcategoria inexistente",IF(AND($L216&lt;&gt;"",$K216&lt;&gt;"",IFERROR(INDEX(SUB_CATID,MATCH($L216,SUB_ID,0)),"")&lt;&gt;$K216),"ERRO: subcategoria nao pertence a categoria",IF(AND($O216&lt;&gt;"",COUNTIF(P_ID,$O216)=0),"ERRO: parcela inexistente",IF(AND($N216&lt;&gt;"",COUNTIF(CM_ID,$N216)=0),"ERRO: compromisso inexistente","OK")))))))))))))</f>
        <v/>
      </c>
      <c r="AK216" s="35" t="str">
        <f aca="false">IF($B216="","",IF(AND($N216="",$O216="",$P216="",$Q216="",$R216=""),"","VINCULADO: "&amp;TRIM(IF($N216&lt;&gt;"",$N216&amp;" ","")&amp;IF($O216&lt;&gt;"",$O216&amp;" ","")&amp;IF($P216&lt;&gt;"",$P216&amp;" ","")&amp;IF($Q216&lt;&gt;"",$Q216&amp;" ","")&amp;IF($R216&lt;&gt;"",$R216,""))))</f>
        <v/>
      </c>
    </row>
    <row r="217" customFormat="false" ht="15" hidden="false" customHeight="false" outlineLevel="0" collapsed="false">
      <c r="A217" s="30" t="str">
        <f aca="false">IF($B217="","","LAN-"&amp;TEXT(ROW()-4,"000000"))</f>
        <v/>
      </c>
      <c r="B217" s="31"/>
      <c r="C217" s="32"/>
      <c r="D217" s="32"/>
      <c r="E217" s="32"/>
      <c r="F217" s="33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4" t="str">
        <f aca="false">IF($B217="","",YEAR($B217))</f>
        <v/>
      </c>
      <c r="U217" s="34" t="str">
        <f aca="false">IF($B217="","",MONTH($B217))</f>
        <v/>
      </c>
      <c r="V217" s="34" t="str">
        <f aca="false">IF($B217="","",YEAR($B217)*100+MONTH($B217))</f>
        <v/>
      </c>
      <c r="W217" s="35" t="str">
        <f aca="false">IF($D217="","",IFERROR(INDEX(MAP_CLASS,MATCH($D217,MAP_TIPO,0)),"TIPO INVALIDO"))</f>
        <v/>
      </c>
      <c r="X217" s="35" t="str">
        <f aca="false">IF($K217="","",IFERROR(INDEX(CAT_NOME,MATCH($K217,CAT_ID,0)),"?"))</f>
        <v/>
      </c>
      <c r="Y217" s="35" t="str">
        <f aca="false">IF($L217="","",IFERROR(INDEX(SUB_NOME,MATCH($L217,SUB_ID,0)),"?"))</f>
        <v/>
      </c>
      <c r="Z217" s="35" t="str">
        <f aca="false">IF($G217="","",IF($G217="EXTERNO","(Externo)",IFERROR(INDEX(ENT_NOME,MATCH($H217,ENT_ID,0)),"?")))</f>
        <v/>
      </c>
      <c r="AA217" s="35" t="str">
        <f aca="false">IF($I217="","",IF($I217="EXTERNO","(Externo)",IFERROR(INDEX(ENT_NOME,MATCH($J217,ENT_ID,0)),"?")))</f>
        <v/>
      </c>
      <c r="AB217" s="36" t="n">
        <f aca="false">IF($B217="",0,IF(AND($I217="CONTA",$G217&lt;&gt;"CONTA"),$F217,0))</f>
        <v>0</v>
      </c>
      <c r="AC217" s="36" t="n">
        <f aca="false">IF($B217="",0,IF(AND($G217="CONTA",$I217&lt;&gt;"CONTA"),$F217,0))</f>
        <v>0</v>
      </c>
      <c r="AD217" s="36" t="n">
        <f aca="false">IF($W217="RECEITA",$F217,0)</f>
        <v>0</v>
      </c>
      <c r="AE217" s="36" t="n">
        <f aca="false">IF($W217="DESPESA",$F217,0)</f>
        <v>0</v>
      </c>
      <c r="AF217" s="36" t="n">
        <f aca="false">IF($W217="RECEITA_FINANCEIRA",$F217,0)</f>
        <v>0</v>
      </c>
      <c r="AG217" s="36" t="n">
        <f aca="false">IF($B217="",0,IF($I217="CONTA",$F217,0)-IF($G217="CONTA",$F217,0))</f>
        <v>0</v>
      </c>
      <c r="AH217" s="36" t="n">
        <f aca="false">IF($B217="",0,IF($G217="CARTAO",$F217,0)-IF($I217="CARTAO",$F217,0))</f>
        <v>0</v>
      </c>
      <c r="AI217" s="36" t="n">
        <f aca="false">IF($B217="",0,IF($I217="INVESTIMENTO",$F217,0)-IF($G217="INVESTIMENTO",$F217,0))</f>
        <v>0</v>
      </c>
      <c r="AJ217" s="35" t="str">
        <f aca="false">IF($B217="","",IF(NOT(ISNUMBER($F217)),"ERRO: valor nao numerico",IF($F217&lt;=0,"ERRO: valor deve ser maior que zero",IF(COUNTIF(MAP_TIPO,$D217)=0,"ERRO: tipo de operacao nao cadastrado",IF(COUNTIF(LST_STATUS,$E217)=0,"ERRO: status invalido",IF(AND($G217="EXTERNO",$I217="EXTERNO"),"ERRO: origem e destino externos",IF(AND($G217&lt;&gt;"EXTERNO",COUNTIFS(ENT_ID,$H217,ENT_TIPO,$G217)=0),"ERRO: origem inexistente",IF(AND($I217&lt;&gt;"EXTERNO",COUNTIFS(ENT_ID,$J217,ENT_TIPO,$I217)=0),"ERRO: destino inexistente",IF(AND($K217&lt;&gt;"",COUNTIF(CAT_ID,$K217)=0),"ERRO: categoria inexistente",IF(AND($L217&lt;&gt;"",COUNTIF(SUB_ID,$L217)=0),"ERRO: subcategoria inexistente",IF(AND($L217&lt;&gt;"",$K217&lt;&gt;"",IFERROR(INDEX(SUB_CATID,MATCH($L217,SUB_ID,0)),"")&lt;&gt;$K217),"ERRO: subcategoria nao pertence a categoria",IF(AND($O217&lt;&gt;"",COUNTIF(P_ID,$O217)=0),"ERRO: parcela inexistente",IF(AND($N217&lt;&gt;"",COUNTIF(CM_ID,$N217)=0),"ERRO: compromisso inexistente","OK")))))))))))))</f>
        <v/>
      </c>
      <c r="AK217" s="35" t="str">
        <f aca="false">IF($B217="","",IF(AND($N217="",$O217="",$P217="",$Q217="",$R217=""),"","VINCULADO: "&amp;TRIM(IF($N217&lt;&gt;"",$N217&amp;" ","")&amp;IF($O217&lt;&gt;"",$O217&amp;" ","")&amp;IF($P217&lt;&gt;"",$P217&amp;" ","")&amp;IF($Q217&lt;&gt;"",$Q217&amp;" ","")&amp;IF($R217&lt;&gt;"",$R217,""))))</f>
        <v/>
      </c>
    </row>
    <row r="218" customFormat="false" ht="15" hidden="false" customHeight="false" outlineLevel="0" collapsed="false">
      <c r="A218" s="30" t="str">
        <f aca="false">IF($B218="","","LAN-"&amp;TEXT(ROW()-4,"000000"))</f>
        <v/>
      </c>
      <c r="B218" s="31"/>
      <c r="C218" s="32"/>
      <c r="D218" s="32"/>
      <c r="E218" s="32"/>
      <c r="F218" s="33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4" t="str">
        <f aca="false">IF($B218="","",YEAR($B218))</f>
        <v/>
      </c>
      <c r="U218" s="34" t="str">
        <f aca="false">IF($B218="","",MONTH($B218))</f>
        <v/>
      </c>
      <c r="V218" s="34" t="str">
        <f aca="false">IF($B218="","",YEAR($B218)*100+MONTH($B218))</f>
        <v/>
      </c>
      <c r="W218" s="35" t="str">
        <f aca="false">IF($D218="","",IFERROR(INDEX(MAP_CLASS,MATCH($D218,MAP_TIPO,0)),"TIPO INVALIDO"))</f>
        <v/>
      </c>
      <c r="X218" s="35" t="str">
        <f aca="false">IF($K218="","",IFERROR(INDEX(CAT_NOME,MATCH($K218,CAT_ID,0)),"?"))</f>
        <v/>
      </c>
      <c r="Y218" s="35" t="str">
        <f aca="false">IF($L218="","",IFERROR(INDEX(SUB_NOME,MATCH($L218,SUB_ID,0)),"?"))</f>
        <v/>
      </c>
      <c r="Z218" s="35" t="str">
        <f aca="false">IF($G218="","",IF($G218="EXTERNO","(Externo)",IFERROR(INDEX(ENT_NOME,MATCH($H218,ENT_ID,0)),"?")))</f>
        <v/>
      </c>
      <c r="AA218" s="35" t="str">
        <f aca="false">IF($I218="","",IF($I218="EXTERNO","(Externo)",IFERROR(INDEX(ENT_NOME,MATCH($J218,ENT_ID,0)),"?")))</f>
        <v/>
      </c>
      <c r="AB218" s="36" t="n">
        <f aca="false">IF($B218="",0,IF(AND($I218="CONTA",$G218&lt;&gt;"CONTA"),$F218,0))</f>
        <v>0</v>
      </c>
      <c r="AC218" s="36" t="n">
        <f aca="false">IF($B218="",0,IF(AND($G218="CONTA",$I218&lt;&gt;"CONTA"),$F218,0))</f>
        <v>0</v>
      </c>
      <c r="AD218" s="36" t="n">
        <f aca="false">IF($W218="RECEITA",$F218,0)</f>
        <v>0</v>
      </c>
      <c r="AE218" s="36" t="n">
        <f aca="false">IF($W218="DESPESA",$F218,0)</f>
        <v>0</v>
      </c>
      <c r="AF218" s="36" t="n">
        <f aca="false">IF($W218="RECEITA_FINANCEIRA",$F218,0)</f>
        <v>0</v>
      </c>
      <c r="AG218" s="36" t="n">
        <f aca="false">IF($B218="",0,IF($I218="CONTA",$F218,0)-IF($G218="CONTA",$F218,0))</f>
        <v>0</v>
      </c>
      <c r="AH218" s="36" t="n">
        <f aca="false">IF($B218="",0,IF($G218="CARTAO",$F218,0)-IF($I218="CARTAO",$F218,0))</f>
        <v>0</v>
      </c>
      <c r="AI218" s="36" t="n">
        <f aca="false">IF($B218="",0,IF($I218="INVESTIMENTO",$F218,0)-IF($G218="INVESTIMENTO",$F218,0))</f>
        <v>0</v>
      </c>
      <c r="AJ218" s="35" t="str">
        <f aca="false">IF($B218="","",IF(NOT(ISNUMBER($F218)),"ERRO: valor nao numerico",IF($F218&lt;=0,"ERRO: valor deve ser maior que zero",IF(COUNTIF(MAP_TIPO,$D218)=0,"ERRO: tipo de operacao nao cadastrado",IF(COUNTIF(LST_STATUS,$E218)=0,"ERRO: status invalido",IF(AND($G218="EXTERNO",$I218="EXTERNO"),"ERRO: origem e destino externos",IF(AND($G218&lt;&gt;"EXTERNO",COUNTIFS(ENT_ID,$H218,ENT_TIPO,$G218)=0),"ERRO: origem inexistente",IF(AND($I218&lt;&gt;"EXTERNO",COUNTIFS(ENT_ID,$J218,ENT_TIPO,$I218)=0),"ERRO: destino inexistente",IF(AND($K218&lt;&gt;"",COUNTIF(CAT_ID,$K218)=0),"ERRO: categoria inexistente",IF(AND($L218&lt;&gt;"",COUNTIF(SUB_ID,$L218)=0),"ERRO: subcategoria inexistente",IF(AND($L218&lt;&gt;"",$K218&lt;&gt;"",IFERROR(INDEX(SUB_CATID,MATCH($L218,SUB_ID,0)),"")&lt;&gt;$K218),"ERRO: subcategoria nao pertence a categoria",IF(AND($O218&lt;&gt;"",COUNTIF(P_ID,$O218)=0),"ERRO: parcela inexistente",IF(AND($N218&lt;&gt;"",COUNTIF(CM_ID,$N218)=0),"ERRO: compromisso inexistente","OK")))))))))))))</f>
        <v/>
      </c>
      <c r="AK218" s="35" t="str">
        <f aca="false">IF($B218="","",IF(AND($N218="",$O218="",$P218="",$Q218="",$R218=""),"","VINCULADO: "&amp;TRIM(IF($N218&lt;&gt;"",$N218&amp;" ","")&amp;IF($O218&lt;&gt;"",$O218&amp;" ","")&amp;IF($P218&lt;&gt;"",$P218&amp;" ","")&amp;IF($Q218&lt;&gt;"",$Q218&amp;" ","")&amp;IF($R218&lt;&gt;"",$R218,""))))</f>
        <v/>
      </c>
    </row>
    <row r="219" customFormat="false" ht="15" hidden="false" customHeight="false" outlineLevel="0" collapsed="false">
      <c r="A219" s="30" t="str">
        <f aca="false">IF($B219="","","LAN-"&amp;TEXT(ROW()-4,"000000"))</f>
        <v/>
      </c>
      <c r="B219" s="31"/>
      <c r="C219" s="32"/>
      <c r="D219" s="32"/>
      <c r="E219" s="32"/>
      <c r="F219" s="33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4" t="str">
        <f aca="false">IF($B219="","",YEAR($B219))</f>
        <v/>
      </c>
      <c r="U219" s="34" t="str">
        <f aca="false">IF($B219="","",MONTH($B219))</f>
        <v/>
      </c>
      <c r="V219" s="34" t="str">
        <f aca="false">IF($B219="","",YEAR($B219)*100+MONTH($B219))</f>
        <v/>
      </c>
      <c r="W219" s="35" t="str">
        <f aca="false">IF($D219="","",IFERROR(INDEX(MAP_CLASS,MATCH($D219,MAP_TIPO,0)),"TIPO INVALIDO"))</f>
        <v/>
      </c>
      <c r="X219" s="35" t="str">
        <f aca="false">IF($K219="","",IFERROR(INDEX(CAT_NOME,MATCH($K219,CAT_ID,0)),"?"))</f>
        <v/>
      </c>
      <c r="Y219" s="35" t="str">
        <f aca="false">IF($L219="","",IFERROR(INDEX(SUB_NOME,MATCH($L219,SUB_ID,0)),"?"))</f>
        <v/>
      </c>
      <c r="Z219" s="35" t="str">
        <f aca="false">IF($G219="","",IF($G219="EXTERNO","(Externo)",IFERROR(INDEX(ENT_NOME,MATCH($H219,ENT_ID,0)),"?")))</f>
        <v/>
      </c>
      <c r="AA219" s="35" t="str">
        <f aca="false">IF($I219="","",IF($I219="EXTERNO","(Externo)",IFERROR(INDEX(ENT_NOME,MATCH($J219,ENT_ID,0)),"?")))</f>
        <v/>
      </c>
      <c r="AB219" s="36" t="n">
        <f aca="false">IF($B219="",0,IF(AND($I219="CONTA",$G219&lt;&gt;"CONTA"),$F219,0))</f>
        <v>0</v>
      </c>
      <c r="AC219" s="36" t="n">
        <f aca="false">IF($B219="",0,IF(AND($G219="CONTA",$I219&lt;&gt;"CONTA"),$F219,0))</f>
        <v>0</v>
      </c>
      <c r="AD219" s="36" t="n">
        <f aca="false">IF($W219="RECEITA",$F219,0)</f>
        <v>0</v>
      </c>
      <c r="AE219" s="36" t="n">
        <f aca="false">IF($W219="DESPESA",$F219,0)</f>
        <v>0</v>
      </c>
      <c r="AF219" s="36" t="n">
        <f aca="false">IF($W219="RECEITA_FINANCEIRA",$F219,0)</f>
        <v>0</v>
      </c>
      <c r="AG219" s="36" t="n">
        <f aca="false">IF($B219="",0,IF($I219="CONTA",$F219,0)-IF($G219="CONTA",$F219,0))</f>
        <v>0</v>
      </c>
      <c r="AH219" s="36" t="n">
        <f aca="false">IF($B219="",0,IF($G219="CARTAO",$F219,0)-IF($I219="CARTAO",$F219,0))</f>
        <v>0</v>
      </c>
      <c r="AI219" s="36" t="n">
        <f aca="false">IF($B219="",0,IF($I219="INVESTIMENTO",$F219,0)-IF($G219="INVESTIMENTO",$F219,0))</f>
        <v>0</v>
      </c>
      <c r="AJ219" s="35" t="str">
        <f aca="false">IF($B219="","",IF(NOT(ISNUMBER($F219)),"ERRO: valor nao numerico",IF($F219&lt;=0,"ERRO: valor deve ser maior que zero",IF(COUNTIF(MAP_TIPO,$D219)=0,"ERRO: tipo de operacao nao cadastrado",IF(COUNTIF(LST_STATUS,$E219)=0,"ERRO: status invalido",IF(AND($G219="EXTERNO",$I219="EXTERNO"),"ERRO: origem e destino externos",IF(AND($G219&lt;&gt;"EXTERNO",COUNTIFS(ENT_ID,$H219,ENT_TIPO,$G219)=0),"ERRO: origem inexistente",IF(AND($I219&lt;&gt;"EXTERNO",COUNTIFS(ENT_ID,$J219,ENT_TIPO,$I219)=0),"ERRO: destino inexistente",IF(AND($K219&lt;&gt;"",COUNTIF(CAT_ID,$K219)=0),"ERRO: categoria inexistente",IF(AND($L219&lt;&gt;"",COUNTIF(SUB_ID,$L219)=0),"ERRO: subcategoria inexistente",IF(AND($L219&lt;&gt;"",$K219&lt;&gt;"",IFERROR(INDEX(SUB_CATID,MATCH($L219,SUB_ID,0)),"")&lt;&gt;$K219),"ERRO: subcategoria nao pertence a categoria",IF(AND($O219&lt;&gt;"",COUNTIF(P_ID,$O219)=0),"ERRO: parcela inexistente",IF(AND($N219&lt;&gt;"",COUNTIF(CM_ID,$N219)=0),"ERRO: compromisso inexistente","OK")))))))))))))</f>
        <v/>
      </c>
      <c r="AK219" s="35" t="str">
        <f aca="false">IF($B219="","",IF(AND($N219="",$O219="",$P219="",$Q219="",$R219=""),"","VINCULADO: "&amp;TRIM(IF($N219&lt;&gt;"",$N219&amp;" ","")&amp;IF($O219&lt;&gt;"",$O219&amp;" ","")&amp;IF($P219&lt;&gt;"",$P219&amp;" ","")&amp;IF($Q219&lt;&gt;"",$Q219&amp;" ","")&amp;IF($R219&lt;&gt;"",$R219,""))))</f>
        <v/>
      </c>
    </row>
    <row r="220" customFormat="false" ht="15" hidden="false" customHeight="false" outlineLevel="0" collapsed="false">
      <c r="A220" s="30" t="str">
        <f aca="false">IF($B220="","","LAN-"&amp;TEXT(ROW()-4,"000000"))</f>
        <v/>
      </c>
      <c r="B220" s="31"/>
      <c r="C220" s="32"/>
      <c r="D220" s="32"/>
      <c r="E220" s="32"/>
      <c r="F220" s="33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4" t="str">
        <f aca="false">IF($B220="","",YEAR($B220))</f>
        <v/>
      </c>
      <c r="U220" s="34" t="str">
        <f aca="false">IF($B220="","",MONTH($B220))</f>
        <v/>
      </c>
      <c r="V220" s="34" t="str">
        <f aca="false">IF($B220="","",YEAR($B220)*100+MONTH($B220))</f>
        <v/>
      </c>
      <c r="W220" s="35" t="str">
        <f aca="false">IF($D220="","",IFERROR(INDEX(MAP_CLASS,MATCH($D220,MAP_TIPO,0)),"TIPO INVALIDO"))</f>
        <v/>
      </c>
      <c r="X220" s="35" t="str">
        <f aca="false">IF($K220="","",IFERROR(INDEX(CAT_NOME,MATCH($K220,CAT_ID,0)),"?"))</f>
        <v/>
      </c>
      <c r="Y220" s="35" t="str">
        <f aca="false">IF($L220="","",IFERROR(INDEX(SUB_NOME,MATCH($L220,SUB_ID,0)),"?"))</f>
        <v/>
      </c>
      <c r="Z220" s="35" t="str">
        <f aca="false">IF($G220="","",IF($G220="EXTERNO","(Externo)",IFERROR(INDEX(ENT_NOME,MATCH($H220,ENT_ID,0)),"?")))</f>
        <v/>
      </c>
      <c r="AA220" s="35" t="str">
        <f aca="false">IF($I220="","",IF($I220="EXTERNO","(Externo)",IFERROR(INDEX(ENT_NOME,MATCH($J220,ENT_ID,0)),"?")))</f>
        <v/>
      </c>
      <c r="AB220" s="36" t="n">
        <f aca="false">IF($B220="",0,IF(AND($I220="CONTA",$G220&lt;&gt;"CONTA"),$F220,0))</f>
        <v>0</v>
      </c>
      <c r="AC220" s="36" t="n">
        <f aca="false">IF($B220="",0,IF(AND($G220="CONTA",$I220&lt;&gt;"CONTA"),$F220,0))</f>
        <v>0</v>
      </c>
      <c r="AD220" s="36" t="n">
        <f aca="false">IF($W220="RECEITA",$F220,0)</f>
        <v>0</v>
      </c>
      <c r="AE220" s="36" t="n">
        <f aca="false">IF($W220="DESPESA",$F220,0)</f>
        <v>0</v>
      </c>
      <c r="AF220" s="36" t="n">
        <f aca="false">IF($W220="RECEITA_FINANCEIRA",$F220,0)</f>
        <v>0</v>
      </c>
      <c r="AG220" s="36" t="n">
        <f aca="false">IF($B220="",0,IF($I220="CONTA",$F220,0)-IF($G220="CONTA",$F220,0))</f>
        <v>0</v>
      </c>
      <c r="AH220" s="36" t="n">
        <f aca="false">IF($B220="",0,IF($G220="CARTAO",$F220,0)-IF($I220="CARTAO",$F220,0))</f>
        <v>0</v>
      </c>
      <c r="AI220" s="36" t="n">
        <f aca="false">IF($B220="",0,IF($I220="INVESTIMENTO",$F220,0)-IF($G220="INVESTIMENTO",$F220,0))</f>
        <v>0</v>
      </c>
      <c r="AJ220" s="35" t="str">
        <f aca="false">IF($B220="","",IF(NOT(ISNUMBER($F220)),"ERRO: valor nao numerico",IF($F220&lt;=0,"ERRO: valor deve ser maior que zero",IF(COUNTIF(MAP_TIPO,$D220)=0,"ERRO: tipo de operacao nao cadastrado",IF(COUNTIF(LST_STATUS,$E220)=0,"ERRO: status invalido",IF(AND($G220="EXTERNO",$I220="EXTERNO"),"ERRO: origem e destino externos",IF(AND($G220&lt;&gt;"EXTERNO",COUNTIFS(ENT_ID,$H220,ENT_TIPO,$G220)=0),"ERRO: origem inexistente",IF(AND($I220&lt;&gt;"EXTERNO",COUNTIFS(ENT_ID,$J220,ENT_TIPO,$I220)=0),"ERRO: destino inexistente",IF(AND($K220&lt;&gt;"",COUNTIF(CAT_ID,$K220)=0),"ERRO: categoria inexistente",IF(AND($L220&lt;&gt;"",COUNTIF(SUB_ID,$L220)=0),"ERRO: subcategoria inexistente",IF(AND($L220&lt;&gt;"",$K220&lt;&gt;"",IFERROR(INDEX(SUB_CATID,MATCH($L220,SUB_ID,0)),"")&lt;&gt;$K220),"ERRO: subcategoria nao pertence a categoria",IF(AND($O220&lt;&gt;"",COUNTIF(P_ID,$O220)=0),"ERRO: parcela inexistente",IF(AND($N220&lt;&gt;"",COUNTIF(CM_ID,$N220)=0),"ERRO: compromisso inexistente","OK")))))))))))))</f>
        <v/>
      </c>
      <c r="AK220" s="35" t="str">
        <f aca="false">IF($B220="","",IF(AND($N220="",$O220="",$P220="",$Q220="",$R220=""),"","VINCULADO: "&amp;TRIM(IF($N220&lt;&gt;"",$N220&amp;" ","")&amp;IF($O220&lt;&gt;"",$O220&amp;" ","")&amp;IF($P220&lt;&gt;"",$P220&amp;" ","")&amp;IF($Q220&lt;&gt;"",$Q220&amp;" ","")&amp;IF($R220&lt;&gt;"",$R220,""))))</f>
        <v/>
      </c>
    </row>
    <row r="221" customFormat="false" ht="15" hidden="false" customHeight="false" outlineLevel="0" collapsed="false">
      <c r="A221" s="30" t="str">
        <f aca="false">IF($B221="","","LAN-"&amp;TEXT(ROW()-4,"000000"))</f>
        <v/>
      </c>
      <c r="B221" s="31"/>
      <c r="C221" s="32"/>
      <c r="D221" s="32"/>
      <c r="E221" s="32"/>
      <c r="F221" s="33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4" t="str">
        <f aca="false">IF($B221="","",YEAR($B221))</f>
        <v/>
      </c>
      <c r="U221" s="34" t="str">
        <f aca="false">IF($B221="","",MONTH($B221))</f>
        <v/>
      </c>
      <c r="V221" s="34" t="str">
        <f aca="false">IF($B221="","",YEAR($B221)*100+MONTH($B221))</f>
        <v/>
      </c>
      <c r="W221" s="35" t="str">
        <f aca="false">IF($D221="","",IFERROR(INDEX(MAP_CLASS,MATCH($D221,MAP_TIPO,0)),"TIPO INVALIDO"))</f>
        <v/>
      </c>
      <c r="X221" s="35" t="str">
        <f aca="false">IF($K221="","",IFERROR(INDEX(CAT_NOME,MATCH($K221,CAT_ID,0)),"?"))</f>
        <v/>
      </c>
      <c r="Y221" s="35" t="str">
        <f aca="false">IF($L221="","",IFERROR(INDEX(SUB_NOME,MATCH($L221,SUB_ID,0)),"?"))</f>
        <v/>
      </c>
      <c r="Z221" s="35" t="str">
        <f aca="false">IF($G221="","",IF($G221="EXTERNO","(Externo)",IFERROR(INDEX(ENT_NOME,MATCH($H221,ENT_ID,0)),"?")))</f>
        <v/>
      </c>
      <c r="AA221" s="35" t="str">
        <f aca="false">IF($I221="","",IF($I221="EXTERNO","(Externo)",IFERROR(INDEX(ENT_NOME,MATCH($J221,ENT_ID,0)),"?")))</f>
        <v/>
      </c>
      <c r="AB221" s="36" t="n">
        <f aca="false">IF($B221="",0,IF(AND($I221="CONTA",$G221&lt;&gt;"CONTA"),$F221,0))</f>
        <v>0</v>
      </c>
      <c r="AC221" s="36" t="n">
        <f aca="false">IF($B221="",0,IF(AND($G221="CONTA",$I221&lt;&gt;"CONTA"),$F221,0))</f>
        <v>0</v>
      </c>
      <c r="AD221" s="36" t="n">
        <f aca="false">IF($W221="RECEITA",$F221,0)</f>
        <v>0</v>
      </c>
      <c r="AE221" s="36" t="n">
        <f aca="false">IF($W221="DESPESA",$F221,0)</f>
        <v>0</v>
      </c>
      <c r="AF221" s="36" t="n">
        <f aca="false">IF($W221="RECEITA_FINANCEIRA",$F221,0)</f>
        <v>0</v>
      </c>
      <c r="AG221" s="36" t="n">
        <f aca="false">IF($B221="",0,IF($I221="CONTA",$F221,0)-IF($G221="CONTA",$F221,0))</f>
        <v>0</v>
      </c>
      <c r="AH221" s="36" t="n">
        <f aca="false">IF($B221="",0,IF($G221="CARTAO",$F221,0)-IF($I221="CARTAO",$F221,0))</f>
        <v>0</v>
      </c>
      <c r="AI221" s="36" t="n">
        <f aca="false">IF($B221="",0,IF($I221="INVESTIMENTO",$F221,0)-IF($G221="INVESTIMENTO",$F221,0))</f>
        <v>0</v>
      </c>
      <c r="AJ221" s="35" t="str">
        <f aca="false">IF($B221="","",IF(NOT(ISNUMBER($F221)),"ERRO: valor nao numerico",IF($F221&lt;=0,"ERRO: valor deve ser maior que zero",IF(COUNTIF(MAP_TIPO,$D221)=0,"ERRO: tipo de operacao nao cadastrado",IF(COUNTIF(LST_STATUS,$E221)=0,"ERRO: status invalido",IF(AND($G221="EXTERNO",$I221="EXTERNO"),"ERRO: origem e destino externos",IF(AND($G221&lt;&gt;"EXTERNO",COUNTIFS(ENT_ID,$H221,ENT_TIPO,$G221)=0),"ERRO: origem inexistente",IF(AND($I221&lt;&gt;"EXTERNO",COUNTIFS(ENT_ID,$J221,ENT_TIPO,$I221)=0),"ERRO: destino inexistente",IF(AND($K221&lt;&gt;"",COUNTIF(CAT_ID,$K221)=0),"ERRO: categoria inexistente",IF(AND($L221&lt;&gt;"",COUNTIF(SUB_ID,$L221)=0),"ERRO: subcategoria inexistente",IF(AND($L221&lt;&gt;"",$K221&lt;&gt;"",IFERROR(INDEX(SUB_CATID,MATCH($L221,SUB_ID,0)),"")&lt;&gt;$K221),"ERRO: subcategoria nao pertence a categoria",IF(AND($O221&lt;&gt;"",COUNTIF(P_ID,$O221)=0),"ERRO: parcela inexistente",IF(AND($N221&lt;&gt;"",COUNTIF(CM_ID,$N221)=0),"ERRO: compromisso inexistente","OK")))))))))))))</f>
        <v/>
      </c>
      <c r="AK221" s="35" t="str">
        <f aca="false">IF($B221="","",IF(AND($N221="",$O221="",$P221="",$Q221="",$R221=""),"","VINCULADO: "&amp;TRIM(IF($N221&lt;&gt;"",$N221&amp;" ","")&amp;IF($O221&lt;&gt;"",$O221&amp;" ","")&amp;IF($P221&lt;&gt;"",$P221&amp;" ","")&amp;IF($Q221&lt;&gt;"",$Q221&amp;" ","")&amp;IF($R221&lt;&gt;"",$R221,""))))</f>
        <v/>
      </c>
    </row>
    <row r="222" customFormat="false" ht="15" hidden="false" customHeight="false" outlineLevel="0" collapsed="false">
      <c r="A222" s="30" t="str">
        <f aca="false">IF($B222="","","LAN-"&amp;TEXT(ROW()-4,"000000"))</f>
        <v/>
      </c>
      <c r="B222" s="31"/>
      <c r="C222" s="32"/>
      <c r="D222" s="32"/>
      <c r="E222" s="32"/>
      <c r="F222" s="33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4" t="str">
        <f aca="false">IF($B222="","",YEAR($B222))</f>
        <v/>
      </c>
      <c r="U222" s="34" t="str">
        <f aca="false">IF($B222="","",MONTH($B222))</f>
        <v/>
      </c>
      <c r="V222" s="34" t="str">
        <f aca="false">IF($B222="","",YEAR($B222)*100+MONTH($B222))</f>
        <v/>
      </c>
      <c r="W222" s="35" t="str">
        <f aca="false">IF($D222="","",IFERROR(INDEX(MAP_CLASS,MATCH($D222,MAP_TIPO,0)),"TIPO INVALIDO"))</f>
        <v/>
      </c>
      <c r="X222" s="35" t="str">
        <f aca="false">IF($K222="","",IFERROR(INDEX(CAT_NOME,MATCH($K222,CAT_ID,0)),"?"))</f>
        <v/>
      </c>
      <c r="Y222" s="35" t="str">
        <f aca="false">IF($L222="","",IFERROR(INDEX(SUB_NOME,MATCH($L222,SUB_ID,0)),"?"))</f>
        <v/>
      </c>
      <c r="Z222" s="35" t="str">
        <f aca="false">IF($G222="","",IF($G222="EXTERNO","(Externo)",IFERROR(INDEX(ENT_NOME,MATCH($H222,ENT_ID,0)),"?")))</f>
        <v/>
      </c>
      <c r="AA222" s="35" t="str">
        <f aca="false">IF($I222="","",IF($I222="EXTERNO","(Externo)",IFERROR(INDEX(ENT_NOME,MATCH($J222,ENT_ID,0)),"?")))</f>
        <v/>
      </c>
      <c r="AB222" s="36" t="n">
        <f aca="false">IF($B222="",0,IF(AND($I222="CONTA",$G222&lt;&gt;"CONTA"),$F222,0))</f>
        <v>0</v>
      </c>
      <c r="AC222" s="36" t="n">
        <f aca="false">IF($B222="",0,IF(AND($G222="CONTA",$I222&lt;&gt;"CONTA"),$F222,0))</f>
        <v>0</v>
      </c>
      <c r="AD222" s="36" t="n">
        <f aca="false">IF($W222="RECEITA",$F222,0)</f>
        <v>0</v>
      </c>
      <c r="AE222" s="36" t="n">
        <f aca="false">IF($W222="DESPESA",$F222,0)</f>
        <v>0</v>
      </c>
      <c r="AF222" s="36" t="n">
        <f aca="false">IF($W222="RECEITA_FINANCEIRA",$F222,0)</f>
        <v>0</v>
      </c>
      <c r="AG222" s="36" t="n">
        <f aca="false">IF($B222="",0,IF($I222="CONTA",$F222,0)-IF($G222="CONTA",$F222,0))</f>
        <v>0</v>
      </c>
      <c r="AH222" s="36" t="n">
        <f aca="false">IF($B222="",0,IF($G222="CARTAO",$F222,0)-IF($I222="CARTAO",$F222,0))</f>
        <v>0</v>
      </c>
      <c r="AI222" s="36" t="n">
        <f aca="false">IF($B222="",0,IF($I222="INVESTIMENTO",$F222,0)-IF($G222="INVESTIMENTO",$F222,0))</f>
        <v>0</v>
      </c>
      <c r="AJ222" s="35" t="str">
        <f aca="false">IF($B222="","",IF(NOT(ISNUMBER($F222)),"ERRO: valor nao numerico",IF($F222&lt;=0,"ERRO: valor deve ser maior que zero",IF(COUNTIF(MAP_TIPO,$D222)=0,"ERRO: tipo de operacao nao cadastrado",IF(COUNTIF(LST_STATUS,$E222)=0,"ERRO: status invalido",IF(AND($G222="EXTERNO",$I222="EXTERNO"),"ERRO: origem e destino externos",IF(AND($G222&lt;&gt;"EXTERNO",COUNTIFS(ENT_ID,$H222,ENT_TIPO,$G222)=0),"ERRO: origem inexistente",IF(AND($I222&lt;&gt;"EXTERNO",COUNTIFS(ENT_ID,$J222,ENT_TIPO,$I222)=0),"ERRO: destino inexistente",IF(AND($K222&lt;&gt;"",COUNTIF(CAT_ID,$K222)=0),"ERRO: categoria inexistente",IF(AND($L222&lt;&gt;"",COUNTIF(SUB_ID,$L222)=0),"ERRO: subcategoria inexistente",IF(AND($L222&lt;&gt;"",$K222&lt;&gt;"",IFERROR(INDEX(SUB_CATID,MATCH($L222,SUB_ID,0)),"")&lt;&gt;$K222),"ERRO: subcategoria nao pertence a categoria",IF(AND($O222&lt;&gt;"",COUNTIF(P_ID,$O222)=0),"ERRO: parcela inexistente",IF(AND($N222&lt;&gt;"",COUNTIF(CM_ID,$N222)=0),"ERRO: compromisso inexistente","OK")))))))))))))</f>
        <v/>
      </c>
      <c r="AK222" s="35" t="str">
        <f aca="false">IF($B222="","",IF(AND($N222="",$O222="",$P222="",$Q222="",$R222=""),"","VINCULADO: "&amp;TRIM(IF($N222&lt;&gt;"",$N222&amp;" ","")&amp;IF($O222&lt;&gt;"",$O222&amp;" ","")&amp;IF($P222&lt;&gt;"",$P222&amp;" ","")&amp;IF($Q222&lt;&gt;"",$Q222&amp;" ","")&amp;IF($R222&lt;&gt;"",$R222,""))))</f>
        <v/>
      </c>
    </row>
    <row r="223" customFormat="false" ht="15" hidden="false" customHeight="false" outlineLevel="0" collapsed="false">
      <c r="A223" s="30" t="str">
        <f aca="false">IF($B223="","","LAN-"&amp;TEXT(ROW()-4,"000000"))</f>
        <v/>
      </c>
      <c r="B223" s="31"/>
      <c r="C223" s="32"/>
      <c r="D223" s="32"/>
      <c r="E223" s="32"/>
      <c r="F223" s="33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4" t="str">
        <f aca="false">IF($B223="","",YEAR($B223))</f>
        <v/>
      </c>
      <c r="U223" s="34" t="str">
        <f aca="false">IF($B223="","",MONTH($B223))</f>
        <v/>
      </c>
      <c r="V223" s="34" t="str">
        <f aca="false">IF($B223="","",YEAR($B223)*100+MONTH($B223))</f>
        <v/>
      </c>
      <c r="W223" s="35" t="str">
        <f aca="false">IF($D223="","",IFERROR(INDEX(MAP_CLASS,MATCH($D223,MAP_TIPO,0)),"TIPO INVALIDO"))</f>
        <v/>
      </c>
      <c r="X223" s="35" t="str">
        <f aca="false">IF($K223="","",IFERROR(INDEX(CAT_NOME,MATCH($K223,CAT_ID,0)),"?"))</f>
        <v/>
      </c>
      <c r="Y223" s="35" t="str">
        <f aca="false">IF($L223="","",IFERROR(INDEX(SUB_NOME,MATCH($L223,SUB_ID,0)),"?"))</f>
        <v/>
      </c>
      <c r="Z223" s="35" t="str">
        <f aca="false">IF($G223="","",IF($G223="EXTERNO","(Externo)",IFERROR(INDEX(ENT_NOME,MATCH($H223,ENT_ID,0)),"?")))</f>
        <v/>
      </c>
      <c r="AA223" s="35" t="str">
        <f aca="false">IF($I223="","",IF($I223="EXTERNO","(Externo)",IFERROR(INDEX(ENT_NOME,MATCH($J223,ENT_ID,0)),"?")))</f>
        <v/>
      </c>
      <c r="AB223" s="36" t="n">
        <f aca="false">IF($B223="",0,IF(AND($I223="CONTA",$G223&lt;&gt;"CONTA"),$F223,0))</f>
        <v>0</v>
      </c>
      <c r="AC223" s="36" t="n">
        <f aca="false">IF($B223="",0,IF(AND($G223="CONTA",$I223&lt;&gt;"CONTA"),$F223,0))</f>
        <v>0</v>
      </c>
      <c r="AD223" s="36" t="n">
        <f aca="false">IF($W223="RECEITA",$F223,0)</f>
        <v>0</v>
      </c>
      <c r="AE223" s="36" t="n">
        <f aca="false">IF($W223="DESPESA",$F223,0)</f>
        <v>0</v>
      </c>
      <c r="AF223" s="36" t="n">
        <f aca="false">IF($W223="RECEITA_FINANCEIRA",$F223,0)</f>
        <v>0</v>
      </c>
      <c r="AG223" s="36" t="n">
        <f aca="false">IF($B223="",0,IF($I223="CONTA",$F223,0)-IF($G223="CONTA",$F223,0))</f>
        <v>0</v>
      </c>
      <c r="AH223" s="36" t="n">
        <f aca="false">IF($B223="",0,IF($G223="CARTAO",$F223,0)-IF($I223="CARTAO",$F223,0))</f>
        <v>0</v>
      </c>
      <c r="AI223" s="36" t="n">
        <f aca="false">IF($B223="",0,IF($I223="INVESTIMENTO",$F223,0)-IF($G223="INVESTIMENTO",$F223,0))</f>
        <v>0</v>
      </c>
      <c r="AJ223" s="35" t="str">
        <f aca="false">IF($B223="","",IF(NOT(ISNUMBER($F223)),"ERRO: valor nao numerico",IF($F223&lt;=0,"ERRO: valor deve ser maior que zero",IF(COUNTIF(MAP_TIPO,$D223)=0,"ERRO: tipo de operacao nao cadastrado",IF(COUNTIF(LST_STATUS,$E223)=0,"ERRO: status invalido",IF(AND($G223="EXTERNO",$I223="EXTERNO"),"ERRO: origem e destino externos",IF(AND($G223&lt;&gt;"EXTERNO",COUNTIFS(ENT_ID,$H223,ENT_TIPO,$G223)=0),"ERRO: origem inexistente",IF(AND($I223&lt;&gt;"EXTERNO",COUNTIFS(ENT_ID,$J223,ENT_TIPO,$I223)=0),"ERRO: destino inexistente",IF(AND($K223&lt;&gt;"",COUNTIF(CAT_ID,$K223)=0),"ERRO: categoria inexistente",IF(AND($L223&lt;&gt;"",COUNTIF(SUB_ID,$L223)=0),"ERRO: subcategoria inexistente",IF(AND($L223&lt;&gt;"",$K223&lt;&gt;"",IFERROR(INDEX(SUB_CATID,MATCH($L223,SUB_ID,0)),"")&lt;&gt;$K223),"ERRO: subcategoria nao pertence a categoria",IF(AND($O223&lt;&gt;"",COUNTIF(P_ID,$O223)=0),"ERRO: parcela inexistente",IF(AND($N223&lt;&gt;"",COUNTIF(CM_ID,$N223)=0),"ERRO: compromisso inexistente","OK")))))))))))))</f>
        <v/>
      </c>
      <c r="AK223" s="35" t="str">
        <f aca="false">IF($B223="","",IF(AND($N223="",$O223="",$P223="",$Q223="",$R223=""),"","VINCULADO: "&amp;TRIM(IF($N223&lt;&gt;"",$N223&amp;" ","")&amp;IF($O223&lt;&gt;"",$O223&amp;" ","")&amp;IF($P223&lt;&gt;"",$P223&amp;" ","")&amp;IF($Q223&lt;&gt;"",$Q223&amp;" ","")&amp;IF($R223&lt;&gt;"",$R223,""))))</f>
        <v/>
      </c>
    </row>
    <row r="224" customFormat="false" ht="15" hidden="false" customHeight="false" outlineLevel="0" collapsed="false">
      <c r="A224" s="30" t="str">
        <f aca="false">IF($B224="","","LAN-"&amp;TEXT(ROW()-4,"000000"))</f>
        <v/>
      </c>
      <c r="B224" s="31"/>
      <c r="C224" s="32"/>
      <c r="D224" s="32"/>
      <c r="E224" s="32"/>
      <c r="F224" s="33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4" t="str">
        <f aca="false">IF($B224="","",YEAR($B224))</f>
        <v/>
      </c>
      <c r="U224" s="34" t="str">
        <f aca="false">IF($B224="","",MONTH($B224))</f>
        <v/>
      </c>
      <c r="V224" s="34" t="str">
        <f aca="false">IF($B224="","",YEAR($B224)*100+MONTH($B224))</f>
        <v/>
      </c>
      <c r="W224" s="35" t="str">
        <f aca="false">IF($D224="","",IFERROR(INDEX(MAP_CLASS,MATCH($D224,MAP_TIPO,0)),"TIPO INVALIDO"))</f>
        <v/>
      </c>
      <c r="X224" s="35" t="str">
        <f aca="false">IF($K224="","",IFERROR(INDEX(CAT_NOME,MATCH($K224,CAT_ID,0)),"?"))</f>
        <v/>
      </c>
      <c r="Y224" s="35" t="str">
        <f aca="false">IF($L224="","",IFERROR(INDEX(SUB_NOME,MATCH($L224,SUB_ID,0)),"?"))</f>
        <v/>
      </c>
      <c r="Z224" s="35" t="str">
        <f aca="false">IF($G224="","",IF($G224="EXTERNO","(Externo)",IFERROR(INDEX(ENT_NOME,MATCH($H224,ENT_ID,0)),"?")))</f>
        <v/>
      </c>
      <c r="AA224" s="35" t="str">
        <f aca="false">IF($I224="","",IF($I224="EXTERNO","(Externo)",IFERROR(INDEX(ENT_NOME,MATCH($J224,ENT_ID,0)),"?")))</f>
        <v/>
      </c>
      <c r="AB224" s="36" t="n">
        <f aca="false">IF($B224="",0,IF(AND($I224="CONTA",$G224&lt;&gt;"CONTA"),$F224,0))</f>
        <v>0</v>
      </c>
      <c r="AC224" s="36" t="n">
        <f aca="false">IF($B224="",0,IF(AND($G224="CONTA",$I224&lt;&gt;"CONTA"),$F224,0))</f>
        <v>0</v>
      </c>
      <c r="AD224" s="36" t="n">
        <f aca="false">IF($W224="RECEITA",$F224,0)</f>
        <v>0</v>
      </c>
      <c r="AE224" s="36" t="n">
        <f aca="false">IF($W224="DESPESA",$F224,0)</f>
        <v>0</v>
      </c>
      <c r="AF224" s="36" t="n">
        <f aca="false">IF($W224="RECEITA_FINANCEIRA",$F224,0)</f>
        <v>0</v>
      </c>
      <c r="AG224" s="36" t="n">
        <f aca="false">IF($B224="",0,IF($I224="CONTA",$F224,0)-IF($G224="CONTA",$F224,0))</f>
        <v>0</v>
      </c>
      <c r="AH224" s="36" t="n">
        <f aca="false">IF($B224="",0,IF($G224="CARTAO",$F224,0)-IF($I224="CARTAO",$F224,0))</f>
        <v>0</v>
      </c>
      <c r="AI224" s="36" t="n">
        <f aca="false">IF($B224="",0,IF($I224="INVESTIMENTO",$F224,0)-IF($G224="INVESTIMENTO",$F224,0))</f>
        <v>0</v>
      </c>
      <c r="AJ224" s="35" t="str">
        <f aca="false">IF($B224="","",IF(NOT(ISNUMBER($F224)),"ERRO: valor nao numerico",IF($F224&lt;=0,"ERRO: valor deve ser maior que zero",IF(COUNTIF(MAP_TIPO,$D224)=0,"ERRO: tipo de operacao nao cadastrado",IF(COUNTIF(LST_STATUS,$E224)=0,"ERRO: status invalido",IF(AND($G224="EXTERNO",$I224="EXTERNO"),"ERRO: origem e destino externos",IF(AND($G224&lt;&gt;"EXTERNO",COUNTIFS(ENT_ID,$H224,ENT_TIPO,$G224)=0),"ERRO: origem inexistente",IF(AND($I224&lt;&gt;"EXTERNO",COUNTIFS(ENT_ID,$J224,ENT_TIPO,$I224)=0),"ERRO: destino inexistente",IF(AND($K224&lt;&gt;"",COUNTIF(CAT_ID,$K224)=0),"ERRO: categoria inexistente",IF(AND($L224&lt;&gt;"",COUNTIF(SUB_ID,$L224)=0),"ERRO: subcategoria inexistente",IF(AND($L224&lt;&gt;"",$K224&lt;&gt;"",IFERROR(INDEX(SUB_CATID,MATCH($L224,SUB_ID,0)),"")&lt;&gt;$K224),"ERRO: subcategoria nao pertence a categoria",IF(AND($O224&lt;&gt;"",COUNTIF(P_ID,$O224)=0),"ERRO: parcela inexistente",IF(AND($N224&lt;&gt;"",COUNTIF(CM_ID,$N224)=0),"ERRO: compromisso inexistente","OK")))))))))))))</f>
        <v/>
      </c>
      <c r="AK224" s="35" t="str">
        <f aca="false">IF($B224="","",IF(AND($N224="",$O224="",$P224="",$Q224="",$R224=""),"","VINCULADO: "&amp;TRIM(IF($N224&lt;&gt;"",$N224&amp;" ","")&amp;IF($O224&lt;&gt;"",$O224&amp;" ","")&amp;IF($P224&lt;&gt;"",$P224&amp;" ","")&amp;IF($Q224&lt;&gt;"",$Q224&amp;" ","")&amp;IF($R224&lt;&gt;"",$R224,""))))</f>
        <v/>
      </c>
    </row>
    <row r="225" customFormat="false" ht="15" hidden="false" customHeight="false" outlineLevel="0" collapsed="false">
      <c r="A225" s="30" t="str">
        <f aca="false">IF($B225="","","LAN-"&amp;TEXT(ROW()-4,"000000"))</f>
        <v/>
      </c>
      <c r="B225" s="31"/>
      <c r="C225" s="32"/>
      <c r="D225" s="32"/>
      <c r="E225" s="32"/>
      <c r="F225" s="33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4" t="str">
        <f aca="false">IF($B225="","",YEAR($B225))</f>
        <v/>
      </c>
      <c r="U225" s="34" t="str">
        <f aca="false">IF($B225="","",MONTH($B225))</f>
        <v/>
      </c>
      <c r="V225" s="34" t="str">
        <f aca="false">IF($B225="","",YEAR($B225)*100+MONTH($B225))</f>
        <v/>
      </c>
      <c r="W225" s="35" t="str">
        <f aca="false">IF($D225="","",IFERROR(INDEX(MAP_CLASS,MATCH($D225,MAP_TIPO,0)),"TIPO INVALIDO"))</f>
        <v/>
      </c>
      <c r="X225" s="35" t="str">
        <f aca="false">IF($K225="","",IFERROR(INDEX(CAT_NOME,MATCH($K225,CAT_ID,0)),"?"))</f>
        <v/>
      </c>
      <c r="Y225" s="35" t="str">
        <f aca="false">IF($L225="","",IFERROR(INDEX(SUB_NOME,MATCH($L225,SUB_ID,0)),"?"))</f>
        <v/>
      </c>
      <c r="Z225" s="35" t="str">
        <f aca="false">IF($G225="","",IF($G225="EXTERNO","(Externo)",IFERROR(INDEX(ENT_NOME,MATCH($H225,ENT_ID,0)),"?")))</f>
        <v/>
      </c>
      <c r="AA225" s="35" t="str">
        <f aca="false">IF($I225="","",IF($I225="EXTERNO","(Externo)",IFERROR(INDEX(ENT_NOME,MATCH($J225,ENT_ID,0)),"?")))</f>
        <v/>
      </c>
      <c r="AB225" s="36" t="n">
        <f aca="false">IF($B225="",0,IF(AND($I225="CONTA",$G225&lt;&gt;"CONTA"),$F225,0))</f>
        <v>0</v>
      </c>
      <c r="AC225" s="36" t="n">
        <f aca="false">IF($B225="",0,IF(AND($G225="CONTA",$I225&lt;&gt;"CONTA"),$F225,0))</f>
        <v>0</v>
      </c>
      <c r="AD225" s="36" t="n">
        <f aca="false">IF($W225="RECEITA",$F225,0)</f>
        <v>0</v>
      </c>
      <c r="AE225" s="36" t="n">
        <f aca="false">IF($W225="DESPESA",$F225,0)</f>
        <v>0</v>
      </c>
      <c r="AF225" s="36" t="n">
        <f aca="false">IF($W225="RECEITA_FINANCEIRA",$F225,0)</f>
        <v>0</v>
      </c>
      <c r="AG225" s="36" t="n">
        <f aca="false">IF($B225="",0,IF($I225="CONTA",$F225,0)-IF($G225="CONTA",$F225,0))</f>
        <v>0</v>
      </c>
      <c r="AH225" s="36" t="n">
        <f aca="false">IF($B225="",0,IF($G225="CARTAO",$F225,0)-IF($I225="CARTAO",$F225,0))</f>
        <v>0</v>
      </c>
      <c r="AI225" s="36" t="n">
        <f aca="false">IF($B225="",0,IF($I225="INVESTIMENTO",$F225,0)-IF($G225="INVESTIMENTO",$F225,0))</f>
        <v>0</v>
      </c>
      <c r="AJ225" s="35" t="str">
        <f aca="false">IF($B225="","",IF(NOT(ISNUMBER($F225)),"ERRO: valor nao numerico",IF($F225&lt;=0,"ERRO: valor deve ser maior que zero",IF(COUNTIF(MAP_TIPO,$D225)=0,"ERRO: tipo de operacao nao cadastrado",IF(COUNTIF(LST_STATUS,$E225)=0,"ERRO: status invalido",IF(AND($G225="EXTERNO",$I225="EXTERNO"),"ERRO: origem e destino externos",IF(AND($G225&lt;&gt;"EXTERNO",COUNTIFS(ENT_ID,$H225,ENT_TIPO,$G225)=0),"ERRO: origem inexistente",IF(AND($I225&lt;&gt;"EXTERNO",COUNTIFS(ENT_ID,$J225,ENT_TIPO,$I225)=0),"ERRO: destino inexistente",IF(AND($K225&lt;&gt;"",COUNTIF(CAT_ID,$K225)=0),"ERRO: categoria inexistente",IF(AND($L225&lt;&gt;"",COUNTIF(SUB_ID,$L225)=0),"ERRO: subcategoria inexistente",IF(AND($L225&lt;&gt;"",$K225&lt;&gt;"",IFERROR(INDEX(SUB_CATID,MATCH($L225,SUB_ID,0)),"")&lt;&gt;$K225),"ERRO: subcategoria nao pertence a categoria",IF(AND($O225&lt;&gt;"",COUNTIF(P_ID,$O225)=0),"ERRO: parcela inexistente",IF(AND($N225&lt;&gt;"",COUNTIF(CM_ID,$N225)=0),"ERRO: compromisso inexistente","OK")))))))))))))</f>
        <v/>
      </c>
      <c r="AK225" s="35" t="str">
        <f aca="false">IF($B225="","",IF(AND($N225="",$O225="",$P225="",$Q225="",$R225=""),"","VINCULADO: "&amp;TRIM(IF($N225&lt;&gt;"",$N225&amp;" ","")&amp;IF($O225&lt;&gt;"",$O225&amp;" ","")&amp;IF($P225&lt;&gt;"",$P225&amp;" ","")&amp;IF($Q225&lt;&gt;"",$Q225&amp;" ","")&amp;IF($R225&lt;&gt;"",$R225,""))))</f>
        <v/>
      </c>
    </row>
    <row r="226" customFormat="false" ht="15" hidden="false" customHeight="false" outlineLevel="0" collapsed="false">
      <c r="A226" s="30" t="str">
        <f aca="false">IF($B226="","","LAN-"&amp;TEXT(ROW()-4,"000000"))</f>
        <v/>
      </c>
      <c r="B226" s="31"/>
      <c r="C226" s="32"/>
      <c r="D226" s="32"/>
      <c r="E226" s="32"/>
      <c r="F226" s="33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4" t="str">
        <f aca="false">IF($B226="","",YEAR($B226))</f>
        <v/>
      </c>
      <c r="U226" s="34" t="str">
        <f aca="false">IF($B226="","",MONTH($B226))</f>
        <v/>
      </c>
      <c r="V226" s="34" t="str">
        <f aca="false">IF($B226="","",YEAR($B226)*100+MONTH($B226))</f>
        <v/>
      </c>
      <c r="W226" s="35" t="str">
        <f aca="false">IF($D226="","",IFERROR(INDEX(MAP_CLASS,MATCH($D226,MAP_TIPO,0)),"TIPO INVALIDO"))</f>
        <v/>
      </c>
      <c r="X226" s="35" t="str">
        <f aca="false">IF($K226="","",IFERROR(INDEX(CAT_NOME,MATCH($K226,CAT_ID,0)),"?"))</f>
        <v/>
      </c>
      <c r="Y226" s="35" t="str">
        <f aca="false">IF($L226="","",IFERROR(INDEX(SUB_NOME,MATCH($L226,SUB_ID,0)),"?"))</f>
        <v/>
      </c>
      <c r="Z226" s="35" t="str">
        <f aca="false">IF($G226="","",IF($G226="EXTERNO","(Externo)",IFERROR(INDEX(ENT_NOME,MATCH($H226,ENT_ID,0)),"?")))</f>
        <v/>
      </c>
      <c r="AA226" s="35" t="str">
        <f aca="false">IF($I226="","",IF($I226="EXTERNO","(Externo)",IFERROR(INDEX(ENT_NOME,MATCH($J226,ENT_ID,0)),"?")))</f>
        <v/>
      </c>
      <c r="AB226" s="36" t="n">
        <f aca="false">IF($B226="",0,IF(AND($I226="CONTA",$G226&lt;&gt;"CONTA"),$F226,0))</f>
        <v>0</v>
      </c>
      <c r="AC226" s="36" t="n">
        <f aca="false">IF($B226="",0,IF(AND($G226="CONTA",$I226&lt;&gt;"CONTA"),$F226,0))</f>
        <v>0</v>
      </c>
      <c r="AD226" s="36" t="n">
        <f aca="false">IF($W226="RECEITA",$F226,0)</f>
        <v>0</v>
      </c>
      <c r="AE226" s="36" t="n">
        <f aca="false">IF($W226="DESPESA",$F226,0)</f>
        <v>0</v>
      </c>
      <c r="AF226" s="36" t="n">
        <f aca="false">IF($W226="RECEITA_FINANCEIRA",$F226,0)</f>
        <v>0</v>
      </c>
      <c r="AG226" s="36" t="n">
        <f aca="false">IF($B226="",0,IF($I226="CONTA",$F226,0)-IF($G226="CONTA",$F226,0))</f>
        <v>0</v>
      </c>
      <c r="AH226" s="36" t="n">
        <f aca="false">IF($B226="",0,IF($G226="CARTAO",$F226,0)-IF($I226="CARTAO",$F226,0))</f>
        <v>0</v>
      </c>
      <c r="AI226" s="36" t="n">
        <f aca="false">IF($B226="",0,IF($I226="INVESTIMENTO",$F226,0)-IF($G226="INVESTIMENTO",$F226,0))</f>
        <v>0</v>
      </c>
      <c r="AJ226" s="35" t="str">
        <f aca="false">IF($B226="","",IF(NOT(ISNUMBER($F226)),"ERRO: valor nao numerico",IF($F226&lt;=0,"ERRO: valor deve ser maior que zero",IF(COUNTIF(MAP_TIPO,$D226)=0,"ERRO: tipo de operacao nao cadastrado",IF(COUNTIF(LST_STATUS,$E226)=0,"ERRO: status invalido",IF(AND($G226="EXTERNO",$I226="EXTERNO"),"ERRO: origem e destino externos",IF(AND($G226&lt;&gt;"EXTERNO",COUNTIFS(ENT_ID,$H226,ENT_TIPO,$G226)=0),"ERRO: origem inexistente",IF(AND($I226&lt;&gt;"EXTERNO",COUNTIFS(ENT_ID,$J226,ENT_TIPO,$I226)=0),"ERRO: destino inexistente",IF(AND($K226&lt;&gt;"",COUNTIF(CAT_ID,$K226)=0),"ERRO: categoria inexistente",IF(AND($L226&lt;&gt;"",COUNTIF(SUB_ID,$L226)=0),"ERRO: subcategoria inexistente",IF(AND($L226&lt;&gt;"",$K226&lt;&gt;"",IFERROR(INDEX(SUB_CATID,MATCH($L226,SUB_ID,0)),"")&lt;&gt;$K226),"ERRO: subcategoria nao pertence a categoria",IF(AND($O226&lt;&gt;"",COUNTIF(P_ID,$O226)=0),"ERRO: parcela inexistente",IF(AND($N226&lt;&gt;"",COUNTIF(CM_ID,$N226)=0),"ERRO: compromisso inexistente","OK")))))))))))))</f>
        <v/>
      </c>
      <c r="AK226" s="35" t="str">
        <f aca="false">IF($B226="","",IF(AND($N226="",$O226="",$P226="",$Q226="",$R226=""),"","VINCULADO: "&amp;TRIM(IF($N226&lt;&gt;"",$N226&amp;" ","")&amp;IF($O226&lt;&gt;"",$O226&amp;" ","")&amp;IF($P226&lt;&gt;"",$P226&amp;" ","")&amp;IF($Q226&lt;&gt;"",$Q226&amp;" ","")&amp;IF($R226&lt;&gt;"",$R226,""))))</f>
        <v/>
      </c>
    </row>
    <row r="227" customFormat="false" ht="15" hidden="false" customHeight="false" outlineLevel="0" collapsed="false">
      <c r="A227" s="30" t="str">
        <f aca="false">IF($B227="","","LAN-"&amp;TEXT(ROW()-4,"000000"))</f>
        <v/>
      </c>
      <c r="B227" s="31"/>
      <c r="C227" s="32"/>
      <c r="D227" s="32"/>
      <c r="E227" s="32"/>
      <c r="F227" s="33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4" t="str">
        <f aca="false">IF($B227="","",YEAR($B227))</f>
        <v/>
      </c>
      <c r="U227" s="34" t="str">
        <f aca="false">IF($B227="","",MONTH($B227))</f>
        <v/>
      </c>
      <c r="V227" s="34" t="str">
        <f aca="false">IF($B227="","",YEAR($B227)*100+MONTH($B227))</f>
        <v/>
      </c>
      <c r="W227" s="35" t="str">
        <f aca="false">IF($D227="","",IFERROR(INDEX(MAP_CLASS,MATCH($D227,MAP_TIPO,0)),"TIPO INVALIDO"))</f>
        <v/>
      </c>
      <c r="X227" s="35" t="str">
        <f aca="false">IF($K227="","",IFERROR(INDEX(CAT_NOME,MATCH($K227,CAT_ID,0)),"?"))</f>
        <v/>
      </c>
      <c r="Y227" s="35" t="str">
        <f aca="false">IF($L227="","",IFERROR(INDEX(SUB_NOME,MATCH($L227,SUB_ID,0)),"?"))</f>
        <v/>
      </c>
      <c r="Z227" s="35" t="str">
        <f aca="false">IF($G227="","",IF($G227="EXTERNO","(Externo)",IFERROR(INDEX(ENT_NOME,MATCH($H227,ENT_ID,0)),"?")))</f>
        <v/>
      </c>
      <c r="AA227" s="35" t="str">
        <f aca="false">IF($I227="","",IF($I227="EXTERNO","(Externo)",IFERROR(INDEX(ENT_NOME,MATCH($J227,ENT_ID,0)),"?")))</f>
        <v/>
      </c>
      <c r="AB227" s="36" t="n">
        <f aca="false">IF($B227="",0,IF(AND($I227="CONTA",$G227&lt;&gt;"CONTA"),$F227,0))</f>
        <v>0</v>
      </c>
      <c r="AC227" s="36" t="n">
        <f aca="false">IF($B227="",0,IF(AND($G227="CONTA",$I227&lt;&gt;"CONTA"),$F227,0))</f>
        <v>0</v>
      </c>
      <c r="AD227" s="36" t="n">
        <f aca="false">IF($W227="RECEITA",$F227,0)</f>
        <v>0</v>
      </c>
      <c r="AE227" s="36" t="n">
        <f aca="false">IF($W227="DESPESA",$F227,0)</f>
        <v>0</v>
      </c>
      <c r="AF227" s="36" t="n">
        <f aca="false">IF($W227="RECEITA_FINANCEIRA",$F227,0)</f>
        <v>0</v>
      </c>
      <c r="AG227" s="36" t="n">
        <f aca="false">IF($B227="",0,IF($I227="CONTA",$F227,0)-IF($G227="CONTA",$F227,0))</f>
        <v>0</v>
      </c>
      <c r="AH227" s="36" t="n">
        <f aca="false">IF($B227="",0,IF($G227="CARTAO",$F227,0)-IF($I227="CARTAO",$F227,0))</f>
        <v>0</v>
      </c>
      <c r="AI227" s="36" t="n">
        <f aca="false">IF($B227="",0,IF($I227="INVESTIMENTO",$F227,0)-IF($G227="INVESTIMENTO",$F227,0))</f>
        <v>0</v>
      </c>
      <c r="AJ227" s="35" t="str">
        <f aca="false">IF($B227="","",IF(NOT(ISNUMBER($F227)),"ERRO: valor nao numerico",IF($F227&lt;=0,"ERRO: valor deve ser maior que zero",IF(COUNTIF(MAP_TIPO,$D227)=0,"ERRO: tipo de operacao nao cadastrado",IF(COUNTIF(LST_STATUS,$E227)=0,"ERRO: status invalido",IF(AND($G227="EXTERNO",$I227="EXTERNO"),"ERRO: origem e destino externos",IF(AND($G227&lt;&gt;"EXTERNO",COUNTIFS(ENT_ID,$H227,ENT_TIPO,$G227)=0),"ERRO: origem inexistente",IF(AND($I227&lt;&gt;"EXTERNO",COUNTIFS(ENT_ID,$J227,ENT_TIPO,$I227)=0),"ERRO: destino inexistente",IF(AND($K227&lt;&gt;"",COUNTIF(CAT_ID,$K227)=0),"ERRO: categoria inexistente",IF(AND($L227&lt;&gt;"",COUNTIF(SUB_ID,$L227)=0),"ERRO: subcategoria inexistente",IF(AND($L227&lt;&gt;"",$K227&lt;&gt;"",IFERROR(INDEX(SUB_CATID,MATCH($L227,SUB_ID,0)),"")&lt;&gt;$K227),"ERRO: subcategoria nao pertence a categoria",IF(AND($O227&lt;&gt;"",COUNTIF(P_ID,$O227)=0),"ERRO: parcela inexistente",IF(AND($N227&lt;&gt;"",COUNTIF(CM_ID,$N227)=0),"ERRO: compromisso inexistente","OK")))))))))))))</f>
        <v/>
      </c>
      <c r="AK227" s="35" t="str">
        <f aca="false">IF($B227="","",IF(AND($N227="",$O227="",$P227="",$Q227="",$R227=""),"","VINCULADO: "&amp;TRIM(IF($N227&lt;&gt;"",$N227&amp;" ","")&amp;IF($O227&lt;&gt;"",$O227&amp;" ","")&amp;IF($P227&lt;&gt;"",$P227&amp;" ","")&amp;IF($Q227&lt;&gt;"",$Q227&amp;" ","")&amp;IF($R227&lt;&gt;"",$R227,""))))</f>
        <v/>
      </c>
    </row>
    <row r="228" customFormat="false" ht="15" hidden="false" customHeight="false" outlineLevel="0" collapsed="false">
      <c r="A228" s="30" t="str">
        <f aca="false">IF($B228="","","LAN-"&amp;TEXT(ROW()-4,"000000"))</f>
        <v/>
      </c>
      <c r="B228" s="31"/>
      <c r="C228" s="32"/>
      <c r="D228" s="32"/>
      <c r="E228" s="32"/>
      <c r="F228" s="33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4" t="str">
        <f aca="false">IF($B228="","",YEAR($B228))</f>
        <v/>
      </c>
      <c r="U228" s="34" t="str">
        <f aca="false">IF($B228="","",MONTH($B228))</f>
        <v/>
      </c>
      <c r="V228" s="34" t="str">
        <f aca="false">IF($B228="","",YEAR($B228)*100+MONTH($B228))</f>
        <v/>
      </c>
      <c r="W228" s="35" t="str">
        <f aca="false">IF($D228="","",IFERROR(INDEX(MAP_CLASS,MATCH($D228,MAP_TIPO,0)),"TIPO INVALIDO"))</f>
        <v/>
      </c>
      <c r="X228" s="35" t="str">
        <f aca="false">IF($K228="","",IFERROR(INDEX(CAT_NOME,MATCH($K228,CAT_ID,0)),"?"))</f>
        <v/>
      </c>
      <c r="Y228" s="35" t="str">
        <f aca="false">IF($L228="","",IFERROR(INDEX(SUB_NOME,MATCH($L228,SUB_ID,0)),"?"))</f>
        <v/>
      </c>
      <c r="Z228" s="35" t="str">
        <f aca="false">IF($G228="","",IF($G228="EXTERNO","(Externo)",IFERROR(INDEX(ENT_NOME,MATCH($H228,ENT_ID,0)),"?")))</f>
        <v/>
      </c>
      <c r="AA228" s="35" t="str">
        <f aca="false">IF($I228="","",IF($I228="EXTERNO","(Externo)",IFERROR(INDEX(ENT_NOME,MATCH($J228,ENT_ID,0)),"?")))</f>
        <v/>
      </c>
      <c r="AB228" s="36" t="n">
        <f aca="false">IF($B228="",0,IF(AND($I228="CONTA",$G228&lt;&gt;"CONTA"),$F228,0))</f>
        <v>0</v>
      </c>
      <c r="AC228" s="36" t="n">
        <f aca="false">IF($B228="",0,IF(AND($G228="CONTA",$I228&lt;&gt;"CONTA"),$F228,0))</f>
        <v>0</v>
      </c>
      <c r="AD228" s="36" t="n">
        <f aca="false">IF($W228="RECEITA",$F228,0)</f>
        <v>0</v>
      </c>
      <c r="AE228" s="36" t="n">
        <f aca="false">IF($W228="DESPESA",$F228,0)</f>
        <v>0</v>
      </c>
      <c r="AF228" s="36" t="n">
        <f aca="false">IF($W228="RECEITA_FINANCEIRA",$F228,0)</f>
        <v>0</v>
      </c>
      <c r="AG228" s="36" t="n">
        <f aca="false">IF($B228="",0,IF($I228="CONTA",$F228,0)-IF($G228="CONTA",$F228,0))</f>
        <v>0</v>
      </c>
      <c r="AH228" s="36" t="n">
        <f aca="false">IF($B228="",0,IF($G228="CARTAO",$F228,0)-IF($I228="CARTAO",$F228,0))</f>
        <v>0</v>
      </c>
      <c r="AI228" s="36" t="n">
        <f aca="false">IF($B228="",0,IF($I228="INVESTIMENTO",$F228,0)-IF($G228="INVESTIMENTO",$F228,0))</f>
        <v>0</v>
      </c>
      <c r="AJ228" s="35" t="str">
        <f aca="false">IF($B228="","",IF(NOT(ISNUMBER($F228)),"ERRO: valor nao numerico",IF($F228&lt;=0,"ERRO: valor deve ser maior que zero",IF(COUNTIF(MAP_TIPO,$D228)=0,"ERRO: tipo de operacao nao cadastrado",IF(COUNTIF(LST_STATUS,$E228)=0,"ERRO: status invalido",IF(AND($G228="EXTERNO",$I228="EXTERNO"),"ERRO: origem e destino externos",IF(AND($G228&lt;&gt;"EXTERNO",COUNTIFS(ENT_ID,$H228,ENT_TIPO,$G228)=0),"ERRO: origem inexistente",IF(AND($I228&lt;&gt;"EXTERNO",COUNTIFS(ENT_ID,$J228,ENT_TIPO,$I228)=0),"ERRO: destino inexistente",IF(AND($K228&lt;&gt;"",COUNTIF(CAT_ID,$K228)=0),"ERRO: categoria inexistente",IF(AND($L228&lt;&gt;"",COUNTIF(SUB_ID,$L228)=0),"ERRO: subcategoria inexistente",IF(AND($L228&lt;&gt;"",$K228&lt;&gt;"",IFERROR(INDEX(SUB_CATID,MATCH($L228,SUB_ID,0)),"")&lt;&gt;$K228),"ERRO: subcategoria nao pertence a categoria",IF(AND($O228&lt;&gt;"",COUNTIF(P_ID,$O228)=0),"ERRO: parcela inexistente",IF(AND($N228&lt;&gt;"",COUNTIF(CM_ID,$N228)=0),"ERRO: compromisso inexistente","OK")))))))))))))</f>
        <v/>
      </c>
      <c r="AK228" s="35" t="str">
        <f aca="false">IF($B228="","",IF(AND($N228="",$O228="",$P228="",$Q228="",$R228=""),"","VINCULADO: "&amp;TRIM(IF($N228&lt;&gt;"",$N228&amp;" ","")&amp;IF($O228&lt;&gt;"",$O228&amp;" ","")&amp;IF($P228&lt;&gt;"",$P228&amp;" ","")&amp;IF($Q228&lt;&gt;"",$Q228&amp;" ","")&amp;IF($R228&lt;&gt;"",$R228,""))))</f>
        <v/>
      </c>
    </row>
    <row r="229" customFormat="false" ht="15" hidden="false" customHeight="false" outlineLevel="0" collapsed="false">
      <c r="A229" s="30" t="str">
        <f aca="false">IF($B229="","","LAN-"&amp;TEXT(ROW()-4,"000000"))</f>
        <v/>
      </c>
      <c r="B229" s="31"/>
      <c r="C229" s="32"/>
      <c r="D229" s="32"/>
      <c r="E229" s="32"/>
      <c r="F229" s="33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4" t="str">
        <f aca="false">IF($B229="","",YEAR($B229))</f>
        <v/>
      </c>
      <c r="U229" s="34" t="str">
        <f aca="false">IF($B229="","",MONTH($B229))</f>
        <v/>
      </c>
      <c r="V229" s="34" t="str">
        <f aca="false">IF($B229="","",YEAR($B229)*100+MONTH($B229))</f>
        <v/>
      </c>
      <c r="W229" s="35" t="str">
        <f aca="false">IF($D229="","",IFERROR(INDEX(MAP_CLASS,MATCH($D229,MAP_TIPO,0)),"TIPO INVALIDO"))</f>
        <v/>
      </c>
      <c r="X229" s="35" t="str">
        <f aca="false">IF($K229="","",IFERROR(INDEX(CAT_NOME,MATCH($K229,CAT_ID,0)),"?"))</f>
        <v/>
      </c>
      <c r="Y229" s="35" t="str">
        <f aca="false">IF($L229="","",IFERROR(INDEX(SUB_NOME,MATCH($L229,SUB_ID,0)),"?"))</f>
        <v/>
      </c>
      <c r="Z229" s="35" t="str">
        <f aca="false">IF($G229="","",IF($G229="EXTERNO","(Externo)",IFERROR(INDEX(ENT_NOME,MATCH($H229,ENT_ID,0)),"?")))</f>
        <v/>
      </c>
      <c r="AA229" s="35" t="str">
        <f aca="false">IF($I229="","",IF($I229="EXTERNO","(Externo)",IFERROR(INDEX(ENT_NOME,MATCH($J229,ENT_ID,0)),"?")))</f>
        <v/>
      </c>
      <c r="AB229" s="36" t="n">
        <f aca="false">IF($B229="",0,IF(AND($I229="CONTA",$G229&lt;&gt;"CONTA"),$F229,0))</f>
        <v>0</v>
      </c>
      <c r="AC229" s="36" t="n">
        <f aca="false">IF($B229="",0,IF(AND($G229="CONTA",$I229&lt;&gt;"CONTA"),$F229,0))</f>
        <v>0</v>
      </c>
      <c r="AD229" s="36" t="n">
        <f aca="false">IF($W229="RECEITA",$F229,0)</f>
        <v>0</v>
      </c>
      <c r="AE229" s="36" t="n">
        <f aca="false">IF($W229="DESPESA",$F229,0)</f>
        <v>0</v>
      </c>
      <c r="AF229" s="36" t="n">
        <f aca="false">IF($W229="RECEITA_FINANCEIRA",$F229,0)</f>
        <v>0</v>
      </c>
      <c r="AG229" s="36" t="n">
        <f aca="false">IF($B229="",0,IF($I229="CONTA",$F229,0)-IF($G229="CONTA",$F229,0))</f>
        <v>0</v>
      </c>
      <c r="AH229" s="36" t="n">
        <f aca="false">IF($B229="",0,IF($G229="CARTAO",$F229,0)-IF($I229="CARTAO",$F229,0))</f>
        <v>0</v>
      </c>
      <c r="AI229" s="36" t="n">
        <f aca="false">IF($B229="",0,IF($I229="INVESTIMENTO",$F229,0)-IF($G229="INVESTIMENTO",$F229,0))</f>
        <v>0</v>
      </c>
      <c r="AJ229" s="35" t="str">
        <f aca="false">IF($B229="","",IF(NOT(ISNUMBER($F229)),"ERRO: valor nao numerico",IF($F229&lt;=0,"ERRO: valor deve ser maior que zero",IF(COUNTIF(MAP_TIPO,$D229)=0,"ERRO: tipo de operacao nao cadastrado",IF(COUNTIF(LST_STATUS,$E229)=0,"ERRO: status invalido",IF(AND($G229="EXTERNO",$I229="EXTERNO"),"ERRO: origem e destino externos",IF(AND($G229&lt;&gt;"EXTERNO",COUNTIFS(ENT_ID,$H229,ENT_TIPO,$G229)=0),"ERRO: origem inexistente",IF(AND($I229&lt;&gt;"EXTERNO",COUNTIFS(ENT_ID,$J229,ENT_TIPO,$I229)=0),"ERRO: destino inexistente",IF(AND($K229&lt;&gt;"",COUNTIF(CAT_ID,$K229)=0),"ERRO: categoria inexistente",IF(AND($L229&lt;&gt;"",COUNTIF(SUB_ID,$L229)=0),"ERRO: subcategoria inexistente",IF(AND($L229&lt;&gt;"",$K229&lt;&gt;"",IFERROR(INDEX(SUB_CATID,MATCH($L229,SUB_ID,0)),"")&lt;&gt;$K229),"ERRO: subcategoria nao pertence a categoria",IF(AND($O229&lt;&gt;"",COUNTIF(P_ID,$O229)=0),"ERRO: parcela inexistente",IF(AND($N229&lt;&gt;"",COUNTIF(CM_ID,$N229)=0),"ERRO: compromisso inexistente","OK")))))))))))))</f>
        <v/>
      </c>
      <c r="AK229" s="35" t="str">
        <f aca="false">IF($B229="","",IF(AND($N229="",$O229="",$P229="",$Q229="",$R229=""),"","VINCULADO: "&amp;TRIM(IF($N229&lt;&gt;"",$N229&amp;" ","")&amp;IF($O229&lt;&gt;"",$O229&amp;" ","")&amp;IF($P229&lt;&gt;"",$P229&amp;" ","")&amp;IF($Q229&lt;&gt;"",$Q229&amp;" ","")&amp;IF($R229&lt;&gt;"",$R229,""))))</f>
        <v/>
      </c>
    </row>
    <row r="230" customFormat="false" ht="15" hidden="false" customHeight="false" outlineLevel="0" collapsed="false">
      <c r="A230" s="30" t="str">
        <f aca="false">IF($B230="","","LAN-"&amp;TEXT(ROW()-4,"000000"))</f>
        <v/>
      </c>
      <c r="B230" s="31"/>
      <c r="C230" s="32"/>
      <c r="D230" s="32"/>
      <c r="E230" s="32"/>
      <c r="F230" s="33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4" t="str">
        <f aca="false">IF($B230="","",YEAR($B230))</f>
        <v/>
      </c>
      <c r="U230" s="34" t="str">
        <f aca="false">IF($B230="","",MONTH($B230))</f>
        <v/>
      </c>
      <c r="V230" s="34" t="str">
        <f aca="false">IF($B230="","",YEAR($B230)*100+MONTH($B230))</f>
        <v/>
      </c>
      <c r="W230" s="35" t="str">
        <f aca="false">IF($D230="","",IFERROR(INDEX(MAP_CLASS,MATCH($D230,MAP_TIPO,0)),"TIPO INVALIDO"))</f>
        <v/>
      </c>
      <c r="X230" s="35" t="str">
        <f aca="false">IF($K230="","",IFERROR(INDEX(CAT_NOME,MATCH($K230,CAT_ID,0)),"?"))</f>
        <v/>
      </c>
      <c r="Y230" s="35" t="str">
        <f aca="false">IF($L230="","",IFERROR(INDEX(SUB_NOME,MATCH($L230,SUB_ID,0)),"?"))</f>
        <v/>
      </c>
      <c r="Z230" s="35" t="str">
        <f aca="false">IF($G230="","",IF($G230="EXTERNO","(Externo)",IFERROR(INDEX(ENT_NOME,MATCH($H230,ENT_ID,0)),"?")))</f>
        <v/>
      </c>
      <c r="AA230" s="35" t="str">
        <f aca="false">IF($I230="","",IF($I230="EXTERNO","(Externo)",IFERROR(INDEX(ENT_NOME,MATCH($J230,ENT_ID,0)),"?")))</f>
        <v/>
      </c>
      <c r="AB230" s="36" t="n">
        <f aca="false">IF($B230="",0,IF(AND($I230="CONTA",$G230&lt;&gt;"CONTA"),$F230,0))</f>
        <v>0</v>
      </c>
      <c r="AC230" s="36" t="n">
        <f aca="false">IF($B230="",0,IF(AND($G230="CONTA",$I230&lt;&gt;"CONTA"),$F230,0))</f>
        <v>0</v>
      </c>
      <c r="AD230" s="36" t="n">
        <f aca="false">IF($W230="RECEITA",$F230,0)</f>
        <v>0</v>
      </c>
      <c r="AE230" s="36" t="n">
        <f aca="false">IF($W230="DESPESA",$F230,0)</f>
        <v>0</v>
      </c>
      <c r="AF230" s="36" t="n">
        <f aca="false">IF($W230="RECEITA_FINANCEIRA",$F230,0)</f>
        <v>0</v>
      </c>
      <c r="AG230" s="36" t="n">
        <f aca="false">IF($B230="",0,IF($I230="CONTA",$F230,0)-IF($G230="CONTA",$F230,0))</f>
        <v>0</v>
      </c>
      <c r="AH230" s="36" t="n">
        <f aca="false">IF($B230="",0,IF($G230="CARTAO",$F230,0)-IF($I230="CARTAO",$F230,0))</f>
        <v>0</v>
      </c>
      <c r="AI230" s="36" t="n">
        <f aca="false">IF($B230="",0,IF($I230="INVESTIMENTO",$F230,0)-IF($G230="INVESTIMENTO",$F230,0))</f>
        <v>0</v>
      </c>
      <c r="AJ230" s="35" t="str">
        <f aca="false">IF($B230="","",IF(NOT(ISNUMBER($F230)),"ERRO: valor nao numerico",IF($F230&lt;=0,"ERRO: valor deve ser maior que zero",IF(COUNTIF(MAP_TIPO,$D230)=0,"ERRO: tipo de operacao nao cadastrado",IF(COUNTIF(LST_STATUS,$E230)=0,"ERRO: status invalido",IF(AND($G230="EXTERNO",$I230="EXTERNO"),"ERRO: origem e destino externos",IF(AND($G230&lt;&gt;"EXTERNO",COUNTIFS(ENT_ID,$H230,ENT_TIPO,$G230)=0),"ERRO: origem inexistente",IF(AND($I230&lt;&gt;"EXTERNO",COUNTIFS(ENT_ID,$J230,ENT_TIPO,$I230)=0),"ERRO: destino inexistente",IF(AND($K230&lt;&gt;"",COUNTIF(CAT_ID,$K230)=0),"ERRO: categoria inexistente",IF(AND($L230&lt;&gt;"",COUNTIF(SUB_ID,$L230)=0),"ERRO: subcategoria inexistente",IF(AND($L230&lt;&gt;"",$K230&lt;&gt;"",IFERROR(INDEX(SUB_CATID,MATCH($L230,SUB_ID,0)),"")&lt;&gt;$K230),"ERRO: subcategoria nao pertence a categoria",IF(AND($O230&lt;&gt;"",COUNTIF(P_ID,$O230)=0),"ERRO: parcela inexistente",IF(AND($N230&lt;&gt;"",COUNTIF(CM_ID,$N230)=0),"ERRO: compromisso inexistente","OK")))))))))))))</f>
        <v/>
      </c>
      <c r="AK230" s="35" t="str">
        <f aca="false">IF($B230="","",IF(AND($N230="",$O230="",$P230="",$Q230="",$R230=""),"","VINCULADO: "&amp;TRIM(IF($N230&lt;&gt;"",$N230&amp;" ","")&amp;IF($O230&lt;&gt;"",$O230&amp;" ","")&amp;IF($P230&lt;&gt;"",$P230&amp;" ","")&amp;IF($Q230&lt;&gt;"",$Q230&amp;" ","")&amp;IF($R230&lt;&gt;"",$R230,""))))</f>
        <v/>
      </c>
    </row>
    <row r="231" customFormat="false" ht="15" hidden="false" customHeight="false" outlineLevel="0" collapsed="false">
      <c r="A231" s="30" t="str">
        <f aca="false">IF($B231="","","LAN-"&amp;TEXT(ROW()-4,"000000"))</f>
        <v/>
      </c>
      <c r="B231" s="31"/>
      <c r="C231" s="32"/>
      <c r="D231" s="32"/>
      <c r="E231" s="32"/>
      <c r="F231" s="33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4" t="str">
        <f aca="false">IF($B231="","",YEAR($B231))</f>
        <v/>
      </c>
      <c r="U231" s="34" t="str">
        <f aca="false">IF($B231="","",MONTH($B231))</f>
        <v/>
      </c>
      <c r="V231" s="34" t="str">
        <f aca="false">IF($B231="","",YEAR($B231)*100+MONTH($B231))</f>
        <v/>
      </c>
      <c r="W231" s="35" t="str">
        <f aca="false">IF($D231="","",IFERROR(INDEX(MAP_CLASS,MATCH($D231,MAP_TIPO,0)),"TIPO INVALIDO"))</f>
        <v/>
      </c>
      <c r="X231" s="35" t="str">
        <f aca="false">IF($K231="","",IFERROR(INDEX(CAT_NOME,MATCH($K231,CAT_ID,0)),"?"))</f>
        <v/>
      </c>
      <c r="Y231" s="35" t="str">
        <f aca="false">IF($L231="","",IFERROR(INDEX(SUB_NOME,MATCH($L231,SUB_ID,0)),"?"))</f>
        <v/>
      </c>
      <c r="Z231" s="35" t="str">
        <f aca="false">IF($G231="","",IF($G231="EXTERNO","(Externo)",IFERROR(INDEX(ENT_NOME,MATCH($H231,ENT_ID,0)),"?")))</f>
        <v/>
      </c>
      <c r="AA231" s="35" t="str">
        <f aca="false">IF($I231="","",IF($I231="EXTERNO","(Externo)",IFERROR(INDEX(ENT_NOME,MATCH($J231,ENT_ID,0)),"?")))</f>
        <v/>
      </c>
      <c r="AB231" s="36" t="n">
        <f aca="false">IF($B231="",0,IF(AND($I231="CONTA",$G231&lt;&gt;"CONTA"),$F231,0))</f>
        <v>0</v>
      </c>
      <c r="AC231" s="36" t="n">
        <f aca="false">IF($B231="",0,IF(AND($G231="CONTA",$I231&lt;&gt;"CONTA"),$F231,0))</f>
        <v>0</v>
      </c>
      <c r="AD231" s="36" t="n">
        <f aca="false">IF($W231="RECEITA",$F231,0)</f>
        <v>0</v>
      </c>
      <c r="AE231" s="36" t="n">
        <f aca="false">IF($W231="DESPESA",$F231,0)</f>
        <v>0</v>
      </c>
      <c r="AF231" s="36" t="n">
        <f aca="false">IF($W231="RECEITA_FINANCEIRA",$F231,0)</f>
        <v>0</v>
      </c>
      <c r="AG231" s="36" t="n">
        <f aca="false">IF($B231="",0,IF($I231="CONTA",$F231,0)-IF($G231="CONTA",$F231,0))</f>
        <v>0</v>
      </c>
      <c r="AH231" s="36" t="n">
        <f aca="false">IF($B231="",0,IF($G231="CARTAO",$F231,0)-IF($I231="CARTAO",$F231,0))</f>
        <v>0</v>
      </c>
      <c r="AI231" s="36" t="n">
        <f aca="false">IF($B231="",0,IF($I231="INVESTIMENTO",$F231,0)-IF($G231="INVESTIMENTO",$F231,0))</f>
        <v>0</v>
      </c>
      <c r="AJ231" s="35" t="str">
        <f aca="false">IF($B231="","",IF(NOT(ISNUMBER($F231)),"ERRO: valor nao numerico",IF($F231&lt;=0,"ERRO: valor deve ser maior que zero",IF(COUNTIF(MAP_TIPO,$D231)=0,"ERRO: tipo de operacao nao cadastrado",IF(COUNTIF(LST_STATUS,$E231)=0,"ERRO: status invalido",IF(AND($G231="EXTERNO",$I231="EXTERNO"),"ERRO: origem e destino externos",IF(AND($G231&lt;&gt;"EXTERNO",COUNTIFS(ENT_ID,$H231,ENT_TIPO,$G231)=0),"ERRO: origem inexistente",IF(AND($I231&lt;&gt;"EXTERNO",COUNTIFS(ENT_ID,$J231,ENT_TIPO,$I231)=0),"ERRO: destino inexistente",IF(AND($K231&lt;&gt;"",COUNTIF(CAT_ID,$K231)=0),"ERRO: categoria inexistente",IF(AND($L231&lt;&gt;"",COUNTIF(SUB_ID,$L231)=0),"ERRO: subcategoria inexistente",IF(AND($L231&lt;&gt;"",$K231&lt;&gt;"",IFERROR(INDEX(SUB_CATID,MATCH($L231,SUB_ID,0)),"")&lt;&gt;$K231),"ERRO: subcategoria nao pertence a categoria",IF(AND($O231&lt;&gt;"",COUNTIF(P_ID,$O231)=0),"ERRO: parcela inexistente",IF(AND($N231&lt;&gt;"",COUNTIF(CM_ID,$N231)=0),"ERRO: compromisso inexistente","OK")))))))))))))</f>
        <v/>
      </c>
      <c r="AK231" s="35" t="str">
        <f aca="false">IF($B231="","",IF(AND($N231="",$O231="",$P231="",$Q231="",$R231=""),"","VINCULADO: "&amp;TRIM(IF($N231&lt;&gt;"",$N231&amp;" ","")&amp;IF($O231&lt;&gt;"",$O231&amp;" ","")&amp;IF($P231&lt;&gt;"",$P231&amp;" ","")&amp;IF($Q231&lt;&gt;"",$Q231&amp;" ","")&amp;IF($R231&lt;&gt;"",$R231,""))))</f>
        <v/>
      </c>
    </row>
    <row r="232" customFormat="false" ht="15" hidden="false" customHeight="false" outlineLevel="0" collapsed="false">
      <c r="A232" s="30" t="str">
        <f aca="false">IF($B232="","","LAN-"&amp;TEXT(ROW()-4,"000000"))</f>
        <v/>
      </c>
      <c r="B232" s="31"/>
      <c r="C232" s="32"/>
      <c r="D232" s="32"/>
      <c r="E232" s="32"/>
      <c r="F232" s="33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4" t="str">
        <f aca="false">IF($B232="","",YEAR($B232))</f>
        <v/>
      </c>
      <c r="U232" s="34" t="str">
        <f aca="false">IF($B232="","",MONTH($B232))</f>
        <v/>
      </c>
      <c r="V232" s="34" t="str">
        <f aca="false">IF($B232="","",YEAR($B232)*100+MONTH($B232))</f>
        <v/>
      </c>
      <c r="W232" s="35" t="str">
        <f aca="false">IF($D232="","",IFERROR(INDEX(MAP_CLASS,MATCH($D232,MAP_TIPO,0)),"TIPO INVALIDO"))</f>
        <v/>
      </c>
      <c r="X232" s="35" t="str">
        <f aca="false">IF($K232="","",IFERROR(INDEX(CAT_NOME,MATCH($K232,CAT_ID,0)),"?"))</f>
        <v/>
      </c>
      <c r="Y232" s="35" t="str">
        <f aca="false">IF($L232="","",IFERROR(INDEX(SUB_NOME,MATCH($L232,SUB_ID,0)),"?"))</f>
        <v/>
      </c>
      <c r="Z232" s="35" t="str">
        <f aca="false">IF($G232="","",IF($G232="EXTERNO","(Externo)",IFERROR(INDEX(ENT_NOME,MATCH($H232,ENT_ID,0)),"?")))</f>
        <v/>
      </c>
      <c r="AA232" s="35" t="str">
        <f aca="false">IF($I232="","",IF($I232="EXTERNO","(Externo)",IFERROR(INDEX(ENT_NOME,MATCH($J232,ENT_ID,0)),"?")))</f>
        <v/>
      </c>
      <c r="AB232" s="36" t="n">
        <f aca="false">IF($B232="",0,IF(AND($I232="CONTA",$G232&lt;&gt;"CONTA"),$F232,0))</f>
        <v>0</v>
      </c>
      <c r="AC232" s="36" t="n">
        <f aca="false">IF($B232="",0,IF(AND($G232="CONTA",$I232&lt;&gt;"CONTA"),$F232,0))</f>
        <v>0</v>
      </c>
      <c r="AD232" s="36" t="n">
        <f aca="false">IF($W232="RECEITA",$F232,0)</f>
        <v>0</v>
      </c>
      <c r="AE232" s="36" t="n">
        <f aca="false">IF($W232="DESPESA",$F232,0)</f>
        <v>0</v>
      </c>
      <c r="AF232" s="36" t="n">
        <f aca="false">IF($W232="RECEITA_FINANCEIRA",$F232,0)</f>
        <v>0</v>
      </c>
      <c r="AG232" s="36" t="n">
        <f aca="false">IF($B232="",0,IF($I232="CONTA",$F232,0)-IF($G232="CONTA",$F232,0))</f>
        <v>0</v>
      </c>
      <c r="AH232" s="36" t="n">
        <f aca="false">IF($B232="",0,IF($G232="CARTAO",$F232,0)-IF($I232="CARTAO",$F232,0))</f>
        <v>0</v>
      </c>
      <c r="AI232" s="36" t="n">
        <f aca="false">IF($B232="",0,IF($I232="INVESTIMENTO",$F232,0)-IF($G232="INVESTIMENTO",$F232,0))</f>
        <v>0</v>
      </c>
      <c r="AJ232" s="35" t="str">
        <f aca="false">IF($B232="","",IF(NOT(ISNUMBER($F232)),"ERRO: valor nao numerico",IF($F232&lt;=0,"ERRO: valor deve ser maior que zero",IF(COUNTIF(MAP_TIPO,$D232)=0,"ERRO: tipo de operacao nao cadastrado",IF(COUNTIF(LST_STATUS,$E232)=0,"ERRO: status invalido",IF(AND($G232="EXTERNO",$I232="EXTERNO"),"ERRO: origem e destino externos",IF(AND($G232&lt;&gt;"EXTERNO",COUNTIFS(ENT_ID,$H232,ENT_TIPO,$G232)=0),"ERRO: origem inexistente",IF(AND($I232&lt;&gt;"EXTERNO",COUNTIFS(ENT_ID,$J232,ENT_TIPO,$I232)=0),"ERRO: destino inexistente",IF(AND($K232&lt;&gt;"",COUNTIF(CAT_ID,$K232)=0),"ERRO: categoria inexistente",IF(AND($L232&lt;&gt;"",COUNTIF(SUB_ID,$L232)=0),"ERRO: subcategoria inexistente",IF(AND($L232&lt;&gt;"",$K232&lt;&gt;"",IFERROR(INDEX(SUB_CATID,MATCH($L232,SUB_ID,0)),"")&lt;&gt;$K232),"ERRO: subcategoria nao pertence a categoria",IF(AND($O232&lt;&gt;"",COUNTIF(P_ID,$O232)=0),"ERRO: parcela inexistente",IF(AND($N232&lt;&gt;"",COUNTIF(CM_ID,$N232)=0),"ERRO: compromisso inexistente","OK")))))))))))))</f>
        <v/>
      </c>
      <c r="AK232" s="35" t="str">
        <f aca="false">IF($B232="","",IF(AND($N232="",$O232="",$P232="",$Q232="",$R232=""),"","VINCULADO: "&amp;TRIM(IF($N232&lt;&gt;"",$N232&amp;" ","")&amp;IF($O232&lt;&gt;"",$O232&amp;" ","")&amp;IF($P232&lt;&gt;"",$P232&amp;" ","")&amp;IF($Q232&lt;&gt;"",$Q232&amp;" ","")&amp;IF($R232&lt;&gt;"",$R232,""))))</f>
        <v/>
      </c>
    </row>
    <row r="233" customFormat="false" ht="15" hidden="false" customHeight="false" outlineLevel="0" collapsed="false">
      <c r="A233" s="30" t="str">
        <f aca="false">IF($B233="","","LAN-"&amp;TEXT(ROW()-4,"000000"))</f>
        <v/>
      </c>
      <c r="B233" s="31"/>
      <c r="C233" s="32"/>
      <c r="D233" s="32"/>
      <c r="E233" s="32"/>
      <c r="F233" s="33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4" t="str">
        <f aca="false">IF($B233="","",YEAR($B233))</f>
        <v/>
      </c>
      <c r="U233" s="34" t="str">
        <f aca="false">IF($B233="","",MONTH($B233))</f>
        <v/>
      </c>
      <c r="V233" s="34" t="str">
        <f aca="false">IF($B233="","",YEAR($B233)*100+MONTH($B233))</f>
        <v/>
      </c>
      <c r="W233" s="35" t="str">
        <f aca="false">IF($D233="","",IFERROR(INDEX(MAP_CLASS,MATCH($D233,MAP_TIPO,0)),"TIPO INVALIDO"))</f>
        <v/>
      </c>
      <c r="X233" s="35" t="str">
        <f aca="false">IF($K233="","",IFERROR(INDEX(CAT_NOME,MATCH($K233,CAT_ID,0)),"?"))</f>
        <v/>
      </c>
      <c r="Y233" s="35" t="str">
        <f aca="false">IF($L233="","",IFERROR(INDEX(SUB_NOME,MATCH($L233,SUB_ID,0)),"?"))</f>
        <v/>
      </c>
      <c r="Z233" s="35" t="str">
        <f aca="false">IF($G233="","",IF($G233="EXTERNO","(Externo)",IFERROR(INDEX(ENT_NOME,MATCH($H233,ENT_ID,0)),"?")))</f>
        <v/>
      </c>
      <c r="AA233" s="35" t="str">
        <f aca="false">IF($I233="","",IF($I233="EXTERNO","(Externo)",IFERROR(INDEX(ENT_NOME,MATCH($J233,ENT_ID,0)),"?")))</f>
        <v/>
      </c>
      <c r="AB233" s="36" t="n">
        <f aca="false">IF($B233="",0,IF(AND($I233="CONTA",$G233&lt;&gt;"CONTA"),$F233,0))</f>
        <v>0</v>
      </c>
      <c r="AC233" s="36" t="n">
        <f aca="false">IF($B233="",0,IF(AND($G233="CONTA",$I233&lt;&gt;"CONTA"),$F233,0))</f>
        <v>0</v>
      </c>
      <c r="AD233" s="36" t="n">
        <f aca="false">IF($W233="RECEITA",$F233,0)</f>
        <v>0</v>
      </c>
      <c r="AE233" s="36" t="n">
        <f aca="false">IF($W233="DESPESA",$F233,0)</f>
        <v>0</v>
      </c>
      <c r="AF233" s="36" t="n">
        <f aca="false">IF($W233="RECEITA_FINANCEIRA",$F233,0)</f>
        <v>0</v>
      </c>
      <c r="AG233" s="36" t="n">
        <f aca="false">IF($B233="",0,IF($I233="CONTA",$F233,0)-IF($G233="CONTA",$F233,0))</f>
        <v>0</v>
      </c>
      <c r="AH233" s="36" t="n">
        <f aca="false">IF($B233="",0,IF($G233="CARTAO",$F233,0)-IF($I233="CARTAO",$F233,0))</f>
        <v>0</v>
      </c>
      <c r="AI233" s="36" t="n">
        <f aca="false">IF($B233="",0,IF($I233="INVESTIMENTO",$F233,0)-IF($G233="INVESTIMENTO",$F233,0))</f>
        <v>0</v>
      </c>
      <c r="AJ233" s="35" t="str">
        <f aca="false">IF($B233="","",IF(NOT(ISNUMBER($F233)),"ERRO: valor nao numerico",IF($F233&lt;=0,"ERRO: valor deve ser maior que zero",IF(COUNTIF(MAP_TIPO,$D233)=0,"ERRO: tipo de operacao nao cadastrado",IF(COUNTIF(LST_STATUS,$E233)=0,"ERRO: status invalido",IF(AND($G233="EXTERNO",$I233="EXTERNO"),"ERRO: origem e destino externos",IF(AND($G233&lt;&gt;"EXTERNO",COUNTIFS(ENT_ID,$H233,ENT_TIPO,$G233)=0),"ERRO: origem inexistente",IF(AND($I233&lt;&gt;"EXTERNO",COUNTIFS(ENT_ID,$J233,ENT_TIPO,$I233)=0),"ERRO: destino inexistente",IF(AND($K233&lt;&gt;"",COUNTIF(CAT_ID,$K233)=0),"ERRO: categoria inexistente",IF(AND($L233&lt;&gt;"",COUNTIF(SUB_ID,$L233)=0),"ERRO: subcategoria inexistente",IF(AND($L233&lt;&gt;"",$K233&lt;&gt;"",IFERROR(INDEX(SUB_CATID,MATCH($L233,SUB_ID,0)),"")&lt;&gt;$K233),"ERRO: subcategoria nao pertence a categoria",IF(AND($O233&lt;&gt;"",COUNTIF(P_ID,$O233)=0),"ERRO: parcela inexistente",IF(AND($N233&lt;&gt;"",COUNTIF(CM_ID,$N233)=0),"ERRO: compromisso inexistente","OK")))))))))))))</f>
        <v/>
      </c>
      <c r="AK233" s="35" t="str">
        <f aca="false">IF($B233="","",IF(AND($N233="",$O233="",$P233="",$Q233="",$R233=""),"","VINCULADO: "&amp;TRIM(IF($N233&lt;&gt;"",$N233&amp;" ","")&amp;IF($O233&lt;&gt;"",$O233&amp;" ","")&amp;IF($P233&lt;&gt;"",$P233&amp;" ","")&amp;IF($Q233&lt;&gt;"",$Q233&amp;" ","")&amp;IF($R233&lt;&gt;"",$R233,""))))</f>
        <v/>
      </c>
    </row>
    <row r="234" customFormat="false" ht="15" hidden="false" customHeight="false" outlineLevel="0" collapsed="false">
      <c r="A234" s="30" t="str">
        <f aca="false">IF($B234="","","LAN-"&amp;TEXT(ROW()-4,"000000"))</f>
        <v/>
      </c>
      <c r="B234" s="31"/>
      <c r="C234" s="32"/>
      <c r="D234" s="32"/>
      <c r="E234" s="32"/>
      <c r="F234" s="33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4" t="str">
        <f aca="false">IF($B234="","",YEAR($B234))</f>
        <v/>
      </c>
      <c r="U234" s="34" t="str">
        <f aca="false">IF($B234="","",MONTH($B234))</f>
        <v/>
      </c>
      <c r="V234" s="34" t="str">
        <f aca="false">IF($B234="","",YEAR($B234)*100+MONTH($B234))</f>
        <v/>
      </c>
      <c r="W234" s="35" t="str">
        <f aca="false">IF($D234="","",IFERROR(INDEX(MAP_CLASS,MATCH($D234,MAP_TIPO,0)),"TIPO INVALIDO"))</f>
        <v/>
      </c>
      <c r="X234" s="35" t="str">
        <f aca="false">IF($K234="","",IFERROR(INDEX(CAT_NOME,MATCH($K234,CAT_ID,0)),"?"))</f>
        <v/>
      </c>
      <c r="Y234" s="35" t="str">
        <f aca="false">IF($L234="","",IFERROR(INDEX(SUB_NOME,MATCH($L234,SUB_ID,0)),"?"))</f>
        <v/>
      </c>
      <c r="Z234" s="35" t="str">
        <f aca="false">IF($G234="","",IF($G234="EXTERNO","(Externo)",IFERROR(INDEX(ENT_NOME,MATCH($H234,ENT_ID,0)),"?")))</f>
        <v/>
      </c>
      <c r="AA234" s="35" t="str">
        <f aca="false">IF($I234="","",IF($I234="EXTERNO","(Externo)",IFERROR(INDEX(ENT_NOME,MATCH($J234,ENT_ID,0)),"?")))</f>
        <v/>
      </c>
      <c r="AB234" s="36" t="n">
        <f aca="false">IF($B234="",0,IF(AND($I234="CONTA",$G234&lt;&gt;"CONTA"),$F234,0))</f>
        <v>0</v>
      </c>
      <c r="AC234" s="36" t="n">
        <f aca="false">IF($B234="",0,IF(AND($G234="CONTA",$I234&lt;&gt;"CONTA"),$F234,0))</f>
        <v>0</v>
      </c>
      <c r="AD234" s="36" t="n">
        <f aca="false">IF($W234="RECEITA",$F234,0)</f>
        <v>0</v>
      </c>
      <c r="AE234" s="36" t="n">
        <f aca="false">IF($W234="DESPESA",$F234,0)</f>
        <v>0</v>
      </c>
      <c r="AF234" s="36" t="n">
        <f aca="false">IF($W234="RECEITA_FINANCEIRA",$F234,0)</f>
        <v>0</v>
      </c>
      <c r="AG234" s="36" t="n">
        <f aca="false">IF($B234="",0,IF($I234="CONTA",$F234,0)-IF($G234="CONTA",$F234,0))</f>
        <v>0</v>
      </c>
      <c r="AH234" s="36" t="n">
        <f aca="false">IF($B234="",0,IF($G234="CARTAO",$F234,0)-IF($I234="CARTAO",$F234,0))</f>
        <v>0</v>
      </c>
      <c r="AI234" s="36" t="n">
        <f aca="false">IF($B234="",0,IF($I234="INVESTIMENTO",$F234,0)-IF($G234="INVESTIMENTO",$F234,0))</f>
        <v>0</v>
      </c>
      <c r="AJ234" s="35" t="str">
        <f aca="false">IF($B234="","",IF(NOT(ISNUMBER($F234)),"ERRO: valor nao numerico",IF($F234&lt;=0,"ERRO: valor deve ser maior que zero",IF(COUNTIF(MAP_TIPO,$D234)=0,"ERRO: tipo de operacao nao cadastrado",IF(COUNTIF(LST_STATUS,$E234)=0,"ERRO: status invalido",IF(AND($G234="EXTERNO",$I234="EXTERNO"),"ERRO: origem e destino externos",IF(AND($G234&lt;&gt;"EXTERNO",COUNTIFS(ENT_ID,$H234,ENT_TIPO,$G234)=0),"ERRO: origem inexistente",IF(AND($I234&lt;&gt;"EXTERNO",COUNTIFS(ENT_ID,$J234,ENT_TIPO,$I234)=0),"ERRO: destino inexistente",IF(AND($K234&lt;&gt;"",COUNTIF(CAT_ID,$K234)=0),"ERRO: categoria inexistente",IF(AND($L234&lt;&gt;"",COUNTIF(SUB_ID,$L234)=0),"ERRO: subcategoria inexistente",IF(AND($L234&lt;&gt;"",$K234&lt;&gt;"",IFERROR(INDEX(SUB_CATID,MATCH($L234,SUB_ID,0)),"")&lt;&gt;$K234),"ERRO: subcategoria nao pertence a categoria",IF(AND($O234&lt;&gt;"",COUNTIF(P_ID,$O234)=0),"ERRO: parcela inexistente",IF(AND($N234&lt;&gt;"",COUNTIF(CM_ID,$N234)=0),"ERRO: compromisso inexistente","OK")))))))))))))</f>
        <v/>
      </c>
      <c r="AK234" s="35" t="str">
        <f aca="false">IF($B234="","",IF(AND($N234="",$O234="",$P234="",$Q234="",$R234=""),"","VINCULADO: "&amp;TRIM(IF($N234&lt;&gt;"",$N234&amp;" ","")&amp;IF($O234&lt;&gt;"",$O234&amp;" ","")&amp;IF($P234&lt;&gt;"",$P234&amp;" ","")&amp;IF($Q234&lt;&gt;"",$Q234&amp;" ","")&amp;IF($R234&lt;&gt;"",$R234,""))))</f>
        <v/>
      </c>
    </row>
    <row r="235" customFormat="false" ht="15" hidden="false" customHeight="false" outlineLevel="0" collapsed="false">
      <c r="A235" s="30" t="str">
        <f aca="false">IF($B235="","","LAN-"&amp;TEXT(ROW()-4,"000000"))</f>
        <v/>
      </c>
      <c r="B235" s="31"/>
      <c r="C235" s="32"/>
      <c r="D235" s="32"/>
      <c r="E235" s="32"/>
      <c r="F235" s="33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4" t="str">
        <f aca="false">IF($B235="","",YEAR($B235))</f>
        <v/>
      </c>
      <c r="U235" s="34" t="str">
        <f aca="false">IF($B235="","",MONTH($B235))</f>
        <v/>
      </c>
      <c r="V235" s="34" t="str">
        <f aca="false">IF($B235="","",YEAR($B235)*100+MONTH($B235))</f>
        <v/>
      </c>
      <c r="W235" s="35" t="str">
        <f aca="false">IF($D235="","",IFERROR(INDEX(MAP_CLASS,MATCH($D235,MAP_TIPO,0)),"TIPO INVALIDO"))</f>
        <v/>
      </c>
      <c r="X235" s="35" t="str">
        <f aca="false">IF($K235="","",IFERROR(INDEX(CAT_NOME,MATCH($K235,CAT_ID,0)),"?"))</f>
        <v/>
      </c>
      <c r="Y235" s="35" t="str">
        <f aca="false">IF($L235="","",IFERROR(INDEX(SUB_NOME,MATCH($L235,SUB_ID,0)),"?"))</f>
        <v/>
      </c>
      <c r="Z235" s="35" t="str">
        <f aca="false">IF($G235="","",IF($G235="EXTERNO","(Externo)",IFERROR(INDEX(ENT_NOME,MATCH($H235,ENT_ID,0)),"?")))</f>
        <v/>
      </c>
      <c r="AA235" s="35" t="str">
        <f aca="false">IF($I235="","",IF($I235="EXTERNO","(Externo)",IFERROR(INDEX(ENT_NOME,MATCH($J235,ENT_ID,0)),"?")))</f>
        <v/>
      </c>
      <c r="AB235" s="36" t="n">
        <f aca="false">IF($B235="",0,IF(AND($I235="CONTA",$G235&lt;&gt;"CONTA"),$F235,0))</f>
        <v>0</v>
      </c>
      <c r="AC235" s="36" t="n">
        <f aca="false">IF($B235="",0,IF(AND($G235="CONTA",$I235&lt;&gt;"CONTA"),$F235,0))</f>
        <v>0</v>
      </c>
      <c r="AD235" s="36" t="n">
        <f aca="false">IF($W235="RECEITA",$F235,0)</f>
        <v>0</v>
      </c>
      <c r="AE235" s="36" t="n">
        <f aca="false">IF($W235="DESPESA",$F235,0)</f>
        <v>0</v>
      </c>
      <c r="AF235" s="36" t="n">
        <f aca="false">IF($W235="RECEITA_FINANCEIRA",$F235,0)</f>
        <v>0</v>
      </c>
      <c r="AG235" s="36" t="n">
        <f aca="false">IF($B235="",0,IF($I235="CONTA",$F235,0)-IF($G235="CONTA",$F235,0))</f>
        <v>0</v>
      </c>
      <c r="AH235" s="36" t="n">
        <f aca="false">IF($B235="",0,IF($G235="CARTAO",$F235,0)-IF($I235="CARTAO",$F235,0))</f>
        <v>0</v>
      </c>
      <c r="AI235" s="36" t="n">
        <f aca="false">IF($B235="",0,IF($I235="INVESTIMENTO",$F235,0)-IF($G235="INVESTIMENTO",$F235,0))</f>
        <v>0</v>
      </c>
      <c r="AJ235" s="35" t="str">
        <f aca="false">IF($B235="","",IF(NOT(ISNUMBER($F235)),"ERRO: valor nao numerico",IF($F235&lt;=0,"ERRO: valor deve ser maior que zero",IF(COUNTIF(MAP_TIPO,$D235)=0,"ERRO: tipo de operacao nao cadastrado",IF(COUNTIF(LST_STATUS,$E235)=0,"ERRO: status invalido",IF(AND($G235="EXTERNO",$I235="EXTERNO"),"ERRO: origem e destino externos",IF(AND($G235&lt;&gt;"EXTERNO",COUNTIFS(ENT_ID,$H235,ENT_TIPO,$G235)=0),"ERRO: origem inexistente",IF(AND($I235&lt;&gt;"EXTERNO",COUNTIFS(ENT_ID,$J235,ENT_TIPO,$I235)=0),"ERRO: destino inexistente",IF(AND($K235&lt;&gt;"",COUNTIF(CAT_ID,$K235)=0),"ERRO: categoria inexistente",IF(AND($L235&lt;&gt;"",COUNTIF(SUB_ID,$L235)=0),"ERRO: subcategoria inexistente",IF(AND($L235&lt;&gt;"",$K235&lt;&gt;"",IFERROR(INDEX(SUB_CATID,MATCH($L235,SUB_ID,0)),"")&lt;&gt;$K235),"ERRO: subcategoria nao pertence a categoria",IF(AND($O235&lt;&gt;"",COUNTIF(P_ID,$O235)=0),"ERRO: parcela inexistente",IF(AND($N235&lt;&gt;"",COUNTIF(CM_ID,$N235)=0),"ERRO: compromisso inexistente","OK")))))))))))))</f>
        <v/>
      </c>
      <c r="AK235" s="35" t="str">
        <f aca="false">IF($B235="","",IF(AND($N235="",$O235="",$P235="",$Q235="",$R235=""),"","VINCULADO: "&amp;TRIM(IF($N235&lt;&gt;"",$N235&amp;" ","")&amp;IF($O235&lt;&gt;"",$O235&amp;" ","")&amp;IF($P235&lt;&gt;"",$P235&amp;" ","")&amp;IF($Q235&lt;&gt;"",$Q235&amp;" ","")&amp;IF($R235&lt;&gt;"",$R235,""))))</f>
        <v/>
      </c>
    </row>
    <row r="236" customFormat="false" ht="15" hidden="false" customHeight="false" outlineLevel="0" collapsed="false">
      <c r="A236" s="30" t="str">
        <f aca="false">IF($B236="","","LAN-"&amp;TEXT(ROW()-4,"000000"))</f>
        <v/>
      </c>
      <c r="B236" s="31"/>
      <c r="C236" s="32"/>
      <c r="D236" s="32"/>
      <c r="E236" s="32"/>
      <c r="F236" s="33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4" t="str">
        <f aca="false">IF($B236="","",YEAR($B236))</f>
        <v/>
      </c>
      <c r="U236" s="34" t="str">
        <f aca="false">IF($B236="","",MONTH($B236))</f>
        <v/>
      </c>
      <c r="V236" s="34" t="str">
        <f aca="false">IF($B236="","",YEAR($B236)*100+MONTH($B236))</f>
        <v/>
      </c>
      <c r="W236" s="35" t="str">
        <f aca="false">IF($D236="","",IFERROR(INDEX(MAP_CLASS,MATCH($D236,MAP_TIPO,0)),"TIPO INVALIDO"))</f>
        <v/>
      </c>
      <c r="X236" s="35" t="str">
        <f aca="false">IF($K236="","",IFERROR(INDEX(CAT_NOME,MATCH($K236,CAT_ID,0)),"?"))</f>
        <v/>
      </c>
      <c r="Y236" s="35" t="str">
        <f aca="false">IF($L236="","",IFERROR(INDEX(SUB_NOME,MATCH($L236,SUB_ID,0)),"?"))</f>
        <v/>
      </c>
      <c r="Z236" s="35" t="str">
        <f aca="false">IF($G236="","",IF($G236="EXTERNO","(Externo)",IFERROR(INDEX(ENT_NOME,MATCH($H236,ENT_ID,0)),"?")))</f>
        <v/>
      </c>
      <c r="AA236" s="35" t="str">
        <f aca="false">IF($I236="","",IF($I236="EXTERNO","(Externo)",IFERROR(INDEX(ENT_NOME,MATCH($J236,ENT_ID,0)),"?")))</f>
        <v/>
      </c>
      <c r="AB236" s="36" t="n">
        <f aca="false">IF($B236="",0,IF(AND($I236="CONTA",$G236&lt;&gt;"CONTA"),$F236,0))</f>
        <v>0</v>
      </c>
      <c r="AC236" s="36" t="n">
        <f aca="false">IF($B236="",0,IF(AND($G236="CONTA",$I236&lt;&gt;"CONTA"),$F236,0))</f>
        <v>0</v>
      </c>
      <c r="AD236" s="36" t="n">
        <f aca="false">IF($W236="RECEITA",$F236,0)</f>
        <v>0</v>
      </c>
      <c r="AE236" s="36" t="n">
        <f aca="false">IF($W236="DESPESA",$F236,0)</f>
        <v>0</v>
      </c>
      <c r="AF236" s="36" t="n">
        <f aca="false">IF($W236="RECEITA_FINANCEIRA",$F236,0)</f>
        <v>0</v>
      </c>
      <c r="AG236" s="36" t="n">
        <f aca="false">IF($B236="",0,IF($I236="CONTA",$F236,0)-IF($G236="CONTA",$F236,0))</f>
        <v>0</v>
      </c>
      <c r="AH236" s="36" t="n">
        <f aca="false">IF($B236="",0,IF($G236="CARTAO",$F236,0)-IF($I236="CARTAO",$F236,0))</f>
        <v>0</v>
      </c>
      <c r="AI236" s="36" t="n">
        <f aca="false">IF($B236="",0,IF($I236="INVESTIMENTO",$F236,0)-IF($G236="INVESTIMENTO",$F236,0))</f>
        <v>0</v>
      </c>
      <c r="AJ236" s="35" t="str">
        <f aca="false">IF($B236="","",IF(NOT(ISNUMBER($F236)),"ERRO: valor nao numerico",IF($F236&lt;=0,"ERRO: valor deve ser maior que zero",IF(COUNTIF(MAP_TIPO,$D236)=0,"ERRO: tipo de operacao nao cadastrado",IF(COUNTIF(LST_STATUS,$E236)=0,"ERRO: status invalido",IF(AND($G236="EXTERNO",$I236="EXTERNO"),"ERRO: origem e destino externos",IF(AND($G236&lt;&gt;"EXTERNO",COUNTIFS(ENT_ID,$H236,ENT_TIPO,$G236)=0),"ERRO: origem inexistente",IF(AND($I236&lt;&gt;"EXTERNO",COUNTIFS(ENT_ID,$J236,ENT_TIPO,$I236)=0),"ERRO: destino inexistente",IF(AND($K236&lt;&gt;"",COUNTIF(CAT_ID,$K236)=0),"ERRO: categoria inexistente",IF(AND($L236&lt;&gt;"",COUNTIF(SUB_ID,$L236)=0),"ERRO: subcategoria inexistente",IF(AND($L236&lt;&gt;"",$K236&lt;&gt;"",IFERROR(INDEX(SUB_CATID,MATCH($L236,SUB_ID,0)),"")&lt;&gt;$K236),"ERRO: subcategoria nao pertence a categoria",IF(AND($O236&lt;&gt;"",COUNTIF(P_ID,$O236)=0),"ERRO: parcela inexistente",IF(AND($N236&lt;&gt;"",COUNTIF(CM_ID,$N236)=0),"ERRO: compromisso inexistente","OK")))))))))))))</f>
        <v/>
      </c>
      <c r="AK236" s="35" t="str">
        <f aca="false">IF($B236="","",IF(AND($N236="",$O236="",$P236="",$Q236="",$R236=""),"","VINCULADO: "&amp;TRIM(IF($N236&lt;&gt;"",$N236&amp;" ","")&amp;IF($O236&lt;&gt;"",$O236&amp;" ","")&amp;IF($P236&lt;&gt;"",$P236&amp;" ","")&amp;IF($Q236&lt;&gt;"",$Q236&amp;" ","")&amp;IF($R236&lt;&gt;"",$R236,""))))</f>
        <v/>
      </c>
    </row>
    <row r="237" customFormat="false" ht="15" hidden="false" customHeight="false" outlineLevel="0" collapsed="false">
      <c r="A237" s="30" t="str">
        <f aca="false">IF($B237="","","LAN-"&amp;TEXT(ROW()-4,"000000"))</f>
        <v/>
      </c>
      <c r="B237" s="31"/>
      <c r="C237" s="32"/>
      <c r="D237" s="32"/>
      <c r="E237" s="32"/>
      <c r="F237" s="33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4" t="str">
        <f aca="false">IF($B237="","",YEAR($B237))</f>
        <v/>
      </c>
      <c r="U237" s="34" t="str">
        <f aca="false">IF($B237="","",MONTH($B237))</f>
        <v/>
      </c>
      <c r="V237" s="34" t="str">
        <f aca="false">IF($B237="","",YEAR($B237)*100+MONTH($B237))</f>
        <v/>
      </c>
      <c r="W237" s="35" t="str">
        <f aca="false">IF($D237="","",IFERROR(INDEX(MAP_CLASS,MATCH($D237,MAP_TIPO,0)),"TIPO INVALIDO"))</f>
        <v/>
      </c>
      <c r="X237" s="35" t="str">
        <f aca="false">IF($K237="","",IFERROR(INDEX(CAT_NOME,MATCH($K237,CAT_ID,0)),"?"))</f>
        <v/>
      </c>
      <c r="Y237" s="35" t="str">
        <f aca="false">IF($L237="","",IFERROR(INDEX(SUB_NOME,MATCH($L237,SUB_ID,0)),"?"))</f>
        <v/>
      </c>
      <c r="Z237" s="35" t="str">
        <f aca="false">IF($G237="","",IF($G237="EXTERNO","(Externo)",IFERROR(INDEX(ENT_NOME,MATCH($H237,ENT_ID,0)),"?")))</f>
        <v/>
      </c>
      <c r="AA237" s="35" t="str">
        <f aca="false">IF($I237="","",IF($I237="EXTERNO","(Externo)",IFERROR(INDEX(ENT_NOME,MATCH($J237,ENT_ID,0)),"?")))</f>
        <v/>
      </c>
      <c r="AB237" s="36" t="n">
        <f aca="false">IF($B237="",0,IF(AND($I237="CONTA",$G237&lt;&gt;"CONTA"),$F237,0))</f>
        <v>0</v>
      </c>
      <c r="AC237" s="36" t="n">
        <f aca="false">IF($B237="",0,IF(AND($G237="CONTA",$I237&lt;&gt;"CONTA"),$F237,0))</f>
        <v>0</v>
      </c>
      <c r="AD237" s="36" t="n">
        <f aca="false">IF($W237="RECEITA",$F237,0)</f>
        <v>0</v>
      </c>
      <c r="AE237" s="36" t="n">
        <f aca="false">IF($W237="DESPESA",$F237,0)</f>
        <v>0</v>
      </c>
      <c r="AF237" s="36" t="n">
        <f aca="false">IF($W237="RECEITA_FINANCEIRA",$F237,0)</f>
        <v>0</v>
      </c>
      <c r="AG237" s="36" t="n">
        <f aca="false">IF($B237="",0,IF($I237="CONTA",$F237,0)-IF($G237="CONTA",$F237,0))</f>
        <v>0</v>
      </c>
      <c r="AH237" s="36" t="n">
        <f aca="false">IF($B237="",0,IF($G237="CARTAO",$F237,0)-IF($I237="CARTAO",$F237,0))</f>
        <v>0</v>
      </c>
      <c r="AI237" s="36" t="n">
        <f aca="false">IF($B237="",0,IF($I237="INVESTIMENTO",$F237,0)-IF($G237="INVESTIMENTO",$F237,0))</f>
        <v>0</v>
      </c>
      <c r="AJ237" s="35" t="str">
        <f aca="false">IF($B237="","",IF(NOT(ISNUMBER($F237)),"ERRO: valor nao numerico",IF($F237&lt;=0,"ERRO: valor deve ser maior que zero",IF(COUNTIF(MAP_TIPO,$D237)=0,"ERRO: tipo de operacao nao cadastrado",IF(COUNTIF(LST_STATUS,$E237)=0,"ERRO: status invalido",IF(AND($G237="EXTERNO",$I237="EXTERNO"),"ERRO: origem e destino externos",IF(AND($G237&lt;&gt;"EXTERNO",COUNTIFS(ENT_ID,$H237,ENT_TIPO,$G237)=0),"ERRO: origem inexistente",IF(AND($I237&lt;&gt;"EXTERNO",COUNTIFS(ENT_ID,$J237,ENT_TIPO,$I237)=0),"ERRO: destino inexistente",IF(AND($K237&lt;&gt;"",COUNTIF(CAT_ID,$K237)=0),"ERRO: categoria inexistente",IF(AND($L237&lt;&gt;"",COUNTIF(SUB_ID,$L237)=0),"ERRO: subcategoria inexistente",IF(AND($L237&lt;&gt;"",$K237&lt;&gt;"",IFERROR(INDEX(SUB_CATID,MATCH($L237,SUB_ID,0)),"")&lt;&gt;$K237),"ERRO: subcategoria nao pertence a categoria",IF(AND($O237&lt;&gt;"",COUNTIF(P_ID,$O237)=0),"ERRO: parcela inexistente",IF(AND($N237&lt;&gt;"",COUNTIF(CM_ID,$N237)=0),"ERRO: compromisso inexistente","OK")))))))))))))</f>
        <v/>
      </c>
      <c r="AK237" s="35" t="str">
        <f aca="false">IF($B237="","",IF(AND($N237="",$O237="",$P237="",$Q237="",$R237=""),"","VINCULADO: "&amp;TRIM(IF($N237&lt;&gt;"",$N237&amp;" ","")&amp;IF($O237&lt;&gt;"",$O237&amp;" ","")&amp;IF($P237&lt;&gt;"",$P237&amp;" ","")&amp;IF($Q237&lt;&gt;"",$Q237&amp;" ","")&amp;IF($R237&lt;&gt;"",$R237,""))))</f>
        <v/>
      </c>
    </row>
    <row r="238" customFormat="false" ht="15" hidden="false" customHeight="false" outlineLevel="0" collapsed="false">
      <c r="A238" s="30" t="str">
        <f aca="false">IF($B238="","","LAN-"&amp;TEXT(ROW()-4,"000000"))</f>
        <v/>
      </c>
      <c r="B238" s="31"/>
      <c r="C238" s="32"/>
      <c r="D238" s="32"/>
      <c r="E238" s="32"/>
      <c r="F238" s="33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4" t="str">
        <f aca="false">IF($B238="","",YEAR($B238))</f>
        <v/>
      </c>
      <c r="U238" s="34" t="str">
        <f aca="false">IF($B238="","",MONTH($B238))</f>
        <v/>
      </c>
      <c r="V238" s="34" t="str">
        <f aca="false">IF($B238="","",YEAR($B238)*100+MONTH($B238))</f>
        <v/>
      </c>
      <c r="W238" s="35" t="str">
        <f aca="false">IF($D238="","",IFERROR(INDEX(MAP_CLASS,MATCH($D238,MAP_TIPO,0)),"TIPO INVALIDO"))</f>
        <v/>
      </c>
      <c r="X238" s="35" t="str">
        <f aca="false">IF($K238="","",IFERROR(INDEX(CAT_NOME,MATCH($K238,CAT_ID,0)),"?"))</f>
        <v/>
      </c>
      <c r="Y238" s="35" t="str">
        <f aca="false">IF($L238="","",IFERROR(INDEX(SUB_NOME,MATCH($L238,SUB_ID,0)),"?"))</f>
        <v/>
      </c>
      <c r="Z238" s="35" t="str">
        <f aca="false">IF($G238="","",IF($G238="EXTERNO","(Externo)",IFERROR(INDEX(ENT_NOME,MATCH($H238,ENT_ID,0)),"?")))</f>
        <v/>
      </c>
      <c r="AA238" s="35" t="str">
        <f aca="false">IF($I238="","",IF($I238="EXTERNO","(Externo)",IFERROR(INDEX(ENT_NOME,MATCH($J238,ENT_ID,0)),"?")))</f>
        <v/>
      </c>
      <c r="AB238" s="36" t="n">
        <f aca="false">IF($B238="",0,IF(AND($I238="CONTA",$G238&lt;&gt;"CONTA"),$F238,0))</f>
        <v>0</v>
      </c>
      <c r="AC238" s="36" t="n">
        <f aca="false">IF($B238="",0,IF(AND($G238="CONTA",$I238&lt;&gt;"CONTA"),$F238,0))</f>
        <v>0</v>
      </c>
      <c r="AD238" s="36" t="n">
        <f aca="false">IF($W238="RECEITA",$F238,0)</f>
        <v>0</v>
      </c>
      <c r="AE238" s="36" t="n">
        <f aca="false">IF($W238="DESPESA",$F238,0)</f>
        <v>0</v>
      </c>
      <c r="AF238" s="36" t="n">
        <f aca="false">IF($W238="RECEITA_FINANCEIRA",$F238,0)</f>
        <v>0</v>
      </c>
      <c r="AG238" s="36" t="n">
        <f aca="false">IF($B238="",0,IF($I238="CONTA",$F238,0)-IF($G238="CONTA",$F238,0))</f>
        <v>0</v>
      </c>
      <c r="AH238" s="36" t="n">
        <f aca="false">IF($B238="",0,IF($G238="CARTAO",$F238,0)-IF($I238="CARTAO",$F238,0))</f>
        <v>0</v>
      </c>
      <c r="AI238" s="36" t="n">
        <f aca="false">IF($B238="",0,IF($I238="INVESTIMENTO",$F238,0)-IF($G238="INVESTIMENTO",$F238,0))</f>
        <v>0</v>
      </c>
      <c r="AJ238" s="35" t="str">
        <f aca="false">IF($B238="","",IF(NOT(ISNUMBER($F238)),"ERRO: valor nao numerico",IF($F238&lt;=0,"ERRO: valor deve ser maior que zero",IF(COUNTIF(MAP_TIPO,$D238)=0,"ERRO: tipo de operacao nao cadastrado",IF(COUNTIF(LST_STATUS,$E238)=0,"ERRO: status invalido",IF(AND($G238="EXTERNO",$I238="EXTERNO"),"ERRO: origem e destino externos",IF(AND($G238&lt;&gt;"EXTERNO",COUNTIFS(ENT_ID,$H238,ENT_TIPO,$G238)=0),"ERRO: origem inexistente",IF(AND($I238&lt;&gt;"EXTERNO",COUNTIFS(ENT_ID,$J238,ENT_TIPO,$I238)=0),"ERRO: destino inexistente",IF(AND($K238&lt;&gt;"",COUNTIF(CAT_ID,$K238)=0),"ERRO: categoria inexistente",IF(AND($L238&lt;&gt;"",COUNTIF(SUB_ID,$L238)=0),"ERRO: subcategoria inexistente",IF(AND($L238&lt;&gt;"",$K238&lt;&gt;"",IFERROR(INDEX(SUB_CATID,MATCH($L238,SUB_ID,0)),"")&lt;&gt;$K238),"ERRO: subcategoria nao pertence a categoria",IF(AND($O238&lt;&gt;"",COUNTIF(P_ID,$O238)=0),"ERRO: parcela inexistente",IF(AND($N238&lt;&gt;"",COUNTIF(CM_ID,$N238)=0),"ERRO: compromisso inexistente","OK")))))))))))))</f>
        <v/>
      </c>
      <c r="AK238" s="35" t="str">
        <f aca="false">IF($B238="","",IF(AND($N238="",$O238="",$P238="",$Q238="",$R238=""),"","VINCULADO: "&amp;TRIM(IF($N238&lt;&gt;"",$N238&amp;" ","")&amp;IF($O238&lt;&gt;"",$O238&amp;" ","")&amp;IF($P238&lt;&gt;"",$P238&amp;" ","")&amp;IF($Q238&lt;&gt;"",$Q238&amp;" ","")&amp;IF($R238&lt;&gt;"",$R238,""))))</f>
        <v/>
      </c>
    </row>
    <row r="239" customFormat="false" ht="15" hidden="false" customHeight="false" outlineLevel="0" collapsed="false">
      <c r="A239" s="30" t="str">
        <f aca="false">IF($B239="","","LAN-"&amp;TEXT(ROW()-4,"000000"))</f>
        <v/>
      </c>
      <c r="B239" s="31"/>
      <c r="C239" s="32"/>
      <c r="D239" s="32"/>
      <c r="E239" s="32"/>
      <c r="F239" s="33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4" t="str">
        <f aca="false">IF($B239="","",YEAR($B239))</f>
        <v/>
      </c>
      <c r="U239" s="34" t="str">
        <f aca="false">IF($B239="","",MONTH($B239))</f>
        <v/>
      </c>
      <c r="V239" s="34" t="str">
        <f aca="false">IF($B239="","",YEAR($B239)*100+MONTH($B239))</f>
        <v/>
      </c>
      <c r="W239" s="35" t="str">
        <f aca="false">IF($D239="","",IFERROR(INDEX(MAP_CLASS,MATCH($D239,MAP_TIPO,0)),"TIPO INVALIDO"))</f>
        <v/>
      </c>
      <c r="X239" s="35" t="str">
        <f aca="false">IF($K239="","",IFERROR(INDEX(CAT_NOME,MATCH($K239,CAT_ID,0)),"?"))</f>
        <v/>
      </c>
      <c r="Y239" s="35" t="str">
        <f aca="false">IF($L239="","",IFERROR(INDEX(SUB_NOME,MATCH($L239,SUB_ID,0)),"?"))</f>
        <v/>
      </c>
      <c r="Z239" s="35" t="str">
        <f aca="false">IF($G239="","",IF($G239="EXTERNO","(Externo)",IFERROR(INDEX(ENT_NOME,MATCH($H239,ENT_ID,0)),"?")))</f>
        <v/>
      </c>
      <c r="AA239" s="35" t="str">
        <f aca="false">IF($I239="","",IF($I239="EXTERNO","(Externo)",IFERROR(INDEX(ENT_NOME,MATCH($J239,ENT_ID,0)),"?")))</f>
        <v/>
      </c>
      <c r="AB239" s="36" t="n">
        <f aca="false">IF($B239="",0,IF(AND($I239="CONTA",$G239&lt;&gt;"CONTA"),$F239,0))</f>
        <v>0</v>
      </c>
      <c r="AC239" s="36" t="n">
        <f aca="false">IF($B239="",0,IF(AND($G239="CONTA",$I239&lt;&gt;"CONTA"),$F239,0))</f>
        <v>0</v>
      </c>
      <c r="AD239" s="36" t="n">
        <f aca="false">IF($W239="RECEITA",$F239,0)</f>
        <v>0</v>
      </c>
      <c r="AE239" s="36" t="n">
        <f aca="false">IF($W239="DESPESA",$F239,0)</f>
        <v>0</v>
      </c>
      <c r="AF239" s="36" t="n">
        <f aca="false">IF($W239="RECEITA_FINANCEIRA",$F239,0)</f>
        <v>0</v>
      </c>
      <c r="AG239" s="36" t="n">
        <f aca="false">IF($B239="",0,IF($I239="CONTA",$F239,0)-IF($G239="CONTA",$F239,0))</f>
        <v>0</v>
      </c>
      <c r="AH239" s="36" t="n">
        <f aca="false">IF($B239="",0,IF($G239="CARTAO",$F239,0)-IF($I239="CARTAO",$F239,0))</f>
        <v>0</v>
      </c>
      <c r="AI239" s="36" t="n">
        <f aca="false">IF($B239="",0,IF($I239="INVESTIMENTO",$F239,0)-IF($G239="INVESTIMENTO",$F239,0))</f>
        <v>0</v>
      </c>
      <c r="AJ239" s="35" t="str">
        <f aca="false">IF($B239="","",IF(NOT(ISNUMBER($F239)),"ERRO: valor nao numerico",IF($F239&lt;=0,"ERRO: valor deve ser maior que zero",IF(COUNTIF(MAP_TIPO,$D239)=0,"ERRO: tipo de operacao nao cadastrado",IF(COUNTIF(LST_STATUS,$E239)=0,"ERRO: status invalido",IF(AND($G239="EXTERNO",$I239="EXTERNO"),"ERRO: origem e destino externos",IF(AND($G239&lt;&gt;"EXTERNO",COUNTIFS(ENT_ID,$H239,ENT_TIPO,$G239)=0),"ERRO: origem inexistente",IF(AND($I239&lt;&gt;"EXTERNO",COUNTIFS(ENT_ID,$J239,ENT_TIPO,$I239)=0),"ERRO: destino inexistente",IF(AND($K239&lt;&gt;"",COUNTIF(CAT_ID,$K239)=0),"ERRO: categoria inexistente",IF(AND($L239&lt;&gt;"",COUNTIF(SUB_ID,$L239)=0),"ERRO: subcategoria inexistente",IF(AND($L239&lt;&gt;"",$K239&lt;&gt;"",IFERROR(INDEX(SUB_CATID,MATCH($L239,SUB_ID,0)),"")&lt;&gt;$K239),"ERRO: subcategoria nao pertence a categoria",IF(AND($O239&lt;&gt;"",COUNTIF(P_ID,$O239)=0),"ERRO: parcela inexistente",IF(AND($N239&lt;&gt;"",COUNTIF(CM_ID,$N239)=0),"ERRO: compromisso inexistente","OK")))))))))))))</f>
        <v/>
      </c>
      <c r="AK239" s="35" t="str">
        <f aca="false">IF($B239="","",IF(AND($N239="",$O239="",$P239="",$Q239="",$R239=""),"","VINCULADO: "&amp;TRIM(IF($N239&lt;&gt;"",$N239&amp;" ","")&amp;IF($O239&lt;&gt;"",$O239&amp;" ","")&amp;IF($P239&lt;&gt;"",$P239&amp;" ","")&amp;IF($Q239&lt;&gt;"",$Q239&amp;" ","")&amp;IF($R239&lt;&gt;"",$R239,""))))</f>
        <v/>
      </c>
    </row>
    <row r="240" customFormat="false" ht="15" hidden="false" customHeight="false" outlineLevel="0" collapsed="false">
      <c r="A240" s="30" t="str">
        <f aca="false">IF($B240="","","LAN-"&amp;TEXT(ROW()-4,"000000"))</f>
        <v/>
      </c>
      <c r="B240" s="31"/>
      <c r="C240" s="32"/>
      <c r="D240" s="32"/>
      <c r="E240" s="32"/>
      <c r="F240" s="33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4" t="str">
        <f aca="false">IF($B240="","",YEAR($B240))</f>
        <v/>
      </c>
      <c r="U240" s="34" t="str">
        <f aca="false">IF($B240="","",MONTH($B240))</f>
        <v/>
      </c>
      <c r="V240" s="34" t="str">
        <f aca="false">IF($B240="","",YEAR($B240)*100+MONTH($B240))</f>
        <v/>
      </c>
      <c r="W240" s="35" t="str">
        <f aca="false">IF($D240="","",IFERROR(INDEX(MAP_CLASS,MATCH($D240,MAP_TIPO,0)),"TIPO INVALIDO"))</f>
        <v/>
      </c>
      <c r="X240" s="35" t="str">
        <f aca="false">IF($K240="","",IFERROR(INDEX(CAT_NOME,MATCH($K240,CAT_ID,0)),"?"))</f>
        <v/>
      </c>
      <c r="Y240" s="35" t="str">
        <f aca="false">IF($L240="","",IFERROR(INDEX(SUB_NOME,MATCH($L240,SUB_ID,0)),"?"))</f>
        <v/>
      </c>
      <c r="Z240" s="35" t="str">
        <f aca="false">IF($G240="","",IF($G240="EXTERNO","(Externo)",IFERROR(INDEX(ENT_NOME,MATCH($H240,ENT_ID,0)),"?")))</f>
        <v/>
      </c>
      <c r="AA240" s="35" t="str">
        <f aca="false">IF($I240="","",IF($I240="EXTERNO","(Externo)",IFERROR(INDEX(ENT_NOME,MATCH($J240,ENT_ID,0)),"?")))</f>
        <v/>
      </c>
      <c r="AB240" s="36" t="n">
        <f aca="false">IF($B240="",0,IF(AND($I240="CONTA",$G240&lt;&gt;"CONTA"),$F240,0))</f>
        <v>0</v>
      </c>
      <c r="AC240" s="36" t="n">
        <f aca="false">IF($B240="",0,IF(AND($G240="CONTA",$I240&lt;&gt;"CONTA"),$F240,0))</f>
        <v>0</v>
      </c>
      <c r="AD240" s="36" t="n">
        <f aca="false">IF($W240="RECEITA",$F240,0)</f>
        <v>0</v>
      </c>
      <c r="AE240" s="36" t="n">
        <f aca="false">IF($W240="DESPESA",$F240,0)</f>
        <v>0</v>
      </c>
      <c r="AF240" s="36" t="n">
        <f aca="false">IF($W240="RECEITA_FINANCEIRA",$F240,0)</f>
        <v>0</v>
      </c>
      <c r="AG240" s="36" t="n">
        <f aca="false">IF($B240="",0,IF($I240="CONTA",$F240,0)-IF($G240="CONTA",$F240,0))</f>
        <v>0</v>
      </c>
      <c r="AH240" s="36" t="n">
        <f aca="false">IF($B240="",0,IF($G240="CARTAO",$F240,0)-IF($I240="CARTAO",$F240,0))</f>
        <v>0</v>
      </c>
      <c r="AI240" s="36" t="n">
        <f aca="false">IF($B240="",0,IF($I240="INVESTIMENTO",$F240,0)-IF($G240="INVESTIMENTO",$F240,0))</f>
        <v>0</v>
      </c>
      <c r="AJ240" s="35" t="str">
        <f aca="false">IF($B240="","",IF(NOT(ISNUMBER($F240)),"ERRO: valor nao numerico",IF($F240&lt;=0,"ERRO: valor deve ser maior que zero",IF(COUNTIF(MAP_TIPO,$D240)=0,"ERRO: tipo de operacao nao cadastrado",IF(COUNTIF(LST_STATUS,$E240)=0,"ERRO: status invalido",IF(AND($G240="EXTERNO",$I240="EXTERNO"),"ERRO: origem e destino externos",IF(AND($G240&lt;&gt;"EXTERNO",COUNTIFS(ENT_ID,$H240,ENT_TIPO,$G240)=0),"ERRO: origem inexistente",IF(AND($I240&lt;&gt;"EXTERNO",COUNTIFS(ENT_ID,$J240,ENT_TIPO,$I240)=0),"ERRO: destino inexistente",IF(AND($K240&lt;&gt;"",COUNTIF(CAT_ID,$K240)=0),"ERRO: categoria inexistente",IF(AND($L240&lt;&gt;"",COUNTIF(SUB_ID,$L240)=0),"ERRO: subcategoria inexistente",IF(AND($L240&lt;&gt;"",$K240&lt;&gt;"",IFERROR(INDEX(SUB_CATID,MATCH($L240,SUB_ID,0)),"")&lt;&gt;$K240),"ERRO: subcategoria nao pertence a categoria",IF(AND($O240&lt;&gt;"",COUNTIF(P_ID,$O240)=0),"ERRO: parcela inexistente",IF(AND($N240&lt;&gt;"",COUNTIF(CM_ID,$N240)=0),"ERRO: compromisso inexistente","OK")))))))))))))</f>
        <v/>
      </c>
      <c r="AK240" s="35" t="str">
        <f aca="false">IF($B240="","",IF(AND($N240="",$O240="",$P240="",$Q240="",$R240=""),"","VINCULADO: "&amp;TRIM(IF($N240&lt;&gt;"",$N240&amp;" ","")&amp;IF($O240&lt;&gt;"",$O240&amp;" ","")&amp;IF($P240&lt;&gt;"",$P240&amp;" ","")&amp;IF($Q240&lt;&gt;"",$Q240&amp;" ","")&amp;IF($R240&lt;&gt;"",$R240,""))))</f>
        <v/>
      </c>
    </row>
    <row r="241" customFormat="false" ht="15" hidden="false" customHeight="false" outlineLevel="0" collapsed="false">
      <c r="A241" s="30" t="str">
        <f aca="false">IF($B241="","","LAN-"&amp;TEXT(ROW()-4,"000000"))</f>
        <v/>
      </c>
      <c r="B241" s="31"/>
      <c r="C241" s="32"/>
      <c r="D241" s="32"/>
      <c r="E241" s="32"/>
      <c r="F241" s="33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4" t="str">
        <f aca="false">IF($B241="","",YEAR($B241))</f>
        <v/>
      </c>
      <c r="U241" s="34" t="str">
        <f aca="false">IF($B241="","",MONTH($B241))</f>
        <v/>
      </c>
      <c r="V241" s="34" t="str">
        <f aca="false">IF($B241="","",YEAR($B241)*100+MONTH($B241))</f>
        <v/>
      </c>
      <c r="W241" s="35" t="str">
        <f aca="false">IF($D241="","",IFERROR(INDEX(MAP_CLASS,MATCH($D241,MAP_TIPO,0)),"TIPO INVALIDO"))</f>
        <v/>
      </c>
      <c r="X241" s="35" t="str">
        <f aca="false">IF($K241="","",IFERROR(INDEX(CAT_NOME,MATCH($K241,CAT_ID,0)),"?"))</f>
        <v/>
      </c>
      <c r="Y241" s="35" t="str">
        <f aca="false">IF($L241="","",IFERROR(INDEX(SUB_NOME,MATCH($L241,SUB_ID,0)),"?"))</f>
        <v/>
      </c>
      <c r="Z241" s="35" t="str">
        <f aca="false">IF($G241="","",IF($G241="EXTERNO","(Externo)",IFERROR(INDEX(ENT_NOME,MATCH($H241,ENT_ID,0)),"?")))</f>
        <v/>
      </c>
      <c r="AA241" s="35" t="str">
        <f aca="false">IF($I241="","",IF($I241="EXTERNO","(Externo)",IFERROR(INDEX(ENT_NOME,MATCH($J241,ENT_ID,0)),"?")))</f>
        <v/>
      </c>
      <c r="AB241" s="36" t="n">
        <f aca="false">IF($B241="",0,IF(AND($I241="CONTA",$G241&lt;&gt;"CONTA"),$F241,0))</f>
        <v>0</v>
      </c>
      <c r="AC241" s="36" t="n">
        <f aca="false">IF($B241="",0,IF(AND($G241="CONTA",$I241&lt;&gt;"CONTA"),$F241,0))</f>
        <v>0</v>
      </c>
      <c r="AD241" s="36" t="n">
        <f aca="false">IF($W241="RECEITA",$F241,0)</f>
        <v>0</v>
      </c>
      <c r="AE241" s="36" t="n">
        <f aca="false">IF($W241="DESPESA",$F241,0)</f>
        <v>0</v>
      </c>
      <c r="AF241" s="36" t="n">
        <f aca="false">IF($W241="RECEITA_FINANCEIRA",$F241,0)</f>
        <v>0</v>
      </c>
      <c r="AG241" s="36" t="n">
        <f aca="false">IF($B241="",0,IF($I241="CONTA",$F241,0)-IF($G241="CONTA",$F241,0))</f>
        <v>0</v>
      </c>
      <c r="AH241" s="36" t="n">
        <f aca="false">IF($B241="",0,IF($G241="CARTAO",$F241,0)-IF($I241="CARTAO",$F241,0))</f>
        <v>0</v>
      </c>
      <c r="AI241" s="36" t="n">
        <f aca="false">IF($B241="",0,IF($I241="INVESTIMENTO",$F241,0)-IF($G241="INVESTIMENTO",$F241,0))</f>
        <v>0</v>
      </c>
      <c r="AJ241" s="35" t="str">
        <f aca="false">IF($B241="","",IF(NOT(ISNUMBER($F241)),"ERRO: valor nao numerico",IF($F241&lt;=0,"ERRO: valor deve ser maior que zero",IF(COUNTIF(MAP_TIPO,$D241)=0,"ERRO: tipo de operacao nao cadastrado",IF(COUNTIF(LST_STATUS,$E241)=0,"ERRO: status invalido",IF(AND($G241="EXTERNO",$I241="EXTERNO"),"ERRO: origem e destino externos",IF(AND($G241&lt;&gt;"EXTERNO",COUNTIFS(ENT_ID,$H241,ENT_TIPO,$G241)=0),"ERRO: origem inexistente",IF(AND($I241&lt;&gt;"EXTERNO",COUNTIFS(ENT_ID,$J241,ENT_TIPO,$I241)=0),"ERRO: destino inexistente",IF(AND($K241&lt;&gt;"",COUNTIF(CAT_ID,$K241)=0),"ERRO: categoria inexistente",IF(AND($L241&lt;&gt;"",COUNTIF(SUB_ID,$L241)=0),"ERRO: subcategoria inexistente",IF(AND($L241&lt;&gt;"",$K241&lt;&gt;"",IFERROR(INDEX(SUB_CATID,MATCH($L241,SUB_ID,0)),"")&lt;&gt;$K241),"ERRO: subcategoria nao pertence a categoria",IF(AND($O241&lt;&gt;"",COUNTIF(P_ID,$O241)=0),"ERRO: parcela inexistente",IF(AND($N241&lt;&gt;"",COUNTIF(CM_ID,$N241)=0),"ERRO: compromisso inexistente","OK")))))))))))))</f>
        <v/>
      </c>
      <c r="AK241" s="35" t="str">
        <f aca="false">IF($B241="","",IF(AND($N241="",$O241="",$P241="",$Q241="",$R241=""),"","VINCULADO: "&amp;TRIM(IF($N241&lt;&gt;"",$N241&amp;" ","")&amp;IF($O241&lt;&gt;"",$O241&amp;" ","")&amp;IF($P241&lt;&gt;"",$P241&amp;" ","")&amp;IF($Q241&lt;&gt;"",$Q241&amp;" ","")&amp;IF($R241&lt;&gt;"",$R241,""))))</f>
        <v/>
      </c>
    </row>
    <row r="242" customFormat="false" ht="15" hidden="false" customHeight="false" outlineLevel="0" collapsed="false">
      <c r="A242" s="30" t="str">
        <f aca="false">IF($B242="","","LAN-"&amp;TEXT(ROW()-4,"000000"))</f>
        <v/>
      </c>
      <c r="B242" s="31"/>
      <c r="C242" s="32"/>
      <c r="D242" s="32"/>
      <c r="E242" s="32"/>
      <c r="F242" s="33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4" t="str">
        <f aca="false">IF($B242="","",YEAR($B242))</f>
        <v/>
      </c>
      <c r="U242" s="34" t="str">
        <f aca="false">IF($B242="","",MONTH($B242))</f>
        <v/>
      </c>
      <c r="V242" s="34" t="str">
        <f aca="false">IF($B242="","",YEAR($B242)*100+MONTH($B242))</f>
        <v/>
      </c>
      <c r="W242" s="35" t="str">
        <f aca="false">IF($D242="","",IFERROR(INDEX(MAP_CLASS,MATCH($D242,MAP_TIPO,0)),"TIPO INVALIDO"))</f>
        <v/>
      </c>
      <c r="X242" s="35" t="str">
        <f aca="false">IF($K242="","",IFERROR(INDEX(CAT_NOME,MATCH($K242,CAT_ID,0)),"?"))</f>
        <v/>
      </c>
      <c r="Y242" s="35" t="str">
        <f aca="false">IF($L242="","",IFERROR(INDEX(SUB_NOME,MATCH($L242,SUB_ID,0)),"?"))</f>
        <v/>
      </c>
      <c r="Z242" s="35" t="str">
        <f aca="false">IF($G242="","",IF($G242="EXTERNO","(Externo)",IFERROR(INDEX(ENT_NOME,MATCH($H242,ENT_ID,0)),"?")))</f>
        <v/>
      </c>
      <c r="AA242" s="35" t="str">
        <f aca="false">IF($I242="","",IF($I242="EXTERNO","(Externo)",IFERROR(INDEX(ENT_NOME,MATCH($J242,ENT_ID,0)),"?")))</f>
        <v/>
      </c>
      <c r="AB242" s="36" t="n">
        <f aca="false">IF($B242="",0,IF(AND($I242="CONTA",$G242&lt;&gt;"CONTA"),$F242,0))</f>
        <v>0</v>
      </c>
      <c r="AC242" s="36" t="n">
        <f aca="false">IF($B242="",0,IF(AND($G242="CONTA",$I242&lt;&gt;"CONTA"),$F242,0))</f>
        <v>0</v>
      </c>
      <c r="AD242" s="36" t="n">
        <f aca="false">IF($W242="RECEITA",$F242,0)</f>
        <v>0</v>
      </c>
      <c r="AE242" s="36" t="n">
        <f aca="false">IF($W242="DESPESA",$F242,0)</f>
        <v>0</v>
      </c>
      <c r="AF242" s="36" t="n">
        <f aca="false">IF($W242="RECEITA_FINANCEIRA",$F242,0)</f>
        <v>0</v>
      </c>
      <c r="AG242" s="36" t="n">
        <f aca="false">IF($B242="",0,IF($I242="CONTA",$F242,0)-IF($G242="CONTA",$F242,0))</f>
        <v>0</v>
      </c>
      <c r="AH242" s="36" t="n">
        <f aca="false">IF($B242="",0,IF($G242="CARTAO",$F242,0)-IF($I242="CARTAO",$F242,0))</f>
        <v>0</v>
      </c>
      <c r="AI242" s="36" t="n">
        <f aca="false">IF($B242="",0,IF($I242="INVESTIMENTO",$F242,0)-IF($G242="INVESTIMENTO",$F242,0))</f>
        <v>0</v>
      </c>
      <c r="AJ242" s="35" t="str">
        <f aca="false">IF($B242="","",IF(NOT(ISNUMBER($F242)),"ERRO: valor nao numerico",IF($F242&lt;=0,"ERRO: valor deve ser maior que zero",IF(COUNTIF(MAP_TIPO,$D242)=0,"ERRO: tipo de operacao nao cadastrado",IF(COUNTIF(LST_STATUS,$E242)=0,"ERRO: status invalido",IF(AND($G242="EXTERNO",$I242="EXTERNO"),"ERRO: origem e destino externos",IF(AND($G242&lt;&gt;"EXTERNO",COUNTIFS(ENT_ID,$H242,ENT_TIPO,$G242)=0),"ERRO: origem inexistente",IF(AND($I242&lt;&gt;"EXTERNO",COUNTIFS(ENT_ID,$J242,ENT_TIPO,$I242)=0),"ERRO: destino inexistente",IF(AND($K242&lt;&gt;"",COUNTIF(CAT_ID,$K242)=0),"ERRO: categoria inexistente",IF(AND($L242&lt;&gt;"",COUNTIF(SUB_ID,$L242)=0),"ERRO: subcategoria inexistente",IF(AND($L242&lt;&gt;"",$K242&lt;&gt;"",IFERROR(INDEX(SUB_CATID,MATCH($L242,SUB_ID,0)),"")&lt;&gt;$K242),"ERRO: subcategoria nao pertence a categoria",IF(AND($O242&lt;&gt;"",COUNTIF(P_ID,$O242)=0),"ERRO: parcela inexistente",IF(AND($N242&lt;&gt;"",COUNTIF(CM_ID,$N242)=0),"ERRO: compromisso inexistente","OK")))))))))))))</f>
        <v/>
      </c>
      <c r="AK242" s="35" t="str">
        <f aca="false">IF($B242="","",IF(AND($N242="",$O242="",$P242="",$Q242="",$R242=""),"","VINCULADO: "&amp;TRIM(IF($N242&lt;&gt;"",$N242&amp;" ","")&amp;IF($O242&lt;&gt;"",$O242&amp;" ","")&amp;IF($P242&lt;&gt;"",$P242&amp;" ","")&amp;IF($Q242&lt;&gt;"",$Q242&amp;" ","")&amp;IF($R242&lt;&gt;"",$R242,""))))</f>
        <v/>
      </c>
    </row>
    <row r="243" customFormat="false" ht="15" hidden="false" customHeight="false" outlineLevel="0" collapsed="false">
      <c r="A243" s="30" t="str">
        <f aca="false">IF($B243="","","LAN-"&amp;TEXT(ROW()-4,"000000"))</f>
        <v/>
      </c>
      <c r="B243" s="31"/>
      <c r="C243" s="32"/>
      <c r="D243" s="32"/>
      <c r="E243" s="32"/>
      <c r="F243" s="33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4" t="str">
        <f aca="false">IF($B243="","",YEAR($B243))</f>
        <v/>
      </c>
      <c r="U243" s="34" t="str">
        <f aca="false">IF($B243="","",MONTH($B243))</f>
        <v/>
      </c>
      <c r="V243" s="34" t="str">
        <f aca="false">IF($B243="","",YEAR($B243)*100+MONTH($B243))</f>
        <v/>
      </c>
      <c r="W243" s="35" t="str">
        <f aca="false">IF($D243="","",IFERROR(INDEX(MAP_CLASS,MATCH($D243,MAP_TIPO,0)),"TIPO INVALIDO"))</f>
        <v/>
      </c>
      <c r="X243" s="35" t="str">
        <f aca="false">IF($K243="","",IFERROR(INDEX(CAT_NOME,MATCH($K243,CAT_ID,0)),"?"))</f>
        <v/>
      </c>
      <c r="Y243" s="35" t="str">
        <f aca="false">IF($L243="","",IFERROR(INDEX(SUB_NOME,MATCH($L243,SUB_ID,0)),"?"))</f>
        <v/>
      </c>
      <c r="Z243" s="35" t="str">
        <f aca="false">IF($G243="","",IF($G243="EXTERNO","(Externo)",IFERROR(INDEX(ENT_NOME,MATCH($H243,ENT_ID,0)),"?")))</f>
        <v/>
      </c>
      <c r="AA243" s="35" t="str">
        <f aca="false">IF($I243="","",IF($I243="EXTERNO","(Externo)",IFERROR(INDEX(ENT_NOME,MATCH($J243,ENT_ID,0)),"?")))</f>
        <v/>
      </c>
      <c r="AB243" s="36" t="n">
        <f aca="false">IF($B243="",0,IF(AND($I243="CONTA",$G243&lt;&gt;"CONTA"),$F243,0))</f>
        <v>0</v>
      </c>
      <c r="AC243" s="36" t="n">
        <f aca="false">IF($B243="",0,IF(AND($G243="CONTA",$I243&lt;&gt;"CONTA"),$F243,0))</f>
        <v>0</v>
      </c>
      <c r="AD243" s="36" t="n">
        <f aca="false">IF($W243="RECEITA",$F243,0)</f>
        <v>0</v>
      </c>
      <c r="AE243" s="36" t="n">
        <f aca="false">IF($W243="DESPESA",$F243,0)</f>
        <v>0</v>
      </c>
      <c r="AF243" s="36" t="n">
        <f aca="false">IF($W243="RECEITA_FINANCEIRA",$F243,0)</f>
        <v>0</v>
      </c>
      <c r="AG243" s="36" t="n">
        <f aca="false">IF($B243="",0,IF($I243="CONTA",$F243,0)-IF($G243="CONTA",$F243,0))</f>
        <v>0</v>
      </c>
      <c r="AH243" s="36" t="n">
        <f aca="false">IF($B243="",0,IF($G243="CARTAO",$F243,0)-IF($I243="CARTAO",$F243,0))</f>
        <v>0</v>
      </c>
      <c r="AI243" s="36" t="n">
        <f aca="false">IF($B243="",0,IF($I243="INVESTIMENTO",$F243,0)-IF($G243="INVESTIMENTO",$F243,0))</f>
        <v>0</v>
      </c>
      <c r="AJ243" s="35" t="str">
        <f aca="false">IF($B243="","",IF(NOT(ISNUMBER($F243)),"ERRO: valor nao numerico",IF($F243&lt;=0,"ERRO: valor deve ser maior que zero",IF(COUNTIF(MAP_TIPO,$D243)=0,"ERRO: tipo de operacao nao cadastrado",IF(COUNTIF(LST_STATUS,$E243)=0,"ERRO: status invalido",IF(AND($G243="EXTERNO",$I243="EXTERNO"),"ERRO: origem e destino externos",IF(AND($G243&lt;&gt;"EXTERNO",COUNTIFS(ENT_ID,$H243,ENT_TIPO,$G243)=0),"ERRO: origem inexistente",IF(AND($I243&lt;&gt;"EXTERNO",COUNTIFS(ENT_ID,$J243,ENT_TIPO,$I243)=0),"ERRO: destino inexistente",IF(AND($K243&lt;&gt;"",COUNTIF(CAT_ID,$K243)=0),"ERRO: categoria inexistente",IF(AND($L243&lt;&gt;"",COUNTIF(SUB_ID,$L243)=0),"ERRO: subcategoria inexistente",IF(AND($L243&lt;&gt;"",$K243&lt;&gt;"",IFERROR(INDEX(SUB_CATID,MATCH($L243,SUB_ID,0)),"")&lt;&gt;$K243),"ERRO: subcategoria nao pertence a categoria",IF(AND($O243&lt;&gt;"",COUNTIF(P_ID,$O243)=0),"ERRO: parcela inexistente",IF(AND($N243&lt;&gt;"",COUNTIF(CM_ID,$N243)=0),"ERRO: compromisso inexistente","OK")))))))))))))</f>
        <v/>
      </c>
      <c r="AK243" s="35" t="str">
        <f aca="false">IF($B243="","",IF(AND($N243="",$O243="",$P243="",$Q243="",$R243=""),"","VINCULADO: "&amp;TRIM(IF($N243&lt;&gt;"",$N243&amp;" ","")&amp;IF($O243&lt;&gt;"",$O243&amp;" ","")&amp;IF($P243&lt;&gt;"",$P243&amp;" ","")&amp;IF($Q243&lt;&gt;"",$Q243&amp;" ","")&amp;IF($R243&lt;&gt;"",$R243,""))))</f>
        <v/>
      </c>
    </row>
    <row r="244" customFormat="false" ht="15" hidden="false" customHeight="false" outlineLevel="0" collapsed="false">
      <c r="A244" s="30" t="str">
        <f aca="false">IF($B244="","","LAN-"&amp;TEXT(ROW()-4,"000000"))</f>
        <v/>
      </c>
      <c r="B244" s="31"/>
      <c r="C244" s="32"/>
      <c r="D244" s="32"/>
      <c r="E244" s="32"/>
      <c r="F244" s="33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4" t="str">
        <f aca="false">IF($B244="","",YEAR($B244))</f>
        <v/>
      </c>
      <c r="U244" s="34" t="str">
        <f aca="false">IF($B244="","",MONTH($B244))</f>
        <v/>
      </c>
      <c r="V244" s="34" t="str">
        <f aca="false">IF($B244="","",YEAR($B244)*100+MONTH($B244))</f>
        <v/>
      </c>
      <c r="W244" s="35" t="str">
        <f aca="false">IF($D244="","",IFERROR(INDEX(MAP_CLASS,MATCH($D244,MAP_TIPO,0)),"TIPO INVALIDO"))</f>
        <v/>
      </c>
      <c r="X244" s="35" t="str">
        <f aca="false">IF($K244="","",IFERROR(INDEX(CAT_NOME,MATCH($K244,CAT_ID,0)),"?"))</f>
        <v/>
      </c>
      <c r="Y244" s="35" t="str">
        <f aca="false">IF($L244="","",IFERROR(INDEX(SUB_NOME,MATCH($L244,SUB_ID,0)),"?"))</f>
        <v/>
      </c>
      <c r="Z244" s="35" t="str">
        <f aca="false">IF($G244="","",IF($G244="EXTERNO","(Externo)",IFERROR(INDEX(ENT_NOME,MATCH($H244,ENT_ID,0)),"?")))</f>
        <v/>
      </c>
      <c r="AA244" s="35" t="str">
        <f aca="false">IF($I244="","",IF($I244="EXTERNO","(Externo)",IFERROR(INDEX(ENT_NOME,MATCH($J244,ENT_ID,0)),"?")))</f>
        <v/>
      </c>
      <c r="AB244" s="36" t="n">
        <f aca="false">IF($B244="",0,IF(AND($I244="CONTA",$G244&lt;&gt;"CONTA"),$F244,0))</f>
        <v>0</v>
      </c>
      <c r="AC244" s="36" t="n">
        <f aca="false">IF($B244="",0,IF(AND($G244="CONTA",$I244&lt;&gt;"CONTA"),$F244,0))</f>
        <v>0</v>
      </c>
      <c r="AD244" s="36" t="n">
        <f aca="false">IF($W244="RECEITA",$F244,0)</f>
        <v>0</v>
      </c>
      <c r="AE244" s="36" t="n">
        <f aca="false">IF($W244="DESPESA",$F244,0)</f>
        <v>0</v>
      </c>
      <c r="AF244" s="36" t="n">
        <f aca="false">IF($W244="RECEITA_FINANCEIRA",$F244,0)</f>
        <v>0</v>
      </c>
      <c r="AG244" s="36" t="n">
        <f aca="false">IF($B244="",0,IF($I244="CONTA",$F244,0)-IF($G244="CONTA",$F244,0))</f>
        <v>0</v>
      </c>
      <c r="AH244" s="36" t="n">
        <f aca="false">IF($B244="",0,IF($G244="CARTAO",$F244,0)-IF($I244="CARTAO",$F244,0))</f>
        <v>0</v>
      </c>
      <c r="AI244" s="36" t="n">
        <f aca="false">IF($B244="",0,IF($I244="INVESTIMENTO",$F244,0)-IF($G244="INVESTIMENTO",$F244,0))</f>
        <v>0</v>
      </c>
      <c r="AJ244" s="35" t="str">
        <f aca="false">IF($B244="","",IF(NOT(ISNUMBER($F244)),"ERRO: valor nao numerico",IF($F244&lt;=0,"ERRO: valor deve ser maior que zero",IF(COUNTIF(MAP_TIPO,$D244)=0,"ERRO: tipo de operacao nao cadastrado",IF(COUNTIF(LST_STATUS,$E244)=0,"ERRO: status invalido",IF(AND($G244="EXTERNO",$I244="EXTERNO"),"ERRO: origem e destino externos",IF(AND($G244&lt;&gt;"EXTERNO",COUNTIFS(ENT_ID,$H244,ENT_TIPO,$G244)=0),"ERRO: origem inexistente",IF(AND($I244&lt;&gt;"EXTERNO",COUNTIFS(ENT_ID,$J244,ENT_TIPO,$I244)=0),"ERRO: destino inexistente",IF(AND($K244&lt;&gt;"",COUNTIF(CAT_ID,$K244)=0),"ERRO: categoria inexistente",IF(AND($L244&lt;&gt;"",COUNTIF(SUB_ID,$L244)=0),"ERRO: subcategoria inexistente",IF(AND($L244&lt;&gt;"",$K244&lt;&gt;"",IFERROR(INDEX(SUB_CATID,MATCH($L244,SUB_ID,0)),"")&lt;&gt;$K244),"ERRO: subcategoria nao pertence a categoria",IF(AND($O244&lt;&gt;"",COUNTIF(P_ID,$O244)=0),"ERRO: parcela inexistente",IF(AND($N244&lt;&gt;"",COUNTIF(CM_ID,$N244)=0),"ERRO: compromisso inexistente","OK")))))))))))))</f>
        <v/>
      </c>
      <c r="AK244" s="35" t="str">
        <f aca="false">IF($B244="","",IF(AND($N244="",$O244="",$P244="",$Q244="",$R244=""),"","VINCULADO: "&amp;TRIM(IF($N244&lt;&gt;"",$N244&amp;" ","")&amp;IF($O244&lt;&gt;"",$O244&amp;" ","")&amp;IF($P244&lt;&gt;"",$P244&amp;" ","")&amp;IF($Q244&lt;&gt;"",$Q244&amp;" ","")&amp;IF($R244&lt;&gt;"",$R244,""))))</f>
        <v/>
      </c>
    </row>
    <row r="245" customFormat="false" ht="15" hidden="false" customHeight="false" outlineLevel="0" collapsed="false">
      <c r="A245" s="30" t="str">
        <f aca="false">IF($B245="","","LAN-"&amp;TEXT(ROW()-4,"000000"))</f>
        <v/>
      </c>
      <c r="B245" s="31"/>
      <c r="C245" s="32"/>
      <c r="D245" s="32"/>
      <c r="E245" s="32"/>
      <c r="F245" s="33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4" t="str">
        <f aca="false">IF($B245="","",YEAR($B245))</f>
        <v/>
      </c>
      <c r="U245" s="34" t="str">
        <f aca="false">IF($B245="","",MONTH($B245))</f>
        <v/>
      </c>
      <c r="V245" s="34" t="str">
        <f aca="false">IF($B245="","",YEAR($B245)*100+MONTH($B245))</f>
        <v/>
      </c>
      <c r="W245" s="35" t="str">
        <f aca="false">IF($D245="","",IFERROR(INDEX(MAP_CLASS,MATCH($D245,MAP_TIPO,0)),"TIPO INVALIDO"))</f>
        <v/>
      </c>
      <c r="X245" s="35" t="str">
        <f aca="false">IF($K245="","",IFERROR(INDEX(CAT_NOME,MATCH($K245,CAT_ID,0)),"?"))</f>
        <v/>
      </c>
      <c r="Y245" s="35" t="str">
        <f aca="false">IF($L245="","",IFERROR(INDEX(SUB_NOME,MATCH($L245,SUB_ID,0)),"?"))</f>
        <v/>
      </c>
      <c r="Z245" s="35" t="str">
        <f aca="false">IF($G245="","",IF($G245="EXTERNO","(Externo)",IFERROR(INDEX(ENT_NOME,MATCH($H245,ENT_ID,0)),"?")))</f>
        <v/>
      </c>
      <c r="AA245" s="35" t="str">
        <f aca="false">IF($I245="","",IF($I245="EXTERNO","(Externo)",IFERROR(INDEX(ENT_NOME,MATCH($J245,ENT_ID,0)),"?")))</f>
        <v/>
      </c>
      <c r="AB245" s="36" t="n">
        <f aca="false">IF($B245="",0,IF(AND($I245="CONTA",$G245&lt;&gt;"CONTA"),$F245,0))</f>
        <v>0</v>
      </c>
      <c r="AC245" s="36" t="n">
        <f aca="false">IF($B245="",0,IF(AND($G245="CONTA",$I245&lt;&gt;"CONTA"),$F245,0))</f>
        <v>0</v>
      </c>
      <c r="AD245" s="36" t="n">
        <f aca="false">IF($W245="RECEITA",$F245,0)</f>
        <v>0</v>
      </c>
      <c r="AE245" s="36" t="n">
        <f aca="false">IF($W245="DESPESA",$F245,0)</f>
        <v>0</v>
      </c>
      <c r="AF245" s="36" t="n">
        <f aca="false">IF($W245="RECEITA_FINANCEIRA",$F245,0)</f>
        <v>0</v>
      </c>
      <c r="AG245" s="36" t="n">
        <f aca="false">IF($B245="",0,IF($I245="CONTA",$F245,0)-IF($G245="CONTA",$F245,0))</f>
        <v>0</v>
      </c>
      <c r="AH245" s="36" t="n">
        <f aca="false">IF($B245="",0,IF($G245="CARTAO",$F245,0)-IF($I245="CARTAO",$F245,0))</f>
        <v>0</v>
      </c>
      <c r="AI245" s="36" t="n">
        <f aca="false">IF($B245="",0,IF($I245="INVESTIMENTO",$F245,0)-IF($G245="INVESTIMENTO",$F245,0))</f>
        <v>0</v>
      </c>
      <c r="AJ245" s="35" t="str">
        <f aca="false">IF($B245="","",IF(NOT(ISNUMBER($F245)),"ERRO: valor nao numerico",IF($F245&lt;=0,"ERRO: valor deve ser maior que zero",IF(COUNTIF(MAP_TIPO,$D245)=0,"ERRO: tipo de operacao nao cadastrado",IF(COUNTIF(LST_STATUS,$E245)=0,"ERRO: status invalido",IF(AND($G245="EXTERNO",$I245="EXTERNO"),"ERRO: origem e destino externos",IF(AND($G245&lt;&gt;"EXTERNO",COUNTIFS(ENT_ID,$H245,ENT_TIPO,$G245)=0),"ERRO: origem inexistente",IF(AND($I245&lt;&gt;"EXTERNO",COUNTIFS(ENT_ID,$J245,ENT_TIPO,$I245)=0),"ERRO: destino inexistente",IF(AND($K245&lt;&gt;"",COUNTIF(CAT_ID,$K245)=0),"ERRO: categoria inexistente",IF(AND($L245&lt;&gt;"",COUNTIF(SUB_ID,$L245)=0),"ERRO: subcategoria inexistente",IF(AND($L245&lt;&gt;"",$K245&lt;&gt;"",IFERROR(INDEX(SUB_CATID,MATCH($L245,SUB_ID,0)),"")&lt;&gt;$K245),"ERRO: subcategoria nao pertence a categoria",IF(AND($O245&lt;&gt;"",COUNTIF(P_ID,$O245)=0),"ERRO: parcela inexistente",IF(AND($N245&lt;&gt;"",COUNTIF(CM_ID,$N245)=0),"ERRO: compromisso inexistente","OK")))))))))))))</f>
        <v/>
      </c>
      <c r="AK245" s="35" t="str">
        <f aca="false">IF($B245="","",IF(AND($N245="",$O245="",$P245="",$Q245="",$R245=""),"","VINCULADO: "&amp;TRIM(IF($N245&lt;&gt;"",$N245&amp;" ","")&amp;IF($O245&lt;&gt;"",$O245&amp;" ","")&amp;IF($P245&lt;&gt;"",$P245&amp;" ","")&amp;IF($Q245&lt;&gt;"",$Q245&amp;" ","")&amp;IF($R245&lt;&gt;"",$R245,""))))</f>
        <v/>
      </c>
    </row>
    <row r="246" customFormat="false" ht="15" hidden="false" customHeight="false" outlineLevel="0" collapsed="false">
      <c r="A246" s="30" t="str">
        <f aca="false">IF($B246="","","LAN-"&amp;TEXT(ROW()-4,"000000"))</f>
        <v/>
      </c>
      <c r="B246" s="31"/>
      <c r="C246" s="32"/>
      <c r="D246" s="32"/>
      <c r="E246" s="32"/>
      <c r="F246" s="33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4" t="str">
        <f aca="false">IF($B246="","",YEAR($B246))</f>
        <v/>
      </c>
      <c r="U246" s="34" t="str">
        <f aca="false">IF($B246="","",MONTH($B246))</f>
        <v/>
      </c>
      <c r="V246" s="34" t="str">
        <f aca="false">IF($B246="","",YEAR($B246)*100+MONTH($B246))</f>
        <v/>
      </c>
      <c r="W246" s="35" t="str">
        <f aca="false">IF($D246="","",IFERROR(INDEX(MAP_CLASS,MATCH($D246,MAP_TIPO,0)),"TIPO INVALIDO"))</f>
        <v/>
      </c>
      <c r="X246" s="35" t="str">
        <f aca="false">IF($K246="","",IFERROR(INDEX(CAT_NOME,MATCH($K246,CAT_ID,0)),"?"))</f>
        <v/>
      </c>
      <c r="Y246" s="35" t="str">
        <f aca="false">IF($L246="","",IFERROR(INDEX(SUB_NOME,MATCH($L246,SUB_ID,0)),"?"))</f>
        <v/>
      </c>
      <c r="Z246" s="35" t="str">
        <f aca="false">IF($G246="","",IF($G246="EXTERNO","(Externo)",IFERROR(INDEX(ENT_NOME,MATCH($H246,ENT_ID,0)),"?")))</f>
        <v/>
      </c>
      <c r="AA246" s="35" t="str">
        <f aca="false">IF($I246="","",IF($I246="EXTERNO","(Externo)",IFERROR(INDEX(ENT_NOME,MATCH($J246,ENT_ID,0)),"?")))</f>
        <v/>
      </c>
      <c r="AB246" s="36" t="n">
        <f aca="false">IF($B246="",0,IF(AND($I246="CONTA",$G246&lt;&gt;"CONTA"),$F246,0))</f>
        <v>0</v>
      </c>
      <c r="AC246" s="36" t="n">
        <f aca="false">IF($B246="",0,IF(AND($G246="CONTA",$I246&lt;&gt;"CONTA"),$F246,0))</f>
        <v>0</v>
      </c>
      <c r="AD246" s="36" t="n">
        <f aca="false">IF($W246="RECEITA",$F246,0)</f>
        <v>0</v>
      </c>
      <c r="AE246" s="36" t="n">
        <f aca="false">IF($W246="DESPESA",$F246,0)</f>
        <v>0</v>
      </c>
      <c r="AF246" s="36" t="n">
        <f aca="false">IF($W246="RECEITA_FINANCEIRA",$F246,0)</f>
        <v>0</v>
      </c>
      <c r="AG246" s="36" t="n">
        <f aca="false">IF($B246="",0,IF($I246="CONTA",$F246,0)-IF($G246="CONTA",$F246,0))</f>
        <v>0</v>
      </c>
      <c r="AH246" s="36" t="n">
        <f aca="false">IF($B246="",0,IF($G246="CARTAO",$F246,0)-IF($I246="CARTAO",$F246,0))</f>
        <v>0</v>
      </c>
      <c r="AI246" s="36" t="n">
        <f aca="false">IF($B246="",0,IF($I246="INVESTIMENTO",$F246,0)-IF($G246="INVESTIMENTO",$F246,0))</f>
        <v>0</v>
      </c>
      <c r="AJ246" s="35" t="str">
        <f aca="false">IF($B246="","",IF(NOT(ISNUMBER($F246)),"ERRO: valor nao numerico",IF($F246&lt;=0,"ERRO: valor deve ser maior que zero",IF(COUNTIF(MAP_TIPO,$D246)=0,"ERRO: tipo de operacao nao cadastrado",IF(COUNTIF(LST_STATUS,$E246)=0,"ERRO: status invalido",IF(AND($G246="EXTERNO",$I246="EXTERNO"),"ERRO: origem e destino externos",IF(AND($G246&lt;&gt;"EXTERNO",COUNTIFS(ENT_ID,$H246,ENT_TIPO,$G246)=0),"ERRO: origem inexistente",IF(AND($I246&lt;&gt;"EXTERNO",COUNTIFS(ENT_ID,$J246,ENT_TIPO,$I246)=0),"ERRO: destino inexistente",IF(AND($K246&lt;&gt;"",COUNTIF(CAT_ID,$K246)=0),"ERRO: categoria inexistente",IF(AND($L246&lt;&gt;"",COUNTIF(SUB_ID,$L246)=0),"ERRO: subcategoria inexistente",IF(AND($L246&lt;&gt;"",$K246&lt;&gt;"",IFERROR(INDEX(SUB_CATID,MATCH($L246,SUB_ID,0)),"")&lt;&gt;$K246),"ERRO: subcategoria nao pertence a categoria",IF(AND($O246&lt;&gt;"",COUNTIF(P_ID,$O246)=0),"ERRO: parcela inexistente",IF(AND($N246&lt;&gt;"",COUNTIF(CM_ID,$N246)=0),"ERRO: compromisso inexistente","OK")))))))))))))</f>
        <v/>
      </c>
      <c r="AK246" s="35" t="str">
        <f aca="false">IF($B246="","",IF(AND($N246="",$O246="",$P246="",$Q246="",$R246=""),"","VINCULADO: "&amp;TRIM(IF($N246&lt;&gt;"",$N246&amp;" ","")&amp;IF($O246&lt;&gt;"",$O246&amp;" ","")&amp;IF($P246&lt;&gt;"",$P246&amp;" ","")&amp;IF($Q246&lt;&gt;"",$Q246&amp;" ","")&amp;IF($R246&lt;&gt;"",$R246,""))))</f>
        <v/>
      </c>
    </row>
    <row r="247" customFormat="false" ht="15" hidden="false" customHeight="false" outlineLevel="0" collapsed="false">
      <c r="A247" s="30" t="str">
        <f aca="false">IF($B247="","","LAN-"&amp;TEXT(ROW()-4,"000000"))</f>
        <v/>
      </c>
      <c r="B247" s="31"/>
      <c r="C247" s="32"/>
      <c r="D247" s="32"/>
      <c r="E247" s="32"/>
      <c r="F247" s="33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4" t="str">
        <f aca="false">IF($B247="","",YEAR($B247))</f>
        <v/>
      </c>
      <c r="U247" s="34" t="str">
        <f aca="false">IF($B247="","",MONTH($B247))</f>
        <v/>
      </c>
      <c r="V247" s="34" t="str">
        <f aca="false">IF($B247="","",YEAR($B247)*100+MONTH($B247))</f>
        <v/>
      </c>
      <c r="W247" s="35" t="str">
        <f aca="false">IF($D247="","",IFERROR(INDEX(MAP_CLASS,MATCH($D247,MAP_TIPO,0)),"TIPO INVALIDO"))</f>
        <v/>
      </c>
      <c r="X247" s="35" t="str">
        <f aca="false">IF($K247="","",IFERROR(INDEX(CAT_NOME,MATCH($K247,CAT_ID,0)),"?"))</f>
        <v/>
      </c>
      <c r="Y247" s="35" t="str">
        <f aca="false">IF($L247="","",IFERROR(INDEX(SUB_NOME,MATCH($L247,SUB_ID,0)),"?"))</f>
        <v/>
      </c>
      <c r="Z247" s="35" t="str">
        <f aca="false">IF($G247="","",IF($G247="EXTERNO","(Externo)",IFERROR(INDEX(ENT_NOME,MATCH($H247,ENT_ID,0)),"?")))</f>
        <v/>
      </c>
      <c r="AA247" s="35" t="str">
        <f aca="false">IF($I247="","",IF($I247="EXTERNO","(Externo)",IFERROR(INDEX(ENT_NOME,MATCH($J247,ENT_ID,0)),"?")))</f>
        <v/>
      </c>
      <c r="AB247" s="36" t="n">
        <f aca="false">IF($B247="",0,IF(AND($I247="CONTA",$G247&lt;&gt;"CONTA"),$F247,0))</f>
        <v>0</v>
      </c>
      <c r="AC247" s="36" t="n">
        <f aca="false">IF($B247="",0,IF(AND($G247="CONTA",$I247&lt;&gt;"CONTA"),$F247,0))</f>
        <v>0</v>
      </c>
      <c r="AD247" s="36" t="n">
        <f aca="false">IF($W247="RECEITA",$F247,0)</f>
        <v>0</v>
      </c>
      <c r="AE247" s="36" t="n">
        <f aca="false">IF($W247="DESPESA",$F247,0)</f>
        <v>0</v>
      </c>
      <c r="AF247" s="36" t="n">
        <f aca="false">IF($W247="RECEITA_FINANCEIRA",$F247,0)</f>
        <v>0</v>
      </c>
      <c r="AG247" s="36" t="n">
        <f aca="false">IF($B247="",0,IF($I247="CONTA",$F247,0)-IF($G247="CONTA",$F247,0))</f>
        <v>0</v>
      </c>
      <c r="AH247" s="36" t="n">
        <f aca="false">IF($B247="",0,IF($G247="CARTAO",$F247,0)-IF($I247="CARTAO",$F247,0))</f>
        <v>0</v>
      </c>
      <c r="AI247" s="36" t="n">
        <f aca="false">IF($B247="",0,IF($I247="INVESTIMENTO",$F247,0)-IF($G247="INVESTIMENTO",$F247,0))</f>
        <v>0</v>
      </c>
      <c r="AJ247" s="35" t="str">
        <f aca="false">IF($B247="","",IF(NOT(ISNUMBER($F247)),"ERRO: valor nao numerico",IF($F247&lt;=0,"ERRO: valor deve ser maior que zero",IF(COUNTIF(MAP_TIPO,$D247)=0,"ERRO: tipo de operacao nao cadastrado",IF(COUNTIF(LST_STATUS,$E247)=0,"ERRO: status invalido",IF(AND($G247="EXTERNO",$I247="EXTERNO"),"ERRO: origem e destino externos",IF(AND($G247&lt;&gt;"EXTERNO",COUNTIFS(ENT_ID,$H247,ENT_TIPO,$G247)=0),"ERRO: origem inexistente",IF(AND($I247&lt;&gt;"EXTERNO",COUNTIFS(ENT_ID,$J247,ENT_TIPO,$I247)=0),"ERRO: destino inexistente",IF(AND($K247&lt;&gt;"",COUNTIF(CAT_ID,$K247)=0),"ERRO: categoria inexistente",IF(AND($L247&lt;&gt;"",COUNTIF(SUB_ID,$L247)=0),"ERRO: subcategoria inexistente",IF(AND($L247&lt;&gt;"",$K247&lt;&gt;"",IFERROR(INDEX(SUB_CATID,MATCH($L247,SUB_ID,0)),"")&lt;&gt;$K247),"ERRO: subcategoria nao pertence a categoria",IF(AND($O247&lt;&gt;"",COUNTIF(P_ID,$O247)=0),"ERRO: parcela inexistente",IF(AND($N247&lt;&gt;"",COUNTIF(CM_ID,$N247)=0),"ERRO: compromisso inexistente","OK")))))))))))))</f>
        <v/>
      </c>
      <c r="AK247" s="35" t="str">
        <f aca="false">IF($B247="","",IF(AND($N247="",$O247="",$P247="",$Q247="",$R247=""),"","VINCULADO: "&amp;TRIM(IF($N247&lt;&gt;"",$N247&amp;" ","")&amp;IF($O247&lt;&gt;"",$O247&amp;" ","")&amp;IF($P247&lt;&gt;"",$P247&amp;" ","")&amp;IF($Q247&lt;&gt;"",$Q247&amp;" ","")&amp;IF($R247&lt;&gt;"",$R247,""))))</f>
        <v/>
      </c>
    </row>
    <row r="248" customFormat="false" ht="15" hidden="false" customHeight="false" outlineLevel="0" collapsed="false">
      <c r="A248" s="30" t="str">
        <f aca="false">IF($B248="","","LAN-"&amp;TEXT(ROW()-4,"000000"))</f>
        <v/>
      </c>
      <c r="B248" s="31"/>
      <c r="C248" s="32"/>
      <c r="D248" s="32"/>
      <c r="E248" s="32"/>
      <c r="F248" s="33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4" t="str">
        <f aca="false">IF($B248="","",YEAR($B248))</f>
        <v/>
      </c>
      <c r="U248" s="34" t="str">
        <f aca="false">IF($B248="","",MONTH($B248))</f>
        <v/>
      </c>
      <c r="V248" s="34" t="str">
        <f aca="false">IF($B248="","",YEAR($B248)*100+MONTH($B248))</f>
        <v/>
      </c>
      <c r="W248" s="35" t="str">
        <f aca="false">IF($D248="","",IFERROR(INDEX(MAP_CLASS,MATCH($D248,MAP_TIPO,0)),"TIPO INVALIDO"))</f>
        <v/>
      </c>
      <c r="X248" s="35" t="str">
        <f aca="false">IF($K248="","",IFERROR(INDEX(CAT_NOME,MATCH($K248,CAT_ID,0)),"?"))</f>
        <v/>
      </c>
      <c r="Y248" s="35" t="str">
        <f aca="false">IF($L248="","",IFERROR(INDEX(SUB_NOME,MATCH($L248,SUB_ID,0)),"?"))</f>
        <v/>
      </c>
      <c r="Z248" s="35" t="str">
        <f aca="false">IF($G248="","",IF($G248="EXTERNO","(Externo)",IFERROR(INDEX(ENT_NOME,MATCH($H248,ENT_ID,0)),"?")))</f>
        <v/>
      </c>
      <c r="AA248" s="35" t="str">
        <f aca="false">IF($I248="","",IF($I248="EXTERNO","(Externo)",IFERROR(INDEX(ENT_NOME,MATCH($J248,ENT_ID,0)),"?")))</f>
        <v/>
      </c>
      <c r="AB248" s="36" t="n">
        <f aca="false">IF($B248="",0,IF(AND($I248="CONTA",$G248&lt;&gt;"CONTA"),$F248,0))</f>
        <v>0</v>
      </c>
      <c r="AC248" s="36" t="n">
        <f aca="false">IF($B248="",0,IF(AND($G248="CONTA",$I248&lt;&gt;"CONTA"),$F248,0))</f>
        <v>0</v>
      </c>
      <c r="AD248" s="36" t="n">
        <f aca="false">IF($W248="RECEITA",$F248,0)</f>
        <v>0</v>
      </c>
      <c r="AE248" s="36" t="n">
        <f aca="false">IF($W248="DESPESA",$F248,0)</f>
        <v>0</v>
      </c>
      <c r="AF248" s="36" t="n">
        <f aca="false">IF($W248="RECEITA_FINANCEIRA",$F248,0)</f>
        <v>0</v>
      </c>
      <c r="AG248" s="36" t="n">
        <f aca="false">IF($B248="",0,IF($I248="CONTA",$F248,0)-IF($G248="CONTA",$F248,0))</f>
        <v>0</v>
      </c>
      <c r="AH248" s="36" t="n">
        <f aca="false">IF($B248="",0,IF($G248="CARTAO",$F248,0)-IF($I248="CARTAO",$F248,0))</f>
        <v>0</v>
      </c>
      <c r="AI248" s="36" t="n">
        <f aca="false">IF($B248="",0,IF($I248="INVESTIMENTO",$F248,0)-IF($G248="INVESTIMENTO",$F248,0))</f>
        <v>0</v>
      </c>
      <c r="AJ248" s="35" t="str">
        <f aca="false">IF($B248="","",IF(NOT(ISNUMBER($F248)),"ERRO: valor nao numerico",IF($F248&lt;=0,"ERRO: valor deve ser maior que zero",IF(COUNTIF(MAP_TIPO,$D248)=0,"ERRO: tipo de operacao nao cadastrado",IF(COUNTIF(LST_STATUS,$E248)=0,"ERRO: status invalido",IF(AND($G248="EXTERNO",$I248="EXTERNO"),"ERRO: origem e destino externos",IF(AND($G248&lt;&gt;"EXTERNO",COUNTIFS(ENT_ID,$H248,ENT_TIPO,$G248)=0),"ERRO: origem inexistente",IF(AND($I248&lt;&gt;"EXTERNO",COUNTIFS(ENT_ID,$J248,ENT_TIPO,$I248)=0),"ERRO: destino inexistente",IF(AND($K248&lt;&gt;"",COUNTIF(CAT_ID,$K248)=0),"ERRO: categoria inexistente",IF(AND($L248&lt;&gt;"",COUNTIF(SUB_ID,$L248)=0),"ERRO: subcategoria inexistente",IF(AND($L248&lt;&gt;"",$K248&lt;&gt;"",IFERROR(INDEX(SUB_CATID,MATCH($L248,SUB_ID,0)),"")&lt;&gt;$K248),"ERRO: subcategoria nao pertence a categoria",IF(AND($O248&lt;&gt;"",COUNTIF(P_ID,$O248)=0),"ERRO: parcela inexistente",IF(AND($N248&lt;&gt;"",COUNTIF(CM_ID,$N248)=0),"ERRO: compromisso inexistente","OK")))))))))))))</f>
        <v/>
      </c>
      <c r="AK248" s="35" t="str">
        <f aca="false">IF($B248="","",IF(AND($N248="",$O248="",$P248="",$Q248="",$R248=""),"","VINCULADO: "&amp;TRIM(IF($N248&lt;&gt;"",$N248&amp;" ","")&amp;IF($O248&lt;&gt;"",$O248&amp;" ","")&amp;IF($P248&lt;&gt;"",$P248&amp;" ","")&amp;IF($Q248&lt;&gt;"",$Q248&amp;" ","")&amp;IF($R248&lt;&gt;"",$R248,""))))</f>
        <v/>
      </c>
    </row>
    <row r="249" customFormat="false" ht="15" hidden="false" customHeight="false" outlineLevel="0" collapsed="false">
      <c r="A249" s="30" t="str">
        <f aca="false">IF($B249="","","LAN-"&amp;TEXT(ROW()-4,"000000"))</f>
        <v/>
      </c>
      <c r="B249" s="31"/>
      <c r="C249" s="32"/>
      <c r="D249" s="32"/>
      <c r="E249" s="32"/>
      <c r="F249" s="33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4" t="str">
        <f aca="false">IF($B249="","",YEAR($B249))</f>
        <v/>
      </c>
      <c r="U249" s="34" t="str">
        <f aca="false">IF($B249="","",MONTH($B249))</f>
        <v/>
      </c>
      <c r="V249" s="34" t="str">
        <f aca="false">IF($B249="","",YEAR($B249)*100+MONTH($B249))</f>
        <v/>
      </c>
      <c r="W249" s="35" t="str">
        <f aca="false">IF($D249="","",IFERROR(INDEX(MAP_CLASS,MATCH($D249,MAP_TIPO,0)),"TIPO INVALIDO"))</f>
        <v/>
      </c>
      <c r="X249" s="35" t="str">
        <f aca="false">IF($K249="","",IFERROR(INDEX(CAT_NOME,MATCH($K249,CAT_ID,0)),"?"))</f>
        <v/>
      </c>
      <c r="Y249" s="35" t="str">
        <f aca="false">IF($L249="","",IFERROR(INDEX(SUB_NOME,MATCH($L249,SUB_ID,0)),"?"))</f>
        <v/>
      </c>
      <c r="Z249" s="35" t="str">
        <f aca="false">IF($G249="","",IF($G249="EXTERNO","(Externo)",IFERROR(INDEX(ENT_NOME,MATCH($H249,ENT_ID,0)),"?")))</f>
        <v/>
      </c>
      <c r="AA249" s="35" t="str">
        <f aca="false">IF($I249="","",IF($I249="EXTERNO","(Externo)",IFERROR(INDEX(ENT_NOME,MATCH($J249,ENT_ID,0)),"?")))</f>
        <v/>
      </c>
      <c r="AB249" s="36" t="n">
        <f aca="false">IF($B249="",0,IF(AND($I249="CONTA",$G249&lt;&gt;"CONTA"),$F249,0))</f>
        <v>0</v>
      </c>
      <c r="AC249" s="36" t="n">
        <f aca="false">IF($B249="",0,IF(AND($G249="CONTA",$I249&lt;&gt;"CONTA"),$F249,0))</f>
        <v>0</v>
      </c>
      <c r="AD249" s="36" t="n">
        <f aca="false">IF($W249="RECEITA",$F249,0)</f>
        <v>0</v>
      </c>
      <c r="AE249" s="36" t="n">
        <f aca="false">IF($W249="DESPESA",$F249,0)</f>
        <v>0</v>
      </c>
      <c r="AF249" s="36" t="n">
        <f aca="false">IF($W249="RECEITA_FINANCEIRA",$F249,0)</f>
        <v>0</v>
      </c>
      <c r="AG249" s="36" t="n">
        <f aca="false">IF($B249="",0,IF($I249="CONTA",$F249,0)-IF($G249="CONTA",$F249,0))</f>
        <v>0</v>
      </c>
      <c r="AH249" s="36" t="n">
        <f aca="false">IF($B249="",0,IF($G249="CARTAO",$F249,0)-IF($I249="CARTAO",$F249,0))</f>
        <v>0</v>
      </c>
      <c r="AI249" s="36" t="n">
        <f aca="false">IF($B249="",0,IF($I249="INVESTIMENTO",$F249,0)-IF($G249="INVESTIMENTO",$F249,0))</f>
        <v>0</v>
      </c>
      <c r="AJ249" s="35" t="str">
        <f aca="false">IF($B249="","",IF(NOT(ISNUMBER($F249)),"ERRO: valor nao numerico",IF($F249&lt;=0,"ERRO: valor deve ser maior que zero",IF(COUNTIF(MAP_TIPO,$D249)=0,"ERRO: tipo de operacao nao cadastrado",IF(COUNTIF(LST_STATUS,$E249)=0,"ERRO: status invalido",IF(AND($G249="EXTERNO",$I249="EXTERNO"),"ERRO: origem e destino externos",IF(AND($G249&lt;&gt;"EXTERNO",COUNTIFS(ENT_ID,$H249,ENT_TIPO,$G249)=0),"ERRO: origem inexistente",IF(AND($I249&lt;&gt;"EXTERNO",COUNTIFS(ENT_ID,$J249,ENT_TIPO,$I249)=0),"ERRO: destino inexistente",IF(AND($K249&lt;&gt;"",COUNTIF(CAT_ID,$K249)=0),"ERRO: categoria inexistente",IF(AND($L249&lt;&gt;"",COUNTIF(SUB_ID,$L249)=0),"ERRO: subcategoria inexistente",IF(AND($L249&lt;&gt;"",$K249&lt;&gt;"",IFERROR(INDEX(SUB_CATID,MATCH($L249,SUB_ID,0)),"")&lt;&gt;$K249),"ERRO: subcategoria nao pertence a categoria",IF(AND($O249&lt;&gt;"",COUNTIF(P_ID,$O249)=0),"ERRO: parcela inexistente",IF(AND($N249&lt;&gt;"",COUNTIF(CM_ID,$N249)=0),"ERRO: compromisso inexistente","OK")))))))))))))</f>
        <v/>
      </c>
      <c r="AK249" s="35" t="str">
        <f aca="false">IF($B249="","",IF(AND($N249="",$O249="",$P249="",$Q249="",$R249=""),"","VINCULADO: "&amp;TRIM(IF($N249&lt;&gt;"",$N249&amp;" ","")&amp;IF($O249&lt;&gt;"",$O249&amp;" ","")&amp;IF($P249&lt;&gt;"",$P249&amp;" ","")&amp;IF($Q249&lt;&gt;"",$Q249&amp;" ","")&amp;IF($R249&lt;&gt;"",$R249,""))))</f>
        <v/>
      </c>
    </row>
    <row r="250" customFormat="false" ht="15" hidden="false" customHeight="false" outlineLevel="0" collapsed="false">
      <c r="A250" s="30" t="str">
        <f aca="false">IF($B250="","","LAN-"&amp;TEXT(ROW()-4,"000000"))</f>
        <v/>
      </c>
      <c r="B250" s="31"/>
      <c r="C250" s="32"/>
      <c r="D250" s="32"/>
      <c r="E250" s="32"/>
      <c r="F250" s="33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4" t="str">
        <f aca="false">IF($B250="","",YEAR($B250))</f>
        <v/>
      </c>
      <c r="U250" s="34" t="str">
        <f aca="false">IF($B250="","",MONTH($B250))</f>
        <v/>
      </c>
      <c r="V250" s="34" t="str">
        <f aca="false">IF($B250="","",YEAR($B250)*100+MONTH($B250))</f>
        <v/>
      </c>
      <c r="W250" s="35" t="str">
        <f aca="false">IF($D250="","",IFERROR(INDEX(MAP_CLASS,MATCH($D250,MAP_TIPO,0)),"TIPO INVALIDO"))</f>
        <v/>
      </c>
      <c r="X250" s="35" t="str">
        <f aca="false">IF($K250="","",IFERROR(INDEX(CAT_NOME,MATCH($K250,CAT_ID,0)),"?"))</f>
        <v/>
      </c>
      <c r="Y250" s="35" t="str">
        <f aca="false">IF($L250="","",IFERROR(INDEX(SUB_NOME,MATCH($L250,SUB_ID,0)),"?"))</f>
        <v/>
      </c>
      <c r="Z250" s="35" t="str">
        <f aca="false">IF($G250="","",IF($G250="EXTERNO","(Externo)",IFERROR(INDEX(ENT_NOME,MATCH($H250,ENT_ID,0)),"?")))</f>
        <v/>
      </c>
      <c r="AA250" s="35" t="str">
        <f aca="false">IF($I250="","",IF($I250="EXTERNO","(Externo)",IFERROR(INDEX(ENT_NOME,MATCH($J250,ENT_ID,0)),"?")))</f>
        <v/>
      </c>
      <c r="AB250" s="36" t="n">
        <f aca="false">IF($B250="",0,IF(AND($I250="CONTA",$G250&lt;&gt;"CONTA"),$F250,0))</f>
        <v>0</v>
      </c>
      <c r="AC250" s="36" t="n">
        <f aca="false">IF($B250="",0,IF(AND($G250="CONTA",$I250&lt;&gt;"CONTA"),$F250,0))</f>
        <v>0</v>
      </c>
      <c r="AD250" s="36" t="n">
        <f aca="false">IF($W250="RECEITA",$F250,0)</f>
        <v>0</v>
      </c>
      <c r="AE250" s="36" t="n">
        <f aca="false">IF($W250="DESPESA",$F250,0)</f>
        <v>0</v>
      </c>
      <c r="AF250" s="36" t="n">
        <f aca="false">IF($W250="RECEITA_FINANCEIRA",$F250,0)</f>
        <v>0</v>
      </c>
      <c r="AG250" s="36" t="n">
        <f aca="false">IF($B250="",0,IF($I250="CONTA",$F250,0)-IF($G250="CONTA",$F250,0))</f>
        <v>0</v>
      </c>
      <c r="AH250" s="36" t="n">
        <f aca="false">IF($B250="",0,IF($G250="CARTAO",$F250,0)-IF($I250="CARTAO",$F250,0))</f>
        <v>0</v>
      </c>
      <c r="AI250" s="36" t="n">
        <f aca="false">IF($B250="",0,IF($I250="INVESTIMENTO",$F250,0)-IF($G250="INVESTIMENTO",$F250,0))</f>
        <v>0</v>
      </c>
      <c r="AJ250" s="35" t="str">
        <f aca="false">IF($B250="","",IF(NOT(ISNUMBER($F250)),"ERRO: valor nao numerico",IF($F250&lt;=0,"ERRO: valor deve ser maior que zero",IF(COUNTIF(MAP_TIPO,$D250)=0,"ERRO: tipo de operacao nao cadastrado",IF(COUNTIF(LST_STATUS,$E250)=0,"ERRO: status invalido",IF(AND($G250="EXTERNO",$I250="EXTERNO"),"ERRO: origem e destino externos",IF(AND($G250&lt;&gt;"EXTERNO",COUNTIFS(ENT_ID,$H250,ENT_TIPO,$G250)=0),"ERRO: origem inexistente",IF(AND($I250&lt;&gt;"EXTERNO",COUNTIFS(ENT_ID,$J250,ENT_TIPO,$I250)=0),"ERRO: destino inexistente",IF(AND($K250&lt;&gt;"",COUNTIF(CAT_ID,$K250)=0),"ERRO: categoria inexistente",IF(AND($L250&lt;&gt;"",COUNTIF(SUB_ID,$L250)=0),"ERRO: subcategoria inexistente",IF(AND($L250&lt;&gt;"",$K250&lt;&gt;"",IFERROR(INDEX(SUB_CATID,MATCH($L250,SUB_ID,0)),"")&lt;&gt;$K250),"ERRO: subcategoria nao pertence a categoria",IF(AND($O250&lt;&gt;"",COUNTIF(P_ID,$O250)=0),"ERRO: parcela inexistente",IF(AND($N250&lt;&gt;"",COUNTIF(CM_ID,$N250)=0),"ERRO: compromisso inexistente","OK")))))))))))))</f>
        <v/>
      </c>
      <c r="AK250" s="35" t="str">
        <f aca="false">IF($B250="","",IF(AND($N250="",$O250="",$P250="",$Q250="",$R250=""),"","VINCULADO: "&amp;TRIM(IF($N250&lt;&gt;"",$N250&amp;" ","")&amp;IF($O250&lt;&gt;"",$O250&amp;" ","")&amp;IF($P250&lt;&gt;"",$P250&amp;" ","")&amp;IF($Q250&lt;&gt;"",$Q250&amp;" ","")&amp;IF($R250&lt;&gt;"",$R250,""))))</f>
        <v/>
      </c>
    </row>
    <row r="251" customFormat="false" ht="15" hidden="false" customHeight="false" outlineLevel="0" collapsed="false">
      <c r="A251" s="30" t="str">
        <f aca="false">IF($B251="","","LAN-"&amp;TEXT(ROW()-4,"000000"))</f>
        <v/>
      </c>
      <c r="B251" s="31"/>
      <c r="C251" s="32"/>
      <c r="D251" s="32"/>
      <c r="E251" s="32"/>
      <c r="F251" s="33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4" t="str">
        <f aca="false">IF($B251="","",YEAR($B251))</f>
        <v/>
      </c>
      <c r="U251" s="34" t="str">
        <f aca="false">IF($B251="","",MONTH($B251))</f>
        <v/>
      </c>
      <c r="V251" s="34" t="str">
        <f aca="false">IF($B251="","",YEAR($B251)*100+MONTH($B251))</f>
        <v/>
      </c>
      <c r="W251" s="35" t="str">
        <f aca="false">IF($D251="","",IFERROR(INDEX(MAP_CLASS,MATCH($D251,MAP_TIPO,0)),"TIPO INVALIDO"))</f>
        <v/>
      </c>
      <c r="X251" s="35" t="str">
        <f aca="false">IF($K251="","",IFERROR(INDEX(CAT_NOME,MATCH($K251,CAT_ID,0)),"?"))</f>
        <v/>
      </c>
      <c r="Y251" s="35" t="str">
        <f aca="false">IF($L251="","",IFERROR(INDEX(SUB_NOME,MATCH($L251,SUB_ID,0)),"?"))</f>
        <v/>
      </c>
      <c r="Z251" s="35" t="str">
        <f aca="false">IF($G251="","",IF($G251="EXTERNO","(Externo)",IFERROR(INDEX(ENT_NOME,MATCH($H251,ENT_ID,0)),"?")))</f>
        <v/>
      </c>
      <c r="AA251" s="35" t="str">
        <f aca="false">IF($I251="","",IF($I251="EXTERNO","(Externo)",IFERROR(INDEX(ENT_NOME,MATCH($J251,ENT_ID,0)),"?")))</f>
        <v/>
      </c>
      <c r="AB251" s="36" t="n">
        <f aca="false">IF($B251="",0,IF(AND($I251="CONTA",$G251&lt;&gt;"CONTA"),$F251,0))</f>
        <v>0</v>
      </c>
      <c r="AC251" s="36" t="n">
        <f aca="false">IF($B251="",0,IF(AND($G251="CONTA",$I251&lt;&gt;"CONTA"),$F251,0))</f>
        <v>0</v>
      </c>
      <c r="AD251" s="36" t="n">
        <f aca="false">IF($W251="RECEITA",$F251,0)</f>
        <v>0</v>
      </c>
      <c r="AE251" s="36" t="n">
        <f aca="false">IF($W251="DESPESA",$F251,0)</f>
        <v>0</v>
      </c>
      <c r="AF251" s="36" t="n">
        <f aca="false">IF($W251="RECEITA_FINANCEIRA",$F251,0)</f>
        <v>0</v>
      </c>
      <c r="AG251" s="36" t="n">
        <f aca="false">IF($B251="",0,IF($I251="CONTA",$F251,0)-IF($G251="CONTA",$F251,0))</f>
        <v>0</v>
      </c>
      <c r="AH251" s="36" t="n">
        <f aca="false">IF($B251="",0,IF($G251="CARTAO",$F251,0)-IF($I251="CARTAO",$F251,0))</f>
        <v>0</v>
      </c>
      <c r="AI251" s="36" t="n">
        <f aca="false">IF($B251="",0,IF($I251="INVESTIMENTO",$F251,0)-IF($G251="INVESTIMENTO",$F251,0))</f>
        <v>0</v>
      </c>
      <c r="AJ251" s="35" t="str">
        <f aca="false">IF($B251="","",IF(NOT(ISNUMBER($F251)),"ERRO: valor nao numerico",IF($F251&lt;=0,"ERRO: valor deve ser maior que zero",IF(COUNTIF(MAP_TIPO,$D251)=0,"ERRO: tipo de operacao nao cadastrado",IF(COUNTIF(LST_STATUS,$E251)=0,"ERRO: status invalido",IF(AND($G251="EXTERNO",$I251="EXTERNO"),"ERRO: origem e destino externos",IF(AND($G251&lt;&gt;"EXTERNO",COUNTIFS(ENT_ID,$H251,ENT_TIPO,$G251)=0),"ERRO: origem inexistente",IF(AND($I251&lt;&gt;"EXTERNO",COUNTIFS(ENT_ID,$J251,ENT_TIPO,$I251)=0),"ERRO: destino inexistente",IF(AND($K251&lt;&gt;"",COUNTIF(CAT_ID,$K251)=0),"ERRO: categoria inexistente",IF(AND($L251&lt;&gt;"",COUNTIF(SUB_ID,$L251)=0),"ERRO: subcategoria inexistente",IF(AND($L251&lt;&gt;"",$K251&lt;&gt;"",IFERROR(INDEX(SUB_CATID,MATCH($L251,SUB_ID,0)),"")&lt;&gt;$K251),"ERRO: subcategoria nao pertence a categoria",IF(AND($O251&lt;&gt;"",COUNTIF(P_ID,$O251)=0),"ERRO: parcela inexistente",IF(AND($N251&lt;&gt;"",COUNTIF(CM_ID,$N251)=0),"ERRO: compromisso inexistente","OK")))))))))))))</f>
        <v/>
      </c>
      <c r="AK251" s="35" t="str">
        <f aca="false">IF($B251="","",IF(AND($N251="",$O251="",$P251="",$Q251="",$R251=""),"","VINCULADO: "&amp;TRIM(IF($N251&lt;&gt;"",$N251&amp;" ","")&amp;IF($O251&lt;&gt;"",$O251&amp;" ","")&amp;IF($P251&lt;&gt;"",$P251&amp;" ","")&amp;IF($Q251&lt;&gt;"",$Q251&amp;" ","")&amp;IF($R251&lt;&gt;"",$R251,""))))</f>
        <v/>
      </c>
    </row>
    <row r="252" customFormat="false" ht="15" hidden="false" customHeight="false" outlineLevel="0" collapsed="false">
      <c r="A252" s="30" t="str">
        <f aca="false">IF($B252="","","LAN-"&amp;TEXT(ROW()-4,"000000"))</f>
        <v/>
      </c>
      <c r="B252" s="31"/>
      <c r="C252" s="32"/>
      <c r="D252" s="32"/>
      <c r="E252" s="32"/>
      <c r="F252" s="33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4" t="str">
        <f aca="false">IF($B252="","",YEAR($B252))</f>
        <v/>
      </c>
      <c r="U252" s="34" t="str">
        <f aca="false">IF($B252="","",MONTH($B252))</f>
        <v/>
      </c>
      <c r="V252" s="34" t="str">
        <f aca="false">IF($B252="","",YEAR($B252)*100+MONTH($B252))</f>
        <v/>
      </c>
      <c r="W252" s="35" t="str">
        <f aca="false">IF($D252="","",IFERROR(INDEX(MAP_CLASS,MATCH($D252,MAP_TIPO,0)),"TIPO INVALIDO"))</f>
        <v/>
      </c>
      <c r="X252" s="35" t="str">
        <f aca="false">IF($K252="","",IFERROR(INDEX(CAT_NOME,MATCH($K252,CAT_ID,0)),"?"))</f>
        <v/>
      </c>
      <c r="Y252" s="35" t="str">
        <f aca="false">IF($L252="","",IFERROR(INDEX(SUB_NOME,MATCH($L252,SUB_ID,0)),"?"))</f>
        <v/>
      </c>
      <c r="Z252" s="35" t="str">
        <f aca="false">IF($G252="","",IF($G252="EXTERNO","(Externo)",IFERROR(INDEX(ENT_NOME,MATCH($H252,ENT_ID,0)),"?")))</f>
        <v/>
      </c>
      <c r="AA252" s="35" t="str">
        <f aca="false">IF($I252="","",IF($I252="EXTERNO","(Externo)",IFERROR(INDEX(ENT_NOME,MATCH($J252,ENT_ID,0)),"?")))</f>
        <v/>
      </c>
      <c r="AB252" s="36" t="n">
        <f aca="false">IF($B252="",0,IF(AND($I252="CONTA",$G252&lt;&gt;"CONTA"),$F252,0))</f>
        <v>0</v>
      </c>
      <c r="AC252" s="36" t="n">
        <f aca="false">IF($B252="",0,IF(AND($G252="CONTA",$I252&lt;&gt;"CONTA"),$F252,0))</f>
        <v>0</v>
      </c>
      <c r="AD252" s="36" t="n">
        <f aca="false">IF($W252="RECEITA",$F252,0)</f>
        <v>0</v>
      </c>
      <c r="AE252" s="36" t="n">
        <f aca="false">IF($W252="DESPESA",$F252,0)</f>
        <v>0</v>
      </c>
      <c r="AF252" s="36" t="n">
        <f aca="false">IF($W252="RECEITA_FINANCEIRA",$F252,0)</f>
        <v>0</v>
      </c>
      <c r="AG252" s="36" t="n">
        <f aca="false">IF($B252="",0,IF($I252="CONTA",$F252,0)-IF($G252="CONTA",$F252,0))</f>
        <v>0</v>
      </c>
      <c r="AH252" s="36" t="n">
        <f aca="false">IF($B252="",0,IF($G252="CARTAO",$F252,0)-IF($I252="CARTAO",$F252,0))</f>
        <v>0</v>
      </c>
      <c r="AI252" s="36" t="n">
        <f aca="false">IF($B252="",0,IF($I252="INVESTIMENTO",$F252,0)-IF($G252="INVESTIMENTO",$F252,0))</f>
        <v>0</v>
      </c>
      <c r="AJ252" s="35" t="str">
        <f aca="false">IF($B252="","",IF(NOT(ISNUMBER($F252)),"ERRO: valor nao numerico",IF($F252&lt;=0,"ERRO: valor deve ser maior que zero",IF(COUNTIF(MAP_TIPO,$D252)=0,"ERRO: tipo de operacao nao cadastrado",IF(COUNTIF(LST_STATUS,$E252)=0,"ERRO: status invalido",IF(AND($G252="EXTERNO",$I252="EXTERNO"),"ERRO: origem e destino externos",IF(AND($G252&lt;&gt;"EXTERNO",COUNTIFS(ENT_ID,$H252,ENT_TIPO,$G252)=0),"ERRO: origem inexistente",IF(AND($I252&lt;&gt;"EXTERNO",COUNTIFS(ENT_ID,$J252,ENT_TIPO,$I252)=0),"ERRO: destino inexistente",IF(AND($K252&lt;&gt;"",COUNTIF(CAT_ID,$K252)=0),"ERRO: categoria inexistente",IF(AND($L252&lt;&gt;"",COUNTIF(SUB_ID,$L252)=0),"ERRO: subcategoria inexistente",IF(AND($L252&lt;&gt;"",$K252&lt;&gt;"",IFERROR(INDEX(SUB_CATID,MATCH($L252,SUB_ID,0)),"")&lt;&gt;$K252),"ERRO: subcategoria nao pertence a categoria",IF(AND($O252&lt;&gt;"",COUNTIF(P_ID,$O252)=0),"ERRO: parcela inexistente",IF(AND($N252&lt;&gt;"",COUNTIF(CM_ID,$N252)=0),"ERRO: compromisso inexistente","OK")))))))))))))</f>
        <v/>
      </c>
      <c r="AK252" s="35" t="str">
        <f aca="false">IF($B252="","",IF(AND($N252="",$O252="",$P252="",$Q252="",$R252=""),"","VINCULADO: "&amp;TRIM(IF($N252&lt;&gt;"",$N252&amp;" ","")&amp;IF($O252&lt;&gt;"",$O252&amp;" ","")&amp;IF($P252&lt;&gt;"",$P252&amp;" ","")&amp;IF($Q252&lt;&gt;"",$Q252&amp;" ","")&amp;IF($R252&lt;&gt;"",$R252,""))))</f>
        <v/>
      </c>
    </row>
    <row r="253" customFormat="false" ht="15" hidden="false" customHeight="false" outlineLevel="0" collapsed="false">
      <c r="A253" s="30" t="str">
        <f aca="false">IF($B253="","","LAN-"&amp;TEXT(ROW()-4,"000000"))</f>
        <v/>
      </c>
      <c r="B253" s="31"/>
      <c r="C253" s="32"/>
      <c r="D253" s="32"/>
      <c r="E253" s="32"/>
      <c r="F253" s="33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4" t="str">
        <f aca="false">IF($B253="","",YEAR($B253))</f>
        <v/>
      </c>
      <c r="U253" s="34" t="str">
        <f aca="false">IF($B253="","",MONTH($B253))</f>
        <v/>
      </c>
      <c r="V253" s="34" t="str">
        <f aca="false">IF($B253="","",YEAR($B253)*100+MONTH($B253))</f>
        <v/>
      </c>
      <c r="W253" s="35" t="str">
        <f aca="false">IF($D253="","",IFERROR(INDEX(MAP_CLASS,MATCH($D253,MAP_TIPO,0)),"TIPO INVALIDO"))</f>
        <v/>
      </c>
      <c r="X253" s="35" t="str">
        <f aca="false">IF($K253="","",IFERROR(INDEX(CAT_NOME,MATCH($K253,CAT_ID,0)),"?"))</f>
        <v/>
      </c>
      <c r="Y253" s="35" t="str">
        <f aca="false">IF($L253="","",IFERROR(INDEX(SUB_NOME,MATCH($L253,SUB_ID,0)),"?"))</f>
        <v/>
      </c>
      <c r="Z253" s="35" t="str">
        <f aca="false">IF($G253="","",IF($G253="EXTERNO","(Externo)",IFERROR(INDEX(ENT_NOME,MATCH($H253,ENT_ID,0)),"?")))</f>
        <v/>
      </c>
      <c r="AA253" s="35" t="str">
        <f aca="false">IF($I253="","",IF($I253="EXTERNO","(Externo)",IFERROR(INDEX(ENT_NOME,MATCH($J253,ENT_ID,0)),"?")))</f>
        <v/>
      </c>
      <c r="AB253" s="36" t="n">
        <f aca="false">IF($B253="",0,IF(AND($I253="CONTA",$G253&lt;&gt;"CONTA"),$F253,0))</f>
        <v>0</v>
      </c>
      <c r="AC253" s="36" t="n">
        <f aca="false">IF($B253="",0,IF(AND($G253="CONTA",$I253&lt;&gt;"CONTA"),$F253,0))</f>
        <v>0</v>
      </c>
      <c r="AD253" s="36" t="n">
        <f aca="false">IF($W253="RECEITA",$F253,0)</f>
        <v>0</v>
      </c>
      <c r="AE253" s="36" t="n">
        <f aca="false">IF($W253="DESPESA",$F253,0)</f>
        <v>0</v>
      </c>
      <c r="AF253" s="36" t="n">
        <f aca="false">IF($W253="RECEITA_FINANCEIRA",$F253,0)</f>
        <v>0</v>
      </c>
      <c r="AG253" s="36" t="n">
        <f aca="false">IF($B253="",0,IF($I253="CONTA",$F253,0)-IF($G253="CONTA",$F253,0))</f>
        <v>0</v>
      </c>
      <c r="AH253" s="36" t="n">
        <f aca="false">IF($B253="",0,IF($G253="CARTAO",$F253,0)-IF($I253="CARTAO",$F253,0))</f>
        <v>0</v>
      </c>
      <c r="AI253" s="36" t="n">
        <f aca="false">IF($B253="",0,IF($I253="INVESTIMENTO",$F253,0)-IF($G253="INVESTIMENTO",$F253,0))</f>
        <v>0</v>
      </c>
      <c r="AJ253" s="35" t="str">
        <f aca="false">IF($B253="","",IF(NOT(ISNUMBER($F253)),"ERRO: valor nao numerico",IF($F253&lt;=0,"ERRO: valor deve ser maior que zero",IF(COUNTIF(MAP_TIPO,$D253)=0,"ERRO: tipo de operacao nao cadastrado",IF(COUNTIF(LST_STATUS,$E253)=0,"ERRO: status invalido",IF(AND($G253="EXTERNO",$I253="EXTERNO"),"ERRO: origem e destino externos",IF(AND($G253&lt;&gt;"EXTERNO",COUNTIFS(ENT_ID,$H253,ENT_TIPO,$G253)=0),"ERRO: origem inexistente",IF(AND($I253&lt;&gt;"EXTERNO",COUNTIFS(ENT_ID,$J253,ENT_TIPO,$I253)=0),"ERRO: destino inexistente",IF(AND($K253&lt;&gt;"",COUNTIF(CAT_ID,$K253)=0),"ERRO: categoria inexistente",IF(AND($L253&lt;&gt;"",COUNTIF(SUB_ID,$L253)=0),"ERRO: subcategoria inexistente",IF(AND($L253&lt;&gt;"",$K253&lt;&gt;"",IFERROR(INDEX(SUB_CATID,MATCH($L253,SUB_ID,0)),"")&lt;&gt;$K253),"ERRO: subcategoria nao pertence a categoria",IF(AND($O253&lt;&gt;"",COUNTIF(P_ID,$O253)=0),"ERRO: parcela inexistente",IF(AND($N253&lt;&gt;"",COUNTIF(CM_ID,$N253)=0),"ERRO: compromisso inexistente","OK")))))))))))))</f>
        <v/>
      </c>
      <c r="AK253" s="35" t="str">
        <f aca="false">IF($B253="","",IF(AND($N253="",$O253="",$P253="",$Q253="",$R253=""),"","VINCULADO: "&amp;TRIM(IF($N253&lt;&gt;"",$N253&amp;" ","")&amp;IF($O253&lt;&gt;"",$O253&amp;" ","")&amp;IF($P253&lt;&gt;"",$P253&amp;" ","")&amp;IF($Q253&lt;&gt;"",$Q253&amp;" ","")&amp;IF($R253&lt;&gt;"",$R253,""))))</f>
        <v/>
      </c>
    </row>
    <row r="254" customFormat="false" ht="15" hidden="false" customHeight="false" outlineLevel="0" collapsed="false">
      <c r="A254" s="30" t="str">
        <f aca="false">IF($B254="","","LAN-"&amp;TEXT(ROW()-4,"000000"))</f>
        <v/>
      </c>
      <c r="B254" s="31"/>
      <c r="C254" s="32"/>
      <c r="D254" s="32"/>
      <c r="E254" s="32"/>
      <c r="F254" s="33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4" t="str">
        <f aca="false">IF($B254="","",YEAR($B254))</f>
        <v/>
      </c>
      <c r="U254" s="34" t="str">
        <f aca="false">IF($B254="","",MONTH($B254))</f>
        <v/>
      </c>
      <c r="V254" s="34" t="str">
        <f aca="false">IF($B254="","",YEAR($B254)*100+MONTH($B254))</f>
        <v/>
      </c>
      <c r="W254" s="35" t="str">
        <f aca="false">IF($D254="","",IFERROR(INDEX(MAP_CLASS,MATCH($D254,MAP_TIPO,0)),"TIPO INVALIDO"))</f>
        <v/>
      </c>
      <c r="X254" s="35" t="str">
        <f aca="false">IF($K254="","",IFERROR(INDEX(CAT_NOME,MATCH($K254,CAT_ID,0)),"?"))</f>
        <v/>
      </c>
      <c r="Y254" s="35" t="str">
        <f aca="false">IF($L254="","",IFERROR(INDEX(SUB_NOME,MATCH($L254,SUB_ID,0)),"?"))</f>
        <v/>
      </c>
      <c r="Z254" s="35" t="str">
        <f aca="false">IF($G254="","",IF($G254="EXTERNO","(Externo)",IFERROR(INDEX(ENT_NOME,MATCH($H254,ENT_ID,0)),"?")))</f>
        <v/>
      </c>
      <c r="AA254" s="35" t="str">
        <f aca="false">IF($I254="","",IF($I254="EXTERNO","(Externo)",IFERROR(INDEX(ENT_NOME,MATCH($J254,ENT_ID,0)),"?")))</f>
        <v/>
      </c>
      <c r="AB254" s="36" t="n">
        <f aca="false">IF($B254="",0,IF(AND($I254="CONTA",$G254&lt;&gt;"CONTA"),$F254,0))</f>
        <v>0</v>
      </c>
      <c r="AC254" s="36" t="n">
        <f aca="false">IF($B254="",0,IF(AND($G254="CONTA",$I254&lt;&gt;"CONTA"),$F254,0))</f>
        <v>0</v>
      </c>
      <c r="AD254" s="36" t="n">
        <f aca="false">IF($W254="RECEITA",$F254,0)</f>
        <v>0</v>
      </c>
      <c r="AE254" s="36" t="n">
        <f aca="false">IF($W254="DESPESA",$F254,0)</f>
        <v>0</v>
      </c>
      <c r="AF254" s="36" t="n">
        <f aca="false">IF($W254="RECEITA_FINANCEIRA",$F254,0)</f>
        <v>0</v>
      </c>
      <c r="AG254" s="36" t="n">
        <f aca="false">IF($B254="",0,IF($I254="CONTA",$F254,0)-IF($G254="CONTA",$F254,0))</f>
        <v>0</v>
      </c>
      <c r="AH254" s="36" t="n">
        <f aca="false">IF($B254="",0,IF($G254="CARTAO",$F254,0)-IF($I254="CARTAO",$F254,0))</f>
        <v>0</v>
      </c>
      <c r="AI254" s="36" t="n">
        <f aca="false">IF($B254="",0,IF($I254="INVESTIMENTO",$F254,0)-IF($G254="INVESTIMENTO",$F254,0))</f>
        <v>0</v>
      </c>
      <c r="AJ254" s="35" t="str">
        <f aca="false">IF($B254="","",IF(NOT(ISNUMBER($F254)),"ERRO: valor nao numerico",IF($F254&lt;=0,"ERRO: valor deve ser maior que zero",IF(COUNTIF(MAP_TIPO,$D254)=0,"ERRO: tipo de operacao nao cadastrado",IF(COUNTIF(LST_STATUS,$E254)=0,"ERRO: status invalido",IF(AND($G254="EXTERNO",$I254="EXTERNO"),"ERRO: origem e destino externos",IF(AND($G254&lt;&gt;"EXTERNO",COUNTIFS(ENT_ID,$H254,ENT_TIPO,$G254)=0),"ERRO: origem inexistente",IF(AND($I254&lt;&gt;"EXTERNO",COUNTIFS(ENT_ID,$J254,ENT_TIPO,$I254)=0),"ERRO: destino inexistente",IF(AND($K254&lt;&gt;"",COUNTIF(CAT_ID,$K254)=0),"ERRO: categoria inexistente",IF(AND($L254&lt;&gt;"",COUNTIF(SUB_ID,$L254)=0),"ERRO: subcategoria inexistente",IF(AND($L254&lt;&gt;"",$K254&lt;&gt;"",IFERROR(INDEX(SUB_CATID,MATCH($L254,SUB_ID,0)),"")&lt;&gt;$K254),"ERRO: subcategoria nao pertence a categoria",IF(AND($O254&lt;&gt;"",COUNTIF(P_ID,$O254)=0),"ERRO: parcela inexistente",IF(AND($N254&lt;&gt;"",COUNTIF(CM_ID,$N254)=0),"ERRO: compromisso inexistente","OK")))))))))))))</f>
        <v/>
      </c>
      <c r="AK254" s="35" t="str">
        <f aca="false">IF($B254="","",IF(AND($N254="",$O254="",$P254="",$Q254="",$R254=""),"","VINCULADO: "&amp;TRIM(IF($N254&lt;&gt;"",$N254&amp;" ","")&amp;IF($O254&lt;&gt;"",$O254&amp;" ","")&amp;IF($P254&lt;&gt;"",$P254&amp;" ","")&amp;IF($Q254&lt;&gt;"",$Q254&amp;" ","")&amp;IF($R254&lt;&gt;"",$R254,""))))</f>
        <v/>
      </c>
    </row>
    <row r="255" customFormat="false" ht="15" hidden="false" customHeight="false" outlineLevel="0" collapsed="false">
      <c r="A255" s="30" t="str">
        <f aca="false">IF($B255="","","LAN-"&amp;TEXT(ROW()-4,"000000"))</f>
        <v/>
      </c>
      <c r="B255" s="31"/>
      <c r="C255" s="32"/>
      <c r="D255" s="32"/>
      <c r="E255" s="32"/>
      <c r="F255" s="33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4" t="str">
        <f aca="false">IF($B255="","",YEAR($B255))</f>
        <v/>
      </c>
      <c r="U255" s="34" t="str">
        <f aca="false">IF($B255="","",MONTH($B255))</f>
        <v/>
      </c>
      <c r="V255" s="34" t="str">
        <f aca="false">IF($B255="","",YEAR($B255)*100+MONTH($B255))</f>
        <v/>
      </c>
      <c r="W255" s="35" t="str">
        <f aca="false">IF($D255="","",IFERROR(INDEX(MAP_CLASS,MATCH($D255,MAP_TIPO,0)),"TIPO INVALIDO"))</f>
        <v/>
      </c>
      <c r="X255" s="35" t="str">
        <f aca="false">IF($K255="","",IFERROR(INDEX(CAT_NOME,MATCH($K255,CAT_ID,0)),"?"))</f>
        <v/>
      </c>
      <c r="Y255" s="35" t="str">
        <f aca="false">IF($L255="","",IFERROR(INDEX(SUB_NOME,MATCH($L255,SUB_ID,0)),"?"))</f>
        <v/>
      </c>
      <c r="Z255" s="35" t="str">
        <f aca="false">IF($G255="","",IF($G255="EXTERNO","(Externo)",IFERROR(INDEX(ENT_NOME,MATCH($H255,ENT_ID,0)),"?")))</f>
        <v/>
      </c>
      <c r="AA255" s="35" t="str">
        <f aca="false">IF($I255="","",IF($I255="EXTERNO","(Externo)",IFERROR(INDEX(ENT_NOME,MATCH($J255,ENT_ID,0)),"?")))</f>
        <v/>
      </c>
      <c r="AB255" s="36" t="n">
        <f aca="false">IF($B255="",0,IF(AND($I255="CONTA",$G255&lt;&gt;"CONTA"),$F255,0))</f>
        <v>0</v>
      </c>
      <c r="AC255" s="36" t="n">
        <f aca="false">IF($B255="",0,IF(AND($G255="CONTA",$I255&lt;&gt;"CONTA"),$F255,0))</f>
        <v>0</v>
      </c>
      <c r="AD255" s="36" t="n">
        <f aca="false">IF($W255="RECEITA",$F255,0)</f>
        <v>0</v>
      </c>
      <c r="AE255" s="36" t="n">
        <f aca="false">IF($W255="DESPESA",$F255,0)</f>
        <v>0</v>
      </c>
      <c r="AF255" s="36" t="n">
        <f aca="false">IF($W255="RECEITA_FINANCEIRA",$F255,0)</f>
        <v>0</v>
      </c>
      <c r="AG255" s="36" t="n">
        <f aca="false">IF($B255="",0,IF($I255="CONTA",$F255,0)-IF($G255="CONTA",$F255,0))</f>
        <v>0</v>
      </c>
      <c r="AH255" s="36" t="n">
        <f aca="false">IF($B255="",0,IF($G255="CARTAO",$F255,0)-IF($I255="CARTAO",$F255,0))</f>
        <v>0</v>
      </c>
      <c r="AI255" s="36" t="n">
        <f aca="false">IF($B255="",0,IF($I255="INVESTIMENTO",$F255,0)-IF($G255="INVESTIMENTO",$F255,0))</f>
        <v>0</v>
      </c>
      <c r="AJ255" s="35" t="str">
        <f aca="false">IF($B255="","",IF(NOT(ISNUMBER($F255)),"ERRO: valor nao numerico",IF($F255&lt;=0,"ERRO: valor deve ser maior que zero",IF(COUNTIF(MAP_TIPO,$D255)=0,"ERRO: tipo de operacao nao cadastrado",IF(COUNTIF(LST_STATUS,$E255)=0,"ERRO: status invalido",IF(AND($G255="EXTERNO",$I255="EXTERNO"),"ERRO: origem e destino externos",IF(AND($G255&lt;&gt;"EXTERNO",COUNTIFS(ENT_ID,$H255,ENT_TIPO,$G255)=0),"ERRO: origem inexistente",IF(AND($I255&lt;&gt;"EXTERNO",COUNTIFS(ENT_ID,$J255,ENT_TIPO,$I255)=0),"ERRO: destino inexistente",IF(AND($K255&lt;&gt;"",COUNTIF(CAT_ID,$K255)=0),"ERRO: categoria inexistente",IF(AND($L255&lt;&gt;"",COUNTIF(SUB_ID,$L255)=0),"ERRO: subcategoria inexistente",IF(AND($L255&lt;&gt;"",$K255&lt;&gt;"",IFERROR(INDEX(SUB_CATID,MATCH($L255,SUB_ID,0)),"")&lt;&gt;$K255),"ERRO: subcategoria nao pertence a categoria",IF(AND($O255&lt;&gt;"",COUNTIF(P_ID,$O255)=0),"ERRO: parcela inexistente",IF(AND($N255&lt;&gt;"",COUNTIF(CM_ID,$N255)=0),"ERRO: compromisso inexistente","OK")))))))))))))</f>
        <v/>
      </c>
      <c r="AK255" s="35" t="str">
        <f aca="false">IF($B255="","",IF(AND($N255="",$O255="",$P255="",$Q255="",$R255=""),"","VINCULADO: "&amp;TRIM(IF($N255&lt;&gt;"",$N255&amp;" ","")&amp;IF($O255&lt;&gt;"",$O255&amp;" ","")&amp;IF($P255&lt;&gt;"",$P255&amp;" ","")&amp;IF($Q255&lt;&gt;"",$Q255&amp;" ","")&amp;IF($R255&lt;&gt;"",$R255,""))))</f>
        <v/>
      </c>
    </row>
    <row r="256" customFormat="false" ht="15" hidden="false" customHeight="false" outlineLevel="0" collapsed="false">
      <c r="A256" s="30" t="str">
        <f aca="false">IF($B256="","","LAN-"&amp;TEXT(ROW()-4,"000000"))</f>
        <v/>
      </c>
      <c r="B256" s="31"/>
      <c r="C256" s="32"/>
      <c r="D256" s="32"/>
      <c r="E256" s="32"/>
      <c r="F256" s="33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4" t="str">
        <f aca="false">IF($B256="","",YEAR($B256))</f>
        <v/>
      </c>
      <c r="U256" s="34" t="str">
        <f aca="false">IF($B256="","",MONTH($B256))</f>
        <v/>
      </c>
      <c r="V256" s="34" t="str">
        <f aca="false">IF($B256="","",YEAR($B256)*100+MONTH($B256))</f>
        <v/>
      </c>
      <c r="W256" s="35" t="str">
        <f aca="false">IF($D256="","",IFERROR(INDEX(MAP_CLASS,MATCH($D256,MAP_TIPO,0)),"TIPO INVALIDO"))</f>
        <v/>
      </c>
      <c r="X256" s="35" t="str">
        <f aca="false">IF($K256="","",IFERROR(INDEX(CAT_NOME,MATCH($K256,CAT_ID,0)),"?"))</f>
        <v/>
      </c>
      <c r="Y256" s="35" t="str">
        <f aca="false">IF($L256="","",IFERROR(INDEX(SUB_NOME,MATCH($L256,SUB_ID,0)),"?"))</f>
        <v/>
      </c>
      <c r="Z256" s="35" t="str">
        <f aca="false">IF($G256="","",IF($G256="EXTERNO","(Externo)",IFERROR(INDEX(ENT_NOME,MATCH($H256,ENT_ID,0)),"?")))</f>
        <v/>
      </c>
      <c r="AA256" s="35" t="str">
        <f aca="false">IF($I256="","",IF($I256="EXTERNO","(Externo)",IFERROR(INDEX(ENT_NOME,MATCH($J256,ENT_ID,0)),"?")))</f>
        <v/>
      </c>
      <c r="AB256" s="36" t="n">
        <f aca="false">IF($B256="",0,IF(AND($I256="CONTA",$G256&lt;&gt;"CONTA"),$F256,0))</f>
        <v>0</v>
      </c>
      <c r="AC256" s="36" t="n">
        <f aca="false">IF($B256="",0,IF(AND($G256="CONTA",$I256&lt;&gt;"CONTA"),$F256,0))</f>
        <v>0</v>
      </c>
      <c r="AD256" s="36" t="n">
        <f aca="false">IF($W256="RECEITA",$F256,0)</f>
        <v>0</v>
      </c>
      <c r="AE256" s="36" t="n">
        <f aca="false">IF($W256="DESPESA",$F256,0)</f>
        <v>0</v>
      </c>
      <c r="AF256" s="36" t="n">
        <f aca="false">IF($W256="RECEITA_FINANCEIRA",$F256,0)</f>
        <v>0</v>
      </c>
      <c r="AG256" s="36" t="n">
        <f aca="false">IF($B256="",0,IF($I256="CONTA",$F256,0)-IF($G256="CONTA",$F256,0))</f>
        <v>0</v>
      </c>
      <c r="AH256" s="36" t="n">
        <f aca="false">IF($B256="",0,IF($G256="CARTAO",$F256,0)-IF($I256="CARTAO",$F256,0))</f>
        <v>0</v>
      </c>
      <c r="AI256" s="36" t="n">
        <f aca="false">IF($B256="",0,IF($I256="INVESTIMENTO",$F256,0)-IF($G256="INVESTIMENTO",$F256,0))</f>
        <v>0</v>
      </c>
      <c r="AJ256" s="35" t="str">
        <f aca="false">IF($B256="","",IF(NOT(ISNUMBER($F256)),"ERRO: valor nao numerico",IF($F256&lt;=0,"ERRO: valor deve ser maior que zero",IF(COUNTIF(MAP_TIPO,$D256)=0,"ERRO: tipo de operacao nao cadastrado",IF(COUNTIF(LST_STATUS,$E256)=0,"ERRO: status invalido",IF(AND($G256="EXTERNO",$I256="EXTERNO"),"ERRO: origem e destino externos",IF(AND($G256&lt;&gt;"EXTERNO",COUNTIFS(ENT_ID,$H256,ENT_TIPO,$G256)=0),"ERRO: origem inexistente",IF(AND($I256&lt;&gt;"EXTERNO",COUNTIFS(ENT_ID,$J256,ENT_TIPO,$I256)=0),"ERRO: destino inexistente",IF(AND($K256&lt;&gt;"",COUNTIF(CAT_ID,$K256)=0),"ERRO: categoria inexistente",IF(AND($L256&lt;&gt;"",COUNTIF(SUB_ID,$L256)=0),"ERRO: subcategoria inexistente",IF(AND($L256&lt;&gt;"",$K256&lt;&gt;"",IFERROR(INDEX(SUB_CATID,MATCH($L256,SUB_ID,0)),"")&lt;&gt;$K256),"ERRO: subcategoria nao pertence a categoria",IF(AND($O256&lt;&gt;"",COUNTIF(P_ID,$O256)=0),"ERRO: parcela inexistente",IF(AND($N256&lt;&gt;"",COUNTIF(CM_ID,$N256)=0),"ERRO: compromisso inexistente","OK")))))))))))))</f>
        <v/>
      </c>
      <c r="AK256" s="35" t="str">
        <f aca="false">IF($B256="","",IF(AND($N256="",$O256="",$P256="",$Q256="",$R256=""),"","VINCULADO: "&amp;TRIM(IF($N256&lt;&gt;"",$N256&amp;" ","")&amp;IF($O256&lt;&gt;"",$O256&amp;" ","")&amp;IF($P256&lt;&gt;"",$P256&amp;" ","")&amp;IF($Q256&lt;&gt;"",$Q256&amp;" ","")&amp;IF($R256&lt;&gt;"",$R256,""))))</f>
        <v/>
      </c>
    </row>
    <row r="257" customFormat="false" ht="15" hidden="false" customHeight="false" outlineLevel="0" collapsed="false">
      <c r="A257" s="30" t="str">
        <f aca="false">IF($B257="","","LAN-"&amp;TEXT(ROW()-4,"000000"))</f>
        <v/>
      </c>
      <c r="B257" s="31"/>
      <c r="C257" s="32"/>
      <c r="D257" s="32"/>
      <c r="E257" s="32"/>
      <c r="F257" s="33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4" t="str">
        <f aca="false">IF($B257="","",YEAR($B257))</f>
        <v/>
      </c>
      <c r="U257" s="34" t="str">
        <f aca="false">IF($B257="","",MONTH($B257))</f>
        <v/>
      </c>
      <c r="V257" s="34" t="str">
        <f aca="false">IF($B257="","",YEAR($B257)*100+MONTH($B257))</f>
        <v/>
      </c>
      <c r="W257" s="35" t="str">
        <f aca="false">IF($D257="","",IFERROR(INDEX(MAP_CLASS,MATCH($D257,MAP_TIPO,0)),"TIPO INVALIDO"))</f>
        <v/>
      </c>
      <c r="X257" s="35" t="str">
        <f aca="false">IF($K257="","",IFERROR(INDEX(CAT_NOME,MATCH($K257,CAT_ID,0)),"?"))</f>
        <v/>
      </c>
      <c r="Y257" s="35" t="str">
        <f aca="false">IF($L257="","",IFERROR(INDEX(SUB_NOME,MATCH($L257,SUB_ID,0)),"?"))</f>
        <v/>
      </c>
      <c r="Z257" s="35" t="str">
        <f aca="false">IF($G257="","",IF($G257="EXTERNO","(Externo)",IFERROR(INDEX(ENT_NOME,MATCH($H257,ENT_ID,0)),"?")))</f>
        <v/>
      </c>
      <c r="AA257" s="35" t="str">
        <f aca="false">IF($I257="","",IF($I257="EXTERNO","(Externo)",IFERROR(INDEX(ENT_NOME,MATCH($J257,ENT_ID,0)),"?")))</f>
        <v/>
      </c>
      <c r="AB257" s="36" t="n">
        <f aca="false">IF($B257="",0,IF(AND($I257="CONTA",$G257&lt;&gt;"CONTA"),$F257,0))</f>
        <v>0</v>
      </c>
      <c r="AC257" s="36" t="n">
        <f aca="false">IF($B257="",0,IF(AND($G257="CONTA",$I257&lt;&gt;"CONTA"),$F257,0))</f>
        <v>0</v>
      </c>
      <c r="AD257" s="36" t="n">
        <f aca="false">IF($W257="RECEITA",$F257,0)</f>
        <v>0</v>
      </c>
      <c r="AE257" s="36" t="n">
        <f aca="false">IF($W257="DESPESA",$F257,0)</f>
        <v>0</v>
      </c>
      <c r="AF257" s="36" t="n">
        <f aca="false">IF($W257="RECEITA_FINANCEIRA",$F257,0)</f>
        <v>0</v>
      </c>
      <c r="AG257" s="36" t="n">
        <f aca="false">IF($B257="",0,IF($I257="CONTA",$F257,0)-IF($G257="CONTA",$F257,0))</f>
        <v>0</v>
      </c>
      <c r="AH257" s="36" t="n">
        <f aca="false">IF($B257="",0,IF($G257="CARTAO",$F257,0)-IF($I257="CARTAO",$F257,0))</f>
        <v>0</v>
      </c>
      <c r="AI257" s="36" t="n">
        <f aca="false">IF($B257="",0,IF($I257="INVESTIMENTO",$F257,0)-IF($G257="INVESTIMENTO",$F257,0))</f>
        <v>0</v>
      </c>
      <c r="AJ257" s="35" t="str">
        <f aca="false">IF($B257="","",IF(NOT(ISNUMBER($F257)),"ERRO: valor nao numerico",IF($F257&lt;=0,"ERRO: valor deve ser maior que zero",IF(COUNTIF(MAP_TIPO,$D257)=0,"ERRO: tipo de operacao nao cadastrado",IF(COUNTIF(LST_STATUS,$E257)=0,"ERRO: status invalido",IF(AND($G257="EXTERNO",$I257="EXTERNO"),"ERRO: origem e destino externos",IF(AND($G257&lt;&gt;"EXTERNO",COUNTIFS(ENT_ID,$H257,ENT_TIPO,$G257)=0),"ERRO: origem inexistente",IF(AND($I257&lt;&gt;"EXTERNO",COUNTIFS(ENT_ID,$J257,ENT_TIPO,$I257)=0),"ERRO: destino inexistente",IF(AND($K257&lt;&gt;"",COUNTIF(CAT_ID,$K257)=0),"ERRO: categoria inexistente",IF(AND($L257&lt;&gt;"",COUNTIF(SUB_ID,$L257)=0),"ERRO: subcategoria inexistente",IF(AND($L257&lt;&gt;"",$K257&lt;&gt;"",IFERROR(INDEX(SUB_CATID,MATCH($L257,SUB_ID,0)),"")&lt;&gt;$K257),"ERRO: subcategoria nao pertence a categoria",IF(AND($O257&lt;&gt;"",COUNTIF(P_ID,$O257)=0),"ERRO: parcela inexistente",IF(AND($N257&lt;&gt;"",COUNTIF(CM_ID,$N257)=0),"ERRO: compromisso inexistente","OK")))))))))))))</f>
        <v/>
      </c>
      <c r="AK257" s="35" t="str">
        <f aca="false">IF($B257="","",IF(AND($N257="",$O257="",$P257="",$Q257="",$R257=""),"","VINCULADO: "&amp;TRIM(IF($N257&lt;&gt;"",$N257&amp;" ","")&amp;IF($O257&lt;&gt;"",$O257&amp;" ","")&amp;IF($P257&lt;&gt;"",$P257&amp;" ","")&amp;IF($Q257&lt;&gt;"",$Q257&amp;" ","")&amp;IF($R257&lt;&gt;"",$R257,""))))</f>
        <v/>
      </c>
    </row>
    <row r="258" customFormat="false" ht="15" hidden="false" customHeight="false" outlineLevel="0" collapsed="false">
      <c r="A258" s="30" t="str">
        <f aca="false">IF($B258="","","LAN-"&amp;TEXT(ROW()-4,"000000"))</f>
        <v/>
      </c>
      <c r="B258" s="31"/>
      <c r="C258" s="32"/>
      <c r="D258" s="32"/>
      <c r="E258" s="32"/>
      <c r="F258" s="33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4" t="str">
        <f aca="false">IF($B258="","",YEAR($B258))</f>
        <v/>
      </c>
      <c r="U258" s="34" t="str">
        <f aca="false">IF($B258="","",MONTH($B258))</f>
        <v/>
      </c>
      <c r="V258" s="34" t="str">
        <f aca="false">IF($B258="","",YEAR($B258)*100+MONTH($B258))</f>
        <v/>
      </c>
      <c r="W258" s="35" t="str">
        <f aca="false">IF($D258="","",IFERROR(INDEX(MAP_CLASS,MATCH($D258,MAP_TIPO,0)),"TIPO INVALIDO"))</f>
        <v/>
      </c>
      <c r="X258" s="35" t="str">
        <f aca="false">IF($K258="","",IFERROR(INDEX(CAT_NOME,MATCH($K258,CAT_ID,0)),"?"))</f>
        <v/>
      </c>
      <c r="Y258" s="35" t="str">
        <f aca="false">IF($L258="","",IFERROR(INDEX(SUB_NOME,MATCH($L258,SUB_ID,0)),"?"))</f>
        <v/>
      </c>
      <c r="Z258" s="35" t="str">
        <f aca="false">IF($G258="","",IF($G258="EXTERNO","(Externo)",IFERROR(INDEX(ENT_NOME,MATCH($H258,ENT_ID,0)),"?")))</f>
        <v/>
      </c>
      <c r="AA258" s="35" t="str">
        <f aca="false">IF($I258="","",IF($I258="EXTERNO","(Externo)",IFERROR(INDEX(ENT_NOME,MATCH($J258,ENT_ID,0)),"?")))</f>
        <v/>
      </c>
      <c r="AB258" s="36" t="n">
        <f aca="false">IF($B258="",0,IF(AND($I258="CONTA",$G258&lt;&gt;"CONTA"),$F258,0))</f>
        <v>0</v>
      </c>
      <c r="AC258" s="36" t="n">
        <f aca="false">IF($B258="",0,IF(AND($G258="CONTA",$I258&lt;&gt;"CONTA"),$F258,0))</f>
        <v>0</v>
      </c>
      <c r="AD258" s="36" t="n">
        <f aca="false">IF($W258="RECEITA",$F258,0)</f>
        <v>0</v>
      </c>
      <c r="AE258" s="36" t="n">
        <f aca="false">IF($W258="DESPESA",$F258,0)</f>
        <v>0</v>
      </c>
      <c r="AF258" s="36" t="n">
        <f aca="false">IF($W258="RECEITA_FINANCEIRA",$F258,0)</f>
        <v>0</v>
      </c>
      <c r="AG258" s="36" t="n">
        <f aca="false">IF($B258="",0,IF($I258="CONTA",$F258,0)-IF($G258="CONTA",$F258,0))</f>
        <v>0</v>
      </c>
      <c r="AH258" s="36" t="n">
        <f aca="false">IF($B258="",0,IF($G258="CARTAO",$F258,0)-IF($I258="CARTAO",$F258,0))</f>
        <v>0</v>
      </c>
      <c r="AI258" s="36" t="n">
        <f aca="false">IF($B258="",0,IF($I258="INVESTIMENTO",$F258,0)-IF($G258="INVESTIMENTO",$F258,0))</f>
        <v>0</v>
      </c>
      <c r="AJ258" s="35" t="str">
        <f aca="false">IF($B258="","",IF(NOT(ISNUMBER($F258)),"ERRO: valor nao numerico",IF($F258&lt;=0,"ERRO: valor deve ser maior que zero",IF(COUNTIF(MAP_TIPO,$D258)=0,"ERRO: tipo de operacao nao cadastrado",IF(COUNTIF(LST_STATUS,$E258)=0,"ERRO: status invalido",IF(AND($G258="EXTERNO",$I258="EXTERNO"),"ERRO: origem e destino externos",IF(AND($G258&lt;&gt;"EXTERNO",COUNTIFS(ENT_ID,$H258,ENT_TIPO,$G258)=0),"ERRO: origem inexistente",IF(AND($I258&lt;&gt;"EXTERNO",COUNTIFS(ENT_ID,$J258,ENT_TIPO,$I258)=0),"ERRO: destino inexistente",IF(AND($K258&lt;&gt;"",COUNTIF(CAT_ID,$K258)=0),"ERRO: categoria inexistente",IF(AND($L258&lt;&gt;"",COUNTIF(SUB_ID,$L258)=0),"ERRO: subcategoria inexistente",IF(AND($L258&lt;&gt;"",$K258&lt;&gt;"",IFERROR(INDEX(SUB_CATID,MATCH($L258,SUB_ID,0)),"")&lt;&gt;$K258),"ERRO: subcategoria nao pertence a categoria",IF(AND($O258&lt;&gt;"",COUNTIF(P_ID,$O258)=0),"ERRO: parcela inexistente",IF(AND($N258&lt;&gt;"",COUNTIF(CM_ID,$N258)=0),"ERRO: compromisso inexistente","OK")))))))))))))</f>
        <v/>
      </c>
      <c r="AK258" s="35" t="str">
        <f aca="false">IF($B258="","",IF(AND($N258="",$O258="",$P258="",$Q258="",$R258=""),"","VINCULADO: "&amp;TRIM(IF($N258&lt;&gt;"",$N258&amp;" ","")&amp;IF($O258&lt;&gt;"",$O258&amp;" ","")&amp;IF($P258&lt;&gt;"",$P258&amp;" ","")&amp;IF($Q258&lt;&gt;"",$Q258&amp;" ","")&amp;IF($R258&lt;&gt;"",$R258,""))))</f>
        <v/>
      </c>
    </row>
    <row r="259" customFormat="false" ht="15" hidden="false" customHeight="false" outlineLevel="0" collapsed="false">
      <c r="A259" s="30" t="str">
        <f aca="false">IF($B259="","","LAN-"&amp;TEXT(ROW()-4,"000000"))</f>
        <v/>
      </c>
      <c r="B259" s="31"/>
      <c r="C259" s="32"/>
      <c r="D259" s="32"/>
      <c r="E259" s="32"/>
      <c r="F259" s="33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4" t="str">
        <f aca="false">IF($B259="","",YEAR($B259))</f>
        <v/>
      </c>
      <c r="U259" s="34" t="str">
        <f aca="false">IF($B259="","",MONTH($B259))</f>
        <v/>
      </c>
      <c r="V259" s="34" t="str">
        <f aca="false">IF($B259="","",YEAR($B259)*100+MONTH($B259))</f>
        <v/>
      </c>
      <c r="W259" s="35" t="str">
        <f aca="false">IF($D259="","",IFERROR(INDEX(MAP_CLASS,MATCH($D259,MAP_TIPO,0)),"TIPO INVALIDO"))</f>
        <v/>
      </c>
      <c r="X259" s="35" t="str">
        <f aca="false">IF($K259="","",IFERROR(INDEX(CAT_NOME,MATCH($K259,CAT_ID,0)),"?"))</f>
        <v/>
      </c>
      <c r="Y259" s="35" t="str">
        <f aca="false">IF($L259="","",IFERROR(INDEX(SUB_NOME,MATCH($L259,SUB_ID,0)),"?"))</f>
        <v/>
      </c>
      <c r="Z259" s="35" t="str">
        <f aca="false">IF($G259="","",IF($G259="EXTERNO","(Externo)",IFERROR(INDEX(ENT_NOME,MATCH($H259,ENT_ID,0)),"?")))</f>
        <v/>
      </c>
      <c r="AA259" s="35" t="str">
        <f aca="false">IF($I259="","",IF($I259="EXTERNO","(Externo)",IFERROR(INDEX(ENT_NOME,MATCH($J259,ENT_ID,0)),"?")))</f>
        <v/>
      </c>
      <c r="AB259" s="36" t="n">
        <f aca="false">IF($B259="",0,IF(AND($I259="CONTA",$G259&lt;&gt;"CONTA"),$F259,0))</f>
        <v>0</v>
      </c>
      <c r="AC259" s="36" t="n">
        <f aca="false">IF($B259="",0,IF(AND($G259="CONTA",$I259&lt;&gt;"CONTA"),$F259,0))</f>
        <v>0</v>
      </c>
      <c r="AD259" s="36" t="n">
        <f aca="false">IF($W259="RECEITA",$F259,0)</f>
        <v>0</v>
      </c>
      <c r="AE259" s="36" t="n">
        <f aca="false">IF($W259="DESPESA",$F259,0)</f>
        <v>0</v>
      </c>
      <c r="AF259" s="36" t="n">
        <f aca="false">IF($W259="RECEITA_FINANCEIRA",$F259,0)</f>
        <v>0</v>
      </c>
      <c r="AG259" s="36" t="n">
        <f aca="false">IF($B259="",0,IF($I259="CONTA",$F259,0)-IF($G259="CONTA",$F259,0))</f>
        <v>0</v>
      </c>
      <c r="AH259" s="36" t="n">
        <f aca="false">IF($B259="",0,IF($G259="CARTAO",$F259,0)-IF($I259="CARTAO",$F259,0))</f>
        <v>0</v>
      </c>
      <c r="AI259" s="36" t="n">
        <f aca="false">IF($B259="",0,IF($I259="INVESTIMENTO",$F259,0)-IF($G259="INVESTIMENTO",$F259,0))</f>
        <v>0</v>
      </c>
      <c r="AJ259" s="35" t="str">
        <f aca="false">IF($B259="","",IF(NOT(ISNUMBER($F259)),"ERRO: valor nao numerico",IF($F259&lt;=0,"ERRO: valor deve ser maior que zero",IF(COUNTIF(MAP_TIPO,$D259)=0,"ERRO: tipo de operacao nao cadastrado",IF(COUNTIF(LST_STATUS,$E259)=0,"ERRO: status invalido",IF(AND($G259="EXTERNO",$I259="EXTERNO"),"ERRO: origem e destino externos",IF(AND($G259&lt;&gt;"EXTERNO",COUNTIFS(ENT_ID,$H259,ENT_TIPO,$G259)=0),"ERRO: origem inexistente",IF(AND($I259&lt;&gt;"EXTERNO",COUNTIFS(ENT_ID,$J259,ENT_TIPO,$I259)=0),"ERRO: destino inexistente",IF(AND($K259&lt;&gt;"",COUNTIF(CAT_ID,$K259)=0),"ERRO: categoria inexistente",IF(AND($L259&lt;&gt;"",COUNTIF(SUB_ID,$L259)=0),"ERRO: subcategoria inexistente",IF(AND($L259&lt;&gt;"",$K259&lt;&gt;"",IFERROR(INDEX(SUB_CATID,MATCH($L259,SUB_ID,0)),"")&lt;&gt;$K259),"ERRO: subcategoria nao pertence a categoria",IF(AND($O259&lt;&gt;"",COUNTIF(P_ID,$O259)=0),"ERRO: parcela inexistente",IF(AND($N259&lt;&gt;"",COUNTIF(CM_ID,$N259)=0),"ERRO: compromisso inexistente","OK")))))))))))))</f>
        <v/>
      </c>
      <c r="AK259" s="35" t="str">
        <f aca="false">IF($B259="","",IF(AND($N259="",$O259="",$P259="",$Q259="",$R259=""),"","VINCULADO: "&amp;TRIM(IF($N259&lt;&gt;"",$N259&amp;" ","")&amp;IF($O259&lt;&gt;"",$O259&amp;" ","")&amp;IF($P259&lt;&gt;"",$P259&amp;" ","")&amp;IF($Q259&lt;&gt;"",$Q259&amp;" ","")&amp;IF($R259&lt;&gt;"",$R259,""))))</f>
        <v/>
      </c>
    </row>
    <row r="260" customFormat="false" ht="15" hidden="false" customHeight="false" outlineLevel="0" collapsed="false">
      <c r="A260" s="30" t="str">
        <f aca="false">IF($B260="","","LAN-"&amp;TEXT(ROW()-4,"000000"))</f>
        <v/>
      </c>
      <c r="B260" s="31"/>
      <c r="C260" s="32"/>
      <c r="D260" s="32"/>
      <c r="E260" s="32"/>
      <c r="F260" s="33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4" t="str">
        <f aca="false">IF($B260="","",YEAR($B260))</f>
        <v/>
      </c>
      <c r="U260" s="34" t="str">
        <f aca="false">IF($B260="","",MONTH($B260))</f>
        <v/>
      </c>
      <c r="V260" s="34" t="str">
        <f aca="false">IF($B260="","",YEAR($B260)*100+MONTH($B260))</f>
        <v/>
      </c>
      <c r="W260" s="35" t="str">
        <f aca="false">IF($D260="","",IFERROR(INDEX(MAP_CLASS,MATCH($D260,MAP_TIPO,0)),"TIPO INVALIDO"))</f>
        <v/>
      </c>
      <c r="X260" s="35" t="str">
        <f aca="false">IF($K260="","",IFERROR(INDEX(CAT_NOME,MATCH($K260,CAT_ID,0)),"?"))</f>
        <v/>
      </c>
      <c r="Y260" s="35" t="str">
        <f aca="false">IF($L260="","",IFERROR(INDEX(SUB_NOME,MATCH($L260,SUB_ID,0)),"?"))</f>
        <v/>
      </c>
      <c r="Z260" s="35" t="str">
        <f aca="false">IF($G260="","",IF($G260="EXTERNO","(Externo)",IFERROR(INDEX(ENT_NOME,MATCH($H260,ENT_ID,0)),"?")))</f>
        <v/>
      </c>
      <c r="AA260" s="35" t="str">
        <f aca="false">IF($I260="","",IF($I260="EXTERNO","(Externo)",IFERROR(INDEX(ENT_NOME,MATCH($J260,ENT_ID,0)),"?")))</f>
        <v/>
      </c>
      <c r="AB260" s="36" t="n">
        <f aca="false">IF($B260="",0,IF(AND($I260="CONTA",$G260&lt;&gt;"CONTA"),$F260,0))</f>
        <v>0</v>
      </c>
      <c r="AC260" s="36" t="n">
        <f aca="false">IF($B260="",0,IF(AND($G260="CONTA",$I260&lt;&gt;"CONTA"),$F260,0))</f>
        <v>0</v>
      </c>
      <c r="AD260" s="36" t="n">
        <f aca="false">IF($W260="RECEITA",$F260,0)</f>
        <v>0</v>
      </c>
      <c r="AE260" s="36" t="n">
        <f aca="false">IF($W260="DESPESA",$F260,0)</f>
        <v>0</v>
      </c>
      <c r="AF260" s="36" t="n">
        <f aca="false">IF($W260="RECEITA_FINANCEIRA",$F260,0)</f>
        <v>0</v>
      </c>
      <c r="AG260" s="36" t="n">
        <f aca="false">IF($B260="",0,IF($I260="CONTA",$F260,0)-IF($G260="CONTA",$F260,0))</f>
        <v>0</v>
      </c>
      <c r="AH260" s="36" t="n">
        <f aca="false">IF($B260="",0,IF($G260="CARTAO",$F260,0)-IF($I260="CARTAO",$F260,0))</f>
        <v>0</v>
      </c>
      <c r="AI260" s="36" t="n">
        <f aca="false">IF($B260="",0,IF($I260="INVESTIMENTO",$F260,0)-IF($G260="INVESTIMENTO",$F260,0))</f>
        <v>0</v>
      </c>
      <c r="AJ260" s="35" t="str">
        <f aca="false">IF($B260="","",IF(NOT(ISNUMBER($F260)),"ERRO: valor nao numerico",IF($F260&lt;=0,"ERRO: valor deve ser maior que zero",IF(COUNTIF(MAP_TIPO,$D260)=0,"ERRO: tipo de operacao nao cadastrado",IF(COUNTIF(LST_STATUS,$E260)=0,"ERRO: status invalido",IF(AND($G260="EXTERNO",$I260="EXTERNO"),"ERRO: origem e destino externos",IF(AND($G260&lt;&gt;"EXTERNO",COUNTIFS(ENT_ID,$H260,ENT_TIPO,$G260)=0),"ERRO: origem inexistente",IF(AND($I260&lt;&gt;"EXTERNO",COUNTIFS(ENT_ID,$J260,ENT_TIPO,$I260)=0),"ERRO: destino inexistente",IF(AND($K260&lt;&gt;"",COUNTIF(CAT_ID,$K260)=0),"ERRO: categoria inexistente",IF(AND($L260&lt;&gt;"",COUNTIF(SUB_ID,$L260)=0),"ERRO: subcategoria inexistente",IF(AND($L260&lt;&gt;"",$K260&lt;&gt;"",IFERROR(INDEX(SUB_CATID,MATCH($L260,SUB_ID,0)),"")&lt;&gt;$K260),"ERRO: subcategoria nao pertence a categoria",IF(AND($O260&lt;&gt;"",COUNTIF(P_ID,$O260)=0),"ERRO: parcela inexistente",IF(AND($N260&lt;&gt;"",COUNTIF(CM_ID,$N260)=0),"ERRO: compromisso inexistente","OK")))))))))))))</f>
        <v/>
      </c>
      <c r="AK260" s="35" t="str">
        <f aca="false">IF($B260="","",IF(AND($N260="",$O260="",$P260="",$Q260="",$R260=""),"","VINCULADO: "&amp;TRIM(IF($N260&lt;&gt;"",$N260&amp;" ","")&amp;IF($O260&lt;&gt;"",$O260&amp;" ","")&amp;IF($P260&lt;&gt;"",$P260&amp;" ","")&amp;IF($Q260&lt;&gt;"",$Q260&amp;" ","")&amp;IF($R260&lt;&gt;"",$R260,""))))</f>
        <v/>
      </c>
    </row>
    <row r="261" customFormat="false" ht="15" hidden="false" customHeight="false" outlineLevel="0" collapsed="false">
      <c r="A261" s="30" t="str">
        <f aca="false">IF($B261="","","LAN-"&amp;TEXT(ROW()-4,"000000"))</f>
        <v/>
      </c>
      <c r="B261" s="31"/>
      <c r="C261" s="32"/>
      <c r="D261" s="32"/>
      <c r="E261" s="32"/>
      <c r="F261" s="33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4" t="str">
        <f aca="false">IF($B261="","",YEAR($B261))</f>
        <v/>
      </c>
      <c r="U261" s="34" t="str">
        <f aca="false">IF($B261="","",MONTH($B261))</f>
        <v/>
      </c>
      <c r="V261" s="34" t="str">
        <f aca="false">IF($B261="","",YEAR($B261)*100+MONTH($B261))</f>
        <v/>
      </c>
      <c r="W261" s="35" t="str">
        <f aca="false">IF($D261="","",IFERROR(INDEX(MAP_CLASS,MATCH($D261,MAP_TIPO,0)),"TIPO INVALIDO"))</f>
        <v/>
      </c>
      <c r="X261" s="35" t="str">
        <f aca="false">IF($K261="","",IFERROR(INDEX(CAT_NOME,MATCH($K261,CAT_ID,0)),"?"))</f>
        <v/>
      </c>
      <c r="Y261" s="35" t="str">
        <f aca="false">IF($L261="","",IFERROR(INDEX(SUB_NOME,MATCH($L261,SUB_ID,0)),"?"))</f>
        <v/>
      </c>
      <c r="Z261" s="35" t="str">
        <f aca="false">IF($G261="","",IF($G261="EXTERNO","(Externo)",IFERROR(INDEX(ENT_NOME,MATCH($H261,ENT_ID,0)),"?")))</f>
        <v/>
      </c>
      <c r="AA261" s="35" t="str">
        <f aca="false">IF($I261="","",IF($I261="EXTERNO","(Externo)",IFERROR(INDEX(ENT_NOME,MATCH($J261,ENT_ID,0)),"?")))</f>
        <v/>
      </c>
      <c r="AB261" s="36" t="n">
        <f aca="false">IF($B261="",0,IF(AND($I261="CONTA",$G261&lt;&gt;"CONTA"),$F261,0))</f>
        <v>0</v>
      </c>
      <c r="AC261" s="36" t="n">
        <f aca="false">IF($B261="",0,IF(AND($G261="CONTA",$I261&lt;&gt;"CONTA"),$F261,0))</f>
        <v>0</v>
      </c>
      <c r="AD261" s="36" t="n">
        <f aca="false">IF($W261="RECEITA",$F261,0)</f>
        <v>0</v>
      </c>
      <c r="AE261" s="36" t="n">
        <f aca="false">IF($W261="DESPESA",$F261,0)</f>
        <v>0</v>
      </c>
      <c r="AF261" s="36" t="n">
        <f aca="false">IF($W261="RECEITA_FINANCEIRA",$F261,0)</f>
        <v>0</v>
      </c>
      <c r="AG261" s="36" t="n">
        <f aca="false">IF($B261="",0,IF($I261="CONTA",$F261,0)-IF($G261="CONTA",$F261,0))</f>
        <v>0</v>
      </c>
      <c r="AH261" s="36" t="n">
        <f aca="false">IF($B261="",0,IF($G261="CARTAO",$F261,0)-IF($I261="CARTAO",$F261,0))</f>
        <v>0</v>
      </c>
      <c r="AI261" s="36" t="n">
        <f aca="false">IF($B261="",0,IF($I261="INVESTIMENTO",$F261,0)-IF($G261="INVESTIMENTO",$F261,0))</f>
        <v>0</v>
      </c>
      <c r="AJ261" s="35" t="str">
        <f aca="false">IF($B261="","",IF(NOT(ISNUMBER($F261)),"ERRO: valor nao numerico",IF($F261&lt;=0,"ERRO: valor deve ser maior que zero",IF(COUNTIF(MAP_TIPO,$D261)=0,"ERRO: tipo de operacao nao cadastrado",IF(COUNTIF(LST_STATUS,$E261)=0,"ERRO: status invalido",IF(AND($G261="EXTERNO",$I261="EXTERNO"),"ERRO: origem e destino externos",IF(AND($G261&lt;&gt;"EXTERNO",COUNTIFS(ENT_ID,$H261,ENT_TIPO,$G261)=0),"ERRO: origem inexistente",IF(AND($I261&lt;&gt;"EXTERNO",COUNTIFS(ENT_ID,$J261,ENT_TIPO,$I261)=0),"ERRO: destino inexistente",IF(AND($K261&lt;&gt;"",COUNTIF(CAT_ID,$K261)=0),"ERRO: categoria inexistente",IF(AND($L261&lt;&gt;"",COUNTIF(SUB_ID,$L261)=0),"ERRO: subcategoria inexistente",IF(AND($L261&lt;&gt;"",$K261&lt;&gt;"",IFERROR(INDEX(SUB_CATID,MATCH($L261,SUB_ID,0)),"")&lt;&gt;$K261),"ERRO: subcategoria nao pertence a categoria",IF(AND($O261&lt;&gt;"",COUNTIF(P_ID,$O261)=0),"ERRO: parcela inexistente",IF(AND($N261&lt;&gt;"",COUNTIF(CM_ID,$N261)=0),"ERRO: compromisso inexistente","OK")))))))))))))</f>
        <v/>
      </c>
      <c r="AK261" s="35" t="str">
        <f aca="false">IF($B261="","",IF(AND($N261="",$O261="",$P261="",$Q261="",$R261=""),"","VINCULADO: "&amp;TRIM(IF($N261&lt;&gt;"",$N261&amp;" ","")&amp;IF($O261&lt;&gt;"",$O261&amp;" ","")&amp;IF($P261&lt;&gt;"",$P261&amp;" ","")&amp;IF($Q261&lt;&gt;"",$Q261&amp;" ","")&amp;IF($R261&lt;&gt;"",$R261,""))))</f>
        <v/>
      </c>
    </row>
    <row r="262" customFormat="false" ht="15" hidden="false" customHeight="false" outlineLevel="0" collapsed="false">
      <c r="A262" s="30" t="str">
        <f aca="false">IF($B262="","","LAN-"&amp;TEXT(ROW()-4,"000000"))</f>
        <v/>
      </c>
      <c r="B262" s="31"/>
      <c r="C262" s="32"/>
      <c r="D262" s="32"/>
      <c r="E262" s="32"/>
      <c r="F262" s="33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4" t="str">
        <f aca="false">IF($B262="","",YEAR($B262))</f>
        <v/>
      </c>
      <c r="U262" s="34" t="str">
        <f aca="false">IF($B262="","",MONTH($B262))</f>
        <v/>
      </c>
      <c r="V262" s="34" t="str">
        <f aca="false">IF($B262="","",YEAR($B262)*100+MONTH($B262))</f>
        <v/>
      </c>
      <c r="W262" s="35" t="str">
        <f aca="false">IF($D262="","",IFERROR(INDEX(MAP_CLASS,MATCH($D262,MAP_TIPO,0)),"TIPO INVALIDO"))</f>
        <v/>
      </c>
      <c r="X262" s="35" t="str">
        <f aca="false">IF($K262="","",IFERROR(INDEX(CAT_NOME,MATCH($K262,CAT_ID,0)),"?"))</f>
        <v/>
      </c>
      <c r="Y262" s="35" t="str">
        <f aca="false">IF($L262="","",IFERROR(INDEX(SUB_NOME,MATCH($L262,SUB_ID,0)),"?"))</f>
        <v/>
      </c>
      <c r="Z262" s="35" t="str">
        <f aca="false">IF($G262="","",IF($G262="EXTERNO","(Externo)",IFERROR(INDEX(ENT_NOME,MATCH($H262,ENT_ID,0)),"?")))</f>
        <v/>
      </c>
      <c r="AA262" s="35" t="str">
        <f aca="false">IF($I262="","",IF($I262="EXTERNO","(Externo)",IFERROR(INDEX(ENT_NOME,MATCH($J262,ENT_ID,0)),"?")))</f>
        <v/>
      </c>
      <c r="AB262" s="36" t="n">
        <f aca="false">IF($B262="",0,IF(AND($I262="CONTA",$G262&lt;&gt;"CONTA"),$F262,0))</f>
        <v>0</v>
      </c>
      <c r="AC262" s="36" t="n">
        <f aca="false">IF($B262="",0,IF(AND($G262="CONTA",$I262&lt;&gt;"CONTA"),$F262,0))</f>
        <v>0</v>
      </c>
      <c r="AD262" s="36" t="n">
        <f aca="false">IF($W262="RECEITA",$F262,0)</f>
        <v>0</v>
      </c>
      <c r="AE262" s="36" t="n">
        <f aca="false">IF($W262="DESPESA",$F262,0)</f>
        <v>0</v>
      </c>
      <c r="AF262" s="36" t="n">
        <f aca="false">IF($W262="RECEITA_FINANCEIRA",$F262,0)</f>
        <v>0</v>
      </c>
      <c r="AG262" s="36" t="n">
        <f aca="false">IF($B262="",0,IF($I262="CONTA",$F262,0)-IF($G262="CONTA",$F262,0))</f>
        <v>0</v>
      </c>
      <c r="AH262" s="36" t="n">
        <f aca="false">IF($B262="",0,IF($G262="CARTAO",$F262,0)-IF($I262="CARTAO",$F262,0))</f>
        <v>0</v>
      </c>
      <c r="AI262" s="36" t="n">
        <f aca="false">IF($B262="",0,IF($I262="INVESTIMENTO",$F262,0)-IF($G262="INVESTIMENTO",$F262,0))</f>
        <v>0</v>
      </c>
      <c r="AJ262" s="35" t="str">
        <f aca="false">IF($B262="","",IF(NOT(ISNUMBER($F262)),"ERRO: valor nao numerico",IF($F262&lt;=0,"ERRO: valor deve ser maior que zero",IF(COUNTIF(MAP_TIPO,$D262)=0,"ERRO: tipo de operacao nao cadastrado",IF(COUNTIF(LST_STATUS,$E262)=0,"ERRO: status invalido",IF(AND($G262="EXTERNO",$I262="EXTERNO"),"ERRO: origem e destino externos",IF(AND($G262&lt;&gt;"EXTERNO",COUNTIFS(ENT_ID,$H262,ENT_TIPO,$G262)=0),"ERRO: origem inexistente",IF(AND($I262&lt;&gt;"EXTERNO",COUNTIFS(ENT_ID,$J262,ENT_TIPO,$I262)=0),"ERRO: destino inexistente",IF(AND($K262&lt;&gt;"",COUNTIF(CAT_ID,$K262)=0),"ERRO: categoria inexistente",IF(AND($L262&lt;&gt;"",COUNTIF(SUB_ID,$L262)=0),"ERRO: subcategoria inexistente",IF(AND($L262&lt;&gt;"",$K262&lt;&gt;"",IFERROR(INDEX(SUB_CATID,MATCH($L262,SUB_ID,0)),"")&lt;&gt;$K262),"ERRO: subcategoria nao pertence a categoria",IF(AND($O262&lt;&gt;"",COUNTIF(P_ID,$O262)=0),"ERRO: parcela inexistente",IF(AND($N262&lt;&gt;"",COUNTIF(CM_ID,$N262)=0),"ERRO: compromisso inexistente","OK")))))))))))))</f>
        <v/>
      </c>
      <c r="AK262" s="35" t="str">
        <f aca="false">IF($B262="","",IF(AND($N262="",$O262="",$P262="",$Q262="",$R262=""),"","VINCULADO: "&amp;TRIM(IF($N262&lt;&gt;"",$N262&amp;" ","")&amp;IF($O262&lt;&gt;"",$O262&amp;" ","")&amp;IF($P262&lt;&gt;"",$P262&amp;" ","")&amp;IF($Q262&lt;&gt;"",$Q262&amp;" ","")&amp;IF($R262&lt;&gt;"",$R262,""))))</f>
        <v/>
      </c>
    </row>
    <row r="263" customFormat="false" ht="15" hidden="false" customHeight="false" outlineLevel="0" collapsed="false">
      <c r="A263" s="30" t="str">
        <f aca="false">IF($B263="","","LAN-"&amp;TEXT(ROW()-4,"000000"))</f>
        <v/>
      </c>
      <c r="B263" s="31"/>
      <c r="C263" s="32"/>
      <c r="D263" s="32"/>
      <c r="E263" s="32"/>
      <c r="F263" s="33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4" t="str">
        <f aca="false">IF($B263="","",YEAR($B263))</f>
        <v/>
      </c>
      <c r="U263" s="34" t="str">
        <f aca="false">IF($B263="","",MONTH($B263))</f>
        <v/>
      </c>
      <c r="V263" s="34" t="str">
        <f aca="false">IF($B263="","",YEAR($B263)*100+MONTH($B263))</f>
        <v/>
      </c>
      <c r="W263" s="35" t="str">
        <f aca="false">IF($D263="","",IFERROR(INDEX(MAP_CLASS,MATCH($D263,MAP_TIPO,0)),"TIPO INVALIDO"))</f>
        <v/>
      </c>
      <c r="X263" s="35" t="str">
        <f aca="false">IF($K263="","",IFERROR(INDEX(CAT_NOME,MATCH($K263,CAT_ID,0)),"?"))</f>
        <v/>
      </c>
      <c r="Y263" s="35" t="str">
        <f aca="false">IF($L263="","",IFERROR(INDEX(SUB_NOME,MATCH($L263,SUB_ID,0)),"?"))</f>
        <v/>
      </c>
      <c r="Z263" s="35" t="str">
        <f aca="false">IF($G263="","",IF($G263="EXTERNO","(Externo)",IFERROR(INDEX(ENT_NOME,MATCH($H263,ENT_ID,0)),"?")))</f>
        <v/>
      </c>
      <c r="AA263" s="35" t="str">
        <f aca="false">IF($I263="","",IF($I263="EXTERNO","(Externo)",IFERROR(INDEX(ENT_NOME,MATCH($J263,ENT_ID,0)),"?")))</f>
        <v/>
      </c>
      <c r="AB263" s="36" t="n">
        <f aca="false">IF($B263="",0,IF(AND($I263="CONTA",$G263&lt;&gt;"CONTA"),$F263,0))</f>
        <v>0</v>
      </c>
      <c r="AC263" s="36" t="n">
        <f aca="false">IF($B263="",0,IF(AND($G263="CONTA",$I263&lt;&gt;"CONTA"),$F263,0))</f>
        <v>0</v>
      </c>
      <c r="AD263" s="36" t="n">
        <f aca="false">IF($W263="RECEITA",$F263,0)</f>
        <v>0</v>
      </c>
      <c r="AE263" s="36" t="n">
        <f aca="false">IF($W263="DESPESA",$F263,0)</f>
        <v>0</v>
      </c>
      <c r="AF263" s="36" t="n">
        <f aca="false">IF($W263="RECEITA_FINANCEIRA",$F263,0)</f>
        <v>0</v>
      </c>
      <c r="AG263" s="36" t="n">
        <f aca="false">IF($B263="",0,IF($I263="CONTA",$F263,0)-IF($G263="CONTA",$F263,0))</f>
        <v>0</v>
      </c>
      <c r="AH263" s="36" t="n">
        <f aca="false">IF($B263="",0,IF($G263="CARTAO",$F263,0)-IF($I263="CARTAO",$F263,0))</f>
        <v>0</v>
      </c>
      <c r="AI263" s="36" t="n">
        <f aca="false">IF($B263="",0,IF($I263="INVESTIMENTO",$F263,0)-IF($G263="INVESTIMENTO",$F263,0))</f>
        <v>0</v>
      </c>
      <c r="AJ263" s="35" t="str">
        <f aca="false">IF($B263="","",IF(NOT(ISNUMBER($F263)),"ERRO: valor nao numerico",IF($F263&lt;=0,"ERRO: valor deve ser maior que zero",IF(COUNTIF(MAP_TIPO,$D263)=0,"ERRO: tipo de operacao nao cadastrado",IF(COUNTIF(LST_STATUS,$E263)=0,"ERRO: status invalido",IF(AND($G263="EXTERNO",$I263="EXTERNO"),"ERRO: origem e destino externos",IF(AND($G263&lt;&gt;"EXTERNO",COUNTIFS(ENT_ID,$H263,ENT_TIPO,$G263)=0),"ERRO: origem inexistente",IF(AND($I263&lt;&gt;"EXTERNO",COUNTIFS(ENT_ID,$J263,ENT_TIPO,$I263)=0),"ERRO: destino inexistente",IF(AND($K263&lt;&gt;"",COUNTIF(CAT_ID,$K263)=0),"ERRO: categoria inexistente",IF(AND($L263&lt;&gt;"",COUNTIF(SUB_ID,$L263)=0),"ERRO: subcategoria inexistente",IF(AND($L263&lt;&gt;"",$K263&lt;&gt;"",IFERROR(INDEX(SUB_CATID,MATCH($L263,SUB_ID,0)),"")&lt;&gt;$K263),"ERRO: subcategoria nao pertence a categoria",IF(AND($O263&lt;&gt;"",COUNTIF(P_ID,$O263)=0),"ERRO: parcela inexistente",IF(AND($N263&lt;&gt;"",COUNTIF(CM_ID,$N263)=0),"ERRO: compromisso inexistente","OK")))))))))))))</f>
        <v/>
      </c>
      <c r="AK263" s="35" t="str">
        <f aca="false">IF($B263="","",IF(AND($N263="",$O263="",$P263="",$Q263="",$R263=""),"","VINCULADO: "&amp;TRIM(IF($N263&lt;&gt;"",$N263&amp;" ","")&amp;IF($O263&lt;&gt;"",$O263&amp;" ","")&amp;IF($P263&lt;&gt;"",$P263&amp;" ","")&amp;IF($Q263&lt;&gt;"",$Q263&amp;" ","")&amp;IF($R263&lt;&gt;"",$R263,""))))</f>
        <v/>
      </c>
    </row>
    <row r="264" customFormat="false" ht="15" hidden="false" customHeight="false" outlineLevel="0" collapsed="false">
      <c r="A264" s="30" t="str">
        <f aca="false">IF($B264="","","LAN-"&amp;TEXT(ROW()-4,"000000"))</f>
        <v/>
      </c>
      <c r="B264" s="31"/>
      <c r="C264" s="32"/>
      <c r="D264" s="32"/>
      <c r="E264" s="32"/>
      <c r="F264" s="33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4" t="str">
        <f aca="false">IF($B264="","",YEAR($B264))</f>
        <v/>
      </c>
      <c r="U264" s="34" t="str">
        <f aca="false">IF($B264="","",MONTH($B264))</f>
        <v/>
      </c>
      <c r="V264" s="34" t="str">
        <f aca="false">IF($B264="","",YEAR($B264)*100+MONTH($B264))</f>
        <v/>
      </c>
      <c r="W264" s="35" t="str">
        <f aca="false">IF($D264="","",IFERROR(INDEX(MAP_CLASS,MATCH($D264,MAP_TIPO,0)),"TIPO INVALIDO"))</f>
        <v/>
      </c>
      <c r="X264" s="35" t="str">
        <f aca="false">IF($K264="","",IFERROR(INDEX(CAT_NOME,MATCH($K264,CAT_ID,0)),"?"))</f>
        <v/>
      </c>
      <c r="Y264" s="35" t="str">
        <f aca="false">IF($L264="","",IFERROR(INDEX(SUB_NOME,MATCH($L264,SUB_ID,0)),"?"))</f>
        <v/>
      </c>
      <c r="Z264" s="35" t="str">
        <f aca="false">IF($G264="","",IF($G264="EXTERNO","(Externo)",IFERROR(INDEX(ENT_NOME,MATCH($H264,ENT_ID,0)),"?")))</f>
        <v/>
      </c>
      <c r="AA264" s="35" t="str">
        <f aca="false">IF($I264="","",IF($I264="EXTERNO","(Externo)",IFERROR(INDEX(ENT_NOME,MATCH($J264,ENT_ID,0)),"?")))</f>
        <v/>
      </c>
      <c r="AB264" s="36" t="n">
        <f aca="false">IF($B264="",0,IF(AND($I264="CONTA",$G264&lt;&gt;"CONTA"),$F264,0))</f>
        <v>0</v>
      </c>
      <c r="AC264" s="36" t="n">
        <f aca="false">IF($B264="",0,IF(AND($G264="CONTA",$I264&lt;&gt;"CONTA"),$F264,0))</f>
        <v>0</v>
      </c>
      <c r="AD264" s="36" t="n">
        <f aca="false">IF($W264="RECEITA",$F264,0)</f>
        <v>0</v>
      </c>
      <c r="AE264" s="36" t="n">
        <f aca="false">IF($W264="DESPESA",$F264,0)</f>
        <v>0</v>
      </c>
      <c r="AF264" s="36" t="n">
        <f aca="false">IF($W264="RECEITA_FINANCEIRA",$F264,0)</f>
        <v>0</v>
      </c>
      <c r="AG264" s="36" t="n">
        <f aca="false">IF($B264="",0,IF($I264="CONTA",$F264,0)-IF($G264="CONTA",$F264,0))</f>
        <v>0</v>
      </c>
      <c r="AH264" s="36" t="n">
        <f aca="false">IF($B264="",0,IF($G264="CARTAO",$F264,0)-IF($I264="CARTAO",$F264,0))</f>
        <v>0</v>
      </c>
      <c r="AI264" s="36" t="n">
        <f aca="false">IF($B264="",0,IF($I264="INVESTIMENTO",$F264,0)-IF($G264="INVESTIMENTO",$F264,0))</f>
        <v>0</v>
      </c>
      <c r="AJ264" s="35" t="str">
        <f aca="false">IF($B264="","",IF(NOT(ISNUMBER($F264)),"ERRO: valor nao numerico",IF($F264&lt;=0,"ERRO: valor deve ser maior que zero",IF(COUNTIF(MAP_TIPO,$D264)=0,"ERRO: tipo de operacao nao cadastrado",IF(COUNTIF(LST_STATUS,$E264)=0,"ERRO: status invalido",IF(AND($G264="EXTERNO",$I264="EXTERNO"),"ERRO: origem e destino externos",IF(AND($G264&lt;&gt;"EXTERNO",COUNTIFS(ENT_ID,$H264,ENT_TIPO,$G264)=0),"ERRO: origem inexistente",IF(AND($I264&lt;&gt;"EXTERNO",COUNTIFS(ENT_ID,$J264,ENT_TIPO,$I264)=0),"ERRO: destino inexistente",IF(AND($K264&lt;&gt;"",COUNTIF(CAT_ID,$K264)=0),"ERRO: categoria inexistente",IF(AND($L264&lt;&gt;"",COUNTIF(SUB_ID,$L264)=0),"ERRO: subcategoria inexistente",IF(AND($L264&lt;&gt;"",$K264&lt;&gt;"",IFERROR(INDEX(SUB_CATID,MATCH($L264,SUB_ID,0)),"")&lt;&gt;$K264),"ERRO: subcategoria nao pertence a categoria",IF(AND($O264&lt;&gt;"",COUNTIF(P_ID,$O264)=0),"ERRO: parcela inexistente",IF(AND($N264&lt;&gt;"",COUNTIF(CM_ID,$N264)=0),"ERRO: compromisso inexistente","OK")))))))))))))</f>
        <v/>
      </c>
      <c r="AK264" s="35" t="str">
        <f aca="false">IF($B264="","",IF(AND($N264="",$O264="",$P264="",$Q264="",$R264=""),"","VINCULADO: "&amp;TRIM(IF($N264&lt;&gt;"",$N264&amp;" ","")&amp;IF($O264&lt;&gt;"",$O264&amp;" ","")&amp;IF($P264&lt;&gt;"",$P264&amp;" ","")&amp;IF($Q264&lt;&gt;"",$Q264&amp;" ","")&amp;IF($R264&lt;&gt;"",$R264,""))))</f>
        <v/>
      </c>
    </row>
    <row r="265" customFormat="false" ht="15" hidden="false" customHeight="false" outlineLevel="0" collapsed="false">
      <c r="A265" s="30" t="str">
        <f aca="false">IF($B265="","","LAN-"&amp;TEXT(ROW()-4,"000000"))</f>
        <v/>
      </c>
      <c r="B265" s="31"/>
      <c r="C265" s="32"/>
      <c r="D265" s="32"/>
      <c r="E265" s="32"/>
      <c r="F265" s="33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4" t="str">
        <f aca="false">IF($B265="","",YEAR($B265))</f>
        <v/>
      </c>
      <c r="U265" s="34" t="str">
        <f aca="false">IF($B265="","",MONTH($B265))</f>
        <v/>
      </c>
      <c r="V265" s="34" t="str">
        <f aca="false">IF($B265="","",YEAR($B265)*100+MONTH($B265))</f>
        <v/>
      </c>
      <c r="W265" s="35" t="str">
        <f aca="false">IF($D265="","",IFERROR(INDEX(MAP_CLASS,MATCH($D265,MAP_TIPO,0)),"TIPO INVALIDO"))</f>
        <v/>
      </c>
      <c r="X265" s="35" t="str">
        <f aca="false">IF($K265="","",IFERROR(INDEX(CAT_NOME,MATCH($K265,CAT_ID,0)),"?"))</f>
        <v/>
      </c>
      <c r="Y265" s="35" t="str">
        <f aca="false">IF($L265="","",IFERROR(INDEX(SUB_NOME,MATCH($L265,SUB_ID,0)),"?"))</f>
        <v/>
      </c>
      <c r="Z265" s="35" t="str">
        <f aca="false">IF($G265="","",IF($G265="EXTERNO","(Externo)",IFERROR(INDEX(ENT_NOME,MATCH($H265,ENT_ID,0)),"?")))</f>
        <v/>
      </c>
      <c r="AA265" s="35" t="str">
        <f aca="false">IF($I265="","",IF($I265="EXTERNO","(Externo)",IFERROR(INDEX(ENT_NOME,MATCH($J265,ENT_ID,0)),"?")))</f>
        <v/>
      </c>
      <c r="AB265" s="36" t="n">
        <f aca="false">IF($B265="",0,IF(AND($I265="CONTA",$G265&lt;&gt;"CONTA"),$F265,0))</f>
        <v>0</v>
      </c>
      <c r="AC265" s="36" t="n">
        <f aca="false">IF($B265="",0,IF(AND($G265="CONTA",$I265&lt;&gt;"CONTA"),$F265,0))</f>
        <v>0</v>
      </c>
      <c r="AD265" s="36" t="n">
        <f aca="false">IF($W265="RECEITA",$F265,0)</f>
        <v>0</v>
      </c>
      <c r="AE265" s="36" t="n">
        <f aca="false">IF($W265="DESPESA",$F265,0)</f>
        <v>0</v>
      </c>
      <c r="AF265" s="36" t="n">
        <f aca="false">IF($W265="RECEITA_FINANCEIRA",$F265,0)</f>
        <v>0</v>
      </c>
      <c r="AG265" s="36" t="n">
        <f aca="false">IF($B265="",0,IF($I265="CONTA",$F265,0)-IF($G265="CONTA",$F265,0))</f>
        <v>0</v>
      </c>
      <c r="AH265" s="36" t="n">
        <f aca="false">IF($B265="",0,IF($G265="CARTAO",$F265,0)-IF($I265="CARTAO",$F265,0))</f>
        <v>0</v>
      </c>
      <c r="AI265" s="36" t="n">
        <f aca="false">IF($B265="",0,IF($I265="INVESTIMENTO",$F265,0)-IF($G265="INVESTIMENTO",$F265,0))</f>
        <v>0</v>
      </c>
      <c r="AJ265" s="35" t="str">
        <f aca="false">IF($B265="","",IF(NOT(ISNUMBER($F265)),"ERRO: valor nao numerico",IF($F265&lt;=0,"ERRO: valor deve ser maior que zero",IF(COUNTIF(MAP_TIPO,$D265)=0,"ERRO: tipo de operacao nao cadastrado",IF(COUNTIF(LST_STATUS,$E265)=0,"ERRO: status invalido",IF(AND($G265="EXTERNO",$I265="EXTERNO"),"ERRO: origem e destino externos",IF(AND($G265&lt;&gt;"EXTERNO",COUNTIFS(ENT_ID,$H265,ENT_TIPO,$G265)=0),"ERRO: origem inexistente",IF(AND($I265&lt;&gt;"EXTERNO",COUNTIFS(ENT_ID,$J265,ENT_TIPO,$I265)=0),"ERRO: destino inexistente",IF(AND($K265&lt;&gt;"",COUNTIF(CAT_ID,$K265)=0),"ERRO: categoria inexistente",IF(AND($L265&lt;&gt;"",COUNTIF(SUB_ID,$L265)=0),"ERRO: subcategoria inexistente",IF(AND($L265&lt;&gt;"",$K265&lt;&gt;"",IFERROR(INDEX(SUB_CATID,MATCH($L265,SUB_ID,0)),"")&lt;&gt;$K265),"ERRO: subcategoria nao pertence a categoria",IF(AND($O265&lt;&gt;"",COUNTIF(P_ID,$O265)=0),"ERRO: parcela inexistente",IF(AND($N265&lt;&gt;"",COUNTIF(CM_ID,$N265)=0),"ERRO: compromisso inexistente","OK")))))))))))))</f>
        <v/>
      </c>
      <c r="AK265" s="35" t="str">
        <f aca="false">IF($B265="","",IF(AND($N265="",$O265="",$P265="",$Q265="",$R265=""),"","VINCULADO: "&amp;TRIM(IF($N265&lt;&gt;"",$N265&amp;" ","")&amp;IF($O265&lt;&gt;"",$O265&amp;" ","")&amp;IF($P265&lt;&gt;"",$P265&amp;" ","")&amp;IF($Q265&lt;&gt;"",$Q265&amp;" ","")&amp;IF($R265&lt;&gt;"",$R265,""))))</f>
        <v/>
      </c>
    </row>
    <row r="266" customFormat="false" ht="15" hidden="false" customHeight="false" outlineLevel="0" collapsed="false">
      <c r="A266" s="30" t="str">
        <f aca="false">IF($B266="","","LAN-"&amp;TEXT(ROW()-4,"000000"))</f>
        <v/>
      </c>
      <c r="B266" s="31"/>
      <c r="C266" s="32"/>
      <c r="D266" s="32"/>
      <c r="E266" s="32"/>
      <c r="F266" s="33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4" t="str">
        <f aca="false">IF($B266="","",YEAR($B266))</f>
        <v/>
      </c>
      <c r="U266" s="34" t="str">
        <f aca="false">IF($B266="","",MONTH($B266))</f>
        <v/>
      </c>
      <c r="V266" s="34" t="str">
        <f aca="false">IF($B266="","",YEAR($B266)*100+MONTH($B266))</f>
        <v/>
      </c>
      <c r="W266" s="35" t="str">
        <f aca="false">IF($D266="","",IFERROR(INDEX(MAP_CLASS,MATCH($D266,MAP_TIPO,0)),"TIPO INVALIDO"))</f>
        <v/>
      </c>
      <c r="X266" s="35" t="str">
        <f aca="false">IF($K266="","",IFERROR(INDEX(CAT_NOME,MATCH($K266,CAT_ID,0)),"?"))</f>
        <v/>
      </c>
      <c r="Y266" s="35" t="str">
        <f aca="false">IF($L266="","",IFERROR(INDEX(SUB_NOME,MATCH($L266,SUB_ID,0)),"?"))</f>
        <v/>
      </c>
      <c r="Z266" s="35" t="str">
        <f aca="false">IF($G266="","",IF($G266="EXTERNO","(Externo)",IFERROR(INDEX(ENT_NOME,MATCH($H266,ENT_ID,0)),"?")))</f>
        <v/>
      </c>
      <c r="AA266" s="35" t="str">
        <f aca="false">IF($I266="","",IF($I266="EXTERNO","(Externo)",IFERROR(INDEX(ENT_NOME,MATCH($J266,ENT_ID,0)),"?")))</f>
        <v/>
      </c>
      <c r="AB266" s="36" t="n">
        <f aca="false">IF($B266="",0,IF(AND($I266="CONTA",$G266&lt;&gt;"CONTA"),$F266,0))</f>
        <v>0</v>
      </c>
      <c r="AC266" s="36" t="n">
        <f aca="false">IF($B266="",0,IF(AND($G266="CONTA",$I266&lt;&gt;"CONTA"),$F266,0))</f>
        <v>0</v>
      </c>
      <c r="AD266" s="36" t="n">
        <f aca="false">IF($W266="RECEITA",$F266,0)</f>
        <v>0</v>
      </c>
      <c r="AE266" s="36" t="n">
        <f aca="false">IF($W266="DESPESA",$F266,0)</f>
        <v>0</v>
      </c>
      <c r="AF266" s="36" t="n">
        <f aca="false">IF($W266="RECEITA_FINANCEIRA",$F266,0)</f>
        <v>0</v>
      </c>
      <c r="AG266" s="36" t="n">
        <f aca="false">IF($B266="",0,IF($I266="CONTA",$F266,0)-IF($G266="CONTA",$F266,0))</f>
        <v>0</v>
      </c>
      <c r="AH266" s="36" t="n">
        <f aca="false">IF($B266="",0,IF($G266="CARTAO",$F266,0)-IF($I266="CARTAO",$F266,0))</f>
        <v>0</v>
      </c>
      <c r="AI266" s="36" t="n">
        <f aca="false">IF($B266="",0,IF($I266="INVESTIMENTO",$F266,0)-IF($G266="INVESTIMENTO",$F266,0))</f>
        <v>0</v>
      </c>
      <c r="AJ266" s="35" t="str">
        <f aca="false">IF($B266="","",IF(NOT(ISNUMBER($F266)),"ERRO: valor nao numerico",IF($F266&lt;=0,"ERRO: valor deve ser maior que zero",IF(COUNTIF(MAP_TIPO,$D266)=0,"ERRO: tipo de operacao nao cadastrado",IF(COUNTIF(LST_STATUS,$E266)=0,"ERRO: status invalido",IF(AND($G266="EXTERNO",$I266="EXTERNO"),"ERRO: origem e destino externos",IF(AND($G266&lt;&gt;"EXTERNO",COUNTIFS(ENT_ID,$H266,ENT_TIPO,$G266)=0),"ERRO: origem inexistente",IF(AND($I266&lt;&gt;"EXTERNO",COUNTIFS(ENT_ID,$J266,ENT_TIPO,$I266)=0),"ERRO: destino inexistente",IF(AND($K266&lt;&gt;"",COUNTIF(CAT_ID,$K266)=0),"ERRO: categoria inexistente",IF(AND($L266&lt;&gt;"",COUNTIF(SUB_ID,$L266)=0),"ERRO: subcategoria inexistente",IF(AND($L266&lt;&gt;"",$K266&lt;&gt;"",IFERROR(INDEX(SUB_CATID,MATCH($L266,SUB_ID,0)),"")&lt;&gt;$K266),"ERRO: subcategoria nao pertence a categoria",IF(AND($O266&lt;&gt;"",COUNTIF(P_ID,$O266)=0),"ERRO: parcela inexistente",IF(AND($N266&lt;&gt;"",COUNTIF(CM_ID,$N266)=0),"ERRO: compromisso inexistente","OK")))))))))))))</f>
        <v/>
      </c>
      <c r="AK266" s="35" t="str">
        <f aca="false">IF($B266="","",IF(AND($N266="",$O266="",$P266="",$Q266="",$R266=""),"","VINCULADO: "&amp;TRIM(IF($N266&lt;&gt;"",$N266&amp;" ","")&amp;IF($O266&lt;&gt;"",$O266&amp;" ","")&amp;IF($P266&lt;&gt;"",$P266&amp;" ","")&amp;IF($Q266&lt;&gt;"",$Q266&amp;" ","")&amp;IF($R266&lt;&gt;"",$R266,""))))</f>
        <v/>
      </c>
    </row>
    <row r="267" customFormat="false" ht="15" hidden="false" customHeight="false" outlineLevel="0" collapsed="false">
      <c r="A267" s="30" t="str">
        <f aca="false">IF($B267="","","LAN-"&amp;TEXT(ROW()-4,"000000"))</f>
        <v/>
      </c>
      <c r="B267" s="31"/>
      <c r="C267" s="32"/>
      <c r="D267" s="32"/>
      <c r="E267" s="32"/>
      <c r="F267" s="33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4" t="str">
        <f aca="false">IF($B267="","",YEAR($B267))</f>
        <v/>
      </c>
      <c r="U267" s="34" t="str">
        <f aca="false">IF($B267="","",MONTH($B267))</f>
        <v/>
      </c>
      <c r="V267" s="34" t="str">
        <f aca="false">IF($B267="","",YEAR($B267)*100+MONTH($B267))</f>
        <v/>
      </c>
      <c r="W267" s="35" t="str">
        <f aca="false">IF($D267="","",IFERROR(INDEX(MAP_CLASS,MATCH($D267,MAP_TIPO,0)),"TIPO INVALIDO"))</f>
        <v/>
      </c>
      <c r="X267" s="35" t="str">
        <f aca="false">IF($K267="","",IFERROR(INDEX(CAT_NOME,MATCH($K267,CAT_ID,0)),"?"))</f>
        <v/>
      </c>
      <c r="Y267" s="35" t="str">
        <f aca="false">IF($L267="","",IFERROR(INDEX(SUB_NOME,MATCH($L267,SUB_ID,0)),"?"))</f>
        <v/>
      </c>
      <c r="Z267" s="35" t="str">
        <f aca="false">IF($G267="","",IF($G267="EXTERNO","(Externo)",IFERROR(INDEX(ENT_NOME,MATCH($H267,ENT_ID,0)),"?")))</f>
        <v/>
      </c>
      <c r="AA267" s="35" t="str">
        <f aca="false">IF($I267="","",IF($I267="EXTERNO","(Externo)",IFERROR(INDEX(ENT_NOME,MATCH($J267,ENT_ID,0)),"?")))</f>
        <v/>
      </c>
      <c r="AB267" s="36" t="n">
        <f aca="false">IF($B267="",0,IF(AND($I267="CONTA",$G267&lt;&gt;"CONTA"),$F267,0))</f>
        <v>0</v>
      </c>
      <c r="AC267" s="36" t="n">
        <f aca="false">IF($B267="",0,IF(AND($G267="CONTA",$I267&lt;&gt;"CONTA"),$F267,0))</f>
        <v>0</v>
      </c>
      <c r="AD267" s="36" t="n">
        <f aca="false">IF($W267="RECEITA",$F267,0)</f>
        <v>0</v>
      </c>
      <c r="AE267" s="36" t="n">
        <f aca="false">IF($W267="DESPESA",$F267,0)</f>
        <v>0</v>
      </c>
      <c r="AF267" s="36" t="n">
        <f aca="false">IF($W267="RECEITA_FINANCEIRA",$F267,0)</f>
        <v>0</v>
      </c>
      <c r="AG267" s="36" t="n">
        <f aca="false">IF($B267="",0,IF($I267="CONTA",$F267,0)-IF($G267="CONTA",$F267,0))</f>
        <v>0</v>
      </c>
      <c r="AH267" s="36" t="n">
        <f aca="false">IF($B267="",0,IF($G267="CARTAO",$F267,0)-IF($I267="CARTAO",$F267,0))</f>
        <v>0</v>
      </c>
      <c r="AI267" s="36" t="n">
        <f aca="false">IF($B267="",0,IF($I267="INVESTIMENTO",$F267,0)-IF($G267="INVESTIMENTO",$F267,0))</f>
        <v>0</v>
      </c>
      <c r="AJ267" s="35" t="str">
        <f aca="false">IF($B267="","",IF(NOT(ISNUMBER($F267)),"ERRO: valor nao numerico",IF($F267&lt;=0,"ERRO: valor deve ser maior que zero",IF(COUNTIF(MAP_TIPO,$D267)=0,"ERRO: tipo de operacao nao cadastrado",IF(COUNTIF(LST_STATUS,$E267)=0,"ERRO: status invalido",IF(AND($G267="EXTERNO",$I267="EXTERNO"),"ERRO: origem e destino externos",IF(AND($G267&lt;&gt;"EXTERNO",COUNTIFS(ENT_ID,$H267,ENT_TIPO,$G267)=0),"ERRO: origem inexistente",IF(AND($I267&lt;&gt;"EXTERNO",COUNTIFS(ENT_ID,$J267,ENT_TIPO,$I267)=0),"ERRO: destino inexistente",IF(AND($K267&lt;&gt;"",COUNTIF(CAT_ID,$K267)=0),"ERRO: categoria inexistente",IF(AND($L267&lt;&gt;"",COUNTIF(SUB_ID,$L267)=0),"ERRO: subcategoria inexistente",IF(AND($L267&lt;&gt;"",$K267&lt;&gt;"",IFERROR(INDEX(SUB_CATID,MATCH($L267,SUB_ID,0)),"")&lt;&gt;$K267),"ERRO: subcategoria nao pertence a categoria",IF(AND($O267&lt;&gt;"",COUNTIF(P_ID,$O267)=0),"ERRO: parcela inexistente",IF(AND($N267&lt;&gt;"",COUNTIF(CM_ID,$N267)=0),"ERRO: compromisso inexistente","OK")))))))))))))</f>
        <v/>
      </c>
      <c r="AK267" s="35" t="str">
        <f aca="false">IF($B267="","",IF(AND($N267="",$O267="",$P267="",$Q267="",$R267=""),"","VINCULADO: "&amp;TRIM(IF($N267&lt;&gt;"",$N267&amp;" ","")&amp;IF($O267&lt;&gt;"",$O267&amp;" ","")&amp;IF($P267&lt;&gt;"",$P267&amp;" ","")&amp;IF($Q267&lt;&gt;"",$Q267&amp;" ","")&amp;IF($R267&lt;&gt;"",$R267,""))))</f>
        <v/>
      </c>
    </row>
    <row r="268" customFormat="false" ht="15" hidden="false" customHeight="false" outlineLevel="0" collapsed="false">
      <c r="A268" s="30" t="str">
        <f aca="false">IF($B268="","","LAN-"&amp;TEXT(ROW()-4,"000000"))</f>
        <v/>
      </c>
      <c r="B268" s="31"/>
      <c r="C268" s="32"/>
      <c r="D268" s="32"/>
      <c r="E268" s="32"/>
      <c r="F268" s="33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4" t="str">
        <f aca="false">IF($B268="","",YEAR($B268))</f>
        <v/>
      </c>
      <c r="U268" s="34" t="str">
        <f aca="false">IF($B268="","",MONTH($B268))</f>
        <v/>
      </c>
      <c r="V268" s="34" t="str">
        <f aca="false">IF($B268="","",YEAR($B268)*100+MONTH($B268))</f>
        <v/>
      </c>
      <c r="W268" s="35" t="str">
        <f aca="false">IF($D268="","",IFERROR(INDEX(MAP_CLASS,MATCH($D268,MAP_TIPO,0)),"TIPO INVALIDO"))</f>
        <v/>
      </c>
      <c r="X268" s="35" t="str">
        <f aca="false">IF($K268="","",IFERROR(INDEX(CAT_NOME,MATCH($K268,CAT_ID,0)),"?"))</f>
        <v/>
      </c>
      <c r="Y268" s="35" t="str">
        <f aca="false">IF($L268="","",IFERROR(INDEX(SUB_NOME,MATCH($L268,SUB_ID,0)),"?"))</f>
        <v/>
      </c>
      <c r="Z268" s="35" t="str">
        <f aca="false">IF($G268="","",IF($G268="EXTERNO","(Externo)",IFERROR(INDEX(ENT_NOME,MATCH($H268,ENT_ID,0)),"?")))</f>
        <v/>
      </c>
      <c r="AA268" s="35" t="str">
        <f aca="false">IF($I268="","",IF($I268="EXTERNO","(Externo)",IFERROR(INDEX(ENT_NOME,MATCH($J268,ENT_ID,0)),"?")))</f>
        <v/>
      </c>
      <c r="AB268" s="36" t="n">
        <f aca="false">IF($B268="",0,IF(AND($I268="CONTA",$G268&lt;&gt;"CONTA"),$F268,0))</f>
        <v>0</v>
      </c>
      <c r="AC268" s="36" t="n">
        <f aca="false">IF($B268="",0,IF(AND($G268="CONTA",$I268&lt;&gt;"CONTA"),$F268,0))</f>
        <v>0</v>
      </c>
      <c r="AD268" s="36" t="n">
        <f aca="false">IF($W268="RECEITA",$F268,0)</f>
        <v>0</v>
      </c>
      <c r="AE268" s="36" t="n">
        <f aca="false">IF($W268="DESPESA",$F268,0)</f>
        <v>0</v>
      </c>
      <c r="AF268" s="36" t="n">
        <f aca="false">IF($W268="RECEITA_FINANCEIRA",$F268,0)</f>
        <v>0</v>
      </c>
      <c r="AG268" s="36" t="n">
        <f aca="false">IF($B268="",0,IF($I268="CONTA",$F268,0)-IF($G268="CONTA",$F268,0))</f>
        <v>0</v>
      </c>
      <c r="AH268" s="36" t="n">
        <f aca="false">IF($B268="",0,IF($G268="CARTAO",$F268,0)-IF($I268="CARTAO",$F268,0))</f>
        <v>0</v>
      </c>
      <c r="AI268" s="36" t="n">
        <f aca="false">IF($B268="",0,IF($I268="INVESTIMENTO",$F268,0)-IF($G268="INVESTIMENTO",$F268,0))</f>
        <v>0</v>
      </c>
      <c r="AJ268" s="35" t="str">
        <f aca="false">IF($B268="","",IF(NOT(ISNUMBER($F268)),"ERRO: valor nao numerico",IF($F268&lt;=0,"ERRO: valor deve ser maior que zero",IF(COUNTIF(MAP_TIPO,$D268)=0,"ERRO: tipo de operacao nao cadastrado",IF(COUNTIF(LST_STATUS,$E268)=0,"ERRO: status invalido",IF(AND($G268="EXTERNO",$I268="EXTERNO"),"ERRO: origem e destino externos",IF(AND($G268&lt;&gt;"EXTERNO",COUNTIFS(ENT_ID,$H268,ENT_TIPO,$G268)=0),"ERRO: origem inexistente",IF(AND($I268&lt;&gt;"EXTERNO",COUNTIFS(ENT_ID,$J268,ENT_TIPO,$I268)=0),"ERRO: destino inexistente",IF(AND($K268&lt;&gt;"",COUNTIF(CAT_ID,$K268)=0),"ERRO: categoria inexistente",IF(AND($L268&lt;&gt;"",COUNTIF(SUB_ID,$L268)=0),"ERRO: subcategoria inexistente",IF(AND($L268&lt;&gt;"",$K268&lt;&gt;"",IFERROR(INDEX(SUB_CATID,MATCH($L268,SUB_ID,0)),"")&lt;&gt;$K268),"ERRO: subcategoria nao pertence a categoria",IF(AND($O268&lt;&gt;"",COUNTIF(P_ID,$O268)=0),"ERRO: parcela inexistente",IF(AND($N268&lt;&gt;"",COUNTIF(CM_ID,$N268)=0),"ERRO: compromisso inexistente","OK")))))))))))))</f>
        <v/>
      </c>
      <c r="AK268" s="35" t="str">
        <f aca="false">IF($B268="","",IF(AND($N268="",$O268="",$P268="",$Q268="",$R268=""),"","VINCULADO: "&amp;TRIM(IF($N268&lt;&gt;"",$N268&amp;" ","")&amp;IF($O268&lt;&gt;"",$O268&amp;" ","")&amp;IF($P268&lt;&gt;"",$P268&amp;" ","")&amp;IF($Q268&lt;&gt;"",$Q268&amp;" ","")&amp;IF($R268&lt;&gt;"",$R268,""))))</f>
        <v/>
      </c>
    </row>
    <row r="269" customFormat="false" ht="15" hidden="false" customHeight="false" outlineLevel="0" collapsed="false">
      <c r="A269" s="30" t="str">
        <f aca="false">IF($B269="","","LAN-"&amp;TEXT(ROW()-4,"000000"))</f>
        <v/>
      </c>
      <c r="B269" s="31"/>
      <c r="C269" s="32"/>
      <c r="D269" s="32"/>
      <c r="E269" s="32"/>
      <c r="F269" s="33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4" t="str">
        <f aca="false">IF($B269="","",YEAR($B269))</f>
        <v/>
      </c>
      <c r="U269" s="34" t="str">
        <f aca="false">IF($B269="","",MONTH($B269))</f>
        <v/>
      </c>
      <c r="V269" s="34" t="str">
        <f aca="false">IF($B269="","",YEAR($B269)*100+MONTH($B269))</f>
        <v/>
      </c>
      <c r="W269" s="35" t="str">
        <f aca="false">IF($D269="","",IFERROR(INDEX(MAP_CLASS,MATCH($D269,MAP_TIPO,0)),"TIPO INVALIDO"))</f>
        <v/>
      </c>
      <c r="X269" s="35" t="str">
        <f aca="false">IF($K269="","",IFERROR(INDEX(CAT_NOME,MATCH($K269,CAT_ID,0)),"?"))</f>
        <v/>
      </c>
      <c r="Y269" s="35" t="str">
        <f aca="false">IF($L269="","",IFERROR(INDEX(SUB_NOME,MATCH($L269,SUB_ID,0)),"?"))</f>
        <v/>
      </c>
      <c r="Z269" s="35" t="str">
        <f aca="false">IF($G269="","",IF($G269="EXTERNO","(Externo)",IFERROR(INDEX(ENT_NOME,MATCH($H269,ENT_ID,0)),"?")))</f>
        <v/>
      </c>
      <c r="AA269" s="35" t="str">
        <f aca="false">IF($I269="","",IF($I269="EXTERNO","(Externo)",IFERROR(INDEX(ENT_NOME,MATCH($J269,ENT_ID,0)),"?")))</f>
        <v/>
      </c>
      <c r="AB269" s="36" t="n">
        <f aca="false">IF($B269="",0,IF(AND($I269="CONTA",$G269&lt;&gt;"CONTA"),$F269,0))</f>
        <v>0</v>
      </c>
      <c r="AC269" s="36" t="n">
        <f aca="false">IF($B269="",0,IF(AND($G269="CONTA",$I269&lt;&gt;"CONTA"),$F269,0))</f>
        <v>0</v>
      </c>
      <c r="AD269" s="36" t="n">
        <f aca="false">IF($W269="RECEITA",$F269,0)</f>
        <v>0</v>
      </c>
      <c r="AE269" s="36" t="n">
        <f aca="false">IF($W269="DESPESA",$F269,0)</f>
        <v>0</v>
      </c>
      <c r="AF269" s="36" t="n">
        <f aca="false">IF($W269="RECEITA_FINANCEIRA",$F269,0)</f>
        <v>0</v>
      </c>
      <c r="AG269" s="36" t="n">
        <f aca="false">IF($B269="",0,IF($I269="CONTA",$F269,0)-IF($G269="CONTA",$F269,0))</f>
        <v>0</v>
      </c>
      <c r="AH269" s="36" t="n">
        <f aca="false">IF($B269="",0,IF($G269="CARTAO",$F269,0)-IF($I269="CARTAO",$F269,0))</f>
        <v>0</v>
      </c>
      <c r="AI269" s="36" t="n">
        <f aca="false">IF($B269="",0,IF($I269="INVESTIMENTO",$F269,0)-IF($G269="INVESTIMENTO",$F269,0))</f>
        <v>0</v>
      </c>
      <c r="AJ269" s="35" t="str">
        <f aca="false">IF($B269="","",IF(NOT(ISNUMBER($F269)),"ERRO: valor nao numerico",IF($F269&lt;=0,"ERRO: valor deve ser maior que zero",IF(COUNTIF(MAP_TIPO,$D269)=0,"ERRO: tipo de operacao nao cadastrado",IF(COUNTIF(LST_STATUS,$E269)=0,"ERRO: status invalido",IF(AND($G269="EXTERNO",$I269="EXTERNO"),"ERRO: origem e destino externos",IF(AND($G269&lt;&gt;"EXTERNO",COUNTIFS(ENT_ID,$H269,ENT_TIPO,$G269)=0),"ERRO: origem inexistente",IF(AND($I269&lt;&gt;"EXTERNO",COUNTIFS(ENT_ID,$J269,ENT_TIPO,$I269)=0),"ERRO: destino inexistente",IF(AND($K269&lt;&gt;"",COUNTIF(CAT_ID,$K269)=0),"ERRO: categoria inexistente",IF(AND($L269&lt;&gt;"",COUNTIF(SUB_ID,$L269)=0),"ERRO: subcategoria inexistente",IF(AND($L269&lt;&gt;"",$K269&lt;&gt;"",IFERROR(INDEX(SUB_CATID,MATCH($L269,SUB_ID,0)),"")&lt;&gt;$K269),"ERRO: subcategoria nao pertence a categoria",IF(AND($O269&lt;&gt;"",COUNTIF(P_ID,$O269)=0),"ERRO: parcela inexistente",IF(AND($N269&lt;&gt;"",COUNTIF(CM_ID,$N269)=0),"ERRO: compromisso inexistente","OK")))))))))))))</f>
        <v/>
      </c>
      <c r="AK269" s="35" t="str">
        <f aca="false">IF($B269="","",IF(AND($N269="",$O269="",$P269="",$Q269="",$R269=""),"","VINCULADO: "&amp;TRIM(IF($N269&lt;&gt;"",$N269&amp;" ","")&amp;IF($O269&lt;&gt;"",$O269&amp;" ","")&amp;IF($P269&lt;&gt;"",$P269&amp;" ","")&amp;IF($Q269&lt;&gt;"",$Q269&amp;" ","")&amp;IF($R269&lt;&gt;"",$R269,""))))</f>
        <v/>
      </c>
    </row>
    <row r="270" customFormat="false" ht="15" hidden="false" customHeight="false" outlineLevel="0" collapsed="false">
      <c r="A270" s="30" t="str">
        <f aca="false">IF($B270="","","LAN-"&amp;TEXT(ROW()-4,"000000"))</f>
        <v/>
      </c>
      <c r="B270" s="31"/>
      <c r="C270" s="32"/>
      <c r="D270" s="32"/>
      <c r="E270" s="32"/>
      <c r="F270" s="33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4" t="str">
        <f aca="false">IF($B270="","",YEAR($B270))</f>
        <v/>
      </c>
      <c r="U270" s="34" t="str">
        <f aca="false">IF($B270="","",MONTH($B270))</f>
        <v/>
      </c>
      <c r="V270" s="34" t="str">
        <f aca="false">IF($B270="","",YEAR($B270)*100+MONTH($B270))</f>
        <v/>
      </c>
      <c r="W270" s="35" t="str">
        <f aca="false">IF($D270="","",IFERROR(INDEX(MAP_CLASS,MATCH($D270,MAP_TIPO,0)),"TIPO INVALIDO"))</f>
        <v/>
      </c>
      <c r="X270" s="35" t="str">
        <f aca="false">IF($K270="","",IFERROR(INDEX(CAT_NOME,MATCH($K270,CAT_ID,0)),"?"))</f>
        <v/>
      </c>
      <c r="Y270" s="35" t="str">
        <f aca="false">IF($L270="","",IFERROR(INDEX(SUB_NOME,MATCH($L270,SUB_ID,0)),"?"))</f>
        <v/>
      </c>
      <c r="Z270" s="35" t="str">
        <f aca="false">IF($G270="","",IF($G270="EXTERNO","(Externo)",IFERROR(INDEX(ENT_NOME,MATCH($H270,ENT_ID,0)),"?")))</f>
        <v/>
      </c>
      <c r="AA270" s="35" t="str">
        <f aca="false">IF($I270="","",IF($I270="EXTERNO","(Externo)",IFERROR(INDEX(ENT_NOME,MATCH($J270,ENT_ID,0)),"?")))</f>
        <v/>
      </c>
      <c r="AB270" s="36" t="n">
        <f aca="false">IF($B270="",0,IF(AND($I270="CONTA",$G270&lt;&gt;"CONTA"),$F270,0))</f>
        <v>0</v>
      </c>
      <c r="AC270" s="36" t="n">
        <f aca="false">IF($B270="",0,IF(AND($G270="CONTA",$I270&lt;&gt;"CONTA"),$F270,0))</f>
        <v>0</v>
      </c>
      <c r="AD270" s="36" t="n">
        <f aca="false">IF($W270="RECEITA",$F270,0)</f>
        <v>0</v>
      </c>
      <c r="AE270" s="36" t="n">
        <f aca="false">IF($W270="DESPESA",$F270,0)</f>
        <v>0</v>
      </c>
      <c r="AF270" s="36" t="n">
        <f aca="false">IF($W270="RECEITA_FINANCEIRA",$F270,0)</f>
        <v>0</v>
      </c>
      <c r="AG270" s="36" t="n">
        <f aca="false">IF($B270="",0,IF($I270="CONTA",$F270,0)-IF($G270="CONTA",$F270,0))</f>
        <v>0</v>
      </c>
      <c r="AH270" s="36" t="n">
        <f aca="false">IF($B270="",0,IF($G270="CARTAO",$F270,0)-IF($I270="CARTAO",$F270,0))</f>
        <v>0</v>
      </c>
      <c r="AI270" s="36" t="n">
        <f aca="false">IF($B270="",0,IF($I270="INVESTIMENTO",$F270,0)-IF($G270="INVESTIMENTO",$F270,0))</f>
        <v>0</v>
      </c>
      <c r="AJ270" s="35" t="str">
        <f aca="false">IF($B270="","",IF(NOT(ISNUMBER($F270)),"ERRO: valor nao numerico",IF($F270&lt;=0,"ERRO: valor deve ser maior que zero",IF(COUNTIF(MAP_TIPO,$D270)=0,"ERRO: tipo de operacao nao cadastrado",IF(COUNTIF(LST_STATUS,$E270)=0,"ERRO: status invalido",IF(AND($G270="EXTERNO",$I270="EXTERNO"),"ERRO: origem e destino externos",IF(AND($G270&lt;&gt;"EXTERNO",COUNTIFS(ENT_ID,$H270,ENT_TIPO,$G270)=0),"ERRO: origem inexistente",IF(AND($I270&lt;&gt;"EXTERNO",COUNTIFS(ENT_ID,$J270,ENT_TIPO,$I270)=0),"ERRO: destino inexistente",IF(AND($K270&lt;&gt;"",COUNTIF(CAT_ID,$K270)=0),"ERRO: categoria inexistente",IF(AND($L270&lt;&gt;"",COUNTIF(SUB_ID,$L270)=0),"ERRO: subcategoria inexistente",IF(AND($L270&lt;&gt;"",$K270&lt;&gt;"",IFERROR(INDEX(SUB_CATID,MATCH($L270,SUB_ID,0)),"")&lt;&gt;$K270),"ERRO: subcategoria nao pertence a categoria",IF(AND($O270&lt;&gt;"",COUNTIF(P_ID,$O270)=0),"ERRO: parcela inexistente",IF(AND($N270&lt;&gt;"",COUNTIF(CM_ID,$N270)=0),"ERRO: compromisso inexistente","OK")))))))))))))</f>
        <v/>
      </c>
      <c r="AK270" s="35" t="str">
        <f aca="false">IF($B270="","",IF(AND($N270="",$O270="",$P270="",$Q270="",$R270=""),"","VINCULADO: "&amp;TRIM(IF($N270&lt;&gt;"",$N270&amp;" ","")&amp;IF($O270&lt;&gt;"",$O270&amp;" ","")&amp;IF($P270&lt;&gt;"",$P270&amp;" ","")&amp;IF($Q270&lt;&gt;"",$Q270&amp;" ","")&amp;IF($R270&lt;&gt;"",$R270,""))))</f>
        <v/>
      </c>
    </row>
    <row r="271" customFormat="false" ht="15" hidden="false" customHeight="false" outlineLevel="0" collapsed="false">
      <c r="A271" s="30" t="str">
        <f aca="false">IF($B271="","","LAN-"&amp;TEXT(ROW()-4,"000000"))</f>
        <v/>
      </c>
      <c r="B271" s="31"/>
      <c r="C271" s="32"/>
      <c r="D271" s="32"/>
      <c r="E271" s="32"/>
      <c r="F271" s="33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4" t="str">
        <f aca="false">IF($B271="","",YEAR($B271))</f>
        <v/>
      </c>
      <c r="U271" s="34" t="str">
        <f aca="false">IF($B271="","",MONTH($B271))</f>
        <v/>
      </c>
      <c r="V271" s="34" t="str">
        <f aca="false">IF($B271="","",YEAR($B271)*100+MONTH($B271))</f>
        <v/>
      </c>
      <c r="W271" s="35" t="str">
        <f aca="false">IF($D271="","",IFERROR(INDEX(MAP_CLASS,MATCH($D271,MAP_TIPO,0)),"TIPO INVALIDO"))</f>
        <v/>
      </c>
      <c r="X271" s="35" t="str">
        <f aca="false">IF($K271="","",IFERROR(INDEX(CAT_NOME,MATCH($K271,CAT_ID,0)),"?"))</f>
        <v/>
      </c>
      <c r="Y271" s="35" t="str">
        <f aca="false">IF($L271="","",IFERROR(INDEX(SUB_NOME,MATCH($L271,SUB_ID,0)),"?"))</f>
        <v/>
      </c>
      <c r="Z271" s="35" t="str">
        <f aca="false">IF($G271="","",IF($G271="EXTERNO","(Externo)",IFERROR(INDEX(ENT_NOME,MATCH($H271,ENT_ID,0)),"?")))</f>
        <v/>
      </c>
      <c r="AA271" s="35" t="str">
        <f aca="false">IF($I271="","",IF($I271="EXTERNO","(Externo)",IFERROR(INDEX(ENT_NOME,MATCH($J271,ENT_ID,0)),"?")))</f>
        <v/>
      </c>
      <c r="AB271" s="36" t="n">
        <f aca="false">IF($B271="",0,IF(AND($I271="CONTA",$G271&lt;&gt;"CONTA"),$F271,0))</f>
        <v>0</v>
      </c>
      <c r="AC271" s="36" t="n">
        <f aca="false">IF($B271="",0,IF(AND($G271="CONTA",$I271&lt;&gt;"CONTA"),$F271,0))</f>
        <v>0</v>
      </c>
      <c r="AD271" s="36" t="n">
        <f aca="false">IF($W271="RECEITA",$F271,0)</f>
        <v>0</v>
      </c>
      <c r="AE271" s="36" t="n">
        <f aca="false">IF($W271="DESPESA",$F271,0)</f>
        <v>0</v>
      </c>
      <c r="AF271" s="36" t="n">
        <f aca="false">IF($W271="RECEITA_FINANCEIRA",$F271,0)</f>
        <v>0</v>
      </c>
      <c r="AG271" s="36" t="n">
        <f aca="false">IF($B271="",0,IF($I271="CONTA",$F271,0)-IF($G271="CONTA",$F271,0))</f>
        <v>0</v>
      </c>
      <c r="AH271" s="36" t="n">
        <f aca="false">IF($B271="",0,IF($G271="CARTAO",$F271,0)-IF($I271="CARTAO",$F271,0))</f>
        <v>0</v>
      </c>
      <c r="AI271" s="36" t="n">
        <f aca="false">IF($B271="",0,IF($I271="INVESTIMENTO",$F271,0)-IF($G271="INVESTIMENTO",$F271,0))</f>
        <v>0</v>
      </c>
      <c r="AJ271" s="35" t="str">
        <f aca="false">IF($B271="","",IF(NOT(ISNUMBER($F271)),"ERRO: valor nao numerico",IF($F271&lt;=0,"ERRO: valor deve ser maior que zero",IF(COUNTIF(MAP_TIPO,$D271)=0,"ERRO: tipo de operacao nao cadastrado",IF(COUNTIF(LST_STATUS,$E271)=0,"ERRO: status invalido",IF(AND($G271="EXTERNO",$I271="EXTERNO"),"ERRO: origem e destino externos",IF(AND($G271&lt;&gt;"EXTERNO",COUNTIFS(ENT_ID,$H271,ENT_TIPO,$G271)=0),"ERRO: origem inexistente",IF(AND($I271&lt;&gt;"EXTERNO",COUNTIFS(ENT_ID,$J271,ENT_TIPO,$I271)=0),"ERRO: destino inexistente",IF(AND($K271&lt;&gt;"",COUNTIF(CAT_ID,$K271)=0),"ERRO: categoria inexistente",IF(AND($L271&lt;&gt;"",COUNTIF(SUB_ID,$L271)=0),"ERRO: subcategoria inexistente",IF(AND($L271&lt;&gt;"",$K271&lt;&gt;"",IFERROR(INDEX(SUB_CATID,MATCH($L271,SUB_ID,0)),"")&lt;&gt;$K271),"ERRO: subcategoria nao pertence a categoria",IF(AND($O271&lt;&gt;"",COUNTIF(P_ID,$O271)=0),"ERRO: parcela inexistente",IF(AND($N271&lt;&gt;"",COUNTIF(CM_ID,$N271)=0),"ERRO: compromisso inexistente","OK")))))))))))))</f>
        <v/>
      </c>
      <c r="AK271" s="35" t="str">
        <f aca="false">IF($B271="","",IF(AND($N271="",$O271="",$P271="",$Q271="",$R271=""),"","VINCULADO: "&amp;TRIM(IF($N271&lt;&gt;"",$N271&amp;" ","")&amp;IF($O271&lt;&gt;"",$O271&amp;" ","")&amp;IF($P271&lt;&gt;"",$P271&amp;" ","")&amp;IF($Q271&lt;&gt;"",$Q271&amp;" ","")&amp;IF($R271&lt;&gt;"",$R271,""))))</f>
        <v/>
      </c>
    </row>
    <row r="272" customFormat="false" ht="15" hidden="false" customHeight="false" outlineLevel="0" collapsed="false">
      <c r="A272" s="30" t="str">
        <f aca="false">IF($B272="","","LAN-"&amp;TEXT(ROW()-4,"000000"))</f>
        <v/>
      </c>
      <c r="B272" s="31"/>
      <c r="C272" s="32"/>
      <c r="D272" s="32"/>
      <c r="E272" s="32"/>
      <c r="F272" s="33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4" t="str">
        <f aca="false">IF($B272="","",YEAR($B272))</f>
        <v/>
      </c>
      <c r="U272" s="34" t="str">
        <f aca="false">IF($B272="","",MONTH($B272))</f>
        <v/>
      </c>
      <c r="V272" s="34" t="str">
        <f aca="false">IF($B272="","",YEAR($B272)*100+MONTH($B272))</f>
        <v/>
      </c>
      <c r="W272" s="35" t="str">
        <f aca="false">IF($D272="","",IFERROR(INDEX(MAP_CLASS,MATCH($D272,MAP_TIPO,0)),"TIPO INVALIDO"))</f>
        <v/>
      </c>
      <c r="X272" s="35" t="str">
        <f aca="false">IF($K272="","",IFERROR(INDEX(CAT_NOME,MATCH($K272,CAT_ID,0)),"?"))</f>
        <v/>
      </c>
      <c r="Y272" s="35" t="str">
        <f aca="false">IF($L272="","",IFERROR(INDEX(SUB_NOME,MATCH($L272,SUB_ID,0)),"?"))</f>
        <v/>
      </c>
      <c r="Z272" s="35" t="str">
        <f aca="false">IF($G272="","",IF($G272="EXTERNO","(Externo)",IFERROR(INDEX(ENT_NOME,MATCH($H272,ENT_ID,0)),"?")))</f>
        <v/>
      </c>
      <c r="AA272" s="35" t="str">
        <f aca="false">IF($I272="","",IF($I272="EXTERNO","(Externo)",IFERROR(INDEX(ENT_NOME,MATCH($J272,ENT_ID,0)),"?")))</f>
        <v/>
      </c>
      <c r="AB272" s="36" t="n">
        <f aca="false">IF($B272="",0,IF(AND($I272="CONTA",$G272&lt;&gt;"CONTA"),$F272,0))</f>
        <v>0</v>
      </c>
      <c r="AC272" s="36" t="n">
        <f aca="false">IF($B272="",0,IF(AND($G272="CONTA",$I272&lt;&gt;"CONTA"),$F272,0))</f>
        <v>0</v>
      </c>
      <c r="AD272" s="36" t="n">
        <f aca="false">IF($W272="RECEITA",$F272,0)</f>
        <v>0</v>
      </c>
      <c r="AE272" s="36" t="n">
        <f aca="false">IF($W272="DESPESA",$F272,0)</f>
        <v>0</v>
      </c>
      <c r="AF272" s="36" t="n">
        <f aca="false">IF($W272="RECEITA_FINANCEIRA",$F272,0)</f>
        <v>0</v>
      </c>
      <c r="AG272" s="36" t="n">
        <f aca="false">IF($B272="",0,IF($I272="CONTA",$F272,0)-IF($G272="CONTA",$F272,0))</f>
        <v>0</v>
      </c>
      <c r="AH272" s="36" t="n">
        <f aca="false">IF($B272="",0,IF($G272="CARTAO",$F272,0)-IF($I272="CARTAO",$F272,0))</f>
        <v>0</v>
      </c>
      <c r="AI272" s="36" t="n">
        <f aca="false">IF($B272="",0,IF($I272="INVESTIMENTO",$F272,0)-IF($G272="INVESTIMENTO",$F272,0))</f>
        <v>0</v>
      </c>
      <c r="AJ272" s="35" t="str">
        <f aca="false">IF($B272="","",IF(NOT(ISNUMBER($F272)),"ERRO: valor nao numerico",IF($F272&lt;=0,"ERRO: valor deve ser maior que zero",IF(COUNTIF(MAP_TIPO,$D272)=0,"ERRO: tipo de operacao nao cadastrado",IF(COUNTIF(LST_STATUS,$E272)=0,"ERRO: status invalido",IF(AND($G272="EXTERNO",$I272="EXTERNO"),"ERRO: origem e destino externos",IF(AND($G272&lt;&gt;"EXTERNO",COUNTIFS(ENT_ID,$H272,ENT_TIPO,$G272)=0),"ERRO: origem inexistente",IF(AND($I272&lt;&gt;"EXTERNO",COUNTIFS(ENT_ID,$J272,ENT_TIPO,$I272)=0),"ERRO: destino inexistente",IF(AND($K272&lt;&gt;"",COUNTIF(CAT_ID,$K272)=0),"ERRO: categoria inexistente",IF(AND($L272&lt;&gt;"",COUNTIF(SUB_ID,$L272)=0),"ERRO: subcategoria inexistente",IF(AND($L272&lt;&gt;"",$K272&lt;&gt;"",IFERROR(INDEX(SUB_CATID,MATCH($L272,SUB_ID,0)),"")&lt;&gt;$K272),"ERRO: subcategoria nao pertence a categoria",IF(AND($O272&lt;&gt;"",COUNTIF(P_ID,$O272)=0),"ERRO: parcela inexistente",IF(AND($N272&lt;&gt;"",COUNTIF(CM_ID,$N272)=0),"ERRO: compromisso inexistente","OK")))))))))))))</f>
        <v/>
      </c>
      <c r="AK272" s="35" t="str">
        <f aca="false">IF($B272="","",IF(AND($N272="",$O272="",$P272="",$Q272="",$R272=""),"","VINCULADO: "&amp;TRIM(IF($N272&lt;&gt;"",$N272&amp;" ","")&amp;IF($O272&lt;&gt;"",$O272&amp;" ","")&amp;IF($P272&lt;&gt;"",$P272&amp;" ","")&amp;IF($Q272&lt;&gt;"",$Q272&amp;" ","")&amp;IF($R272&lt;&gt;"",$R272,""))))</f>
        <v/>
      </c>
    </row>
    <row r="273" customFormat="false" ht="15" hidden="false" customHeight="false" outlineLevel="0" collapsed="false">
      <c r="A273" s="30" t="str">
        <f aca="false">IF($B273="","","LAN-"&amp;TEXT(ROW()-4,"000000"))</f>
        <v/>
      </c>
      <c r="B273" s="31"/>
      <c r="C273" s="32"/>
      <c r="D273" s="32"/>
      <c r="E273" s="32"/>
      <c r="F273" s="33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4" t="str">
        <f aca="false">IF($B273="","",YEAR($B273))</f>
        <v/>
      </c>
      <c r="U273" s="34" t="str">
        <f aca="false">IF($B273="","",MONTH($B273))</f>
        <v/>
      </c>
      <c r="V273" s="34" t="str">
        <f aca="false">IF($B273="","",YEAR($B273)*100+MONTH($B273))</f>
        <v/>
      </c>
      <c r="W273" s="35" t="str">
        <f aca="false">IF($D273="","",IFERROR(INDEX(MAP_CLASS,MATCH($D273,MAP_TIPO,0)),"TIPO INVALIDO"))</f>
        <v/>
      </c>
      <c r="X273" s="35" t="str">
        <f aca="false">IF($K273="","",IFERROR(INDEX(CAT_NOME,MATCH($K273,CAT_ID,0)),"?"))</f>
        <v/>
      </c>
      <c r="Y273" s="35" t="str">
        <f aca="false">IF($L273="","",IFERROR(INDEX(SUB_NOME,MATCH($L273,SUB_ID,0)),"?"))</f>
        <v/>
      </c>
      <c r="Z273" s="35" t="str">
        <f aca="false">IF($G273="","",IF($G273="EXTERNO","(Externo)",IFERROR(INDEX(ENT_NOME,MATCH($H273,ENT_ID,0)),"?")))</f>
        <v/>
      </c>
      <c r="AA273" s="35" t="str">
        <f aca="false">IF($I273="","",IF($I273="EXTERNO","(Externo)",IFERROR(INDEX(ENT_NOME,MATCH($J273,ENT_ID,0)),"?")))</f>
        <v/>
      </c>
      <c r="AB273" s="36" t="n">
        <f aca="false">IF($B273="",0,IF(AND($I273="CONTA",$G273&lt;&gt;"CONTA"),$F273,0))</f>
        <v>0</v>
      </c>
      <c r="AC273" s="36" t="n">
        <f aca="false">IF($B273="",0,IF(AND($G273="CONTA",$I273&lt;&gt;"CONTA"),$F273,0))</f>
        <v>0</v>
      </c>
      <c r="AD273" s="36" t="n">
        <f aca="false">IF($W273="RECEITA",$F273,0)</f>
        <v>0</v>
      </c>
      <c r="AE273" s="36" t="n">
        <f aca="false">IF($W273="DESPESA",$F273,0)</f>
        <v>0</v>
      </c>
      <c r="AF273" s="36" t="n">
        <f aca="false">IF($W273="RECEITA_FINANCEIRA",$F273,0)</f>
        <v>0</v>
      </c>
      <c r="AG273" s="36" t="n">
        <f aca="false">IF($B273="",0,IF($I273="CONTA",$F273,0)-IF($G273="CONTA",$F273,0))</f>
        <v>0</v>
      </c>
      <c r="AH273" s="36" t="n">
        <f aca="false">IF($B273="",0,IF($G273="CARTAO",$F273,0)-IF($I273="CARTAO",$F273,0))</f>
        <v>0</v>
      </c>
      <c r="AI273" s="36" t="n">
        <f aca="false">IF($B273="",0,IF($I273="INVESTIMENTO",$F273,0)-IF($G273="INVESTIMENTO",$F273,0))</f>
        <v>0</v>
      </c>
      <c r="AJ273" s="35" t="str">
        <f aca="false">IF($B273="","",IF(NOT(ISNUMBER($F273)),"ERRO: valor nao numerico",IF($F273&lt;=0,"ERRO: valor deve ser maior que zero",IF(COUNTIF(MAP_TIPO,$D273)=0,"ERRO: tipo de operacao nao cadastrado",IF(COUNTIF(LST_STATUS,$E273)=0,"ERRO: status invalido",IF(AND($G273="EXTERNO",$I273="EXTERNO"),"ERRO: origem e destino externos",IF(AND($G273&lt;&gt;"EXTERNO",COUNTIFS(ENT_ID,$H273,ENT_TIPO,$G273)=0),"ERRO: origem inexistente",IF(AND($I273&lt;&gt;"EXTERNO",COUNTIFS(ENT_ID,$J273,ENT_TIPO,$I273)=0),"ERRO: destino inexistente",IF(AND($K273&lt;&gt;"",COUNTIF(CAT_ID,$K273)=0),"ERRO: categoria inexistente",IF(AND($L273&lt;&gt;"",COUNTIF(SUB_ID,$L273)=0),"ERRO: subcategoria inexistente",IF(AND($L273&lt;&gt;"",$K273&lt;&gt;"",IFERROR(INDEX(SUB_CATID,MATCH($L273,SUB_ID,0)),"")&lt;&gt;$K273),"ERRO: subcategoria nao pertence a categoria",IF(AND($O273&lt;&gt;"",COUNTIF(P_ID,$O273)=0),"ERRO: parcela inexistente",IF(AND($N273&lt;&gt;"",COUNTIF(CM_ID,$N273)=0),"ERRO: compromisso inexistente","OK")))))))))))))</f>
        <v/>
      </c>
      <c r="AK273" s="35" t="str">
        <f aca="false">IF($B273="","",IF(AND($N273="",$O273="",$P273="",$Q273="",$R273=""),"","VINCULADO: "&amp;TRIM(IF($N273&lt;&gt;"",$N273&amp;" ","")&amp;IF($O273&lt;&gt;"",$O273&amp;" ","")&amp;IF($P273&lt;&gt;"",$P273&amp;" ","")&amp;IF($Q273&lt;&gt;"",$Q273&amp;" ","")&amp;IF($R273&lt;&gt;"",$R273,""))))</f>
        <v/>
      </c>
    </row>
    <row r="274" customFormat="false" ht="15" hidden="false" customHeight="false" outlineLevel="0" collapsed="false">
      <c r="A274" s="30" t="str">
        <f aca="false">IF($B274="","","LAN-"&amp;TEXT(ROW()-4,"000000"))</f>
        <v/>
      </c>
      <c r="B274" s="31"/>
      <c r="C274" s="32"/>
      <c r="D274" s="32"/>
      <c r="E274" s="32"/>
      <c r="F274" s="33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4" t="str">
        <f aca="false">IF($B274="","",YEAR($B274))</f>
        <v/>
      </c>
      <c r="U274" s="34" t="str">
        <f aca="false">IF($B274="","",MONTH($B274))</f>
        <v/>
      </c>
      <c r="V274" s="34" t="str">
        <f aca="false">IF($B274="","",YEAR($B274)*100+MONTH($B274))</f>
        <v/>
      </c>
      <c r="W274" s="35" t="str">
        <f aca="false">IF($D274="","",IFERROR(INDEX(MAP_CLASS,MATCH($D274,MAP_TIPO,0)),"TIPO INVALIDO"))</f>
        <v/>
      </c>
      <c r="X274" s="35" t="str">
        <f aca="false">IF($K274="","",IFERROR(INDEX(CAT_NOME,MATCH($K274,CAT_ID,0)),"?"))</f>
        <v/>
      </c>
      <c r="Y274" s="35" t="str">
        <f aca="false">IF($L274="","",IFERROR(INDEX(SUB_NOME,MATCH($L274,SUB_ID,0)),"?"))</f>
        <v/>
      </c>
      <c r="Z274" s="35" t="str">
        <f aca="false">IF($G274="","",IF($G274="EXTERNO","(Externo)",IFERROR(INDEX(ENT_NOME,MATCH($H274,ENT_ID,0)),"?")))</f>
        <v/>
      </c>
      <c r="AA274" s="35" t="str">
        <f aca="false">IF($I274="","",IF($I274="EXTERNO","(Externo)",IFERROR(INDEX(ENT_NOME,MATCH($J274,ENT_ID,0)),"?")))</f>
        <v/>
      </c>
      <c r="AB274" s="36" t="n">
        <f aca="false">IF($B274="",0,IF(AND($I274="CONTA",$G274&lt;&gt;"CONTA"),$F274,0))</f>
        <v>0</v>
      </c>
      <c r="AC274" s="36" t="n">
        <f aca="false">IF($B274="",0,IF(AND($G274="CONTA",$I274&lt;&gt;"CONTA"),$F274,0))</f>
        <v>0</v>
      </c>
      <c r="AD274" s="36" t="n">
        <f aca="false">IF($W274="RECEITA",$F274,0)</f>
        <v>0</v>
      </c>
      <c r="AE274" s="36" t="n">
        <f aca="false">IF($W274="DESPESA",$F274,0)</f>
        <v>0</v>
      </c>
      <c r="AF274" s="36" t="n">
        <f aca="false">IF($W274="RECEITA_FINANCEIRA",$F274,0)</f>
        <v>0</v>
      </c>
      <c r="AG274" s="36" t="n">
        <f aca="false">IF($B274="",0,IF($I274="CONTA",$F274,0)-IF($G274="CONTA",$F274,0))</f>
        <v>0</v>
      </c>
      <c r="AH274" s="36" t="n">
        <f aca="false">IF($B274="",0,IF($G274="CARTAO",$F274,0)-IF($I274="CARTAO",$F274,0))</f>
        <v>0</v>
      </c>
      <c r="AI274" s="36" t="n">
        <f aca="false">IF($B274="",0,IF($I274="INVESTIMENTO",$F274,0)-IF($G274="INVESTIMENTO",$F274,0))</f>
        <v>0</v>
      </c>
      <c r="AJ274" s="35" t="str">
        <f aca="false">IF($B274="","",IF(NOT(ISNUMBER($F274)),"ERRO: valor nao numerico",IF($F274&lt;=0,"ERRO: valor deve ser maior que zero",IF(COUNTIF(MAP_TIPO,$D274)=0,"ERRO: tipo de operacao nao cadastrado",IF(COUNTIF(LST_STATUS,$E274)=0,"ERRO: status invalido",IF(AND($G274="EXTERNO",$I274="EXTERNO"),"ERRO: origem e destino externos",IF(AND($G274&lt;&gt;"EXTERNO",COUNTIFS(ENT_ID,$H274,ENT_TIPO,$G274)=0),"ERRO: origem inexistente",IF(AND($I274&lt;&gt;"EXTERNO",COUNTIFS(ENT_ID,$J274,ENT_TIPO,$I274)=0),"ERRO: destino inexistente",IF(AND($K274&lt;&gt;"",COUNTIF(CAT_ID,$K274)=0),"ERRO: categoria inexistente",IF(AND($L274&lt;&gt;"",COUNTIF(SUB_ID,$L274)=0),"ERRO: subcategoria inexistente",IF(AND($L274&lt;&gt;"",$K274&lt;&gt;"",IFERROR(INDEX(SUB_CATID,MATCH($L274,SUB_ID,0)),"")&lt;&gt;$K274),"ERRO: subcategoria nao pertence a categoria",IF(AND($O274&lt;&gt;"",COUNTIF(P_ID,$O274)=0),"ERRO: parcela inexistente",IF(AND($N274&lt;&gt;"",COUNTIF(CM_ID,$N274)=0),"ERRO: compromisso inexistente","OK")))))))))))))</f>
        <v/>
      </c>
      <c r="AK274" s="35" t="str">
        <f aca="false">IF($B274="","",IF(AND($N274="",$O274="",$P274="",$Q274="",$R274=""),"","VINCULADO: "&amp;TRIM(IF($N274&lt;&gt;"",$N274&amp;" ","")&amp;IF($O274&lt;&gt;"",$O274&amp;" ","")&amp;IF($P274&lt;&gt;"",$P274&amp;" ","")&amp;IF($Q274&lt;&gt;"",$Q274&amp;" ","")&amp;IF($R274&lt;&gt;"",$R274,""))))</f>
        <v/>
      </c>
    </row>
    <row r="275" customFormat="false" ht="15" hidden="false" customHeight="false" outlineLevel="0" collapsed="false">
      <c r="A275" s="30" t="str">
        <f aca="false">IF($B275="","","LAN-"&amp;TEXT(ROW()-4,"000000"))</f>
        <v/>
      </c>
      <c r="B275" s="31"/>
      <c r="C275" s="32"/>
      <c r="D275" s="32"/>
      <c r="E275" s="32"/>
      <c r="F275" s="33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4" t="str">
        <f aca="false">IF($B275="","",YEAR($B275))</f>
        <v/>
      </c>
      <c r="U275" s="34" t="str">
        <f aca="false">IF($B275="","",MONTH($B275))</f>
        <v/>
      </c>
      <c r="V275" s="34" t="str">
        <f aca="false">IF($B275="","",YEAR($B275)*100+MONTH($B275))</f>
        <v/>
      </c>
      <c r="W275" s="35" t="str">
        <f aca="false">IF($D275="","",IFERROR(INDEX(MAP_CLASS,MATCH($D275,MAP_TIPO,0)),"TIPO INVALIDO"))</f>
        <v/>
      </c>
      <c r="X275" s="35" t="str">
        <f aca="false">IF($K275="","",IFERROR(INDEX(CAT_NOME,MATCH($K275,CAT_ID,0)),"?"))</f>
        <v/>
      </c>
      <c r="Y275" s="35" t="str">
        <f aca="false">IF($L275="","",IFERROR(INDEX(SUB_NOME,MATCH($L275,SUB_ID,0)),"?"))</f>
        <v/>
      </c>
      <c r="Z275" s="35" t="str">
        <f aca="false">IF($G275="","",IF($G275="EXTERNO","(Externo)",IFERROR(INDEX(ENT_NOME,MATCH($H275,ENT_ID,0)),"?")))</f>
        <v/>
      </c>
      <c r="AA275" s="35" t="str">
        <f aca="false">IF($I275="","",IF($I275="EXTERNO","(Externo)",IFERROR(INDEX(ENT_NOME,MATCH($J275,ENT_ID,0)),"?")))</f>
        <v/>
      </c>
      <c r="AB275" s="36" t="n">
        <f aca="false">IF($B275="",0,IF(AND($I275="CONTA",$G275&lt;&gt;"CONTA"),$F275,0))</f>
        <v>0</v>
      </c>
      <c r="AC275" s="36" t="n">
        <f aca="false">IF($B275="",0,IF(AND($G275="CONTA",$I275&lt;&gt;"CONTA"),$F275,0))</f>
        <v>0</v>
      </c>
      <c r="AD275" s="36" t="n">
        <f aca="false">IF($W275="RECEITA",$F275,0)</f>
        <v>0</v>
      </c>
      <c r="AE275" s="36" t="n">
        <f aca="false">IF($W275="DESPESA",$F275,0)</f>
        <v>0</v>
      </c>
      <c r="AF275" s="36" t="n">
        <f aca="false">IF($W275="RECEITA_FINANCEIRA",$F275,0)</f>
        <v>0</v>
      </c>
      <c r="AG275" s="36" t="n">
        <f aca="false">IF($B275="",0,IF($I275="CONTA",$F275,0)-IF($G275="CONTA",$F275,0))</f>
        <v>0</v>
      </c>
      <c r="AH275" s="36" t="n">
        <f aca="false">IF($B275="",0,IF($G275="CARTAO",$F275,0)-IF($I275="CARTAO",$F275,0))</f>
        <v>0</v>
      </c>
      <c r="AI275" s="36" t="n">
        <f aca="false">IF($B275="",0,IF($I275="INVESTIMENTO",$F275,0)-IF($G275="INVESTIMENTO",$F275,0))</f>
        <v>0</v>
      </c>
      <c r="AJ275" s="35" t="str">
        <f aca="false">IF($B275="","",IF(NOT(ISNUMBER($F275)),"ERRO: valor nao numerico",IF($F275&lt;=0,"ERRO: valor deve ser maior que zero",IF(COUNTIF(MAP_TIPO,$D275)=0,"ERRO: tipo de operacao nao cadastrado",IF(COUNTIF(LST_STATUS,$E275)=0,"ERRO: status invalido",IF(AND($G275="EXTERNO",$I275="EXTERNO"),"ERRO: origem e destino externos",IF(AND($G275&lt;&gt;"EXTERNO",COUNTIFS(ENT_ID,$H275,ENT_TIPO,$G275)=0),"ERRO: origem inexistente",IF(AND($I275&lt;&gt;"EXTERNO",COUNTIFS(ENT_ID,$J275,ENT_TIPO,$I275)=0),"ERRO: destino inexistente",IF(AND($K275&lt;&gt;"",COUNTIF(CAT_ID,$K275)=0),"ERRO: categoria inexistente",IF(AND($L275&lt;&gt;"",COUNTIF(SUB_ID,$L275)=0),"ERRO: subcategoria inexistente",IF(AND($L275&lt;&gt;"",$K275&lt;&gt;"",IFERROR(INDEX(SUB_CATID,MATCH($L275,SUB_ID,0)),"")&lt;&gt;$K275),"ERRO: subcategoria nao pertence a categoria",IF(AND($O275&lt;&gt;"",COUNTIF(P_ID,$O275)=0),"ERRO: parcela inexistente",IF(AND($N275&lt;&gt;"",COUNTIF(CM_ID,$N275)=0),"ERRO: compromisso inexistente","OK")))))))))))))</f>
        <v/>
      </c>
      <c r="AK275" s="35" t="str">
        <f aca="false">IF($B275="","",IF(AND($N275="",$O275="",$P275="",$Q275="",$R275=""),"","VINCULADO: "&amp;TRIM(IF($N275&lt;&gt;"",$N275&amp;" ","")&amp;IF($O275&lt;&gt;"",$O275&amp;" ","")&amp;IF($P275&lt;&gt;"",$P275&amp;" ","")&amp;IF($Q275&lt;&gt;"",$Q275&amp;" ","")&amp;IF($R275&lt;&gt;"",$R275,""))))</f>
        <v/>
      </c>
    </row>
    <row r="276" customFormat="false" ht="15" hidden="false" customHeight="false" outlineLevel="0" collapsed="false">
      <c r="A276" s="30" t="str">
        <f aca="false">IF($B276="","","LAN-"&amp;TEXT(ROW()-4,"000000"))</f>
        <v/>
      </c>
      <c r="B276" s="31"/>
      <c r="C276" s="32"/>
      <c r="D276" s="32"/>
      <c r="E276" s="32"/>
      <c r="F276" s="33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4" t="str">
        <f aca="false">IF($B276="","",YEAR($B276))</f>
        <v/>
      </c>
      <c r="U276" s="34" t="str">
        <f aca="false">IF($B276="","",MONTH($B276))</f>
        <v/>
      </c>
      <c r="V276" s="34" t="str">
        <f aca="false">IF($B276="","",YEAR($B276)*100+MONTH($B276))</f>
        <v/>
      </c>
      <c r="W276" s="35" t="str">
        <f aca="false">IF($D276="","",IFERROR(INDEX(MAP_CLASS,MATCH($D276,MAP_TIPO,0)),"TIPO INVALIDO"))</f>
        <v/>
      </c>
      <c r="X276" s="35" t="str">
        <f aca="false">IF($K276="","",IFERROR(INDEX(CAT_NOME,MATCH($K276,CAT_ID,0)),"?"))</f>
        <v/>
      </c>
      <c r="Y276" s="35" t="str">
        <f aca="false">IF($L276="","",IFERROR(INDEX(SUB_NOME,MATCH($L276,SUB_ID,0)),"?"))</f>
        <v/>
      </c>
      <c r="Z276" s="35" t="str">
        <f aca="false">IF($G276="","",IF($G276="EXTERNO","(Externo)",IFERROR(INDEX(ENT_NOME,MATCH($H276,ENT_ID,0)),"?")))</f>
        <v/>
      </c>
      <c r="AA276" s="35" t="str">
        <f aca="false">IF($I276="","",IF($I276="EXTERNO","(Externo)",IFERROR(INDEX(ENT_NOME,MATCH($J276,ENT_ID,0)),"?")))</f>
        <v/>
      </c>
      <c r="AB276" s="36" t="n">
        <f aca="false">IF($B276="",0,IF(AND($I276="CONTA",$G276&lt;&gt;"CONTA"),$F276,0))</f>
        <v>0</v>
      </c>
      <c r="AC276" s="36" t="n">
        <f aca="false">IF($B276="",0,IF(AND($G276="CONTA",$I276&lt;&gt;"CONTA"),$F276,0))</f>
        <v>0</v>
      </c>
      <c r="AD276" s="36" t="n">
        <f aca="false">IF($W276="RECEITA",$F276,0)</f>
        <v>0</v>
      </c>
      <c r="AE276" s="36" t="n">
        <f aca="false">IF($W276="DESPESA",$F276,0)</f>
        <v>0</v>
      </c>
      <c r="AF276" s="36" t="n">
        <f aca="false">IF($W276="RECEITA_FINANCEIRA",$F276,0)</f>
        <v>0</v>
      </c>
      <c r="AG276" s="36" t="n">
        <f aca="false">IF($B276="",0,IF($I276="CONTA",$F276,0)-IF($G276="CONTA",$F276,0))</f>
        <v>0</v>
      </c>
      <c r="AH276" s="36" t="n">
        <f aca="false">IF($B276="",0,IF($G276="CARTAO",$F276,0)-IF($I276="CARTAO",$F276,0))</f>
        <v>0</v>
      </c>
      <c r="AI276" s="36" t="n">
        <f aca="false">IF($B276="",0,IF($I276="INVESTIMENTO",$F276,0)-IF($G276="INVESTIMENTO",$F276,0))</f>
        <v>0</v>
      </c>
      <c r="AJ276" s="35" t="str">
        <f aca="false">IF($B276="","",IF(NOT(ISNUMBER($F276)),"ERRO: valor nao numerico",IF($F276&lt;=0,"ERRO: valor deve ser maior que zero",IF(COUNTIF(MAP_TIPO,$D276)=0,"ERRO: tipo de operacao nao cadastrado",IF(COUNTIF(LST_STATUS,$E276)=0,"ERRO: status invalido",IF(AND($G276="EXTERNO",$I276="EXTERNO"),"ERRO: origem e destino externos",IF(AND($G276&lt;&gt;"EXTERNO",COUNTIFS(ENT_ID,$H276,ENT_TIPO,$G276)=0),"ERRO: origem inexistente",IF(AND($I276&lt;&gt;"EXTERNO",COUNTIFS(ENT_ID,$J276,ENT_TIPO,$I276)=0),"ERRO: destino inexistente",IF(AND($K276&lt;&gt;"",COUNTIF(CAT_ID,$K276)=0),"ERRO: categoria inexistente",IF(AND($L276&lt;&gt;"",COUNTIF(SUB_ID,$L276)=0),"ERRO: subcategoria inexistente",IF(AND($L276&lt;&gt;"",$K276&lt;&gt;"",IFERROR(INDEX(SUB_CATID,MATCH($L276,SUB_ID,0)),"")&lt;&gt;$K276),"ERRO: subcategoria nao pertence a categoria",IF(AND($O276&lt;&gt;"",COUNTIF(P_ID,$O276)=0),"ERRO: parcela inexistente",IF(AND($N276&lt;&gt;"",COUNTIF(CM_ID,$N276)=0),"ERRO: compromisso inexistente","OK")))))))))))))</f>
        <v/>
      </c>
      <c r="AK276" s="35" t="str">
        <f aca="false">IF($B276="","",IF(AND($N276="",$O276="",$P276="",$Q276="",$R276=""),"","VINCULADO: "&amp;TRIM(IF($N276&lt;&gt;"",$N276&amp;" ","")&amp;IF($O276&lt;&gt;"",$O276&amp;" ","")&amp;IF($P276&lt;&gt;"",$P276&amp;" ","")&amp;IF($Q276&lt;&gt;"",$Q276&amp;" ","")&amp;IF($R276&lt;&gt;"",$R276,""))))</f>
        <v/>
      </c>
    </row>
    <row r="277" customFormat="false" ht="15" hidden="false" customHeight="false" outlineLevel="0" collapsed="false">
      <c r="A277" s="30" t="str">
        <f aca="false">IF($B277="","","LAN-"&amp;TEXT(ROW()-4,"000000"))</f>
        <v/>
      </c>
      <c r="B277" s="31"/>
      <c r="C277" s="32"/>
      <c r="D277" s="32"/>
      <c r="E277" s="32"/>
      <c r="F277" s="33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4" t="str">
        <f aca="false">IF($B277="","",YEAR($B277))</f>
        <v/>
      </c>
      <c r="U277" s="34" t="str">
        <f aca="false">IF($B277="","",MONTH($B277))</f>
        <v/>
      </c>
      <c r="V277" s="34" t="str">
        <f aca="false">IF($B277="","",YEAR($B277)*100+MONTH($B277))</f>
        <v/>
      </c>
      <c r="W277" s="35" t="str">
        <f aca="false">IF($D277="","",IFERROR(INDEX(MAP_CLASS,MATCH($D277,MAP_TIPO,0)),"TIPO INVALIDO"))</f>
        <v/>
      </c>
      <c r="X277" s="35" t="str">
        <f aca="false">IF($K277="","",IFERROR(INDEX(CAT_NOME,MATCH($K277,CAT_ID,0)),"?"))</f>
        <v/>
      </c>
      <c r="Y277" s="35" t="str">
        <f aca="false">IF($L277="","",IFERROR(INDEX(SUB_NOME,MATCH($L277,SUB_ID,0)),"?"))</f>
        <v/>
      </c>
      <c r="Z277" s="35" t="str">
        <f aca="false">IF($G277="","",IF($G277="EXTERNO","(Externo)",IFERROR(INDEX(ENT_NOME,MATCH($H277,ENT_ID,0)),"?")))</f>
        <v/>
      </c>
      <c r="AA277" s="35" t="str">
        <f aca="false">IF($I277="","",IF($I277="EXTERNO","(Externo)",IFERROR(INDEX(ENT_NOME,MATCH($J277,ENT_ID,0)),"?")))</f>
        <v/>
      </c>
      <c r="AB277" s="36" t="n">
        <f aca="false">IF($B277="",0,IF(AND($I277="CONTA",$G277&lt;&gt;"CONTA"),$F277,0))</f>
        <v>0</v>
      </c>
      <c r="AC277" s="36" t="n">
        <f aca="false">IF($B277="",0,IF(AND($G277="CONTA",$I277&lt;&gt;"CONTA"),$F277,0))</f>
        <v>0</v>
      </c>
      <c r="AD277" s="36" t="n">
        <f aca="false">IF($W277="RECEITA",$F277,0)</f>
        <v>0</v>
      </c>
      <c r="AE277" s="36" t="n">
        <f aca="false">IF($W277="DESPESA",$F277,0)</f>
        <v>0</v>
      </c>
      <c r="AF277" s="36" t="n">
        <f aca="false">IF($W277="RECEITA_FINANCEIRA",$F277,0)</f>
        <v>0</v>
      </c>
      <c r="AG277" s="36" t="n">
        <f aca="false">IF($B277="",0,IF($I277="CONTA",$F277,0)-IF($G277="CONTA",$F277,0))</f>
        <v>0</v>
      </c>
      <c r="AH277" s="36" t="n">
        <f aca="false">IF($B277="",0,IF($G277="CARTAO",$F277,0)-IF($I277="CARTAO",$F277,0))</f>
        <v>0</v>
      </c>
      <c r="AI277" s="36" t="n">
        <f aca="false">IF($B277="",0,IF($I277="INVESTIMENTO",$F277,0)-IF($G277="INVESTIMENTO",$F277,0))</f>
        <v>0</v>
      </c>
      <c r="AJ277" s="35" t="str">
        <f aca="false">IF($B277="","",IF(NOT(ISNUMBER($F277)),"ERRO: valor nao numerico",IF($F277&lt;=0,"ERRO: valor deve ser maior que zero",IF(COUNTIF(MAP_TIPO,$D277)=0,"ERRO: tipo de operacao nao cadastrado",IF(COUNTIF(LST_STATUS,$E277)=0,"ERRO: status invalido",IF(AND($G277="EXTERNO",$I277="EXTERNO"),"ERRO: origem e destino externos",IF(AND($G277&lt;&gt;"EXTERNO",COUNTIFS(ENT_ID,$H277,ENT_TIPO,$G277)=0),"ERRO: origem inexistente",IF(AND($I277&lt;&gt;"EXTERNO",COUNTIFS(ENT_ID,$J277,ENT_TIPO,$I277)=0),"ERRO: destino inexistente",IF(AND($K277&lt;&gt;"",COUNTIF(CAT_ID,$K277)=0),"ERRO: categoria inexistente",IF(AND($L277&lt;&gt;"",COUNTIF(SUB_ID,$L277)=0),"ERRO: subcategoria inexistente",IF(AND($L277&lt;&gt;"",$K277&lt;&gt;"",IFERROR(INDEX(SUB_CATID,MATCH($L277,SUB_ID,0)),"")&lt;&gt;$K277),"ERRO: subcategoria nao pertence a categoria",IF(AND($O277&lt;&gt;"",COUNTIF(P_ID,$O277)=0),"ERRO: parcela inexistente",IF(AND($N277&lt;&gt;"",COUNTIF(CM_ID,$N277)=0),"ERRO: compromisso inexistente","OK")))))))))))))</f>
        <v/>
      </c>
      <c r="AK277" s="35" t="str">
        <f aca="false">IF($B277="","",IF(AND($N277="",$O277="",$P277="",$Q277="",$R277=""),"","VINCULADO: "&amp;TRIM(IF($N277&lt;&gt;"",$N277&amp;" ","")&amp;IF($O277&lt;&gt;"",$O277&amp;" ","")&amp;IF($P277&lt;&gt;"",$P277&amp;" ","")&amp;IF($Q277&lt;&gt;"",$Q277&amp;" ","")&amp;IF($R277&lt;&gt;"",$R277,""))))</f>
        <v/>
      </c>
    </row>
    <row r="278" customFormat="false" ht="15" hidden="false" customHeight="false" outlineLevel="0" collapsed="false">
      <c r="A278" s="30" t="str">
        <f aca="false">IF($B278="","","LAN-"&amp;TEXT(ROW()-4,"000000"))</f>
        <v/>
      </c>
      <c r="B278" s="31"/>
      <c r="C278" s="32"/>
      <c r="D278" s="32"/>
      <c r="E278" s="32"/>
      <c r="F278" s="33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4" t="str">
        <f aca="false">IF($B278="","",YEAR($B278))</f>
        <v/>
      </c>
      <c r="U278" s="34" t="str">
        <f aca="false">IF($B278="","",MONTH($B278))</f>
        <v/>
      </c>
      <c r="V278" s="34" t="str">
        <f aca="false">IF($B278="","",YEAR($B278)*100+MONTH($B278))</f>
        <v/>
      </c>
      <c r="W278" s="35" t="str">
        <f aca="false">IF($D278="","",IFERROR(INDEX(MAP_CLASS,MATCH($D278,MAP_TIPO,0)),"TIPO INVALIDO"))</f>
        <v/>
      </c>
      <c r="X278" s="35" t="str">
        <f aca="false">IF($K278="","",IFERROR(INDEX(CAT_NOME,MATCH($K278,CAT_ID,0)),"?"))</f>
        <v/>
      </c>
      <c r="Y278" s="35" t="str">
        <f aca="false">IF($L278="","",IFERROR(INDEX(SUB_NOME,MATCH($L278,SUB_ID,0)),"?"))</f>
        <v/>
      </c>
      <c r="Z278" s="35" t="str">
        <f aca="false">IF($G278="","",IF($G278="EXTERNO","(Externo)",IFERROR(INDEX(ENT_NOME,MATCH($H278,ENT_ID,0)),"?")))</f>
        <v/>
      </c>
      <c r="AA278" s="35" t="str">
        <f aca="false">IF($I278="","",IF($I278="EXTERNO","(Externo)",IFERROR(INDEX(ENT_NOME,MATCH($J278,ENT_ID,0)),"?")))</f>
        <v/>
      </c>
      <c r="AB278" s="36" t="n">
        <f aca="false">IF($B278="",0,IF(AND($I278="CONTA",$G278&lt;&gt;"CONTA"),$F278,0))</f>
        <v>0</v>
      </c>
      <c r="AC278" s="36" t="n">
        <f aca="false">IF($B278="",0,IF(AND($G278="CONTA",$I278&lt;&gt;"CONTA"),$F278,0))</f>
        <v>0</v>
      </c>
      <c r="AD278" s="36" t="n">
        <f aca="false">IF($W278="RECEITA",$F278,0)</f>
        <v>0</v>
      </c>
      <c r="AE278" s="36" t="n">
        <f aca="false">IF($W278="DESPESA",$F278,0)</f>
        <v>0</v>
      </c>
      <c r="AF278" s="36" t="n">
        <f aca="false">IF($W278="RECEITA_FINANCEIRA",$F278,0)</f>
        <v>0</v>
      </c>
      <c r="AG278" s="36" t="n">
        <f aca="false">IF($B278="",0,IF($I278="CONTA",$F278,0)-IF($G278="CONTA",$F278,0))</f>
        <v>0</v>
      </c>
      <c r="AH278" s="36" t="n">
        <f aca="false">IF($B278="",0,IF($G278="CARTAO",$F278,0)-IF($I278="CARTAO",$F278,0))</f>
        <v>0</v>
      </c>
      <c r="AI278" s="36" t="n">
        <f aca="false">IF($B278="",0,IF($I278="INVESTIMENTO",$F278,0)-IF($G278="INVESTIMENTO",$F278,0))</f>
        <v>0</v>
      </c>
      <c r="AJ278" s="35" t="str">
        <f aca="false">IF($B278="","",IF(NOT(ISNUMBER($F278)),"ERRO: valor nao numerico",IF($F278&lt;=0,"ERRO: valor deve ser maior que zero",IF(COUNTIF(MAP_TIPO,$D278)=0,"ERRO: tipo de operacao nao cadastrado",IF(COUNTIF(LST_STATUS,$E278)=0,"ERRO: status invalido",IF(AND($G278="EXTERNO",$I278="EXTERNO"),"ERRO: origem e destino externos",IF(AND($G278&lt;&gt;"EXTERNO",COUNTIFS(ENT_ID,$H278,ENT_TIPO,$G278)=0),"ERRO: origem inexistente",IF(AND($I278&lt;&gt;"EXTERNO",COUNTIFS(ENT_ID,$J278,ENT_TIPO,$I278)=0),"ERRO: destino inexistente",IF(AND($K278&lt;&gt;"",COUNTIF(CAT_ID,$K278)=0),"ERRO: categoria inexistente",IF(AND($L278&lt;&gt;"",COUNTIF(SUB_ID,$L278)=0),"ERRO: subcategoria inexistente",IF(AND($L278&lt;&gt;"",$K278&lt;&gt;"",IFERROR(INDEX(SUB_CATID,MATCH($L278,SUB_ID,0)),"")&lt;&gt;$K278),"ERRO: subcategoria nao pertence a categoria",IF(AND($O278&lt;&gt;"",COUNTIF(P_ID,$O278)=0),"ERRO: parcela inexistente",IF(AND($N278&lt;&gt;"",COUNTIF(CM_ID,$N278)=0),"ERRO: compromisso inexistente","OK")))))))))))))</f>
        <v/>
      </c>
      <c r="AK278" s="35" t="str">
        <f aca="false">IF($B278="","",IF(AND($N278="",$O278="",$P278="",$Q278="",$R278=""),"","VINCULADO: "&amp;TRIM(IF($N278&lt;&gt;"",$N278&amp;" ","")&amp;IF($O278&lt;&gt;"",$O278&amp;" ","")&amp;IF($P278&lt;&gt;"",$P278&amp;" ","")&amp;IF($Q278&lt;&gt;"",$Q278&amp;" ","")&amp;IF($R278&lt;&gt;"",$R278,""))))</f>
        <v/>
      </c>
    </row>
    <row r="279" customFormat="false" ht="15" hidden="false" customHeight="false" outlineLevel="0" collapsed="false">
      <c r="A279" s="30" t="str">
        <f aca="false">IF($B279="","","LAN-"&amp;TEXT(ROW()-4,"000000"))</f>
        <v/>
      </c>
      <c r="B279" s="31"/>
      <c r="C279" s="32"/>
      <c r="D279" s="32"/>
      <c r="E279" s="32"/>
      <c r="F279" s="33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4" t="str">
        <f aca="false">IF($B279="","",YEAR($B279))</f>
        <v/>
      </c>
      <c r="U279" s="34" t="str">
        <f aca="false">IF($B279="","",MONTH($B279))</f>
        <v/>
      </c>
      <c r="V279" s="34" t="str">
        <f aca="false">IF($B279="","",YEAR($B279)*100+MONTH($B279))</f>
        <v/>
      </c>
      <c r="W279" s="35" t="str">
        <f aca="false">IF($D279="","",IFERROR(INDEX(MAP_CLASS,MATCH($D279,MAP_TIPO,0)),"TIPO INVALIDO"))</f>
        <v/>
      </c>
      <c r="X279" s="35" t="str">
        <f aca="false">IF($K279="","",IFERROR(INDEX(CAT_NOME,MATCH($K279,CAT_ID,0)),"?"))</f>
        <v/>
      </c>
      <c r="Y279" s="35" t="str">
        <f aca="false">IF($L279="","",IFERROR(INDEX(SUB_NOME,MATCH($L279,SUB_ID,0)),"?"))</f>
        <v/>
      </c>
      <c r="Z279" s="35" t="str">
        <f aca="false">IF($G279="","",IF($G279="EXTERNO","(Externo)",IFERROR(INDEX(ENT_NOME,MATCH($H279,ENT_ID,0)),"?")))</f>
        <v/>
      </c>
      <c r="AA279" s="35" t="str">
        <f aca="false">IF($I279="","",IF($I279="EXTERNO","(Externo)",IFERROR(INDEX(ENT_NOME,MATCH($J279,ENT_ID,0)),"?")))</f>
        <v/>
      </c>
      <c r="AB279" s="36" t="n">
        <f aca="false">IF($B279="",0,IF(AND($I279="CONTA",$G279&lt;&gt;"CONTA"),$F279,0))</f>
        <v>0</v>
      </c>
      <c r="AC279" s="36" t="n">
        <f aca="false">IF($B279="",0,IF(AND($G279="CONTA",$I279&lt;&gt;"CONTA"),$F279,0))</f>
        <v>0</v>
      </c>
      <c r="AD279" s="36" t="n">
        <f aca="false">IF($W279="RECEITA",$F279,0)</f>
        <v>0</v>
      </c>
      <c r="AE279" s="36" t="n">
        <f aca="false">IF($W279="DESPESA",$F279,0)</f>
        <v>0</v>
      </c>
      <c r="AF279" s="36" t="n">
        <f aca="false">IF($W279="RECEITA_FINANCEIRA",$F279,0)</f>
        <v>0</v>
      </c>
      <c r="AG279" s="36" t="n">
        <f aca="false">IF($B279="",0,IF($I279="CONTA",$F279,0)-IF($G279="CONTA",$F279,0))</f>
        <v>0</v>
      </c>
      <c r="AH279" s="36" t="n">
        <f aca="false">IF($B279="",0,IF($G279="CARTAO",$F279,0)-IF($I279="CARTAO",$F279,0))</f>
        <v>0</v>
      </c>
      <c r="AI279" s="36" t="n">
        <f aca="false">IF($B279="",0,IF($I279="INVESTIMENTO",$F279,0)-IF($G279="INVESTIMENTO",$F279,0))</f>
        <v>0</v>
      </c>
      <c r="AJ279" s="35" t="str">
        <f aca="false">IF($B279="","",IF(NOT(ISNUMBER($F279)),"ERRO: valor nao numerico",IF($F279&lt;=0,"ERRO: valor deve ser maior que zero",IF(COUNTIF(MAP_TIPO,$D279)=0,"ERRO: tipo de operacao nao cadastrado",IF(COUNTIF(LST_STATUS,$E279)=0,"ERRO: status invalido",IF(AND($G279="EXTERNO",$I279="EXTERNO"),"ERRO: origem e destino externos",IF(AND($G279&lt;&gt;"EXTERNO",COUNTIFS(ENT_ID,$H279,ENT_TIPO,$G279)=0),"ERRO: origem inexistente",IF(AND($I279&lt;&gt;"EXTERNO",COUNTIFS(ENT_ID,$J279,ENT_TIPO,$I279)=0),"ERRO: destino inexistente",IF(AND($K279&lt;&gt;"",COUNTIF(CAT_ID,$K279)=0),"ERRO: categoria inexistente",IF(AND($L279&lt;&gt;"",COUNTIF(SUB_ID,$L279)=0),"ERRO: subcategoria inexistente",IF(AND($L279&lt;&gt;"",$K279&lt;&gt;"",IFERROR(INDEX(SUB_CATID,MATCH($L279,SUB_ID,0)),"")&lt;&gt;$K279),"ERRO: subcategoria nao pertence a categoria",IF(AND($O279&lt;&gt;"",COUNTIF(P_ID,$O279)=0),"ERRO: parcela inexistente",IF(AND($N279&lt;&gt;"",COUNTIF(CM_ID,$N279)=0),"ERRO: compromisso inexistente","OK")))))))))))))</f>
        <v/>
      </c>
      <c r="AK279" s="35" t="str">
        <f aca="false">IF($B279="","",IF(AND($N279="",$O279="",$P279="",$Q279="",$R279=""),"","VINCULADO: "&amp;TRIM(IF($N279&lt;&gt;"",$N279&amp;" ","")&amp;IF($O279&lt;&gt;"",$O279&amp;" ","")&amp;IF($P279&lt;&gt;"",$P279&amp;" ","")&amp;IF($Q279&lt;&gt;"",$Q279&amp;" ","")&amp;IF($R279&lt;&gt;"",$R279,""))))</f>
        <v/>
      </c>
    </row>
    <row r="280" customFormat="false" ht="15" hidden="false" customHeight="false" outlineLevel="0" collapsed="false">
      <c r="A280" s="30" t="str">
        <f aca="false">IF($B280="","","LAN-"&amp;TEXT(ROW()-4,"000000"))</f>
        <v/>
      </c>
      <c r="B280" s="31"/>
      <c r="C280" s="32"/>
      <c r="D280" s="32"/>
      <c r="E280" s="32"/>
      <c r="F280" s="33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4" t="str">
        <f aca="false">IF($B280="","",YEAR($B280))</f>
        <v/>
      </c>
      <c r="U280" s="34" t="str">
        <f aca="false">IF($B280="","",MONTH($B280))</f>
        <v/>
      </c>
      <c r="V280" s="34" t="str">
        <f aca="false">IF($B280="","",YEAR($B280)*100+MONTH($B280))</f>
        <v/>
      </c>
      <c r="W280" s="35" t="str">
        <f aca="false">IF($D280="","",IFERROR(INDEX(MAP_CLASS,MATCH($D280,MAP_TIPO,0)),"TIPO INVALIDO"))</f>
        <v/>
      </c>
      <c r="X280" s="35" t="str">
        <f aca="false">IF($K280="","",IFERROR(INDEX(CAT_NOME,MATCH($K280,CAT_ID,0)),"?"))</f>
        <v/>
      </c>
      <c r="Y280" s="35" t="str">
        <f aca="false">IF($L280="","",IFERROR(INDEX(SUB_NOME,MATCH($L280,SUB_ID,0)),"?"))</f>
        <v/>
      </c>
      <c r="Z280" s="35" t="str">
        <f aca="false">IF($G280="","",IF($G280="EXTERNO","(Externo)",IFERROR(INDEX(ENT_NOME,MATCH($H280,ENT_ID,0)),"?")))</f>
        <v/>
      </c>
      <c r="AA280" s="35" t="str">
        <f aca="false">IF($I280="","",IF($I280="EXTERNO","(Externo)",IFERROR(INDEX(ENT_NOME,MATCH($J280,ENT_ID,0)),"?")))</f>
        <v/>
      </c>
      <c r="AB280" s="36" t="n">
        <f aca="false">IF($B280="",0,IF(AND($I280="CONTA",$G280&lt;&gt;"CONTA"),$F280,0))</f>
        <v>0</v>
      </c>
      <c r="AC280" s="36" t="n">
        <f aca="false">IF($B280="",0,IF(AND($G280="CONTA",$I280&lt;&gt;"CONTA"),$F280,0))</f>
        <v>0</v>
      </c>
      <c r="AD280" s="36" t="n">
        <f aca="false">IF($W280="RECEITA",$F280,0)</f>
        <v>0</v>
      </c>
      <c r="AE280" s="36" t="n">
        <f aca="false">IF($W280="DESPESA",$F280,0)</f>
        <v>0</v>
      </c>
      <c r="AF280" s="36" t="n">
        <f aca="false">IF($W280="RECEITA_FINANCEIRA",$F280,0)</f>
        <v>0</v>
      </c>
      <c r="AG280" s="36" t="n">
        <f aca="false">IF($B280="",0,IF($I280="CONTA",$F280,0)-IF($G280="CONTA",$F280,0))</f>
        <v>0</v>
      </c>
      <c r="AH280" s="36" t="n">
        <f aca="false">IF($B280="",0,IF($G280="CARTAO",$F280,0)-IF($I280="CARTAO",$F280,0))</f>
        <v>0</v>
      </c>
      <c r="AI280" s="36" t="n">
        <f aca="false">IF($B280="",0,IF($I280="INVESTIMENTO",$F280,0)-IF($G280="INVESTIMENTO",$F280,0))</f>
        <v>0</v>
      </c>
      <c r="AJ280" s="35" t="str">
        <f aca="false">IF($B280="","",IF(NOT(ISNUMBER($F280)),"ERRO: valor nao numerico",IF($F280&lt;=0,"ERRO: valor deve ser maior que zero",IF(COUNTIF(MAP_TIPO,$D280)=0,"ERRO: tipo de operacao nao cadastrado",IF(COUNTIF(LST_STATUS,$E280)=0,"ERRO: status invalido",IF(AND($G280="EXTERNO",$I280="EXTERNO"),"ERRO: origem e destino externos",IF(AND($G280&lt;&gt;"EXTERNO",COUNTIFS(ENT_ID,$H280,ENT_TIPO,$G280)=0),"ERRO: origem inexistente",IF(AND($I280&lt;&gt;"EXTERNO",COUNTIFS(ENT_ID,$J280,ENT_TIPO,$I280)=0),"ERRO: destino inexistente",IF(AND($K280&lt;&gt;"",COUNTIF(CAT_ID,$K280)=0),"ERRO: categoria inexistente",IF(AND($L280&lt;&gt;"",COUNTIF(SUB_ID,$L280)=0),"ERRO: subcategoria inexistente",IF(AND($L280&lt;&gt;"",$K280&lt;&gt;"",IFERROR(INDEX(SUB_CATID,MATCH($L280,SUB_ID,0)),"")&lt;&gt;$K280),"ERRO: subcategoria nao pertence a categoria",IF(AND($O280&lt;&gt;"",COUNTIF(P_ID,$O280)=0),"ERRO: parcela inexistente",IF(AND($N280&lt;&gt;"",COUNTIF(CM_ID,$N280)=0),"ERRO: compromisso inexistente","OK")))))))))))))</f>
        <v/>
      </c>
      <c r="AK280" s="35" t="str">
        <f aca="false">IF($B280="","",IF(AND($N280="",$O280="",$P280="",$Q280="",$R280=""),"","VINCULADO: "&amp;TRIM(IF($N280&lt;&gt;"",$N280&amp;" ","")&amp;IF($O280&lt;&gt;"",$O280&amp;" ","")&amp;IF($P280&lt;&gt;"",$P280&amp;" ","")&amp;IF($Q280&lt;&gt;"",$Q280&amp;" ","")&amp;IF($R280&lt;&gt;"",$R280,""))))</f>
        <v/>
      </c>
    </row>
    <row r="281" customFormat="false" ht="15" hidden="false" customHeight="false" outlineLevel="0" collapsed="false">
      <c r="A281" s="30" t="str">
        <f aca="false">IF($B281="","","LAN-"&amp;TEXT(ROW()-4,"000000"))</f>
        <v/>
      </c>
      <c r="B281" s="31"/>
      <c r="C281" s="32"/>
      <c r="D281" s="32"/>
      <c r="E281" s="32"/>
      <c r="F281" s="33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4" t="str">
        <f aca="false">IF($B281="","",YEAR($B281))</f>
        <v/>
      </c>
      <c r="U281" s="34" t="str">
        <f aca="false">IF($B281="","",MONTH($B281))</f>
        <v/>
      </c>
      <c r="V281" s="34" t="str">
        <f aca="false">IF($B281="","",YEAR($B281)*100+MONTH($B281))</f>
        <v/>
      </c>
      <c r="W281" s="35" t="str">
        <f aca="false">IF($D281="","",IFERROR(INDEX(MAP_CLASS,MATCH($D281,MAP_TIPO,0)),"TIPO INVALIDO"))</f>
        <v/>
      </c>
      <c r="X281" s="35" t="str">
        <f aca="false">IF($K281="","",IFERROR(INDEX(CAT_NOME,MATCH($K281,CAT_ID,0)),"?"))</f>
        <v/>
      </c>
      <c r="Y281" s="35" t="str">
        <f aca="false">IF($L281="","",IFERROR(INDEX(SUB_NOME,MATCH($L281,SUB_ID,0)),"?"))</f>
        <v/>
      </c>
      <c r="Z281" s="35" t="str">
        <f aca="false">IF($G281="","",IF($G281="EXTERNO","(Externo)",IFERROR(INDEX(ENT_NOME,MATCH($H281,ENT_ID,0)),"?")))</f>
        <v/>
      </c>
      <c r="AA281" s="35" t="str">
        <f aca="false">IF($I281="","",IF($I281="EXTERNO","(Externo)",IFERROR(INDEX(ENT_NOME,MATCH($J281,ENT_ID,0)),"?")))</f>
        <v/>
      </c>
      <c r="AB281" s="36" t="n">
        <f aca="false">IF($B281="",0,IF(AND($I281="CONTA",$G281&lt;&gt;"CONTA"),$F281,0))</f>
        <v>0</v>
      </c>
      <c r="AC281" s="36" t="n">
        <f aca="false">IF($B281="",0,IF(AND($G281="CONTA",$I281&lt;&gt;"CONTA"),$F281,0))</f>
        <v>0</v>
      </c>
      <c r="AD281" s="36" t="n">
        <f aca="false">IF($W281="RECEITA",$F281,0)</f>
        <v>0</v>
      </c>
      <c r="AE281" s="36" t="n">
        <f aca="false">IF($W281="DESPESA",$F281,0)</f>
        <v>0</v>
      </c>
      <c r="AF281" s="36" t="n">
        <f aca="false">IF($W281="RECEITA_FINANCEIRA",$F281,0)</f>
        <v>0</v>
      </c>
      <c r="AG281" s="36" t="n">
        <f aca="false">IF($B281="",0,IF($I281="CONTA",$F281,0)-IF($G281="CONTA",$F281,0))</f>
        <v>0</v>
      </c>
      <c r="AH281" s="36" t="n">
        <f aca="false">IF($B281="",0,IF($G281="CARTAO",$F281,0)-IF($I281="CARTAO",$F281,0))</f>
        <v>0</v>
      </c>
      <c r="AI281" s="36" t="n">
        <f aca="false">IF($B281="",0,IF($I281="INVESTIMENTO",$F281,0)-IF($G281="INVESTIMENTO",$F281,0))</f>
        <v>0</v>
      </c>
      <c r="AJ281" s="35" t="str">
        <f aca="false">IF($B281="","",IF(NOT(ISNUMBER($F281)),"ERRO: valor nao numerico",IF($F281&lt;=0,"ERRO: valor deve ser maior que zero",IF(COUNTIF(MAP_TIPO,$D281)=0,"ERRO: tipo de operacao nao cadastrado",IF(COUNTIF(LST_STATUS,$E281)=0,"ERRO: status invalido",IF(AND($G281="EXTERNO",$I281="EXTERNO"),"ERRO: origem e destino externos",IF(AND($G281&lt;&gt;"EXTERNO",COUNTIFS(ENT_ID,$H281,ENT_TIPO,$G281)=0),"ERRO: origem inexistente",IF(AND($I281&lt;&gt;"EXTERNO",COUNTIFS(ENT_ID,$J281,ENT_TIPO,$I281)=0),"ERRO: destino inexistente",IF(AND($K281&lt;&gt;"",COUNTIF(CAT_ID,$K281)=0),"ERRO: categoria inexistente",IF(AND($L281&lt;&gt;"",COUNTIF(SUB_ID,$L281)=0),"ERRO: subcategoria inexistente",IF(AND($L281&lt;&gt;"",$K281&lt;&gt;"",IFERROR(INDEX(SUB_CATID,MATCH($L281,SUB_ID,0)),"")&lt;&gt;$K281),"ERRO: subcategoria nao pertence a categoria",IF(AND($O281&lt;&gt;"",COUNTIF(P_ID,$O281)=0),"ERRO: parcela inexistente",IF(AND($N281&lt;&gt;"",COUNTIF(CM_ID,$N281)=0),"ERRO: compromisso inexistente","OK")))))))))))))</f>
        <v/>
      </c>
      <c r="AK281" s="35" t="str">
        <f aca="false">IF($B281="","",IF(AND($N281="",$O281="",$P281="",$Q281="",$R281=""),"","VINCULADO: "&amp;TRIM(IF($N281&lt;&gt;"",$N281&amp;" ","")&amp;IF($O281&lt;&gt;"",$O281&amp;" ","")&amp;IF($P281&lt;&gt;"",$P281&amp;" ","")&amp;IF($Q281&lt;&gt;"",$Q281&amp;" ","")&amp;IF($R281&lt;&gt;"",$R281,""))))</f>
        <v/>
      </c>
    </row>
    <row r="282" customFormat="false" ht="15" hidden="false" customHeight="false" outlineLevel="0" collapsed="false">
      <c r="A282" s="30" t="str">
        <f aca="false">IF($B282="","","LAN-"&amp;TEXT(ROW()-4,"000000"))</f>
        <v/>
      </c>
      <c r="B282" s="31"/>
      <c r="C282" s="32"/>
      <c r="D282" s="32"/>
      <c r="E282" s="32"/>
      <c r="F282" s="33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4" t="str">
        <f aca="false">IF($B282="","",YEAR($B282))</f>
        <v/>
      </c>
      <c r="U282" s="34" t="str">
        <f aca="false">IF($B282="","",MONTH($B282))</f>
        <v/>
      </c>
      <c r="V282" s="34" t="str">
        <f aca="false">IF($B282="","",YEAR($B282)*100+MONTH($B282))</f>
        <v/>
      </c>
      <c r="W282" s="35" t="str">
        <f aca="false">IF($D282="","",IFERROR(INDEX(MAP_CLASS,MATCH($D282,MAP_TIPO,0)),"TIPO INVALIDO"))</f>
        <v/>
      </c>
      <c r="X282" s="35" t="str">
        <f aca="false">IF($K282="","",IFERROR(INDEX(CAT_NOME,MATCH($K282,CAT_ID,0)),"?"))</f>
        <v/>
      </c>
      <c r="Y282" s="35" t="str">
        <f aca="false">IF($L282="","",IFERROR(INDEX(SUB_NOME,MATCH($L282,SUB_ID,0)),"?"))</f>
        <v/>
      </c>
      <c r="Z282" s="35" t="str">
        <f aca="false">IF($G282="","",IF($G282="EXTERNO","(Externo)",IFERROR(INDEX(ENT_NOME,MATCH($H282,ENT_ID,0)),"?")))</f>
        <v/>
      </c>
      <c r="AA282" s="35" t="str">
        <f aca="false">IF($I282="","",IF($I282="EXTERNO","(Externo)",IFERROR(INDEX(ENT_NOME,MATCH($J282,ENT_ID,0)),"?")))</f>
        <v/>
      </c>
      <c r="AB282" s="36" t="n">
        <f aca="false">IF($B282="",0,IF(AND($I282="CONTA",$G282&lt;&gt;"CONTA"),$F282,0))</f>
        <v>0</v>
      </c>
      <c r="AC282" s="36" t="n">
        <f aca="false">IF($B282="",0,IF(AND($G282="CONTA",$I282&lt;&gt;"CONTA"),$F282,0))</f>
        <v>0</v>
      </c>
      <c r="AD282" s="36" t="n">
        <f aca="false">IF($W282="RECEITA",$F282,0)</f>
        <v>0</v>
      </c>
      <c r="AE282" s="36" t="n">
        <f aca="false">IF($W282="DESPESA",$F282,0)</f>
        <v>0</v>
      </c>
      <c r="AF282" s="36" t="n">
        <f aca="false">IF($W282="RECEITA_FINANCEIRA",$F282,0)</f>
        <v>0</v>
      </c>
      <c r="AG282" s="36" t="n">
        <f aca="false">IF($B282="",0,IF($I282="CONTA",$F282,0)-IF($G282="CONTA",$F282,0))</f>
        <v>0</v>
      </c>
      <c r="AH282" s="36" t="n">
        <f aca="false">IF($B282="",0,IF($G282="CARTAO",$F282,0)-IF($I282="CARTAO",$F282,0))</f>
        <v>0</v>
      </c>
      <c r="AI282" s="36" t="n">
        <f aca="false">IF($B282="",0,IF($I282="INVESTIMENTO",$F282,0)-IF($G282="INVESTIMENTO",$F282,0))</f>
        <v>0</v>
      </c>
      <c r="AJ282" s="35" t="str">
        <f aca="false">IF($B282="","",IF(NOT(ISNUMBER($F282)),"ERRO: valor nao numerico",IF($F282&lt;=0,"ERRO: valor deve ser maior que zero",IF(COUNTIF(MAP_TIPO,$D282)=0,"ERRO: tipo de operacao nao cadastrado",IF(COUNTIF(LST_STATUS,$E282)=0,"ERRO: status invalido",IF(AND($G282="EXTERNO",$I282="EXTERNO"),"ERRO: origem e destino externos",IF(AND($G282&lt;&gt;"EXTERNO",COUNTIFS(ENT_ID,$H282,ENT_TIPO,$G282)=0),"ERRO: origem inexistente",IF(AND($I282&lt;&gt;"EXTERNO",COUNTIFS(ENT_ID,$J282,ENT_TIPO,$I282)=0),"ERRO: destino inexistente",IF(AND($K282&lt;&gt;"",COUNTIF(CAT_ID,$K282)=0),"ERRO: categoria inexistente",IF(AND($L282&lt;&gt;"",COUNTIF(SUB_ID,$L282)=0),"ERRO: subcategoria inexistente",IF(AND($L282&lt;&gt;"",$K282&lt;&gt;"",IFERROR(INDEX(SUB_CATID,MATCH($L282,SUB_ID,0)),"")&lt;&gt;$K282),"ERRO: subcategoria nao pertence a categoria",IF(AND($O282&lt;&gt;"",COUNTIF(P_ID,$O282)=0),"ERRO: parcela inexistente",IF(AND($N282&lt;&gt;"",COUNTIF(CM_ID,$N282)=0),"ERRO: compromisso inexistente","OK")))))))))))))</f>
        <v/>
      </c>
      <c r="AK282" s="35" t="str">
        <f aca="false">IF($B282="","",IF(AND($N282="",$O282="",$P282="",$Q282="",$R282=""),"","VINCULADO: "&amp;TRIM(IF($N282&lt;&gt;"",$N282&amp;" ","")&amp;IF($O282&lt;&gt;"",$O282&amp;" ","")&amp;IF($P282&lt;&gt;"",$P282&amp;" ","")&amp;IF($Q282&lt;&gt;"",$Q282&amp;" ","")&amp;IF($R282&lt;&gt;"",$R282,""))))</f>
        <v/>
      </c>
    </row>
    <row r="283" customFormat="false" ht="15" hidden="false" customHeight="false" outlineLevel="0" collapsed="false">
      <c r="A283" s="30" t="str">
        <f aca="false">IF($B283="","","LAN-"&amp;TEXT(ROW()-4,"000000"))</f>
        <v/>
      </c>
      <c r="B283" s="31"/>
      <c r="C283" s="32"/>
      <c r="D283" s="32"/>
      <c r="E283" s="32"/>
      <c r="F283" s="33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4" t="str">
        <f aca="false">IF($B283="","",YEAR($B283))</f>
        <v/>
      </c>
      <c r="U283" s="34" t="str">
        <f aca="false">IF($B283="","",MONTH($B283))</f>
        <v/>
      </c>
      <c r="V283" s="34" t="str">
        <f aca="false">IF($B283="","",YEAR($B283)*100+MONTH($B283))</f>
        <v/>
      </c>
      <c r="W283" s="35" t="str">
        <f aca="false">IF($D283="","",IFERROR(INDEX(MAP_CLASS,MATCH($D283,MAP_TIPO,0)),"TIPO INVALIDO"))</f>
        <v/>
      </c>
      <c r="X283" s="35" t="str">
        <f aca="false">IF($K283="","",IFERROR(INDEX(CAT_NOME,MATCH($K283,CAT_ID,0)),"?"))</f>
        <v/>
      </c>
      <c r="Y283" s="35" t="str">
        <f aca="false">IF($L283="","",IFERROR(INDEX(SUB_NOME,MATCH($L283,SUB_ID,0)),"?"))</f>
        <v/>
      </c>
      <c r="Z283" s="35" t="str">
        <f aca="false">IF($G283="","",IF($G283="EXTERNO","(Externo)",IFERROR(INDEX(ENT_NOME,MATCH($H283,ENT_ID,0)),"?")))</f>
        <v/>
      </c>
      <c r="AA283" s="35" t="str">
        <f aca="false">IF($I283="","",IF($I283="EXTERNO","(Externo)",IFERROR(INDEX(ENT_NOME,MATCH($J283,ENT_ID,0)),"?")))</f>
        <v/>
      </c>
      <c r="AB283" s="36" t="n">
        <f aca="false">IF($B283="",0,IF(AND($I283="CONTA",$G283&lt;&gt;"CONTA"),$F283,0))</f>
        <v>0</v>
      </c>
      <c r="AC283" s="36" t="n">
        <f aca="false">IF($B283="",0,IF(AND($G283="CONTA",$I283&lt;&gt;"CONTA"),$F283,0))</f>
        <v>0</v>
      </c>
      <c r="AD283" s="36" t="n">
        <f aca="false">IF($W283="RECEITA",$F283,0)</f>
        <v>0</v>
      </c>
      <c r="AE283" s="36" t="n">
        <f aca="false">IF($W283="DESPESA",$F283,0)</f>
        <v>0</v>
      </c>
      <c r="AF283" s="36" t="n">
        <f aca="false">IF($W283="RECEITA_FINANCEIRA",$F283,0)</f>
        <v>0</v>
      </c>
      <c r="AG283" s="36" t="n">
        <f aca="false">IF($B283="",0,IF($I283="CONTA",$F283,0)-IF($G283="CONTA",$F283,0))</f>
        <v>0</v>
      </c>
      <c r="AH283" s="36" t="n">
        <f aca="false">IF($B283="",0,IF($G283="CARTAO",$F283,0)-IF($I283="CARTAO",$F283,0))</f>
        <v>0</v>
      </c>
      <c r="AI283" s="36" t="n">
        <f aca="false">IF($B283="",0,IF($I283="INVESTIMENTO",$F283,0)-IF($G283="INVESTIMENTO",$F283,0))</f>
        <v>0</v>
      </c>
      <c r="AJ283" s="35" t="str">
        <f aca="false">IF($B283="","",IF(NOT(ISNUMBER($F283)),"ERRO: valor nao numerico",IF($F283&lt;=0,"ERRO: valor deve ser maior que zero",IF(COUNTIF(MAP_TIPO,$D283)=0,"ERRO: tipo de operacao nao cadastrado",IF(COUNTIF(LST_STATUS,$E283)=0,"ERRO: status invalido",IF(AND($G283="EXTERNO",$I283="EXTERNO"),"ERRO: origem e destino externos",IF(AND($G283&lt;&gt;"EXTERNO",COUNTIFS(ENT_ID,$H283,ENT_TIPO,$G283)=0),"ERRO: origem inexistente",IF(AND($I283&lt;&gt;"EXTERNO",COUNTIFS(ENT_ID,$J283,ENT_TIPO,$I283)=0),"ERRO: destino inexistente",IF(AND($K283&lt;&gt;"",COUNTIF(CAT_ID,$K283)=0),"ERRO: categoria inexistente",IF(AND($L283&lt;&gt;"",COUNTIF(SUB_ID,$L283)=0),"ERRO: subcategoria inexistente",IF(AND($L283&lt;&gt;"",$K283&lt;&gt;"",IFERROR(INDEX(SUB_CATID,MATCH($L283,SUB_ID,0)),"")&lt;&gt;$K283),"ERRO: subcategoria nao pertence a categoria",IF(AND($O283&lt;&gt;"",COUNTIF(P_ID,$O283)=0),"ERRO: parcela inexistente",IF(AND($N283&lt;&gt;"",COUNTIF(CM_ID,$N283)=0),"ERRO: compromisso inexistente","OK")))))))))))))</f>
        <v/>
      </c>
      <c r="AK283" s="35" t="str">
        <f aca="false">IF($B283="","",IF(AND($N283="",$O283="",$P283="",$Q283="",$R283=""),"","VINCULADO: "&amp;TRIM(IF($N283&lt;&gt;"",$N283&amp;" ","")&amp;IF($O283&lt;&gt;"",$O283&amp;" ","")&amp;IF($P283&lt;&gt;"",$P283&amp;" ","")&amp;IF($Q283&lt;&gt;"",$Q283&amp;" ","")&amp;IF($R283&lt;&gt;"",$R283,""))))</f>
        <v/>
      </c>
    </row>
    <row r="284" customFormat="false" ht="15" hidden="false" customHeight="false" outlineLevel="0" collapsed="false">
      <c r="A284" s="30" t="str">
        <f aca="false">IF($B284="","","LAN-"&amp;TEXT(ROW()-4,"000000"))</f>
        <v/>
      </c>
      <c r="B284" s="31"/>
      <c r="C284" s="32"/>
      <c r="D284" s="32"/>
      <c r="E284" s="32"/>
      <c r="F284" s="33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4" t="str">
        <f aca="false">IF($B284="","",YEAR($B284))</f>
        <v/>
      </c>
      <c r="U284" s="34" t="str">
        <f aca="false">IF($B284="","",MONTH($B284))</f>
        <v/>
      </c>
      <c r="V284" s="34" t="str">
        <f aca="false">IF($B284="","",YEAR($B284)*100+MONTH($B284))</f>
        <v/>
      </c>
      <c r="W284" s="35" t="str">
        <f aca="false">IF($D284="","",IFERROR(INDEX(MAP_CLASS,MATCH($D284,MAP_TIPO,0)),"TIPO INVALIDO"))</f>
        <v/>
      </c>
      <c r="X284" s="35" t="str">
        <f aca="false">IF($K284="","",IFERROR(INDEX(CAT_NOME,MATCH($K284,CAT_ID,0)),"?"))</f>
        <v/>
      </c>
      <c r="Y284" s="35" t="str">
        <f aca="false">IF($L284="","",IFERROR(INDEX(SUB_NOME,MATCH($L284,SUB_ID,0)),"?"))</f>
        <v/>
      </c>
      <c r="Z284" s="35" t="str">
        <f aca="false">IF($G284="","",IF($G284="EXTERNO","(Externo)",IFERROR(INDEX(ENT_NOME,MATCH($H284,ENT_ID,0)),"?")))</f>
        <v/>
      </c>
      <c r="AA284" s="35" t="str">
        <f aca="false">IF($I284="","",IF($I284="EXTERNO","(Externo)",IFERROR(INDEX(ENT_NOME,MATCH($J284,ENT_ID,0)),"?")))</f>
        <v/>
      </c>
      <c r="AB284" s="36" t="n">
        <f aca="false">IF($B284="",0,IF(AND($I284="CONTA",$G284&lt;&gt;"CONTA"),$F284,0))</f>
        <v>0</v>
      </c>
      <c r="AC284" s="36" t="n">
        <f aca="false">IF($B284="",0,IF(AND($G284="CONTA",$I284&lt;&gt;"CONTA"),$F284,0))</f>
        <v>0</v>
      </c>
      <c r="AD284" s="36" t="n">
        <f aca="false">IF($W284="RECEITA",$F284,0)</f>
        <v>0</v>
      </c>
      <c r="AE284" s="36" t="n">
        <f aca="false">IF($W284="DESPESA",$F284,0)</f>
        <v>0</v>
      </c>
      <c r="AF284" s="36" t="n">
        <f aca="false">IF($W284="RECEITA_FINANCEIRA",$F284,0)</f>
        <v>0</v>
      </c>
      <c r="AG284" s="36" t="n">
        <f aca="false">IF($B284="",0,IF($I284="CONTA",$F284,0)-IF($G284="CONTA",$F284,0))</f>
        <v>0</v>
      </c>
      <c r="AH284" s="36" t="n">
        <f aca="false">IF($B284="",0,IF($G284="CARTAO",$F284,0)-IF($I284="CARTAO",$F284,0))</f>
        <v>0</v>
      </c>
      <c r="AI284" s="36" t="n">
        <f aca="false">IF($B284="",0,IF($I284="INVESTIMENTO",$F284,0)-IF($G284="INVESTIMENTO",$F284,0))</f>
        <v>0</v>
      </c>
      <c r="AJ284" s="35" t="str">
        <f aca="false">IF($B284="","",IF(NOT(ISNUMBER($F284)),"ERRO: valor nao numerico",IF($F284&lt;=0,"ERRO: valor deve ser maior que zero",IF(COUNTIF(MAP_TIPO,$D284)=0,"ERRO: tipo de operacao nao cadastrado",IF(COUNTIF(LST_STATUS,$E284)=0,"ERRO: status invalido",IF(AND($G284="EXTERNO",$I284="EXTERNO"),"ERRO: origem e destino externos",IF(AND($G284&lt;&gt;"EXTERNO",COUNTIFS(ENT_ID,$H284,ENT_TIPO,$G284)=0),"ERRO: origem inexistente",IF(AND($I284&lt;&gt;"EXTERNO",COUNTIFS(ENT_ID,$J284,ENT_TIPO,$I284)=0),"ERRO: destino inexistente",IF(AND($K284&lt;&gt;"",COUNTIF(CAT_ID,$K284)=0),"ERRO: categoria inexistente",IF(AND($L284&lt;&gt;"",COUNTIF(SUB_ID,$L284)=0),"ERRO: subcategoria inexistente",IF(AND($L284&lt;&gt;"",$K284&lt;&gt;"",IFERROR(INDEX(SUB_CATID,MATCH($L284,SUB_ID,0)),"")&lt;&gt;$K284),"ERRO: subcategoria nao pertence a categoria",IF(AND($O284&lt;&gt;"",COUNTIF(P_ID,$O284)=0),"ERRO: parcela inexistente",IF(AND($N284&lt;&gt;"",COUNTIF(CM_ID,$N284)=0),"ERRO: compromisso inexistente","OK")))))))))))))</f>
        <v/>
      </c>
      <c r="AK284" s="35" t="str">
        <f aca="false">IF($B284="","",IF(AND($N284="",$O284="",$P284="",$Q284="",$R284=""),"","VINCULADO: "&amp;TRIM(IF($N284&lt;&gt;"",$N284&amp;" ","")&amp;IF($O284&lt;&gt;"",$O284&amp;" ","")&amp;IF($P284&lt;&gt;"",$P284&amp;" ","")&amp;IF($Q284&lt;&gt;"",$Q284&amp;" ","")&amp;IF($R284&lt;&gt;"",$R284,""))))</f>
        <v/>
      </c>
    </row>
    <row r="285" customFormat="false" ht="15" hidden="false" customHeight="false" outlineLevel="0" collapsed="false">
      <c r="A285" s="30" t="str">
        <f aca="false">IF($B285="","","LAN-"&amp;TEXT(ROW()-4,"000000"))</f>
        <v/>
      </c>
      <c r="B285" s="31"/>
      <c r="C285" s="32"/>
      <c r="D285" s="32"/>
      <c r="E285" s="32"/>
      <c r="F285" s="33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4" t="str">
        <f aca="false">IF($B285="","",YEAR($B285))</f>
        <v/>
      </c>
      <c r="U285" s="34" t="str">
        <f aca="false">IF($B285="","",MONTH($B285))</f>
        <v/>
      </c>
      <c r="V285" s="34" t="str">
        <f aca="false">IF($B285="","",YEAR($B285)*100+MONTH($B285))</f>
        <v/>
      </c>
      <c r="W285" s="35" t="str">
        <f aca="false">IF($D285="","",IFERROR(INDEX(MAP_CLASS,MATCH($D285,MAP_TIPO,0)),"TIPO INVALIDO"))</f>
        <v/>
      </c>
      <c r="X285" s="35" t="str">
        <f aca="false">IF($K285="","",IFERROR(INDEX(CAT_NOME,MATCH($K285,CAT_ID,0)),"?"))</f>
        <v/>
      </c>
      <c r="Y285" s="35" t="str">
        <f aca="false">IF($L285="","",IFERROR(INDEX(SUB_NOME,MATCH($L285,SUB_ID,0)),"?"))</f>
        <v/>
      </c>
      <c r="Z285" s="35" t="str">
        <f aca="false">IF($G285="","",IF($G285="EXTERNO","(Externo)",IFERROR(INDEX(ENT_NOME,MATCH($H285,ENT_ID,0)),"?")))</f>
        <v/>
      </c>
      <c r="AA285" s="35" t="str">
        <f aca="false">IF($I285="","",IF($I285="EXTERNO","(Externo)",IFERROR(INDEX(ENT_NOME,MATCH($J285,ENT_ID,0)),"?")))</f>
        <v/>
      </c>
      <c r="AB285" s="36" t="n">
        <f aca="false">IF($B285="",0,IF(AND($I285="CONTA",$G285&lt;&gt;"CONTA"),$F285,0))</f>
        <v>0</v>
      </c>
      <c r="AC285" s="36" t="n">
        <f aca="false">IF($B285="",0,IF(AND($G285="CONTA",$I285&lt;&gt;"CONTA"),$F285,0))</f>
        <v>0</v>
      </c>
      <c r="AD285" s="36" t="n">
        <f aca="false">IF($W285="RECEITA",$F285,0)</f>
        <v>0</v>
      </c>
      <c r="AE285" s="36" t="n">
        <f aca="false">IF($W285="DESPESA",$F285,0)</f>
        <v>0</v>
      </c>
      <c r="AF285" s="36" t="n">
        <f aca="false">IF($W285="RECEITA_FINANCEIRA",$F285,0)</f>
        <v>0</v>
      </c>
      <c r="AG285" s="36" t="n">
        <f aca="false">IF($B285="",0,IF($I285="CONTA",$F285,0)-IF($G285="CONTA",$F285,0))</f>
        <v>0</v>
      </c>
      <c r="AH285" s="36" t="n">
        <f aca="false">IF($B285="",0,IF($G285="CARTAO",$F285,0)-IF($I285="CARTAO",$F285,0))</f>
        <v>0</v>
      </c>
      <c r="AI285" s="36" t="n">
        <f aca="false">IF($B285="",0,IF($I285="INVESTIMENTO",$F285,0)-IF($G285="INVESTIMENTO",$F285,0))</f>
        <v>0</v>
      </c>
      <c r="AJ285" s="35" t="str">
        <f aca="false">IF($B285="","",IF(NOT(ISNUMBER($F285)),"ERRO: valor nao numerico",IF($F285&lt;=0,"ERRO: valor deve ser maior que zero",IF(COUNTIF(MAP_TIPO,$D285)=0,"ERRO: tipo de operacao nao cadastrado",IF(COUNTIF(LST_STATUS,$E285)=0,"ERRO: status invalido",IF(AND($G285="EXTERNO",$I285="EXTERNO"),"ERRO: origem e destino externos",IF(AND($G285&lt;&gt;"EXTERNO",COUNTIFS(ENT_ID,$H285,ENT_TIPO,$G285)=0),"ERRO: origem inexistente",IF(AND($I285&lt;&gt;"EXTERNO",COUNTIFS(ENT_ID,$J285,ENT_TIPO,$I285)=0),"ERRO: destino inexistente",IF(AND($K285&lt;&gt;"",COUNTIF(CAT_ID,$K285)=0),"ERRO: categoria inexistente",IF(AND($L285&lt;&gt;"",COUNTIF(SUB_ID,$L285)=0),"ERRO: subcategoria inexistente",IF(AND($L285&lt;&gt;"",$K285&lt;&gt;"",IFERROR(INDEX(SUB_CATID,MATCH($L285,SUB_ID,0)),"")&lt;&gt;$K285),"ERRO: subcategoria nao pertence a categoria",IF(AND($O285&lt;&gt;"",COUNTIF(P_ID,$O285)=0),"ERRO: parcela inexistente",IF(AND($N285&lt;&gt;"",COUNTIF(CM_ID,$N285)=0),"ERRO: compromisso inexistente","OK")))))))))))))</f>
        <v/>
      </c>
      <c r="AK285" s="35" t="str">
        <f aca="false">IF($B285="","",IF(AND($N285="",$O285="",$P285="",$Q285="",$R285=""),"","VINCULADO: "&amp;TRIM(IF($N285&lt;&gt;"",$N285&amp;" ","")&amp;IF($O285&lt;&gt;"",$O285&amp;" ","")&amp;IF($P285&lt;&gt;"",$P285&amp;" ","")&amp;IF($Q285&lt;&gt;"",$Q285&amp;" ","")&amp;IF($R285&lt;&gt;"",$R285,""))))</f>
        <v/>
      </c>
    </row>
    <row r="286" customFormat="false" ht="15" hidden="false" customHeight="false" outlineLevel="0" collapsed="false">
      <c r="A286" s="30" t="str">
        <f aca="false">IF($B286="","","LAN-"&amp;TEXT(ROW()-4,"000000"))</f>
        <v/>
      </c>
      <c r="B286" s="31"/>
      <c r="C286" s="32"/>
      <c r="D286" s="32"/>
      <c r="E286" s="32"/>
      <c r="F286" s="33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4" t="str">
        <f aca="false">IF($B286="","",YEAR($B286))</f>
        <v/>
      </c>
      <c r="U286" s="34" t="str">
        <f aca="false">IF($B286="","",MONTH($B286))</f>
        <v/>
      </c>
      <c r="V286" s="34" t="str">
        <f aca="false">IF($B286="","",YEAR($B286)*100+MONTH($B286))</f>
        <v/>
      </c>
      <c r="W286" s="35" t="str">
        <f aca="false">IF($D286="","",IFERROR(INDEX(MAP_CLASS,MATCH($D286,MAP_TIPO,0)),"TIPO INVALIDO"))</f>
        <v/>
      </c>
      <c r="X286" s="35" t="str">
        <f aca="false">IF($K286="","",IFERROR(INDEX(CAT_NOME,MATCH($K286,CAT_ID,0)),"?"))</f>
        <v/>
      </c>
      <c r="Y286" s="35" t="str">
        <f aca="false">IF($L286="","",IFERROR(INDEX(SUB_NOME,MATCH($L286,SUB_ID,0)),"?"))</f>
        <v/>
      </c>
      <c r="Z286" s="35" t="str">
        <f aca="false">IF($G286="","",IF($G286="EXTERNO","(Externo)",IFERROR(INDEX(ENT_NOME,MATCH($H286,ENT_ID,0)),"?")))</f>
        <v/>
      </c>
      <c r="AA286" s="35" t="str">
        <f aca="false">IF($I286="","",IF($I286="EXTERNO","(Externo)",IFERROR(INDEX(ENT_NOME,MATCH($J286,ENT_ID,0)),"?")))</f>
        <v/>
      </c>
      <c r="AB286" s="36" t="n">
        <f aca="false">IF($B286="",0,IF(AND($I286="CONTA",$G286&lt;&gt;"CONTA"),$F286,0))</f>
        <v>0</v>
      </c>
      <c r="AC286" s="36" t="n">
        <f aca="false">IF($B286="",0,IF(AND($G286="CONTA",$I286&lt;&gt;"CONTA"),$F286,0))</f>
        <v>0</v>
      </c>
      <c r="AD286" s="36" t="n">
        <f aca="false">IF($W286="RECEITA",$F286,0)</f>
        <v>0</v>
      </c>
      <c r="AE286" s="36" t="n">
        <f aca="false">IF($W286="DESPESA",$F286,0)</f>
        <v>0</v>
      </c>
      <c r="AF286" s="36" t="n">
        <f aca="false">IF($W286="RECEITA_FINANCEIRA",$F286,0)</f>
        <v>0</v>
      </c>
      <c r="AG286" s="36" t="n">
        <f aca="false">IF($B286="",0,IF($I286="CONTA",$F286,0)-IF($G286="CONTA",$F286,0))</f>
        <v>0</v>
      </c>
      <c r="AH286" s="36" t="n">
        <f aca="false">IF($B286="",0,IF($G286="CARTAO",$F286,0)-IF($I286="CARTAO",$F286,0))</f>
        <v>0</v>
      </c>
      <c r="AI286" s="36" t="n">
        <f aca="false">IF($B286="",0,IF($I286="INVESTIMENTO",$F286,0)-IF($G286="INVESTIMENTO",$F286,0))</f>
        <v>0</v>
      </c>
      <c r="AJ286" s="35" t="str">
        <f aca="false">IF($B286="","",IF(NOT(ISNUMBER($F286)),"ERRO: valor nao numerico",IF($F286&lt;=0,"ERRO: valor deve ser maior que zero",IF(COUNTIF(MAP_TIPO,$D286)=0,"ERRO: tipo de operacao nao cadastrado",IF(COUNTIF(LST_STATUS,$E286)=0,"ERRO: status invalido",IF(AND($G286="EXTERNO",$I286="EXTERNO"),"ERRO: origem e destino externos",IF(AND($G286&lt;&gt;"EXTERNO",COUNTIFS(ENT_ID,$H286,ENT_TIPO,$G286)=0),"ERRO: origem inexistente",IF(AND($I286&lt;&gt;"EXTERNO",COUNTIFS(ENT_ID,$J286,ENT_TIPO,$I286)=0),"ERRO: destino inexistente",IF(AND($K286&lt;&gt;"",COUNTIF(CAT_ID,$K286)=0),"ERRO: categoria inexistente",IF(AND($L286&lt;&gt;"",COUNTIF(SUB_ID,$L286)=0),"ERRO: subcategoria inexistente",IF(AND($L286&lt;&gt;"",$K286&lt;&gt;"",IFERROR(INDEX(SUB_CATID,MATCH($L286,SUB_ID,0)),"")&lt;&gt;$K286),"ERRO: subcategoria nao pertence a categoria",IF(AND($O286&lt;&gt;"",COUNTIF(P_ID,$O286)=0),"ERRO: parcela inexistente",IF(AND($N286&lt;&gt;"",COUNTIF(CM_ID,$N286)=0),"ERRO: compromisso inexistente","OK")))))))))))))</f>
        <v/>
      </c>
      <c r="AK286" s="35" t="str">
        <f aca="false">IF($B286="","",IF(AND($N286="",$O286="",$P286="",$Q286="",$R286=""),"","VINCULADO: "&amp;TRIM(IF($N286&lt;&gt;"",$N286&amp;" ","")&amp;IF($O286&lt;&gt;"",$O286&amp;" ","")&amp;IF($P286&lt;&gt;"",$P286&amp;" ","")&amp;IF($Q286&lt;&gt;"",$Q286&amp;" ","")&amp;IF($R286&lt;&gt;"",$R286,""))))</f>
        <v/>
      </c>
    </row>
    <row r="287" customFormat="false" ht="15" hidden="false" customHeight="false" outlineLevel="0" collapsed="false">
      <c r="A287" s="30" t="str">
        <f aca="false">IF($B287="","","LAN-"&amp;TEXT(ROW()-4,"000000"))</f>
        <v/>
      </c>
      <c r="B287" s="31"/>
      <c r="C287" s="32"/>
      <c r="D287" s="32"/>
      <c r="E287" s="32"/>
      <c r="F287" s="33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4" t="str">
        <f aca="false">IF($B287="","",YEAR($B287))</f>
        <v/>
      </c>
      <c r="U287" s="34" t="str">
        <f aca="false">IF($B287="","",MONTH($B287))</f>
        <v/>
      </c>
      <c r="V287" s="34" t="str">
        <f aca="false">IF($B287="","",YEAR($B287)*100+MONTH($B287))</f>
        <v/>
      </c>
      <c r="W287" s="35" t="str">
        <f aca="false">IF($D287="","",IFERROR(INDEX(MAP_CLASS,MATCH($D287,MAP_TIPO,0)),"TIPO INVALIDO"))</f>
        <v/>
      </c>
      <c r="X287" s="35" t="str">
        <f aca="false">IF($K287="","",IFERROR(INDEX(CAT_NOME,MATCH($K287,CAT_ID,0)),"?"))</f>
        <v/>
      </c>
      <c r="Y287" s="35" t="str">
        <f aca="false">IF($L287="","",IFERROR(INDEX(SUB_NOME,MATCH($L287,SUB_ID,0)),"?"))</f>
        <v/>
      </c>
      <c r="Z287" s="35" t="str">
        <f aca="false">IF($G287="","",IF($G287="EXTERNO","(Externo)",IFERROR(INDEX(ENT_NOME,MATCH($H287,ENT_ID,0)),"?")))</f>
        <v/>
      </c>
      <c r="AA287" s="35" t="str">
        <f aca="false">IF($I287="","",IF($I287="EXTERNO","(Externo)",IFERROR(INDEX(ENT_NOME,MATCH($J287,ENT_ID,0)),"?")))</f>
        <v/>
      </c>
      <c r="AB287" s="36" t="n">
        <f aca="false">IF($B287="",0,IF(AND($I287="CONTA",$G287&lt;&gt;"CONTA"),$F287,0))</f>
        <v>0</v>
      </c>
      <c r="AC287" s="36" t="n">
        <f aca="false">IF($B287="",0,IF(AND($G287="CONTA",$I287&lt;&gt;"CONTA"),$F287,0))</f>
        <v>0</v>
      </c>
      <c r="AD287" s="36" t="n">
        <f aca="false">IF($W287="RECEITA",$F287,0)</f>
        <v>0</v>
      </c>
      <c r="AE287" s="36" t="n">
        <f aca="false">IF($W287="DESPESA",$F287,0)</f>
        <v>0</v>
      </c>
      <c r="AF287" s="36" t="n">
        <f aca="false">IF($W287="RECEITA_FINANCEIRA",$F287,0)</f>
        <v>0</v>
      </c>
      <c r="AG287" s="36" t="n">
        <f aca="false">IF($B287="",0,IF($I287="CONTA",$F287,0)-IF($G287="CONTA",$F287,0))</f>
        <v>0</v>
      </c>
      <c r="AH287" s="36" t="n">
        <f aca="false">IF($B287="",0,IF($G287="CARTAO",$F287,0)-IF($I287="CARTAO",$F287,0))</f>
        <v>0</v>
      </c>
      <c r="AI287" s="36" t="n">
        <f aca="false">IF($B287="",0,IF($I287="INVESTIMENTO",$F287,0)-IF($G287="INVESTIMENTO",$F287,0))</f>
        <v>0</v>
      </c>
      <c r="AJ287" s="35" t="str">
        <f aca="false">IF($B287="","",IF(NOT(ISNUMBER($F287)),"ERRO: valor nao numerico",IF($F287&lt;=0,"ERRO: valor deve ser maior que zero",IF(COUNTIF(MAP_TIPO,$D287)=0,"ERRO: tipo de operacao nao cadastrado",IF(COUNTIF(LST_STATUS,$E287)=0,"ERRO: status invalido",IF(AND($G287="EXTERNO",$I287="EXTERNO"),"ERRO: origem e destino externos",IF(AND($G287&lt;&gt;"EXTERNO",COUNTIFS(ENT_ID,$H287,ENT_TIPO,$G287)=0),"ERRO: origem inexistente",IF(AND($I287&lt;&gt;"EXTERNO",COUNTIFS(ENT_ID,$J287,ENT_TIPO,$I287)=0),"ERRO: destino inexistente",IF(AND($K287&lt;&gt;"",COUNTIF(CAT_ID,$K287)=0),"ERRO: categoria inexistente",IF(AND($L287&lt;&gt;"",COUNTIF(SUB_ID,$L287)=0),"ERRO: subcategoria inexistente",IF(AND($L287&lt;&gt;"",$K287&lt;&gt;"",IFERROR(INDEX(SUB_CATID,MATCH($L287,SUB_ID,0)),"")&lt;&gt;$K287),"ERRO: subcategoria nao pertence a categoria",IF(AND($O287&lt;&gt;"",COUNTIF(P_ID,$O287)=0),"ERRO: parcela inexistente",IF(AND($N287&lt;&gt;"",COUNTIF(CM_ID,$N287)=0),"ERRO: compromisso inexistente","OK")))))))))))))</f>
        <v/>
      </c>
      <c r="AK287" s="35" t="str">
        <f aca="false">IF($B287="","",IF(AND($N287="",$O287="",$P287="",$Q287="",$R287=""),"","VINCULADO: "&amp;TRIM(IF($N287&lt;&gt;"",$N287&amp;" ","")&amp;IF($O287&lt;&gt;"",$O287&amp;" ","")&amp;IF($P287&lt;&gt;"",$P287&amp;" ","")&amp;IF($Q287&lt;&gt;"",$Q287&amp;" ","")&amp;IF($R287&lt;&gt;"",$R287,""))))</f>
        <v/>
      </c>
    </row>
    <row r="288" customFormat="false" ht="15" hidden="false" customHeight="false" outlineLevel="0" collapsed="false">
      <c r="A288" s="30" t="str">
        <f aca="false">IF($B288="","","LAN-"&amp;TEXT(ROW()-4,"000000"))</f>
        <v/>
      </c>
      <c r="B288" s="31"/>
      <c r="C288" s="32"/>
      <c r="D288" s="32"/>
      <c r="E288" s="32"/>
      <c r="F288" s="33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4" t="str">
        <f aca="false">IF($B288="","",YEAR($B288))</f>
        <v/>
      </c>
      <c r="U288" s="34" t="str">
        <f aca="false">IF($B288="","",MONTH($B288))</f>
        <v/>
      </c>
      <c r="V288" s="34" t="str">
        <f aca="false">IF($B288="","",YEAR($B288)*100+MONTH($B288))</f>
        <v/>
      </c>
      <c r="W288" s="35" t="str">
        <f aca="false">IF($D288="","",IFERROR(INDEX(MAP_CLASS,MATCH($D288,MAP_TIPO,0)),"TIPO INVALIDO"))</f>
        <v/>
      </c>
      <c r="X288" s="35" t="str">
        <f aca="false">IF($K288="","",IFERROR(INDEX(CAT_NOME,MATCH($K288,CAT_ID,0)),"?"))</f>
        <v/>
      </c>
      <c r="Y288" s="35" t="str">
        <f aca="false">IF($L288="","",IFERROR(INDEX(SUB_NOME,MATCH($L288,SUB_ID,0)),"?"))</f>
        <v/>
      </c>
      <c r="Z288" s="35" t="str">
        <f aca="false">IF($G288="","",IF($G288="EXTERNO","(Externo)",IFERROR(INDEX(ENT_NOME,MATCH($H288,ENT_ID,0)),"?")))</f>
        <v/>
      </c>
      <c r="AA288" s="35" t="str">
        <f aca="false">IF($I288="","",IF($I288="EXTERNO","(Externo)",IFERROR(INDEX(ENT_NOME,MATCH($J288,ENT_ID,0)),"?")))</f>
        <v/>
      </c>
      <c r="AB288" s="36" t="n">
        <f aca="false">IF($B288="",0,IF(AND($I288="CONTA",$G288&lt;&gt;"CONTA"),$F288,0))</f>
        <v>0</v>
      </c>
      <c r="AC288" s="36" t="n">
        <f aca="false">IF($B288="",0,IF(AND($G288="CONTA",$I288&lt;&gt;"CONTA"),$F288,0))</f>
        <v>0</v>
      </c>
      <c r="AD288" s="36" t="n">
        <f aca="false">IF($W288="RECEITA",$F288,0)</f>
        <v>0</v>
      </c>
      <c r="AE288" s="36" t="n">
        <f aca="false">IF($W288="DESPESA",$F288,0)</f>
        <v>0</v>
      </c>
      <c r="AF288" s="36" t="n">
        <f aca="false">IF($W288="RECEITA_FINANCEIRA",$F288,0)</f>
        <v>0</v>
      </c>
      <c r="AG288" s="36" t="n">
        <f aca="false">IF($B288="",0,IF($I288="CONTA",$F288,0)-IF($G288="CONTA",$F288,0))</f>
        <v>0</v>
      </c>
      <c r="AH288" s="36" t="n">
        <f aca="false">IF($B288="",0,IF($G288="CARTAO",$F288,0)-IF($I288="CARTAO",$F288,0))</f>
        <v>0</v>
      </c>
      <c r="AI288" s="36" t="n">
        <f aca="false">IF($B288="",0,IF($I288="INVESTIMENTO",$F288,0)-IF($G288="INVESTIMENTO",$F288,0))</f>
        <v>0</v>
      </c>
      <c r="AJ288" s="35" t="str">
        <f aca="false">IF($B288="","",IF(NOT(ISNUMBER($F288)),"ERRO: valor nao numerico",IF($F288&lt;=0,"ERRO: valor deve ser maior que zero",IF(COUNTIF(MAP_TIPO,$D288)=0,"ERRO: tipo de operacao nao cadastrado",IF(COUNTIF(LST_STATUS,$E288)=0,"ERRO: status invalido",IF(AND($G288="EXTERNO",$I288="EXTERNO"),"ERRO: origem e destino externos",IF(AND($G288&lt;&gt;"EXTERNO",COUNTIFS(ENT_ID,$H288,ENT_TIPO,$G288)=0),"ERRO: origem inexistente",IF(AND($I288&lt;&gt;"EXTERNO",COUNTIFS(ENT_ID,$J288,ENT_TIPO,$I288)=0),"ERRO: destino inexistente",IF(AND($K288&lt;&gt;"",COUNTIF(CAT_ID,$K288)=0),"ERRO: categoria inexistente",IF(AND($L288&lt;&gt;"",COUNTIF(SUB_ID,$L288)=0),"ERRO: subcategoria inexistente",IF(AND($L288&lt;&gt;"",$K288&lt;&gt;"",IFERROR(INDEX(SUB_CATID,MATCH($L288,SUB_ID,0)),"")&lt;&gt;$K288),"ERRO: subcategoria nao pertence a categoria",IF(AND($O288&lt;&gt;"",COUNTIF(P_ID,$O288)=0),"ERRO: parcela inexistente",IF(AND($N288&lt;&gt;"",COUNTIF(CM_ID,$N288)=0),"ERRO: compromisso inexistente","OK")))))))))))))</f>
        <v/>
      </c>
      <c r="AK288" s="35" t="str">
        <f aca="false">IF($B288="","",IF(AND($N288="",$O288="",$P288="",$Q288="",$R288=""),"","VINCULADO: "&amp;TRIM(IF($N288&lt;&gt;"",$N288&amp;" ","")&amp;IF($O288&lt;&gt;"",$O288&amp;" ","")&amp;IF($P288&lt;&gt;"",$P288&amp;" ","")&amp;IF($Q288&lt;&gt;"",$Q288&amp;" ","")&amp;IF($R288&lt;&gt;"",$R288,""))))</f>
        <v/>
      </c>
    </row>
    <row r="289" customFormat="false" ht="15" hidden="false" customHeight="false" outlineLevel="0" collapsed="false">
      <c r="A289" s="30" t="str">
        <f aca="false">IF($B289="","","LAN-"&amp;TEXT(ROW()-4,"000000"))</f>
        <v/>
      </c>
      <c r="B289" s="31"/>
      <c r="C289" s="32"/>
      <c r="D289" s="32"/>
      <c r="E289" s="32"/>
      <c r="F289" s="33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4" t="str">
        <f aca="false">IF($B289="","",YEAR($B289))</f>
        <v/>
      </c>
      <c r="U289" s="34" t="str">
        <f aca="false">IF($B289="","",MONTH($B289))</f>
        <v/>
      </c>
      <c r="V289" s="34" t="str">
        <f aca="false">IF($B289="","",YEAR($B289)*100+MONTH($B289))</f>
        <v/>
      </c>
      <c r="W289" s="35" t="str">
        <f aca="false">IF($D289="","",IFERROR(INDEX(MAP_CLASS,MATCH($D289,MAP_TIPO,0)),"TIPO INVALIDO"))</f>
        <v/>
      </c>
      <c r="X289" s="35" t="str">
        <f aca="false">IF($K289="","",IFERROR(INDEX(CAT_NOME,MATCH($K289,CAT_ID,0)),"?"))</f>
        <v/>
      </c>
      <c r="Y289" s="35" t="str">
        <f aca="false">IF($L289="","",IFERROR(INDEX(SUB_NOME,MATCH($L289,SUB_ID,0)),"?"))</f>
        <v/>
      </c>
      <c r="Z289" s="35" t="str">
        <f aca="false">IF($G289="","",IF($G289="EXTERNO","(Externo)",IFERROR(INDEX(ENT_NOME,MATCH($H289,ENT_ID,0)),"?")))</f>
        <v/>
      </c>
      <c r="AA289" s="35" t="str">
        <f aca="false">IF($I289="","",IF($I289="EXTERNO","(Externo)",IFERROR(INDEX(ENT_NOME,MATCH($J289,ENT_ID,0)),"?")))</f>
        <v/>
      </c>
      <c r="AB289" s="36" t="n">
        <f aca="false">IF($B289="",0,IF(AND($I289="CONTA",$G289&lt;&gt;"CONTA"),$F289,0))</f>
        <v>0</v>
      </c>
      <c r="AC289" s="36" t="n">
        <f aca="false">IF($B289="",0,IF(AND($G289="CONTA",$I289&lt;&gt;"CONTA"),$F289,0))</f>
        <v>0</v>
      </c>
      <c r="AD289" s="36" t="n">
        <f aca="false">IF($W289="RECEITA",$F289,0)</f>
        <v>0</v>
      </c>
      <c r="AE289" s="36" t="n">
        <f aca="false">IF($W289="DESPESA",$F289,0)</f>
        <v>0</v>
      </c>
      <c r="AF289" s="36" t="n">
        <f aca="false">IF($W289="RECEITA_FINANCEIRA",$F289,0)</f>
        <v>0</v>
      </c>
      <c r="AG289" s="36" t="n">
        <f aca="false">IF($B289="",0,IF($I289="CONTA",$F289,0)-IF($G289="CONTA",$F289,0))</f>
        <v>0</v>
      </c>
      <c r="AH289" s="36" t="n">
        <f aca="false">IF($B289="",0,IF($G289="CARTAO",$F289,0)-IF($I289="CARTAO",$F289,0))</f>
        <v>0</v>
      </c>
      <c r="AI289" s="36" t="n">
        <f aca="false">IF($B289="",0,IF($I289="INVESTIMENTO",$F289,0)-IF($G289="INVESTIMENTO",$F289,0))</f>
        <v>0</v>
      </c>
      <c r="AJ289" s="35" t="str">
        <f aca="false">IF($B289="","",IF(NOT(ISNUMBER($F289)),"ERRO: valor nao numerico",IF($F289&lt;=0,"ERRO: valor deve ser maior que zero",IF(COUNTIF(MAP_TIPO,$D289)=0,"ERRO: tipo de operacao nao cadastrado",IF(COUNTIF(LST_STATUS,$E289)=0,"ERRO: status invalido",IF(AND($G289="EXTERNO",$I289="EXTERNO"),"ERRO: origem e destino externos",IF(AND($G289&lt;&gt;"EXTERNO",COUNTIFS(ENT_ID,$H289,ENT_TIPO,$G289)=0),"ERRO: origem inexistente",IF(AND($I289&lt;&gt;"EXTERNO",COUNTIFS(ENT_ID,$J289,ENT_TIPO,$I289)=0),"ERRO: destino inexistente",IF(AND($K289&lt;&gt;"",COUNTIF(CAT_ID,$K289)=0),"ERRO: categoria inexistente",IF(AND($L289&lt;&gt;"",COUNTIF(SUB_ID,$L289)=0),"ERRO: subcategoria inexistente",IF(AND($L289&lt;&gt;"",$K289&lt;&gt;"",IFERROR(INDEX(SUB_CATID,MATCH($L289,SUB_ID,0)),"")&lt;&gt;$K289),"ERRO: subcategoria nao pertence a categoria",IF(AND($O289&lt;&gt;"",COUNTIF(P_ID,$O289)=0),"ERRO: parcela inexistente",IF(AND($N289&lt;&gt;"",COUNTIF(CM_ID,$N289)=0),"ERRO: compromisso inexistente","OK")))))))))))))</f>
        <v/>
      </c>
      <c r="AK289" s="35" t="str">
        <f aca="false">IF($B289="","",IF(AND($N289="",$O289="",$P289="",$Q289="",$R289=""),"","VINCULADO: "&amp;TRIM(IF($N289&lt;&gt;"",$N289&amp;" ","")&amp;IF($O289&lt;&gt;"",$O289&amp;" ","")&amp;IF($P289&lt;&gt;"",$P289&amp;" ","")&amp;IF($Q289&lt;&gt;"",$Q289&amp;" ","")&amp;IF($R289&lt;&gt;"",$R289,""))))</f>
        <v/>
      </c>
    </row>
    <row r="290" customFormat="false" ht="15" hidden="false" customHeight="false" outlineLevel="0" collapsed="false">
      <c r="A290" s="30" t="str">
        <f aca="false">IF($B290="","","LAN-"&amp;TEXT(ROW()-4,"000000"))</f>
        <v/>
      </c>
      <c r="B290" s="31"/>
      <c r="C290" s="32"/>
      <c r="D290" s="32"/>
      <c r="E290" s="32"/>
      <c r="F290" s="33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4" t="str">
        <f aca="false">IF($B290="","",YEAR($B290))</f>
        <v/>
      </c>
      <c r="U290" s="34" t="str">
        <f aca="false">IF($B290="","",MONTH($B290))</f>
        <v/>
      </c>
      <c r="V290" s="34" t="str">
        <f aca="false">IF($B290="","",YEAR($B290)*100+MONTH($B290))</f>
        <v/>
      </c>
      <c r="W290" s="35" t="str">
        <f aca="false">IF($D290="","",IFERROR(INDEX(MAP_CLASS,MATCH($D290,MAP_TIPO,0)),"TIPO INVALIDO"))</f>
        <v/>
      </c>
      <c r="X290" s="35" t="str">
        <f aca="false">IF($K290="","",IFERROR(INDEX(CAT_NOME,MATCH($K290,CAT_ID,0)),"?"))</f>
        <v/>
      </c>
      <c r="Y290" s="35" t="str">
        <f aca="false">IF($L290="","",IFERROR(INDEX(SUB_NOME,MATCH($L290,SUB_ID,0)),"?"))</f>
        <v/>
      </c>
      <c r="Z290" s="35" t="str">
        <f aca="false">IF($G290="","",IF($G290="EXTERNO","(Externo)",IFERROR(INDEX(ENT_NOME,MATCH($H290,ENT_ID,0)),"?")))</f>
        <v/>
      </c>
      <c r="AA290" s="35" t="str">
        <f aca="false">IF($I290="","",IF($I290="EXTERNO","(Externo)",IFERROR(INDEX(ENT_NOME,MATCH($J290,ENT_ID,0)),"?")))</f>
        <v/>
      </c>
      <c r="AB290" s="36" t="n">
        <f aca="false">IF($B290="",0,IF(AND($I290="CONTA",$G290&lt;&gt;"CONTA"),$F290,0))</f>
        <v>0</v>
      </c>
      <c r="AC290" s="36" t="n">
        <f aca="false">IF($B290="",0,IF(AND($G290="CONTA",$I290&lt;&gt;"CONTA"),$F290,0))</f>
        <v>0</v>
      </c>
      <c r="AD290" s="36" t="n">
        <f aca="false">IF($W290="RECEITA",$F290,0)</f>
        <v>0</v>
      </c>
      <c r="AE290" s="36" t="n">
        <f aca="false">IF($W290="DESPESA",$F290,0)</f>
        <v>0</v>
      </c>
      <c r="AF290" s="36" t="n">
        <f aca="false">IF($W290="RECEITA_FINANCEIRA",$F290,0)</f>
        <v>0</v>
      </c>
      <c r="AG290" s="36" t="n">
        <f aca="false">IF($B290="",0,IF($I290="CONTA",$F290,0)-IF($G290="CONTA",$F290,0))</f>
        <v>0</v>
      </c>
      <c r="AH290" s="36" t="n">
        <f aca="false">IF($B290="",0,IF($G290="CARTAO",$F290,0)-IF($I290="CARTAO",$F290,0))</f>
        <v>0</v>
      </c>
      <c r="AI290" s="36" t="n">
        <f aca="false">IF($B290="",0,IF($I290="INVESTIMENTO",$F290,0)-IF($G290="INVESTIMENTO",$F290,0))</f>
        <v>0</v>
      </c>
      <c r="AJ290" s="35" t="str">
        <f aca="false">IF($B290="","",IF(NOT(ISNUMBER($F290)),"ERRO: valor nao numerico",IF($F290&lt;=0,"ERRO: valor deve ser maior que zero",IF(COUNTIF(MAP_TIPO,$D290)=0,"ERRO: tipo de operacao nao cadastrado",IF(COUNTIF(LST_STATUS,$E290)=0,"ERRO: status invalido",IF(AND($G290="EXTERNO",$I290="EXTERNO"),"ERRO: origem e destino externos",IF(AND($G290&lt;&gt;"EXTERNO",COUNTIFS(ENT_ID,$H290,ENT_TIPO,$G290)=0),"ERRO: origem inexistente",IF(AND($I290&lt;&gt;"EXTERNO",COUNTIFS(ENT_ID,$J290,ENT_TIPO,$I290)=0),"ERRO: destino inexistente",IF(AND($K290&lt;&gt;"",COUNTIF(CAT_ID,$K290)=0),"ERRO: categoria inexistente",IF(AND($L290&lt;&gt;"",COUNTIF(SUB_ID,$L290)=0),"ERRO: subcategoria inexistente",IF(AND($L290&lt;&gt;"",$K290&lt;&gt;"",IFERROR(INDEX(SUB_CATID,MATCH($L290,SUB_ID,0)),"")&lt;&gt;$K290),"ERRO: subcategoria nao pertence a categoria",IF(AND($O290&lt;&gt;"",COUNTIF(P_ID,$O290)=0),"ERRO: parcela inexistente",IF(AND($N290&lt;&gt;"",COUNTIF(CM_ID,$N290)=0),"ERRO: compromisso inexistente","OK")))))))))))))</f>
        <v/>
      </c>
      <c r="AK290" s="35" t="str">
        <f aca="false">IF($B290="","",IF(AND($N290="",$O290="",$P290="",$Q290="",$R290=""),"","VINCULADO: "&amp;TRIM(IF($N290&lt;&gt;"",$N290&amp;" ","")&amp;IF($O290&lt;&gt;"",$O290&amp;" ","")&amp;IF($P290&lt;&gt;"",$P290&amp;" ","")&amp;IF($Q290&lt;&gt;"",$Q290&amp;" ","")&amp;IF($R290&lt;&gt;"",$R290,""))))</f>
        <v/>
      </c>
    </row>
    <row r="291" customFormat="false" ht="15" hidden="false" customHeight="false" outlineLevel="0" collapsed="false">
      <c r="A291" s="30" t="str">
        <f aca="false">IF($B291="","","LAN-"&amp;TEXT(ROW()-4,"000000"))</f>
        <v/>
      </c>
      <c r="B291" s="31"/>
      <c r="C291" s="32"/>
      <c r="D291" s="32"/>
      <c r="E291" s="32"/>
      <c r="F291" s="33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4" t="str">
        <f aca="false">IF($B291="","",YEAR($B291))</f>
        <v/>
      </c>
      <c r="U291" s="34" t="str">
        <f aca="false">IF($B291="","",MONTH($B291))</f>
        <v/>
      </c>
      <c r="V291" s="34" t="str">
        <f aca="false">IF($B291="","",YEAR($B291)*100+MONTH($B291))</f>
        <v/>
      </c>
      <c r="W291" s="35" t="str">
        <f aca="false">IF($D291="","",IFERROR(INDEX(MAP_CLASS,MATCH($D291,MAP_TIPO,0)),"TIPO INVALIDO"))</f>
        <v/>
      </c>
      <c r="X291" s="35" t="str">
        <f aca="false">IF($K291="","",IFERROR(INDEX(CAT_NOME,MATCH($K291,CAT_ID,0)),"?"))</f>
        <v/>
      </c>
      <c r="Y291" s="35" t="str">
        <f aca="false">IF($L291="","",IFERROR(INDEX(SUB_NOME,MATCH($L291,SUB_ID,0)),"?"))</f>
        <v/>
      </c>
      <c r="Z291" s="35" t="str">
        <f aca="false">IF($G291="","",IF($G291="EXTERNO","(Externo)",IFERROR(INDEX(ENT_NOME,MATCH($H291,ENT_ID,0)),"?")))</f>
        <v/>
      </c>
      <c r="AA291" s="35" t="str">
        <f aca="false">IF($I291="","",IF($I291="EXTERNO","(Externo)",IFERROR(INDEX(ENT_NOME,MATCH($J291,ENT_ID,0)),"?")))</f>
        <v/>
      </c>
      <c r="AB291" s="36" t="n">
        <f aca="false">IF($B291="",0,IF(AND($I291="CONTA",$G291&lt;&gt;"CONTA"),$F291,0))</f>
        <v>0</v>
      </c>
      <c r="AC291" s="36" t="n">
        <f aca="false">IF($B291="",0,IF(AND($G291="CONTA",$I291&lt;&gt;"CONTA"),$F291,0))</f>
        <v>0</v>
      </c>
      <c r="AD291" s="36" t="n">
        <f aca="false">IF($W291="RECEITA",$F291,0)</f>
        <v>0</v>
      </c>
      <c r="AE291" s="36" t="n">
        <f aca="false">IF($W291="DESPESA",$F291,0)</f>
        <v>0</v>
      </c>
      <c r="AF291" s="36" t="n">
        <f aca="false">IF($W291="RECEITA_FINANCEIRA",$F291,0)</f>
        <v>0</v>
      </c>
      <c r="AG291" s="36" t="n">
        <f aca="false">IF($B291="",0,IF($I291="CONTA",$F291,0)-IF($G291="CONTA",$F291,0))</f>
        <v>0</v>
      </c>
      <c r="AH291" s="36" t="n">
        <f aca="false">IF($B291="",0,IF($G291="CARTAO",$F291,0)-IF($I291="CARTAO",$F291,0))</f>
        <v>0</v>
      </c>
      <c r="AI291" s="36" t="n">
        <f aca="false">IF($B291="",0,IF($I291="INVESTIMENTO",$F291,0)-IF($G291="INVESTIMENTO",$F291,0))</f>
        <v>0</v>
      </c>
      <c r="AJ291" s="35" t="str">
        <f aca="false">IF($B291="","",IF(NOT(ISNUMBER($F291)),"ERRO: valor nao numerico",IF($F291&lt;=0,"ERRO: valor deve ser maior que zero",IF(COUNTIF(MAP_TIPO,$D291)=0,"ERRO: tipo de operacao nao cadastrado",IF(COUNTIF(LST_STATUS,$E291)=0,"ERRO: status invalido",IF(AND($G291="EXTERNO",$I291="EXTERNO"),"ERRO: origem e destino externos",IF(AND($G291&lt;&gt;"EXTERNO",COUNTIFS(ENT_ID,$H291,ENT_TIPO,$G291)=0),"ERRO: origem inexistente",IF(AND($I291&lt;&gt;"EXTERNO",COUNTIFS(ENT_ID,$J291,ENT_TIPO,$I291)=0),"ERRO: destino inexistente",IF(AND($K291&lt;&gt;"",COUNTIF(CAT_ID,$K291)=0),"ERRO: categoria inexistente",IF(AND($L291&lt;&gt;"",COUNTIF(SUB_ID,$L291)=0),"ERRO: subcategoria inexistente",IF(AND($L291&lt;&gt;"",$K291&lt;&gt;"",IFERROR(INDEX(SUB_CATID,MATCH($L291,SUB_ID,0)),"")&lt;&gt;$K291),"ERRO: subcategoria nao pertence a categoria",IF(AND($O291&lt;&gt;"",COUNTIF(P_ID,$O291)=0),"ERRO: parcela inexistente",IF(AND($N291&lt;&gt;"",COUNTIF(CM_ID,$N291)=0),"ERRO: compromisso inexistente","OK")))))))))))))</f>
        <v/>
      </c>
      <c r="AK291" s="35" t="str">
        <f aca="false">IF($B291="","",IF(AND($N291="",$O291="",$P291="",$Q291="",$R291=""),"","VINCULADO: "&amp;TRIM(IF($N291&lt;&gt;"",$N291&amp;" ","")&amp;IF($O291&lt;&gt;"",$O291&amp;" ","")&amp;IF($P291&lt;&gt;"",$P291&amp;" ","")&amp;IF($Q291&lt;&gt;"",$Q291&amp;" ","")&amp;IF($R291&lt;&gt;"",$R291,""))))</f>
        <v/>
      </c>
    </row>
    <row r="292" customFormat="false" ht="15" hidden="false" customHeight="false" outlineLevel="0" collapsed="false">
      <c r="A292" s="30" t="str">
        <f aca="false">IF($B292="","","LAN-"&amp;TEXT(ROW()-4,"000000"))</f>
        <v/>
      </c>
      <c r="B292" s="31"/>
      <c r="C292" s="32"/>
      <c r="D292" s="32"/>
      <c r="E292" s="32"/>
      <c r="F292" s="33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4" t="str">
        <f aca="false">IF($B292="","",YEAR($B292))</f>
        <v/>
      </c>
      <c r="U292" s="34" t="str">
        <f aca="false">IF($B292="","",MONTH($B292))</f>
        <v/>
      </c>
      <c r="V292" s="34" t="str">
        <f aca="false">IF($B292="","",YEAR($B292)*100+MONTH($B292))</f>
        <v/>
      </c>
      <c r="W292" s="35" t="str">
        <f aca="false">IF($D292="","",IFERROR(INDEX(MAP_CLASS,MATCH($D292,MAP_TIPO,0)),"TIPO INVALIDO"))</f>
        <v/>
      </c>
      <c r="X292" s="35" t="str">
        <f aca="false">IF($K292="","",IFERROR(INDEX(CAT_NOME,MATCH($K292,CAT_ID,0)),"?"))</f>
        <v/>
      </c>
      <c r="Y292" s="35" t="str">
        <f aca="false">IF($L292="","",IFERROR(INDEX(SUB_NOME,MATCH($L292,SUB_ID,0)),"?"))</f>
        <v/>
      </c>
      <c r="Z292" s="35" t="str">
        <f aca="false">IF($G292="","",IF($G292="EXTERNO","(Externo)",IFERROR(INDEX(ENT_NOME,MATCH($H292,ENT_ID,0)),"?")))</f>
        <v/>
      </c>
      <c r="AA292" s="35" t="str">
        <f aca="false">IF($I292="","",IF($I292="EXTERNO","(Externo)",IFERROR(INDEX(ENT_NOME,MATCH($J292,ENT_ID,0)),"?")))</f>
        <v/>
      </c>
      <c r="AB292" s="36" t="n">
        <f aca="false">IF($B292="",0,IF(AND($I292="CONTA",$G292&lt;&gt;"CONTA"),$F292,0))</f>
        <v>0</v>
      </c>
      <c r="AC292" s="36" t="n">
        <f aca="false">IF($B292="",0,IF(AND($G292="CONTA",$I292&lt;&gt;"CONTA"),$F292,0))</f>
        <v>0</v>
      </c>
      <c r="AD292" s="36" t="n">
        <f aca="false">IF($W292="RECEITA",$F292,0)</f>
        <v>0</v>
      </c>
      <c r="AE292" s="36" t="n">
        <f aca="false">IF($W292="DESPESA",$F292,0)</f>
        <v>0</v>
      </c>
      <c r="AF292" s="36" t="n">
        <f aca="false">IF($W292="RECEITA_FINANCEIRA",$F292,0)</f>
        <v>0</v>
      </c>
      <c r="AG292" s="36" t="n">
        <f aca="false">IF($B292="",0,IF($I292="CONTA",$F292,0)-IF($G292="CONTA",$F292,0))</f>
        <v>0</v>
      </c>
      <c r="AH292" s="36" t="n">
        <f aca="false">IF($B292="",0,IF($G292="CARTAO",$F292,0)-IF($I292="CARTAO",$F292,0))</f>
        <v>0</v>
      </c>
      <c r="AI292" s="36" t="n">
        <f aca="false">IF($B292="",0,IF($I292="INVESTIMENTO",$F292,0)-IF($G292="INVESTIMENTO",$F292,0))</f>
        <v>0</v>
      </c>
      <c r="AJ292" s="35" t="str">
        <f aca="false">IF($B292="","",IF(NOT(ISNUMBER($F292)),"ERRO: valor nao numerico",IF($F292&lt;=0,"ERRO: valor deve ser maior que zero",IF(COUNTIF(MAP_TIPO,$D292)=0,"ERRO: tipo de operacao nao cadastrado",IF(COUNTIF(LST_STATUS,$E292)=0,"ERRO: status invalido",IF(AND($G292="EXTERNO",$I292="EXTERNO"),"ERRO: origem e destino externos",IF(AND($G292&lt;&gt;"EXTERNO",COUNTIFS(ENT_ID,$H292,ENT_TIPO,$G292)=0),"ERRO: origem inexistente",IF(AND($I292&lt;&gt;"EXTERNO",COUNTIFS(ENT_ID,$J292,ENT_TIPO,$I292)=0),"ERRO: destino inexistente",IF(AND($K292&lt;&gt;"",COUNTIF(CAT_ID,$K292)=0),"ERRO: categoria inexistente",IF(AND($L292&lt;&gt;"",COUNTIF(SUB_ID,$L292)=0),"ERRO: subcategoria inexistente",IF(AND($L292&lt;&gt;"",$K292&lt;&gt;"",IFERROR(INDEX(SUB_CATID,MATCH($L292,SUB_ID,0)),"")&lt;&gt;$K292),"ERRO: subcategoria nao pertence a categoria",IF(AND($O292&lt;&gt;"",COUNTIF(P_ID,$O292)=0),"ERRO: parcela inexistente",IF(AND($N292&lt;&gt;"",COUNTIF(CM_ID,$N292)=0),"ERRO: compromisso inexistente","OK")))))))))))))</f>
        <v/>
      </c>
      <c r="AK292" s="35" t="str">
        <f aca="false">IF($B292="","",IF(AND($N292="",$O292="",$P292="",$Q292="",$R292=""),"","VINCULADO: "&amp;TRIM(IF($N292&lt;&gt;"",$N292&amp;" ","")&amp;IF($O292&lt;&gt;"",$O292&amp;" ","")&amp;IF($P292&lt;&gt;"",$P292&amp;" ","")&amp;IF($Q292&lt;&gt;"",$Q292&amp;" ","")&amp;IF($R292&lt;&gt;"",$R292,""))))</f>
        <v/>
      </c>
    </row>
    <row r="293" customFormat="false" ht="15" hidden="false" customHeight="false" outlineLevel="0" collapsed="false">
      <c r="A293" s="30" t="str">
        <f aca="false">IF($B293="","","LAN-"&amp;TEXT(ROW()-4,"000000"))</f>
        <v/>
      </c>
      <c r="B293" s="31"/>
      <c r="C293" s="32"/>
      <c r="D293" s="32"/>
      <c r="E293" s="32"/>
      <c r="F293" s="33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4" t="str">
        <f aca="false">IF($B293="","",YEAR($B293))</f>
        <v/>
      </c>
      <c r="U293" s="34" t="str">
        <f aca="false">IF($B293="","",MONTH($B293))</f>
        <v/>
      </c>
      <c r="V293" s="34" t="str">
        <f aca="false">IF($B293="","",YEAR($B293)*100+MONTH($B293))</f>
        <v/>
      </c>
      <c r="W293" s="35" t="str">
        <f aca="false">IF($D293="","",IFERROR(INDEX(MAP_CLASS,MATCH($D293,MAP_TIPO,0)),"TIPO INVALIDO"))</f>
        <v/>
      </c>
      <c r="X293" s="35" t="str">
        <f aca="false">IF($K293="","",IFERROR(INDEX(CAT_NOME,MATCH($K293,CAT_ID,0)),"?"))</f>
        <v/>
      </c>
      <c r="Y293" s="35" t="str">
        <f aca="false">IF($L293="","",IFERROR(INDEX(SUB_NOME,MATCH($L293,SUB_ID,0)),"?"))</f>
        <v/>
      </c>
      <c r="Z293" s="35" t="str">
        <f aca="false">IF($G293="","",IF($G293="EXTERNO","(Externo)",IFERROR(INDEX(ENT_NOME,MATCH($H293,ENT_ID,0)),"?")))</f>
        <v/>
      </c>
      <c r="AA293" s="35" t="str">
        <f aca="false">IF($I293="","",IF($I293="EXTERNO","(Externo)",IFERROR(INDEX(ENT_NOME,MATCH($J293,ENT_ID,0)),"?")))</f>
        <v/>
      </c>
      <c r="AB293" s="36" t="n">
        <f aca="false">IF($B293="",0,IF(AND($I293="CONTA",$G293&lt;&gt;"CONTA"),$F293,0))</f>
        <v>0</v>
      </c>
      <c r="AC293" s="36" t="n">
        <f aca="false">IF($B293="",0,IF(AND($G293="CONTA",$I293&lt;&gt;"CONTA"),$F293,0))</f>
        <v>0</v>
      </c>
      <c r="AD293" s="36" t="n">
        <f aca="false">IF($W293="RECEITA",$F293,0)</f>
        <v>0</v>
      </c>
      <c r="AE293" s="36" t="n">
        <f aca="false">IF($W293="DESPESA",$F293,0)</f>
        <v>0</v>
      </c>
      <c r="AF293" s="36" t="n">
        <f aca="false">IF($W293="RECEITA_FINANCEIRA",$F293,0)</f>
        <v>0</v>
      </c>
      <c r="AG293" s="36" t="n">
        <f aca="false">IF($B293="",0,IF($I293="CONTA",$F293,0)-IF($G293="CONTA",$F293,0))</f>
        <v>0</v>
      </c>
      <c r="AH293" s="36" t="n">
        <f aca="false">IF($B293="",0,IF($G293="CARTAO",$F293,0)-IF($I293="CARTAO",$F293,0))</f>
        <v>0</v>
      </c>
      <c r="AI293" s="36" t="n">
        <f aca="false">IF($B293="",0,IF($I293="INVESTIMENTO",$F293,0)-IF($G293="INVESTIMENTO",$F293,0))</f>
        <v>0</v>
      </c>
      <c r="AJ293" s="35" t="str">
        <f aca="false">IF($B293="","",IF(NOT(ISNUMBER($F293)),"ERRO: valor nao numerico",IF($F293&lt;=0,"ERRO: valor deve ser maior que zero",IF(COUNTIF(MAP_TIPO,$D293)=0,"ERRO: tipo de operacao nao cadastrado",IF(COUNTIF(LST_STATUS,$E293)=0,"ERRO: status invalido",IF(AND($G293="EXTERNO",$I293="EXTERNO"),"ERRO: origem e destino externos",IF(AND($G293&lt;&gt;"EXTERNO",COUNTIFS(ENT_ID,$H293,ENT_TIPO,$G293)=0),"ERRO: origem inexistente",IF(AND($I293&lt;&gt;"EXTERNO",COUNTIFS(ENT_ID,$J293,ENT_TIPO,$I293)=0),"ERRO: destino inexistente",IF(AND($K293&lt;&gt;"",COUNTIF(CAT_ID,$K293)=0),"ERRO: categoria inexistente",IF(AND($L293&lt;&gt;"",COUNTIF(SUB_ID,$L293)=0),"ERRO: subcategoria inexistente",IF(AND($L293&lt;&gt;"",$K293&lt;&gt;"",IFERROR(INDEX(SUB_CATID,MATCH($L293,SUB_ID,0)),"")&lt;&gt;$K293),"ERRO: subcategoria nao pertence a categoria",IF(AND($O293&lt;&gt;"",COUNTIF(P_ID,$O293)=0),"ERRO: parcela inexistente",IF(AND($N293&lt;&gt;"",COUNTIF(CM_ID,$N293)=0),"ERRO: compromisso inexistente","OK")))))))))))))</f>
        <v/>
      </c>
      <c r="AK293" s="35" t="str">
        <f aca="false">IF($B293="","",IF(AND($N293="",$O293="",$P293="",$Q293="",$R293=""),"","VINCULADO: "&amp;TRIM(IF($N293&lt;&gt;"",$N293&amp;" ","")&amp;IF($O293&lt;&gt;"",$O293&amp;" ","")&amp;IF($P293&lt;&gt;"",$P293&amp;" ","")&amp;IF($Q293&lt;&gt;"",$Q293&amp;" ","")&amp;IF($R293&lt;&gt;"",$R293,""))))</f>
        <v/>
      </c>
    </row>
    <row r="294" customFormat="false" ht="15" hidden="false" customHeight="false" outlineLevel="0" collapsed="false">
      <c r="A294" s="30" t="str">
        <f aca="false">IF($B294="","","LAN-"&amp;TEXT(ROW()-4,"000000"))</f>
        <v/>
      </c>
      <c r="B294" s="31"/>
      <c r="C294" s="32"/>
      <c r="D294" s="32"/>
      <c r="E294" s="32"/>
      <c r="F294" s="33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4" t="str">
        <f aca="false">IF($B294="","",YEAR($B294))</f>
        <v/>
      </c>
      <c r="U294" s="34" t="str">
        <f aca="false">IF($B294="","",MONTH($B294))</f>
        <v/>
      </c>
      <c r="V294" s="34" t="str">
        <f aca="false">IF($B294="","",YEAR($B294)*100+MONTH($B294))</f>
        <v/>
      </c>
      <c r="W294" s="35" t="str">
        <f aca="false">IF($D294="","",IFERROR(INDEX(MAP_CLASS,MATCH($D294,MAP_TIPO,0)),"TIPO INVALIDO"))</f>
        <v/>
      </c>
      <c r="X294" s="35" t="str">
        <f aca="false">IF($K294="","",IFERROR(INDEX(CAT_NOME,MATCH($K294,CAT_ID,0)),"?"))</f>
        <v/>
      </c>
      <c r="Y294" s="35" t="str">
        <f aca="false">IF($L294="","",IFERROR(INDEX(SUB_NOME,MATCH($L294,SUB_ID,0)),"?"))</f>
        <v/>
      </c>
      <c r="Z294" s="35" t="str">
        <f aca="false">IF($G294="","",IF($G294="EXTERNO","(Externo)",IFERROR(INDEX(ENT_NOME,MATCH($H294,ENT_ID,0)),"?")))</f>
        <v/>
      </c>
      <c r="AA294" s="35" t="str">
        <f aca="false">IF($I294="","",IF($I294="EXTERNO","(Externo)",IFERROR(INDEX(ENT_NOME,MATCH($J294,ENT_ID,0)),"?")))</f>
        <v/>
      </c>
      <c r="AB294" s="36" t="n">
        <f aca="false">IF($B294="",0,IF(AND($I294="CONTA",$G294&lt;&gt;"CONTA"),$F294,0))</f>
        <v>0</v>
      </c>
      <c r="AC294" s="36" t="n">
        <f aca="false">IF($B294="",0,IF(AND($G294="CONTA",$I294&lt;&gt;"CONTA"),$F294,0))</f>
        <v>0</v>
      </c>
      <c r="AD294" s="36" t="n">
        <f aca="false">IF($W294="RECEITA",$F294,0)</f>
        <v>0</v>
      </c>
      <c r="AE294" s="36" t="n">
        <f aca="false">IF($W294="DESPESA",$F294,0)</f>
        <v>0</v>
      </c>
      <c r="AF294" s="36" t="n">
        <f aca="false">IF($W294="RECEITA_FINANCEIRA",$F294,0)</f>
        <v>0</v>
      </c>
      <c r="AG294" s="36" t="n">
        <f aca="false">IF($B294="",0,IF($I294="CONTA",$F294,0)-IF($G294="CONTA",$F294,0))</f>
        <v>0</v>
      </c>
      <c r="AH294" s="36" t="n">
        <f aca="false">IF($B294="",0,IF($G294="CARTAO",$F294,0)-IF($I294="CARTAO",$F294,0))</f>
        <v>0</v>
      </c>
      <c r="AI294" s="36" t="n">
        <f aca="false">IF($B294="",0,IF($I294="INVESTIMENTO",$F294,0)-IF($G294="INVESTIMENTO",$F294,0))</f>
        <v>0</v>
      </c>
      <c r="AJ294" s="35" t="str">
        <f aca="false">IF($B294="","",IF(NOT(ISNUMBER($F294)),"ERRO: valor nao numerico",IF($F294&lt;=0,"ERRO: valor deve ser maior que zero",IF(COUNTIF(MAP_TIPO,$D294)=0,"ERRO: tipo de operacao nao cadastrado",IF(COUNTIF(LST_STATUS,$E294)=0,"ERRO: status invalido",IF(AND($G294="EXTERNO",$I294="EXTERNO"),"ERRO: origem e destino externos",IF(AND($G294&lt;&gt;"EXTERNO",COUNTIFS(ENT_ID,$H294,ENT_TIPO,$G294)=0),"ERRO: origem inexistente",IF(AND($I294&lt;&gt;"EXTERNO",COUNTIFS(ENT_ID,$J294,ENT_TIPO,$I294)=0),"ERRO: destino inexistente",IF(AND($K294&lt;&gt;"",COUNTIF(CAT_ID,$K294)=0),"ERRO: categoria inexistente",IF(AND($L294&lt;&gt;"",COUNTIF(SUB_ID,$L294)=0),"ERRO: subcategoria inexistente",IF(AND($L294&lt;&gt;"",$K294&lt;&gt;"",IFERROR(INDEX(SUB_CATID,MATCH($L294,SUB_ID,0)),"")&lt;&gt;$K294),"ERRO: subcategoria nao pertence a categoria",IF(AND($O294&lt;&gt;"",COUNTIF(P_ID,$O294)=0),"ERRO: parcela inexistente",IF(AND($N294&lt;&gt;"",COUNTIF(CM_ID,$N294)=0),"ERRO: compromisso inexistente","OK")))))))))))))</f>
        <v/>
      </c>
      <c r="AK294" s="35" t="str">
        <f aca="false">IF($B294="","",IF(AND($N294="",$O294="",$P294="",$Q294="",$R294=""),"","VINCULADO: "&amp;TRIM(IF($N294&lt;&gt;"",$N294&amp;" ","")&amp;IF($O294&lt;&gt;"",$O294&amp;" ","")&amp;IF($P294&lt;&gt;"",$P294&amp;" ","")&amp;IF($Q294&lt;&gt;"",$Q294&amp;" ","")&amp;IF($R294&lt;&gt;"",$R294,""))))</f>
        <v/>
      </c>
    </row>
    <row r="295" customFormat="false" ht="15" hidden="false" customHeight="false" outlineLevel="0" collapsed="false">
      <c r="A295" s="30" t="str">
        <f aca="false">IF($B295="","","LAN-"&amp;TEXT(ROW()-4,"000000"))</f>
        <v/>
      </c>
      <c r="B295" s="31"/>
      <c r="C295" s="32"/>
      <c r="D295" s="32"/>
      <c r="E295" s="32"/>
      <c r="F295" s="33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4" t="str">
        <f aca="false">IF($B295="","",YEAR($B295))</f>
        <v/>
      </c>
      <c r="U295" s="34" t="str">
        <f aca="false">IF($B295="","",MONTH($B295))</f>
        <v/>
      </c>
      <c r="V295" s="34" t="str">
        <f aca="false">IF($B295="","",YEAR($B295)*100+MONTH($B295))</f>
        <v/>
      </c>
      <c r="W295" s="35" t="str">
        <f aca="false">IF($D295="","",IFERROR(INDEX(MAP_CLASS,MATCH($D295,MAP_TIPO,0)),"TIPO INVALIDO"))</f>
        <v/>
      </c>
      <c r="X295" s="35" t="str">
        <f aca="false">IF($K295="","",IFERROR(INDEX(CAT_NOME,MATCH($K295,CAT_ID,0)),"?"))</f>
        <v/>
      </c>
      <c r="Y295" s="35" t="str">
        <f aca="false">IF($L295="","",IFERROR(INDEX(SUB_NOME,MATCH($L295,SUB_ID,0)),"?"))</f>
        <v/>
      </c>
      <c r="Z295" s="35" t="str">
        <f aca="false">IF($G295="","",IF($G295="EXTERNO","(Externo)",IFERROR(INDEX(ENT_NOME,MATCH($H295,ENT_ID,0)),"?")))</f>
        <v/>
      </c>
      <c r="AA295" s="35" t="str">
        <f aca="false">IF($I295="","",IF($I295="EXTERNO","(Externo)",IFERROR(INDEX(ENT_NOME,MATCH($J295,ENT_ID,0)),"?")))</f>
        <v/>
      </c>
      <c r="AB295" s="36" t="n">
        <f aca="false">IF($B295="",0,IF(AND($I295="CONTA",$G295&lt;&gt;"CONTA"),$F295,0))</f>
        <v>0</v>
      </c>
      <c r="AC295" s="36" t="n">
        <f aca="false">IF($B295="",0,IF(AND($G295="CONTA",$I295&lt;&gt;"CONTA"),$F295,0))</f>
        <v>0</v>
      </c>
      <c r="AD295" s="36" t="n">
        <f aca="false">IF($W295="RECEITA",$F295,0)</f>
        <v>0</v>
      </c>
      <c r="AE295" s="36" t="n">
        <f aca="false">IF($W295="DESPESA",$F295,0)</f>
        <v>0</v>
      </c>
      <c r="AF295" s="36" t="n">
        <f aca="false">IF($W295="RECEITA_FINANCEIRA",$F295,0)</f>
        <v>0</v>
      </c>
      <c r="AG295" s="36" t="n">
        <f aca="false">IF($B295="",0,IF($I295="CONTA",$F295,0)-IF($G295="CONTA",$F295,0))</f>
        <v>0</v>
      </c>
      <c r="AH295" s="36" t="n">
        <f aca="false">IF($B295="",0,IF($G295="CARTAO",$F295,0)-IF($I295="CARTAO",$F295,0))</f>
        <v>0</v>
      </c>
      <c r="AI295" s="36" t="n">
        <f aca="false">IF($B295="",0,IF($I295="INVESTIMENTO",$F295,0)-IF($G295="INVESTIMENTO",$F295,0))</f>
        <v>0</v>
      </c>
      <c r="AJ295" s="35" t="str">
        <f aca="false">IF($B295="","",IF(NOT(ISNUMBER($F295)),"ERRO: valor nao numerico",IF($F295&lt;=0,"ERRO: valor deve ser maior que zero",IF(COUNTIF(MAP_TIPO,$D295)=0,"ERRO: tipo de operacao nao cadastrado",IF(COUNTIF(LST_STATUS,$E295)=0,"ERRO: status invalido",IF(AND($G295="EXTERNO",$I295="EXTERNO"),"ERRO: origem e destino externos",IF(AND($G295&lt;&gt;"EXTERNO",COUNTIFS(ENT_ID,$H295,ENT_TIPO,$G295)=0),"ERRO: origem inexistente",IF(AND($I295&lt;&gt;"EXTERNO",COUNTIFS(ENT_ID,$J295,ENT_TIPO,$I295)=0),"ERRO: destino inexistente",IF(AND($K295&lt;&gt;"",COUNTIF(CAT_ID,$K295)=0),"ERRO: categoria inexistente",IF(AND($L295&lt;&gt;"",COUNTIF(SUB_ID,$L295)=0),"ERRO: subcategoria inexistente",IF(AND($L295&lt;&gt;"",$K295&lt;&gt;"",IFERROR(INDEX(SUB_CATID,MATCH($L295,SUB_ID,0)),"")&lt;&gt;$K295),"ERRO: subcategoria nao pertence a categoria",IF(AND($O295&lt;&gt;"",COUNTIF(P_ID,$O295)=0),"ERRO: parcela inexistente",IF(AND($N295&lt;&gt;"",COUNTIF(CM_ID,$N295)=0),"ERRO: compromisso inexistente","OK")))))))))))))</f>
        <v/>
      </c>
      <c r="AK295" s="35" t="str">
        <f aca="false">IF($B295="","",IF(AND($N295="",$O295="",$P295="",$Q295="",$R295=""),"","VINCULADO: "&amp;TRIM(IF($N295&lt;&gt;"",$N295&amp;" ","")&amp;IF($O295&lt;&gt;"",$O295&amp;" ","")&amp;IF($P295&lt;&gt;"",$P295&amp;" ","")&amp;IF($Q295&lt;&gt;"",$Q295&amp;" ","")&amp;IF($R295&lt;&gt;"",$R295,""))))</f>
        <v/>
      </c>
    </row>
    <row r="296" customFormat="false" ht="15" hidden="false" customHeight="false" outlineLevel="0" collapsed="false">
      <c r="A296" s="30" t="str">
        <f aca="false">IF($B296="","","LAN-"&amp;TEXT(ROW()-4,"000000"))</f>
        <v/>
      </c>
      <c r="B296" s="31"/>
      <c r="C296" s="32"/>
      <c r="D296" s="32"/>
      <c r="E296" s="32"/>
      <c r="F296" s="33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4" t="str">
        <f aca="false">IF($B296="","",YEAR($B296))</f>
        <v/>
      </c>
      <c r="U296" s="34" t="str">
        <f aca="false">IF($B296="","",MONTH($B296))</f>
        <v/>
      </c>
      <c r="V296" s="34" t="str">
        <f aca="false">IF($B296="","",YEAR($B296)*100+MONTH($B296))</f>
        <v/>
      </c>
      <c r="W296" s="35" t="str">
        <f aca="false">IF($D296="","",IFERROR(INDEX(MAP_CLASS,MATCH($D296,MAP_TIPO,0)),"TIPO INVALIDO"))</f>
        <v/>
      </c>
      <c r="X296" s="35" t="str">
        <f aca="false">IF($K296="","",IFERROR(INDEX(CAT_NOME,MATCH($K296,CAT_ID,0)),"?"))</f>
        <v/>
      </c>
      <c r="Y296" s="35" t="str">
        <f aca="false">IF($L296="","",IFERROR(INDEX(SUB_NOME,MATCH($L296,SUB_ID,0)),"?"))</f>
        <v/>
      </c>
      <c r="Z296" s="35" t="str">
        <f aca="false">IF($G296="","",IF($G296="EXTERNO","(Externo)",IFERROR(INDEX(ENT_NOME,MATCH($H296,ENT_ID,0)),"?")))</f>
        <v/>
      </c>
      <c r="AA296" s="35" t="str">
        <f aca="false">IF($I296="","",IF($I296="EXTERNO","(Externo)",IFERROR(INDEX(ENT_NOME,MATCH($J296,ENT_ID,0)),"?")))</f>
        <v/>
      </c>
      <c r="AB296" s="36" t="n">
        <f aca="false">IF($B296="",0,IF(AND($I296="CONTA",$G296&lt;&gt;"CONTA"),$F296,0))</f>
        <v>0</v>
      </c>
      <c r="AC296" s="36" t="n">
        <f aca="false">IF($B296="",0,IF(AND($G296="CONTA",$I296&lt;&gt;"CONTA"),$F296,0))</f>
        <v>0</v>
      </c>
      <c r="AD296" s="36" t="n">
        <f aca="false">IF($W296="RECEITA",$F296,0)</f>
        <v>0</v>
      </c>
      <c r="AE296" s="36" t="n">
        <f aca="false">IF($W296="DESPESA",$F296,0)</f>
        <v>0</v>
      </c>
      <c r="AF296" s="36" t="n">
        <f aca="false">IF($W296="RECEITA_FINANCEIRA",$F296,0)</f>
        <v>0</v>
      </c>
      <c r="AG296" s="36" t="n">
        <f aca="false">IF($B296="",0,IF($I296="CONTA",$F296,0)-IF($G296="CONTA",$F296,0))</f>
        <v>0</v>
      </c>
      <c r="AH296" s="36" t="n">
        <f aca="false">IF($B296="",0,IF($G296="CARTAO",$F296,0)-IF($I296="CARTAO",$F296,0))</f>
        <v>0</v>
      </c>
      <c r="AI296" s="36" t="n">
        <f aca="false">IF($B296="",0,IF($I296="INVESTIMENTO",$F296,0)-IF($G296="INVESTIMENTO",$F296,0))</f>
        <v>0</v>
      </c>
      <c r="AJ296" s="35" t="str">
        <f aca="false">IF($B296="","",IF(NOT(ISNUMBER($F296)),"ERRO: valor nao numerico",IF($F296&lt;=0,"ERRO: valor deve ser maior que zero",IF(COUNTIF(MAP_TIPO,$D296)=0,"ERRO: tipo de operacao nao cadastrado",IF(COUNTIF(LST_STATUS,$E296)=0,"ERRO: status invalido",IF(AND($G296="EXTERNO",$I296="EXTERNO"),"ERRO: origem e destino externos",IF(AND($G296&lt;&gt;"EXTERNO",COUNTIFS(ENT_ID,$H296,ENT_TIPO,$G296)=0),"ERRO: origem inexistente",IF(AND($I296&lt;&gt;"EXTERNO",COUNTIFS(ENT_ID,$J296,ENT_TIPO,$I296)=0),"ERRO: destino inexistente",IF(AND($K296&lt;&gt;"",COUNTIF(CAT_ID,$K296)=0),"ERRO: categoria inexistente",IF(AND($L296&lt;&gt;"",COUNTIF(SUB_ID,$L296)=0),"ERRO: subcategoria inexistente",IF(AND($L296&lt;&gt;"",$K296&lt;&gt;"",IFERROR(INDEX(SUB_CATID,MATCH($L296,SUB_ID,0)),"")&lt;&gt;$K296),"ERRO: subcategoria nao pertence a categoria",IF(AND($O296&lt;&gt;"",COUNTIF(P_ID,$O296)=0),"ERRO: parcela inexistente",IF(AND($N296&lt;&gt;"",COUNTIF(CM_ID,$N296)=0),"ERRO: compromisso inexistente","OK")))))))))))))</f>
        <v/>
      </c>
      <c r="AK296" s="35" t="str">
        <f aca="false">IF($B296="","",IF(AND($N296="",$O296="",$P296="",$Q296="",$R296=""),"","VINCULADO: "&amp;TRIM(IF($N296&lt;&gt;"",$N296&amp;" ","")&amp;IF($O296&lt;&gt;"",$O296&amp;" ","")&amp;IF($P296&lt;&gt;"",$P296&amp;" ","")&amp;IF($Q296&lt;&gt;"",$Q296&amp;" ","")&amp;IF($R296&lt;&gt;"",$R296,""))))</f>
        <v/>
      </c>
    </row>
    <row r="297" customFormat="false" ht="15" hidden="false" customHeight="false" outlineLevel="0" collapsed="false">
      <c r="A297" s="30" t="str">
        <f aca="false">IF($B297="","","LAN-"&amp;TEXT(ROW()-4,"000000"))</f>
        <v/>
      </c>
      <c r="B297" s="31"/>
      <c r="C297" s="32"/>
      <c r="D297" s="32"/>
      <c r="E297" s="32"/>
      <c r="F297" s="33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4" t="str">
        <f aca="false">IF($B297="","",YEAR($B297))</f>
        <v/>
      </c>
      <c r="U297" s="34" t="str">
        <f aca="false">IF($B297="","",MONTH($B297))</f>
        <v/>
      </c>
      <c r="V297" s="34" t="str">
        <f aca="false">IF($B297="","",YEAR($B297)*100+MONTH($B297))</f>
        <v/>
      </c>
      <c r="W297" s="35" t="str">
        <f aca="false">IF($D297="","",IFERROR(INDEX(MAP_CLASS,MATCH($D297,MAP_TIPO,0)),"TIPO INVALIDO"))</f>
        <v/>
      </c>
      <c r="X297" s="35" t="str">
        <f aca="false">IF($K297="","",IFERROR(INDEX(CAT_NOME,MATCH($K297,CAT_ID,0)),"?"))</f>
        <v/>
      </c>
      <c r="Y297" s="35" t="str">
        <f aca="false">IF($L297="","",IFERROR(INDEX(SUB_NOME,MATCH($L297,SUB_ID,0)),"?"))</f>
        <v/>
      </c>
      <c r="Z297" s="35" t="str">
        <f aca="false">IF($G297="","",IF($G297="EXTERNO","(Externo)",IFERROR(INDEX(ENT_NOME,MATCH($H297,ENT_ID,0)),"?")))</f>
        <v/>
      </c>
      <c r="AA297" s="35" t="str">
        <f aca="false">IF($I297="","",IF($I297="EXTERNO","(Externo)",IFERROR(INDEX(ENT_NOME,MATCH($J297,ENT_ID,0)),"?")))</f>
        <v/>
      </c>
      <c r="AB297" s="36" t="n">
        <f aca="false">IF($B297="",0,IF(AND($I297="CONTA",$G297&lt;&gt;"CONTA"),$F297,0))</f>
        <v>0</v>
      </c>
      <c r="AC297" s="36" t="n">
        <f aca="false">IF($B297="",0,IF(AND($G297="CONTA",$I297&lt;&gt;"CONTA"),$F297,0))</f>
        <v>0</v>
      </c>
      <c r="AD297" s="36" t="n">
        <f aca="false">IF($W297="RECEITA",$F297,0)</f>
        <v>0</v>
      </c>
      <c r="AE297" s="36" t="n">
        <f aca="false">IF($W297="DESPESA",$F297,0)</f>
        <v>0</v>
      </c>
      <c r="AF297" s="36" t="n">
        <f aca="false">IF($W297="RECEITA_FINANCEIRA",$F297,0)</f>
        <v>0</v>
      </c>
      <c r="AG297" s="36" t="n">
        <f aca="false">IF($B297="",0,IF($I297="CONTA",$F297,0)-IF($G297="CONTA",$F297,0))</f>
        <v>0</v>
      </c>
      <c r="AH297" s="36" t="n">
        <f aca="false">IF($B297="",0,IF($G297="CARTAO",$F297,0)-IF($I297="CARTAO",$F297,0))</f>
        <v>0</v>
      </c>
      <c r="AI297" s="36" t="n">
        <f aca="false">IF($B297="",0,IF($I297="INVESTIMENTO",$F297,0)-IF($G297="INVESTIMENTO",$F297,0))</f>
        <v>0</v>
      </c>
      <c r="AJ297" s="35" t="str">
        <f aca="false">IF($B297="","",IF(NOT(ISNUMBER($F297)),"ERRO: valor nao numerico",IF($F297&lt;=0,"ERRO: valor deve ser maior que zero",IF(COUNTIF(MAP_TIPO,$D297)=0,"ERRO: tipo de operacao nao cadastrado",IF(COUNTIF(LST_STATUS,$E297)=0,"ERRO: status invalido",IF(AND($G297="EXTERNO",$I297="EXTERNO"),"ERRO: origem e destino externos",IF(AND($G297&lt;&gt;"EXTERNO",COUNTIFS(ENT_ID,$H297,ENT_TIPO,$G297)=0),"ERRO: origem inexistente",IF(AND($I297&lt;&gt;"EXTERNO",COUNTIFS(ENT_ID,$J297,ENT_TIPO,$I297)=0),"ERRO: destino inexistente",IF(AND($K297&lt;&gt;"",COUNTIF(CAT_ID,$K297)=0),"ERRO: categoria inexistente",IF(AND($L297&lt;&gt;"",COUNTIF(SUB_ID,$L297)=0),"ERRO: subcategoria inexistente",IF(AND($L297&lt;&gt;"",$K297&lt;&gt;"",IFERROR(INDEX(SUB_CATID,MATCH($L297,SUB_ID,0)),"")&lt;&gt;$K297),"ERRO: subcategoria nao pertence a categoria",IF(AND($O297&lt;&gt;"",COUNTIF(P_ID,$O297)=0),"ERRO: parcela inexistente",IF(AND($N297&lt;&gt;"",COUNTIF(CM_ID,$N297)=0),"ERRO: compromisso inexistente","OK")))))))))))))</f>
        <v/>
      </c>
      <c r="AK297" s="35" t="str">
        <f aca="false">IF($B297="","",IF(AND($N297="",$O297="",$P297="",$Q297="",$R297=""),"","VINCULADO: "&amp;TRIM(IF($N297&lt;&gt;"",$N297&amp;" ","")&amp;IF($O297&lt;&gt;"",$O297&amp;" ","")&amp;IF($P297&lt;&gt;"",$P297&amp;" ","")&amp;IF($Q297&lt;&gt;"",$Q297&amp;" ","")&amp;IF($R297&lt;&gt;"",$R297,""))))</f>
        <v/>
      </c>
    </row>
    <row r="298" customFormat="false" ht="15" hidden="false" customHeight="false" outlineLevel="0" collapsed="false">
      <c r="A298" s="30" t="str">
        <f aca="false">IF($B298="","","LAN-"&amp;TEXT(ROW()-4,"000000"))</f>
        <v/>
      </c>
      <c r="B298" s="31"/>
      <c r="C298" s="32"/>
      <c r="D298" s="32"/>
      <c r="E298" s="32"/>
      <c r="F298" s="33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4" t="str">
        <f aca="false">IF($B298="","",YEAR($B298))</f>
        <v/>
      </c>
      <c r="U298" s="34" t="str">
        <f aca="false">IF($B298="","",MONTH($B298))</f>
        <v/>
      </c>
      <c r="V298" s="34" t="str">
        <f aca="false">IF($B298="","",YEAR($B298)*100+MONTH($B298))</f>
        <v/>
      </c>
      <c r="W298" s="35" t="str">
        <f aca="false">IF($D298="","",IFERROR(INDEX(MAP_CLASS,MATCH($D298,MAP_TIPO,0)),"TIPO INVALIDO"))</f>
        <v/>
      </c>
      <c r="X298" s="35" t="str">
        <f aca="false">IF($K298="","",IFERROR(INDEX(CAT_NOME,MATCH($K298,CAT_ID,0)),"?"))</f>
        <v/>
      </c>
      <c r="Y298" s="35" t="str">
        <f aca="false">IF($L298="","",IFERROR(INDEX(SUB_NOME,MATCH($L298,SUB_ID,0)),"?"))</f>
        <v/>
      </c>
      <c r="Z298" s="35" t="str">
        <f aca="false">IF($G298="","",IF($G298="EXTERNO","(Externo)",IFERROR(INDEX(ENT_NOME,MATCH($H298,ENT_ID,0)),"?")))</f>
        <v/>
      </c>
      <c r="AA298" s="35" t="str">
        <f aca="false">IF($I298="","",IF($I298="EXTERNO","(Externo)",IFERROR(INDEX(ENT_NOME,MATCH($J298,ENT_ID,0)),"?")))</f>
        <v/>
      </c>
      <c r="AB298" s="36" t="n">
        <f aca="false">IF($B298="",0,IF(AND($I298="CONTA",$G298&lt;&gt;"CONTA"),$F298,0))</f>
        <v>0</v>
      </c>
      <c r="AC298" s="36" t="n">
        <f aca="false">IF($B298="",0,IF(AND($G298="CONTA",$I298&lt;&gt;"CONTA"),$F298,0))</f>
        <v>0</v>
      </c>
      <c r="AD298" s="36" t="n">
        <f aca="false">IF($W298="RECEITA",$F298,0)</f>
        <v>0</v>
      </c>
      <c r="AE298" s="36" t="n">
        <f aca="false">IF($W298="DESPESA",$F298,0)</f>
        <v>0</v>
      </c>
      <c r="AF298" s="36" t="n">
        <f aca="false">IF($W298="RECEITA_FINANCEIRA",$F298,0)</f>
        <v>0</v>
      </c>
      <c r="AG298" s="36" t="n">
        <f aca="false">IF($B298="",0,IF($I298="CONTA",$F298,0)-IF($G298="CONTA",$F298,0))</f>
        <v>0</v>
      </c>
      <c r="AH298" s="36" t="n">
        <f aca="false">IF($B298="",0,IF($G298="CARTAO",$F298,0)-IF($I298="CARTAO",$F298,0))</f>
        <v>0</v>
      </c>
      <c r="AI298" s="36" t="n">
        <f aca="false">IF($B298="",0,IF($I298="INVESTIMENTO",$F298,0)-IF($G298="INVESTIMENTO",$F298,0))</f>
        <v>0</v>
      </c>
      <c r="AJ298" s="35" t="str">
        <f aca="false">IF($B298="","",IF(NOT(ISNUMBER($F298)),"ERRO: valor nao numerico",IF($F298&lt;=0,"ERRO: valor deve ser maior que zero",IF(COUNTIF(MAP_TIPO,$D298)=0,"ERRO: tipo de operacao nao cadastrado",IF(COUNTIF(LST_STATUS,$E298)=0,"ERRO: status invalido",IF(AND($G298="EXTERNO",$I298="EXTERNO"),"ERRO: origem e destino externos",IF(AND($G298&lt;&gt;"EXTERNO",COUNTIFS(ENT_ID,$H298,ENT_TIPO,$G298)=0),"ERRO: origem inexistente",IF(AND($I298&lt;&gt;"EXTERNO",COUNTIFS(ENT_ID,$J298,ENT_TIPO,$I298)=0),"ERRO: destino inexistente",IF(AND($K298&lt;&gt;"",COUNTIF(CAT_ID,$K298)=0),"ERRO: categoria inexistente",IF(AND($L298&lt;&gt;"",COUNTIF(SUB_ID,$L298)=0),"ERRO: subcategoria inexistente",IF(AND($L298&lt;&gt;"",$K298&lt;&gt;"",IFERROR(INDEX(SUB_CATID,MATCH($L298,SUB_ID,0)),"")&lt;&gt;$K298),"ERRO: subcategoria nao pertence a categoria",IF(AND($O298&lt;&gt;"",COUNTIF(P_ID,$O298)=0),"ERRO: parcela inexistente",IF(AND($N298&lt;&gt;"",COUNTIF(CM_ID,$N298)=0),"ERRO: compromisso inexistente","OK")))))))))))))</f>
        <v/>
      </c>
      <c r="AK298" s="35" t="str">
        <f aca="false">IF($B298="","",IF(AND($N298="",$O298="",$P298="",$Q298="",$R298=""),"","VINCULADO: "&amp;TRIM(IF($N298&lt;&gt;"",$N298&amp;" ","")&amp;IF($O298&lt;&gt;"",$O298&amp;" ","")&amp;IF($P298&lt;&gt;"",$P298&amp;" ","")&amp;IF($Q298&lt;&gt;"",$Q298&amp;" ","")&amp;IF($R298&lt;&gt;"",$R298,""))))</f>
        <v/>
      </c>
    </row>
    <row r="299" customFormat="false" ht="15" hidden="false" customHeight="false" outlineLevel="0" collapsed="false">
      <c r="A299" s="30" t="str">
        <f aca="false">IF($B299="","","LAN-"&amp;TEXT(ROW()-4,"000000"))</f>
        <v/>
      </c>
      <c r="B299" s="31"/>
      <c r="C299" s="32"/>
      <c r="D299" s="32"/>
      <c r="E299" s="32"/>
      <c r="F299" s="33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4" t="str">
        <f aca="false">IF($B299="","",YEAR($B299))</f>
        <v/>
      </c>
      <c r="U299" s="34" t="str">
        <f aca="false">IF($B299="","",MONTH($B299))</f>
        <v/>
      </c>
      <c r="V299" s="34" t="str">
        <f aca="false">IF($B299="","",YEAR($B299)*100+MONTH($B299))</f>
        <v/>
      </c>
      <c r="W299" s="35" t="str">
        <f aca="false">IF($D299="","",IFERROR(INDEX(MAP_CLASS,MATCH($D299,MAP_TIPO,0)),"TIPO INVALIDO"))</f>
        <v/>
      </c>
      <c r="X299" s="35" t="str">
        <f aca="false">IF($K299="","",IFERROR(INDEX(CAT_NOME,MATCH($K299,CAT_ID,0)),"?"))</f>
        <v/>
      </c>
      <c r="Y299" s="35" t="str">
        <f aca="false">IF($L299="","",IFERROR(INDEX(SUB_NOME,MATCH($L299,SUB_ID,0)),"?"))</f>
        <v/>
      </c>
      <c r="Z299" s="35" t="str">
        <f aca="false">IF($G299="","",IF($G299="EXTERNO","(Externo)",IFERROR(INDEX(ENT_NOME,MATCH($H299,ENT_ID,0)),"?")))</f>
        <v/>
      </c>
      <c r="AA299" s="35" t="str">
        <f aca="false">IF($I299="","",IF($I299="EXTERNO","(Externo)",IFERROR(INDEX(ENT_NOME,MATCH($J299,ENT_ID,0)),"?")))</f>
        <v/>
      </c>
      <c r="AB299" s="36" t="n">
        <f aca="false">IF($B299="",0,IF(AND($I299="CONTA",$G299&lt;&gt;"CONTA"),$F299,0))</f>
        <v>0</v>
      </c>
      <c r="AC299" s="36" t="n">
        <f aca="false">IF($B299="",0,IF(AND($G299="CONTA",$I299&lt;&gt;"CONTA"),$F299,0))</f>
        <v>0</v>
      </c>
      <c r="AD299" s="36" t="n">
        <f aca="false">IF($W299="RECEITA",$F299,0)</f>
        <v>0</v>
      </c>
      <c r="AE299" s="36" t="n">
        <f aca="false">IF($W299="DESPESA",$F299,0)</f>
        <v>0</v>
      </c>
      <c r="AF299" s="36" t="n">
        <f aca="false">IF($W299="RECEITA_FINANCEIRA",$F299,0)</f>
        <v>0</v>
      </c>
      <c r="AG299" s="36" t="n">
        <f aca="false">IF($B299="",0,IF($I299="CONTA",$F299,0)-IF($G299="CONTA",$F299,0))</f>
        <v>0</v>
      </c>
      <c r="AH299" s="36" t="n">
        <f aca="false">IF($B299="",0,IF($G299="CARTAO",$F299,0)-IF($I299="CARTAO",$F299,0))</f>
        <v>0</v>
      </c>
      <c r="AI299" s="36" t="n">
        <f aca="false">IF($B299="",0,IF($I299="INVESTIMENTO",$F299,0)-IF($G299="INVESTIMENTO",$F299,0))</f>
        <v>0</v>
      </c>
      <c r="AJ299" s="35" t="str">
        <f aca="false">IF($B299="","",IF(NOT(ISNUMBER($F299)),"ERRO: valor nao numerico",IF($F299&lt;=0,"ERRO: valor deve ser maior que zero",IF(COUNTIF(MAP_TIPO,$D299)=0,"ERRO: tipo de operacao nao cadastrado",IF(COUNTIF(LST_STATUS,$E299)=0,"ERRO: status invalido",IF(AND($G299="EXTERNO",$I299="EXTERNO"),"ERRO: origem e destino externos",IF(AND($G299&lt;&gt;"EXTERNO",COUNTIFS(ENT_ID,$H299,ENT_TIPO,$G299)=0),"ERRO: origem inexistente",IF(AND($I299&lt;&gt;"EXTERNO",COUNTIFS(ENT_ID,$J299,ENT_TIPO,$I299)=0),"ERRO: destino inexistente",IF(AND($K299&lt;&gt;"",COUNTIF(CAT_ID,$K299)=0),"ERRO: categoria inexistente",IF(AND($L299&lt;&gt;"",COUNTIF(SUB_ID,$L299)=0),"ERRO: subcategoria inexistente",IF(AND($L299&lt;&gt;"",$K299&lt;&gt;"",IFERROR(INDEX(SUB_CATID,MATCH($L299,SUB_ID,0)),"")&lt;&gt;$K299),"ERRO: subcategoria nao pertence a categoria",IF(AND($O299&lt;&gt;"",COUNTIF(P_ID,$O299)=0),"ERRO: parcela inexistente",IF(AND($N299&lt;&gt;"",COUNTIF(CM_ID,$N299)=0),"ERRO: compromisso inexistente","OK")))))))))))))</f>
        <v/>
      </c>
      <c r="AK299" s="35" t="str">
        <f aca="false">IF($B299="","",IF(AND($N299="",$O299="",$P299="",$Q299="",$R299=""),"","VINCULADO: "&amp;TRIM(IF($N299&lt;&gt;"",$N299&amp;" ","")&amp;IF($O299&lt;&gt;"",$O299&amp;" ","")&amp;IF($P299&lt;&gt;"",$P299&amp;" ","")&amp;IF($Q299&lt;&gt;"",$Q299&amp;" ","")&amp;IF($R299&lt;&gt;"",$R299,""))))</f>
        <v/>
      </c>
    </row>
    <row r="300" customFormat="false" ht="15" hidden="false" customHeight="false" outlineLevel="0" collapsed="false">
      <c r="A300" s="30" t="str">
        <f aca="false">IF($B300="","","LAN-"&amp;TEXT(ROW()-4,"000000"))</f>
        <v/>
      </c>
      <c r="B300" s="31"/>
      <c r="C300" s="32"/>
      <c r="D300" s="32"/>
      <c r="E300" s="32"/>
      <c r="F300" s="33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4" t="str">
        <f aca="false">IF($B300="","",YEAR($B300))</f>
        <v/>
      </c>
      <c r="U300" s="34" t="str">
        <f aca="false">IF($B300="","",MONTH($B300))</f>
        <v/>
      </c>
      <c r="V300" s="34" t="str">
        <f aca="false">IF($B300="","",YEAR($B300)*100+MONTH($B300))</f>
        <v/>
      </c>
      <c r="W300" s="35" t="str">
        <f aca="false">IF($D300="","",IFERROR(INDEX(MAP_CLASS,MATCH($D300,MAP_TIPO,0)),"TIPO INVALIDO"))</f>
        <v/>
      </c>
      <c r="X300" s="35" t="str">
        <f aca="false">IF($K300="","",IFERROR(INDEX(CAT_NOME,MATCH($K300,CAT_ID,0)),"?"))</f>
        <v/>
      </c>
      <c r="Y300" s="35" t="str">
        <f aca="false">IF($L300="","",IFERROR(INDEX(SUB_NOME,MATCH($L300,SUB_ID,0)),"?"))</f>
        <v/>
      </c>
      <c r="Z300" s="35" t="str">
        <f aca="false">IF($G300="","",IF($G300="EXTERNO","(Externo)",IFERROR(INDEX(ENT_NOME,MATCH($H300,ENT_ID,0)),"?")))</f>
        <v/>
      </c>
      <c r="AA300" s="35" t="str">
        <f aca="false">IF($I300="","",IF($I300="EXTERNO","(Externo)",IFERROR(INDEX(ENT_NOME,MATCH($J300,ENT_ID,0)),"?")))</f>
        <v/>
      </c>
      <c r="AB300" s="36" t="n">
        <f aca="false">IF($B300="",0,IF(AND($I300="CONTA",$G300&lt;&gt;"CONTA"),$F300,0))</f>
        <v>0</v>
      </c>
      <c r="AC300" s="36" t="n">
        <f aca="false">IF($B300="",0,IF(AND($G300="CONTA",$I300&lt;&gt;"CONTA"),$F300,0))</f>
        <v>0</v>
      </c>
      <c r="AD300" s="36" t="n">
        <f aca="false">IF($W300="RECEITA",$F300,0)</f>
        <v>0</v>
      </c>
      <c r="AE300" s="36" t="n">
        <f aca="false">IF($W300="DESPESA",$F300,0)</f>
        <v>0</v>
      </c>
      <c r="AF300" s="36" t="n">
        <f aca="false">IF($W300="RECEITA_FINANCEIRA",$F300,0)</f>
        <v>0</v>
      </c>
      <c r="AG300" s="36" t="n">
        <f aca="false">IF($B300="",0,IF($I300="CONTA",$F300,0)-IF($G300="CONTA",$F300,0))</f>
        <v>0</v>
      </c>
      <c r="AH300" s="36" t="n">
        <f aca="false">IF($B300="",0,IF($G300="CARTAO",$F300,0)-IF($I300="CARTAO",$F300,0))</f>
        <v>0</v>
      </c>
      <c r="AI300" s="36" t="n">
        <f aca="false">IF($B300="",0,IF($I300="INVESTIMENTO",$F300,0)-IF($G300="INVESTIMENTO",$F300,0))</f>
        <v>0</v>
      </c>
      <c r="AJ300" s="35" t="str">
        <f aca="false">IF($B300="","",IF(NOT(ISNUMBER($F300)),"ERRO: valor nao numerico",IF($F300&lt;=0,"ERRO: valor deve ser maior que zero",IF(COUNTIF(MAP_TIPO,$D300)=0,"ERRO: tipo de operacao nao cadastrado",IF(COUNTIF(LST_STATUS,$E300)=0,"ERRO: status invalido",IF(AND($G300="EXTERNO",$I300="EXTERNO"),"ERRO: origem e destino externos",IF(AND($G300&lt;&gt;"EXTERNO",COUNTIFS(ENT_ID,$H300,ENT_TIPO,$G300)=0),"ERRO: origem inexistente",IF(AND($I300&lt;&gt;"EXTERNO",COUNTIFS(ENT_ID,$J300,ENT_TIPO,$I300)=0),"ERRO: destino inexistente",IF(AND($K300&lt;&gt;"",COUNTIF(CAT_ID,$K300)=0),"ERRO: categoria inexistente",IF(AND($L300&lt;&gt;"",COUNTIF(SUB_ID,$L300)=0),"ERRO: subcategoria inexistente",IF(AND($L300&lt;&gt;"",$K300&lt;&gt;"",IFERROR(INDEX(SUB_CATID,MATCH($L300,SUB_ID,0)),"")&lt;&gt;$K300),"ERRO: subcategoria nao pertence a categoria",IF(AND($O300&lt;&gt;"",COUNTIF(P_ID,$O300)=0),"ERRO: parcela inexistente",IF(AND($N300&lt;&gt;"",COUNTIF(CM_ID,$N300)=0),"ERRO: compromisso inexistente","OK")))))))))))))</f>
        <v/>
      </c>
      <c r="AK300" s="35" t="str">
        <f aca="false">IF($B300="","",IF(AND($N300="",$O300="",$P300="",$Q300="",$R300=""),"","VINCULADO: "&amp;TRIM(IF($N300&lt;&gt;"",$N300&amp;" ","")&amp;IF($O300&lt;&gt;"",$O300&amp;" ","")&amp;IF($P300&lt;&gt;"",$P300&amp;" ","")&amp;IF($Q300&lt;&gt;"",$Q300&amp;" ","")&amp;IF($R300&lt;&gt;"",$R300,""))))</f>
        <v/>
      </c>
    </row>
    <row r="301" customFormat="false" ht="15" hidden="false" customHeight="false" outlineLevel="0" collapsed="false">
      <c r="A301" s="30" t="str">
        <f aca="false">IF($B301="","","LAN-"&amp;TEXT(ROW()-4,"000000"))</f>
        <v/>
      </c>
      <c r="B301" s="31"/>
      <c r="C301" s="32"/>
      <c r="D301" s="32"/>
      <c r="E301" s="32"/>
      <c r="F301" s="33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4" t="str">
        <f aca="false">IF($B301="","",YEAR($B301))</f>
        <v/>
      </c>
      <c r="U301" s="34" t="str">
        <f aca="false">IF($B301="","",MONTH($B301))</f>
        <v/>
      </c>
      <c r="V301" s="34" t="str">
        <f aca="false">IF($B301="","",YEAR($B301)*100+MONTH($B301))</f>
        <v/>
      </c>
      <c r="W301" s="35" t="str">
        <f aca="false">IF($D301="","",IFERROR(INDEX(MAP_CLASS,MATCH($D301,MAP_TIPO,0)),"TIPO INVALIDO"))</f>
        <v/>
      </c>
      <c r="X301" s="35" t="str">
        <f aca="false">IF($K301="","",IFERROR(INDEX(CAT_NOME,MATCH($K301,CAT_ID,0)),"?"))</f>
        <v/>
      </c>
      <c r="Y301" s="35" t="str">
        <f aca="false">IF($L301="","",IFERROR(INDEX(SUB_NOME,MATCH($L301,SUB_ID,0)),"?"))</f>
        <v/>
      </c>
      <c r="Z301" s="35" t="str">
        <f aca="false">IF($G301="","",IF($G301="EXTERNO","(Externo)",IFERROR(INDEX(ENT_NOME,MATCH($H301,ENT_ID,0)),"?")))</f>
        <v/>
      </c>
      <c r="AA301" s="35" t="str">
        <f aca="false">IF($I301="","",IF($I301="EXTERNO","(Externo)",IFERROR(INDEX(ENT_NOME,MATCH($J301,ENT_ID,0)),"?")))</f>
        <v/>
      </c>
      <c r="AB301" s="36" t="n">
        <f aca="false">IF($B301="",0,IF(AND($I301="CONTA",$G301&lt;&gt;"CONTA"),$F301,0))</f>
        <v>0</v>
      </c>
      <c r="AC301" s="36" t="n">
        <f aca="false">IF($B301="",0,IF(AND($G301="CONTA",$I301&lt;&gt;"CONTA"),$F301,0))</f>
        <v>0</v>
      </c>
      <c r="AD301" s="36" t="n">
        <f aca="false">IF($W301="RECEITA",$F301,0)</f>
        <v>0</v>
      </c>
      <c r="AE301" s="36" t="n">
        <f aca="false">IF($W301="DESPESA",$F301,0)</f>
        <v>0</v>
      </c>
      <c r="AF301" s="36" t="n">
        <f aca="false">IF($W301="RECEITA_FINANCEIRA",$F301,0)</f>
        <v>0</v>
      </c>
      <c r="AG301" s="36" t="n">
        <f aca="false">IF($B301="",0,IF($I301="CONTA",$F301,0)-IF($G301="CONTA",$F301,0))</f>
        <v>0</v>
      </c>
      <c r="AH301" s="36" t="n">
        <f aca="false">IF($B301="",0,IF($G301="CARTAO",$F301,0)-IF($I301="CARTAO",$F301,0))</f>
        <v>0</v>
      </c>
      <c r="AI301" s="36" t="n">
        <f aca="false">IF($B301="",0,IF($I301="INVESTIMENTO",$F301,0)-IF($G301="INVESTIMENTO",$F301,0))</f>
        <v>0</v>
      </c>
      <c r="AJ301" s="35" t="str">
        <f aca="false">IF($B301="","",IF(NOT(ISNUMBER($F301)),"ERRO: valor nao numerico",IF($F301&lt;=0,"ERRO: valor deve ser maior que zero",IF(COUNTIF(MAP_TIPO,$D301)=0,"ERRO: tipo de operacao nao cadastrado",IF(COUNTIF(LST_STATUS,$E301)=0,"ERRO: status invalido",IF(AND($G301="EXTERNO",$I301="EXTERNO"),"ERRO: origem e destino externos",IF(AND($G301&lt;&gt;"EXTERNO",COUNTIFS(ENT_ID,$H301,ENT_TIPO,$G301)=0),"ERRO: origem inexistente",IF(AND($I301&lt;&gt;"EXTERNO",COUNTIFS(ENT_ID,$J301,ENT_TIPO,$I301)=0),"ERRO: destino inexistente",IF(AND($K301&lt;&gt;"",COUNTIF(CAT_ID,$K301)=0),"ERRO: categoria inexistente",IF(AND($L301&lt;&gt;"",COUNTIF(SUB_ID,$L301)=0),"ERRO: subcategoria inexistente",IF(AND($L301&lt;&gt;"",$K301&lt;&gt;"",IFERROR(INDEX(SUB_CATID,MATCH($L301,SUB_ID,0)),"")&lt;&gt;$K301),"ERRO: subcategoria nao pertence a categoria",IF(AND($O301&lt;&gt;"",COUNTIF(P_ID,$O301)=0),"ERRO: parcela inexistente",IF(AND($N301&lt;&gt;"",COUNTIF(CM_ID,$N301)=0),"ERRO: compromisso inexistente","OK")))))))))))))</f>
        <v/>
      </c>
      <c r="AK301" s="35" t="str">
        <f aca="false">IF($B301="","",IF(AND($N301="",$O301="",$P301="",$Q301="",$R301=""),"","VINCULADO: "&amp;TRIM(IF($N301&lt;&gt;"",$N301&amp;" ","")&amp;IF($O301&lt;&gt;"",$O301&amp;" ","")&amp;IF($P301&lt;&gt;"",$P301&amp;" ","")&amp;IF($Q301&lt;&gt;"",$Q301&amp;" ","")&amp;IF($R301&lt;&gt;"",$R301,""))))</f>
        <v/>
      </c>
    </row>
    <row r="302" customFormat="false" ht="15" hidden="false" customHeight="false" outlineLevel="0" collapsed="false">
      <c r="A302" s="30" t="str">
        <f aca="false">IF($B302="","","LAN-"&amp;TEXT(ROW()-4,"000000"))</f>
        <v/>
      </c>
      <c r="B302" s="31"/>
      <c r="C302" s="32"/>
      <c r="D302" s="32"/>
      <c r="E302" s="32"/>
      <c r="F302" s="33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4" t="str">
        <f aca="false">IF($B302="","",YEAR($B302))</f>
        <v/>
      </c>
      <c r="U302" s="34" t="str">
        <f aca="false">IF($B302="","",MONTH($B302))</f>
        <v/>
      </c>
      <c r="V302" s="34" t="str">
        <f aca="false">IF($B302="","",YEAR($B302)*100+MONTH($B302))</f>
        <v/>
      </c>
      <c r="W302" s="35" t="str">
        <f aca="false">IF($D302="","",IFERROR(INDEX(MAP_CLASS,MATCH($D302,MAP_TIPO,0)),"TIPO INVALIDO"))</f>
        <v/>
      </c>
      <c r="X302" s="35" t="str">
        <f aca="false">IF($K302="","",IFERROR(INDEX(CAT_NOME,MATCH($K302,CAT_ID,0)),"?"))</f>
        <v/>
      </c>
      <c r="Y302" s="35" t="str">
        <f aca="false">IF($L302="","",IFERROR(INDEX(SUB_NOME,MATCH($L302,SUB_ID,0)),"?"))</f>
        <v/>
      </c>
      <c r="Z302" s="35" t="str">
        <f aca="false">IF($G302="","",IF($G302="EXTERNO","(Externo)",IFERROR(INDEX(ENT_NOME,MATCH($H302,ENT_ID,0)),"?")))</f>
        <v/>
      </c>
      <c r="AA302" s="35" t="str">
        <f aca="false">IF($I302="","",IF($I302="EXTERNO","(Externo)",IFERROR(INDEX(ENT_NOME,MATCH($J302,ENT_ID,0)),"?")))</f>
        <v/>
      </c>
      <c r="AB302" s="36" t="n">
        <f aca="false">IF($B302="",0,IF(AND($I302="CONTA",$G302&lt;&gt;"CONTA"),$F302,0))</f>
        <v>0</v>
      </c>
      <c r="AC302" s="36" t="n">
        <f aca="false">IF($B302="",0,IF(AND($G302="CONTA",$I302&lt;&gt;"CONTA"),$F302,0))</f>
        <v>0</v>
      </c>
      <c r="AD302" s="36" t="n">
        <f aca="false">IF($W302="RECEITA",$F302,0)</f>
        <v>0</v>
      </c>
      <c r="AE302" s="36" t="n">
        <f aca="false">IF($W302="DESPESA",$F302,0)</f>
        <v>0</v>
      </c>
      <c r="AF302" s="36" t="n">
        <f aca="false">IF($W302="RECEITA_FINANCEIRA",$F302,0)</f>
        <v>0</v>
      </c>
      <c r="AG302" s="36" t="n">
        <f aca="false">IF($B302="",0,IF($I302="CONTA",$F302,0)-IF($G302="CONTA",$F302,0))</f>
        <v>0</v>
      </c>
      <c r="AH302" s="36" t="n">
        <f aca="false">IF($B302="",0,IF($G302="CARTAO",$F302,0)-IF($I302="CARTAO",$F302,0))</f>
        <v>0</v>
      </c>
      <c r="AI302" s="36" t="n">
        <f aca="false">IF($B302="",0,IF($I302="INVESTIMENTO",$F302,0)-IF($G302="INVESTIMENTO",$F302,0))</f>
        <v>0</v>
      </c>
      <c r="AJ302" s="35" t="str">
        <f aca="false">IF($B302="","",IF(NOT(ISNUMBER($F302)),"ERRO: valor nao numerico",IF($F302&lt;=0,"ERRO: valor deve ser maior que zero",IF(COUNTIF(MAP_TIPO,$D302)=0,"ERRO: tipo de operacao nao cadastrado",IF(COUNTIF(LST_STATUS,$E302)=0,"ERRO: status invalido",IF(AND($G302="EXTERNO",$I302="EXTERNO"),"ERRO: origem e destino externos",IF(AND($G302&lt;&gt;"EXTERNO",COUNTIFS(ENT_ID,$H302,ENT_TIPO,$G302)=0),"ERRO: origem inexistente",IF(AND($I302&lt;&gt;"EXTERNO",COUNTIFS(ENT_ID,$J302,ENT_TIPO,$I302)=0),"ERRO: destino inexistente",IF(AND($K302&lt;&gt;"",COUNTIF(CAT_ID,$K302)=0),"ERRO: categoria inexistente",IF(AND($L302&lt;&gt;"",COUNTIF(SUB_ID,$L302)=0),"ERRO: subcategoria inexistente",IF(AND($L302&lt;&gt;"",$K302&lt;&gt;"",IFERROR(INDEX(SUB_CATID,MATCH($L302,SUB_ID,0)),"")&lt;&gt;$K302),"ERRO: subcategoria nao pertence a categoria",IF(AND($O302&lt;&gt;"",COUNTIF(P_ID,$O302)=0),"ERRO: parcela inexistente",IF(AND($N302&lt;&gt;"",COUNTIF(CM_ID,$N302)=0),"ERRO: compromisso inexistente","OK")))))))))))))</f>
        <v/>
      </c>
      <c r="AK302" s="35" t="str">
        <f aca="false">IF($B302="","",IF(AND($N302="",$O302="",$P302="",$Q302="",$R302=""),"","VINCULADO: "&amp;TRIM(IF($N302&lt;&gt;"",$N302&amp;" ","")&amp;IF($O302&lt;&gt;"",$O302&amp;" ","")&amp;IF($P302&lt;&gt;"",$P302&amp;" ","")&amp;IF($Q302&lt;&gt;"",$Q302&amp;" ","")&amp;IF($R302&lt;&gt;"",$R302,""))))</f>
        <v/>
      </c>
    </row>
    <row r="303" customFormat="false" ht="15" hidden="false" customHeight="false" outlineLevel="0" collapsed="false">
      <c r="A303" s="30" t="str">
        <f aca="false">IF($B303="","","LAN-"&amp;TEXT(ROW()-4,"000000"))</f>
        <v/>
      </c>
      <c r="B303" s="31"/>
      <c r="C303" s="32"/>
      <c r="D303" s="32"/>
      <c r="E303" s="32"/>
      <c r="F303" s="33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4" t="str">
        <f aca="false">IF($B303="","",YEAR($B303))</f>
        <v/>
      </c>
      <c r="U303" s="34" t="str">
        <f aca="false">IF($B303="","",MONTH($B303))</f>
        <v/>
      </c>
      <c r="V303" s="34" t="str">
        <f aca="false">IF($B303="","",YEAR($B303)*100+MONTH($B303))</f>
        <v/>
      </c>
      <c r="W303" s="35" t="str">
        <f aca="false">IF($D303="","",IFERROR(INDEX(MAP_CLASS,MATCH($D303,MAP_TIPO,0)),"TIPO INVALIDO"))</f>
        <v/>
      </c>
      <c r="X303" s="35" t="str">
        <f aca="false">IF($K303="","",IFERROR(INDEX(CAT_NOME,MATCH($K303,CAT_ID,0)),"?"))</f>
        <v/>
      </c>
      <c r="Y303" s="35" t="str">
        <f aca="false">IF($L303="","",IFERROR(INDEX(SUB_NOME,MATCH($L303,SUB_ID,0)),"?"))</f>
        <v/>
      </c>
      <c r="Z303" s="35" t="str">
        <f aca="false">IF($G303="","",IF($G303="EXTERNO","(Externo)",IFERROR(INDEX(ENT_NOME,MATCH($H303,ENT_ID,0)),"?")))</f>
        <v/>
      </c>
      <c r="AA303" s="35" t="str">
        <f aca="false">IF($I303="","",IF($I303="EXTERNO","(Externo)",IFERROR(INDEX(ENT_NOME,MATCH($J303,ENT_ID,0)),"?")))</f>
        <v/>
      </c>
      <c r="AB303" s="36" t="n">
        <f aca="false">IF($B303="",0,IF(AND($I303="CONTA",$G303&lt;&gt;"CONTA"),$F303,0))</f>
        <v>0</v>
      </c>
      <c r="AC303" s="36" t="n">
        <f aca="false">IF($B303="",0,IF(AND($G303="CONTA",$I303&lt;&gt;"CONTA"),$F303,0))</f>
        <v>0</v>
      </c>
      <c r="AD303" s="36" t="n">
        <f aca="false">IF($W303="RECEITA",$F303,0)</f>
        <v>0</v>
      </c>
      <c r="AE303" s="36" t="n">
        <f aca="false">IF($W303="DESPESA",$F303,0)</f>
        <v>0</v>
      </c>
      <c r="AF303" s="36" t="n">
        <f aca="false">IF($W303="RECEITA_FINANCEIRA",$F303,0)</f>
        <v>0</v>
      </c>
      <c r="AG303" s="36" t="n">
        <f aca="false">IF($B303="",0,IF($I303="CONTA",$F303,0)-IF($G303="CONTA",$F303,0))</f>
        <v>0</v>
      </c>
      <c r="AH303" s="36" t="n">
        <f aca="false">IF($B303="",0,IF($G303="CARTAO",$F303,0)-IF($I303="CARTAO",$F303,0))</f>
        <v>0</v>
      </c>
      <c r="AI303" s="36" t="n">
        <f aca="false">IF($B303="",0,IF($I303="INVESTIMENTO",$F303,0)-IF($G303="INVESTIMENTO",$F303,0))</f>
        <v>0</v>
      </c>
      <c r="AJ303" s="35" t="str">
        <f aca="false">IF($B303="","",IF(NOT(ISNUMBER($F303)),"ERRO: valor nao numerico",IF($F303&lt;=0,"ERRO: valor deve ser maior que zero",IF(COUNTIF(MAP_TIPO,$D303)=0,"ERRO: tipo de operacao nao cadastrado",IF(COUNTIF(LST_STATUS,$E303)=0,"ERRO: status invalido",IF(AND($G303="EXTERNO",$I303="EXTERNO"),"ERRO: origem e destino externos",IF(AND($G303&lt;&gt;"EXTERNO",COUNTIFS(ENT_ID,$H303,ENT_TIPO,$G303)=0),"ERRO: origem inexistente",IF(AND($I303&lt;&gt;"EXTERNO",COUNTIFS(ENT_ID,$J303,ENT_TIPO,$I303)=0),"ERRO: destino inexistente",IF(AND($K303&lt;&gt;"",COUNTIF(CAT_ID,$K303)=0),"ERRO: categoria inexistente",IF(AND($L303&lt;&gt;"",COUNTIF(SUB_ID,$L303)=0),"ERRO: subcategoria inexistente",IF(AND($L303&lt;&gt;"",$K303&lt;&gt;"",IFERROR(INDEX(SUB_CATID,MATCH($L303,SUB_ID,0)),"")&lt;&gt;$K303),"ERRO: subcategoria nao pertence a categoria",IF(AND($O303&lt;&gt;"",COUNTIF(P_ID,$O303)=0),"ERRO: parcela inexistente",IF(AND($N303&lt;&gt;"",COUNTIF(CM_ID,$N303)=0),"ERRO: compromisso inexistente","OK")))))))))))))</f>
        <v/>
      </c>
      <c r="AK303" s="35" t="str">
        <f aca="false">IF($B303="","",IF(AND($N303="",$O303="",$P303="",$Q303="",$R303=""),"","VINCULADO: "&amp;TRIM(IF($N303&lt;&gt;"",$N303&amp;" ","")&amp;IF($O303&lt;&gt;"",$O303&amp;" ","")&amp;IF($P303&lt;&gt;"",$P303&amp;" ","")&amp;IF($Q303&lt;&gt;"",$Q303&amp;" ","")&amp;IF($R303&lt;&gt;"",$R303,""))))</f>
        <v/>
      </c>
    </row>
    <row r="304" customFormat="false" ht="15" hidden="false" customHeight="false" outlineLevel="0" collapsed="false">
      <c r="A304" s="30" t="str">
        <f aca="false">IF($B304="","","LAN-"&amp;TEXT(ROW()-4,"000000"))</f>
        <v/>
      </c>
      <c r="B304" s="31"/>
      <c r="C304" s="32"/>
      <c r="D304" s="32"/>
      <c r="E304" s="32"/>
      <c r="F304" s="33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4" t="str">
        <f aca="false">IF($B304="","",YEAR($B304))</f>
        <v/>
      </c>
      <c r="U304" s="34" t="str">
        <f aca="false">IF($B304="","",MONTH($B304))</f>
        <v/>
      </c>
      <c r="V304" s="34" t="str">
        <f aca="false">IF($B304="","",YEAR($B304)*100+MONTH($B304))</f>
        <v/>
      </c>
      <c r="W304" s="35" t="str">
        <f aca="false">IF($D304="","",IFERROR(INDEX(MAP_CLASS,MATCH($D304,MAP_TIPO,0)),"TIPO INVALIDO"))</f>
        <v/>
      </c>
      <c r="X304" s="35" t="str">
        <f aca="false">IF($K304="","",IFERROR(INDEX(CAT_NOME,MATCH($K304,CAT_ID,0)),"?"))</f>
        <v/>
      </c>
      <c r="Y304" s="35" t="str">
        <f aca="false">IF($L304="","",IFERROR(INDEX(SUB_NOME,MATCH($L304,SUB_ID,0)),"?"))</f>
        <v/>
      </c>
      <c r="Z304" s="35" t="str">
        <f aca="false">IF($G304="","",IF($G304="EXTERNO","(Externo)",IFERROR(INDEX(ENT_NOME,MATCH($H304,ENT_ID,0)),"?")))</f>
        <v/>
      </c>
      <c r="AA304" s="35" t="str">
        <f aca="false">IF($I304="","",IF($I304="EXTERNO","(Externo)",IFERROR(INDEX(ENT_NOME,MATCH($J304,ENT_ID,0)),"?")))</f>
        <v/>
      </c>
      <c r="AB304" s="36" t="n">
        <f aca="false">IF($B304="",0,IF(AND($I304="CONTA",$G304&lt;&gt;"CONTA"),$F304,0))</f>
        <v>0</v>
      </c>
      <c r="AC304" s="36" t="n">
        <f aca="false">IF($B304="",0,IF(AND($G304="CONTA",$I304&lt;&gt;"CONTA"),$F304,0))</f>
        <v>0</v>
      </c>
      <c r="AD304" s="36" t="n">
        <f aca="false">IF($W304="RECEITA",$F304,0)</f>
        <v>0</v>
      </c>
      <c r="AE304" s="36" t="n">
        <f aca="false">IF($W304="DESPESA",$F304,0)</f>
        <v>0</v>
      </c>
      <c r="AF304" s="36" t="n">
        <f aca="false">IF($W304="RECEITA_FINANCEIRA",$F304,0)</f>
        <v>0</v>
      </c>
      <c r="AG304" s="36" t="n">
        <f aca="false">IF($B304="",0,IF($I304="CONTA",$F304,0)-IF($G304="CONTA",$F304,0))</f>
        <v>0</v>
      </c>
      <c r="AH304" s="36" t="n">
        <f aca="false">IF($B304="",0,IF($G304="CARTAO",$F304,0)-IF($I304="CARTAO",$F304,0))</f>
        <v>0</v>
      </c>
      <c r="AI304" s="36" t="n">
        <f aca="false">IF($B304="",0,IF($I304="INVESTIMENTO",$F304,0)-IF($G304="INVESTIMENTO",$F304,0))</f>
        <v>0</v>
      </c>
      <c r="AJ304" s="35" t="str">
        <f aca="false">IF($B304="","",IF(NOT(ISNUMBER($F304)),"ERRO: valor nao numerico",IF($F304&lt;=0,"ERRO: valor deve ser maior que zero",IF(COUNTIF(MAP_TIPO,$D304)=0,"ERRO: tipo de operacao nao cadastrado",IF(COUNTIF(LST_STATUS,$E304)=0,"ERRO: status invalido",IF(AND($G304="EXTERNO",$I304="EXTERNO"),"ERRO: origem e destino externos",IF(AND($G304&lt;&gt;"EXTERNO",COUNTIFS(ENT_ID,$H304,ENT_TIPO,$G304)=0),"ERRO: origem inexistente",IF(AND($I304&lt;&gt;"EXTERNO",COUNTIFS(ENT_ID,$J304,ENT_TIPO,$I304)=0),"ERRO: destino inexistente",IF(AND($K304&lt;&gt;"",COUNTIF(CAT_ID,$K304)=0),"ERRO: categoria inexistente",IF(AND($L304&lt;&gt;"",COUNTIF(SUB_ID,$L304)=0),"ERRO: subcategoria inexistente",IF(AND($L304&lt;&gt;"",$K304&lt;&gt;"",IFERROR(INDEX(SUB_CATID,MATCH($L304,SUB_ID,0)),"")&lt;&gt;$K304),"ERRO: subcategoria nao pertence a categoria",IF(AND($O304&lt;&gt;"",COUNTIF(P_ID,$O304)=0),"ERRO: parcela inexistente",IF(AND($N304&lt;&gt;"",COUNTIF(CM_ID,$N304)=0),"ERRO: compromisso inexistente","OK")))))))))))))</f>
        <v/>
      </c>
      <c r="AK304" s="35" t="str">
        <f aca="false">IF($B304="","",IF(AND($N304="",$O304="",$P304="",$Q304="",$R304=""),"","VINCULADO: "&amp;TRIM(IF($N304&lt;&gt;"",$N304&amp;" ","")&amp;IF($O304&lt;&gt;"",$O304&amp;" ","")&amp;IF($P304&lt;&gt;"",$P304&amp;" ","")&amp;IF($Q304&lt;&gt;"",$Q304&amp;" ","")&amp;IF($R304&lt;&gt;"",$R304,""))))</f>
        <v/>
      </c>
    </row>
    <row r="305" customFormat="false" ht="15" hidden="false" customHeight="false" outlineLevel="0" collapsed="false">
      <c r="A305" s="30" t="str">
        <f aca="false">IF($B305="","","LAN-"&amp;TEXT(ROW()-4,"000000"))</f>
        <v/>
      </c>
      <c r="B305" s="31"/>
      <c r="C305" s="32"/>
      <c r="D305" s="32"/>
      <c r="E305" s="32"/>
      <c r="F305" s="33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4" t="str">
        <f aca="false">IF($B305="","",YEAR($B305))</f>
        <v/>
      </c>
      <c r="U305" s="34" t="str">
        <f aca="false">IF($B305="","",MONTH($B305))</f>
        <v/>
      </c>
      <c r="V305" s="34" t="str">
        <f aca="false">IF($B305="","",YEAR($B305)*100+MONTH($B305))</f>
        <v/>
      </c>
      <c r="W305" s="35" t="str">
        <f aca="false">IF($D305="","",IFERROR(INDEX(MAP_CLASS,MATCH($D305,MAP_TIPO,0)),"TIPO INVALIDO"))</f>
        <v/>
      </c>
      <c r="X305" s="35" t="str">
        <f aca="false">IF($K305="","",IFERROR(INDEX(CAT_NOME,MATCH($K305,CAT_ID,0)),"?"))</f>
        <v/>
      </c>
      <c r="Y305" s="35" t="str">
        <f aca="false">IF($L305="","",IFERROR(INDEX(SUB_NOME,MATCH($L305,SUB_ID,0)),"?"))</f>
        <v/>
      </c>
      <c r="Z305" s="35" t="str">
        <f aca="false">IF($G305="","",IF($G305="EXTERNO","(Externo)",IFERROR(INDEX(ENT_NOME,MATCH($H305,ENT_ID,0)),"?")))</f>
        <v/>
      </c>
      <c r="AA305" s="35" t="str">
        <f aca="false">IF($I305="","",IF($I305="EXTERNO","(Externo)",IFERROR(INDEX(ENT_NOME,MATCH($J305,ENT_ID,0)),"?")))</f>
        <v/>
      </c>
      <c r="AB305" s="36" t="n">
        <f aca="false">IF($B305="",0,IF(AND($I305="CONTA",$G305&lt;&gt;"CONTA"),$F305,0))</f>
        <v>0</v>
      </c>
      <c r="AC305" s="36" t="n">
        <f aca="false">IF($B305="",0,IF(AND($G305="CONTA",$I305&lt;&gt;"CONTA"),$F305,0))</f>
        <v>0</v>
      </c>
      <c r="AD305" s="36" t="n">
        <f aca="false">IF($W305="RECEITA",$F305,0)</f>
        <v>0</v>
      </c>
      <c r="AE305" s="36" t="n">
        <f aca="false">IF($W305="DESPESA",$F305,0)</f>
        <v>0</v>
      </c>
      <c r="AF305" s="36" t="n">
        <f aca="false">IF($W305="RECEITA_FINANCEIRA",$F305,0)</f>
        <v>0</v>
      </c>
      <c r="AG305" s="36" t="n">
        <f aca="false">IF($B305="",0,IF($I305="CONTA",$F305,0)-IF($G305="CONTA",$F305,0))</f>
        <v>0</v>
      </c>
      <c r="AH305" s="36" t="n">
        <f aca="false">IF($B305="",0,IF($G305="CARTAO",$F305,0)-IF($I305="CARTAO",$F305,0))</f>
        <v>0</v>
      </c>
      <c r="AI305" s="36" t="n">
        <f aca="false">IF($B305="",0,IF($I305="INVESTIMENTO",$F305,0)-IF($G305="INVESTIMENTO",$F305,0))</f>
        <v>0</v>
      </c>
      <c r="AJ305" s="35" t="str">
        <f aca="false">IF($B305="","",IF(NOT(ISNUMBER($F305)),"ERRO: valor nao numerico",IF($F305&lt;=0,"ERRO: valor deve ser maior que zero",IF(COUNTIF(MAP_TIPO,$D305)=0,"ERRO: tipo de operacao nao cadastrado",IF(COUNTIF(LST_STATUS,$E305)=0,"ERRO: status invalido",IF(AND($G305="EXTERNO",$I305="EXTERNO"),"ERRO: origem e destino externos",IF(AND($G305&lt;&gt;"EXTERNO",COUNTIFS(ENT_ID,$H305,ENT_TIPO,$G305)=0),"ERRO: origem inexistente",IF(AND($I305&lt;&gt;"EXTERNO",COUNTIFS(ENT_ID,$J305,ENT_TIPO,$I305)=0),"ERRO: destino inexistente",IF(AND($K305&lt;&gt;"",COUNTIF(CAT_ID,$K305)=0),"ERRO: categoria inexistente",IF(AND($L305&lt;&gt;"",COUNTIF(SUB_ID,$L305)=0),"ERRO: subcategoria inexistente",IF(AND($L305&lt;&gt;"",$K305&lt;&gt;"",IFERROR(INDEX(SUB_CATID,MATCH($L305,SUB_ID,0)),"")&lt;&gt;$K305),"ERRO: subcategoria nao pertence a categoria",IF(AND($O305&lt;&gt;"",COUNTIF(P_ID,$O305)=0),"ERRO: parcela inexistente",IF(AND($N305&lt;&gt;"",COUNTIF(CM_ID,$N305)=0),"ERRO: compromisso inexistente","OK")))))))))))))</f>
        <v/>
      </c>
      <c r="AK305" s="35" t="str">
        <f aca="false">IF($B305="","",IF(AND($N305="",$O305="",$P305="",$Q305="",$R305=""),"","VINCULADO: "&amp;TRIM(IF($N305&lt;&gt;"",$N305&amp;" ","")&amp;IF($O305&lt;&gt;"",$O305&amp;" ","")&amp;IF($P305&lt;&gt;"",$P305&amp;" ","")&amp;IF($Q305&lt;&gt;"",$Q305&amp;" ","")&amp;IF($R305&lt;&gt;"",$R305,""))))</f>
        <v/>
      </c>
    </row>
    <row r="306" customFormat="false" ht="15" hidden="false" customHeight="false" outlineLevel="0" collapsed="false">
      <c r="A306" s="30" t="str">
        <f aca="false">IF($B306="","","LAN-"&amp;TEXT(ROW()-4,"000000"))</f>
        <v/>
      </c>
      <c r="B306" s="31"/>
      <c r="C306" s="32"/>
      <c r="D306" s="32"/>
      <c r="E306" s="32"/>
      <c r="F306" s="33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4" t="str">
        <f aca="false">IF($B306="","",YEAR($B306))</f>
        <v/>
      </c>
      <c r="U306" s="34" t="str">
        <f aca="false">IF($B306="","",MONTH($B306))</f>
        <v/>
      </c>
      <c r="V306" s="34" t="str">
        <f aca="false">IF($B306="","",YEAR($B306)*100+MONTH($B306))</f>
        <v/>
      </c>
      <c r="W306" s="35" t="str">
        <f aca="false">IF($D306="","",IFERROR(INDEX(MAP_CLASS,MATCH($D306,MAP_TIPO,0)),"TIPO INVALIDO"))</f>
        <v/>
      </c>
      <c r="X306" s="35" t="str">
        <f aca="false">IF($K306="","",IFERROR(INDEX(CAT_NOME,MATCH($K306,CAT_ID,0)),"?"))</f>
        <v/>
      </c>
      <c r="Y306" s="35" t="str">
        <f aca="false">IF($L306="","",IFERROR(INDEX(SUB_NOME,MATCH($L306,SUB_ID,0)),"?"))</f>
        <v/>
      </c>
      <c r="Z306" s="35" t="str">
        <f aca="false">IF($G306="","",IF($G306="EXTERNO","(Externo)",IFERROR(INDEX(ENT_NOME,MATCH($H306,ENT_ID,0)),"?")))</f>
        <v/>
      </c>
      <c r="AA306" s="35" t="str">
        <f aca="false">IF($I306="","",IF($I306="EXTERNO","(Externo)",IFERROR(INDEX(ENT_NOME,MATCH($J306,ENT_ID,0)),"?")))</f>
        <v/>
      </c>
      <c r="AB306" s="36" t="n">
        <f aca="false">IF($B306="",0,IF(AND($I306="CONTA",$G306&lt;&gt;"CONTA"),$F306,0))</f>
        <v>0</v>
      </c>
      <c r="AC306" s="36" t="n">
        <f aca="false">IF($B306="",0,IF(AND($G306="CONTA",$I306&lt;&gt;"CONTA"),$F306,0))</f>
        <v>0</v>
      </c>
      <c r="AD306" s="36" t="n">
        <f aca="false">IF($W306="RECEITA",$F306,0)</f>
        <v>0</v>
      </c>
      <c r="AE306" s="36" t="n">
        <f aca="false">IF($W306="DESPESA",$F306,0)</f>
        <v>0</v>
      </c>
      <c r="AF306" s="36" t="n">
        <f aca="false">IF($W306="RECEITA_FINANCEIRA",$F306,0)</f>
        <v>0</v>
      </c>
      <c r="AG306" s="36" t="n">
        <f aca="false">IF($B306="",0,IF($I306="CONTA",$F306,0)-IF($G306="CONTA",$F306,0))</f>
        <v>0</v>
      </c>
      <c r="AH306" s="36" t="n">
        <f aca="false">IF($B306="",0,IF($G306="CARTAO",$F306,0)-IF($I306="CARTAO",$F306,0))</f>
        <v>0</v>
      </c>
      <c r="AI306" s="36" t="n">
        <f aca="false">IF($B306="",0,IF($I306="INVESTIMENTO",$F306,0)-IF($G306="INVESTIMENTO",$F306,0))</f>
        <v>0</v>
      </c>
      <c r="AJ306" s="35" t="str">
        <f aca="false">IF($B306="","",IF(NOT(ISNUMBER($F306)),"ERRO: valor nao numerico",IF($F306&lt;=0,"ERRO: valor deve ser maior que zero",IF(COUNTIF(MAP_TIPO,$D306)=0,"ERRO: tipo de operacao nao cadastrado",IF(COUNTIF(LST_STATUS,$E306)=0,"ERRO: status invalido",IF(AND($G306="EXTERNO",$I306="EXTERNO"),"ERRO: origem e destino externos",IF(AND($G306&lt;&gt;"EXTERNO",COUNTIFS(ENT_ID,$H306,ENT_TIPO,$G306)=0),"ERRO: origem inexistente",IF(AND($I306&lt;&gt;"EXTERNO",COUNTIFS(ENT_ID,$J306,ENT_TIPO,$I306)=0),"ERRO: destino inexistente",IF(AND($K306&lt;&gt;"",COUNTIF(CAT_ID,$K306)=0),"ERRO: categoria inexistente",IF(AND($L306&lt;&gt;"",COUNTIF(SUB_ID,$L306)=0),"ERRO: subcategoria inexistente",IF(AND($L306&lt;&gt;"",$K306&lt;&gt;"",IFERROR(INDEX(SUB_CATID,MATCH($L306,SUB_ID,0)),"")&lt;&gt;$K306),"ERRO: subcategoria nao pertence a categoria",IF(AND($O306&lt;&gt;"",COUNTIF(P_ID,$O306)=0),"ERRO: parcela inexistente",IF(AND($N306&lt;&gt;"",COUNTIF(CM_ID,$N306)=0),"ERRO: compromisso inexistente","OK")))))))))))))</f>
        <v/>
      </c>
      <c r="AK306" s="35" t="str">
        <f aca="false">IF($B306="","",IF(AND($N306="",$O306="",$P306="",$Q306="",$R306=""),"","VINCULADO: "&amp;TRIM(IF($N306&lt;&gt;"",$N306&amp;" ","")&amp;IF($O306&lt;&gt;"",$O306&amp;" ","")&amp;IF($P306&lt;&gt;"",$P306&amp;" ","")&amp;IF($Q306&lt;&gt;"",$Q306&amp;" ","")&amp;IF($R306&lt;&gt;"",$R306,""))))</f>
        <v/>
      </c>
    </row>
    <row r="307" customFormat="false" ht="15" hidden="false" customHeight="false" outlineLevel="0" collapsed="false">
      <c r="A307" s="30" t="str">
        <f aca="false">IF($B307="","","LAN-"&amp;TEXT(ROW()-4,"000000"))</f>
        <v/>
      </c>
      <c r="B307" s="31"/>
      <c r="C307" s="32"/>
      <c r="D307" s="32"/>
      <c r="E307" s="32"/>
      <c r="F307" s="33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4" t="str">
        <f aca="false">IF($B307="","",YEAR($B307))</f>
        <v/>
      </c>
      <c r="U307" s="34" t="str">
        <f aca="false">IF($B307="","",MONTH($B307))</f>
        <v/>
      </c>
      <c r="V307" s="34" t="str">
        <f aca="false">IF($B307="","",YEAR($B307)*100+MONTH($B307))</f>
        <v/>
      </c>
      <c r="W307" s="35" t="str">
        <f aca="false">IF($D307="","",IFERROR(INDEX(MAP_CLASS,MATCH($D307,MAP_TIPO,0)),"TIPO INVALIDO"))</f>
        <v/>
      </c>
      <c r="X307" s="35" t="str">
        <f aca="false">IF($K307="","",IFERROR(INDEX(CAT_NOME,MATCH($K307,CAT_ID,0)),"?"))</f>
        <v/>
      </c>
      <c r="Y307" s="35" t="str">
        <f aca="false">IF($L307="","",IFERROR(INDEX(SUB_NOME,MATCH($L307,SUB_ID,0)),"?"))</f>
        <v/>
      </c>
      <c r="Z307" s="35" t="str">
        <f aca="false">IF($G307="","",IF($G307="EXTERNO","(Externo)",IFERROR(INDEX(ENT_NOME,MATCH($H307,ENT_ID,0)),"?")))</f>
        <v/>
      </c>
      <c r="AA307" s="35" t="str">
        <f aca="false">IF($I307="","",IF($I307="EXTERNO","(Externo)",IFERROR(INDEX(ENT_NOME,MATCH($J307,ENT_ID,0)),"?")))</f>
        <v/>
      </c>
      <c r="AB307" s="36" t="n">
        <f aca="false">IF($B307="",0,IF(AND($I307="CONTA",$G307&lt;&gt;"CONTA"),$F307,0))</f>
        <v>0</v>
      </c>
      <c r="AC307" s="36" t="n">
        <f aca="false">IF($B307="",0,IF(AND($G307="CONTA",$I307&lt;&gt;"CONTA"),$F307,0))</f>
        <v>0</v>
      </c>
      <c r="AD307" s="36" t="n">
        <f aca="false">IF($W307="RECEITA",$F307,0)</f>
        <v>0</v>
      </c>
      <c r="AE307" s="36" t="n">
        <f aca="false">IF($W307="DESPESA",$F307,0)</f>
        <v>0</v>
      </c>
      <c r="AF307" s="36" t="n">
        <f aca="false">IF($W307="RECEITA_FINANCEIRA",$F307,0)</f>
        <v>0</v>
      </c>
      <c r="AG307" s="36" t="n">
        <f aca="false">IF($B307="",0,IF($I307="CONTA",$F307,0)-IF($G307="CONTA",$F307,0))</f>
        <v>0</v>
      </c>
      <c r="AH307" s="36" t="n">
        <f aca="false">IF($B307="",0,IF($G307="CARTAO",$F307,0)-IF($I307="CARTAO",$F307,0))</f>
        <v>0</v>
      </c>
      <c r="AI307" s="36" t="n">
        <f aca="false">IF($B307="",0,IF($I307="INVESTIMENTO",$F307,0)-IF($G307="INVESTIMENTO",$F307,0))</f>
        <v>0</v>
      </c>
      <c r="AJ307" s="35" t="str">
        <f aca="false">IF($B307="","",IF(NOT(ISNUMBER($F307)),"ERRO: valor nao numerico",IF($F307&lt;=0,"ERRO: valor deve ser maior que zero",IF(COUNTIF(MAP_TIPO,$D307)=0,"ERRO: tipo de operacao nao cadastrado",IF(COUNTIF(LST_STATUS,$E307)=0,"ERRO: status invalido",IF(AND($G307="EXTERNO",$I307="EXTERNO"),"ERRO: origem e destino externos",IF(AND($G307&lt;&gt;"EXTERNO",COUNTIFS(ENT_ID,$H307,ENT_TIPO,$G307)=0),"ERRO: origem inexistente",IF(AND($I307&lt;&gt;"EXTERNO",COUNTIFS(ENT_ID,$J307,ENT_TIPO,$I307)=0),"ERRO: destino inexistente",IF(AND($K307&lt;&gt;"",COUNTIF(CAT_ID,$K307)=0),"ERRO: categoria inexistente",IF(AND($L307&lt;&gt;"",COUNTIF(SUB_ID,$L307)=0),"ERRO: subcategoria inexistente",IF(AND($L307&lt;&gt;"",$K307&lt;&gt;"",IFERROR(INDEX(SUB_CATID,MATCH($L307,SUB_ID,0)),"")&lt;&gt;$K307),"ERRO: subcategoria nao pertence a categoria",IF(AND($O307&lt;&gt;"",COUNTIF(P_ID,$O307)=0),"ERRO: parcela inexistente",IF(AND($N307&lt;&gt;"",COUNTIF(CM_ID,$N307)=0),"ERRO: compromisso inexistente","OK")))))))))))))</f>
        <v/>
      </c>
      <c r="AK307" s="35" t="str">
        <f aca="false">IF($B307="","",IF(AND($N307="",$O307="",$P307="",$Q307="",$R307=""),"","VINCULADO: "&amp;TRIM(IF($N307&lt;&gt;"",$N307&amp;" ","")&amp;IF($O307&lt;&gt;"",$O307&amp;" ","")&amp;IF($P307&lt;&gt;"",$P307&amp;" ","")&amp;IF($Q307&lt;&gt;"",$Q307&amp;" ","")&amp;IF($R307&lt;&gt;"",$R307,""))))</f>
        <v/>
      </c>
    </row>
    <row r="308" customFormat="false" ht="15" hidden="false" customHeight="false" outlineLevel="0" collapsed="false">
      <c r="A308" s="30" t="str">
        <f aca="false">IF($B308="","","LAN-"&amp;TEXT(ROW()-4,"000000"))</f>
        <v/>
      </c>
      <c r="B308" s="31"/>
      <c r="C308" s="32"/>
      <c r="D308" s="32"/>
      <c r="E308" s="32"/>
      <c r="F308" s="33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4" t="str">
        <f aca="false">IF($B308="","",YEAR($B308))</f>
        <v/>
      </c>
      <c r="U308" s="34" t="str">
        <f aca="false">IF($B308="","",MONTH($B308))</f>
        <v/>
      </c>
      <c r="V308" s="34" t="str">
        <f aca="false">IF($B308="","",YEAR($B308)*100+MONTH($B308))</f>
        <v/>
      </c>
      <c r="W308" s="35" t="str">
        <f aca="false">IF($D308="","",IFERROR(INDEX(MAP_CLASS,MATCH($D308,MAP_TIPO,0)),"TIPO INVALIDO"))</f>
        <v/>
      </c>
      <c r="X308" s="35" t="str">
        <f aca="false">IF($K308="","",IFERROR(INDEX(CAT_NOME,MATCH($K308,CAT_ID,0)),"?"))</f>
        <v/>
      </c>
      <c r="Y308" s="35" t="str">
        <f aca="false">IF($L308="","",IFERROR(INDEX(SUB_NOME,MATCH($L308,SUB_ID,0)),"?"))</f>
        <v/>
      </c>
      <c r="Z308" s="35" t="str">
        <f aca="false">IF($G308="","",IF($G308="EXTERNO","(Externo)",IFERROR(INDEX(ENT_NOME,MATCH($H308,ENT_ID,0)),"?")))</f>
        <v/>
      </c>
      <c r="AA308" s="35" t="str">
        <f aca="false">IF($I308="","",IF($I308="EXTERNO","(Externo)",IFERROR(INDEX(ENT_NOME,MATCH($J308,ENT_ID,0)),"?")))</f>
        <v/>
      </c>
      <c r="AB308" s="36" t="n">
        <f aca="false">IF($B308="",0,IF(AND($I308="CONTA",$G308&lt;&gt;"CONTA"),$F308,0))</f>
        <v>0</v>
      </c>
      <c r="AC308" s="36" t="n">
        <f aca="false">IF($B308="",0,IF(AND($G308="CONTA",$I308&lt;&gt;"CONTA"),$F308,0))</f>
        <v>0</v>
      </c>
      <c r="AD308" s="36" t="n">
        <f aca="false">IF($W308="RECEITA",$F308,0)</f>
        <v>0</v>
      </c>
      <c r="AE308" s="36" t="n">
        <f aca="false">IF($W308="DESPESA",$F308,0)</f>
        <v>0</v>
      </c>
      <c r="AF308" s="36" t="n">
        <f aca="false">IF($W308="RECEITA_FINANCEIRA",$F308,0)</f>
        <v>0</v>
      </c>
      <c r="AG308" s="36" t="n">
        <f aca="false">IF($B308="",0,IF($I308="CONTA",$F308,0)-IF($G308="CONTA",$F308,0))</f>
        <v>0</v>
      </c>
      <c r="AH308" s="36" t="n">
        <f aca="false">IF($B308="",0,IF($G308="CARTAO",$F308,0)-IF($I308="CARTAO",$F308,0))</f>
        <v>0</v>
      </c>
      <c r="AI308" s="36" t="n">
        <f aca="false">IF($B308="",0,IF($I308="INVESTIMENTO",$F308,0)-IF($G308="INVESTIMENTO",$F308,0))</f>
        <v>0</v>
      </c>
      <c r="AJ308" s="35" t="str">
        <f aca="false">IF($B308="","",IF(NOT(ISNUMBER($F308)),"ERRO: valor nao numerico",IF($F308&lt;=0,"ERRO: valor deve ser maior que zero",IF(COUNTIF(MAP_TIPO,$D308)=0,"ERRO: tipo de operacao nao cadastrado",IF(COUNTIF(LST_STATUS,$E308)=0,"ERRO: status invalido",IF(AND($G308="EXTERNO",$I308="EXTERNO"),"ERRO: origem e destino externos",IF(AND($G308&lt;&gt;"EXTERNO",COUNTIFS(ENT_ID,$H308,ENT_TIPO,$G308)=0),"ERRO: origem inexistente",IF(AND($I308&lt;&gt;"EXTERNO",COUNTIFS(ENT_ID,$J308,ENT_TIPO,$I308)=0),"ERRO: destino inexistente",IF(AND($K308&lt;&gt;"",COUNTIF(CAT_ID,$K308)=0),"ERRO: categoria inexistente",IF(AND($L308&lt;&gt;"",COUNTIF(SUB_ID,$L308)=0),"ERRO: subcategoria inexistente",IF(AND($L308&lt;&gt;"",$K308&lt;&gt;"",IFERROR(INDEX(SUB_CATID,MATCH($L308,SUB_ID,0)),"")&lt;&gt;$K308),"ERRO: subcategoria nao pertence a categoria",IF(AND($O308&lt;&gt;"",COUNTIF(P_ID,$O308)=0),"ERRO: parcela inexistente",IF(AND($N308&lt;&gt;"",COUNTIF(CM_ID,$N308)=0),"ERRO: compromisso inexistente","OK")))))))))))))</f>
        <v/>
      </c>
      <c r="AK308" s="35" t="str">
        <f aca="false">IF($B308="","",IF(AND($N308="",$O308="",$P308="",$Q308="",$R308=""),"","VINCULADO: "&amp;TRIM(IF($N308&lt;&gt;"",$N308&amp;" ","")&amp;IF($O308&lt;&gt;"",$O308&amp;" ","")&amp;IF($P308&lt;&gt;"",$P308&amp;" ","")&amp;IF($Q308&lt;&gt;"",$Q308&amp;" ","")&amp;IF($R308&lt;&gt;"",$R308,""))))</f>
        <v/>
      </c>
    </row>
    <row r="309" customFormat="false" ht="15" hidden="false" customHeight="false" outlineLevel="0" collapsed="false">
      <c r="A309" s="30" t="str">
        <f aca="false">IF($B309="","","LAN-"&amp;TEXT(ROW()-4,"000000"))</f>
        <v/>
      </c>
      <c r="B309" s="31"/>
      <c r="C309" s="32"/>
      <c r="D309" s="32"/>
      <c r="E309" s="32"/>
      <c r="F309" s="33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4" t="str">
        <f aca="false">IF($B309="","",YEAR($B309))</f>
        <v/>
      </c>
      <c r="U309" s="34" t="str">
        <f aca="false">IF($B309="","",MONTH($B309))</f>
        <v/>
      </c>
      <c r="V309" s="34" t="str">
        <f aca="false">IF($B309="","",YEAR($B309)*100+MONTH($B309))</f>
        <v/>
      </c>
      <c r="W309" s="35" t="str">
        <f aca="false">IF($D309="","",IFERROR(INDEX(MAP_CLASS,MATCH($D309,MAP_TIPO,0)),"TIPO INVALIDO"))</f>
        <v/>
      </c>
      <c r="X309" s="35" t="str">
        <f aca="false">IF($K309="","",IFERROR(INDEX(CAT_NOME,MATCH($K309,CAT_ID,0)),"?"))</f>
        <v/>
      </c>
      <c r="Y309" s="35" t="str">
        <f aca="false">IF($L309="","",IFERROR(INDEX(SUB_NOME,MATCH($L309,SUB_ID,0)),"?"))</f>
        <v/>
      </c>
      <c r="Z309" s="35" t="str">
        <f aca="false">IF($G309="","",IF($G309="EXTERNO","(Externo)",IFERROR(INDEX(ENT_NOME,MATCH($H309,ENT_ID,0)),"?")))</f>
        <v/>
      </c>
      <c r="AA309" s="35" t="str">
        <f aca="false">IF($I309="","",IF($I309="EXTERNO","(Externo)",IFERROR(INDEX(ENT_NOME,MATCH($J309,ENT_ID,0)),"?")))</f>
        <v/>
      </c>
      <c r="AB309" s="36" t="n">
        <f aca="false">IF($B309="",0,IF(AND($I309="CONTA",$G309&lt;&gt;"CONTA"),$F309,0))</f>
        <v>0</v>
      </c>
      <c r="AC309" s="36" t="n">
        <f aca="false">IF($B309="",0,IF(AND($G309="CONTA",$I309&lt;&gt;"CONTA"),$F309,0))</f>
        <v>0</v>
      </c>
      <c r="AD309" s="36" t="n">
        <f aca="false">IF($W309="RECEITA",$F309,0)</f>
        <v>0</v>
      </c>
      <c r="AE309" s="36" t="n">
        <f aca="false">IF($W309="DESPESA",$F309,0)</f>
        <v>0</v>
      </c>
      <c r="AF309" s="36" t="n">
        <f aca="false">IF($W309="RECEITA_FINANCEIRA",$F309,0)</f>
        <v>0</v>
      </c>
      <c r="AG309" s="36" t="n">
        <f aca="false">IF($B309="",0,IF($I309="CONTA",$F309,0)-IF($G309="CONTA",$F309,0))</f>
        <v>0</v>
      </c>
      <c r="AH309" s="36" t="n">
        <f aca="false">IF($B309="",0,IF($G309="CARTAO",$F309,0)-IF($I309="CARTAO",$F309,0))</f>
        <v>0</v>
      </c>
      <c r="AI309" s="36" t="n">
        <f aca="false">IF($B309="",0,IF($I309="INVESTIMENTO",$F309,0)-IF($G309="INVESTIMENTO",$F309,0))</f>
        <v>0</v>
      </c>
      <c r="AJ309" s="35" t="str">
        <f aca="false">IF($B309="","",IF(NOT(ISNUMBER($F309)),"ERRO: valor nao numerico",IF($F309&lt;=0,"ERRO: valor deve ser maior que zero",IF(COUNTIF(MAP_TIPO,$D309)=0,"ERRO: tipo de operacao nao cadastrado",IF(COUNTIF(LST_STATUS,$E309)=0,"ERRO: status invalido",IF(AND($G309="EXTERNO",$I309="EXTERNO"),"ERRO: origem e destino externos",IF(AND($G309&lt;&gt;"EXTERNO",COUNTIFS(ENT_ID,$H309,ENT_TIPO,$G309)=0),"ERRO: origem inexistente",IF(AND($I309&lt;&gt;"EXTERNO",COUNTIFS(ENT_ID,$J309,ENT_TIPO,$I309)=0),"ERRO: destino inexistente",IF(AND($K309&lt;&gt;"",COUNTIF(CAT_ID,$K309)=0),"ERRO: categoria inexistente",IF(AND($L309&lt;&gt;"",COUNTIF(SUB_ID,$L309)=0),"ERRO: subcategoria inexistente",IF(AND($L309&lt;&gt;"",$K309&lt;&gt;"",IFERROR(INDEX(SUB_CATID,MATCH($L309,SUB_ID,0)),"")&lt;&gt;$K309),"ERRO: subcategoria nao pertence a categoria",IF(AND($O309&lt;&gt;"",COUNTIF(P_ID,$O309)=0),"ERRO: parcela inexistente",IF(AND($N309&lt;&gt;"",COUNTIF(CM_ID,$N309)=0),"ERRO: compromisso inexistente","OK")))))))))))))</f>
        <v/>
      </c>
      <c r="AK309" s="35" t="str">
        <f aca="false">IF($B309="","",IF(AND($N309="",$O309="",$P309="",$Q309="",$R309=""),"","VINCULADO: "&amp;TRIM(IF($N309&lt;&gt;"",$N309&amp;" ","")&amp;IF($O309&lt;&gt;"",$O309&amp;" ","")&amp;IF($P309&lt;&gt;"",$P309&amp;" ","")&amp;IF($Q309&lt;&gt;"",$Q309&amp;" ","")&amp;IF($R309&lt;&gt;"",$R309,""))))</f>
        <v/>
      </c>
    </row>
    <row r="310" customFormat="false" ht="15" hidden="false" customHeight="false" outlineLevel="0" collapsed="false">
      <c r="A310" s="30" t="str">
        <f aca="false">IF($B310="","","LAN-"&amp;TEXT(ROW()-4,"000000"))</f>
        <v/>
      </c>
      <c r="B310" s="31"/>
      <c r="C310" s="32"/>
      <c r="D310" s="32"/>
      <c r="E310" s="32"/>
      <c r="F310" s="33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4" t="str">
        <f aca="false">IF($B310="","",YEAR($B310))</f>
        <v/>
      </c>
      <c r="U310" s="34" t="str">
        <f aca="false">IF($B310="","",MONTH($B310))</f>
        <v/>
      </c>
      <c r="V310" s="34" t="str">
        <f aca="false">IF($B310="","",YEAR($B310)*100+MONTH($B310))</f>
        <v/>
      </c>
      <c r="W310" s="35" t="str">
        <f aca="false">IF($D310="","",IFERROR(INDEX(MAP_CLASS,MATCH($D310,MAP_TIPO,0)),"TIPO INVALIDO"))</f>
        <v/>
      </c>
      <c r="X310" s="35" t="str">
        <f aca="false">IF($K310="","",IFERROR(INDEX(CAT_NOME,MATCH($K310,CAT_ID,0)),"?"))</f>
        <v/>
      </c>
      <c r="Y310" s="35" t="str">
        <f aca="false">IF($L310="","",IFERROR(INDEX(SUB_NOME,MATCH($L310,SUB_ID,0)),"?"))</f>
        <v/>
      </c>
      <c r="Z310" s="35" t="str">
        <f aca="false">IF($G310="","",IF($G310="EXTERNO","(Externo)",IFERROR(INDEX(ENT_NOME,MATCH($H310,ENT_ID,0)),"?")))</f>
        <v/>
      </c>
      <c r="AA310" s="35" t="str">
        <f aca="false">IF($I310="","",IF($I310="EXTERNO","(Externo)",IFERROR(INDEX(ENT_NOME,MATCH($J310,ENT_ID,0)),"?")))</f>
        <v/>
      </c>
      <c r="AB310" s="36" t="n">
        <f aca="false">IF($B310="",0,IF(AND($I310="CONTA",$G310&lt;&gt;"CONTA"),$F310,0))</f>
        <v>0</v>
      </c>
      <c r="AC310" s="36" t="n">
        <f aca="false">IF($B310="",0,IF(AND($G310="CONTA",$I310&lt;&gt;"CONTA"),$F310,0))</f>
        <v>0</v>
      </c>
      <c r="AD310" s="36" t="n">
        <f aca="false">IF($W310="RECEITA",$F310,0)</f>
        <v>0</v>
      </c>
      <c r="AE310" s="36" t="n">
        <f aca="false">IF($W310="DESPESA",$F310,0)</f>
        <v>0</v>
      </c>
      <c r="AF310" s="36" t="n">
        <f aca="false">IF($W310="RECEITA_FINANCEIRA",$F310,0)</f>
        <v>0</v>
      </c>
      <c r="AG310" s="36" t="n">
        <f aca="false">IF($B310="",0,IF($I310="CONTA",$F310,0)-IF($G310="CONTA",$F310,0))</f>
        <v>0</v>
      </c>
      <c r="AH310" s="36" t="n">
        <f aca="false">IF($B310="",0,IF($G310="CARTAO",$F310,0)-IF($I310="CARTAO",$F310,0))</f>
        <v>0</v>
      </c>
      <c r="AI310" s="36" t="n">
        <f aca="false">IF($B310="",0,IF($I310="INVESTIMENTO",$F310,0)-IF($G310="INVESTIMENTO",$F310,0))</f>
        <v>0</v>
      </c>
      <c r="AJ310" s="35" t="str">
        <f aca="false">IF($B310="","",IF(NOT(ISNUMBER($F310)),"ERRO: valor nao numerico",IF($F310&lt;=0,"ERRO: valor deve ser maior que zero",IF(COUNTIF(MAP_TIPO,$D310)=0,"ERRO: tipo de operacao nao cadastrado",IF(COUNTIF(LST_STATUS,$E310)=0,"ERRO: status invalido",IF(AND($G310="EXTERNO",$I310="EXTERNO"),"ERRO: origem e destino externos",IF(AND($G310&lt;&gt;"EXTERNO",COUNTIFS(ENT_ID,$H310,ENT_TIPO,$G310)=0),"ERRO: origem inexistente",IF(AND($I310&lt;&gt;"EXTERNO",COUNTIFS(ENT_ID,$J310,ENT_TIPO,$I310)=0),"ERRO: destino inexistente",IF(AND($K310&lt;&gt;"",COUNTIF(CAT_ID,$K310)=0),"ERRO: categoria inexistente",IF(AND($L310&lt;&gt;"",COUNTIF(SUB_ID,$L310)=0),"ERRO: subcategoria inexistente",IF(AND($L310&lt;&gt;"",$K310&lt;&gt;"",IFERROR(INDEX(SUB_CATID,MATCH($L310,SUB_ID,0)),"")&lt;&gt;$K310),"ERRO: subcategoria nao pertence a categoria",IF(AND($O310&lt;&gt;"",COUNTIF(P_ID,$O310)=0),"ERRO: parcela inexistente",IF(AND($N310&lt;&gt;"",COUNTIF(CM_ID,$N310)=0),"ERRO: compromisso inexistente","OK")))))))))))))</f>
        <v/>
      </c>
      <c r="AK310" s="35" t="str">
        <f aca="false">IF($B310="","",IF(AND($N310="",$O310="",$P310="",$Q310="",$R310=""),"","VINCULADO: "&amp;TRIM(IF($N310&lt;&gt;"",$N310&amp;" ","")&amp;IF($O310&lt;&gt;"",$O310&amp;" ","")&amp;IF($P310&lt;&gt;"",$P310&amp;" ","")&amp;IF($Q310&lt;&gt;"",$Q310&amp;" ","")&amp;IF($R310&lt;&gt;"",$R310,""))))</f>
        <v/>
      </c>
    </row>
    <row r="311" customFormat="false" ht="15" hidden="false" customHeight="false" outlineLevel="0" collapsed="false">
      <c r="A311" s="30" t="str">
        <f aca="false">IF($B311="","","LAN-"&amp;TEXT(ROW()-4,"000000"))</f>
        <v/>
      </c>
      <c r="B311" s="31"/>
      <c r="C311" s="32"/>
      <c r="D311" s="32"/>
      <c r="E311" s="32"/>
      <c r="F311" s="33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4" t="str">
        <f aca="false">IF($B311="","",YEAR($B311))</f>
        <v/>
      </c>
      <c r="U311" s="34" t="str">
        <f aca="false">IF($B311="","",MONTH($B311))</f>
        <v/>
      </c>
      <c r="V311" s="34" t="str">
        <f aca="false">IF($B311="","",YEAR($B311)*100+MONTH($B311))</f>
        <v/>
      </c>
      <c r="W311" s="35" t="str">
        <f aca="false">IF($D311="","",IFERROR(INDEX(MAP_CLASS,MATCH($D311,MAP_TIPO,0)),"TIPO INVALIDO"))</f>
        <v/>
      </c>
      <c r="X311" s="35" t="str">
        <f aca="false">IF($K311="","",IFERROR(INDEX(CAT_NOME,MATCH($K311,CAT_ID,0)),"?"))</f>
        <v/>
      </c>
      <c r="Y311" s="35" t="str">
        <f aca="false">IF($L311="","",IFERROR(INDEX(SUB_NOME,MATCH($L311,SUB_ID,0)),"?"))</f>
        <v/>
      </c>
      <c r="Z311" s="35" t="str">
        <f aca="false">IF($G311="","",IF($G311="EXTERNO","(Externo)",IFERROR(INDEX(ENT_NOME,MATCH($H311,ENT_ID,0)),"?")))</f>
        <v/>
      </c>
      <c r="AA311" s="35" t="str">
        <f aca="false">IF($I311="","",IF($I311="EXTERNO","(Externo)",IFERROR(INDEX(ENT_NOME,MATCH($J311,ENT_ID,0)),"?")))</f>
        <v/>
      </c>
      <c r="AB311" s="36" t="n">
        <f aca="false">IF($B311="",0,IF(AND($I311="CONTA",$G311&lt;&gt;"CONTA"),$F311,0))</f>
        <v>0</v>
      </c>
      <c r="AC311" s="36" t="n">
        <f aca="false">IF($B311="",0,IF(AND($G311="CONTA",$I311&lt;&gt;"CONTA"),$F311,0))</f>
        <v>0</v>
      </c>
      <c r="AD311" s="36" t="n">
        <f aca="false">IF($W311="RECEITA",$F311,0)</f>
        <v>0</v>
      </c>
      <c r="AE311" s="36" t="n">
        <f aca="false">IF($W311="DESPESA",$F311,0)</f>
        <v>0</v>
      </c>
      <c r="AF311" s="36" t="n">
        <f aca="false">IF($W311="RECEITA_FINANCEIRA",$F311,0)</f>
        <v>0</v>
      </c>
      <c r="AG311" s="36" t="n">
        <f aca="false">IF($B311="",0,IF($I311="CONTA",$F311,0)-IF($G311="CONTA",$F311,0))</f>
        <v>0</v>
      </c>
      <c r="AH311" s="36" t="n">
        <f aca="false">IF($B311="",0,IF($G311="CARTAO",$F311,0)-IF($I311="CARTAO",$F311,0))</f>
        <v>0</v>
      </c>
      <c r="AI311" s="36" t="n">
        <f aca="false">IF($B311="",0,IF($I311="INVESTIMENTO",$F311,0)-IF($G311="INVESTIMENTO",$F311,0))</f>
        <v>0</v>
      </c>
      <c r="AJ311" s="35" t="str">
        <f aca="false">IF($B311="","",IF(NOT(ISNUMBER($F311)),"ERRO: valor nao numerico",IF($F311&lt;=0,"ERRO: valor deve ser maior que zero",IF(COUNTIF(MAP_TIPO,$D311)=0,"ERRO: tipo de operacao nao cadastrado",IF(COUNTIF(LST_STATUS,$E311)=0,"ERRO: status invalido",IF(AND($G311="EXTERNO",$I311="EXTERNO"),"ERRO: origem e destino externos",IF(AND($G311&lt;&gt;"EXTERNO",COUNTIFS(ENT_ID,$H311,ENT_TIPO,$G311)=0),"ERRO: origem inexistente",IF(AND($I311&lt;&gt;"EXTERNO",COUNTIFS(ENT_ID,$J311,ENT_TIPO,$I311)=0),"ERRO: destino inexistente",IF(AND($K311&lt;&gt;"",COUNTIF(CAT_ID,$K311)=0),"ERRO: categoria inexistente",IF(AND($L311&lt;&gt;"",COUNTIF(SUB_ID,$L311)=0),"ERRO: subcategoria inexistente",IF(AND($L311&lt;&gt;"",$K311&lt;&gt;"",IFERROR(INDEX(SUB_CATID,MATCH($L311,SUB_ID,0)),"")&lt;&gt;$K311),"ERRO: subcategoria nao pertence a categoria",IF(AND($O311&lt;&gt;"",COUNTIF(P_ID,$O311)=0),"ERRO: parcela inexistente",IF(AND($N311&lt;&gt;"",COUNTIF(CM_ID,$N311)=0),"ERRO: compromisso inexistente","OK")))))))))))))</f>
        <v/>
      </c>
      <c r="AK311" s="35" t="str">
        <f aca="false">IF($B311="","",IF(AND($N311="",$O311="",$P311="",$Q311="",$R311=""),"","VINCULADO: "&amp;TRIM(IF($N311&lt;&gt;"",$N311&amp;" ","")&amp;IF($O311&lt;&gt;"",$O311&amp;" ","")&amp;IF($P311&lt;&gt;"",$P311&amp;" ","")&amp;IF($Q311&lt;&gt;"",$Q311&amp;" ","")&amp;IF($R311&lt;&gt;"",$R311,""))))</f>
        <v/>
      </c>
    </row>
    <row r="312" customFormat="false" ht="15" hidden="false" customHeight="false" outlineLevel="0" collapsed="false">
      <c r="A312" s="30" t="str">
        <f aca="false">IF($B312="","","LAN-"&amp;TEXT(ROW()-4,"000000"))</f>
        <v/>
      </c>
      <c r="B312" s="31"/>
      <c r="C312" s="32"/>
      <c r="D312" s="32"/>
      <c r="E312" s="32"/>
      <c r="F312" s="33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4" t="str">
        <f aca="false">IF($B312="","",YEAR($B312))</f>
        <v/>
      </c>
      <c r="U312" s="34" t="str">
        <f aca="false">IF($B312="","",MONTH($B312))</f>
        <v/>
      </c>
      <c r="V312" s="34" t="str">
        <f aca="false">IF($B312="","",YEAR($B312)*100+MONTH($B312))</f>
        <v/>
      </c>
      <c r="W312" s="35" t="str">
        <f aca="false">IF($D312="","",IFERROR(INDEX(MAP_CLASS,MATCH($D312,MAP_TIPO,0)),"TIPO INVALIDO"))</f>
        <v/>
      </c>
      <c r="X312" s="35" t="str">
        <f aca="false">IF($K312="","",IFERROR(INDEX(CAT_NOME,MATCH($K312,CAT_ID,0)),"?"))</f>
        <v/>
      </c>
      <c r="Y312" s="35" t="str">
        <f aca="false">IF($L312="","",IFERROR(INDEX(SUB_NOME,MATCH($L312,SUB_ID,0)),"?"))</f>
        <v/>
      </c>
      <c r="Z312" s="35" t="str">
        <f aca="false">IF($G312="","",IF($G312="EXTERNO","(Externo)",IFERROR(INDEX(ENT_NOME,MATCH($H312,ENT_ID,0)),"?")))</f>
        <v/>
      </c>
      <c r="AA312" s="35" t="str">
        <f aca="false">IF($I312="","",IF($I312="EXTERNO","(Externo)",IFERROR(INDEX(ENT_NOME,MATCH($J312,ENT_ID,0)),"?")))</f>
        <v/>
      </c>
      <c r="AB312" s="36" t="n">
        <f aca="false">IF($B312="",0,IF(AND($I312="CONTA",$G312&lt;&gt;"CONTA"),$F312,0))</f>
        <v>0</v>
      </c>
      <c r="AC312" s="36" t="n">
        <f aca="false">IF($B312="",0,IF(AND($G312="CONTA",$I312&lt;&gt;"CONTA"),$F312,0))</f>
        <v>0</v>
      </c>
      <c r="AD312" s="36" t="n">
        <f aca="false">IF($W312="RECEITA",$F312,0)</f>
        <v>0</v>
      </c>
      <c r="AE312" s="36" t="n">
        <f aca="false">IF($W312="DESPESA",$F312,0)</f>
        <v>0</v>
      </c>
      <c r="AF312" s="36" t="n">
        <f aca="false">IF($W312="RECEITA_FINANCEIRA",$F312,0)</f>
        <v>0</v>
      </c>
      <c r="AG312" s="36" t="n">
        <f aca="false">IF($B312="",0,IF($I312="CONTA",$F312,0)-IF($G312="CONTA",$F312,0))</f>
        <v>0</v>
      </c>
      <c r="AH312" s="36" t="n">
        <f aca="false">IF($B312="",0,IF($G312="CARTAO",$F312,0)-IF($I312="CARTAO",$F312,0))</f>
        <v>0</v>
      </c>
      <c r="AI312" s="36" t="n">
        <f aca="false">IF($B312="",0,IF($I312="INVESTIMENTO",$F312,0)-IF($G312="INVESTIMENTO",$F312,0))</f>
        <v>0</v>
      </c>
      <c r="AJ312" s="35" t="str">
        <f aca="false">IF($B312="","",IF(NOT(ISNUMBER($F312)),"ERRO: valor nao numerico",IF($F312&lt;=0,"ERRO: valor deve ser maior que zero",IF(COUNTIF(MAP_TIPO,$D312)=0,"ERRO: tipo de operacao nao cadastrado",IF(COUNTIF(LST_STATUS,$E312)=0,"ERRO: status invalido",IF(AND($G312="EXTERNO",$I312="EXTERNO"),"ERRO: origem e destino externos",IF(AND($G312&lt;&gt;"EXTERNO",COUNTIFS(ENT_ID,$H312,ENT_TIPO,$G312)=0),"ERRO: origem inexistente",IF(AND($I312&lt;&gt;"EXTERNO",COUNTIFS(ENT_ID,$J312,ENT_TIPO,$I312)=0),"ERRO: destino inexistente",IF(AND($K312&lt;&gt;"",COUNTIF(CAT_ID,$K312)=0),"ERRO: categoria inexistente",IF(AND($L312&lt;&gt;"",COUNTIF(SUB_ID,$L312)=0),"ERRO: subcategoria inexistente",IF(AND($L312&lt;&gt;"",$K312&lt;&gt;"",IFERROR(INDEX(SUB_CATID,MATCH($L312,SUB_ID,0)),"")&lt;&gt;$K312),"ERRO: subcategoria nao pertence a categoria",IF(AND($O312&lt;&gt;"",COUNTIF(P_ID,$O312)=0),"ERRO: parcela inexistente",IF(AND($N312&lt;&gt;"",COUNTIF(CM_ID,$N312)=0),"ERRO: compromisso inexistente","OK")))))))))))))</f>
        <v/>
      </c>
      <c r="AK312" s="35" t="str">
        <f aca="false">IF($B312="","",IF(AND($N312="",$O312="",$P312="",$Q312="",$R312=""),"","VINCULADO: "&amp;TRIM(IF($N312&lt;&gt;"",$N312&amp;" ","")&amp;IF($O312&lt;&gt;"",$O312&amp;" ","")&amp;IF($P312&lt;&gt;"",$P312&amp;" ","")&amp;IF($Q312&lt;&gt;"",$Q312&amp;" ","")&amp;IF($R312&lt;&gt;"",$R312,""))))</f>
        <v/>
      </c>
    </row>
    <row r="313" customFormat="false" ht="15" hidden="false" customHeight="false" outlineLevel="0" collapsed="false">
      <c r="A313" s="30" t="str">
        <f aca="false">IF($B313="","","LAN-"&amp;TEXT(ROW()-4,"000000"))</f>
        <v/>
      </c>
      <c r="B313" s="31"/>
      <c r="C313" s="32"/>
      <c r="D313" s="32"/>
      <c r="E313" s="32"/>
      <c r="F313" s="33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4" t="str">
        <f aca="false">IF($B313="","",YEAR($B313))</f>
        <v/>
      </c>
      <c r="U313" s="34" t="str">
        <f aca="false">IF($B313="","",MONTH($B313))</f>
        <v/>
      </c>
      <c r="V313" s="34" t="str">
        <f aca="false">IF($B313="","",YEAR($B313)*100+MONTH($B313))</f>
        <v/>
      </c>
      <c r="W313" s="35" t="str">
        <f aca="false">IF($D313="","",IFERROR(INDEX(MAP_CLASS,MATCH($D313,MAP_TIPO,0)),"TIPO INVALIDO"))</f>
        <v/>
      </c>
      <c r="X313" s="35" t="str">
        <f aca="false">IF($K313="","",IFERROR(INDEX(CAT_NOME,MATCH($K313,CAT_ID,0)),"?"))</f>
        <v/>
      </c>
      <c r="Y313" s="35" t="str">
        <f aca="false">IF($L313="","",IFERROR(INDEX(SUB_NOME,MATCH($L313,SUB_ID,0)),"?"))</f>
        <v/>
      </c>
      <c r="Z313" s="35" t="str">
        <f aca="false">IF($G313="","",IF($G313="EXTERNO","(Externo)",IFERROR(INDEX(ENT_NOME,MATCH($H313,ENT_ID,0)),"?")))</f>
        <v/>
      </c>
      <c r="AA313" s="35" t="str">
        <f aca="false">IF($I313="","",IF($I313="EXTERNO","(Externo)",IFERROR(INDEX(ENT_NOME,MATCH($J313,ENT_ID,0)),"?")))</f>
        <v/>
      </c>
      <c r="AB313" s="36" t="n">
        <f aca="false">IF($B313="",0,IF(AND($I313="CONTA",$G313&lt;&gt;"CONTA"),$F313,0))</f>
        <v>0</v>
      </c>
      <c r="AC313" s="36" t="n">
        <f aca="false">IF($B313="",0,IF(AND($G313="CONTA",$I313&lt;&gt;"CONTA"),$F313,0))</f>
        <v>0</v>
      </c>
      <c r="AD313" s="36" t="n">
        <f aca="false">IF($W313="RECEITA",$F313,0)</f>
        <v>0</v>
      </c>
      <c r="AE313" s="36" t="n">
        <f aca="false">IF($W313="DESPESA",$F313,0)</f>
        <v>0</v>
      </c>
      <c r="AF313" s="36" t="n">
        <f aca="false">IF($W313="RECEITA_FINANCEIRA",$F313,0)</f>
        <v>0</v>
      </c>
      <c r="AG313" s="36" t="n">
        <f aca="false">IF($B313="",0,IF($I313="CONTA",$F313,0)-IF($G313="CONTA",$F313,0))</f>
        <v>0</v>
      </c>
      <c r="AH313" s="36" t="n">
        <f aca="false">IF($B313="",0,IF($G313="CARTAO",$F313,0)-IF($I313="CARTAO",$F313,0))</f>
        <v>0</v>
      </c>
      <c r="AI313" s="36" t="n">
        <f aca="false">IF($B313="",0,IF($I313="INVESTIMENTO",$F313,0)-IF($G313="INVESTIMENTO",$F313,0))</f>
        <v>0</v>
      </c>
      <c r="AJ313" s="35" t="str">
        <f aca="false">IF($B313="","",IF(NOT(ISNUMBER($F313)),"ERRO: valor nao numerico",IF($F313&lt;=0,"ERRO: valor deve ser maior que zero",IF(COUNTIF(MAP_TIPO,$D313)=0,"ERRO: tipo de operacao nao cadastrado",IF(COUNTIF(LST_STATUS,$E313)=0,"ERRO: status invalido",IF(AND($G313="EXTERNO",$I313="EXTERNO"),"ERRO: origem e destino externos",IF(AND($G313&lt;&gt;"EXTERNO",COUNTIFS(ENT_ID,$H313,ENT_TIPO,$G313)=0),"ERRO: origem inexistente",IF(AND($I313&lt;&gt;"EXTERNO",COUNTIFS(ENT_ID,$J313,ENT_TIPO,$I313)=0),"ERRO: destino inexistente",IF(AND($K313&lt;&gt;"",COUNTIF(CAT_ID,$K313)=0),"ERRO: categoria inexistente",IF(AND($L313&lt;&gt;"",COUNTIF(SUB_ID,$L313)=0),"ERRO: subcategoria inexistente",IF(AND($L313&lt;&gt;"",$K313&lt;&gt;"",IFERROR(INDEX(SUB_CATID,MATCH($L313,SUB_ID,0)),"")&lt;&gt;$K313),"ERRO: subcategoria nao pertence a categoria",IF(AND($O313&lt;&gt;"",COUNTIF(P_ID,$O313)=0),"ERRO: parcela inexistente",IF(AND($N313&lt;&gt;"",COUNTIF(CM_ID,$N313)=0),"ERRO: compromisso inexistente","OK")))))))))))))</f>
        <v/>
      </c>
      <c r="AK313" s="35" t="str">
        <f aca="false">IF($B313="","",IF(AND($N313="",$O313="",$P313="",$Q313="",$R313=""),"","VINCULADO: "&amp;TRIM(IF($N313&lt;&gt;"",$N313&amp;" ","")&amp;IF($O313&lt;&gt;"",$O313&amp;" ","")&amp;IF($P313&lt;&gt;"",$P313&amp;" ","")&amp;IF($Q313&lt;&gt;"",$Q313&amp;" ","")&amp;IF($R313&lt;&gt;"",$R313,""))))</f>
        <v/>
      </c>
    </row>
    <row r="314" customFormat="false" ht="15" hidden="false" customHeight="false" outlineLevel="0" collapsed="false">
      <c r="A314" s="30" t="str">
        <f aca="false">IF($B314="","","LAN-"&amp;TEXT(ROW()-4,"000000"))</f>
        <v/>
      </c>
      <c r="B314" s="31"/>
      <c r="C314" s="32"/>
      <c r="D314" s="32"/>
      <c r="E314" s="32"/>
      <c r="F314" s="33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4" t="str">
        <f aca="false">IF($B314="","",YEAR($B314))</f>
        <v/>
      </c>
      <c r="U314" s="34" t="str">
        <f aca="false">IF($B314="","",MONTH($B314))</f>
        <v/>
      </c>
      <c r="V314" s="34" t="str">
        <f aca="false">IF($B314="","",YEAR($B314)*100+MONTH($B314))</f>
        <v/>
      </c>
      <c r="W314" s="35" t="str">
        <f aca="false">IF($D314="","",IFERROR(INDEX(MAP_CLASS,MATCH($D314,MAP_TIPO,0)),"TIPO INVALIDO"))</f>
        <v/>
      </c>
      <c r="X314" s="35" t="str">
        <f aca="false">IF($K314="","",IFERROR(INDEX(CAT_NOME,MATCH($K314,CAT_ID,0)),"?"))</f>
        <v/>
      </c>
      <c r="Y314" s="35" t="str">
        <f aca="false">IF($L314="","",IFERROR(INDEX(SUB_NOME,MATCH($L314,SUB_ID,0)),"?"))</f>
        <v/>
      </c>
      <c r="Z314" s="35" t="str">
        <f aca="false">IF($G314="","",IF($G314="EXTERNO","(Externo)",IFERROR(INDEX(ENT_NOME,MATCH($H314,ENT_ID,0)),"?")))</f>
        <v/>
      </c>
      <c r="AA314" s="35" t="str">
        <f aca="false">IF($I314="","",IF($I314="EXTERNO","(Externo)",IFERROR(INDEX(ENT_NOME,MATCH($J314,ENT_ID,0)),"?")))</f>
        <v/>
      </c>
      <c r="AB314" s="36" t="n">
        <f aca="false">IF($B314="",0,IF(AND($I314="CONTA",$G314&lt;&gt;"CONTA"),$F314,0))</f>
        <v>0</v>
      </c>
      <c r="AC314" s="36" t="n">
        <f aca="false">IF($B314="",0,IF(AND($G314="CONTA",$I314&lt;&gt;"CONTA"),$F314,0))</f>
        <v>0</v>
      </c>
      <c r="AD314" s="36" t="n">
        <f aca="false">IF($W314="RECEITA",$F314,0)</f>
        <v>0</v>
      </c>
      <c r="AE314" s="36" t="n">
        <f aca="false">IF($W314="DESPESA",$F314,0)</f>
        <v>0</v>
      </c>
      <c r="AF314" s="36" t="n">
        <f aca="false">IF($W314="RECEITA_FINANCEIRA",$F314,0)</f>
        <v>0</v>
      </c>
      <c r="AG314" s="36" t="n">
        <f aca="false">IF($B314="",0,IF($I314="CONTA",$F314,0)-IF($G314="CONTA",$F314,0))</f>
        <v>0</v>
      </c>
      <c r="AH314" s="36" t="n">
        <f aca="false">IF($B314="",0,IF($G314="CARTAO",$F314,0)-IF($I314="CARTAO",$F314,0))</f>
        <v>0</v>
      </c>
      <c r="AI314" s="36" t="n">
        <f aca="false">IF($B314="",0,IF($I314="INVESTIMENTO",$F314,0)-IF($G314="INVESTIMENTO",$F314,0))</f>
        <v>0</v>
      </c>
      <c r="AJ314" s="35" t="str">
        <f aca="false">IF($B314="","",IF(NOT(ISNUMBER($F314)),"ERRO: valor nao numerico",IF($F314&lt;=0,"ERRO: valor deve ser maior que zero",IF(COUNTIF(MAP_TIPO,$D314)=0,"ERRO: tipo de operacao nao cadastrado",IF(COUNTIF(LST_STATUS,$E314)=0,"ERRO: status invalido",IF(AND($G314="EXTERNO",$I314="EXTERNO"),"ERRO: origem e destino externos",IF(AND($G314&lt;&gt;"EXTERNO",COUNTIFS(ENT_ID,$H314,ENT_TIPO,$G314)=0),"ERRO: origem inexistente",IF(AND($I314&lt;&gt;"EXTERNO",COUNTIFS(ENT_ID,$J314,ENT_TIPO,$I314)=0),"ERRO: destino inexistente",IF(AND($K314&lt;&gt;"",COUNTIF(CAT_ID,$K314)=0),"ERRO: categoria inexistente",IF(AND($L314&lt;&gt;"",COUNTIF(SUB_ID,$L314)=0),"ERRO: subcategoria inexistente",IF(AND($L314&lt;&gt;"",$K314&lt;&gt;"",IFERROR(INDEX(SUB_CATID,MATCH($L314,SUB_ID,0)),"")&lt;&gt;$K314),"ERRO: subcategoria nao pertence a categoria",IF(AND($O314&lt;&gt;"",COUNTIF(P_ID,$O314)=0),"ERRO: parcela inexistente",IF(AND($N314&lt;&gt;"",COUNTIF(CM_ID,$N314)=0),"ERRO: compromisso inexistente","OK")))))))))))))</f>
        <v/>
      </c>
      <c r="AK314" s="35" t="str">
        <f aca="false">IF($B314="","",IF(AND($N314="",$O314="",$P314="",$Q314="",$R314=""),"","VINCULADO: "&amp;TRIM(IF($N314&lt;&gt;"",$N314&amp;" ","")&amp;IF($O314&lt;&gt;"",$O314&amp;" ","")&amp;IF($P314&lt;&gt;"",$P314&amp;" ","")&amp;IF($Q314&lt;&gt;"",$Q314&amp;" ","")&amp;IF($R314&lt;&gt;"",$R314,""))))</f>
        <v/>
      </c>
    </row>
    <row r="315" customFormat="false" ht="15" hidden="false" customHeight="false" outlineLevel="0" collapsed="false">
      <c r="A315" s="30" t="str">
        <f aca="false">IF($B315="","","LAN-"&amp;TEXT(ROW()-4,"000000"))</f>
        <v/>
      </c>
      <c r="B315" s="31"/>
      <c r="C315" s="32"/>
      <c r="D315" s="32"/>
      <c r="E315" s="32"/>
      <c r="F315" s="33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4" t="str">
        <f aca="false">IF($B315="","",YEAR($B315))</f>
        <v/>
      </c>
      <c r="U315" s="34" t="str">
        <f aca="false">IF($B315="","",MONTH($B315))</f>
        <v/>
      </c>
      <c r="V315" s="34" t="str">
        <f aca="false">IF($B315="","",YEAR($B315)*100+MONTH($B315))</f>
        <v/>
      </c>
      <c r="W315" s="35" t="str">
        <f aca="false">IF($D315="","",IFERROR(INDEX(MAP_CLASS,MATCH($D315,MAP_TIPO,0)),"TIPO INVALIDO"))</f>
        <v/>
      </c>
      <c r="X315" s="35" t="str">
        <f aca="false">IF($K315="","",IFERROR(INDEX(CAT_NOME,MATCH($K315,CAT_ID,0)),"?"))</f>
        <v/>
      </c>
      <c r="Y315" s="35" t="str">
        <f aca="false">IF($L315="","",IFERROR(INDEX(SUB_NOME,MATCH($L315,SUB_ID,0)),"?"))</f>
        <v/>
      </c>
      <c r="Z315" s="35" t="str">
        <f aca="false">IF($G315="","",IF($G315="EXTERNO","(Externo)",IFERROR(INDEX(ENT_NOME,MATCH($H315,ENT_ID,0)),"?")))</f>
        <v/>
      </c>
      <c r="AA315" s="35" t="str">
        <f aca="false">IF($I315="","",IF($I315="EXTERNO","(Externo)",IFERROR(INDEX(ENT_NOME,MATCH($J315,ENT_ID,0)),"?")))</f>
        <v/>
      </c>
      <c r="AB315" s="36" t="n">
        <f aca="false">IF($B315="",0,IF(AND($I315="CONTA",$G315&lt;&gt;"CONTA"),$F315,0))</f>
        <v>0</v>
      </c>
      <c r="AC315" s="36" t="n">
        <f aca="false">IF($B315="",0,IF(AND($G315="CONTA",$I315&lt;&gt;"CONTA"),$F315,0))</f>
        <v>0</v>
      </c>
      <c r="AD315" s="36" t="n">
        <f aca="false">IF($W315="RECEITA",$F315,0)</f>
        <v>0</v>
      </c>
      <c r="AE315" s="36" t="n">
        <f aca="false">IF($W315="DESPESA",$F315,0)</f>
        <v>0</v>
      </c>
      <c r="AF315" s="36" t="n">
        <f aca="false">IF($W315="RECEITA_FINANCEIRA",$F315,0)</f>
        <v>0</v>
      </c>
      <c r="AG315" s="36" t="n">
        <f aca="false">IF($B315="",0,IF($I315="CONTA",$F315,0)-IF($G315="CONTA",$F315,0))</f>
        <v>0</v>
      </c>
      <c r="AH315" s="36" t="n">
        <f aca="false">IF($B315="",0,IF($G315="CARTAO",$F315,0)-IF($I315="CARTAO",$F315,0))</f>
        <v>0</v>
      </c>
      <c r="AI315" s="36" t="n">
        <f aca="false">IF($B315="",0,IF($I315="INVESTIMENTO",$F315,0)-IF($G315="INVESTIMENTO",$F315,0))</f>
        <v>0</v>
      </c>
      <c r="AJ315" s="35" t="str">
        <f aca="false">IF($B315="","",IF(NOT(ISNUMBER($F315)),"ERRO: valor nao numerico",IF($F315&lt;=0,"ERRO: valor deve ser maior que zero",IF(COUNTIF(MAP_TIPO,$D315)=0,"ERRO: tipo de operacao nao cadastrado",IF(COUNTIF(LST_STATUS,$E315)=0,"ERRO: status invalido",IF(AND($G315="EXTERNO",$I315="EXTERNO"),"ERRO: origem e destino externos",IF(AND($G315&lt;&gt;"EXTERNO",COUNTIFS(ENT_ID,$H315,ENT_TIPO,$G315)=0),"ERRO: origem inexistente",IF(AND($I315&lt;&gt;"EXTERNO",COUNTIFS(ENT_ID,$J315,ENT_TIPO,$I315)=0),"ERRO: destino inexistente",IF(AND($K315&lt;&gt;"",COUNTIF(CAT_ID,$K315)=0),"ERRO: categoria inexistente",IF(AND($L315&lt;&gt;"",COUNTIF(SUB_ID,$L315)=0),"ERRO: subcategoria inexistente",IF(AND($L315&lt;&gt;"",$K315&lt;&gt;"",IFERROR(INDEX(SUB_CATID,MATCH($L315,SUB_ID,0)),"")&lt;&gt;$K315),"ERRO: subcategoria nao pertence a categoria",IF(AND($O315&lt;&gt;"",COUNTIF(P_ID,$O315)=0),"ERRO: parcela inexistente",IF(AND($N315&lt;&gt;"",COUNTIF(CM_ID,$N315)=0),"ERRO: compromisso inexistente","OK")))))))))))))</f>
        <v/>
      </c>
      <c r="AK315" s="35" t="str">
        <f aca="false">IF($B315="","",IF(AND($N315="",$O315="",$P315="",$Q315="",$R315=""),"","VINCULADO: "&amp;TRIM(IF($N315&lt;&gt;"",$N315&amp;" ","")&amp;IF($O315&lt;&gt;"",$O315&amp;" ","")&amp;IF($P315&lt;&gt;"",$P315&amp;" ","")&amp;IF($Q315&lt;&gt;"",$Q315&amp;" ","")&amp;IF($R315&lt;&gt;"",$R315,""))))</f>
        <v/>
      </c>
    </row>
    <row r="316" customFormat="false" ht="15" hidden="false" customHeight="false" outlineLevel="0" collapsed="false">
      <c r="A316" s="30" t="str">
        <f aca="false">IF($B316="","","LAN-"&amp;TEXT(ROW()-4,"000000"))</f>
        <v/>
      </c>
      <c r="B316" s="31"/>
      <c r="C316" s="32"/>
      <c r="D316" s="32"/>
      <c r="E316" s="32"/>
      <c r="F316" s="33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4" t="str">
        <f aca="false">IF($B316="","",YEAR($B316))</f>
        <v/>
      </c>
      <c r="U316" s="34" t="str">
        <f aca="false">IF($B316="","",MONTH($B316))</f>
        <v/>
      </c>
      <c r="V316" s="34" t="str">
        <f aca="false">IF($B316="","",YEAR($B316)*100+MONTH($B316))</f>
        <v/>
      </c>
      <c r="W316" s="35" t="str">
        <f aca="false">IF($D316="","",IFERROR(INDEX(MAP_CLASS,MATCH($D316,MAP_TIPO,0)),"TIPO INVALIDO"))</f>
        <v/>
      </c>
      <c r="X316" s="35" t="str">
        <f aca="false">IF($K316="","",IFERROR(INDEX(CAT_NOME,MATCH($K316,CAT_ID,0)),"?"))</f>
        <v/>
      </c>
      <c r="Y316" s="35" t="str">
        <f aca="false">IF($L316="","",IFERROR(INDEX(SUB_NOME,MATCH($L316,SUB_ID,0)),"?"))</f>
        <v/>
      </c>
      <c r="Z316" s="35" t="str">
        <f aca="false">IF($G316="","",IF($G316="EXTERNO","(Externo)",IFERROR(INDEX(ENT_NOME,MATCH($H316,ENT_ID,0)),"?")))</f>
        <v/>
      </c>
      <c r="AA316" s="35" t="str">
        <f aca="false">IF($I316="","",IF($I316="EXTERNO","(Externo)",IFERROR(INDEX(ENT_NOME,MATCH($J316,ENT_ID,0)),"?")))</f>
        <v/>
      </c>
      <c r="AB316" s="36" t="n">
        <f aca="false">IF($B316="",0,IF(AND($I316="CONTA",$G316&lt;&gt;"CONTA"),$F316,0))</f>
        <v>0</v>
      </c>
      <c r="AC316" s="36" t="n">
        <f aca="false">IF($B316="",0,IF(AND($G316="CONTA",$I316&lt;&gt;"CONTA"),$F316,0))</f>
        <v>0</v>
      </c>
      <c r="AD316" s="36" t="n">
        <f aca="false">IF($W316="RECEITA",$F316,0)</f>
        <v>0</v>
      </c>
      <c r="AE316" s="36" t="n">
        <f aca="false">IF($W316="DESPESA",$F316,0)</f>
        <v>0</v>
      </c>
      <c r="AF316" s="36" t="n">
        <f aca="false">IF($W316="RECEITA_FINANCEIRA",$F316,0)</f>
        <v>0</v>
      </c>
      <c r="AG316" s="36" t="n">
        <f aca="false">IF($B316="",0,IF($I316="CONTA",$F316,0)-IF($G316="CONTA",$F316,0))</f>
        <v>0</v>
      </c>
      <c r="AH316" s="36" t="n">
        <f aca="false">IF($B316="",0,IF($G316="CARTAO",$F316,0)-IF($I316="CARTAO",$F316,0))</f>
        <v>0</v>
      </c>
      <c r="AI316" s="36" t="n">
        <f aca="false">IF($B316="",0,IF($I316="INVESTIMENTO",$F316,0)-IF($G316="INVESTIMENTO",$F316,0))</f>
        <v>0</v>
      </c>
      <c r="AJ316" s="35" t="str">
        <f aca="false">IF($B316="","",IF(NOT(ISNUMBER($F316)),"ERRO: valor nao numerico",IF($F316&lt;=0,"ERRO: valor deve ser maior que zero",IF(COUNTIF(MAP_TIPO,$D316)=0,"ERRO: tipo de operacao nao cadastrado",IF(COUNTIF(LST_STATUS,$E316)=0,"ERRO: status invalido",IF(AND($G316="EXTERNO",$I316="EXTERNO"),"ERRO: origem e destino externos",IF(AND($G316&lt;&gt;"EXTERNO",COUNTIFS(ENT_ID,$H316,ENT_TIPO,$G316)=0),"ERRO: origem inexistente",IF(AND($I316&lt;&gt;"EXTERNO",COUNTIFS(ENT_ID,$J316,ENT_TIPO,$I316)=0),"ERRO: destino inexistente",IF(AND($K316&lt;&gt;"",COUNTIF(CAT_ID,$K316)=0),"ERRO: categoria inexistente",IF(AND($L316&lt;&gt;"",COUNTIF(SUB_ID,$L316)=0),"ERRO: subcategoria inexistente",IF(AND($L316&lt;&gt;"",$K316&lt;&gt;"",IFERROR(INDEX(SUB_CATID,MATCH($L316,SUB_ID,0)),"")&lt;&gt;$K316),"ERRO: subcategoria nao pertence a categoria",IF(AND($O316&lt;&gt;"",COUNTIF(P_ID,$O316)=0),"ERRO: parcela inexistente",IF(AND($N316&lt;&gt;"",COUNTIF(CM_ID,$N316)=0),"ERRO: compromisso inexistente","OK")))))))))))))</f>
        <v/>
      </c>
      <c r="AK316" s="35" t="str">
        <f aca="false">IF($B316="","",IF(AND($N316="",$O316="",$P316="",$Q316="",$R316=""),"","VINCULADO: "&amp;TRIM(IF($N316&lt;&gt;"",$N316&amp;" ","")&amp;IF($O316&lt;&gt;"",$O316&amp;" ","")&amp;IF($P316&lt;&gt;"",$P316&amp;" ","")&amp;IF($Q316&lt;&gt;"",$Q316&amp;" ","")&amp;IF($R316&lt;&gt;"",$R316,""))))</f>
        <v/>
      </c>
    </row>
    <row r="317" customFormat="false" ht="15" hidden="false" customHeight="false" outlineLevel="0" collapsed="false">
      <c r="A317" s="30" t="str">
        <f aca="false">IF($B317="","","LAN-"&amp;TEXT(ROW()-4,"000000"))</f>
        <v/>
      </c>
      <c r="B317" s="31"/>
      <c r="C317" s="32"/>
      <c r="D317" s="32"/>
      <c r="E317" s="32"/>
      <c r="F317" s="33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4" t="str">
        <f aca="false">IF($B317="","",YEAR($B317))</f>
        <v/>
      </c>
      <c r="U317" s="34" t="str">
        <f aca="false">IF($B317="","",MONTH($B317))</f>
        <v/>
      </c>
      <c r="V317" s="34" t="str">
        <f aca="false">IF($B317="","",YEAR($B317)*100+MONTH($B317))</f>
        <v/>
      </c>
      <c r="W317" s="35" t="str">
        <f aca="false">IF($D317="","",IFERROR(INDEX(MAP_CLASS,MATCH($D317,MAP_TIPO,0)),"TIPO INVALIDO"))</f>
        <v/>
      </c>
      <c r="X317" s="35" t="str">
        <f aca="false">IF($K317="","",IFERROR(INDEX(CAT_NOME,MATCH($K317,CAT_ID,0)),"?"))</f>
        <v/>
      </c>
      <c r="Y317" s="35" t="str">
        <f aca="false">IF($L317="","",IFERROR(INDEX(SUB_NOME,MATCH($L317,SUB_ID,0)),"?"))</f>
        <v/>
      </c>
      <c r="Z317" s="35" t="str">
        <f aca="false">IF($G317="","",IF($G317="EXTERNO","(Externo)",IFERROR(INDEX(ENT_NOME,MATCH($H317,ENT_ID,0)),"?")))</f>
        <v/>
      </c>
      <c r="AA317" s="35" t="str">
        <f aca="false">IF($I317="","",IF($I317="EXTERNO","(Externo)",IFERROR(INDEX(ENT_NOME,MATCH($J317,ENT_ID,0)),"?")))</f>
        <v/>
      </c>
      <c r="AB317" s="36" t="n">
        <f aca="false">IF($B317="",0,IF(AND($I317="CONTA",$G317&lt;&gt;"CONTA"),$F317,0))</f>
        <v>0</v>
      </c>
      <c r="AC317" s="36" t="n">
        <f aca="false">IF($B317="",0,IF(AND($G317="CONTA",$I317&lt;&gt;"CONTA"),$F317,0))</f>
        <v>0</v>
      </c>
      <c r="AD317" s="36" t="n">
        <f aca="false">IF($W317="RECEITA",$F317,0)</f>
        <v>0</v>
      </c>
      <c r="AE317" s="36" t="n">
        <f aca="false">IF($W317="DESPESA",$F317,0)</f>
        <v>0</v>
      </c>
      <c r="AF317" s="36" t="n">
        <f aca="false">IF($W317="RECEITA_FINANCEIRA",$F317,0)</f>
        <v>0</v>
      </c>
      <c r="AG317" s="36" t="n">
        <f aca="false">IF($B317="",0,IF($I317="CONTA",$F317,0)-IF($G317="CONTA",$F317,0))</f>
        <v>0</v>
      </c>
      <c r="AH317" s="36" t="n">
        <f aca="false">IF($B317="",0,IF($G317="CARTAO",$F317,0)-IF($I317="CARTAO",$F317,0))</f>
        <v>0</v>
      </c>
      <c r="AI317" s="36" t="n">
        <f aca="false">IF($B317="",0,IF($I317="INVESTIMENTO",$F317,0)-IF($G317="INVESTIMENTO",$F317,0))</f>
        <v>0</v>
      </c>
      <c r="AJ317" s="35" t="str">
        <f aca="false">IF($B317="","",IF(NOT(ISNUMBER($F317)),"ERRO: valor nao numerico",IF($F317&lt;=0,"ERRO: valor deve ser maior que zero",IF(COUNTIF(MAP_TIPO,$D317)=0,"ERRO: tipo de operacao nao cadastrado",IF(COUNTIF(LST_STATUS,$E317)=0,"ERRO: status invalido",IF(AND($G317="EXTERNO",$I317="EXTERNO"),"ERRO: origem e destino externos",IF(AND($G317&lt;&gt;"EXTERNO",COUNTIFS(ENT_ID,$H317,ENT_TIPO,$G317)=0),"ERRO: origem inexistente",IF(AND($I317&lt;&gt;"EXTERNO",COUNTIFS(ENT_ID,$J317,ENT_TIPO,$I317)=0),"ERRO: destino inexistente",IF(AND($K317&lt;&gt;"",COUNTIF(CAT_ID,$K317)=0),"ERRO: categoria inexistente",IF(AND($L317&lt;&gt;"",COUNTIF(SUB_ID,$L317)=0),"ERRO: subcategoria inexistente",IF(AND($L317&lt;&gt;"",$K317&lt;&gt;"",IFERROR(INDEX(SUB_CATID,MATCH($L317,SUB_ID,0)),"")&lt;&gt;$K317),"ERRO: subcategoria nao pertence a categoria",IF(AND($O317&lt;&gt;"",COUNTIF(P_ID,$O317)=0),"ERRO: parcela inexistente",IF(AND($N317&lt;&gt;"",COUNTIF(CM_ID,$N317)=0),"ERRO: compromisso inexistente","OK")))))))))))))</f>
        <v/>
      </c>
      <c r="AK317" s="35" t="str">
        <f aca="false">IF($B317="","",IF(AND($N317="",$O317="",$P317="",$Q317="",$R317=""),"","VINCULADO: "&amp;TRIM(IF($N317&lt;&gt;"",$N317&amp;" ","")&amp;IF($O317&lt;&gt;"",$O317&amp;" ","")&amp;IF($P317&lt;&gt;"",$P317&amp;" ","")&amp;IF($Q317&lt;&gt;"",$Q317&amp;" ","")&amp;IF($R317&lt;&gt;"",$R317,""))))</f>
        <v/>
      </c>
    </row>
    <row r="318" customFormat="false" ht="15" hidden="false" customHeight="false" outlineLevel="0" collapsed="false">
      <c r="A318" s="30" t="str">
        <f aca="false">IF($B318="","","LAN-"&amp;TEXT(ROW()-4,"000000"))</f>
        <v/>
      </c>
      <c r="B318" s="31"/>
      <c r="C318" s="32"/>
      <c r="D318" s="32"/>
      <c r="E318" s="32"/>
      <c r="F318" s="33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4" t="str">
        <f aca="false">IF($B318="","",YEAR($B318))</f>
        <v/>
      </c>
      <c r="U318" s="34" t="str">
        <f aca="false">IF($B318="","",MONTH($B318))</f>
        <v/>
      </c>
      <c r="V318" s="34" t="str">
        <f aca="false">IF($B318="","",YEAR($B318)*100+MONTH($B318))</f>
        <v/>
      </c>
      <c r="W318" s="35" t="str">
        <f aca="false">IF($D318="","",IFERROR(INDEX(MAP_CLASS,MATCH($D318,MAP_TIPO,0)),"TIPO INVALIDO"))</f>
        <v/>
      </c>
      <c r="X318" s="35" t="str">
        <f aca="false">IF($K318="","",IFERROR(INDEX(CAT_NOME,MATCH($K318,CAT_ID,0)),"?"))</f>
        <v/>
      </c>
      <c r="Y318" s="35" t="str">
        <f aca="false">IF($L318="","",IFERROR(INDEX(SUB_NOME,MATCH($L318,SUB_ID,0)),"?"))</f>
        <v/>
      </c>
      <c r="Z318" s="35" t="str">
        <f aca="false">IF($G318="","",IF($G318="EXTERNO","(Externo)",IFERROR(INDEX(ENT_NOME,MATCH($H318,ENT_ID,0)),"?")))</f>
        <v/>
      </c>
      <c r="AA318" s="35" t="str">
        <f aca="false">IF($I318="","",IF($I318="EXTERNO","(Externo)",IFERROR(INDEX(ENT_NOME,MATCH($J318,ENT_ID,0)),"?")))</f>
        <v/>
      </c>
      <c r="AB318" s="36" t="n">
        <f aca="false">IF($B318="",0,IF(AND($I318="CONTA",$G318&lt;&gt;"CONTA"),$F318,0))</f>
        <v>0</v>
      </c>
      <c r="AC318" s="36" t="n">
        <f aca="false">IF($B318="",0,IF(AND($G318="CONTA",$I318&lt;&gt;"CONTA"),$F318,0))</f>
        <v>0</v>
      </c>
      <c r="AD318" s="36" t="n">
        <f aca="false">IF($W318="RECEITA",$F318,0)</f>
        <v>0</v>
      </c>
      <c r="AE318" s="36" t="n">
        <f aca="false">IF($W318="DESPESA",$F318,0)</f>
        <v>0</v>
      </c>
      <c r="AF318" s="36" t="n">
        <f aca="false">IF($W318="RECEITA_FINANCEIRA",$F318,0)</f>
        <v>0</v>
      </c>
      <c r="AG318" s="36" t="n">
        <f aca="false">IF($B318="",0,IF($I318="CONTA",$F318,0)-IF($G318="CONTA",$F318,0))</f>
        <v>0</v>
      </c>
      <c r="AH318" s="36" t="n">
        <f aca="false">IF($B318="",0,IF($G318="CARTAO",$F318,0)-IF($I318="CARTAO",$F318,0))</f>
        <v>0</v>
      </c>
      <c r="AI318" s="36" t="n">
        <f aca="false">IF($B318="",0,IF($I318="INVESTIMENTO",$F318,0)-IF($G318="INVESTIMENTO",$F318,0))</f>
        <v>0</v>
      </c>
      <c r="AJ318" s="35" t="str">
        <f aca="false">IF($B318="","",IF(NOT(ISNUMBER($F318)),"ERRO: valor nao numerico",IF($F318&lt;=0,"ERRO: valor deve ser maior que zero",IF(COUNTIF(MAP_TIPO,$D318)=0,"ERRO: tipo de operacao nao cadastrado",IF(COUNTIF(LST_STATUS,$E318)=0,"ERRO: status invalido",IF(AND($G318="EXTERNO",$I318="EXTERNO"),"ERRO: origem e destino externos",IF(AND($G318&lt;&gt;"EXTERNO",COUNTIFS(ENT_ID,$H318,ENT_TIPO,$G318)=0),"ERRO: origem inexistente",IF(AND($I318&lt;&gt;"EXTERNO",COUNTIFS(ENT_ID,$J318,ENT_TIPO,$I318)=0),"ERRO: destino inexistente",IF(AND($K318&lt;&gt;"",COUNTIF(CAT_ID,$K318)=0),"ERRO: categoria inexistente",IF(AND($L318&lt;&gt;"",COUNTIF(SUB_ID,$L318)=0),"ERRO: subcategoria inexistente",IF(AND($L318&lt;&gt;"",$K318&lt;&gt;"",IFERROR(INDEX(SUB_CATID,MATCH($L318,SUB_ID,0)),"")&lt;&gt;$K318),"ERRO: subcategoria nao pertence a categoria",IF(AND($O318&lt;&gt;"",COUNTIF(P_ID,$O318)=0),"ERRO: parcela inexistente",IF(AND($N318&lt;&gt;"",COUNTIF(CM_ID,$N318)=0),"ERRO: compromisso inexistente","OK")))))))))))))</f>
        <v/>
      </c>
      <c r="AK318" s="35" t="str">
        <f aca="false">IF($B318="","",IF(AND($N318="",$O318="",$P318="",$Q318="",$R318=""),"","VINCULADO: "&amp;TRIM(IF($N318&lt;&gt;"",$N318&amp;" ","")&amp;IF($O318&lt;&gt;"",$O318&amp;" ","")&amp;IF($P318&lt;&gt;"",$P318&amp;" ","")&amp;IF($Q318&lt;&gt;"",$Q318&amp;" ","")&amp;IF($R318&lt;&gt;"",$R318,""))))</f>
        <v/>
      </c>
    </row>
    <row r="319" customFormat="false" ht="15" hidden="false" customHeight="false" outlineLevel="0" collapsed="false">
      <c r="A319" s="30" t="str">
        <f aca="false">IF($B319="","","LAN-"&amp;TEXT(ROW()-4,"000000"))</f>
        <v/>
      </c>
      <c r="B319" s="31"/>
      <c r="C319" s="32"/>
      <c r="D319" s="32"/>
      <c r="E319" s="32"/>
      <c r="F319" s="33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4" t="str">
        <f aca="false">IF($B319="","",YEAR($B319))</f>
        <v/>
      </c>
      <c r="U319" s="34" t="str">
        <f aca="false">IF($B319="","",MONTH($B319))</f>
        <v/>
      </c>
      <c r="V319" s="34" t="str">
        <f aca="false">IF($B319="","",YEAR($B319)*100+MONTH($B319))</f>
        <v/>
      </c>
      <c r="W319" s="35" t="str">
        <f aca="false">IF($D319="","",IFERROR(INDEX(MAP_CLASS,MATCH($D319,MAP_TIPO,0)),"TIPO INVALIDO"))</f>
        <v/>
      </c>
      <c r="X319" s="35" t="str">
        <f aca="false">IF($K319="","",IFERROR(INDEX(CAT_NOME,MATCH($K319,CAT_ID,0)),"?"))</f>
        <v/>
      </c>
      <c r="Y319" s="35" t="str">
        <f aca="false">IF($L319="","",IFERROR(INDEX(SUB_NOME,MATCH($L319,SUB_ID,0)),"?"))</f>
        <v/>
      </c>
      <c r="Z319" s="35" t="str">
        <f aca="false">IF($G319="","",IF($G319="EXTERNO","(Externo)",IFERROR(INDEX(ENT_NOME,MATCH($H319,ENT_ID,0)),"?")))</f>
        <v/>
      </c>
      <c r="AA319" s="35" t="str">
        <f aca="false">IF($I319="","",IF($I319="EXTERNO","(Externo)",IFERROR(INDEX(ENT_NOME,MATCH($J319,ENT_ID,0)),"?")))</f>
        <v/>
      </c>
      <c r="AB319" s="36" t="n">
        <f aca="false">IF($B319="",0,IF(AND($I319="CONTA",$G319&lt;&gt;"CONTA"),$F319,0))</f>
        <v>0</v>
      </c>
      <c r="AC319" s="36" t="n">
        <f aca="false">IF($B319="",0,IF(AND($G319="CONTA",$I319&lt;&gt;"CONTA"),$F319,0))</f>
        <v>0</v>
      </c>
      <c r="AD319" s="36" t="n">
        <f aca="false">IF($W319="RECEITA",$F319,0)</f>
        <v>0</v>
      </c>
      <c r="AE319" s="36" t="n">
        <f aca="false">IF($W319="DESPESA",$F319,0)</f>
        <v>0</v>
      </c>
      <c r="AF319" s="36" t="n">
        <f aca="false">IF($W319="RECEITA_FINANCEIRA",$F319,0)</f>
        <v>0</v>
      </c>
      <c r="AG319" s="36" t="n">
        <f aca="false">IF($B319="",0,IF($I319="CONTA",$F319,0)-IF($G319="CONTA",$F319,0))</f>
        <v>0</v>
      </c>
      <c r="AH319" s="36" t="n">
        <f aca="false">IF($B319="",0,IF($G319="CARTAO",$F319,0)-IF($I319="CARTAO",$F319,0))</f>
        <v>0</v>
      </c>
      <c r="AI319" s="36" t="n">
        <f aca="false">IF($B319="",0,IF($I319="INVESTIMENTO",$F319,0)-IF($G319="INVESTIMENTO",$F319,0))</f>
        <v>0</v>
      </c>
      <c r="AJ319" s="35" t="str">
        <f aca="false">IF($B319="","",IF(NOT(ISNUMBER($F319)),"ERRO: valor nao numerico",IF($F319&lt;=0,"ERRO: valor deve ser maior que zero",IF(COUNTIF(MAP_TIPO,$D319)=0,"ERRO: tipo de operacao nao cadastrado",IF(COUNTIF(LST_STATUS,$E319)=0,"ERRO: status invalido",IF(AND($G319="EXTERNO",$I319="EXTERNO"),"ERRO: origem e destino externos",IF(AND($G319&lt;&gt;"EXTERNO",COUNTIFS(ENT_ID,$H319,ENT_TIPO,$G319)=0),"ERRO: origem inexistente",IF(AND($I319&lt;&gt;"EXTERNO",COUNTIFS(ENT_ID,$J319,ENT_TIPO,$I319)=0),"ERRO: destino inexistente",IF(AND($K319&lt;&gt;"",COUNTIF(CAT_ID,$K319)=0),"ERRO: categoria inexistente",IF(AND($L319&lt;&gt;"",COUNTIF(SUB_ID,$L319)=0),"ERRO: subcategoria inexistente",IF(AND($L319&lt;&gt;"",$K319&lt;&gt;"",IFERROR(INDEX(SUB_CATID,MATCH($L319,SUB_ID,0)),"")&lt;&gt;$K319),"ERRO: subcategoria nao pertence a categoria",IF(AND($O319&lt;&gt;"",COUNTIF(P_ID,$O319)=0),"ERRO: parcela inexistente",IF(AND($N319&lt;&gt;"",COUNTIF(CM_ID,$N319)=0),"ERRO: compromisso inexistente","OK")))))))))))))</f>
        <v/>
      </c>
      <c r="AK319" s="35" t="str">
        <f aca="false">IF($B319="","",IF(AND($N319="",$O319="",$P319="",$Q319="",$R319=""),"","VINCULADO: "&amp;TRIM(IF($N319&lt;&gt;"",$N319&amp;" ","")&amp;IF($O319&lt;&gt;"",$O319&amp;" ","")&amp;IF($P319&lt;&gt;"",$P319&amp;" ","")&amp;IF($Q319&lt;&gt;"",$Q319&amp;" ","")&amp;IF($R319&lt;&gt;"",$R319,""))))</f>
        <v/>
      </c>
    </row>
    <row r="320" customFormat="false" ht="15" hidden="false" customHeight="false" outlineLevel="0" collapsed="false">
      <c r="A320" s="30" t="str">
        <f aca="false">IF($B320="","","LAN-"&amp;TEXT(ROW()-4,"000000"))</f>
        <v/>
      </c>
      <c r="B320" s="31"/>
      <c r="C320" s="32"/>
      <c r="D320" s="32"/>
      <c r="E320" s="32"/>
      <c r="F320" s="33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4" t="str">
        <f aca="false">IF($B320="","",YEAR($B320))</f>
        <v/>
      </c>
      <c r="U320" s="34" t="str">
        <f aca="false">IF($B320="","",MONTH($B320))</f>
        <v/>
      </c>
      <c r="V320" s="34" t="str">
        <f aca="false">IF($B320="","",YEAR($B320)*100+MONTH($B320))</f>
        <v/>
      </c>
      <c r="W320" s="35" t="str">
        <f aca="false">IF($D320="","",IFERROR(INDEX(MAP_CLASS,MATCH($D320,MAP_TIPO,0)),"TIPO INVALIDO"))</f>
        <v/>
      </c>
      <c r="X320" s="35" t="str">
        <f aca="false">IF($K320="","",IFERROR(INDEX(CAT_NOME,MATCH($K320,CAT_ID,0)),"?"))</f>
        <v/>
      </c>
      <c r="Y320" s="35" t="str">
        <f aca="false">IF($L320="","",IFERROR(INDEX(SUB_NOME,MATCH($L320,SUB_ID,0)),"?"))</f>
        <v/>
      </c>
      <c r="Z320" s="35" t="str">
        <f aca="false">IF($G320="","",IF($G320="EXTERNO","(Externo)",IFERROR(INDEX(ENT_NOME,MATCH($H320,ENT_ID,0)),"?")))</f>
        <v/>
      </c>
      <c r="AA320" s="35" t="str">
        <f aca="false">IF($I320="","",IF($I320="EXTERNO","(Externo)",IFERROR(INDEX(ENT_NOME,MATCH($J320,ENT_ID,0)),"?")))</f>
        <v/>
      </c>
      <c r="AB320" s="36" t="n">
        <f aca="false">IF($B320="",0,IF(AND($I320="CONTA",$G320&lt;&gt;"CONTA"),$F320,0))</f>
        <v>0</v>
      </c>
      <c r="AC320" s="36" t="n">
        <f aca="false">IF($B320="",0,IF(AND($G320="CONTA",$I320&lt;&gt;"CONTA"),$F320,0))</f>
        <v>0</v>
      </c>
      <c r="AD320" s="36" t="n">
        <f aca="false">IF($W320="RECEITA",$F320,0)</f>
        <v>0</v>
      </c>
      <c r="AE320" s="36" t="n">
        <f aca="false">IF($W320="DESPESA",$F320,0)</f>
        <v>0</v>
      </c>
      <c r="AF320" s="36" t="n">
        <f aca="false">IF($W320="RECEITA_FINANCEIRA",$F320,0)</f>
        <v>0</v>
      </c>
      <c r="AG320" s="36" t="n">
        <f aca="false">IF($B320="",0,IF($I320="CONTA",$F320,0)-IF($G320="CONTA",$F320,0))</f>
        <v>0</v>
      </c>
      <c r="AH320" s="36" t="n">
        <f aca="false">IF($B320="",0,IF($G320="CARTAO",$F320,0)-IF($I320="CARTAO",$F320,0))</f>
        <v>0</v>
      </c>
      <c r="AI320" s="36" t="n">
        <f aca="false">IF($B320="",0,IF($I320="INVESTIMENTO",$F320,0)-IF($G320="INVESTIMENTO",$F320,0))</f>
        <v>0</v>
      </c>
      <c r="AJ320" s="35" t="str">
        <f aca="false">IF($B320="","",IF(NOT(ISNUMBER($F320)),"ERRO: valor nao numerico",IF($F320&lt;=0,"ERRO: valor deve ser maior que zero",IF(COUNTIF(MAP_TIPO,$D320)=0,"ERRO: tipo de operacao nao cadastrado",IF(COUNTIF(LST_STATUS,$E320)=0,"ERRO: status invalido",IF(AND($G320="EXTERNO",$I320="EXTERNO"),"ERRO: origem e destino externos",IF(AND($G320&lt;&gt;"EXTERNO",COUNTIFS(ENT_ID,$H320,ENT_TIPO,$G320)=0),"ERRO: origem inexistente",IF(AND($I320&lt;&gt;"EXTERNO",COUNTIFS(ENT_ID,$J320,ENT_TIPO,$I320)=0),"ERRO: destino inexistente",IF(AND($K320&lt;&gt;"",COUNTIF(CAT_ID,$K320)=0),"ERRO: categoria inexistente",IF(AND($L320&lt;&gt;"",COUNTIF(SUB_ID,$L320)=0),"ERRO: subcategoria inexistente",IF(AND($L320&lt;&gt;"",$K320&lt;&gt;"",IFERROR(INDEX(SUB_CATID,MATCH($L320,SUB_ID,0)),"")&lt;&gt;$K320),"ERRO: subcategoria nao pertence a categoria",IF(AND($O320&lt;&gt;"",COUNTIF(P_ID,$O320)=0),"ERRO: parcela inexistente",IF(AND($N320&lt;&gt;"",COUNTIF(CM_ID,$N320)=0),"ERRO: compromisso inexistente","OK")))))))))))))</f>
        <v/>
      </c>
      <c r="AK320" s="35" t="str">
        <f aca="false">IF($B320="","",IF(AND($N320="",$O320="",$P320="",$Q320="",$R320=""),"","VINCULADO: "&amp;TRIM(IF($N320&lt;&gt;"",$N320&amp;" ","")&amp;IF($O320&lt;&gt;"",$O320&amp;" ","")&amp;IF($P320&lt;&gt;"",$P320&amp;" ","")&amp;IF($Q320&lt;&gt;"",$Q320&amp;" ","")&amp;IF($R320&lt;&gt;"",$R320,""))))</f>
        <v/>
      </c>
    </row>
    <row r="321" customFormat="false" ht="15" hidden="false" customHeight="false" outlineLevel="0" collapsed="false">
      <c r="A321" s="30" t="str">
        <f aca="false">IF($B321="","","LAN-"&amp;TEXT(ROW()-4,"000000"))</f>
        <v/>
      </c>
      <c r="B321" s="31"/>
      <c r="C321" s="32"/>
      <c r="D321" s="32"/>
      <c r="E321" s="32"/>
      <c r="F321" s="33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4" t="str">
        <f aca="false">IF($B321="","",YEAR($B321))</f>
        <v/>
      </c>
      <c r="U321" s="34" t="str">
        <f aca="false">IF($B321="","",MONTH($B321))</f>
        <v/>
      </c>
      <c r="V321" s="34" t="str">
        <f aca="false">IF($B321="","",YEAR($B321)*100+MONTH($B321))</f>
        <v/>
      </c>
      <c r="W321" s="35" t="str">
        <f aca="false">IF($D321="","",IFERROR(INDEX(MAP_CLASS,MATCH($D321,MAP_TIPO,0)),"TIPO INVALIDO"))</f>
        <v/>
      </c>
      <c r="X321" s="35" t="str">
        <f aca="false">IF($K321="","",IFERROR(INDEX(CAT_NOME,MATCH($K321,CAT_ID,0)),"?"))</f>
        <v/>
      </c>
      <c r="Y321" s="35" t="str">
        <f aca="false">IF($L321="","",IFERROR(INDEX(SUB_NOME,MATCH($L321,SUB_ID,0)),"?"))</f>
        <v/>
      </c>
      <c r="Z321" s="35" t="str">
        <f aca="false">IF($G321="","",IF($G321="EXTERNO","(Externo)",IFERROR(INDEX(ENT_NOME,MATCH($H321,ENT_ID,0)),"?")))</f>
        <v/>
      </c>
      <c r="AA321" s="35" t="str">
        <f aca="false">IF($I321="","",IF($I321="EXTERNO","(Externo)",IFERROR(INDEX(ENT_NOME,MATCH($J321,ENT_ID,0)),"?")))</f>
        <v/>
      </c>
      <c r="AB321" s="36" t="n">
        <f aca="false">IF($B321="",0,IF(AND($I321="CONTA",$G321&lt;&gt;"CONTA"),$F321,0))</f>
        <v>0</v>
      </c>
      <c r="AC321" s="36" t="n">
        <f aca="false">IF($B321="",0,IF(AND($G321="CONTA",$I321&lt;&gt;"CONTA"),$F321,0))</f>
        <v>0</v>
      </c>
      <c r="AD321" s="36" t="n">
        <f aca="false">IF($W321="RECEITA",$F321,0)</f>
        <v>0</v>
      </c>
      <c r="AE321" s="36" t="n">
        <f aca="false">IF($W321="DESPESA",$F321,0)</f>
        <v>0</v>
      </c>
      <c r="AF321" s="36" t="n">
        <f aca="false">IF($W321="RECEITA_FINANCEIRA",$F321,0)</f>
        <v>0</v>
      </c>
      <c r="AG321" s="36" t="n">
        <f aca="false">IF($B321="",0,IF($I321="CONTA",$F321,0)-IF($G321="CONTA",$F321,0))</f>
        <v>0</v>
      </c>
      <c r="AH321" s="36" t="n">
        <f aca="false">IF($B321="",0,IF($G321="CARTAO",$F321,0)-IF($I321="CARTAO",$F321,0))</f>
        <v>0</v>
      </c>
      <c r="AI321" s="36" t="n">
        <f aca="false">IF($B321="",0,IF($I321="INVESTIMENTO",$F321,0)-IF($G321="INVESTIMENTO",$F321,0))</f>
        <v>0</v>
      </c>
      <c r="AJ321" s="35" t="str">
        <f aca="false">IF($B321="","",IF(NOT(ISNUMBER($F321)),"ERRO: valor nao numerico",IF($F321&lt;=0,"ERRO: valor deve ser maior que zero",IF(COUNTIF(MAP_TIPO,$D321)=0,"ERRO: tipo de operacao nao cadastrado",IF(COUNTIF(LST_STATUS,$E321)=0,"ERRO: status invalido",IF(AND($G321="EXTERNO",$I321="EXTERNO"),"ERRO: origem e destino externos",IF(AND($G321&lt;&gt;"EXTERNO",COUNTIFS(ENT_ID,$H321,ENT_TIPO,$G321)=0),"ERRO: origem inexistente",IF(AND($I321&lt;&gt;"EXTERNO",COUNTIFS(ENT_ID,$J321,ENT_TIPO,$I321)=0),"ERRO: destino inexistente",IF(AND($K321&lt;&gt;"",COUNTIF(CAT_ID,$K321)=0),"ERRO: categoria inexistente",IF(AND($L321&lt;&gt;"",COUNTIF(SUB_ID,$L321)=0),"ERRO: subcategoria inexistente",IF(AND($L321&lt;&gt;"",$K321&lt;&gt;"",IFERROR(INDEX(SUB_CATID,MATCH($L321,SUB_ID,0)),"")&lt;&gt;$K321),"ERRO: subcategoria nao pertence a categoria",IF(AND($O321&lt;&gt;"",COUNTIF(P_ID,$O321)=0),"ERRO: parcela inexistente",IF(AND($N321&lt;&gt;"",COUNTIF(CM_ID,$N321)=0),"ERRO: compromisso inexistente","OK")))))))))))))</f>
        <v/>
      </c>
      <c r="AK321" s="35" t="str">
        <f aca="false">IF($B321="","",IF(AND($N321="",$O321="",$P321="",$Q321="",$R321=""),"","VINCULADO: "&amp;TRIM(IF($N321&lt;&gt;"",$N321&amp;" ","")&amp;IF($O321&lt;&gt;"",$O321&amp;" ","")&amp;IF($P321&lt;&gt;"",$P321&amp;" ","")&amp;IF($Q321&lt;&gt;"",$Q321&amp;" ","")&amp;IF($R321&lt;&gt;"",$R321,""))))</f>
        <v/>
      </c>
    </row>
    <row r="322" customFormat="false" ht="15" hidden="false" customHeight="false" outlineLevel="0" collapsed="false">
      <c r="A322" s="30" t="str">
        <f aca="false">IF($B322="","","LAN-"&amp;TEXT(ROW()-4,"000000"))</f>
        <v/>
      </c>
      <c r="B322" s="31"/>
      <c r="C322" s="32"/>
      <c r="D322" s="32"/>
      <c r="E322" s="32"/>
      <c r="F322" s="33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4" t="str">
        <f aca="false">IF($B322="","",YEAR($B322))</f>
        <v/>
      </c>
      <c r="U322" s="34" t="str">
        <f aca="false">IF($B322="","",MONTH($B322))</f>
        <v/>
      </c>
      <c r="V322" s="34" t="str">
        <f aca="false">IF($B322="","",YEAR($B322)*100+MONTH($B322))</f>
        <v/>
      </c>
      <c r="W322" s="35" t="str">
        <f aca="false">IF($D322="","",IFERROR(INDEX(MAP_CLASS,MATCH($D322,MAP_TIPO,0)),"TIPO INVALIDO"))</f>
        <v/>
      </c>
      <c r="X322" s="35" t="str">
        <f aca="false">IF($K322="","",IFERROR(INDEX(CAT_NOME,MATCH($K322,CAT_ID,0)),"?"))</f>
        <v/>
      </c>
      <c r="Y322" s="35" t="str">
        <f aca="false">IF($L322="","",IFERROR(INDEX(SUB_NOME,MATCH($L322,SUB_ID,0)),"?"))</f>
        <v/>
      </c>
      <c r="Z322" s="35" t="str">
        <f aca="false">IF($G322="","",IF($G322="EXTERNO","(Externo)",IFERROR(INDEX(ENT_NOME,MATCH($H322,ENT_ID,0)),"?")))</f>
        <v/>
      </c>
      <c r="AA322" s="35" t="str">
        <f aca="false">IF($I322="","",IF($I322="EXTERNO","(Externo)",IFERROR(INDEX(ENT_NOME,MATCH($J322,ENT_ID,0)),"?")))</f>
        <v/>
      </c>
      <c r="AB322" s="36" t="n">
        <f aca="false">IF($B322="",0,IF(AND($I322="CONTA",$G322&lt;&gt;"CONTA"),$F322,0))</f>
        <v>0</v>
      </c>
      <c r="AC322" s="36" t="n">
        <f aca="false">IF($B322="",0,IF(AND($G322="CONTA",$I322&lt;&gt;"CONTA"),$F322,0))</f>
        <v>0</v>
      </c>
      <c r="AD322" s="36" t="n">
        <f aca="false">IF($W322="RECEITA",$F322,0)</f>
        <v>0</v>
      </c>
      <c r="AE322" s="36" t="n">
        <f aca="false">IF($W322="DESPESA",$F322,0)</f>
        <v>0</v>
      </c>
      <c r="AF322" s="36" t="n">
        <f aca="false">IF($W322="RECEITA_FINANCEIRA",$F322,0)</f>
        <v>0</v>
      </c>
      <c r="AG322" s="36" t="n">
        <f aca="false">IF($B322="",0,IF($I322="CONTA",$F322,0)-IF($G322="CONTA",$F322,0))</f>
        <v>0</v>
      </c>
      <c r="AH322" s="36" t="n">
        <f aca="false">IF($B322="",0,IF($G322="CARTAO",$F322,0)-IF($I322="CARTAO",$F322,0))</f>
        <v>0</v>
      </c>
      <c r="AI322" s="36" t="n">
        <f aca="false">IF($B322="",0,IF($I322="INVESTIMENTO",$F322,0)-IF($G322="INVESTIMENTO",$F322,0))</f>
        <v>0</v>
      </c>
      <c r="AJ322" s="35" t="str">
        <f aca="false">IF($B322="","",IF(NOT(ISNUMBER($F322)),"ERRO: valor nao numerico",IF($F322&lt;=0,"ERRO: valor deve ser maior que zero",IF(COUNTIF(MAP_TIPO,$D322)=0,"ERRO: tipo de operacao nao cadastrado",IF(COUNTIF(LST_STATUS,$E322)=0,"ERRO: status invalido",IF(AND($G322="EXTERNO",$I322="EXTERNO"),"ERRO: origem e destino externos",IF(AND($G322&lt;&gt;"EXTERNO",COUNTIFS(ENT_ID,$H322,ENT_TIPO,$G322)=0),"ERRO: origem inexistente",IF(AND($I322&lt;&gt;"EXTERNO",COUNTIFS(ENT_ID,$J322,ENT_TIPO,$I322)=0),"ERRO: destino inexistente",IF(AND($K322&lt;&gt;"",COUNTIF(CAT_ID,$K322)=0),"ERRO: categoria inexistente",IF(AND($L322&lt;&gt;"",COUNTIF(SUB_ID,$L322)=0),"ERRO: subcategoria inexistente",IF(AND($L322&lt;&gt;"",$K322&lt;&gt;"",IFERROR(INDEX(SUB_CATID,MATCH($L322,SUB_ID,0)),"")&lt;&gt;$K322),"ERRO: subcategoria nao pertence a categoria",IF(AND($O322&lt;&gt;"",COUNTIF(P_ID,$O322)=0),"ERRO: parcela inexistente",IF(AND($N322&lt;&gt;"",COUNTIF(CM_ID,$N322)=0),"ERRO: compromisso inexistente","OK")))))))))))))</f>
        <v/>
      </c>
      <c r="AK322" s="35" t="str">
        <f aca="false">IF($B322="","",IF(AND($N322="",$O322="",$P322="",$Q322="",$R322=""),"","VINCULADO: "&amp;TRIM(IF($N322&lt;&gt;"",$N322&amp;" ","")&amp;IF($O322&lt;&gt;"",$O322&amp;" ","")&amp;IF($P322&lt;&gt;"",$P322&amp;" ","")&amp;IF($Q322&lt;&gt;"",$Q322&amp;" ","")&amp;IF($R322&lt;&gt;"",$R322,""))))</f>
        <v/>
      </c>
    </row>
    <row r="323" customFormat="false" ht="15" hidden="false" customHeight="false" outlineLevel="0" collapsed="false">
      <c r="A323" s="30" t="str">
        <f aca="false">IF($B323="","","LAN-"&amp;TEXT(ROW()-4,"000000"))</f>
        <v/>
      </c>
      <c r="B323" s="31"/>
      <c r="C323" s="32"/>
      <c r="D323" s="32"/>
      <c r="E323" s="32"/>
      <c r="F323" s="33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4" t="str">
        <f aca="false">IF($B323="","",YEAR($B323))</f>
        <v/>
      </c>
      <c r="U323" s="34" t="str">
        <f aca="false">IF($B323="","",MONTH($B323))</f>
        <v/>
      </c>
      <c r="V323" s="34" t="str">
        <f aca="false">IF($B323="","",YEAR($B323)*100+MONTH($B323))</f>
        <v/>
      </c>
      <c r="W323" s="35" t="str">
        <f aca="false">IF($D323="","",IFERROR(INDEX(MAP_CLASS,MATCH($D323,MAP_TIPO,0)),"TIPO INVALIDO"))</f>
        <v/>
      </c>
      <c r="X323" s="35" t="str">
        <f aca="false">IF($K323="","",IFERROR(INDEX(CAT_NOME,MATCH($K323,CAT_ID,0)),"?"))</f>
        <v/>
      </c>
      <c r="Y323" s="35" t="str">
        <f aca="false">IF($L323="","",IFERROR(INDEX(SUB_NOME,MATCH($L323,SUB_ID,0)),"?"))</f>
        <v/>
      </c>
      <c r="Z323" s="35" t="str">
        <f aca="false">IF($G323="","",IF($G323="EXTERNO","(Externo)",IFERROR(INDEX(ENT_NOME,MATCH($H323,ENT_ID,0)),"?")))</f>
        <v/>
      </c>
      <c r="AA323" s="35" t="str">
        <f aca="false">IF($I323="","",IF($I323="EXTERNO","(Externo)",IFERROR(INDEX(ENT_NOME,MATCH($J323,ENT_ID,0)),"?")))</f>
        <v/>
      </c>
      <c r="AB323" s="36" t="n">
        <f aca="false">IF($B323="",0,IF(AND($I323="CONTA",$G323&lt;&gt;"CONTA"),$F323,0))</f>
        <v>0</v>
      </c>
      <c r="AC323" s="36" t="n">
        <f aca="false">IF($B323="",0,IF(AND($G323="CONTA",$I323&lt;&gt;"CONTA"),$F323,0))</f>
        <v>0</v>
      </c>
      <c r="AD323" s="36" t="n">
        <f aca="false">IF($W323="RECEITA",$F323,0)</f>
        <v>0</v>
      </c>
      <c r="AE323" s="36" t="n">
        <f aca="false">IF($W323="DESPESA",$F323,0)</f>
        <v>0</v>
      </c>
      <c r="AF323" s="36" t="n">
        <f aca="false">IF($W323="RECEITA_FINANCEIRA",$F323,0)</f>
        <v>0</v>
      </c>
      <c r="AG323" s="36" t="n">
        <f aca="false">IF($B323="",0,IF($I323="CONTA",$F323,0)-IF($G323="CONTA",$F323,0))</f>
        <v>0</v>
      </c>
      <c r="AH323" s="36" t="n">
        <f aca="false">IF($B323="",0,IF($G323="CARTAO",$F323,0)-IF($I323="CARTAO",$F323,0))</f>
        <v>0</v>
      </c>
      <c r="AI323" s="36" t="n">
        <f aca="false">IF($B323="",0,IF($I323="INVESTIMENTO",$F323,0)-IF($G323="INVESTIMENTO",$F323,0))</f>
        <v>0</v>
      </c>
      <c r="AJ323" s="35" t="str">
        <f aca="false">IF($B323="","",IF(NOT(ISNUMBER($F323)),"ERRO: valor nao numerico",IF($F323&lt;=0,"ERRO: valor deve ser maior que zero",IF(COUNTIF(MAP_TIPO,$D323)=0,"ERRO: tipo de operacao nao cadastrado",IF(COUNTIF(LST_STATUS,$E323)=0,"ERRO: status invalido",IF(AND($G323="EXTERNO",$I323="EXTERNO"),"ERRO: origem e destino externos",IF(AND($G323&lt;&gt;"EXTERNO",COUNTIFS(ENT_ID,$H323,ENT_TIPO,$G323)=0),"ERRO: origem inexistente",IF(AND($I323&lt;&gt;"EXTERNO",COUNTIFS(ENT_ID,$J323,ENT_TIPO,$I323)=0),"ERRO: destino inexistente",IF(AND($K323&lt;&gt;"",COUNTIF(CAT_ID,$K323)=0),"ERRO: categoria inexistente",IF(AND($L323&lt;&gt;"",COUNTIF(SUB_ID,$L323)=0),"ERRO: subcategoria inexistente",IF(AND($L323&lt;&gt;"",$K323&lt;&gt;"",IFERROR(INDEX(SUB_CATID,MATCH($L323,SUB_ID,0)),"")&lt;&gt;$K323),"ERRO: subcategoria nao pertence a categoria",IF(AND($O323&lt;&gt;"",COUNTIF(P_ID,$O323)=0),"ERRO: parcela inexistente",IF(AND($N323&lt;&gt;"",COUNTIF(CM_ID,$N323)=0),"ERRO: compromisso inexistente","OK")))))))))))))</f>
        <v/>
      </c>
      <c r="AK323" s="35" t="str">
        <f aca="false">IF($B323="","",IF(AND($N323="",$O323="",$P323="",$Q323="",$R323=""),"","VINCULADO: "&amp;TRIM(IF($N323&lt;&gt;"",$N323&amp;" ","")&amp;IF($O323&lt;&gt;"",$O323&amp;" ","")&amp;IF($P323&lt;&gt;"",$P323&amp;" ","")&amp;IF($Q323&lt;&gt;"",$Q323&amp;" ","")&amp;IF($R323&lt;&gt;"",$R323,""))))</f>
        <v/>
      </c>
    </row>
    <row r="324" customFormat="false" ht="15" hidden="false" customHeight="false" outlineLevel="0" collapsed="false">
      <c r="A324" s="30" t="str">
        <f aca="false">IF($B324="","","LAN-"&amp;TEXT(ROW()-4,"000000"))</f>
        <v/>
      </c>
      <c r="B324" s="31"/>
      <c r="C324" s="32"/>
      <c r="D324" s="32"/>
      <c r="E324" s="32"/>
      <c r="F324" s="33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4" t="str">
        <f aca="false">IF($B324="","",YEAR($B324))</f>
        <v/>
      </c>
      <c r="U324" s="34" t="str">
        <f aca="false">IF($B324="","",MONTH($B324))</f>
        <v/>
      </c>
      <c r="V324" s="34" t="str">
        <f aca="false">IF($B324="","",YEAR($B324)*100+MONTH($B324))</f>
        <v/>
      </c>
      <c r="W324" s="35" t="str">
        <f aca="false">IF($D324="","",IFERROR(INDEX(MAP_CLASS,MATCH($D324,MAP_TIPO,0)),"TIPO INVALIDO"))</f>
        <v/>
      </c>
      <c r="X324" s="35" t="str">
        <f aca="false">IF($K324="","",IFERROR(INDEX(CAT_NOME,MATCH($K324,CAT_ID,0)),"?"))</f>
        <v/>
      </c>
      <c r="Y324" s="35" t="str">
        <f aca="false">IF($L324="","",IFERROR(INDEX(SUB_NOME,MATCH($L324,SUB_ID,0)),"?"))</f>
        <v/>
      </c>
      <c r="Z324" s="35" t="str">
        <f aca="false">IF($G324="","",IF($G324="EXTERNO","(Externo)",IFERROR(INDEX(ENT_NOME,MATCH($H324,ENT_ID,0)),"?")))</f>
        <v/>
      </c>
      <c r="AA324" s="35" t="str">
        <f aca="false">IF($I324="","",IF($I324="EXTERNO","(Externo)",IFERROR(INDEX(ENT_NOME,MATCH($J324,ENT_ID,0)),"?")))</f>
        <v/>
      </c>
      <c r="AB324" s="36" t="n">
        <f aca="false">IF($B324="",0,IF(AND($I324="CONTA",$G324&lt;&gt;"CONTA"),$F324,0))</f>
        <v>0</v>
      </c>
      <c r="AC324" s="36" t="n">
        <f aca="false">IF($B324="",0,IF(AND($G324="CONTA",$I324&lt;&gt;"CONTA"),$F324,0))</f>
        <v>0</v>
      </c>
      <c r="AD324" s="36" t="n">
        <f aca="false">IF($W324="RECEITA",$F324,0)</f>
        <v>0</v>
      </c>
      <c r="AE324" s="36" t="n">
        <f aca="false">IF($W324="DESPESA",$F324,0)</f>
        <v>0</v>
      </c>
      <c r="AF324" s="36" t="n">
        <f aca="false">IF($W324="RECEITA_FINANCEIRA",$F324,0)</f>
        <v>0</v>
      </c>
      <c r="AG324" s="36" t="n">
        <f aca="false">IF($B324="",0,IF($I324="CONTA",$F324,0)-IF($G324="CONTA",$F324,0))</f>
        <v>0</v>
      </c>
      <c r="AH324" s="36" t="n">
        <f aca="false">IF($B324="",0,IF($G324="CARTAO",$F324,0)-IF($I324="CARTAO",$F324,0))</f>
        <v>0</v>
      </c>
      <c r="AI324" s="36" t="n">
        <f aca="false">IF($B324="",0,IF($I324="INVESTIMENTO",$F324,0)-IF($G324="INVESTIMENTO",$F324,0))</f>
        <v>0</v>
      </c>
      <c r="AJ324" s="35" t="str">
        <f aca="false">IF($B324="","",IF(NOT(ISNUMBER($F324)),"ERRO: valor nao numerico",IF($F324&lt;=0,"ERRO: valor deve ser maior que zero",IF(COUNTIF(MAP_TIPO,$D324)=0,"ERRO: tipo de operacao nao cadastrado",IF(COUNTIF(LST_STATUS,$E324)=0,"ERRO: status invalido",IF(AND($G324="EXTERNO",$I324="EXTERNO"),"ERRO: origem e destino externos",IF(AND($G324&lt;&gt;"EXTERNO",COUNTIFS(ENT_ID,$H324,ENT_TIPO,$G324)=0),"ERRO: origem inexistente",IF(AND($I324&lt;&gt;"EXTERNO",COUNTIFS(ENT_ID,$J324,ENT_TIPO,$I324)=0),"ERRO: destino inexistente",IF(AND($K324&lt;&gt;"",COUNTIF(CAT_ID,$K324)=0),"ERRO: categoria inexistente",IF(AND($L324&lt;&gt;"",COUNTIF(SUB_ID,$L324)=0),"ERRO: subcategoria inexistente",IF(AND($L324&lt;&gt;"",$K324&lt;&gt;"",IFERROR(INDEX(SUB_CATID,MATCH($L324,SUB_ID,0)),"")&lt;&gt;$K324),"ERRO: subcategoria nao pertence a categoria",IF(AND($O324&lt;&gt;"",COUNTIF(P_ID,$O324)=0),"ERRO: parcela inexistente",IF(AND($N324&lt;&gt;"",COUNTIF(CM_ID,$N324)=0),"ERRO: compromisso inexistente","OK")))))))))))))</f>
        <v/>
      </c>
      <c r="AK324" s="35" t="str">
        <f aca="false">IF($B324="","",IF(AND($N324="",$O324="",$P324="",$Q324="",$R324=""),"","VINCULADO: "&amp;TRIM(IF($N324&lt;&gt;"",$N324&amp;" ","")&amp;IF($O324&lt;&gt;"",$O324&amp;" ","")&amp;IF($P324&lt;&gt;"",$P324&amp;" ","")&amp;IF($Q324&lt;&gt;"",$Q324&amp;" ","")&amp;IF($R324&lt;&gt;"",$R324,""))))</f>
        <v/>
      </c>
    </row>
    <row r="325" customFormat="false" ht="15" hidden="false" customHeight="false" outlineLevel="0" collapsed="false">
      <c r="A325" s="30" t="str">
        <f aca="false">IF($B325="","","LAN-"&amp;TEXT(ROW()-4,"000000"))</f>
        <v/>
      </c>
      <c r="B325" s="31"/>
      <c r="C325" s="32"/>
      <c r="D325" s="32"/>
      <c r="E325" s="32"/>
      <c r="F325" s="33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4" t="str">
        <f aca="false">IF($B325="","",YEAR($B325))</f>
        <v/>
      </c>
      <c r="U325" s="34" t="str">
        <f aca="false">IF($B325="","",MONTH($B325))</f>
        <v/>
      </c>
      <c r="V325" s="34" t="str">
        <f aca="false">IF($B325="","",YEAR($B325)*100+MONTH($B325))</f>
        <v/>
      </c>
      <c r="W325" s="35" t="str">
        <f aca="false">IF($D325="","",IFERROR(INDEX(MAP_CLASS,MATCH($D325,MAP_TIPO,0)),"TIPO INVALIDO"))</f>
        <v/>
      </c>
      <c r="X325" s="35" t="str">
        <f aca="false">IF($K325="","",IFERROR(INDEX(CAT_NOME,MATCH($K325,CAT_ID,0)),"?"))</f>
        <v/>
      </c>
      <c r="Y325" s="35" t="str">
        <f aca="false">IF($L325="","",IFERROR(INDEX(SUB_NOME,MATCH($L325,SUB_ID,0)),"?"))</f>
        <v/>
      </c>
      <c r="Z325" s="35" t="str">
        <f aca="false">IF($G325="","",IF($G325="EXTERNO","(Externo)",IFERROR(INDEX(ENT_NOME,MATCH($H325,ENT_ID,0)),"?")))</f>
        <v/>
      </c>
      <c r="AA325" s="35" t="str">
        <f aca="false">IF($I325="","",IF($I325="EXTERNO","(Externo)",IFERROR(INDEX(ENT_NOME,MATCH($J325,ENT_ID,0)),"?")))</f>
        <v/>
      </c>
      <c r="AB325" s="36" t="n">
        <f aca="false">IF($B325="",0,IF(AND($I325="CONTA",$G325&lt;&gt;"CONTA"),$F325,0))</f>
        <v>0</v>
      </c>
      <c r="AC325" s="36" t="n">
        <f aca="false">IF($B325="",0,IF(AND($G325="CONTA",$I325&lt;&gt;"CONTA"),$F325,0))</f>
        <v>0</v>
      </c>
      <c r="AD325" s="36" t="n">
        <f aca="false">IF($W325="RECEITA",$F325,0)</f>
        <v>0</v>
      </c>
      <c r="AE325" s="36" t="n">
        <f aca="false">IF($W325="DESPESA",$F325,0)</f>
        <v>0</v>
      </c>
      <c r="AF325" s="36" t="n">
        <f aca="false">IF($W325="RECEITA_FINANCEIRA",$F325,0)</f>
        <v>0</v>
      </c>
      <c r="AG325" s="36" t="n">
        <f aca="false">IF($B325="",0,IF($I325="CONTA",$F325,0)-IF($G325="CONTA",$F325,0))</f>
        <v>0</v>
      </c>
      <c r="AH325" s="36" t="n">
        <f aca="false">IF($B325="",0,IF($G325="CARTAO",$F325,0)-IF($I325="CARTAO",$F325,0))</f>
        <v>0</v>
      </c>
      <c r="AI325" s="36" t="n">
        <f aca="false">IF($B325="",0,IF($I325="INVESTIMENTO",$F325,0)-IF($G325="INVESTIMENTO",$F325,0))</f>
        <v>0</v>
      </c>
      <c r="AJ325" s="35" t="str">
        <f aca="false">IF($B325="","",IF(NOT(ISNUMBER($F325)),"ERRO: valor nao numerico",IF($F325&lt;=0,"ERRO: valor deve ser maior que zero",IF(COUNTIF(MAP_TIPO,$D325)=0,"ERRO: tipo de operacao nao cadastrado",IF(COUNTIF(LST_STATUS,$E325)=0,"ERRO: status invalido",IF(AND($G325="EXTERNO",$I325="EXTERNO"),"ERRO: origem e destino externos",IF(AND($G325&lt;&gt;"EXTERNO",COUNTIFS(ENT_ID,$H325,ENT_TIPO,$G325)=0),"ERRO: origem inexistente",IF(AND($I325&lt;&gt;"EXTERNO",COUNTIFS(ENT_ID,$J325,ENT_TIPO,$I325)=0),"ERRO: destino inexistente",IF(AND($K325&lt;&gt;"",COUNTIF(CAT_ID,$K325)=0),"ERRO: categoria inexistente",IF(AND($L325&lt;&gt;"",COUNTIF(SUB_ID,$L325)=0),"ERRO: subcategoria inexistente",IF(AND($L325&lt;&gt;"",$K325&lt;&gt;"",IFERROR(INDEX(SUB_CATID,MATCH($L325,SUB_ID,0)),"")&lt;&gt;$K325),"ERRO: subcategoria nao pertence a categoria",IF(AND($O325&lt;&gt;"",COUNTIF(P_ID,$O325)=0),"ERRO: parcela inexistente",IF(AND($N325&lt;&gt;"",COUNTIF(CM_ID,$N325)=0),"ERRO: compromisso inexistente","OK")))))))))))))</f>
        <v/>
      </c>
      <c r="AK325" s="35" t="str">
        <f aca="false">IF($B325="","",IF(AND($N325="",$O325="",$P325="",$Q325="",$R325=""),"","VINCULADO: "&amp;TRIM(IF($N325&lt;&gt;"",$N325&amp;" ","")&amp;IF($O325&lt;&gt;"",$O325&amp;" ","")&amp;IF($P325&lt;&gt;"",$P325&amp;" ","")&amp;IF($Q325&lt;&gt;"",$Q325&amp;" ","")&amp;IF($R325&lt;&gt;"",$R325,""))))</f>
        <v/>
      </c>
    </row>
    <row r="326" customFormat="false" ht="15" hidden="false" customHeight="false" outlineLevel="0" collapsed="false">
      <c r="A326" s="30" t="str">
        <f aca="false">IF($B326="","","LAN-"&amp;TEXT(ROW()-4,"000000"))</f>
        <v/>
      </c>
      <c r="B326" s="31"/>
      <c r="C326" s="32"/>
      <c r="D326" s="32"/>
      <c r="E326" s="32"/>
      <c r="F326" s="33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4" t="str">
        <f aca="false">IF($B326="","",YEAR($B326))</f>
        <v/>
      </c>
      <c r="U326" s="34" t="str">
        <f aca="false">IF($B326="","",MONTH($B326))</f>
        <v/>
      </c>
      <c r="V326" s="34" t="str">
        <f aca="false">IF($B326="","",YEAR($B326)*100+MONTH($B326))</f>
        <v/>
      </c>
      <c r="W326" s="35" t="str">
        <f aca="false">IF($D326="","",IFERROR(INDEX(MAP_CLASS,MATCH($D326,MAP_TIPO,0)),"TIPO INVALIDO"))</f>
        <v/>
      </c>
      <c r="X326" s="35" t="str">
        <f aca="false">IF($K326="","",IFERROR(INDEX(CAT_NOME,MATCH($K326,CAT_ID,0)),"?"))</f>
        <v/>
      </c>
      <c r="Y326" s="35" t="str">
        <f aca="false">IF($L326="","",IFERROR(INDEX(SUB_NOME,MATCH($L326,SUB_ID,0)),"?"))</f>
        <v/>
      </c>
      <c r="Z326" s="35" t="str">
        <f aca="false">IF($G326="","",IF($G326="EXTERNO","(Externo)",IFERROR(INDEX(ENT_NOME,MATCH($H326,ENT_ID,0)),"?")))</f>
        <v/>
      </c>
      <c r="AA326" s="35" t="str">
        <f aca="false">IF($I326="","",IF($I326="EXTERNO","(Externo)",IFERROR(INDEX(ENT_NOME,MATCH($J326,ENT_ID,0)),"?")))</f>
        <v/>
      </c>
      <c r="AB326" s="36" t="n">
        <f aca="false">IF($B326="",0,IF(AND($I326="CONTA",$G326&lt;&gt;"CONTA"),$F326,0))</f>
        <v>0</v>
      </c>
      <c r="AC326" s="36" t="n">
        <f aca="false">IF($B326="",0,IF(AND($G326="CONTA",$I326&lt;&gt;"CONTA"),$F326,0))</f>
        <v>0</v>
      </c>
      <c r="AD326" s="36" t="n">
        <f aca="false">IF($W326="RECEITA",$F326,0)</f>
        <v>0</v>
      </c>
      <c r="AE326" s="36" t="n">
        <f aca="false">IF($W326="DESPESA",$F326,0)</f>
        <v>0</v>
      </c>
      <c r="AF326" s="36" t="n">
        <f aca="false">IF($W326="RECEITA_FINANCEIRA",$F326,0)</f>
        <v>0</v>
      </c>
      <c r="AG326" s="36" t="n">
        <f aca="false">IF($B326="",0,IF($I326="CONTA",$F326,0)-IF($G326="CONTA",$F326,0))</f>
        <v>0</v>
      </c>
      <c r="AH326" s="36" t="n">
        <f aca="false">IF($B326="",0,IF($G326="CARTAO",$F326,0)-IF($I326="CARTAO",$F326,0))</f>
        <v>0</v>
      </c>
      <c r="AI326" s="36" t="n">
        <f aca="false">IF($B326="",0,IF($I326="INVESTIMENTO",$F326,0)-IF($G326="INVESTIMENTO",$F326,0))</f>
        <v>0</v>
      </c>
      <c r="AJ326" s="35" t="str">
        <f aca="false">IF($B326="","",IF(NOT(ISNUMBER($F326)),"ERRO: valor nao numerico",IF($F326&lt;=0,"ERRO: valor deve ser maior que zero",IF(COUNTIF(MAP_TIPO,$D326)=0,"ERRO: tipo de operacao nao cadastrado",IF(COUNTIF(LST_STATUS,$E326)=0,"ERRO: status invalido",IF(AND($G326="EXTERNO",$I326="EXTERNO"),"ERRO: origem e destino externos",IF(AND($G326&lt;&gt;"EXTERNO",COUNTIFS(ENT_ID,$H326,ENT_TIPO,$G326)=0),"ERRO: origem inexistente",IF(AND($I326&lt;&gt;"EXTERNO",COUNTIFS(ENT_ID,$J326,ENT_TIPO,$I326)=0),"ERRO: destino inexistente",IF(AND($K326&lt;&gt;"",COUNTIF(CAT_ID,$K326)=0),"ERRO: categoria inexistente",IF(AND($L326&lt;&gt;"",COUNTIF(SUB_ID,$L326)=0),"ERRO: subcategoria inexistente",IF(AND($L326&lt;&gt;"",$K326&lt;&gt;"",IFERROR(INDEX(SUB_CATID,MATCH($L326,SUB_ID,0)),"")&lt;&gt;$K326),"ERRO: subcategoria nao pertence a categoria",IF(AND($O326&lt;&gt;"",COUNTIF(P_ID,$O326)=0),"ERRO: parcela inexistente",IF(AND($N326&lt;&gt;"",COUNTIF(CM_ID,$N326)=0),"ERRO: compromisso inexistente","OK")))))))))))))</f>
        <v/>
      </c>
      <c r="AK326" s="35" t="str">
        <f aca="false">IF($B326="","",IF(AND($N326="",$O326="",$P326="",$Q326="",$R326=""),"","VINCULADO: "&amp;TRIM(IF($N326&lt;&gt;"",$N326&amp;" ","")&amp;IF($O326&lt;&gt;"",$O326&amp;" ","")&amp;IF($P326&lt;&gt;"",$P326&amp;" ","")&amp;IF($Q326&lt;&gt;"",$Q326&amp;" ","")&amp;IF($R326&lt;&gt;"",$R326,""))))</f>
        <v/>
      </c>
    </row>
    <row r="327" customFormat="false" ht="15" hidden="false" customHeight="false" outlineLevel="0" collapsed="false">
      <c r="A327" s="30" t="str">
        <f aca="false">IF($B327="","","LAN-"&amp;TEXT(ROW()-4,"000000"))</f>
        <v/>
      </c>
      <c r="B327" s="31"/>
      <c r="C327" s="32"/>
      <c r="D327" s="32"/>
      <c r="E327" s="32"/>
      <c r="F327" s="33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4" t="str">
        <f aca="false">IF($B327="","",YEAR($B327))</f>
        <v/>
      </c>
      <c r="U327" s="34" t="str">
        <f aca="false">IF($B327="","",MONTH($B327))</f>
        <v/>
      </c>
      <c r="V327" s="34" t="str">
        <f aca="false">IF($B327="","",YEAR($B327)*100+MONTH($B327))</f>
        <v/>
      </c>
      <c r="W327" s="35" t="str">
        <f aca="false">IF($D327="","",IFERROR(INDEX(MAP_CLASS,MATCH($D327,MAP_TIPO,0)),"TIPO INVALIDO"))</f>
        <v/>
      </c>
      <c r="X327" s="35" t="str">
        <f aca="false">IF($K327="","",IFERROR(INDEX(CAT_NOME,MATCH($K327,CAT_ID,0)),"?"))</f>
        <v/>
      </c>
      <c r="Y327" s="35" t="str">
        <f aca="false">IF($L327="","",IFERROR(INDEX(SUB_NOME,MATCH($L327,SUB_ID,0)),"?"))</f>
        <v/>
      </c>
      <c r="Z327" s="35" t="str">
        <f aca="false">IF($G327="","",IF($G327="EXTERNO","(Externo)",IFERROR(INDEX(ENT_NOME,MATCH($H327,ENT_ID,0)),"?")))</f>
        <v/>
      </c>
      <c r="AA327" s="35" t="str">
        <f aca="false">IF($I327="","",IF($I327="EXTERNO","(Externo)",IFERROR(INDEX(ENT_NOME,MATCH($J327,ENT_ID,0)),"?")))</f>
        <v/>
      </c>
      <c r="AB327" s="36" t="n">
        <f aca="false">IF($B327="",0,IF(AND($I327="CONTA",$G327&lt;&gt;"CONTA"),$F327,0))</f>
        <v>0</v>
      </c>
      <c r="AC327" s="36" t="n">
        <f aca="false">IF($B327="",0,IF(AND($G327="CONTA",$I327&lt;&gt;"CONTA"),$F327,0))</f>
        <v>0</v>
      </c>
      <c r="AD327" s="36" t="n">
        <f aca="false">IF($W327="RECEITA",$F327,0)</f>
        <v>0</v>
      </c>
      <c r="AE327" s="36" t="n">
        <f aca="false">IF($W327="DESPESA",$F327,0)</f>
        <v>0</v>
      </c>
      <c r="AF327" s="36" t="n">
        <f aca="false">IF($W327="RECEITA_FINANCEIRA",$F327,0)</f>
        <v>0</v>
      </c>
      <c r="AG327" s="36" t="n">
        <f aca="false">IF($B327="",0,IF($I327="CONTA",$F327,0)-IF($G327="CONTA",$F327,0))</f>
        <v>0</v>
      </c>
      <c r="AH327" s="36" t="n">
        <f aca="false">IF($B327="",0,IF($G327="CARTAO",$F327,0)-IF($I327="CARTAO",$F327,0))</f>
        <v>0</v>
      </c>
      <c r="AI327" s="36" t="n">
        <f aca="false">IF($B327="",0,IF($I327="INVESTIMENTO",$F327,0)-IF($G327="INVESTIMENTO",$F327,0))</f>
        <v>0</v>
      </c>
      <c r="AJ327" s="35" t="str">
        <f aca="false">IF($B327="","",IF(NOT(ISNUMBER($F327)),"ERRO: valor nao numerico",IF($F327&lt;=0,"ERRO: valor deve ser maior que zero",IF(COUNTIF(MAP_TIPO,$D327)=0,"ERRO: tipo de operacao nao cadastrado",IF(COUNTIF(LST_STATUS,$E327)=0,"ERRO: status invalido",IF(AND($G327="EXTERNO",$I327="EXTERNO"),"ERRO: origem e destino externos",IF(AND($G327&lt;&gt;"EXTERNO",COUNTIFS(ENT_ID,$H327,ENT_TIPO,$G327)=0),"ERRO: origem inexistente",IF(AND($I327&lt;&gt;"EXTERNO",COUNTIFS(ENT_ID,$J327,ENT_TIPO,$I327)=0),"ERRO: destino inexistente",IF(AND($K327&lt;&gt;"",COUNTIF(CAT_ID,$K327)=0),"ERRO: categoria inexistente",IF(AND($L327&lt;&gt;"",COUNTIF(SUB_ID,$L327)=0),"ERRO: subcategoria inexistente",IF(AND($L327&lt;&gt;"",$K327&lt;&gt;"",IFERROR(INDEX(SUB_CATID,MATCH($L327,SUB_ID,0)),"")&lt;&gt;$K327),"ERRO: subcategoria nao pertence a categoria",IF(AND($O327&lt;&gt;"",COUNTIF(P_ID,$O327)=0),"ERRO: parcela inexistente",IF(AND($N327&lt;&gt;"",COUNTIF(CM_ID,$N327)=0),"ERRO: compromisso inexistente","OK")))))))))))))</f>
        <v/>
      </c>
      <c r="AK327" s="35" t="str">
        <f aca="false">IF($B327="","",IF(AND($N327="",$O327="",$P327="",$Q327="",$R327=""),"","VINCULADO: "&amp;TRIM(IF($N327&lt;&gt;"",$N327&amp;" ","")&amp;IF($O327&lt;&gt;"",$O327&amp;" ","")&amp;IF($P327&lt;&gt;"",$P327&amp;" ","")&amp;IF($Q327&lt;&gt;"",$Q327&amp;" ","")&amp;IF($R327&lt;&gt;"",$R327,""))))</f>
        <v/>
      </c>
    </row>
    <row r="328" customFormat="false" ht="15" hidden="false" customHeight="false" outlineLevel="0" collapsed="false">
      <c r="A328" s="30" t="str">
        <f aca="false">IF($B328="","","LAN-"&amp;TEXT(ROW()-4,"000000"))</f>
        <v/>
      </c>
      <c r="B328" s="31"/>
      <c r="C328" s="32"/>
      <c r="D328" s="32"/>
      <c r="E328" s="32"/>
      <c r="F328" s="33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4" t="str">
        <f aca="false">IF($B328="","",YEAR($B328))</f>
        <v/>
      </c>
      <c r="U328" s="34" t="str">
        <f aca="false">IF($B328="","",MONTH($B328))</f>
        <v/>
      </c>
      <c r="V328" s="34" t="str">
        <f aca="false">IF($B328="","",YEAR($B328)*100+MONTH($B328))</f>
        <v/>
      </c>
      <c r="W328" s="35" t="str">
        <f aca="false">IF($D328="","",IFERROR(INDEX(MAP_CLASS,MATCH($D328,MAP_TIPO,0)),"TIPO INVALIDO"))</f>
        <v/>
      </c>
      <c r="X328" s="35" t="str">
        <f aca="false">IF($K328="","",IFERROR(INDEX(CAT_NOME,MATCH($K328,CAT_ID,0)),"?"))</f>
        <v/>
      </c>
      <c r="Y328" s="35" t="str">
        <f aca="false">IF($L328="","",IFERROR(INDEX(SUB_NOME,MATCH($L328,SUB_ID,0)),"?"))</f>
        <v/>
      </c>
      <c r="Z328" s="35" t="str">
        <f aca="false">IF($G328="","",IF($G328="EXTERNO","(Externo)",IFERROR(INDEX(ENT_NOME,MATCH($H328,ENT_ID,0)),"?")))</f>
        <v/>
      </c>
      <c r="AA328" s="35" t="str">
        <f aca="false">IF($I328="","",IF($I328="EXTERNO","(Externo)",IFERROR(INDEX(ENT_NOME,MATCH($J328,ENT_ID,0)),"?")))</f>
        <v/>
      </c>
      <c r="AB328" s="36" t="n">
        <f aca="false">IF($B328="",0,IF(AND($I328="CONTA",$G328&lt;&gt;"CONTA"),$F328,0))</f>
        <v>0</v>
      </c>
      <c r="AC328" s="36" t="n">
        <f aca="false">IF($B328="",0,IF(AND($G328="CONTA",$I328&lt;&gt;"CONTA"),$F328,0))</f>
        <v>0</v>
      </c>
      <c r="AD328" s="36" t="n">
        <f aca="false">IF($W328="RECEITA",$F328,0)</f>
        <v>0</v>
      </c>
      <c r="AE328" s="36" t="n">
        <f aca="false">IF($W328="DESPESA",$F328,0)</f>
        <v>0</v>
      </c>
      <c r="AF328" s="36" t="n">
        <f aca="false">IF($W328="RECEITA_FINANCEIRA",$F328,0)</f>
        <v>0</v>
      </c>
      <c r="AG328" s="36" t="n">
        <f aca="false">IF($B328="",0,IF($I328="CONTA",$F328,0)-IF($G328="CONTA",$F328,0))</f>
        <v>0</v>
      </c>
      <c r="AH328" s="36" t="n">
        <f aca="false">IF($B328="",0,IF($G328="CARTAO",$F328,0)-IF($I328="CARTAO",$F328,0))</f>
        <v>0</v>
      </c>
      <c r="AI328" s="36" t="n">
        <f aca="false">IF($B328="",0,IF($I328="INVESTIMENTO",$F328,0)-IF($G328="INVESTIMENTO",$F328,0))</f>
        <v>0</v>
      </c>
      <c r="AJ328" s="35" t="str">
        <f aca="false">IF($B328="","",IF(NOT(ISNUMBER($F328)),"ERRO: valor nao numerico",IF($F328&lt;=0,"ERRO: valor deve ser maior que zero",IF(COUNTIF(MAP_TIPO,$D328)=0,"ERRO: tipo de operacao nao cadastrado",IF(COUNTIF(LST_STATUS,$E328)=0,"ERRO: status invalido",IF(AND($G328="EXTERNO",$I328="EXTERNO"),"ERRO: origem e destino externos",IF(AND($G328&lt;&gt;"EXTERNO",COUNTIFS(ENT_ID,$H328,ENT_TIPO,$G328)=0),"ERRO: origem inexistente",IF(AND($I328&lt;&gt;"EXTERNO",COUNTIFS(ENT_ID,$J328,ENT_TIPO,$I328)=0),"ERRO: destino inexistente",IF(AND($K328&lt;&gt;"",COUNTIF(CAT_ID,$K328)=0),"ERRO: categoria inexistente",IF(AND($L328&lt;&gt;"",COUNTIF(SUB_ID,$L328)=0),"ERRO: subcategoria inexistente",IF(AND($L328&lt;&gt;"",$K328&lt;&gt;"",IFERROR(INDEX(SUB_CATID,MATCH($L328,SUB_ID,0)),"")&lt;&gt;$K328),"ERRO: subcategoria nao pertence a categoria",IF(AND($O328&lt;&gt;"",COUNTIF(P_ID,$O328)=0),"ERRO: parcela inexistente",IF(AND($N328&lt;&gt;"",COUNTIF(CM_ID,$N328)=0),"ERRO: compromisso inexistente","OK")))))))))))))</f>
        <v/>
      </c>
      <c r="AK328" s="35" t="str">
        <f aca="false">IF($B328="","",IF(AND($N328="",$O328="",$P328="",$Q328="",$R328=""),"","VINCULADO: "&amp;TRIM(IF($N328&lt;&gt;"",$N328&amp;" ","")&amp;IF($O328&lt;&gt;"",$O328&amp;" ","")&amp;IF($P328&lt;&gt;"",$P328&amp;" ","")&amp;IF($Q328&lt;&gt;"",$Q328&amp;" ","")&amp;IF($R328&lt;&gt;"",$R328,""))))</f>
        <v/>
      </c>
    </row>
    <row r="329" customFormat="false" ht="15" hidden="false" customHeight="false" outlineLevel="0" collapsed="false">
      <c r="A329" s="30" t="str">
        <f aca="false">IF($B329="","","LAN-"&amp;TEXT(ROW()-4,"000000"))</f>
        <v/>
      </c>
      <c r="B329" s="31"/>
      <c r="C329" s="32"/>
      <c r="D329" s="32"/>
      <c r="E329" s="32"/>
      <c r="F329" s="33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4" t="str">
        <f aca="false">IF($B329="","",YEAR($B329))</f>
        <v/>
      </c>
      <c r="U329" s="34" t="str">
        <f aca="false">IF($B329="","",MONTH($B329))</f>
        <v/>
      </c>
      <c r="V329" s="34" t="str">
        <f aca="false">IF($B329="","",YEAR($B329)*100+MONTH($B329))</f>
        <v/>
      </c>
      <c r="W329" s="35" t="str">
        <f aca="false">IF($D329="","",IFERROR(INDEX(MAP_CLASS,MATCH($D329,MAP_TIPO,0)),"TIPO INVALIDO"))</f>
        <v/>
      </c>
      <c r="X329" s="35" t="str">
        <f aca="false">IF($K329="","",IFERROR(INDEX(CAT_NOME,MATCH($K329,CAT_ID,0)),"?"))</f>
        <v/>
      </c>
      <c r="Y329" s="35" t="str">
        <f aca="false">IF($L329="","",IFERROR(INDEX(SUB_NOME,MATCH($L329,SUB_ID,0)),"?"))</f>
        <v/>
      </c>
      <c r="Z329" s="35" t="str">
        <f aca="false">IF($G329="","",IF($G329="EXTERNO","(Externo)",IFERROR(INDEX(ENT_NOME,MATCH($H329,ENT_ID,0)),"?")))</f>
        <v/>
      </c>
      <c r="AA329" s="35" t="str">
        <f aca="false">IF($I329="","",IF($I329="EXTERNO","(Externo)",IFERROR(INDEX(ENT_NOME,MATCH($J329,ENT_ID,0)),"?")))</f>
        <v/>
      </c>
      <c r="AB329" s="36" t="n">
        <f aca="false">IF($B329="",0,IF(AND($I329="CONTA",$G329&lt;&gt;"CONTA"),$F329,0))</f>
        <v>0</v>
      </c>
      <c r="AC329" s="36" t="n">
        <f aca="false">IF($B329="",0,IF(AND($G329="CONTA",$I329&lt;&gt;"CONTA"),$F329,0))</f>
        <v>0</v>
      </c>
      <c r="AD329" s="36" t="n">
        <f aca="false">IF($W329="RECEITA",$F329,0)</f>
        <v>0</v>
      </c>
      <c r="AE329" s="36" t="n">
        <f aca="false">IF($W329="DESPESA",$F329,0)</f>
        <v>0</v>
      </c>
      <c r="AF329" s="36" t="n">
        <f aca="false">IF($W329="RECEITA_FINANCEIRA",$F329,0)</f>
        <v>0</v>
      </c>
      <c r="AG329" s="36" t="n">
        <f aca="false">IF($B329="",0,IF($I329="CONTA",$F329,0)-IF($G329="CONTA",$F329,0))</f>
        <v>0</v>
      </c>
      <c r="AH329" s="36" t="n">
        <f aca="false">IF($B329="",0,IF($G329="CARTAO",$F329,0)-IF($I329="CARTAO",$F329,0))</f>
        <v>0</v>
      </c>
      <c r="AI329" s="36" t="n">
        <f aca="false">IF($B329="",0,IF($I329="INVESTIMENTO",$F329,0)-IF($G329="INVESTIMENTO",$F329,0))</f>
        <v>0</v>
      </c>
      <c r="AJ329" s="35" t="str">
        <f aca="false">IF($B329="","",IF(NOT(ISNUMBER($F329)),"ERRO: valor nao numerico",IF($F329&lt;=0,"ERRO: valor deve ser maior que zero",IF(COUNTIF(MAP_TIPO,$D329)=0,"ERRO: tipo de operacao nao cadastrado",IF(COUNTIF(LST_STATUS,$E329)=0,"ERRO: status invalido",IF(AND($G329="EXTERNO",$I329="EXTERNO"),"ERRO: origem e destino externos",IF(AND($G329&lt;&gt;"EXTERNO",COUNTIFS(ENT_ID,$H329,ENT_TIPO,$G329)=0),"ERRO: origem inexistente",IF(AND($I329&lt;&gt;"EXTERNO",COUNTIFS(ENT_ID,$J329,ENT_TIPO,$I329)=0),"ERRO: destino inexistente",IF(AND($K329&lt;&gt;"",COUNTIF(CAT_ID,$K329)=0),"ERRO: categoria inexistente",IF(AND($L329&lt;&gt;"",COUNTIF(SUB_ID,$L329)=0),"ERRO: subcategoria inexistente",IF(AND($L329&lt;&gt;"",$K329&lt;&gt;"",IFERROR(INDEX(SUB_CATID,MATCH($L329,SUB_ID,0)),"")&lt;&gt;$K329),"ERRO: subcategoria nao pertence a categoria",IF(AND($O329&lt;&gt;"",COUNTIF(P_ID,$O329)=0),"ERRO: parcela inexistente",IF(AND($N329&lt;&gt;"",COUNTIF(CM_ID,$N329)=0),"ERRO: compromisso inexistente","OK")))))))))))))</f>
        <v/>
      </c>
      <c r="AK329" s="35" t="str">
        <f aca="false">IF($B329="","",IF(AND($N329="",$O329="",$P329="",$Q329="",$R329=""),"","VINCULADO: "&amp;TRIM(IF($N329&lt;&gt;"",$N329&amp;" ","")&amp;IF($O329&lt;&gt;"",$O329&amp;" ","")&amp;IF($P329&lt;&gt;"",$P329&amp;" ","")&amp;IF($Q329&lt;&gt;"",$Q329&amp;" ","")&amp;IF($R329&lt;&gt;"",$R329,""))))</f>
        <v/>
      </c>
    </row>
    <row r="330" customFormat="false" ht="15" hidden="false" customHeight="false" outlineLevel="0" collapsed="false">
      <c r="A330" s="30" t="str">
        <f aca="false">IF($B330="","","LAN-"&amp;TEXT(ROW()-4,"000000"))</f>
        <v/>
      </c>
      <c r="B330" s="31"/>
      <c r="C330" s="32"/>
      <c r="D330" s="32"/>
      <c r="E330" s="32"/>
      <c r="F330" s="33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4" t="str">
        <f aca="false">IF($B330="","",YEAR($B330))</f>
        <v/>
      </c>
      <c r="U330" s="34" t="str">
        <f aca="false">IF($B330="","",MONTH($B330))</f>
        <v/>
      </c>
      <c r="V330" s="34" t="str">
        <f aca="false">IF($B330="","",YEAR($B330)*100+MONTH($B330))</f>
        <v/>
      </c>
      <c r="W330" s="35" t="str">
        <f aca="false">IF($D330="","",IFERROR(INDEX(MAP_CLASS,MATCH($D330,MAP_TIPO,0)),"TIPO INVALIDO"))</f>
        <v/>
      </c>
      <c r="X330" s="35" t="str">
        <f aca="false">IF($K330="","",IFERROR(INDEX(CAT_NOME,MATCH($K330,CAT_ID,0)),"?"))</f>
        <v/>
      </c>
      <c r="Y330" s="35" t="str">
        <f aca="false">IF($L330="","",IFERROR(INDEX(SUB_NOME,MATCH($L330,SUB_ID,0)),"?"))</f>
        <v/>
      </c>
      <c r="Z330" s="35" t="str">
        <f aca="false">IF($G330="","",IF($G330="EXTERNO","(Externo)",IFERROR(INDEX(ENT_NOME,MATCH($H330,ENT_ID,0)),"?")))</f>
        <v/>
      </c>
      <c r="AA330" s="35" t="str">
        <f aca="false">IF($I330="","",IF($I330="EXTERNO","(Externo)",IFERROR(INDEX(ENT_NOME,MATCH($J330,ENT_ID,0)),"?")))</f>
        <v/>
      </c>
      <c r="AB330" s="36" t="n">
        <f aca="false">IF($B330="",0,IF(AND($I330="CONTA",$G330&lt;&gt;"CONTA"),$F330,0))</f>
        <v>0</v>
      </c>
      <c r="AC330" s="36" t="n">
        <f aca="false">IF($B330="",0,IF(AND($G330="CONTA",$I330&lt;&gt;"CONTA"),$F330,0))</f>
        <v>0</v>
      </c>
      <c r="AD330" s="36" t="n">
        <f aca="false">IF($W330="RECEITA",$F330,0)</f>
        <v>0</v>
      </c>
      <c r="AE330" s="36" t="n">
        <f aca="false">IF($W330="DESPESA",$F330,0)</f>
        <v>0</v>
      </c>
      <c r="AF330" s="36" t="n">
        <f aca="false">IF($W330="RECEITA_FINANCEIRA",$F330,0)</f>
        <v>0</v>
      </c>
      <c r="AG330" s="36" t="n">
        <f aca="false">IF($B330="",0,IF($I330="CONTA",$F330,0)-IF($G330="CONTA",$F330,0))</f>
        <v>0</v>
      </c>
      <c r="AH330" s="36" t="n">
        <f aca="false">IF($B330="",0,IF($G330="CARTAO",$F330,0)-IF($I330="CARTAO",$F330,0))</f>
        <v>0</v>
      </c>
      <c r="AI330" s="36" t="n">
        <f aca="false">IF($B330="",0,IF($I330="INVESTIMENTO",$F330,0)-IF($G330="INVESTIMENTO",$F330,0))</f>
        <v>0</v>
      </c>
      <c r="AJ330" s="35" t="str">
        <f aca="false">IF($B330="","",IF(NOT(ISNUMBER($F330)),"ERRO: valor nao numerico",IF($F330&lt;=0,"ERRO: valor deve ser maior que zero",IF(COUNTIF(MAP_TIPO,$D330)=0,"ERRO: tipo de operacao nao cadastrado",IF(COUNTIF(LST_STATUS,$E330)=0,"ERRO: status invalido",IF(AND($G330="EXTERNO",$I330="EXTERNO"),"ERRO: origem e destino externos",IF(AND($G330&lt;&gt;"EXTERNO",COUNTIFS(ENT_ID,$H330,ENT_TIPO,$G330)=0),"ERRO: origem inexistente",IF(AND($I330&lt;&gt;"EXTERNO",COUNTIFS(ENT_ID,$J330,ENT_TIPO,$I330)=0),"ERRO: destino inexistente",IF(AND($K330&lt;&gt;"",COUNTIF(CAT_ID,$K330)=0),"ERRO: categoria inexistente",IF(AND($L330&lt;&gt;"",COUNTIF(SUB_ID,$L330)=0),"ERRO: subcategoria inexistente",IF(AND($L330&lt;&gt;"",$K330&lt;&gt;"",IFERROR(INDEX(SUB_CATID,MATCH($L330,SUB_ID,0)),"")&lt;&gt;$K330),"ERRO: subcategoria nao pertence a categoria",IF(AND($O330&lt;&gt;"",COUNTIF(P_ID,$O330)=0),"ERRO: parcela inexistente",IF(AND($N330&lt;&gt;"",COUNTIF(CM_ID,$N330)=0),"ERRO: compromisso inexistente","OK")))))))))))))</f>
        <v/>
      </c>
      <c r="AK330" s="35" t="str">
        <f aca="false">IF($B330="","",IF(AND($N330="",$O330="",$P330="",$Q330="",$R330=""),"","VINCULADO: "&amp;TRIM(IF($N330&lt;&gt;"",$N330&amp;" ","")&amp;IF($O330&lt;&gt;"",$O330&amp;" ","")&amp;IF($P330&lt;&gt;"",$P330&amp;" ","")&amp;IF($Q330&lt;&gt;"",$Q330&amp;" ","")&amp;IF($R330&lt;&gt;"",$R330,""))))</f>
        <v/>
      </c>
    </row>
    <row r="331" customFormat="false" ht="15" hidden="false" customHeight="false" outlineLevel="0" collapsed="false">
      <c r="A331" s="30" t="str">
        <f aca="false">IF($B331="","","LAN-"&amp;TEXT(ROW()-4,"000000"))</f>
        <v/>
      </c>
      <c r="B331" s="31"/>
      <c r="C331" s="32"/>
      <c r="D331" s="32"/>
      <c r="E331" s="32"/>
      <c r="F331" s="33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4" t="str">
        <f aca="false">IF($B331="","",YEAR($B331))</f>
        <v/>
      </c>
      <c r="U331" s="34" t="str">
        <f aca="false">IF($B331="","",MONTH($B331))</f>
        <v/>
      </c>
      <c r="V331" s="34" t="str">
        <f aca="false">IF($B331="","",YEAR($B331)*100+MONTH($B331))</f>
        <v/>
      </c>
      <c r="W331" s="35" t="str">
        <f aca="false">IF($D331="","",IFERROR(INDEX(MAP_CLASS,MATCH($D331,MAP_TIPO,0)),"TIPO INVALIDO"))</f>
        <v/>
      </c>
      <c r="X331" s="35" t="str">
        <f aca="false">IF($K331="","",IFERROR(INDEX(CAT_NOME,MATCH($K331,CAT_ID,0)),"?"))</f>
        <v/>
      </c>
      <c r="Y331" s="35" t="str">
        <f aca="false">IF($L331="","",IFERROR(INDEX(SUB_NOME,MATCH($L331,SUB_ID,0)),"?"))</f>
        <v/>
      </c>
      <c r="Z331" s="35" t="str">
        <f aca="false">IF($G331="","",IF($G331="EXTERNO","(Externo)",IFERROR(INDEX(ENT_NOME,MATCH($H331,ENT_ID,0)),"?")))</f>
        <v/>
      </c>
      <c r="AA331" s="35" t="str">
        <f aca="false">IF($I331="","",IF($I331="EXTERNO","(Externo)",IFERROR(INDEX(ENT_NOME,MATCH($J331,ENT_ID,0)),"?")))</f>
        <v/>
      </c>
      <c r="AB331" s="36" t="n">
        <f aca="false">IF($B331="",0,IF(AND($I331="CONTA",$G331&lt;&gt;"CONTA"),$F331,0))</f>
        <v>0</v>
      </c>
      <c r="AC331" s="36" t="n">
        <f aca="false">IF($B331="",0,IF(AND($G331="CONTA",$I331&lt;&gt;"CONTA"),$F331,0))</f>
        <v>0</v>
      </c>
      <c r="AD331" s="36" t="n">
        <f aca="false">IF($W331="RECEITA",$F331,0)</f>
        <v>0</v>
      </c>
      <c r="AE331" s="36" t="n">
        <f aca="false">IF($W331="DESPESA",$F331,0)</f>
        <v>0</v>
      </c>
      <c r="AF331" s="36" t="n">
        <f aca="false">IF($W331="RECEITA_FINANCEIRA",$F331,0)</f>
        <v>0</v>
      </c>
      <c r="AG331" s="36" t="n">
        <f aca="false">IF($B331="",0,IF($I331="CONTA",$F331,0)-IF($G331="CONTA",$F331,0))</f>
        <v>0</v>
      </c>
      <c r="AH331" s="36" t="n">
        <f aca="false">IF($B331="",0,IF($G331="CARTAO",$F331,0)-IF($I331="CARTAO",$F331,0))</f>
        <v>0</v>
      </c>
      <c r="AI331" s="36" t="n">
        <f aca="false">IF($B331="",0,IF($I331="INVESTIMENTO",$F331,0)-IF($G331="INVESTIMENTO",$F331,0))</f>
        <v>0</v>
      </c>
      <c r="AJ331" s="35" t="str">
        <f aca="false">IF($B331="","",IF(NOT(ISNUMBER($F331)),"ERRO: valor nao numerico",IF($F331&lt;=0,"ERRO: valor deve ser maior que zero",IF(COUNTIF(MAP_TIPO,$D331)=0,"ERRO: tipo de operacao nao cadastrado",IF(COUNTIF(LST_STATUS,$E331)=0,"ERRO: status invalido",IF(AND($G331="EXTERNO",$I331="EXTERNO"),"ERRO: origem e destino externos",IF(AND($G331&lt;&gt;"EXTERNO",COUNTIFS(ENT_ID,$H331,ENT_TIPO,$G331)=0),"ERRO: origem inexistente",IF(AND($I331&lt;&gt;"EXTERNO",COUNTIFS(ENT_ID,$J331,ENT_TIPO,$I331)=0),"ERRO: destino inexistente",IF(AND($K331&lt;&gt;"",COUNTIF(CAT_ID,$K331)=0),"ERRO: categoria inexistente",IF(AND($L331&lt;&gt;"",COUNTIF(SUB_ID,$L331)=0),"ERRO: subcategoria inexistente",IF(AND($L331&lt;&gt;"",$K331&lt;&gt;"",IFERROR(INDEX(SUB_CATID,MATCH($L331,SUB_ID,0)),"")&lt;&gt;$K331),"ERRO: subcategoria nao pertence a categoria",IF(AND($O331&lt;&gt;"",COUNTIF(P_ID,$O331)=0),"ERRO: parcela inexistente",IF(AND($N331&lt;&gt;"",COUNTIF(CM_ID,$N331)=0),"ERRO: compromisso inexistente","OK")))))))))))))</f>
        <v/>
      </c>
      <c r="AK331" s="35" t="str">
        <f aca="false">IF($B331="","",IF(AND($N331="",$O331="",$P331="",$Q331="",$R331=""),"","VINCULADO: "&amp;TRIM(IF($N331&lt;&gt;"",$N331&amp;" ","")&amp;IF($O331&lt;&gt;"",$O331&amp;" ","")&amp;IF($P331&lt;&gt;"",$P331&amp;" ","")&amp;IF($Q331&lt;&gt;"",$Q331&amp;" ","")&amp;IF($R331&lt;&gt;"",$R331,""))))</f>
        <v/>
      </c>
    </row>
    <row r="332" customFormat="false" ht="15" hidden="false" customHeight="false" outlineLevel="0" collapsed="false">
      <c r="A332" s="30" t="str">
        <f aca="false">IF($B332="","","LAN-"&amp;TEXT(ROW()-4,"000000"))</f>
        <v/>
      </c>
      <c r="B332" s="31"/>
      <c r="C332" s="32"/>
      <c r="D332" s="32"/>
      <c r="E332" s="32"/>
      <c r="F332" s="33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4" t="str">
        <f aca="false">IF($B332="","",YEAR($B332))</f>
        <v/>
      </c>
      <c r="U332" s="34" t="str">
        <f aca="false">IF($B332="","",MONTH($B332))</f>
        <v/>
      </c>
      <c r="V332" s="34" t="str">
        <f aca="false">IF($B332="","",YEAR($B332)*100+MONTH($B332))</f>
        <v/>
      </c>
      <c r="W332" s="35" t="str">
        <f aca="false">IF($D332="","",IFERROR(INDEX(MAP_CLASS,MATCH($D332,MAP_TIPO,0)),"TIPO INVALIDO"))</f>
        <v/>
      </c>
      <c r="X332" s="35" t="str">
        <f aca="false">IF($K332="","",IFERROR(INDEX(CAT_NOME,MATCH($K332,CAT_ID,0)),"?"))</f>
        <v/>
      </c>
      <c r="Y332" s="35" t="str">
        <f aca="false">IF($L332="","",IFERROR(INDEX(SUB_NOME,MATCH($L332,SUB_ID,0)),"?"))</f>
        <v/>
      </c>
      <c r="Z332" s="35" t="str">
        <f aca="false">IF($G332="","",IF($G332="EXTERNO","(Externo)",IFERROR(INDEX(ENT_NOME,MATCH($H332,ENT_ID,0)),"?")))</f>
        <v/>
      </c>
      <c r="AA332" s="35" t="str">
        <f aca="false">IF($I332="","",IF($I332="EXTERNO","(Externo)",IFERROR(INDEX(ENT_NOME,MATCH($J332,ENT_ID,0)),"?")))</f>
        <v/>
      </c>
      <c r="AB332" s="36" t="n">
        <f aca="false">IF($B332="",0,IF(AND($I332="CONTA",$G332&lt;&gt;"CONTA"),$F332,0))</f>
        <v>0</v>
      </c>
      <c r="AC332" s="36" t="n">
        <f aca="false">IF($B332="",0,IF(AND($G332="CONTA",$I332&lt;&gt;"CONTA"),$F332,0))</f>
        <v>0</v>
      </c>
      <c r="AD332" s="36" t="n">
        <f aca="false">IF($W332="RECEITA",$F332,0)</f>
        <v>0</v>
      </c>
      <c r="AE332" s="36" t="n">
        <f aca="false">IF($W332="DESPESA",$F332,0)</f>
        <v>0</v>
      </c>
      <c r="AF332" s="36" t="n">
        <f aca="false">IF($W332="RECEITA_FINANCEIRA",$F332,0)</f>
        <v>0</v>
      </c>
      <c r="AG332" s="36" t="n">
        <f aca="false">IF($B332="",0,IF($I332="CONTA",$F332,0)-IF($G332="CONTA",$F332,0))</f>
        <v>0</v>
      </c>
      <c r="AH332" s="36" t="n">
        <f aca="false">IF($B332="",0,IF($G332="CARTAO",$F332,0)-IF($I332="CARTAO",$F332,0))</f>
        <v>0</v>
      </c>
      <c r="AI332" s="36" t="n">
        <f aca="false">IF($B332="",0,IF($I332="INVESTIMENTO",$F332,0)-IF($G332="INVESTIMENTO",$F332,0))</f>
        <v>0</v>
      </c>
      <c r="AJ332" s="35" t="str">
        <f aca="false">IF($B332="","",IF(NOT(ISNUMBER($F332)),"ERRO: valor nao numerico",IF($F332&lt;=0,"ERRO: valor deve ser maior que zero",IF(COUNTIF(MAP_TIPO,$D332)=0,"ERRO: tipo de operacao nao cadastrado",IF(COUNTIF(LST_STATUS,$E332)=0,"ERRO: status invalido",IF(AND($G332="EXTERNO",$I332="EXTERNO"),"ERRO: origem e destino externos",IF(AND($G332&lt;&gt;"EXTERNO",COUNTIFS(ENT_ID,$H332,ENT_TIPO,$G332)=0),"ERRO: origem inexistente",IF(AND($I332&lt;&gt;"EXTERNO",COUNTIFS(ENT_ID,$J332,ENT_TIPO,$I332)=0),"ERRO: destino inexistente",IF(AND($K332&lt;&gt;"",COUNTIF(CAT_ID,$K332)=0),"ERRO: categoria inexistente",IF(AND($L332&lt;&gt;"",COUNTIF(SUB_ID,$L332)=0),"ERRO: subcategoria inexistente",IF(AND($L332&lt;&gt;"",$K332&lt;&gt;"",IFERROR(INDEX(SUB_CATID,MATCH($L332,SUB_ID,0)),"")&lt;&gt;$K332),"ERRO: subcategoria nao pertence a categoria",IF(AND($O332&lt;&gt;"",COUNTIF(P_ID,$O332)=0),"ERRO: parcela inexistente",IF(AND($N332&lt;&gt;"",COUNTIF(CM_ID,$N332)=0),"ERRO: compromisso inexistente","OK")))))))))))))</f>
        <v/>
      </c>
      <c r="AK332" s="35" t="str">
        <f aca="false">IF($B332="","",IF(AND($N332="",$O332="",$P332="",$Q332="",$R332=""),"","VINCULADO: "&amp;TRIM(IF($N332&lt;&gt;"",$N332&amp;" ","")&amp;IF($O332&lt;&gt;"",$O332&amp;" ","")&amp;IF($P332&lt;&gt;"",$P332&amp;" ","")&amp;IF($Q332&lt;&gt;"",$Q332&amp;" ","")&amp;IF($R332&lt;&gt;"",$R332,""))))</f>
        <v/>
      </c>
    </row>
    <row r="333" customFormat="false" ht="15" hidden="false" customHeight="false" outlineLevel="0" collapsed="false">
      <c r="A333" s="30" t="str">
        <f aca="false">IF($B333="","","LAN-"&amp;TEXT(ROW()-4,"000000"))</f>
        <v/>
      </c>
      <c r="B333" s="31"/>
      <c r="C333" s="32"/>
      <c r="D333" s="32"/>
      <c r="E333" s="32"/>
      <c r="F333" s="33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4" t="str">
        <f aca="false">IF($B333="","",YEAR($B333))</f>
        <v/>
      </c>
      <c r="U333" s="34" t="str">
        <f aca="false">IF($B333="","",MONTH($B333))</f>
        <v/>
      </c>
      <c r="V333" s="34" t="str">
        <f aca="false">IF($B333="","",YEAR($B333)*100+MONTH($B333))</f>
        <v/>
      </c>
      <c r="W333" s="35" t="str">
        <f aca="false">IF($D333="","",IFERROR(INDEX(MAP_CLASS,MATCH($D333,MAP_TIPO,0)),"TIPO INVALIDO"))</f>
        <v/>
      </c>
      <c r="X333" s="35" t="str">
        <f aca="false">IF($K333="","",IFERROR(INDEX(CAT_NOME,MATCH($K333,CAT_ID,0)),"?"))</f>
        <v/>
      </c>
      <c r="Y333" s="35" t="str">
        <f aca="false">IF($L333="","",IFERROR(INDEX(SUB_NOME,MATCH($L333,SUB_ID,0)),"?"))</f>
        <v/>
      </c>
      <c r="Z333" s="35" t="str">
        <f aca="false">IF($G333="","",IF($G333="EXTERNO","(Externo)",IFERROR(INDEX(ENT_NOME,MATCH($H333,ENT_ID,0)),"?")))</f>
        <v/>
      </c>
      <c r="AA333" s="35" t="str">
        <f aca="false">IF($I333="","",IF($I333="EXTERNO","(Externo)",IFERROR(INDEX(ENT_NOME,MATCH($J333,ENT_ID,0)),"?")))</f>
        <v/>
      </c>
      <c r="AB333" s="36" t="n">
        <f aca="false">IF($B333="",0,IF(AND($I333="CONTA",$G333&lt;&gt;"CONTA"),$F333,0))</f>
        <v>0</v>
      </c>
      <c r="AC333" s="36" t="n">
        <f aca="false">IF($B333="",0,IF(AND($G333="CONTA",$I333&lt;&gt;"CONTA"),$F333,0))</f>
        <v>0</v>
      </c>
      <c r="AD333" s="36" t="n">
        <f aca="false">IF($W333="RECEITA",$F333,0)</f>
        <v>0</v>
      </c>
      <c r="AE333" s="36" t="n">
        <f aca="false">IF($W333="DESPESA",$F333,0)</f>
        <v>0</v>
      </c>
      <c r="AF333" s="36" t="n">
        <f aca="false">IF($W333="RECEITA_FINANCEIRA",$F333,0)</f>
        <v>0</v>
      </c>
      <c r="AG333" s="36" t="n">
        <f aca="false">IF($B333="",0,IF($I333="CONTA",$F333,0)-IF($G333="CONTA",$F333,0))</f>
        <v>0</v>
      </c>
      <c r="AH333" s="36" t="n">
        <f aca="false">IF($B333="",0,IF($G333="CARTAO",$F333,0)-IF($I333="CARTAO",$F333,0))</f>
        <v>0</v>
      </c>
      <c r="AI333" s="36" t="n">
        <f aca="false">IF($B333="",0,IF($I333="INVESTIMENTO",$F333,0)-IF($G333="INVESTIMENTO",$F333,0))</f>
        <v>0</v>
      </c>
      <c r="AJ333" s="35" t="str">
        <f aca="false">IF($B333="","",IF(NOT(ISNUMBER($F333)),"ERRO: valor nao numerico",IF($F333&lt;=0,"ERRO: valor deve ser maior que zero",IF(COUNTIF(MAP_TIPO,$D333)=0,"ERRO: tipo de operacao nao cadastrado",IF(COUNTIF(LST_STATUS,$E333)=0,"ERRO: status invalido",IF(AND($G333="EXTERNO",$I333="EXTERNO"),"ERRO: origem e destino externos",IF(AND($G333&lt;&gt;"EXTERNO",COUNTIFS(ENT_ID,$H333,ENT_TIPO,$G333)=0),"ERRO: origem inexistente",IF(AND($I333&lt;&gt;"EXTERNO",COUNTIFS(ENT_ID,$J333,ENT_TIPO,$I333)=0),"ERRO: destino inexistente",IF(AND($K333&lt;&gt;"",COUNTIF(CAT_ID,$K333)=0),"ERRO: categoria inexistente",IF(AND($L333&lt;&gt;"",COUNTIF(SUB_ID,$L333)=0),"ERRO: subcategoria inexistente",IF(AND($L333&lt;&gt;"",$K333&lt;&gt;"",IFERROR(INDEX(SUB_CATID,MATCH($L333,SUB_ID,0)),"")&lt;&gt;$K333),"ERRO: subcategoria nao pertence a categoria",IF(AND($O333&lt;&gt;"",COUNTIF(P_ID,$O333)=0),"ERRO: parcela inexistente",IF(AND($N333&lt;&gt;"",COUNTIF(CM_ID,$N333)=0),"ERRO: compromisso inexistente","OK")))))))))))))</f>
        <v/>
      </c>
      <c r="AK333" s="35" t="str">
        <f aca="false">IF($B333="","",IF(AND($N333="",$O333="",$P333="",$Q333="",$R333=""),"","VINCULADO: "&amp;TRIM(IF($N333&lt;&gt;"",$N333&amp;" ","")&amp;IF($O333&lt;&gt;"",$O333&amp;" ","")&amp;IF($P333&lt;&gt;"",$P333&amp;" ","")&amp;IF($Q333&lt;&gt;"",$Q333&amp;" ","")&amp;IF($R333&lt;&gt;"",$R333,""))))</f>
        <v/>
      </c>
    </row>
    <row r="334" customFormat="false" ht="15" hidden="false" customHeight="false" outlineLevel="0" collapsed="false">
      <c r="A334" s="30" t="str">
        <f aca="false">IF($B334="","","LAN-"&amp;TEXT(ROW()-4,"000000"))</f>
        <v/>
      </c>
      <c r="B334" s="31"/>
      <c r="C334" s="32"/>
      <c r="D334" s="32"/>
      <c r="E334" s="32"/>
      <c r="F334" s="33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4" t="str">
        <f aca="false">IF($B334="","",YEAR($B334))</f>
        <v/>
      </c>
      <c r="U334" s="34" t="str">
        <f aca="false">IF($B334="","",MONTH($B334))</f>
        <v/>
      </c>
      <c r="V334" s="34" t="str">
        <f aca="false">IF($B334="","",YEAR($B334)*100+MONTH($B334))</f>
        <v/>
      </c>
      <c r="W334" s="35" t="str">
        <f aca="false">IF($D334="","",IFERROR(INDEX(MAP_CLASS,MATCH($D334,MAP_TIPO,0)),"TIPO INVALIDO"))</f>
        <v/>
      </c>
      <c r="X334" s="35" t="str">
        <f aca="false">IF($K334="","",IFERROR(INDEX(CAT_NOME,MATCH($K334,CAT_ID,0)),"?"))</f>
        <v/>
      </c>
      <c r="Y334" s="35" t="str">
        <f aca="false">IF($L334="","",IFERROR(INDEX(SUB_NOME,MATCH($L334,SUB_ID,0)),"?"))</f>
        <v/>
      </c>
      <c r="Z334" s="35" t="str">
        <f aca="false">IF($G334="","",IF($G334="EXTERNO","(Externo)",IFERROR(INDEX(ENT_NOME,MATCH($H334,ENT_ID,0)),"?")))</f>
        <v/>
      </c>
      <c r="AA334" s="35" t="str">
        <f aca="false">IF($I334="","",IF($I334="EXTERNO","(Externo)",IFERROR(INDEX(ENT_NOME,MATCH($J334,ENT_ID,0)),"?")))</f>
        <v/>
      </c>
      <c r="AB334" s="36" t="n">
        <f aca="false">IF($B334="",0,IF(AND($I334="CONTA",$G334&lt;&gt;"CONTA"),$F334,0))</f>
        <v>0</v>
      </c>
      <c r="AC334" s="36" t="n">
        <f aca="false">IF($B334="",0,IF(AND($G334="CONTA",$I334&lt;&gt;"CONTA"),$F334,0))</f>
        <v>0</v>
      </c>
      <c r="AD334" s="36" t="n">
        <f aca="false">IF($W334="RECEITA",$F334,0)</f>
        <v>0</v>
      </c>
      <c r="AE334" s="36" t="n">
        <f aca="false">IF($W334="DESPESA",$F334,0)</f>
        <v>0</v>
      </c>
      <c r="AF334" s="36" t="n">
        <f aca="false">IF($W334="RECEITA_FINANCEIRA",$F334,0)</f>
        <v>0</v>
      </c>
      <c r="AG334" s="36" t="n">
        <f aca="false">IF($B334="",0,IF($I334="CONTA",$F334,0)-IF($G334="CONTA",$F334,0))</f>
        <v>0</v>
      </c>
      <c r="AH334" s="36" t="n">
        <f aca="false">IF($B334="",0,IF($G334="CARTAO",$F334,0)-IF($I334="CARTAO",$F334,0))</f>
        <v>0</v>
      </c>
      <c r="AI334" s="36" t="n">
        <f aca="false">IF($B334="",0,IF($I334="INVESTIMENTO",$F334,0)-IF($G334="INVESTIMENTO",$F334,0))</f>
        <v>0</v>
      </c>
      <c r="AJ334" s="35" t="str">
        <f aca="false">IF($B334="","",IF(NOT(ISNUMBER($F334)),"ERRO: valor nao numerico",IF($F334&lt;=0,"ERRO: valor deve ser maior que zero",IF(COUNTIF(MAP_TIPO,$D334)=0,"ERRO: tipo de operacao nao cadastrado",IF(COUNTIF(LST_STATUS,$E334)=0,"ERRO: status invalido",IF(AND($G334="EXTERNO",$I334="EXTERNO"),"ERRO: origem e destino externos",IF(AND($G334&lt;&gt;"EXTERNO",COUNTIFS(ENT_ID,$H334,ENT_TIPO,$G334)=0),"ERRO: origem inexistente",IF(AND($I334&lt;&gt;"EXTERNO",COUNTIFS(ENT_ID,$J334,ENT_TIPO,$I334)=0),"ERRO: destino inexistente",IF(AND($K334&lt;&gt;"",COUNTIF(CAT_ID,$K334)=0),"ERRO: categoria inexistente",IF(AND($L334&lt;&gt;"",COUNTIF(SUB_ID,$L334)=0),"ERRO: subcategoria inexistente",IF(AND($L334&lt;&gt;"",$K334&lt;&gt;"",IFERROR(INDEX(SUB_CATID,MATCH($L334,SUB_ID,0)),"")&lt;&gt;$K334),"ERRO: subcategoria nao pertence a categoria",IF(AND($O334&lt;&gt;"",COUNTIF(P_ID,$O334)=0),"ERRO: parcela inexistente",IF(AND($N334&lt;&gt;"",COUNTIF(CM_ID,$N334)=0),"ERRO: compromisso inexistente","OK")))))))))))))</f>
        <v/>
      </c>
      <c r="AK334" s="35" t="str">
        <f aca="false">IF($B334="","",IF(AND($N334="",$O334="",$P334="",$Q334="",$R334=""),"","VINCULADO: "&amp;TRIM(IF($N334&lt;&gt;"",$N334&amp;" ","")&amp;IF($O334&lt;&gt;"",$O334&amp;" ","")&amp;IF($P334&lt;&gt;"",$P334&amp;" ","")&amp;IF($Q334&lt;&gt;"",$Q334&amp;" ","")&amp;IF($R334&lt;&gt;"",$R334,""))))</f>
        <v/>
      </c>
    </row>
    <row r="335" customFormat="false" ht="15" hidden="false" customHeight="false" outlineLevel="0" collapsed="false">
      <c r="A335" s="30" t="str">
        <f aca="false">IF($B335="","","LAN-"&amp;TEXT(ROW()-4,"000000"))</f>
        <v/>
      </c>
      <c r="B335" s="31"/>
      <c r="C335" s="32"/>
      <c r="D335" s="32"/>
      <c r="E335" s="32"/>
      <c r="F335" s="33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4" t="str">
        <f aca="false">IF($B335="","",YEAR($B335))</f>
        <v/>
      </c>
      <c r="U335" s="34" t="str">
        <f aca="false">IF($B335="","",MONTH($B335))</f>
        <v/>
      </c>
      <c r="V335" s="34" t="str">
        <f aca="false">IF($B335="","",YEAR($B335)*100+MONTH($B335))</f>
        <v/>
      </c>
      <c r="W335" s="35" t="str">
        <f aca="false">IF($D335="","",IFERROR(INDEX(MAP_CLASS,MATCH($D335,MAP_TIPO,0)),"TIPO INVALIDO"))</f>
        <v/>
      </c>
      <c r="X335" s="35" t="str">
        <f aca="false">IF($K335="","",IFERROR(INDEX(CAT_NOME,MATCH($K335,CAT_ID,0)),"?"))</f>
        <v/>
      </c>
      <c r="Y335" s="35" t="str">
        <f aca="false">IF($L335="","",IFERROR(INDEX(SUB_NOME,MATCH($L335,SUB_ID,0)),"?"))</f>
        <v/>
      </c>
      <c r="Z335" s="35" t="str">
        <f aca="false">IF($G335="","",IF($G335="EXTERNO","(Externo)",IFERROR(INDEX(ENT_NOME,MATCH($H335,ENT_ID,0)),"?")))</f>
        <v/>
      </c>
      <c r="AA335" s="35" t="str">
        <f aca="false">IF($I335="","",IF($I335="EXTERNO","(Externo)",IFERROR(INDEX(ENT_NOME,MATCH($J335,ENT_ID,0)),"?")))</f>
        <v/>
      </c>
      <c r="AB335" s="36" t="n">
        <f aca="false">IF($B335="",0,IF(AND($I335="CONTA",$G335&lt;&gt;"CONTA"),$F335,0))</f>
        <v>0</v>
      </c>
      <c r="AC335" s="36" t="n">
        <f aca="false">IF($B335="",0,IF(AND($G335="CONTA",$I335&lt;&gt;"CONTA"),$F335,0))</f>
        <v>0</v>
      </c>
      <c r="AD335" s="36" t="n">
        <f aca="false">IF($W335="RECEITA",$F335,0)</f>
        <v>0</v>
      </c>
      <c r="AE335" s="36" t="n">
        <f aca="false">IF($W335="DESPESA",$F335,0)</f>
        <v>0</v>
      </c>
      <c r="AF335" s="36" t="n">
        <f aca="false">IF($W335="RECEITA_FINANCEIRA",$F335,0)</f>
        <v>0</v>
      </c>
      <c r="AG335" s="36" t="n">
        <f aca="false">IF($B335="",0,IF($I335="CONTA",$F335,0)-IF($G335="CONTA",$F335,0))</f>
        <v>0</v>
      </c>
      <c r="AH335" s="36" t="n">
        <f aca="false">IF($B335="",0,IF($G335="CARTAO",$F335,0)-IF($I335="CARTAO",$F335,0))</f>
        <v>0</v>
      </c>
      <c r="AI335" s="36" t="n">
        <f aca="false">IF($B335="",0,IF($I335="INVESTIMENTO",$F335,0)-IF($G335="INVESTIMENTO",$F335,0))</f>
        <v>0</v>
      </c>
      <c r="AJ335" s="35" t="str">
        <f aca="false">IF($B335="","",IF(NOT(ISNUMBER($F335)),"ERRO: valor nao numerico",IF($F335&lt;=0,"ERRO: valor deve ser maior que zero",IF(COUNTIF(MAP_TIPO,$D335)=0,"ERRO: tipo de operacao nao cadastrado",IF(COUNTIF(LST_STATUS,$E335)=0,"ERRO: status invalido",IF(AND($G335="EXTERNO",$I335="EXTERNO"),"ERRO: origem e destino externos",IF(AND($G335&lt;&gt;"EXTERNO",COUNTIFS(ENT_ID,$H335,ENT_TIPO,$G335)=0),"ERRO: origem inexistente",IF(AND($I335&lt;&gt;"EXTERNO",COUNTIFS(ENT_ID,$J335,ENT_TIPO,$I335)=0),"ERRO: destino inexistente",IF(AND($K335&lt;&gt;"",COUNTIF(CAT_ID,$K335)=0),"ERRO: categoria inexistente",IF(AND($L335&lt;&gt;"",COUNTIF(SUB_ID,$L335)=0),"ERRO: subcategoria inexistente",IF(AND($L335&lt;&gt;"",$K335&lt;&gt;"",IFERROR(INDEX(SUB_CATID,MATCH($L335,SUB_ID,0)),"")&lt;&gt;$K335),"ERRO: subcategoria nao pertence a categoria",IF(AND($O335&lt;&gt;"",COUNTIF(P_ID,$O335)=0),"ERRO: parcela inexistente",IF(AND($N335&lt;&gt;"",COUNTIF(CM_ID,$N335)=0),"ERRO: compromisso inexistente","OK")))))))))))))</f>
        <v/>
      </c>
      <c r="AK335" s="35" t="str">
        <f aca="false">IF($B335="","",IF(AND($N335="",$O335="",$P335="",$Q335="",$R335=""),"","VINCULADO: "&amp;TRIM(IF($N335&lt;&gt;"",$N335&amp;" ","")&amp;IF($O335&lt;&gt;"",$O335&amp;" ","")&amp;IF($P335&lt;&gt;"",$P335&amp;" ","")&amp;IF($Q335&lt;&gt;"",$Q335&amp;" ","")&amp;IF($R335&lt;&gt;"",$R335,""))))</f>
        <v/>
      </c>
    </row>
    <row r="336" customFormat="false" ht="15" hidden="false" customHeight="false" outlineLevel="0" collapsed="false">
      <c r="A336" s="30" t="str">
        <f aca="false">IF($B336="","","LAN-"&amp;TEXT(ROW()-4,"000000"))</f>
        <v/>
      </c>
      <c r="B336" s="31"/>
      <c r="C336" s="32"/>
      <c r="D336" s="32"/>
      <c r="E336" s="32"/>
      <c r="F336" s="33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4" t="str">
        <f aca="false">IF($B336="","",YEAR($B336))</f>
        <v/>
      </c>
      <c r="U336" s="34" t="str">
        <f aca="false">IF($B336="","",MONTH($B336))</f>
        <v/>
      </c>
      <c r="V336" s="34" t="str">
        <f aca="false">IF($B336="","",YEAR($B336)*100+MONTH($B336))</f>
        <v/>
      </c>
      <c r="W336" s="35" t="str">
        <f aca="false">IF($D336="","",IFERROR(INDEX(MAP_CLASS,MATCH($D336,MAP_TIPO,0)),"TIPO INVALIDO"))</f>
        <v/>
      </c>
      <c r="X336" s="35" t="str">
        <f aca="false">IF($K336="","",IFERROR(INDEX(CAT_NOME,MATCH($K336,CAT_ID,0)),"?"))</f>
        <v/>
      </c>
      <c r="Y336" s="35" t="str">
        <f aca="false">IF($L336="","",IFERROR(INDEX(SUB_NOME,MATCH($L336,SUB_ID,0)),"?"))</f>
        <v/>
      </c>
      <c r="Z336" s="35" t="str">
        <f aca="false">IF($G336="","",IF($G336="EXTERNO","(Externo)",IFERROR(INDEX(ENT_NOME,MATCH($H336,ENT_ID,0)),"?")))</f>
        <v/>
      </c>
      <c r="AA336" s="35" t="str">
        <f aca="false">IF($I336="","",IF($I336="EXTERNO","(Externo)",IFERROR(INDEX(ENT_NOME,MATCH($J336,ENT_ID,0)),"?")))</f>
        <v/>
      </c>
      <c r="AB336" s="36" t="n">
        <f aca="false">IF($B336="",0,IF(AND($I336="CONTA",$G336&lt;&gt;"CONTA"),$F336,0))</f>
        <v>0</v>
      </c>
      <c r="AC336" s="36" t="n">
        <f aca="false">IF($B336="",0,IF(AND($G336="CONTA",$I336&lt;&gt;"CONTA"),$F336,0))</f>
        <v>0</v>
      </c>
      <c r="AD336" s="36" t="n">
        <f aca="false">IF($W336="RECEITA",$F336,0)</f>
        <v>0</v>
      </c>
      <c r="AE336" s="36" t="n">
        <f aca="false">IF($W336="DESPESA",$F336,0)</f>
        <v>0</v>
      </c>
      <c r="AF336" s="36" t="n">
        <f aca="false">IF($W336="RECEITA_FINANCEIRA",$F336,0)</f>
        <v>0</v>
      </c>
      <c r="AG336" s="36" t="n">
        <f aca="false">IF($B336="",0,IF($I336="CONTA",$F336,0)-IF($G336="CONTA",$F336,0))</f>
        <v>0</v>
      </c>
      <c r="AH336" s="36" t="n">
        <f aca="false">IF($B336="",0,IF($G336="CARTAO",$F336,0)-IF($I336="CARTAO",$F336,0))</f>
        <v>0</v>
      </c>
      <c r="AI336" s="36" t="n">
        <f aca="false">IF($B336="",0,IF($I336="INVESTIMENTO",$F336,0)-IF($G336="INVESTIMENTO",$F336,0))</f>
        <v>0</v>
      </c>
      <c r="AJ336" s="35" t="str">
        <f aca="false">IF($B336="","",IF(NOT(ISNUMBER($F336)),"ERRO: valor nao numerico",IF($F336&lt;=0,"ERRO: valor deve ser maior que zero",IF(COUNTIF(MAP_TIPO,$D336)=0,"ERRO: tipo de operacao nao cadastrado",IF(COUNTIF(LST_STATUS,$E336)=0,"ERRO: status invalido",IF(AND($G336="EXTERNO",$I336="EXTERNO"),"ERRO: origem e destino externos",IF(AND($G336&lt;&gt;"EXTERNO",COUNTIFS(ENT_ID,$H336,ENT_TIPO,$G336)=0),"ERRO: origem inexistente",IF(AND($I336&lt;&gt;"EXTERNO",COUNTIFS(ENT_ID,$J336,ENT_TIPO,$I336)=0),"ERRO: destino inexistente",IF(AND($K336&lt;&gt;"",COUNTIF(CAT_ID,$K336)=0),"ERRO: categoria inexistente",IF(AND($L336&lt;&gt;"",COUNTIF(SUB_ID,$L336)=0),"ERRO: subcategoria inexistente",IF(AND($L336&lt;&gt;"",$K336&lt;&gt;"",IFERROR(INDEX(SUB_CATID,MATCH($L336,SUB_ID,0)),"")&lt;&gt;$K336),"ERRO: subcategoria nao pertence a categoria",IF(AND($O336&lt;&gt;"",COUNTIF(P_ID,$O336)=0),"ERRO: parcela inexistente",IF(AND($N336&lt;&gt;"",COUNTIF(CM_ID,$N336)=0),"ERRO: compromisso inexistente","OK")))))))))))))</f>
        <v/>
      </c>
      <c r="AK336" s="35" t="str">
        <f aca="false">IF($B336="","",IF(AND($N336="",$O336="",$P336="",$Q336="",$R336=""),"","VINCULADO: "&amp;TRIM(IF($N336&lt;&gt;"",$N336&amp;" ","")&amp;IF($O336&lt;&gt;"",$O336&amp;" ","")&amp;IF($P336&lt;&gt;"",$P336&amp;" ","")&amp;IF($Q336&lt;&gt;"",$Q336&amp;" ","")&amp;IF($R336&lt;&gt;"",$R336,""))))</f>
        <v/>
      </c>
    </row>
    <row r="337" customFormat="false" ht="15" hidden="false" customHeight="false" outlineLevel="0" collapsed="false">
      <c r="A337" s="30" t="str">
        <f aca="false">IF($B337="","","LAN-"&amp;TEXT(ROW()-4,"000000"))</f>
        <v/>
      </c>
      <c r="B337" s="31"/>
      <c r="C337" s="32"/>
      <c r="D337" s="32"/>
      <c r="E337" s="32"/>
      <c r="F337" s="33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4" t="str">
        <f aca="false">IF($B337="","",YEAR($B337))</f>
        <v/>
      </c>
      <c r="U337" s="34" t="str">
        <f aca="false">IF($B337="","",MONTH($B337))</f>
        <v/>
      </c>
      <c r="V337" s="34" t="str">
        <f aca="false">IF($B337="","",YEAR($B337)*100+MONTH($B337))</f>
        <v/>
      </c>
      <c r="W337" s="35" t="str">
        <f aca="false">IF($D337="","",IFERROR(INDEX(MAP_CLASS,MATCH($D337,MAP_TIPO,0)),"TIPO INVALIDO"))</f>
        <v/>
      </c>
      <c r="X337" s="35" t="str">
        <f aca="false">IF($K337="","",IFERROR(INDEX(CAT_NOME,MATCH($K337,CAT_ID,0)),"?"))</f>
        <v/>
      </c>
      <c r="Y337" s="35" t="str">
        <f aca="false">IF($L337="","",IFERROR(INDEX(SUB_NOME,MATCH($L337,SUB_ID,0)),"?"))</f>
        <v/>
      </c>
      <c r="Z337" s="35" t="str">
        <f aca="false">IF($G337="","",IF($G337="EXTERNO","(Externo)",IFERROR(INDEX(ENT_NOME,MATCH($H337,ENT_ID,0)),"?")))</f>
        <v/>
      </c>
      <c r="AA337" s="35" t="str">
        <f aca="false">IF($I337="","",IF($I337="EXTERNO","(Externo)",IFERROR(INDEX(ENT_NOME,MATCH($J337,ENT_ID,0)),"?")))</f>
        <v/>
      </c>
      <c r="AB337" s="36" t="n">
        <f aca="false">IF($B337="",0,IF(AND($I337="CONTA",$G337&lt;&gt;"CONTA"),$F337,0))</f>
        <v>0</v>
      </c>
      <c r="AC337" s="36" t="n">
        <f aca="false">IF($B337="",0,IF(AND($G337="CONTA",$I337&lt;&gt;"CONTA"),$F337,0))</f>
        <v>0</v>
      </c>
      <c r="AD337" s="36" t="n">
        <f aca="false">IF($W337="RECEITA",$F337,0)</f>
        <v>0</v>
      </c>
      <c r="AE337" s="36" t="n">
        <f aca="false">IF($W337="DESPESA",$F337,0)</f>
        <v>0</v>
      </c>
      <c r="AF337" s="36" t="n">
        <f aca="false">IF($W337="RECEITA_FINANCEIRA",$F337,0)</f>
        <v>0</v>
      </c>
      <c r="AG337" s="36" t="n">
        <f aca="false">IF($B337="",0,IF($I337="CONTA",$F337,0)-IF($G337="CONTA",$F337,0))</f>
        <v>0</v>
      </c>
      <c r="AH337" s="36" t="n">
        <f aca="false">IF($B337="",0,IF($G337="CARTAO",$F337,0)-IF($I337="CARTAO",$F337,0))</f>
        <v>0</v>
      </c>
      <c r="AI337" s="36" t="n">
        <f aca="false">IF($B337="",0,IF($I337="INVESTIMENTO",$F337,0)-IF($G337="INVESTIMENTO",$F337,0))</f>
        <v>0</v>
      </c>
      <c r="AJ337" s="35" t="str">
        <f aca="false">IF($B337="","",IF(NOT(ISNUMBER($F337)),"ERRO: valor nao numerico",IF($F337&lt;=0,"ERRO: valor deve ser maior que zero",IF(COUNTIF(MAP_TIPO,$D337)=0,"ERRO: tipo de operacao nao cadastrado",IF(COUNTIF(LST_STATUS,$E337)=0,"ERRO: status invalido",IF(AND($G337="EXTERNO",$I337="EXTERNO"),"ERRO: origem e destino externos",IF(AND($G337&lt;&gt;"EXTERNO",COUNTIFS(ENT_ID,$H337,ENT_TIPO,$G337)=0),"ERRO: origem inexistente",IF(AND($I337&lt;&gt;"EXTERNO",COUNTIFS(ENT_ID,$J337,ENT_TIPO,$I337)=0),"ERRO: destino inexistente",IF(AND($K337&lt;&gt;"",COUNTIF(CAT_ID,$K337)=0),"ERRO: categoria inexistente",IF(AND($L337&lt;&gt;"",COUNTIF(SUB_ID,$L337)=0),"ERRO: subcategoria inexistente",IF(AND($L337&lt;&gt;"",$K337&lt;&gt;"",IFERROR(INDEX(SUB_CATID,MATCH($L337,SUB_ID,0)),"")&lt;&gt;$K337),"ERRO: subcategoria nao pertence a categoria",IF(AND($O337&lt;&gt;"",COUNTIF(P_ID,$O337)=0),"ERRO: parcela inexistente",IF(AND($N337&lt;&gt;"",COUNTIF(CM_ID,$N337)=0),"ERRO: compromisso inexistente","OK")))))))))))))</f>
        <v/>
      </c>
      <c r="AK337" s="35" t="str">
        <f aca="false">IF($B337="","",IF(AND($N337="",$O337="",$P337="",$Q337="",$R337=""),"","VINCULADO: "&amp;TRIM(IF($N337&lt;&gt;"",$N337&amp;" ","")&amp;IF($O337&lt;&gt;"",$O337&amp;" ","")&amp;IF($P337&lt;&gt;"",$P337&amp;" ","")&amp;IF($Q337&lt;&gt;"",$Q337&amp;" ","")&amp;IF($R337&lt;&gt;"",$R337,""))))</f>
        <v/>
      </c>
    </row>
    <row r="338" customFormat="false" ht="15" hidden="false" customHeight="false" outlineLevel="0" collapsed="false">
      <c r="A338" s="30" t="str">
        <f aca="false">IF($B338="","","LAN-"&amp;TEXT(ROW()-4,"000000"))</f>
        <v/>
      </c>
      <c r="B338" s="31"/>
      <c r="C338" s="32"/>
      <c r="D338" s="32"/>
      <c r="E338" s="32"/>
      <c r="F338" s="33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4" t="str">
        <f aca="false">IF($B338="","",YEAR($B338))</f>
        <v/>
      </c>
      <c r="U338" s="34" t="str">
        <f aca="false">IF($B338="","",MONTH($B338))</f>
        <v/>
      </c>
      <c r="V338" s="34" t="str">
        <f aca="false">IF($B338="","",YEAR($B338)*100+MONTH($B338))</f>
        <v/>
      </c>
      <c r="W338" s="35" t="str">
        <f aca="false">IF($D338="","",IFERROR(INDEX(MAP_CLASS,MATCH($D338,MAP_TIPO,0)),"TIPO INVALIDO"))</f>
        <v/>
      </c>
      <c r="X338" s="35" t="str">
        <f aca="false">IF($K338="","",IFERROR(INDEX(CAT_NOME,MATCH($K338,CAT_ID,0)),"?"))</f>
        <v/>
      </c>
      <c r="Y338" s="35" t="str">
        <f aca="false">IF($L338="","",IFERROR(INDEX(SUB_NOME,MATCH($L338,SUB_ID,0)),"?"))</f>
        <v/>
      </c>
      <c r="Z338" s="35" t="str">
        <f aca="false">IF($G338="","",IF($G338="EXTERNO","(Externo)",IFERROR(INDEX(ENT_NOME,MATCH($H338,ENT_ID,0)),"?")))</f>
        <v/>
      </c>
      <c r="AA338" s="35" t="str">
        <f aca="false">IF($I338="","",IF($I338="EXTERNO","(Externo)",IFERROR(INDEX(ENT_NOME,MATCH($J338,ENT_ID,0)),"?")))</f>
        <v/>
      </c>
      <c r="AB338" s="36" t="n">
        <f aca="false">IF($B338="",0,IF(AND($I338="CONTA",$G338&lt;&gt;"CONTA"),$F338,0))</f>
        <v>0</v>
      </c>
      <c r="AC338" s="36" t="n">
        <f aca="false">IF($B338="",0,IF(AND($G338="CONTA",$I338&lt;&gt;"CONTA"),$F338,0))</f>
        <v>0</v>
      </c>
      <c r="AD338" s="36" t="n">
        <f aca="false">IF($W338="RECEITA",$F338,0)</f>
        <v>0</v>
      </c>
      <c r="AE338" s="36" t="n">
        <f aca="false">IF($W338="DESPESA",$F338,0)</f>
        <v>0</v>
      </c>
      <c r="AF338" s="36" t="n">
        <f aca="false">IF($W338="RECEITA_FINANCEIRA",$F338,0)</f>
        <v>0</v>
      </c>
      <c r="AG338" s="36" t="n">
        <f aca="false">IF($B338="",0,IF($I338="CONTA",$F338,0)-IF($G338="CONTA",$F338,0))</f>
        <v>0</v>
      </c>
      <c r="AH338" s="36" t="n">
        <f aca="false">IF($B338="",0,IF($G338="CARTAO",$F338,0)-IF($I338="CARTAO",$F338,0))</f>
        <v>0</v>
      </c>
      <c r="AI338" s="36" t="n">
        <f aca="false">IF($B338="",0,IF($I338="INVESTIMENTO",$F338,0)-IF($G338="INVESTIMENTO",$F338,0))</f>
        <v>0</v>
      </c>
      <c r="AJ338" s="35" t="str">
        <f aca="false">IF($B338="","",IF(NOT(ISNUMBER($F338)),"ERRO: valor nao numerico",IF($F338&lt;=0,"ERRO: valor deve ser maior que zero",IF(COUNTIF(MAP_TIPO,$D338)=0,"ERRO: tipo de operacao nao cadastrado",IF(COUNTIF(LST_STATUS,$E338)=0,"ERRO: status invalido",IF(AND($G338="EXTERNO",$I338="EXTERNO"),"ERRO: origem e destino externos",IF(AND($G338&lt;&gt;"EXTERNO",COUNTIFS(ENT_ID,$H338,ENT_TIPO,$G338)=0),"ERRO: origem inexistente",IF(AND($I338&lt;&gt;"EXTERNO",COUNTIFS(ENT_ID,$J338,ENT_TIPO,$I338)=0),"ERRO: destino inexistente",IF(AND($K338&lt;&gt;"",COUNTIF(CAT_ID,$K338)=0),"ERRO: categoria inexistente",IF(AND($L338&lt;&gt;"",COUNTIF(SUB_ID,$L338)=0),"ERRO: subcategoria inexistente",IF(AND($L338&lt;&gt;"",$K338&lt;&gt;"",IFERROR(INDEX(SUB_CATID,MATCH($L338,SUB_ID,0)),"")&lt;&gt;$K338),"ERRO: subcategoria nao pertence a categoria",IF(AND($O338&lt;&gt;"",COUNTIF(P_ID,$O338)=0),"ERRO: parcela inexistente",IF(AND($N338&lt;&gt;"",COUNTIF(CM_ID,$N338)=0),"ERRO: compromisso inexistente","OK")))))))))))))</f>
        <v/>
      </c>
      <c r="AK338" s="35" t="str">
        <f aca="false">IF($B338="","",IF(AND($N338="",$O338="",$P338="",$Q338="",$R338=""),"","VINCULADO: "&amp;TRIM(IF($N338&lt;&gt;"",$N338&amp;" ","")&amp;IF($O338&lt;&gt;"",$O338&amp;" ","")&amp;IF($P338&lt;&gt;"",$P338&amp;" ","")&amp;IF($Q338&lt;&gt;"",$Q338&amp;" ","")&amp;IF($R338&lt;&gt;"",$R338,""))))</f>
        <v/>
      </c>
    </row>
    <row r="339" customFormat="false" ht="15" hidden="false" customHeight="false" outlineLevel="0" collapsed="false">
      <c r="A339" s="30" t="str">
        <f aca="false">IF($B339="","","LAN-"&amp;TEXT(ROW()-4,"000000"))</f>
        <v/>
      </c>
      <c r="B339" s="31"/>
      <c r="C339" s="32"/>
      <c r="D339" s="32"/>
      <c r="E339" s="32"/>
      <c r="F339" s="33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4" t="str">
        <f aca="false">IF($B339="","",YEAR($B339))</f>
        <v/>
      </c>
      <c r="U339" s="34" t="str">
        <f aca="false">IF($B339="","",MONTH($B339))</f>
        <v/>
      </c>
      <c r="V339" s="34" t="str">
        <f aca="false">IF($B339="","",YEAR($B339)*100+MONTH($B339))</f>
        <v/>
      </c>
      <c r="W339" s="35" t="str">
        <f aca="false">IF($D339="","",IFERROR(INDEX(MAP_CLASS,MATCH($D339,MAP_TIPO,0)),"TIPO INVALIDO"))</f>
        <v/>
      </c>
      <c r="X339" s="35" t="str">
        <f aca="false">IF($K339="","",IFERROR(INDEX(CAT_NOME,MATCH($K339,CAT_ID,0)),"?"))</f>
        <v/>
      </c>
      <c r="Y339" s="35" t="str">
        <f aca="false">IF($L339="","",IFERROR(INDEX(SUB_NOME,MATCH($L339,SUB_ID,0)),"?"))</f>
        <v/>
      </c>
      <c r="Z339" s="35" t="str">
        <f aca="false">IF($G339="","",IF($G339="EXTERNO","(Externo)",IFERROR(INDEX(ENT_NOME,MATCH($H339,ENT_ID,0)),"?")))</f>
        <v/>
      </c>
      <c r="AA339" s="35" t="str">
        <f aca="false">IF($I339="","",IF($I339="EXTERNO","(Externo)",IFERROR(INDEX(ENT_NOME,MATCH($J339,ENT_ID,0)),"?")))</f>
        <v/>
      </c>
      <c r="AB339" s="36" t="n">
        <f aca="false">IF($B339="",0,IF(AND($I339="CONTA",$G339&lt;&gt;"CONTA"),$F339,0))</f>
        <v>0</v>
      </c>
      <c r="AC339" s="36" t="n">
        <f aca="false">IF($B339="",0,IF(AND($G339="CONTA",$I339&lt;&gt;"CONTA"),$F339,0))</f>
        <v>0</v>
      </c>
      <c r="AD339" s="36" t="n">
        <f aca="false">IF($W339="RECEITA",$F339,0)</f>
        <v>0</v>
      </c>
      <c r="AE339" s="36" t="n">
        <f aca="false">IF($W339="DESPESA",$F339,0)</f>
        <v>0</v>
      </c>
      <c r="AF339" s="36" t="n">
        <f aca="false">IF($W339="RECEITA_FINANCEIRA",$F339,0)</f>
        <v>0</v>
      </c>
      <c r="AG339" s="36" t="n">
        <f aca="false">IF($B339="",0,IF($I339="CONTA",$F339,0)-IF($G339="CONTA",$F339,0))</f>
        <v>0</v>
      </c>
      <c r="AH339" s="36" t="n">
        <f aca="false">IF($B339="",0,IF($G339="CARTAO",$F339,0)-IF($I339="CARTAO",$F339,0))</f>
        <v>0</v>
      </c>
      <c r="AI339" s="36" t="n">
        <f aca="false">IF($B339="",0,IF($I339="INVESTIMENTO",$F339,0)-IF($G339="INVESTIMENTO",$F339,0))</f>
        <v>0</v>
      </c>
      <c r="AJ339" s="35" t="str">
        <f aca="false">IF($B339="","",IF(NOT(ISNUMBER($F339)),"ERRO: valor nao numerico",IF($F339&lt;=0,"ERRO: valor deve ser maior que zero",IF(COUNTIF(MAP_TIPO,$D339)=0,"ERRO: tipo de operacao nao cadastrado",IF(COUNTIF(LST_STATUS,$E339)=0,"ERRO: status invalido",IF(AND($G339="EXTERNO",$I339="EXTERNO"),"ERRO: origem e destino externos",IF(AND($G339&lt;&gt;"EXTERNO",COUNTIFS(ENT_ID,$H339,ENT_TIPO,$G339)=0),"ERRO: origem inexistente",IF(AND($I339&lt;&gt;"EXTERNO",COUNTIFS(ENT_ID,$J339,ENT_TIPO,$I339)=0),"ERRO: destino inexistente",IF(AND($K339&lt;&gt;"",COUNTIF(CAT_ID,$K339)=0),"ERRO: categoria inexistente",IF(AND($L339&lt;&gt;"",COUNTIF(SUB_ID,$L339)=0),"ERRO: subcategoria inexistente",IF(AND($L339&lt;&gt;"",$K339&lt;&gt;"",IFERROR(INDEX(SUB_CATID,MATCH($L339,SUB_ID,0)),"")&lt;&gt;$K339),"ERRO: subcategoria nao pertence a categoria",IF(AND($O339&lt;&gt;"",COUNTIF(P_ID,$O339)=0),"ERRO: parcela inexistente",IF(AND($N339&lt;&gt;"",COUNTIF(CM_ID,$N339)=0),"ERRO: compromisso inexistente","OK")))))))))))))</f>
        <v/>
      </c>
      <c r="AK339" s="35" t="str">
        <f aca="false">IF($B339="","",IF(AND($N339="",$O339="",$P339="",$Q339="",$R339=""),"","VINCULADO: "&amp;TRIM(IF($N339&lt;&gt;"",$N339&amp;" ","")&amp;IF($O339&lt;&gt;"",$O339&amp;" ","")&amp;IF($P339&lt;&gt;"",$P339&amp;" ","")&amp;IF($Q339&lt;&gt;"",$Q339&amp;" ","")&amp;IF($R339&lt;&gt;"",$R339,""))))</f>
        <v/>
      </c>
    </row>
    <row r="340" customFormat="false" ht="15" hidden="false" customHeight="false" outlineLevel="0" collapsed="false">
      <c r="A340" s="30" t="str">
        <f aca="false">IF($B340="","","LAN-"&amp;TEXT(ROW()-4,"000000"))</f>
        <v/>
      </c>
      <c r="B340" s="31"/>
      <c r="C340" s="32"/>
      <c r="D340" s="32"/>
      <c r="E340" s="32"/>
      <c r="F340" s="33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4" t="str">
        <f aca="false">IF($B340="","",YEAR($B340))</f>
        <v/>
      </c>
      <c r="U340" s="34" t="str">
        <f aca="false">IF($B340="","",MONTH($B340))</f>
        <v/>
      </c>
      <c r="V340" s="34" t="str">
        <f aca="false">IF($B340="","",YEAR($B340)*100+MONTH($B340))</f>
        <v/>
      </c>
      <c r="W340" s="35" t="str">
        <f aca="false">IF($D340="","",IFERROR(INDEX(MAP_CLASS,MATCH($D340,MAP_TIPO,0)),"TIPO INVALIDO"))</f>
        <v/>
      </c>
      <c r="X340" s="35" t="str">
        <f aca="false">IF($K340="","",IFERROR(INDEX(CAT_NOME,MATCH($K340,CAT_ID,0)),"?"))</f>
        <v/>
      </c>
      <c r="Y340" s="35" t="str">
        <f aca="false">IF($L340="","",IFERROR(INDEX(SUB_NOME,MATCH($L340,SUB_ID,0)),"?"))</f>
        <v/>
      </c>
      <c r="Z340" s="35" t="str">
        <f aca="false">IF($G340="","",IF($G340="EXTERNO","(Externo)",IFERROR(INDEX(ENT_NOME,MATCH($H340,ENT_ID,0)),"?")))</f>
        <v/>
      </c>
      <c r="AA340" s="35" t="str">
        <f aca="false">IF($I340="","",IF($I340="EXTERNO","(Externo)",IFERROR(INDEX(ENT_NOME,MATCH($J340,ENT_ID,0)),"?")))</f>
        <v/>
      </c>
      <c r="AB340" s="36" t="n">
        <f aca="false">IF($B340="",0,IF(AND($I340="CONTA",$G340&lt;&gt;"CONTA"),$F340,0))</f>
        <v>0</v>
      </c>
      <c r="AC340" s="36" t="n">
        <f aca="false">IF($B340="",0,IF(AND($G340="CONTA",$I340&lt;&gt;"CONTA"),$F340,0))</f>
        <v>0</v>
      </c>
      <c r="AD340" s="36" t="n">
        <f aca="false">IF($W340="RECEITA",$F340,0)</f>
        <v>0</v>
      </c>
      <c r="AE340" s="36" t="n">
        <f aca="false">IF($W340="DESPESA",$F340,0)</f>
        <v>0</v>
      </c>
      <c r="AF340" s="36" t="n">
        <f aca="false">IF($W340="RECEITA_FINANCEIRA",$F340,0)</f>
        <v>0</v>
      </c>
      <c r="AG340" s="36" t="n">
        <f aca="false">IF($B340="",0,IF($I340="CONTA",$F340,0)-IF($G340="CONTA",$F340,0))</f>
        <v>0</v>
      </c>
      <c r="AH340" s="36" t="n">
        <f aca="false">IF($B340="",0,IF($G340="CARTAO",$F340,0)-IF($I340="CARTAO",$F340,0))</f>
        <v>0</v>
      </c>
      <c r="AI340" s="36" t="n">
        <f aca="false">IF($B340="",0,IF($I340="INVESTIMENTO",$F340,0)-IF($G340="INVESTIMENTO",$F340,0))</f>
        <v>0</v>
      </c>
      <c r="AJ340" s="35" t="str">
        <f aca="false">IF($B340="","",IF(NOT(ISNUMBER($F340)),"ERRO: valor nao numerico",IF($F340&lt;=0,"ERRO: valor deve ser maior que zero",IF(COUNTIF(MAP_TIPO,$D340)=0,"ERRO: tipo de operacao nao cadastrado",IF(COUNTIF(LST_STATUS,$E340)=0,"ERRO: status invalido",IF(AND($G340="EXTERNO",$I340="EXTERNO"),"ERRO: origem e destino externos",IF(AND($G340&lt;&gt;"EXTERNO",COUNTIFS(ENT_ID,$H340,ENT_TIPO,$G340)=0),"ERRO: origem inexistente",IF(AND($I340&lt;&gt;"EXTERNO",COUNTIFS(ENT_ID,$J340,ENT_TIPO,$I340)=0),"ERRO: destino inexistente",IF(AND($K340&lt;&gt;"",COUNTIF(CAT_ID,$K340)=0),"ERRO: categoria inexistente",IF(AND($L340&lt;&gt;"",COUNTIF(SUB_ID,$L340)=0),"ERRO: subcategoria inexistente",IF(AND($L340&lt;&gt;"",$K340&lt;&gt;"",IFERROR(INDEX(SUB_CATID,MATCH($L340,SUB_ID,0)),"")&lt;&gt;$K340),"ERRO: subcategoria nao pertence a categoria",IF(AND($O340&lt;&gt;"",COUNTIF(P_ID,$O340)=0),"ERRO: parcela inexistente",IF(AND($N340&lt;&gt;"",COUNTIF(CM_ID,$N340)=0),"ERRO: compromisso inexistente","OK")))))))))))))</f>
        <v/>
      </c>
      <c r="AK340" s="35" t="str">
        <f aca="false">IF($B340="","",IF(AND($N340="",$O340="",$P340="",$Q340="",$R340=""),"","VINCULADO: "&amp;TRIM(IF($N340&lt;&gt;"",$N340&amp;" ","")&amp;IF($O340&lt;&gt;"",$O340&amp;" ","")&amp;IF($P340&lt;&gt;"",$P340&amp;" ","")&amp;IF($Q340&lt;&gt;"",$Q340&amp;" ","")&amp;IF($R340&lt;&gt;"",$R340,""))))</f>
        <v/>
      </c>
    </row>
    <row r="341" customFormat="false" ht="15" hidden="false" customHeight="false" outlineLevel="0" collapsed="false">
      <c r="A341" s="30" t="str">
        <f aca="false">IF($B341="","","LAN-"&amp;TEXT(ROW()-4,"000000"))</f>
        <v/>
      </c>
      <c r="B341" s="31"/>
      <c r="C341" s="32"/>
      <c r="D341" s="32"/>
      <c r="E341" s="32"/>
      <c r="F341" s="33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4" t="str">
        <f aca="false">IF($B341="","",YEAR($B341))</f>
        <v/>
      </c>
      <c r="U341" s="34" t="str">
        <f aca="false">IF($B341="","",MONTH($B341))</f>
        <v/>
      </c>
      <c r="V341" s="34" t="str">
        <f aca="false">IF($B341="","",YEAR($B341)*100+MONTH($B341))</f>
        <v/>
      </c>
      <c r="W341" s="35" t="str">
        <f aca="false">IF($D341="","",IFERROR(INDEX(MAP_CLASS,MATCH($D341,MAP_TIPO,0)),"TIPO INVALIDO"))</f>
        <v/>
      </c>
      <c r="X341" s="35" t="str">
        <f aca="false">IF($K341="","",IFERROR(INDEX(CAT_NOME,MATCH($K341,CAT_ID,0)),"?"))</f>
        <v/>
      </c>
      <c r="Y341" s="35" t="str">
        <f aca="false">IF($L341="","",IFERROR(INDEX(SUB_NOME,MATCH($L341,SUB_ID,0)),"?"))</f>
        <v/>
      </c>
      <c r="Z341" s="35" t="str">
        <f aca="false">IF($G341="","",IF($G341="EXTERNO","(Externo)",IFERROR(INDEX(ENT_NOME,MATCH($H341,ENT_ID,0)),"?")))</f>
        <v/>
      </c>
      <c r="AA341" s="35" t="str">
        <f aca="false">IF($I341="","",IF($I341="EXTERNO","(Externo)",IFERROR(INDEX(ENT_NOME,MATCH($J341,ENT_ID,0)),"?")))</f>
        <v/>
      </c>
      <c r="AB341" s="36" t="n">
        <f aca="false">IF($B341="",0,IF(AND($I341="CONTA",$G341&lt;&gt;"CONTA"),$F341,0))</f>
        <v>0</v>
      </c>
      <c r="AC341" s="36" t="n">
        <f aca="false">IF($B341="",0,IF(AND($G341="CONTA",$I341&lt;&gt;"CONTA"),$F341,0))</f>
        <v>0</v>
      </c>
      <c r="AD341" s="36" t="n">
        <f aca="false">IF($W341="RECEITA",$F341,0)</f>
        <v>0</v>
      </c>
      <c r="AE341" s="36" t="n">
        <f aca="false">IF($W341="DESPESA",$F341,0)</f>
        <v>0</v>
      </c>
      <c r="AF341" s="36" t="n">
        <f aca="false">IF($W341="RECEITA_FINANCEIRA",$F341,0)</f>
        <v>0</v>
      </c>
      <c r="AG341" s="36" t="n">
        <f aca="false">IF($B341="",0,IF($I341="CONTA",$F341,0)-IF($G341="CONTA",$F341,0))</f>
        <v>0</v>
      </c>
      <c r="AH341" s="36" t="n">
        <f aca="false">IF($B341="",0,IF($G341="CARTAO",$F341,0)-IF($I341="CARTAO",$F341,0))</f>
        <v>0</v>
      </c>
      <c r="AI341" s="36" t="n">
        <f aca="false">IF($B341="",0,IF($I341="INVESTIMENTO",$F341,0)-IF($G341="INVESTIMENTO",$F341,0))</f>
        <v>0</v>
      </c>
      <c r="AJ341" s="35" t="str">
        <f aca="false">IF($B341="","",IF(NOT(ISNUMBER($F341)),"ERRO: valor nao numerico",IF($F341&lt;=0,"ERRO: valor deve ser maior que zero",IF(COUNTIF(MAP_TIPO,$D341)=0,"ERRO: tipo de operacao nao cadastrado",IF(COUNTIF(LST_STATUS,$E341)=0,"ERRO: status invalido",IF(AND($G341="EXTERNO",$I341="EXTERNO"),"ERRO: origem e destino externos",IF(AND($G341&lt;&gt;"EXTERNO",COUNTIFS(ENT_ID,$H341,ENT_TIPO,$G341)=0),"ERRO: origem inexistente",IF(AND($I341&lt;&gt;"EXTERNO",COUNTIFS(ENT_ID,$J341,ENT_TIPO,$I341)=0),"ERRO: destino inexistente",IF(AND($K341&lt;&gt;"",COUNTIF(CAT_ID,$K341)=0),"ERRO: categoria inexistente",IF(AND($L341&lt;&gt;"",COUNTIF(SUB_ID,$L341)=0),"ERRO: subcategoria inexistente",IF(AND($L341&lt;&gt;"",$K341&lt;&gt;"",IFERROR(INDEX(SUB_CATID,MATCH($L341,SUB_ID,0)),"")&lt;&gt;$K341),"ERRO: subcategoria nao pertence a categoria",IF(AND($O341&lt;&gt;"",COUNTIF(P_ID,$O341)=0),"ERRO: parcela inexistente",IF(AND($N341&lt;&gt;"",COUNTIF(CM_ID,$N341)=0),"ERRO: compromisso inexistente","OK")))))))))))))</f>
        <v/>
      </c>
      <c r="AK341" s="35" t="str">
        <f aca="false">IF($B341="","",IF(AND($N341="",$O341="",$P341="",$Q341="",$R341=""),"","VINCULADO: "&amp;TRIM(IF($N341&lt;&gt;"",$N341&amp;" ","")&amp;IF($O341&lt;&gt;"",$O341&amp;" ","")&amp;IF($P341&lt;&gt;"",$P341&amp;" ","")&amp;IF($Q341&lt;&gt;"",$Q341&amp;" ","")&amp;IF($R341&lt;&gt;"",$R341,""))))</f>
        <v/>
      </c>
    </row>
    <row r="342" customFormat="false" ht="15" hidden="false" customHeight="false" outlineLevel="0" collapsed="false">
      <c r="A342" s="30" t="str">
        <f aca="false">IF($B342="","","LAN-"&amp;TEXT(ROW()-4,"000000"))</f>
        <v/>
      </c>
      <c r="B342" s="31"/>
      <c r="C342" s="32"/>
      <c r="D342" s="32"/>
      <c r="E342" s="32"/>
      <c r="F342" s="33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4" t="str">
        <f aca="false">IF($B342="","",YEAR($B342))</f>
        <v/>
      </c>
      <c r="U342" s="34" t="str">
        <f aca="false">IF($B342="","",MONTH($B342))</f>
        <v/>
      </c>
      <c r="V342" s="34" t="str">
        <f aca="false">IF($B342="","",YEAR($B342)*100+MONTH($B342))</f>
        <v/>
      </c>
      <c r="W342" s="35" t="str">
        <f aca="false">IF($D342="","",IFERROR(INDEX(MAP_CLASS,MATCH($D342,MAP_TIPO,0)),"TIPO INVALIDO"))</f>
        <v/>
      </c>
      <c r="X342" s="35" t="str">
        <f aca="false">IF($K342="","",IFERROR(INDEX(CAT_NOME,MATCH($K342,CAT_ID,0)),"?"))</f>
        <v/>
      </c>
      <c r="Y342" s="35" t="str">
        <f aca="false">IF($L342="","",IFERROR(INDEX(SUB_NOME,MATCH($L342,SUB_ID,0)),"?"))</f>
        <v/>
      </c>
      <c r="Z342" s="35" t="str">
        <f aca="false">IF($G342="","",IF($G342="EXTERNO","(Externo)",IFERROR(INDEX(ENT_NOME,MATCH($H342,ENT_ID,0)),"?")))</f>
        <v/>
      </c>
      <c r="AA342" s="35" t="str">
        <f aca="false">IF($I342="","",IF($I342="EXTERNO","(Externo)",IFERROR(INDEX(ENT_NOME,MATCH($J342,ENT_ID,0)),"?")))</f>
        <v/>
      </c>
      <c r="AB342" s="36" t="n">
        <f aca="false">IF($B342="",0,IF(AND($I342="CONTA",$G342&lt;&gt;"CONTA"),$F342,0))</f>
        <v>0</v>
      </c>
      <c r="AC342" s="36" t="n">
        <f aca="false">IF($B342="",0,IF(AND($G342="CONTA",$I342&lt;&gt;"CONTA"),$F342,0))</f>
        <v>0</v>
      </c>
      <c r="AD342" s="36" t="n">
        <f aca="false">IF($W342="RECEITA",$F342,0)</f>
        <v>0</v>
      </c>
      <c r="AE342" s="36" t="n">
        <f aca="false">IF($W342="DESPESA",$F342,0)</f>
        <v>0</v>
      </c>
      <c r="AF342" s="36" t="n">
        <f aca="false">IF($W342="RECEITA_FINANCEIRA",$F342,0)</f>
        <v>0</v>
      </c>
      <c r="AG342" s="36" t="n">
        <f aca="false">IF($B342="",0,IF($I342="CONTA",$F342,0)-IF($G342="CONTA",$F342,0))</f>
        <v>0</v>
      </c>
      <c r="AH342" s="36" t="n">
        <f aca="false">IF($B342="",0,IF($G342="CARTAO",$F342,0)-IF($I342="CARTAO",$F342,0))</f>
        <v>0</v>
      </c>
      <c r="AI342" s="36" t="n">
        <f aca="false">IF($B342="",0,IF($I342="INVESTIMENTO",$F342,0)-IF($G342="INVESTIMENTO",$F342,0))</f>
        <v>0</v>
      </c>
      <c r="AJ342" s="35" t="str">
        <f aca="false">IF($B342="","",IF(NOT(ISNUMBER($F342)),"ERRO: valor nao numerico",IF($F342&lt;=0,"ERRO: valor deve ser maior que zero",IF(COUNTIF(MAP_TIPO,$D342)=0,"ERRO: tipo de operacao nao cadastrado",IF(COUNTIF(LST_STATUS,$E342)=0,"ERRO: status invalido",IF(AND($G342="EXTERNO",$I342="EXTERNO"),"ERRO: origem e destino externos",IF(AND($G342&lt;&gt;"EXTERNO",COUNTIFS(ENT_ID,$H342,ENT_TIPO,$G342)=0),"ERRO: origem inexistente",IF(AND($I342&lt;&gt;"EXTERNO",COUNTIFS(ENT_ID,$J342,ENT_TIPO,$I342)=0),"ERRO: destino inexistente",IF(AND($K342&lt;&gt;"",COUNTIF(CAT_ID,$K342)=0),"ERRO: categoria inexistente",IF(AND($L342&lt;&gt;"",COUNTIF(SUB_ID,$L342)=0),"ERRO: subcategoria inexistente",IF(AND($L342&lt;&gt;"",$K342&lt;&gt;"",IFERROR(INDEX(SUB_CATID,MATCH($L342,SUB_ID,0)),"")&lt;&gt;$K342),"ERRO: subcategoria nao pertence a categoria",IF(AND($O342&lt;&gt;"",COUNTIF(P_ID,$O342)=0),"ERRO: parcela inexistente",IF(AND($N342&lt;&gt;"",COUNTIF(CM_ID,$N342)=0),"ERRO: compromisso inexistente","OK")))))))))))))</f>
        <v/>
      </c>
      <c r="AK342" s="35" t="str">
        <f aca="false">IF($B342="","",IF(AND($N342="",$O342="",$P342="",$Q342="",$R342=""),"","VINCULADO: "&amp;TRIM(IF($N342&lt;&gt;"",$N342&amp;" ","")&amp;IF($O342&lt;&gt;"",$O342&amp;" ","")&amp;IF($P342&lt;&gt;"",$P342&amp;" ","")&amp;IF($Q342&lt;&gt;"",$Q342&amp;" ","")&amp;IF($R342&lt;&gt;"",$R342,""))))</f>
        <v/>
      </c>
    </row>
    <row r="343" customFormat="false" ht="15" hidden="false" customHeight="false" outlineLevel="0" collapsed="false">
      <c r="A343" s="30" t="str">
        <f aca="false">IF($B343="","","LAN-"&amp;TEXT(ROW()-4,"000000"))</f>
        <v/>
      </c>
      <c r="B343" s="31"/>
      <c r="C343" s="32"/>
      <c r="D343" s="32"/>
      <c r="E343" s="32"/>
      <c r="F343" s="33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4" t="str">
        <f aca="false">IF($B343="","",YEAR($B343))</f>
        <v/>
      </c>
      <c r="U343" s="34" t="str">
        <f aca="false">IF($B343="","",MONTH($B343))</f>
        <v/>
      </c>
      <c r="V343" s="34" t="str">
        <f aca="false">IF($B343="","",YEAR($B343)*100+MONTH($B343))</f>
        <v/>
      </c>
      <c r="W343" s="35" t="str">
        <f aca="false">IF($D343="","",IFERROR(INDEX(MAP_CLASS,MATCH($D343,MAP_TIPO,0)),"TIPO INVALIDO"))</f>
        <v/>
      </c>
      <c r="X343" s="35" t="str">
        <f aca="false">IF($K343="","",IFERROR(INDEX(CAT_NOME,MATCH($K343,CAT_ID,0)),"?"))</f>
        <v/>
      </c>
      <c r="Y343" s="35" t="str">
        <f aca="false">IF($L343="","",IFERROR(INDEX(SUB_NOME,MATCH($L343,SUB_ID,0)),"?"))</f>
        <v/>
      </c>
      <c r="Z343" s="35" t="str">
        <f aca="false">IF($G343="","",IF($G343="EXTERNO","(Externo)",IFERROR(INDEX(ENT_NOME,MATCH($H343,ENT_ID,0)),"?")))</f>
        <v/>
      </c>
      <c r="AA343" s="35" t="str">
        <f aca="false">IF($I343="","",IF($I343="EXTERNO","(Externo)",IFERROR(INDEX(ENT_NOME,MATCH($J343,ENT_ID,0)),"?")))</f>
        <v/>
      </c>
      <c r="AB343" s="36" t="n">
        <f aca="false">IF($B343="",0,IF(AND($I343="CONTA",$G343&lt;&gt;"CONTA"),$F343,0))</f>
        <v>0</v>
      </c>
      <c r="AC343" s="36" t="n">
        <f aca="false">IF($B343="",0,IF(AND($G343="CONTA",$I343&lt;&gt;"CONTA"),$F343,0))</f>
        <v>0</v>
      </c>
      <c r="AD343" s="36" t="n">
        <f aca="false">IF($W343="RECEITA",$F343,0)</f>
        <v>0</v>
      </c>
      <c r="AE343" s="36" t="n">
        <f aca="false">IF($W343="DESPESA",$F343,0)</f>
        <v>0</v>
      </c>
      <c r="AF343" s="36" t="n">
        <f aca="false">IF($W343="RECEITA_FINANCEIRA",$F343,0)</f>
        <v>0</v>
      </c>
      <c r="AG343" s="36" t="n">
        <f aca="false">IF($B343="",0,IF($I343="CONTA",$F343,0)-IF($G343="CONTA",$F343,0))</f>
        <v>0</v>
      </c>
      <c r="AH343" s="36" t="n">
        <f aca="false">IF($B343="",0,IF($G343="CARTAO",$F343,0)-IF($I343="CARTAO",$F343,0))</f>
        <v>0</v>
      </c>
      <c r="AI343" s="36" t="n">
        <f aca="false">IF($B343="",0,IF($I343="INVESTIMENTO",$F343,0)-IF($G343="INVESTIMENTO",$F343,0))</f>
        <v>0</v>
      </c>
      <c r="AJ343" s="35" t="str">
        <f aca="false">IF($B343="","",IF(NOT(ISNUMBER($F343)),"ERRO: valor nao numerico",IF($F343&lt;=0,"ERRO: valor deve ser maior que zero",IF(COUNTIF(MAP_TIPO,$D343)=0,"ERRO: tipo de operacao nao cadastrado",IF(COUNTIF(LST_STATUS,$E343)=0,"ERRO: status invalido",IF(AND($G343="EXTERNO",$I343="EXTERNO"),"ERRO: origem e destino externos",IF(AND($G343&lt;&gt;"EXTERNO",COUNTIFS(ENT_ID,$H343,ENT_TIPO,$G343)=0),"ERRO: origem inexistente",IF(AND($I343&lt;&gt;"EXTERNO",COUNTIFS(ENT_ID,$J343,ENT_TIPO,$I343)=0),"ERRO: destino inexistente",IF(AND($K343&lt;&gt;"",COUNTIF(CAT_ID,$K343)=0),"ERRO: categoria inexistente",IF(AND($L343&lt;&gt;"",COUNTIF(SUB_ID,$L343)=0),"ERRO: subcategoria inexistente",IF(AND($L343&lt;&gt;"",$K343&lt;&gt;"",IFERROR(INDEX(SUB_CATID,MATCH($L343,SUB_ID,0)),"")&lt;&gt;$K343),"ERRO: subcategoria nao pertence a categoria",IF(AND($O343&lt;&gt;"",COUNTIF(P_ID,$O343)=0),"ERRO: parcela inexistente",IF(AND($N343&lt;&gt;"",COUNTIF(CM_ID,$N343)=0),"ERRO: compromisso inexistente","OK")))))))))))))</f>
        <v/>
      </c>
      <c r="AK343" s="35" t="str">
        <f aca="false">IF($B343="","",IF(AND($N343="",$O343="",$P343="",$Q343="",$R343=""),"","VINCULADO: "&amp;TRIM(IF($N343&lt;&gt;"",$N343&amp;" ","")&amp;IF($O343&lt;&gt;"",$O343&amp;" ","")&amp;IF($P343&lt;&gt;"",$P343&amp;" ","")&amp;IF($Q343&lt;&gt;"",$Q343&amp;" ","")&amp;IF($R343&lt;&gt;"",$R343,""))))</f>
        <v/>
      </c>
    </row>
    <row r="344" customFormat="false" ht="15" hidden="false" customHeight="false" outlineLevel="0" collapsed="false">
      <c r="A344" s="30" t="str">
        <f aca="false">IF($B344="","","LAN-"&amp;TEXT(ROW()-4,"000000"))</f>
        <v/>
      </c>
      <c r="B344" s="31"/>
      <c r="C344" s="32"/>
      <c r="D344" s="32"/>
      <c r="E344" s="32"/>
      <c r="F344" s="33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4" t="str">
        <f aca="false">IF($B344="","",YEAR($B344))</f>
        <v/>
      </c>
      <c r="U344" s="34" t="str">
        <f aca="false">IF($B344="","",MONTH($B344))</f>
        <v/>
      </c>
      <c r="V344" s="34" t="str">
        <f aca="false">IF($B344="","",YEAR($B344)*100+MONTH($B344))</f>
        <v/>
      </c>
      <c r="W344" s="35" t="str">
        <f aca="false">IF($D344="","",IFERROR(INDEX(MAP_CLASS,MATCH($D344,MAP_TIPO,0)),"TIPO INVALIDO"))</f>
        <v/>
      </c>
      <c r="X344" s="35" t="str">
        <f aca="false">IF($K344="","",IFERROR(INDEX(CAT_NOME,MATCH($K344,CAT_ID,0)),"?"))</f>
        <v/>
      </c>
      <c r="Y344" s="35" t="str">
        <f aca="false">IF($L344="","",IFERROR(INDEX(SUB_NOME,MATCH($L344,SUB_ID,0)),"?"))</f>
        <v/>
      </c>
      <c r="Z344" s="35" t="str">
        <f aca="false">IF($G344="","",IF($G344="EXTERNO","(Externo)",IFERROR(INDEX(ENT_NOME,MATCH($H344,ENT_ID,0)),"?")))</f>
        <v/>
      </c>
      <c r="AA344" s="35" t="str">
        <f aca="false">IF($I344="","",IF($I344="EXTERNO","(Externo)",IFERROR(INDEX(ENT_NOME,MATCH($J344,ENT_ID,0)),"?")))</f>
        <v/>
      </c>
      <c r="AB344" s="36" t="n">
        <f aca="false">IF($B344="",0,IF(AND($I344="CONTA",$G344&lt;&gt;"CONTA"),$F344,0))</f>
        <v>0</v>
      </c>
      <c r="AC344" s="36" t="n">
        <f aca="false">IF($B344="",0,IF(AND($G344="CONTA",$I344&lt;&gt;"CONTA"),$F344,0))</f>
        <v>0</v>
      </c>
      <c r="AD344" s="36" t="n">
        <f aca="false">IF($W344="RECEITA",$F344,0)</f>
        <v>0</v>
      </c>
      <c r="AE344" s="36" t="n">
        <f aca="false">IF($W344="DESPESA",$F344,0)</f>
        <v>0</v>
      </c>
      <c r="AF344" s="36" t="n">
        <f aca="false">IF($W344="RECEITA_FINANCEIRA",$F344,0)</f>
        <v>0</v>
      </c>
      <c r="AG344" s="36" t="n">
        <f aca="false">IF($B344="",0,IF($I344="CONTA",$F344,0)-IF($G344="CONTA",$F344,0))</f>
        <v>0</v>
      </c>
      <c r="AH344" s="36" t="n">
        <f aca="false">IF($B344="",0,IF($G344="CARTAO",$F344,0)-IF($I344="CARTAO",$F344,0))</f>
        <v>0</v>
      </c>
      <c r="AI344" s="36" t="n">
        <f aca="false">IF($B344="",0,IF($I344="INVESTIMENTO",$F344,0)-IF($G344="INVESTIMENTO",$F344,0))</f>
        <v>0</v>
      </c>
      <c r="AJ344" s="35" t="str">
        <f aca="false">IF($B344="","",IF(NOT(ISNUMBER($F344)),"ERRO: valor nao numerico",IF($F344&lt;=0,"ERRO: valor deve ser maior que zero",IF(COUNTIF(MAP_TIPO,$D344)=0,"ERRO: tipo de operacao nao cadastrado",IF(COUNTIF(LST_STATUS,$E344)=0,"ERRO: status invalido",IF(AND($G344="EXTERNO",$I344="EXTERNO"),"ERRO: origem e destino externos",IF(AND($G344&lt;&gt;"EXTERNO",COUNTIFS(ENT_ID,$H344,ENT_TIPO,$G344)=0),"ERRO: origem inexistente",IF(AND($I344&lt;&gt;"EXTERNO",COUNTIFS(ENT_ID,$J344,ENT_TIPO,$I344)=0),"ERRO: destino inexistente",IF(AND($K344&lt;&gt;"",COUNTIF(CAT_ID,$K344)=0),"ERRO: categoria inexistente",IF(AND($L344&lt;&gt;"",COUNTIF(SUB_ID,$L344)=0),"ERRO: subcategoria inexistente",IF(AND($L344&lt;&gt;"",$K344&lt;&gt;"",IFERROR(INDEX(SUB_CATID,MATCH($L344,SUB_ID,0)),"")&lt;&gt;$K344),"ERRO: subcategoria nao pertence a categoria",IF(AND($O344&lt;&gt;"",COUNTIF(P_ID,$O344)=0),"ERRO: parcela inexistente",IF(AND($N344&lt;&gt;"",COUNTIF(CM_ID,$N344)=0),"ERRO: compromisso inexistente","OK")))))))))))))</f>
        <v/>
      </c>
      <c r="AK344" s="35" t="str">
        <f aca="false">IF($B344="","",IF(AND($N344="",$O344="",$P344="",$Q344="",$R344=""),"","VINCULADO: "&amp;TRIM(IF($N344&lt;&gt;"",$N344&amp;" ","")&amp;IF($O344&lt;&gt;"",$O344&amp;" ","")&amp;IF($P344&lt;&gt;"",$P344&amp;" ","")&amp;IF($Q344&lt;&gt;"",$Q344&amp;" ","")&amp;IF($R344&lt;&gt;"",$R344,""))))</f>
        <v/>
      </c>
    </row>
    <row r="345" customFormat="false" ht="15" hidden="false" customHeight="false" outlineLevel="0" collapsed="false">
      <c r="A345" s="30" t="str">
        <f aca="false">IF($B345="","","LAN-"&amp;TEXT(ROW()-4,"000000"))</f>
        <v/>
      </c>
      <c r="B345" s="31"/>
      <c r="C345" s="32"/>
      <c r="D345" s="32"/>
      <c r="E345" s="32"/>
      <c r="F345" s="33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4" t="str">
        <f aca="false">IF($B345="","",YEAR($B345))</f>
        <v/>
      </c>
      <c r="U345" s="34" t="str">
        <f aca="false">IF($B345="","",MONTH($B345))</f>
        <v/>
      </c>
      <c r="V345" s="34" t="str">
        <f aca="false">IF($B345="","",YEAR($B345)*100+MONTH($B345))</f>
        <v/>
      </c>
      <c r="W345" s="35" t="str">
        <f aca="false">IF($D345="","",IFERROR(INDEX(MAP_CLASS,MATCH($D345,MAP_TIPO,0)),"TIPO INVALIDO"))</f>
        <v/>
      </c>
      <c r="X345" s="35" t="str">
        <f aca="false">IF($K345="","",IFERROR(INDEX(CAT_NOME,MATCH($K345,CAT_ID,0)),"?"))</f>
        <v/>
      </c>
      <c r="Y345" s="35" t="str">
        <f aca="false">IF($L345="","",IFERROR(INDEX(SUB_NOME,MATCH($L345,SUB_ID,0)),"?"))</f>
        <v/>
      </c>
      <c r="Z345" s="35" t="str">
        <f aca="false">IF($G345="","",IF($G345="EXTERNO","(Externo)",IFERROR(INDEX(ENT_NOME,MATCH($H345,ENT_ID,0)),"?")))</f>
        <v/>
      </c>
      <c r="AA345" s="35" t="str">
        <f aca="false">IF($I345="","",IF($I345="EXTERNO","(Externo)",IFERROR(INDEX(ENT_NOME,MATCH($J345,ENT_ID,0)),"?")))</f>
        <v/>
      </c>
      <c r="AB345" s="36" t="n">
        <f aca="false">IF($B345="",0,IF(AND($I345="CONTA",$G345&lt;&gt;"CONTA"),$F345,0))</f>
        <v>0</v>
      </c>
      <c r="AC345" s="36" t="n">
        <f aca="false">IF($B345="",0,IF(AND($G345="CONTA",$I345&lt;&gt;"CONTA"),$F345,0))</f>
        <v>0</v>
      </c>
      <c r="AD345" s="36" t="n">
        <f aca="false">IF($W345="RECEITA",$F345,0)</f>
        <v>0</v>
      </c>
      <c r="AE345" s="36" t="n">
        <f aca="false">IF($W345="DESPESA",$F345,0)</f>
        <v>0</v>
      </c>
      <c r="AF345" s="36" t="n">
        <f aca="false">IF($W345="RECEITA_FINANCEIRA",$F345,0)</f>
        <v>0</v>
      </c>
      <c r="AG345" s="36" t="n">
        <f aca="false">IF($B345="",0,IF($I345="CONTA",$F345,0)-IF($G345="CONTA",$F345,0))</f>
        <v>0</v>
      </c>
      <c r="AH345" s="36" t="n">
        <f aca="false">IF($B345="",0,IF($G345="CARTAO",$F345,0)-IF($I345="CARTAO",$F345,0))</f>
        <v>0</v>
      </c>
      <c r="AI345" s="36" t="n">
        <f aca="false">IF($B345="",0,IF($I345="INVESTIMENTO",$F345,0)-IF($G345="INVESTIMENTO",$F345,0))</f>
        <v>0</v>
      </c>
      <c r="AJ345" s="35" t="str">
        <f aca="false">IF($B345="","",IF(NOT(ISNUMBER($F345)),"ERRO: valor nao numerico",IF($F345&lt;=0,"ERRO: valor deve ser maior que zero",IF(COUNTIF(MAP_TIPO,$D345)=0,"ERRO: tipo de operacao nao cadastrado",IF(COUNTIF(LST_STATUS,$E345)=0,"ERRO: status invalido",IF(AND($G345="EXTERNO",$I345="EXTERNO"),"ERRO: origem e destino externos",IF(AND($G345&lt;&gt;"EXTERNO",COUNTIFS(ENT_ID,$H345,ENT_TIPO,$G345)=0),"ERRO: origem inexistente",IF(AND($I345&lt;&gt;"EXTERNO",COUNTIFS(ENT_ID,$J345,ENT_TIPO,$I345)=0),"ERRO: destino inexistente",IF(AND($K345&lt;&gt;"",COUNTIF(CAT_ID,$K345)=0),"ERRO: categoria inexistente",IF(AND($L345&lt;&gt;"",COUNTIF(SUB_ID,$L345)=0),"ERRO: subcategoria inexistente",IF(AND($L345&lt;&gt;"",$K345&lt;&gt;"",IFERROR(INDEX(SUB_CATID,MATCH($L345,SUB_ID,0)),"")&lt;&gt;$K345),"ERRO: subcategoria nao pertence a categoria",IF(AND($O345&lt;&gt;"",COUNTIF(P_ID,$O345)=0),"ERRO: parcela inexistente",IF(AND($N345&lt;&gt;"",COUNTIF(CM_ID,$N345)=0),"ERRO: compromisso inexistente","OK")))))))))))))</f>
        <v/>
      </c>
      <c r="AK345" s="35" t="str">
        <f aca="false">IF($B345="","",IF(AND($N345="",$O345="",$P345="",$Q345="",$R345=""),"","VINCULADO: "&amp;TRIM(IF($N345&lt;&gt;"",$N345&amp;" ","")&amp;IF($O345&lt;&gt;"",$O345&amp;" ","")&amp;IF($P345&lt;&gt;"",$P345&amp;" ","")&amp;IF($Q345&lt;&gt;"",$Q345&amp;" ","")&amp;IF($R345&lt;&gt;"",$R345,""))))</f>
        <v/>
      </c>
    </row>
    <row r="346" customFormat="false" ht="15" hidden="false" customHeight="false" outlineLevel="0" collapsed="false">
      <c r="A346" s="30" t="str">
        <f aca="false">IF($B346="","","LAN-"&amp;TEXT(ROW()-4,"000000"))</f>
        <v/>
      </c>
      <c r="B346" s="31"/>
      <c r="C346" s="32"/>
      <c r="D346" s="32"/>
      <c r="E346" s="32"/>
      <c r="F346" s="33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4" t="str">
        <f aca="false">IF($B346="","",YEAR($B346))</f>
        <v/>
      </c>
      <c r="U346" s="34" t="str">
        <f aca="false">IF($B346="","",MONTH($B346))</f>
        <v/>
      </c>
      <c r="V346" s="34" t="str">
        <f aca="false">IF($B346="","",YEAR($B346)*100+MONTH($B346))</f>
        <v/>
      </c>
      <c r="W346" s="35" t="str">
        <f aca="false">IF($D346="","",IFERROR(INDEX(MAP_CLASS,MATCH($D346,MAP_TIPO,0)),"TIPO INVALIDO"))</f>
        <v/>
      </c>
      <c r="X346" s="35" t="str">
        <f aca="false">IF($K346="","",IFERROR(INDEX(CAT_NOME,MATCH($K346,CAT_ID,0)),"?"))</f>
        <v/>
      </c>
      <c r="Y346" s="35" t="str">
        <f aca="false">IF($L346="","",IFERROR(INDEX(SUB_NOME,MATCH($L346,SUB_ID,0)),"?"))</f>
        <v/>
      </c>
      <c r="Z346" s="35" t="str">
        <f aca="false">IF($G346="","",IF($G346="EXTERNO","(Externo)",IFERROR(INDEX(ENT_NOME,MATCH($H346,ENT_ID,0)),"?")))</f>
        <v/>
      </c>
      <c r="AA346" s="35" t="str">
        <f aca="false">IF($I346="","",IF($I346="EXTERNO","(Externo)",IFERROR(INDEX(ENT_NOME,MATCH($J346,ENT_ID,0)),"?")))</f>
        <v/>
      </c>
      <c r="AB346" s="36" t="n">
        <f aca="false">IF($B346="",0,IF(AND($I346="CONTA",$G346&lt;&gt;"CONTA"),$F346,0))</f>
        <v>0</v>
      </c>
      <c r="AC346" s="36" t="n">
        <f aca="false">IF($B346="",0,IF(AND($G346="CONTA",$I346&lt;&gt;"CONTA"),$F346,0))</f>
        <v>0</v>
      </c>
      <c r="AD346" s="36" t="n">
        <f aca="false">IF($W346="RECEITA",$F346,0)</f>
        <v>0</v>
      </c>
      <c r="AE346" s="36" t="n">
        <f aca="false">IF($W346="DESPESA",$F346,0)</f>
        <v>0</v>
      </c>
      <c r="AF346" s="36" t="n">
        <f aca="false">IF($W346="RECEITA_FINANCEIRA",$F346,0)</f>
        <v>0</v>
      </c>
      <c r="AG346" s="36" t="n">
        <f aca="false">IF($B346="",0,IF($I346="CONTA",$F346,0)-IF($G346="CONTA",$F346,0))</f>
        <v>0</v>
      </c>
      <c r="AH346" s="36" t="n">
        <f aca="false">IF($B346="",0,IF($G346="CARTAO",$F346,0)-IF($I346="CARTAO",$F346,0))</f>
        <v>0</v>
      </c>
      <c r="AI346" s="36" t="n">
        <f aca="false">IF($B346="",0,IF($I346="INVESTIMENTO",$F346,0)-IF($G346="INVESTIMENTO",$F346,0))</f>
        <v>0</v>
      </c>
      <c r="AJ346" s="35" t="str">
        <f aca="false">IF($B346="","",IF(NOT(ISNUMBER($F346)),"ERRO: valor nao numerico",IF($F346&lt;=0,"ERRO: valor deve ser maior que zero",IF(COUNTIF(MAP_TIPO,$D346)=0,"ERRO: tipo de operacao nao cadastrado",IF(COUNTIF(LST_STATUS,$E346)=0,"ERRO: status invalido",IF(AND($G346="EXTERNO",$I346="EXTERNO"),"ERRO: origem e destino externos",IF(AND($G346&lt;&gt;"EXTERNO",COUNTIFS(ENT_ID,$H346,ENT_TIPO,$G346)=0),"ERRO: origem inexistente",IF(AND($I346&lt;&gt;"EXTERNO",COUNTIFS(ENT_ID,$J346,ENT_TIPO,$I346)=0),"ERRO: destino inexistente",IF(AND($K346&lt;&gt;"",COUNTIF(CAT_ID,$K346)=0),"ERRO: categoria inexistente",IF(AND($L346&lt;&gt;"",COUNTIF(SUB_ID,$L346)=0),"ERRO: subcategoria inexistente",IF(AND($L346&lt;&gt;"",$K346&lt;&gt;"",IFERROR(INDEX(SUB_CATID,MATCH($L346,SUB_ID,0)),"")&lt;&gt;$K346),"ERRO: subcategoria nao pertence a categoria",IF(AND($O346&lt;&gt;"",COUNTIF(P_ID,$O346)=0),"ERRO: parcela inexistente",IF(AND($N346&lt;&gt;"",COUNTIF(CM_ID,$N346)=0),"ERRO: compromisso inexistente","OK")))))))))))))</f>
        <v/>
      </c>
      <c r="AK346" s="35" t="str">
        <f aca="false">IF($B346="","",IF(AND($N346="",$O346="",$P346="",$Q346="",$R346=""),"","VINCULADO: "&amp;TRIM(IF($N346&lt;&gt;"",$N346&amp;" ","")&amp;IF($O346&lt;&gt;"",$O346&amp;" ","")&amp;IF($P346&lt;&gt;"",$P346&amp;" ","")&amp;IF($Q346&lt;&gt;"",$Q346&amp;" ","")&amp;IF($R346&lt;&gt;"",$R346,""))))</f>
        <v/>
      </c>
    </row>
    <row r="347" customFormat="false" ht="15" hidden="false" customHeight="false" outlineLevel="0" collapsed="false">
      <c r="A347" s="30" t="str">
        <f aca="false">IF($B347="","","LAN-"&amp;TEXT(ROW()-4,"000000"))</f>
        <v/>
      </c>
      <c r="B347" s="31"/>
      <c r="C347" s="32"/>
      <c r="D347" s="32"/>
      <c r="E347" s="32"/>
      <c r="F347" s="33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4" t="str">
        <f aca="false">IF($B347="","",YEAR($B347))</f>
        <v/>
      </c>
      <c r="U347" s="34" t="str">
        <f aca="false">IF($B347="","",MONTH($B347))</f>
        <v/>
      </c>
      <c r="V347" s="34" t="str">
        <f aca="false">IF($B347="","",YEAR($B347)*100+MONTH($B347))</f>
        <v/>
      </c>
      <c r="W347" s="35" t="str">
        <f aca="false">IF($D347="","",IFERROR(INDEX(MAP_CLASS,MATCH($D347,MAP_TIPO,0)),"TIPO INVALIDO"))</f>
        <v/>
      </c>
      <c r="X347" s="35" t="str">
        <f aca="false">IF($K347="","",IFERROR(INDEX(CAT_NOME,MATCH($K347,CAT_ID,0)),"?"))</f>
        <v/>
      </c>
      <c r="Y347" s="35" t="str">
        <f aca="false">IF($L347="","",IFERROR(INDEX(SUB_NOME,MATCH($L347,SUB_ID,0)),"?"))</f>
        <v/>
      </c>
      <c r="Z347" s="35" t="str">
        <f aca="false">IF($G347="","",IF($G347="EXTERNO","(Externo)",IFERROR(INDEX(ENT_NOME,MATCH($H347,ENT_ID,0)),"?")))</f>
        <v/>
      </c>
      <c r="AA347" s="35" t="str">
        <f aca="false">IF($I347="","",IF($I347="EXTERNO","(Externo)",IFERROR(INDEX(ENT_NOME,MATCH($J347,ENT_ID,0)),"?")))</f>
        <v/>
      </c>
      <c r="AB347" s="36" t="n">
        <f aca="false">IF($B347="",0,IF(AND($I347="CONTA",$G347&lt;&gt;"CONTA"),$F347,0))</f>
        <v>0</v>
      </c>
      <c r="AC347" s="36" t="n">
        <f aca="false">IF($B347="",0,IF(AND($G347="CONTA",$I347&lt;&gt;"CONTA"),$F347,0))</f>
        <v>0</v>
      </c>
      <c r="AD347" s="36" t="n">
        <f aca="false">IF($W347="RECEITA",$F347,0)</f>
        <v>0</v>
      </c>
      <c r="AE347" s="36" t="n">
        <f aca="false">IF($W347="DESPESA",$F347,0)</f>
        <v>0</v>
      </c>
      <c r="AF347" s="36" t="n">
        <f aca="false">IF($W347="RECEITA_FINANCEIRA",$F347,0)</f>
        <v>0</v>
      </c>
      <c r="AG347" s="36" t="n">
        <f aca="false">IF($B347="",0,IF($I347="CONTA",$F347,0)-IF($G347="CONTA",$F347,0))</f>
        <v>0</v>
      </c>
      <c r="AH347" s="36" t="n">
        <f aca="false">IF($B347="",0,IF($G347="CARTAO",$F347,0)-IF($I347="CARTAO",$F347,0))</f>
        <v>0</v>
      </c>
      <c r="AI347" s="36" t="n">
        <f aca="false">IF($B347="",0,IF($I347="INVESTIMENTO",$F347,0)-IF($G347="INVESTIMENTO",$F347,0))</f>
        <v>0</v>
      </c>
      <c r="AJ347" s="35" t="str">
        <f aca="false">IF($B347="","",IF(NOT(ISNUMBER($F347)),"ERRO: valor nao numerico",IF($F347&lt;=0,"ERRO: valor deve ser maior que zero",IF(COUNTIF(MAP_TIPO,$D347)=0,"ERRO: tipo de operacao nao cadastrado",IF(COUNTIF(LST_STATUS,$E347)=0,"ERRO: status invalido",IF(AND($G347="EXTERNO",$I347="EXTERNO"),"ERRO: origem e destino externos",IF(AND($G347&lt;&gt;"EXTERNO",COUNTIFS(ENT_ID,$H347,ENT_TIPO,$G347)=0),"ERRO: origem inexistente",IF(AND($I347&lt;&gt;"EXTERNO",COUNTIFS(ENT_ID,$J347,ENT_TIPO,$I347)=0),"ERRO: destino inexistente",IF(AND($K347&lt;&gt;"",COUNTIF(CAT_ID,$K347)=0),"ERRO: categoria inexistente",IF(AND($L347&lt;&gt;"",COUNTIF(SUB_ID,$L347)=0),"ERRO: subcategoria inexistente",IF(AND($L347&lt;&gt;"",$K347&lt;&gt;"",IFERROR(INDEX(SUB_CATID,MATCH($L347,SUB_ID,0)),"")&lt;&gt;$K347),"ERRO: subcategoria nao pertence a categoria",IF(AND($O347&lt;&gt;"",COUNTIF(P_ID,$O347)=0),"ERRO: parcela inexistente",IF(AND($N347&lt;&gt;"",COUNTIF(CM_ID,$N347)=0),"ERRO: compromisso inexistente","OK")))))))))))))</f>
        <v/>
      </c>
      <c r="AK347" s="35" t="str">
        <f aca="false">IF($B347="","",IF(AND($N347="",$O347="",$P347="",$Q347="",$R347=""),"","VINCULADO: "&amp;TRIM(IF($N347&lt;&gt;"",$N347&amp;" ","")&amp;IF($O347&lt;&gt;"",$O347&amp;" ","")&amp;IF($P347&lt;&gt;"",$P347&amp;" ","")&amp;IF($Q347&lt;&gt;"",$Q347&amp;" ","")&amp;IF($R347&lt;&gt;"",$R347,""))))</f>
        <v/>
      </c>
    </row>
    <row r="348" customFormat="false" ht="15" hidden="false" customHeight="false" outlineLevel="0" collapsed="false">
      <c r="A348" s="30" t="str">
        <f aca="false">IF($B348="","","LAN-"&amp;TEXT(ROW()-4,"000000"))</f>
        <v/>
      </c>
      <c r="B348" s="31"/>
      <c r="C348" s="32"/>
      <c r="D348" s="32"/>
      <c r="E348" s="32"/>
      <c r="F348" s="33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4" t="str">
        <f aca="false">IF($B348="","",YEAR($B348))</f>
        <v/>
      </c>
      <c r="U348" s="34" t="str">
        <f aca="false">IF($B348="","",MONTH($B348))</f>
        <v/>
      </c>
      <c r="V348" s="34" t="str">
        <f aca="false">IF($B348="","",YEAR($B348)*100+MONTH($B348))</f>
        <v/>
      </c>
      <c r="W348" s="35" t="str">
        <f aca="false">IF($D348="","",IFERROR(INDEX(MAP_CLASS,MATCH($D348,MAP_TIPO,0)),"TIPO INVALIDO"))</f>
        <v/>
      </c>
      <c r="X348" s="35" t="str">
        <f aca="false">IF($K348="","",IFERROR(INDEX(CAT_NOME,MATCH($K348,CAT_ID,0)),"?"))</f>
        <v/>
      </c>
      <c r="Y348" s="35" t="str">
        <f aca="false">IF($L348="","",IFERROR(INDEX(SUB_NOME,MATCH($L348,SUB_ID,0)),"?"))</f>
        <v/>
      </c>
      <c r="Z348" s="35" t="str">
        <f aca="false">IF($G348="","",IF($G348="EXTERNO","(Externo)",IFERROR(INDEX(ENT_NOME,MATCH($H348,ENT_ID,0)),"?")))</f>
        <v/>
      </c>
      <c r="AA348" s="35" t="str">
        <f aca="false">IF($I348="","",IF($I348="EXTERNO","(Externo)",IFERROR(INDEX(ENT_NOME,MATCH($J348,ENT_ID,0)),"?")))</f>
        <v/>
      </c>
      <c r="AB348" s="36" t="n">
        <f aca="false">IF($B348="",0,IF(AND($I348="CONTA",$G348&lt;&gt;"CONTA"),$F348,0))</f>
        <v>0</v>
      </c>
      <c r="AC348" s="36" t="n">
        <f aca="false">IF($B348="",0,IF(AND($G348="CONTA",$I348&lt;&gt;"CONTA"),$F348,0))</f>
        <v>0</v>
      </c>
      <c r="AD348" s="36" t="n">
        <f aca="false">IF($W348="RECEITA",$F348,0)</f>
        <v>0</v>
      </c>
      <c r="AE348" s="36" t="n">
        <f aca="false">IF($W348="DESPESA",$F348,0)</f>
        <v>0</v>
      </c>
      <c r="AF348" s="36" t="n">
        <f aca="false">IF($W348="RECEITA_FINANCEIRA",$F348,0)</f>
        <v>0</v>
      </c>
      <c r="AG348" s="36" t="n">
        <f aca="false">IF($B348="",0,IF($I348="CONTA",$F348,0)-IF($G348="CONTA",$F348,0))</f>
        <v>0</v>
      </c>
      <c r="AH348" s="36" t="n">
        <f aca="false">IF($B348="",0,IF($G348="CARTAO",$F348,0)-IF($I348="CARTAO",$F348,0))</f>
        <v>0</v>
      </c>
      <c r="AI348" s="36" t="n">
        <f aca="false">IF($B348="",0,IF($I348="INVESTIMENTO",$F348,0)-IF($G348="INVESTIMENTO",$F348,0))</f>
        <v>0</v>
      </c>
      <c r="AJ348" s="35" t="str">
        <f aca="false">IF($B348="","",IF(NOT(ISNUMBER($F348)),"ERRO: valor nao numerico",IF($F348&lt;=0,"ERRO: valor deve ser maior que zero",IF(COUNTIF(MAP_TIPO,$D348)=0,"ERRO: tipo de operacao nao cadastrado",IF(COUNTIF(LST_STATUS,$E348)=0,"ERRO: status invalido",IF(AND($G348="EXTERNO",$I348="EXTERNO"),"ERRO: origem e destino externos",IF(AND($G348&lt;&gt;"EXTERNO",COUNTIFS(ENT_ID,$H348,ENT_TIPO,$G348)=0),"ERRO: origem inexistente",IF(AND($I348&lt;&gt;"EXTERNO",COUNTIFS(ENT_ID,$J348,ENT_TIPO,$I348)=0),"ERRO: destino inexistente",IF(AND($K348&lt;&gt;"",COUNTIF(CAT_ID,$K348)=0),"ERRO: categoria inexistente",IF(AND($L348&lt;&gt;"",COUNTIF(SUB_ID,$L348)=0),"ERRO: subcategoria inexistente",IF(AND($L348&lt;&gt;"",$K348&lt;&gt;"",IFERROR(INDEX(SUB_CATID,MATCH($L348,SUB_ID,0)),"")&lt;&gt;$K348),"ERRO: subcategoria nao pertence a categoria",IF(AND($O348&lt;&gt;"",COUNTIF(P_ID,$O348)=0),"ERRO: parcela inexistente",IF(AND($N348&lt;&gt;"",COUNTIF(CM_ID,$N348)=0),"ERRO: compromisso inexistente","OK")))))))))))))</f>
        <v/>
      </c>
      <c r="AK348" s="35" t="str">
        <f aca="false">IF($B348="","",IF(AND($N348="",$O348="",$P348="",$Q348="",$R348=""),"","VINCULADO: "&amp;TRIM(IF($N348&lt;&gt;"",$N348&amp;" ","")&amp;IF($O348&lt;&gt;"",$O348&amp;" ","")&amp;IF($P348&lt;&gt;"",$P348&amp;" ","")&amp;IF($Q348&lt;&gt;"",$Q348&amp;" ","")&amp;IF($R348&lt;&gt;"",$R348,""))))</f>
        <v/>
      </c>
    </row>
    <row r="349" customFormat="false" ht="15" hidden="false" customHeight="false" outlineLevel="0" collapsed="false">
      <c r="A349" s="30" t="str">
        <f aca="false">IF($B349="","","LAN-"&amp;TEXT(ROW()-4,"000000"))</f>
        <v/>
      </c>
      <c r="B349" s="31"/>
      <c r="C349" s="32"/>
      <c r="D349" s="32"/>
      <c r="E349" s="32"/>
      <c r="F349" s="33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4" t="str">
        <f aca="false">IF($B349="","",YEAR($B349))</f>
        <v/>
      </c>
      <c r="U349" s="34" t="str">
        <f aca="false">IF($B349="","",MONTH($B349))</f>
        <v/>
      </c>
      <c r="V349" s="34" t="str">
        <f aca="false">IF($B349="","",YEAR($B349)*100+MONTH($B349))</f>
        <v/>
      </c>
      <c r="W349" s="35" t="str">
        <f aca="false">IF($D349="","",IFERROR(INDEX(MAP_CLASS,MATCH($D349,MAP_TIPO,0)),"TIPO INVALIDO"))</f>
        <v/>
      </c>
      <c r="X349" s="35" t="str">
        <f aca="false">IF($K349="","",IFERROR(INDEX(CAT_NOME,MATCH($K349,CAT_ID,0)),"?"))</f>
        <v/>
      </c>
      <c r="Y349" s="35" t="str">
        <f aca="false">IF($L349="","",IFERROR(INDEX(SUB_NOME,MATCH($L349,SUB_ID,0)),"?"))</f>
        <v/>
      </c>
      <c r="Z349" s="35" t="str">
        <f aca="false">IF($G349="","",IF($G349="EXTERNO","(Externo)",IFERROR(INDEX(ENT_NOME,MATCH($H349,ENT_ID,0)),"?")))</f>
        <v/>
      </c>
      <c r="AA349" s="35" t="str">
        <f aca="false">IF($I349="","",IF($I349="EXTERNO","(Externo)",IFERROR(INDEX(ENT_NOME,MATCH($J349,ENT_ID,0)),"?")))</f>
        <v/>
      </c>
      <c r="AB349" s="36" t="n">
        <f aca="false">IF($B349="",0,IF(AND($I349="CONTA",$G349&lt;&gt;"CONTA"),$F349,0))</f>
        <v>0</v>
      </c>
      <c r="AC349" s="36" t="n">
        <f aca="false">IF($B349="",0,IF(AND($G349="CONTA",$I349&lt;&gt;"CONTA"),$F349,0))</f>
        <v>0</v>
      </c>
      <c r="AD349" s="36" t="n">
        <f aca="false">IF($W349="RECEITA",$F349,0)</f>
        <v>0</v>
      </c>
      <c r="AE349" s="36" t="n">
        <f aca="false">IF($W349="DESPESA",$F349,0)</f>
        <v>0</v>
      </c>
      <c r="AF349" s="36" t="n">
        <f aca="false">IF($W349="RECEITA_FINANCEIRA",$F349,0)</f>
        <v>0</v>
      </c>
      <c r="AG349" s="36" t="n">
        <f aca="false">IF($B349="",0,IF($I349="CONTA",$F349,0)-IF($G349="CONTA",$F349,0))</f>
        <v>0</v>
      </c>
      <c r="AH349" s="36" t="n">
        <f aca="false">IF($B349="",0,IF($G349="CARTAO",$F349,0)-IF($I349="CARTAO",$F349,0))</f>
        <v>0</v>
      </c>
      <c r="AI349" s="36" t="n">
        <f aca="false">IF($B349="",0,IF($I349="INVESTIMENTO",$F349,0)-IF($G349="INVESTIMENTO",$F349,0))</f>
        <v>0</v>
      </c>
      <c r="AJ349" s="35" t="str">
        <f aca="false">IF($B349="","",IF(NOT(ISNUMBER($F349)),"ERRO: valor nao numerico",IF($F349&lt;=0,"ERRO: valor deve ser maior que zero",IF(COUNTIF(MAP_TIPO,$D349)=0,"ERRO: tipo de operacao nao cadastrado",IF(COUNTIF(LST_STATUS,$E349)=0,"ERRO: status invalido",IF(AND($G349="EXTERNO",$I349="EXTERNO"),"ERRO: origem e destino externos",IF(AND($G349&lt;&gt;"EXTERNO",COUNTIFS(ENT_ID,$H349,ENT_TIPO,$G349)=0),"ERRO: origem inexistente",IF(AND($I349&lt;&gt;"EXTERNO",COUNTIFS(ENT_ID,$J349,ENT_TIPO,$I349)=0),"ERRO: destino inexistente",IF(AND($K349&lt;&gt;"",COUNTIF(CAT_ID,$K349)=0),"ERRO: categoria inexistente",IF(AND($L349&lt;&gt;"",COUNTIF(SUB_ID,$L349)=0),"ERRO: subcategoria inexistente",IF(AND($L349&lt;&gt;"",$K349&lt;&gt;"",IFERROR(INDEX(SUB_CATID,MATCH($L349,SUB_ID,0)),"")&lt;&gt;$K349),"ERRO: subcategoria nao pertence a categoria",IF(AND($O349&lt;&gt;"",COUNTIF(P_ID,$O349)=0),"ERRO: parcela inexistente",IF(AND($N349&lt;&gt;"",COUNTIF(CM_ID,$N349)=0),"ERRO: compromisso inexistente","OK")))))))))))))</f>
        <v/>
      </c>
      <c r="AK349" s="35" t="str">
        <f aca="false">IF($B349="","",IF(AND($N349="",$O349="",$P349="",$Q349="",$R349=""),"","VINCULADO: "&amp;TRIM(IF($N349&lt;&gt;"",$N349&amp;" ","")&amp;IF($O349&lt;&gt;"",$O349&amp;" ","")&amp;IF($P349&lt;&gt;"",$P349&amp;" ","")&amp;IF($Q349&lt;&gt;"",$Q349&amp;" ","")&amp;IF($R349&lt;&gt;"",$R349,""))))</f>
        <v/>
      </c>
    </row>
    <row r="350" customFormat="false" ht="15" hidden="false" customHeight="false" outlineLevel="0" collapsed="false">
      <c r="A350" s="30" t="str">
        <f aca="false">IF($B350="","","LAN-"&amp;TEXT(ROW()-4,"000000"))</f>
        <v/>
      </c>
      <c r="B350" s="31"/>
      <c r="C350" s="32"/>
      <c r="D350" s="32"/>
      <c r="E350" s="32"/>
      <c r="F350" s="33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4" t="str">
        <f aca="false">IF($B350="","",YEAR($B350))</f>
        <v/>
      </c>
      <c r="U350" s="34" t="str">
        <f aca="false">IF($B350="","",MONTH($B350))</f>
        <v/>
      </c>
      <c r="V350" s="34" t="str">
        <f aca="false">IF($B350="","",YEAR($B350)*100+MONTH($B350))</f>
        <v/>
      </c>
      <c r="W350" s="35" t="str">
        <f aca="false">IF($D350="","",IFERROR(INDEX(MAP_CLASS,MATCH($D350,MAP_TIPO,0)),"TIPO INVALIDO"))</f>
        <v/>
      </c>
      <c r="X350" s="35" t="str">
        <f aca="false">IF($K350="","",IFERROR(INDEX(CAT_NOME,MATCH($K350,CAT_ID,0)),"?"))</f>
        <v/>
      </c>
      <c r="Y350" s="35" t="str">
        <f aca="false">IF($L350="","",IFERROR(INDEX(SUB_NOME,MATCH($L350,SUB_ID,0)),"?"))</f>
        <v/>
      </c>
      <c r="Z350" s="35" t="str">
        <f aca="false">IF($G350="","",IF($G350="EXTERNO","(Externo)",IFERROR(INDEX(ENT_NOME,MATCH($H350,ENT_ID,0)),"?")))</f>
        <v/>
      </c>
      <c r="AA350" s="35" t="str">
        <f aca="false">IF($I350="","",IF($I350="EXTERNO","(Externo)",IFERROR(INDEX(ENT_NOME,MATCH($J350,ENT_ID,0)),"?")))</f>
        <v/>
      </c>
      <c r="AB350" s="36" t="n">
        <f aca="false">IF($B350="",0,IF(AND($I350="CONTA",$G350&lt;&gt;"CONTA"),$F350,0))</f>
        <v>0</v>
      </c>
      <c r="AC350" s="36" t="n">
        <f aca="false">IF($B350="",0,IF(AND($G350="CONTA",$I350&lt;&gt;"CONTA"),$F350,0))</f>
        <v>0</v>
      </c>
      <c r="AD350" s="36" t="n">
        <f aca="false">IF($W350="RECEITA",$F350,0)</f>
        <v>0</v>
      </c>
      <c r="AE350" s="36" t="n">
        <f aca="false">IF($W350="DESPESA",$F350,0)</f>
        <v>0</v>
      </c>
      <c r="AF350" s="36" t="n">
        <f aca="false">IF($W350="RECEITA_FINANCEIRA",$F350,0)</f>
        <v>0</v>
      </c>
      <c r="AG350" s="36" t="n">
        <f aca="false">IF($B350="",0,IF($I350="CONTA",$F350,0)-IF($G350="CONTA",$F350,0))</f>
        <v>0</v>
      </c>
      <c r="AH350" s="36" t="n">
        <f aca="false">IF($B350="",0,IF($G350="CARTAO",$F350,0)-IF($I350="CARTAO",$F350,0))</f>
        <v>0</v>
      </c>
      <c r="AI350" s="36" t="n">
        <f aca="false">IF($B350="",0,IF($I350="INVESTIMENTO",$F350,0)-IF($G350="INVESTIMENTO",$F350,0))</f>
        <v>0</v>
      </c>
      <c r="AJ350" s="35" t="str">
        <f aca="false">IF($B350="","",IF(NOT(ISNUMBER($F350)),"ERRO: valor nao numerico",IF($F350&lt;=0,"ERRO: valor deve ser maior que zero",IF(COUNTIF(MAP_TIPO,$D350)=0,"ERRO: tipo de operacao nao cadastrado",IF(COUNTIF(LST_STATUS,$E350)=0,"ERRO: status invalido",IF(AND($G350="EXTERNO",$I350="EXTERNO"),"ERRO: origem e destino externos",IF(AND($G350&lt;&gt;"EXTERNO",COUNTIFS(ENT_ID,$H350,ENT_TIPO,$G350)=0),"ERRO: origem inexistente",IF(AND($I350&lt;&gt;"EXTERNO",COUNTIFS(ENT_ID,$J350,ENT_TIPO,$I350)=0),"ERRO: destino inexistente",IF(AND($K350&lt;&gt;"",COUNTIF(CAT_ID,$K350)=0),"ERRO: categoria inexistente",IF(AND($L350&lt;&gt;"",COUNTIF(SUB_ID,$L350)=0),"ERRO: subcategoria inexistente",IF(AND($L350&lt;&gt;"",$K350&lt;&gt;"",IFERROR(INDEX(SUB_CATID,MATCH($L350,SUB_ID,0)),"")&lt;&gt;$K350),"ERRO: subcategoria nao pertence a categoria",IF(AND($O350&lt;&gt;"",COUNTIF(P_ID,$O350)=0),"ERRO: parcela inexistente",IF(AND($N350&lt;&gt;"",COUNTIF(CM_ID,$N350)=0),"ERRO: compromisso inexistente","OK")))))))))))))</f>
        <v/>
      </c>
      <c r="AK350" s="35" t="str">
        <f aca="false">IF($B350="","",IF(AND($N350="",$O350="",$P350="",$Q350="",$R350=""),"","VINCULADO: "&amp;TRIM(IF($N350&lt;&gt;"",$N350&amp;" ","")&amp;IF($O350&lt;&gt;"",$O350&amp;" ","")&amp;IF($P350&lt;&gt;"",$P350&amp;" ","")&amp;IF($Q350&lt;&gt;"",$Q350&amp;" ","")&amp;IF($R350&lt;&gt;"",$R350,""))))</f>
        <v/>
      </c>
    </row>
    <row r="351" customFormat="false" ht="15" hidden="false" customHeight="false" outlineLevel="0" collapsed="false">
      <c r="A351" s="30" t="str">
        <f aca="false">IF($B351="","","LAN-"&amp;TEXT(ROW()-4,"000000"))</f>
        <v/>
      </c>
      <c r="B351" s="31"/>
      <c r="C351" s="32"/>
      <c r="D351" s="32"/>
      <c r="E351" s="32"/>
      <c r="F351" s="33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4" t="str">
        <f aca="false">IF($B351="","",YEAR($B351))</f>
        <v/>
      </c>
      <c r="U351" s="34" t="str">
        <f aca="false">IF($B351="","",MONTH($B351))</f>
        <v/>
      </c>
      <c r="V351" s="34" t="str">
        <f aca="false">IF($B351="","",YEAR($B351)*100+MONTH($B351))</f>
        <v/>
      </c>
      <c r="W351" s="35" t="str">
        <f aca="false">IF($D351="","",IFERROR(INDEX(MAP_CLASS,MATCH($D351,MAP_TIPO,0)),"TIPO INVALIDO"))</f>
        <v/>
      </c>
      <c r="X351" s="35" t="str">
        <f aca="false">IF($K351="","",IFERROR(INDEX(CAT_NOME,MATCH($K351,CAT_ID,0)),"?"))</f>
        <v/>
      </c>
      <c r="Y351" s="35" t="str">
        <f aca="false">IF($L351="","",IFERROR(INDEX(SUB_NOME,MATCH($L351,SUB_ID,0)),"?"))</f>
        <v/>
      </c>
      <c r="Z351" s="35" t="str">
        <f aca="false">IF($G351="","",IF($G351="EXTERNO","(Externo)",IFERROR(INDEX(ENT_NOME,MATCH($H351,ENT_ID,0)),"?")))</f>
        <v/>
      </c>
      <c r="AA351" s="35" t="str">
        <f aca="false">IF($I351="","",IF($I351="EXTERNO","(Externo)",IFERROR(INDEX(ENT_NOME,MATCH($J351,ENT_ID,0)),"?")))</f>
        <v/>
      </c>
      <c r="AB351" s="36" t="n">
        <f aca="false">IF($B351="",0,IF(AND($I351="CONTA",$G351&lt;&gt;"CONTA"),$F351,0))</f>
        <v>0</v>
      </c>
      <c r="AC351" s="36" t="n">
        <f aca="false">IF($B351="",0,IF(AND($G351="CONTA",$I351&lt;&gt;"CONTA"),$F351,0))</f>
        <v>0</v>
      </c>
      <c r="AD351" s="36" t="n">
        <f aca="false">IF($W351="RECEITA",$F351,0)</f>
        <v>0</v>
      </c>
      <c r="AE351" s="36" t="n">
        <f aca="false">IF($W351="DESPESA",$F351,0)</f>
        <v>0</v>
      </c>
      <c r="AF351" s="36" t="n">
        <f aca="false">IF($W351="RECEITA_FINANCEIRA",$F351,0)</f>
        <v>0</v>
      </c>
      <c r="AG351" s="36" t="n">
        <f aca="false">IF($B351="",0,IF($I351="CONTA",$F351,0)-IF($G351="CONTA",$F351,0))</f>
        <v>0</v>
      </c>
      <c r="AH351" s="36" t="n">
        <f aca="false">IF($B351="",0,IF($G351="CARTAO",$F351,0)-IF($I351="CARTAO",$F351,0))</f>
        <v>0</v>
      </c>
      <c r="AI351" s="36" t="n">
        <f aca="false">IF($B351="",0,IF($I351="INVESTIMENTO",$F351,0)-IF($G351="INVESTIMENTO",$F351,0))</f>
        <v>0</v>
      </c>
      <c r="AJ351" s="35" t="str">
        <f aca="false">IF($B351="","",IF(NOT(ISNUMBER($F351)),"ERRO: valor nao numerico",IF($F351&lt;=0,"ERRO: valor deve ser maior que zero",IF(COUNTIF(MAP_TIPO,$D351)=0,"ERRO: tipo de operacao nao cadastrado",IF(COUNTIF(LST_STATUS,$E351)=0,"ERRO: status invalido",IF(AND($G351="EXTERNO",$I351="EXTERNO"),"ERRO: origem e destino externos",IF(AND($G351&lt;&gt;"EXTERNO",COUNTIFS(ENT_ID,$H351,ENT_TIPO,$G351)=0),"ERRO: origem inexistente",IF(AND($I351&lt;&gt;"EXTERNO",COUNTIFS(ENT_ID,$J351,ENT_TIPO,$I351)=0),"ERRO: destino inexistente",IF(AND($K351&lt;&gt;"",COUNTIF(CAT_ID,$K351)=0),"ERRO: categoria inexistente",IF(AND($L351&lt;&gt;"",COUNTIF(SUB_ID,$L351)=0),"ERRO: subcategoria inexistente",IF(AND($L351&lt;&gt;"",$K351&lt;&gt;"",IFERROR(INDEX(SUB_CATID,MATCH($L351,SUB_ID,0)),"")&lt;&gt;$K351),"ERRO: subcategoria nao pertence a categoria",IF(AND($O351&lt;&gt;"",COUNTIF(P_ID,$O351)=0),"ERRO: parcela inexistente",IF(AND($N351&lt;&gt;"",COUNTIF(CM_ID,$N351)=0),"ERRO: compromisso inexistente","OK")))))))))))))</f>
        <v/>
      </c>
      <c r="AK351" s="35" t="str">
        <f aca="false">IF($B351="","",IF(AND($N351="",$O351="",$P351="",$Q351="",$R351=""),"","VINCULADO: "&amp;TRIM(IF($N351&lt;&gt;"",$N351&amp;" ","")&amp;IF($O351&lt;&gt;"",$O351&amp;" ","")&amp;IF($P351&lt;&gt;"",$P351&amp;" ","")&amp;IF($Q351&lt;&gt;"",$Q351&amp;" ","")&amp;IF($R351&lt;&gt;"",$R351,""))))</f>
        <v/>
      </c>
    </row>
    <row r="352" customFormat="false" ht="15" hidden="false" customHeight="false" outlineLevel="0" collapsed="false">
      <c r="A352" s="30" t="str">
        <f aca="false">IF($B352="","","LAN-"&amp;TEXT(ROW()-4,"000000"))</f>
        <v/>
      </c>
      <c r="B352" s="31"/>
      <c r="C352" s="32"/>
      <c r="D352" s="32"/>
      <c r="E352" s="32"/>
      <c r="F352" s="33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4" t="str">
        <f aca="false">IF($B352="","",YEAR($B352))</f>
        <v/>
      </c>
      <c r="U352" s="34" t="str">
        <f aca="false">IF($B352="","",MONTH($B352))</f>
        <v/>
      </c>
      <c r="V352" s="34" t="str">
        <f aca="false">IF($B352="","",YEAR($B352)*100+MONTH($B352))</f>
        <v/>
      </c>
      <c r="W352" s="35" t="str">
        <f aca="false">IF($D352="","",IFERROR(INDEX(MAP_CLASS,MATCH($D352,MAP_TIPO,0)),"TIPO INVALIDO"))</f>
        <v/>
      </c>
      <c r="X352" s="35" t="str">
        <f aca="false">IF($K352="","",IFERROR(INDEX(CAT_NOME,MATCH($K352,CAT_ID,0)),"?"))</f>
        <v/>
      </c>
      <c r="Y352" s="35" t="str">
        <f aca="false">IF($L352="","",IFERROR(INDEX(SUB_NOME,MATCH($L352,SUB_ID,0)),"?"))</f>
        <v/>
      </c>
      <c r="Z352" s="35" t="str">
        <f aca="false">IF($G352="","",IF($G352="EXTERNO","(Externo)",IFERROR(INDEX(ENT_NOME,MATCH($H352,ENT_ID,0)),"?")))</f>
        <v/>
      </c>
      <c r="AA352" s="35" t="str">
        <f aca="false">IF($I352="","",IF($I352="EXTERNO","(Externo)",IFERROR(INDEX(ENT_NOME,MATCH($J352,ENT_ID,0)),"?")))</f>
        <v/>
      </c>
      <c r="AB352" s="36" t="n">
        <f aca="false">IF($B352="",0,IF(AND($I352="CONTA",$G352&lt;&gt;"CONTA"),$F352,0))</f>
        <v>0</v>
      </c>
      <c r="AC352" s="36" t="n">
        <f aca="false">IF($B352="",0,IF(AND($G352="CONTA",$I352&lt;&gt;"CONTA"),$F352,0))</f>
        <v>0</v>
      </c>
      <c r="AD352" s="36" t="n">
        <f aca="false">IF($W352="RECEITA",$F352,0)</f>
        <v>0</v>
      </c>
      <c r="AE352" s="36" t="n">
        <f aca="false">IF($W352="DESPESA",$F352,0)</f>
        <v>0</v>
      </c>
      <c r="AF352" s="36" t="n">
        <f aca="false">IF($W352="RECEITA_FINANCEIRA",$F352,0)</f>
        <v>0</v>
      </c>
      <c r="AG352" s="36" t="n">
        <f aca="false">IF($B352="",0,IF($I352="CONTA",$F352,0)-IF($G352="CONTA",$F352,0))</f>
        <v>0</v>
      </c>
      <c r="AH352" s="36" t="n">
        <f aca="false">IF($B352="",0,IF($G352="CARTAO",$F352,0)-IF($I352="CARTAO",$F352,0))</f>
        <v>0</v>
      </c>
      <c r="AI352" s="36" t="n">
        <f aca="false">IF($B352="",0,IF($I352="INVESTIMENTO",$F352,0)-IF($G352="INVESTIMENTO",$F352,0))</f>
        <v>0</v>
      </c>
      <c r="AJ352" s="35" t="str">
        <f aca="false">IF($B352="","",IF(NOT(ISNUMBER($F352)),"ERRO: valor nao numerico",IF($F352&lt;=0,"ERRO: valor deve ser maior que zero",IF(COUNTIF(MAP_TIPO,$D352)=0,"ERRO: tipo de operacao nao cadastrado",IF(COUNTIF(LST_STATUS,$E352)=0,"ERRO: status invalido",IF(AND($G352="EXTERNO",$I352="EXTERNO"),"ERRO: origem e destino externos",IF(AND($G352&lt;&gt;"EXTERNO",COUNTIFS(ENT_ID,$H352,ENT_TIPO,$G352)=0),"ERRO: origem inexistente",IF(AND($I352&lt;&gt;"EXTERNO",COUNTIFS(ENT_ID,$J352,ENT_TIPO,$I352)=0),"ERRO: destino inexistente",IF(AND($K352&lt;&gt;"",COUNTIF(CAT_ID,$K352)=0),"ERRO: categoria inexistente",IF(AND($L352&lt;&gt;"",COUNTIF(SUB_ID,$L352)=0),"ERRO: subcategoria inexistente",IF(AND($L352&lt;&gt;"",$K352&lt;&gt;"",IFERROR(INDEX(SUB_CATID,MATCH($L352,SUB_ID,0)),"")&lt;&gt;$K352),"ERRO: subcategoria nao pertence a categoria",IF(AND($O352&lt;&gt;"",COUNTIF(P_ID,$O352)=0),"ERRO: parcela inexistente",IF(AND($N352&lt;&gt;"",COUNTIF(CM_ID,$N352)=0),"ERRO: compromisso inexistente","OK")))))))))))))</f>
        <v/>
      </c>
      <c r="AK352" s="35" t="str">
        <f aca="false">IF($B352="","",IF(AND($N352="",$O352="",$P352="",$Q352="",$R352=""),"","VINCULADO: "&amp;TRIM(IF($N352&lt;&gt;"",$N352&amp;" ","")&amp;IF($O352&lt;&gt;"",$O352&amp;" ","")&amp;IF($P352&lt;&gt;"",$P352&amp;" ","")&amp;IF($Q352&lt;&gt;"",$Q352&amp;" ","")&amp;IF($R352&lt;&gt;"",$R352,""))))</f>
        <v/>
      </c>
    </row>
    <row r="353" customFormat="false" ht="15" hidden="false" customHeight="false" outlineLevel="0" collapsed="false">
      <c r="A353" s="30" t="str">
        <f aca="false">IF($B353="","","LAN-"&amp;TEXT(ROW()-4,"000000"))</f>
        <v/>
      </c>
      <c r="B353" s="31"/>
      <c r="C353" s="32"/>
      <c r="D353" s="32"/>
      <c r="E353" s="32"/>
      <c r="F353" s="33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4" t="str">
        <f aca="false">IF($B353="","",YEAR($B353))</f>
        <v/>
      </c>
      <c r="U353" s="34" t="str">
        <f aca="false">IF($B353="","",MONTH($B353))</f>
        <v/>
      </c>
      <c r="V353" s="34" t="str">
        <f aca="false">IF($B353="","",YEAR($B353)*100+MONTH($B353))</f>
        <v/>
      </c>
      <c r="W353" s="35" t="str">
        <f aca="false">IF($D353="","",IFERROR(INDEX(MAP_CLASS,MATCH($D353,MAP_TIPO,0)),"TIPO INVALIDO"))</f>
        <v/>
      </c>
      <c r="X353" s="35" t="str">
        <f aca="false">IF($K353="","",IFERROR(INDEX(CAT_NOME,MATCH($K353,CAT_ID,0)),"?"))</f>
        <v/>
      </c>
      <c r="Y353" s="35" t="str">
        <f aca="false">IF($L353="","",IFERROR(INDEX(SUB_NOME,MATCH($L353,SUB_ID,0)),"?"))</f>
        <v/>
      </c>
      <c r="Z353" s="35" t="str">
        <f aca="false">IF($G353="","",IF($G353="EXTERNO","(Externo)",IFERROR(INDEX(ENT_NOME,MATCH($H353,ENT_ID,0)),"?")))</f>
        <v/>
      </c>
      <c r="AA353" s="35" t="str">
        <f aca="false">IF($I353="","",IF($I353="EXTERNO","(Externo)",IFERROR(INDEX(ENT_NOME,MATCH($J353,ENT_ID,0)),"?")))</f>
        <v/>
      </c>
      <c r="AB353" s="36" t="n">
        <f aca="false">IF($B353="",0,IF(AND($I353="CONTA",$G353&lt;&gt;"CONTA"),$F353,0))</f>
        <v>0</v>
      </c>
      <c r="AC353" s="36" t="n">
        <f aca="false">IF($B353="",0,IF(AND($G353="CONTA",$I353&lt;&gt;"CONTA"),$F353,0))</f>
        <v>0</v>
      </c>
      <c r="AD353" s="36" t="n">
        <f aca="false">IF($W353="RECEITA",$F353,0)</f>
        <v>0</v>
      </c>
      <c r="AE353" s="36" t="n">
        <f aca="false">IF($W353="DESPESA",$F353,0)</f>
        <v>0</v>
      </c>
      <c r="AF353" s="36" t="n">
        <f aca="false">IF($W353="RECEITA_FINANCEIRA",$F353,0)</f>
        <v>0</v>
      </c>
      <c r="AG353" s="36" t="n">
        <f aca="false">IF($B353="",0,IF($I353="CONTA",$F353,0)-IF($G353="CONTA",$F353,0))</f>
        <v>0</v>
      </c>
      <c r="AH353" s="36" t="n">
        <f aca="false">IF($B353="",0,IF($G353="CARTAO",$F353,0)-IF($I353="CARTAO",$F353,0))</f>
        <v>0</v>
      </c>
      <c r="AI353" s="36" t="n">
        <f aca="false">IF($B353="",0,IF($I353="INVESTIMENTO",$F353,0)-IF($G353="INVESTIMENTO",$F353,0))</f>
        <v>0</v>
      </c>
      <c r="AJ353" s="35" t="str">
        <f aca="false">IF($B353="","",IF(NOT(ISNUMBER($F353)),"ERRO: valor nao numerico",IF($F353&lt;=0,"ERRO: valor deve ser maior que zero",IF(COUNTIF(MAP_TIPO,$D353)=0,"ERRO: tipo de operacao nao cadastrado",IF(COUNTIF(LST_STATUS,$E353)=0,"ERRO: status invalido",IF(AND($G353="EXTERNO",$I353="EXTERNO"),"ERRO: origem e destino externos",IF(AND($G353&lt;&gt;"EXTERNO",COUNTIFS(ENT_ID,$H353,ENT_TIPO,$G353)=0),"ERRO: origem inexistente",IF(AND($I353&lt;&gt;"EXTERNO",COUNTIFS(ENT_ID,$J353,ENT_TIPO,$I353)=0),"ERRO: destino inexistente",IF(AND($K353&lt;&gt;"",COUNTIF(CAT_ID,$K353)=0),"ERRO: categoria inexistente",IF(AND($L353&lt;&gt;"",COUNTIF(SUB_ID,$L353)=0),"ERRO: subcategoria inexistente",IF(AND($L353&lt;&gt;"",$K353&lt;&gt;"",IFERROR(INDEX(SUB_CATID,MATCH($L353,SUB_ID,0)),"")&lt;&gt;$K353),"ERRO: subcategoria nao pertence a categoria",IF(AND($O353&lt;&gt;"",COUNTIF(P_ID,$O353)=0),"ERRO: parcela inexistente",IF(AND($N353&lt;&gt;"",COUNTIF(CM_ID,$N353)=0),"ERRO: compromisso inexistente","OK")))))))))))))</f>
        <v/>
      </c>
      <c r="AK353" s="35" t="str">
        <f aca="false">IF($B353="","",IF(AND($N353="",$O353="",$P353="",$Q353="",$R353=""),"","VINCULADO: "&amp;TRIM(IF($N353&lt;&gt;"",$N353&amp;" ","")&amp;IF($O353&lt;&gt;"",$O353&amp;" ","")&amp;IF($P353&lt;&gt;"",$P353&amp;" ","")&amp;IF($Q353&lt;&gt;"",$Q353&amp;" ","")&amp;IF($R353&lt;&gt;"",$R353,""))))</f>
        <v/>
      </c>
    </row>
    <row r="354" customFormat="false" ht="15" hidden="false" customHeight="false" outlineLevel="0" collapsed="false">
      <c r="A354" s="30" t="str">
        <f aca="false">IF($B354="","","LAN-"&amp;TEXT(ROW()-4,"000000"))</f>
        <v/>
      </c>
      <c r="B354" s="31"/>
      <c r="C354" s="32"/>
      <c r="D354" s="32"/>
      <c r="E354" s="32"/>
      <c r="F354" s="33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4" t="str">
        <f aca="false">IF($B354="","",YEAR($B354))</f>
        <v/>
      </c>
      <c r="U354" s="34" t="str">
        <f aca="false">IF($B354="","",MONTH($B354))</f>
        <v/>
      </c>
      <c r="V354" s="34" t="str">
        <f aca="false">IF($B354="","",YEAR($B354)*100+MONTH($B354))</f>
        <v/>
      </c>
      <c r="W354" s="35" t="str">
        <f aca="false">IF($D354="","",IFERROR(INDEX(MAP_CLASS,MATCH($D354,MAP_TIPO,0)),"TIPO INVALIDO"))</f>
        <v/>
      </c>
      <c r="X354" s="35" t="str">
        <f aca="false">IF($K354="","",IFERROR(INDEX(CAT_NOME,MATCH($K354,CAT_ID,0)),"?"))</f>
        <v/>
      </c>
      <c r="Y354" s="35" t="str">
        <f aca="false">IF($L354="","",IFERROR(INDEX(SUB_NOME,MATCH($L354,SUB_ID,0)),"?"))</f>
        <v/>
      </c>
      <c r="Z354" s="35" t="str">
        <f aca="false">IF($G354="","",IF($G354="EXTERNO","(Externo)",IFERROR(INDEX(ENT_NOME,MATCH($H354,ENT_ID,0)),"?")))</f>
        <v/>
      </c>
      <c r="AA354" s="35" t="str">
        <f aca="false">IF($I354="","",IF($I354="EXTERNO","(Externo)",IFERROR(INDEX(ENT_NOME,MATCH($J354,ENT_ID,0)),"?")))</f>
        <v/>
      </c>
      <c r="AB354" s="36" t="n">
        <f aca="false">IF($B354="",0,IF(AND($I354="CONTA",$G354&lt;&gt;"CONTA"),$F354,0))</f>
        <v>0</v>
      </c>
      <c r="AC354" s="36" t="n">
        <f aca="false">IF($B354="",0,IF(AND($G354="CONTA",$I354&lt;&gt;"CONTA"),$F354,0))</f>
        <v>0</v>
      </c>
      <c r="AD354" s="36" t="n">
        <f aca="false">IF($W354="RECEITA",$F354,0)</f>
        <v>0</v>
      </c>
      <c r="AE354" s="36" t="n">
        <f aca="false">IF($W354="DESPESA",$F354,0)</f>
        <v>0</v>
      </c>
      <c r="AF354" s="36" t="n">
        <f aca="false">IF($W354="RECEITA_FINANCEIRA",$F354,0)</f>
        <v>0</v>
      </c>
      <c r="AG354" s="36" t="n">
        <f aca="false">IF($B354="",0,IF($I354="CONTA",$F354,0)-IF($G354="CONTA",$F354,0))</f>
        <v>0</v>
      </c>
      <c r="AH354" s="36" t="n">
        <f aca="false">IF($B354="",0,IF($G354="CARTAO",$F354,0)-IF($I354="CARTAO",$F354,0))</f>
        <v>0</v>
      </c>
      <c r="AI354" s="36" t="n">
        <f aca="false">IF($B354="",0,IF($I354="INVESTIMENTO",$F354,0)-IF($G354="INVESTIMENTO",$F354,0))</f>
        <v>0</v>
      </c>
      <c r="AJ354" s="35" t="str">
        <f aca="false">IF($B354="","",IF(NOT(ISNUMBER($F354)),"ERRO: valor nao numerico",IF($F354&lt;=0,"ERRO: valor deve ser maior que zero",IF(COUNTIF(MAP_TIPO,$D354)=0,"ERRO: tipo de operacao nao cadastrado",IF(COUNTIF(LST_STATUS,$E354)=0,"ERRO: status invalido",IF(AND($G354="EXTERNO",$I354="EXTERNO"),"ERRO: origem e destino externos",IF(AND($G354&lt;&gt;"EXTERNO",COUNTIFS(ENT_ID,$H354,ENT_TIPO,$G354)=0),"ERRO: origem inexistente",IF(AND($I354&lt;&gt;"EXTERNO",COUNTIFS(ENT_ID,$J354,ENT_TIPO,$I354)=0),"ERRO: destino inexistente",IF(AND($K354&lt;&gt;"",COUNTIF(CAT_ID,$K354)=0),"ERRO: categoria inexistente",IF(AND($L354&lt;&gt;"",COUNTIF(SUB_ID,$L354)=0),"ERRO: subcategoria inexistente",IF(AND($L354&lt;&gt;"",$K354&lt;&gt;"",IFERROR(INDEX(SUB_CATID,MATCH($L354,SUB_ID,0)),"")&lt;&gt;$K354),"ERRO: subcategoria nao pertence a categoria",IF(AND($O354&lt;&gt;"",COUNTIF(P_ID,$O354)=0),"ERRO: parcela inexistente",IF(AND($N354&lt;&gt;"",COUNTIF(CM_ID,$N354)=0),"ERRO: compromisso inexistente","OK")))))))))))))</f>
        <v/>
      </c>
      <c r="AK354" s="35" t="str">
        <f aca="false">IF($B354="","",IF(AND($N354="",$O354="",$P354="",$Q354="",$R354=""),"","VINCULADO: "&amp;TRIM(IF($N354&lt;&gt;"",$N354&amp;" ","")&amp;IF($O354&lt;&gt;"",$O354&amp;" ","")&amp;IF($P354&lt;&gt;"",$P354&amp;" ","")&amp;IF($Q354&lt;&gt;"",$Q354&amp;" ","")&amp;IF($R354&lt;&gt;"",$R354,""))))</f>
        <v/>
      </c>
    </row>
    <row r="355" customFormat="false" ht="15" hidden="false" customHeight="false" outlineLevel="0" collapsed="false">
      <c r="A355" s="30" t="str">
        <f aca="false">IF($B355="","","LAN-"&amp;TEXT(ROW()-4,"000000"))</f>
        <v/>
      </c>
      <c r="B355" s="31"/>
      <c r="C355" s="32"/>
      <c r="D355" s="32"/>
      <c r="E355" s="32"/>
      <c r="F355" s="33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4" t="str">
        <f aca="false">IF($B355="","",YEAR($B355))</f>
        <v/>
      </c>
      <c r="U355" s="34" t="str">
        <f aca="false">IF($B355="","",MONTH($B355))</f>
        <v/>
      </c>
      <c r="V355" s="34" t="str">
        <f aca="false">IF($B355="","",YEAR($B355)*100+MONTH($B355))</f>
        <v/>
      </c>
      <c r="W355" s="35" t="str">
        <f aca="false">IF($D355="","",IFERROR(INDEX(MAP_CLASS,MATCH($D355,MAP_TIPO,0)),"TIPO INVALIDO"))</f>
        <v/>
      </c>
      <c r="X355" s="35" t="str">
        <f aca="false">IF($K355="","",IFERROR(INDEX(CAT_NOME,MATCH($K355,CAT_ID,0)),"?"))</f>
        <v/>
      </c>
      <c r="Y355" s="35" t="str">
        <f aca="false">IF($L355="","",IFERROR(INDEX(SUB_NOME,MATCH($L355,SUB_ID,0)),"?"))</f>
        <v/>
      </c>
      <c r="Z355" s="35" t="str">
        <f aca="false">IF($G355="","",IF($G355="EXTERNO","(Externo)",IFERROR(INDEX(ENT_NOME,MATCH($H355,ENT_ID,0)),"?")))</f>
        <v/>
      </c>
      <c r="AA355" s="35" t="str">
        <f aca="false">IF($I355="","",IF($I355="EXTERNO","(Externo)",IFERROR(INDEX(ENT_NOME,MATCH($J355,ENT_ID,0)),"?")))</f>
        <v/>
      </c>
      <c r="AB355" s="36" t="n">
        <f aca="false">IF($B355="",0,IF(AND($I355="CONTA",$G355&lt;&gt;"CONTA"),$F355,0))</f>
        <v>0</v>
      </c>
      <c r="AC355" s="36" t="n">
        <f aca="false">IF($B355="",0,IF(AND($G355="CONTA",$I355&lt;&gt;"CONTA"),$F355,0))</f>
        <v>0</v>
      </c>
      <c r="AD355" s="36" t="n">
        <f aca="false">IF($W355="RECEITA",$F355,0)</f>
        <v>0</v>
      </c>
      <c r="AE355" s="36" t="n">
        <f aca="false">IF($W355="DESPESA",$F355,0)</f>
        <v>0</v>
      </c>
      <c r="AF355" s="36" t="n">
        <f aca="false">IF($W355="RECEITA_FINANCEIRA",$F355,0)</f>
        <v>0</v>
      </c>
      <c r="AG355" s="36" t="n">
        <f aca="false">IF($B355="",0,IF($I355="CONTA",$F355,0)-IF($G355="CONTA",$F355,0))</f>
        <v>0</v>
      </c>
      <c r="AH355" s="36" t="n">
        <f aca="false">IF($B355="",0,IF($G355="CARTAO",$F355,0)-IF($I355="CARTAO",$F355,0))</f>
        <v>0</v>
      </c>
      <c r="AI355" s="36" t="n">
        <f aca="false">IF($B355="",0,IF($I355="INVESTIMENTO",$F355,0)-IF($G355="INVESTIMENTO",$F355,0))</f>
        <v>0</v>
      </c>
      <c r="AJ355" s="35" t="str">
        <f aca="false">IF($B355="","",IF(NOT(ISNUMBER($F355)),"ERRO: valor nao numerico",IF($F355&lt;=0,"ERRO: valor deve ser maior que zero",IF(COUNTIF(MAP_TIPO,$D355)=0,"ERRO: tipo de operacao nao cadastrado",IF(COUNTIF(LST_STATUS,$E355)=0,"ERRO: status invalido",IF(AND($G355="EXTERNO",$I355="EXTERNO"),"ERRO: origem e destino externos",IF(AND($G355&lt;&gt;"EXTERNO",COUNTIFS(ENT_ID,$H355,ENT_TIPO,$G355)=0),"ERRO: origem inexistente",IF(AND($I355&lt;&gt;"EXTERNO",COUNTIFS(ENT_ID,$J355,ENT_TIPO,$I355)=0),"ERRO: destino inexistente",IF(AND($K355&lt;&gt;"",COUNTIF(CAT_ID,$K355)=0),"ERRO: categoria inexistente",IF(AND($L355&lt;&gt;"",COUNTIF(SUB_ID,$L355)=0),"ERRO: subcategoria inexistente",IF(AND($L355&lt;&gt;"",$K355&lt;&gt;"",IFERROR(INDEX(SUB_CATID,MATCH($L355,SUB_ID,0)),"")&lt;&gt;$K355),"ERRO: subcategoria nao pertence a categoria",IF(AND($O355&lt;&gt;"",COUNTIF(P_ID,$O355)=0),"ERRO: parcela inexistente",IF(AND($N355&lt;&gt;"",COUNTIF(CM_ID,$N355)=0),"ERRO: compromisso inexistente","OK")))))))))))))</f>
        <v/>
      </c>
      <c r="AK355" s="35" t="str">
        <f aca="false">IF($B355="","",IF(AND($N355="",$O355="",$P355="",$Q355="",$R355=""),"","VINCULADO: "&amp;TRIM(IF($N355&lt;&gt;"",$N355&amp;" ","")&amp;IF($O355&lt;&gt;"",$O355&amp;" ","")&amp;IF($P355&lt;&gt;"",$P355&amp;" ","")&amp;IF($Q355&lt;&gt;"",$Q355&amp;" ","")&amp;IF($R355&lt;&gt;"",$R355,""))))</f>
        <v/>
      </c>
    </row>
    <row r="356" customFormat="false" ht="15" hidden="false" customHeight="false" outlineLevel="0" collapsed="false">
      <c r="A356" s="30" t="str">
        <f aca="false">IF($B356="","","LAN-"&amp;TEXT(ROW()-4,"000000"))</f>
        <v/>
      </c>
      <c r="B356" s="31"/>
      <c r="C356" s="32"/>
      <c r="D356" s="32"/>
      <c r="E356" s="32"/>
      <c r="F356" s="33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4" t="str">
        <f aca="false">IF($B356="","",YEAR($B356))</f>
        <v/>
      </c>
      <c r="U356" s="34" t="str">
        <f aca="false">IF($B356="","",MONTH($B356))</f>
        <v/>
      </c>
      <c r="V356" s="34" t="str">
        <f aca="false">IF($B356="","",YEAR($B356)*100+MONTH($B356))</f>
        <v/>
      </c>
      <c r="W356" s="35" t="str">
        <f aca="false">IF($D356="","",IFERROR(INDEX(MAP_CLASS,MATCH($D356,MAP_TIPO,0)),"TIPO INVALIDO"))</f>
        <v/>
      </c>
      <c r="X356" s="35" t="str">
        <f aca="false">IF($K356="","",IFERROR(INDEX(CAT_NOME,MATCH($K356,CAT_ID,0)),"?"))</f>
        <v/>
      </c>
      <c r="Y356" s="35" t="str">
        <f aca="false">IF($L356="","",IFERROR(INDEX(SUB_NOME,MATCH($L356,SUB_ID,0)),"?"))</f>
        <v/>
      </c>
      <c r="Z356" s="35" t="str">
        <f aca="false">IF($G356="","",IF($G356="EXTERNO","(Externo)",IFERROR(INDEX(ENT_NOME,MATCH($H356,ENT_ID,0)),"?")))</f>
        <v/>
      </c>
      <c r="AA356" s="35" t="str">
        <f aca="false">IF($I356="","",IF($I356="EXTERNO","(Externo)",IFERROR(INDEX(ENT_NOME,MATCH($J356,ENT_ID,0)),"?")))</f>
        <v/>
      </c>
      <c r="AB356" s="36" t="n">
        <f aca="false">IF($B356="",0,IF(AND($I356="CONTA",$G356&lt;&gt;"CONTA"),$F356,0))</f>
        <v>0</v>
      </c>
      <c r="AC356" s="36" t="n">
        <f aca="false">IF($B356="",0,IF(AND($G356="CONTA",$I356&lt;&gt;"CONTA"),$F356,0))</f>
        <v>0</v>
      </c>
      <c r="AD356" s="36" t="n">
        <f aca="false">IF($W356="RECEITA",$F356,0)</f>
        <v>0</v>
      </c>
      <c r="AE356" s="36" t="n">
        <f aca="false">IF($W356="DESPESA",$F356,0)</f>
        <v>0</v>
      </c>
      <c r="AF356" s="36" t="n">
        <f aca="false">IF($W356="RECEITA_FINANCEIRA",$F356,0)</f>
        <v>0</v>
      </c>
      <c r="AG356" s="36" t="n">
        <f aca="false">IF($B356="",0,IF($I356="CONTA",$F356,0)-IF($G356="CONTA",$F356,0))</f>
        <v>0</v>
      </c>
      <c r="AH356" s="36" t="n">
        <f aca="false">IF($B356="",0,IF($G356="CARTAO",$F356,0)-IF($I356="CARTAO",$F356,0))</f>
        <v>0</v>
      </c>
      <c r="AI356" s="36" t="n">
        <f aca="false">IF($B356="",0,IF($I356="INVESTIMENTO",$F356,0)-IF($G356="INVESTIMENTO",$F356,0))</f>
        <v>0</v>
      </c>
      <c r="AJ356" s="35" t="str">
        <f aca="false">IF($B356="","",IF(NOT(ISNUMBER($F356)),"ERRO: valor nao numerico",IF($F356&lt;=0,"ERRO: valor deve ser maior que zero",IF(COUNTIF(MAP_TIPO,$D356)=0,"ERRO: tipo de operacao nao cadastrado",IF(COUNTIF(LST_STATUS,$E356)=0,"ERRO: status invalido",IF(AND($G356="EXTERNO",$I356="EXTERNO"),"ERRO: origem e destino externos",IF(AND($G356&lt;&gt;"EXTERNO",COUNTIFS(ENT_ID,$H356,ENT_TIPO,$G356)=0),"ERRO: origem inexistente",IF(AND($I356&lt;&gt;"EXTERNO",COUNTIFS(ENT_ID,$J356,ENT_TIPO,$I356)=0),"ERRO: destino inexistente",IF(AND($K356&lt;&gt;"",COUNTIF(CAT_ID,$K356)=0),"ERRO: categoria inexistente",IF(AND($L356&lt;&gt;"",COUNTIF(SUB_ID,$L356)=0),"ERRO: subcategoria inexistente",IF(AND($L356&lt;&gt;"",$K356&lt;&gt;"",IFERROR(INDEX(SUB_CATID,MATCH($L356,SUB_ID,0)),"")&lt;&gt;$K356),"ERRO: subcategoria nao pertence a categoria",IF(AND($O356&lt;&gt;"",COUNTIF(P_ID,$O356)=0),"ERRO: parcela inexistente",IF(AND($N356&lt;&gt;"",COUNTIF(CM_ID,$N356)=0),"ERRO: compromisso inexistente","OK")))))))))))))</f>
        <v/>
      </c>
      <c r="AK356" s="35" t="str">
        <f aca="false">IF($B356="","",IF(AND($N356="",$O356="",$P356="",$Q356="",$R356=""),"","VINCULADO: "&amp;TRIM(IF($N356&lt;&gt;"",$N356&amp;" ","")&amp;IF($O356&lt;&gt;"",$O356&amp;" ","")&amp;IF($P356&lt;&gt;"",$P356&amp;" ","")&amp;IF($Q356&lt;&gt;"",$Q356&amp;" ","")&amp;IF($R356&lt;&gt;"",$R356,""))))</f>
        <v/>
      </c>
    </row>
    <row r="357" customFormat="false" ht="15" hidden="false" customHeight="false" outlineLevel="0" collapsed="false">
      <c r="A357" s="30" t="str">
        <f aca="false">IF($B357="","","LAN-"&amp;TEXT(ROW()-4,"000000"))</f>
        <v/>
      </c>
      <c r="B357" s="31"/>
      <c r="C357" s="32"/>
      <c r="D357" s="32"/>
      <c r="E357" s="32"/>
      <c r="F357" s="33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4" t="str">
        <f aca="false">IF($B357="","",YEAR($B357))</f>
        <v/>
      </c>
      <c r="U357" s="34" t="str">
        <f aca="false">IF($B357="","",MONTH($B357))</f>
        <v/>
      </c>
      <c r="V357" s="34" t="str">
        <f aca="false">IF($B357="","",YEAR($B357)*100+MONTH($B357))</f>
        <v/>
      </c>
      <c r="W357" s="35" t="str">
        <f aca="false">IF($D357="","",IFERROR(INDEX(MAP_CLASS,MATCH($D357,MAP_TIPO,0)),"TIPO INVALIDO"))</f>
        <v/>
      </c>
      <c r="X357" s="35" t="str">
        <f aca="false">IF($K357="","",IFERROR(INDEX(CAT_NOME,MATCH($K357,CAT_ID,0)),"?"))</f>
        <v/>
      </c>
      <c r="Y357" s="35" t="str">
        <f aca="false">IF($L357="","",IFERROR(INDEX(SUB_NOME,MATCH($L357,SUB_ID,0)),"?"))</f>
        <v/>
      </c>
      <c r="Z357" s="35" t="str">
        <f aca="false">IF($G357="","",IF($G357="EXTERNO","(Externo)",IFERROR(INDEX(ENT_NOME,MATCH($H357,ENT_ID,0)),"?")))</f>
        <v/>
      </c>
      <c r="AA357" s="35" t="str">
        <f aca="false">IF($I357="","",IF($I357="EXTERNO","(Externo)",IFERROR(INDEX(ENT_NOME,MATCH($J357,ENT_ID,0)),"?")))</f>
        <v/>
      </c>
      <c r="AB357" s="36" t="n">
        <f aca="false">IF($B357="",0,IF(AND($I357="CONTA",$G357&lt;&gt;"CONTA"),$F357,0))</f>
        <v>0</v>
      </c>
      <c r="AC357" s="36" t="n">
        <f aca="false">IF($B357="",0,IF(AND($G357="CONTA",$I357&lt;&gt;"CONTA"),$F357,0))</f>
        <v>0</v>
      </c>
      <c r="AD357" s="36" t="n">
        <f aca="false">IF($W357="RECEITA",$F357,0)</f>
        <v>0</v>
      </c>
      <c r="AE357" s="36" t="n">
        <f aca="false">IF($W357="DESPESA",$F357,0)</f>
        <v>0</v>
      </c>
      <c r="AF357" s="36" t="n">
        <f aca="false">IF($W357="RECEITA_FINANCEIRA",$F357,0)</f>
        <v>0</v>
      </c>
      <c r="AG357" s="36" t="n">
        <f aca="false">IF($B357="",0,IF($I357="CONTA",$F357,0)-IF($G357="CONTA",$F357,0))</f>
        <v>0</v>
      </c>
      <c r="AH357" s="36" t="n">
        <f aca="false">IF($B357="",0,IF($G357="CARTAO",$F357,0)-IF($I357="CARTAO",$F357,0))</f>
        <v>0</v>
      </c>
      <c r="AI357" s="36" t="n">
        <f aca="false">IF($B357="",0,IF($I357="INVESTIMENTO",$F357,0)-IF($G357="INVESTIMENTO",$F357,0))</f>
        <v>0</v>
      </c>
      <c r="AJ357" s="35" t="str">
        <f aca="false">IF($B357="","",IF(NOT(ISNUMBER($F357)),"ERRO: valor nao numerico",IF($F357&lt;=0,"ERRO: valor deve ser maior que zero",IF(COUNTIF(MAP_TIPO,$D357)=0,"ERRO: tipo de operacao nao cadastrado",IF(COUNTIF(LST_STATUS,$E357)=0,"ERRO: status invalido",IF(AND($G357="EXTERNO",$I357="EXTERNO"),"ERRO: origem e destino externos",IF(AND($G357&lt;&gt;"EXTERNO",COUNTIFS(ENT_ID,$H357,ENT_TIPO,$G357)=0),"ERRO: origem inexistente",IF(AND($I357&lt;&gt;"EXTERNO",COUNTIFS(ENT_ID,$J357,ENT_TIPO,$I357)=0),"ERRO: destino inexistente",IF(AND($K357&lt;&gt;"",COUNTIF(CAT_ID,$K357)=0),"ERRO: categoria inexistente",IF(AND($L357&lt;&gt;"",COUNTIF(SUB_ID,$L357)=0),"ERRO: subcategoria inexistente",IF(AND($L357&lt;&gt;"",$K357&lt;&gt;"",IFERROR(INDEX(SUB_CATID,MATCH($L357,SUB_ID,0)),"")&lt;&gt;$K357),"ERRO: subcategoria nao pertence a categoria",IF(AND($O357&lt;&gt;"",COUNTIF(P_ID,$O357)=0),"ERRO: parcela inexistente",IF(AND($N357&lt;&gt;"",COUNTIF(CM_ID,$N357)=0),"ERRO: compromisso inexistente","OK")))))))))))))</f>
        <v/>
      </c>
      <c r="AK357" s="35" t="str">
        <f aca="false">IF($B357="","",IF(AND($N357="",$O357="",$P357="",$Q357="",$R357=""),"","VINCULADO: "&amp;TRIM(IF($N357&lt;&gt;"",$N357&amp;" ","")&amp;IF($O357&lt;&gt;"",$O357&amp;" ","")&amp;IF($P357&lt;&gt;"",$P357&amp;" ","")&amp;IF($Q357&lt;&gt;"",$Q357&amp;" ","")&amp;IF($R357&lt;&gt;"",$R357,""))))</f>
        <v/>
      </c>
    </row>
    <row r="358" customFormat="false" ht="15" hidden="false" customHeight="false" outlineLevel="0" collapsed="false">
      <c r="A358" s="30" t="str">
        <f aca="false">IF($B358="","","LAN-"&amp;TEXT(ROW()-4,"000000"))</f>
        <v/>
      </c>
      <c r="B358" s="31"/>
      <c r="C358" s="32"/>
      <c r="D358" s="32"/>
      <c r="E358" s="32"/>
      <c r="F358" s="33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4" t="str">
        <f aca="false">IF($B358="","",YEAR($B358))</f>
        <v/>
      </c>
      <c r="U358" s="34" t="str">
        <f aca="false">IF($B358="","",MONTH($B358))</f>
        <v/>
      </c>
      <c r="V358" s="34" t="str">
        <f aca="false">IF($B358="","",YEAR($B358)*100+MONTH($B358))</f>
        <v/>
      </c>
      <c r="W358" s="35" t="str">
        <f aca="false">IF($D358="","",IFERROR(INDEX(MAP_CLASS,MATCH($D358,MAP_TIPO,0)),"TIPO INVALIDO"))</f>
        <v/>
      </c>
      <c r="X358" s="35" t="str">
        <f aca="false">IF($K358="","",IFERROR(INDEX(CAT_NOME,MATCH($K358,CAT_ID,0)),"?"))</f>
        <v/>
      </c>
      <c r="Y358" s="35" t="str">
        <f aca="false">IF($L358="","",IFERROR(INDEX(SUB_NOME,MATCH($L358,SUB_ID,0)),"?"))</f>
        <v/>
      </c>
      <c r="Z358" s="35" t="str">
        <f aca="false">IF($G358="","",IF($G358="EXTERNO","(Externo)",IFERROR(INDEX(ENT_NOME,MATCH($H358,ENT_ID,0)),"?")))</f>
        <v/>
      </c>
      <c r="AA358" s="35" t="str">
        <f aca="false">IF($I358="","",IF($I358="EXTERNO","(Externo)",IFERROR(INDEX(ENT_NOME,MATCH($J358,ENT_ID,0)),"?")))</f>
        <v/>
      </c>
      <c r="AB358" s="36" t="n">
        <f aca="false">IF($B358="",0,IF(AND($I358="CONTA",$G358&lt;&gt;"CONTA"),$F358,0))</f>
        <v>0</v>
      </c>
      <c r="AC358" s="36" t="n">
        <f aca="false">IF($B358="",0,IF(AND($G358="CONTA",$I358&lt;&gt;"CONTA"),$F358,0))</f>
        <v>0</v>
      </c>
      <c r="AD358" s="36" t="n">
        <f aca="false">IF($W358="RECEITA",$F358,0)</f>
        <v>0</v>
      </c>
      <c r="AE358" s="36" t="n">
        <f aca="false">IF($W358="DESPESA",$F358,0)</f>
        <v>0</v>
      </c>
      <c r="AF358" s="36" t="n">
        <f aca="false">IF($W358="RECEITA_FINANCEIRA",$F358,0)</f>
        <v>0</v>
      </c>
      <c r="AG358" s="36" t="n">
        <f aca="false">IF($B358="",0,IF($I358="CONTA",$F358,0)-IF($G358="CONTA",$F358,0))</f>
        <v>0</v>
      </c>
      <c r="AH358" s="36" t="n">
        <f aca="false">IF($B358="",0,IF($G358="CARTAO",$F358,0)-IF($I358="CARTAO",$F358,0))</f>
        <v>0</v>
      </c>
      <c r="AI358" s="36" t="n">
        <f aca="false">IF($B358="",0,IF($I358="INVESTIMENTO",$F358,0)-IF($G358="INVESTIMENTO",$F358,0))</f>
        <v>0</v>
      </c>
      <c r="AJ358" s="35" t="str">
        <f aca="false">IF($B358="","",IF(NOT(ISNUMBER($F358)),"ERRO: valor nao numerico",IF($F358&lt;=0,"ERRO: valor deve ser maior que zero",IF(COUNTIF(MAP_TIPO,$D358)=0,"ERRO: tipo de operacao nao cadastrado",IF(COUNTIF(LST_STATUS,$E358)=0,"ERRO: status invalido",IF(AND($G358="EXTERNO",$I358="EXTERNO"),"ERRO: origem e destino externos",IF(AND($G358&lt;&gt;"EXTERNO",COUNTIFS(ENT_ID,$H358,ENT_TIPO,$G358)=0),"ERRO: origem inexistente",IF(AND($I358&lt;&gt;"EXTERNO",COUNTIFS(ENT_ID,$J358,ENT_TIPO,$I358)=0),"ERRO: destino inexistente",IF(AND($K358&lt;&gt;"",COUNTIF(CAT_ID,$K358)=0),"ERRO: categoria inexistente",IF(AND($L358&lt;&gt;"",COUNTIF(SUB_ID,$L358)=0),"ERRO: subcategoria inexistente",IF(AND($L358&lt;&gt;"",$K358&lt;&gt;"",IFERROR(INDEX(SUB_CATID,MATCH($L358,SUB_ID,0)),"")&lt;&gt;$K358),"ERRO: subcategoria nao pertence a categoria",IF(AND($O358&lt;&gt;"",COUNTIF(P_ID,$O358)=0),"ERRO: parcela inexistente",IF(AND($N358&lt;&gt;"",COUNTIF(CM_ID,$N358)=0),"ERRO: compromisso inexistente","OK")))))))))))))</f>
        <v/>
      </c>
      <c r="AK358" s="35" t="str">
        <f aca="false">IF($B358="","",IF(AND($N358="",$O358="",$P358="",$Q358="",$R358=""),"","VINCULADO: "&amp;TRIM(IF($N358&lt;&gt;"",$N358&amp;" ","")&amp;IF($O358&lt;&gt;"",$O358&amp;" ","")&amp;IF($P358&lt;&gt;"",$P358&amp;" ","")&amp;IF($Q358&lt;&gt;"",$Q358&amp;" ","")&amp;IF($R358&lt;&gt;"",$R358,""))))</f>
        <v/>
      </c>
    </row>
    <row r="359" customFormat="false" ht="15" hidden="false" customHeight="false" outlineLevel="0" collapsed="false">
      <c r="A359" s="30" t="str">
        <f aca="false">IF($B359="","","LAN-"&amp;TEXT(ROW()-4,"000000"))</f>
        <v/>
      </c>
      <c r="B359" s="31"/>
      <c r="C359" s="32"/>
      <c r="D359" s="32"/>
      <c r="E359" s="32"/>
      <c r="F359" s="33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4" t="str">
        <f aca="false">IF($B359="","",YEAR($B359))</f>
        <v/>
      </c>
      <c r="U359" s="34" t="str">
        <f aca="false">IF($B359="","",MONTH($B359))</f>
        <v/>
      </c>
      <c r="V359" s="34" t="str">
        <f aca="false">IF($B359="","",YEAR($B359)*100+MONTH($B359))</f>
        <v/>
      </c>
      <c r="W359" s="35" t="str">
        <f aca="false">IF($D359="","",IFERROR(INDEX(MAP_CLASS,MATCH($D359,MAP_TIPO,0)),"TIPO INVALIDO"))</f>
        <v/>
      </c>
      <c r="X359" s="35" t="str">
        <f aca="false">IF($K359="","",IFERROR(INDEX(CAT_NOME,MATCH($K359,CAT_ID,0)),"?"))</f>
        <v/>
      </c>
      <c r="Y359" s="35" t="str">
        <f aca="false">IF($L359="","",IFERROR(INDEX(SUB_NOME,MATCH($L359,SUB_ID,0)),"?"))</f>
        <v/>
      </c>
      <c r="Z359" s="35" t="str">
        <f aca="false">IF($G359="","",IF($G359="EXTERNO","(Externo)",IFERROR(INDEX(ENT_NOME,MATCH($H359,ENT_ID,0)),"?")))</f>
        <v/>
      </c>
      <c r="AA359" s="35" t="str">
        <f aca="false">IF($I359="","",IF($I359="EXTERNO","(Externo)",IFERROR(INDEX(ENT_NOME,MATCH($J359,ENT_ID,0)),"?")))</f>
        <v/>
      </c>
      <c r="AB359" s="36" t="n">
        <f aca="false">IF($B359="",0,IF(AND($I359="CONTA",$G359&lt;&gt;"CONTA"),$F359,0))</f>
        <v>0</v>
      </c>
      <c r="AC359" s="36" t="n">
        <f aca="false">IF($B359="",0,IF(AND($G359="CONTA",$I359&lt;&gt;"CONTA"),$F359,0))</f>
        <v>0</v>
      </c>
      <c r="AD359" s="36" t="n">
        <f aca="false">IF($W359="RECEITA",$F359,0)</f>
        <v>0</v>
      </c>
      <c r="AE359" s="36" t="n">
        <f aca="false">IF($W359="DESPESA",$F359,0)</f>
        <v>0</v>
      </c>
      <c r="AF359" s="36" t="n">
        <f aca="false">IF($W359="RECEITA_FINANCEIRA",$F359,0)</f>
        <v>0</v>
      </c>
      <c r="AG359" s="36" t="n">
        <f aca="false">IF($B359="",0,IF($I359="CONTA",$F359,0)-IF($G359="CONTA",$F359,0))</f>
        <v>0</v>
      </c>
      <c r="AH359" s="36" t="n">
        <f aca="false">IF($B359="",0,IF($G359="CARTAO",$F359,0)-IF($I359="CARTAO",$F359,0))</f>
        <v>0</v>
      </c>
      <c r="AI359" s="36" t="n">
        <f aca="false">IF($B359="",0,IF($I359="INVESTIMENTO",$F359,0)-IF($G359="INVESTIMENTO",$F359,0))</f>
        <v>0</v>
      </c>
      <c r="AJ359" s="35" t="str">
        <f aca="false">IF($B359="","",IF(NOT(ISNUMBER($F359)),"ERRO: valor nao numerico",IF($F359&lt;=0,"ERRO: valor deve ser maior que zero",IF(COUNTIF(MAP_TIPO,$D359)=0,"ERRO: tipo de operacao nao cadastrado",IF(COUNTIF(LST_STATUS,$E359)=0,"ERRO: status invalido",IF(AND($G359="EXTERNO",$I359="EXTERNO"),"ERRO: origem e destino externos",IF(AND($G359&lt;&gt;"EXTERNO",COUNTIFS(ENT_ID,$H359,ENT_TIPO,$G359)=0),"ERRO: origem inexistente",IF(AND($I359&lt;&gt;"EXTERNO",COUNTIFS(ENT_ID,$J359,ENT_TIPO,$I359)=0),"ERRO: destino inexistente",IF(AND($K359&lt;&gt;"",COUNTIF(CAT_ID,$K359)=0),"ERRO: categoria inexistente",IF(AND($L359&lt;&gt;"",COUNTIF(SUB_ID,$L359)=0),"ERRO: subcategoria inexistente",IF(AND($L359&lt;&gt;"",$K359&lt;&gt;"",IFERROR(INDEX(SUB_CATID,MATCH($L359,SUB_ID,0)),"")&lt;&gt;$K359),"ERRO: subcategoria nao pertence a categoria",IF(AND($O359&lt;&gt;"",COUNTIF(P_ID,$O359)=0),"ERRO: parcela inexistente",IF(AND($N359&lt;&gt;"",COUNTIF(CM_ID,$N359)=0),"ERRO: compromisso inexistente","OK")))))))))))))</f>
        <v/>
      </c>
      <c r="AK359" s="35" t="str">
        <f aca="false">IF($B359="","",IF(AND($N359="",$O359="",$P359="",$Q359="",$R359=""),"","VINCULADO: "&amp;TRIM(IF($N359&lt;&gt;"",$N359&amp;" ","")&amp;IF($O359&lt;&gt;"",$O359&amp;" ","")&amp;IF($P359&lt;&gt;"",$P359&amp;" ","")&amp;IF($Q359&lt;&gt;"",$Q359&amp;" ","")&amp;IF($R359&lt;&gt;"",$R359,""))))</f>
        <v/>
      </c>
    </row>
    <row r="360" customFormat="false" ht="15" hidden="false" customHeight="false" outlineLevel="0" collapsed="false">
      <c r="A360" s="30" t="str">
        <f aca="false">IF($B360="","","LAN-"&amp;TEXT(ROW()-4,"000000"))</f>
        <v/>
      </c>
      <c r="B360" s="31"/>
      <c r="C360" s="32"/>
      <c r="D360" s="32"/>
      <c r="E360" s="32"/>
      <c r="F360" s="33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4" t="str">
        <f aca="false">IF($B360="","",YEAR($B360))</f>
        <v/>
      </c>
      <c r="U360" s="34" t="str">
        <f aca="false">IF($B360="","",MONTH($B360))</f>
        <v/>
      </c>
      <c r="V360" s="34" t="str">
        <f aca="false">IF($B360="","",YEAR($B360)*100+MONTH($B360))</f>
        <v/>
      </c>
      <c r="W360" s="35" t="str">
        <f aca="false">IF($D360="","",IFERROR(INDEX(MAP_CLASS,MATCH($D360,MAP_TIPO,0)),"TIPO INVALIDO"))</f>
        <v/>
      </c>
      <c r="X360" s="35" t="str">
        <f aca="false">IF($K360="","",IFERROR(INDEX(CAT_NOME,MATCH($K360,CAT_ID,0)),"?"))</f>
        <v/>
      </c>
      <c r="Y360" s="35" t="str">
        <f aca="false">IF($L360="","",IFERROR(INDEX(SUB_NOME,MATCH($L360,SUB_ID,0)),"?"))</f>
        <v/>
      </c>
      <c r="Z360" s="35" t="str">
        <f aca="false">IF($G360="","",IF($G360="EXTERNO","(Externo)",IFERROR(INDEX(ENT_NOME,MATCH($H360,ENT_ID,0)),"?")))</f>
        <v/>
      </c>
      <c r="AA360" s="35" t="str">
        <f aca="false">IF($I360="","",IF($I360="EXTERNO","(Externo)",IFERROR(INDEX(ENT_NOME,MATCH($J360,ENT_ID,0)),"?")))</f>
        <v/>
      </c>
      <c r="AB360" s="36" t="n">
        <f aca="false">IF($B360="",0,IF(AND($I360="CONTA",$G360&lt;&gt;"CONTA"),$F360,0))</f>
        <v>0</v>
      </c>
      <c r="AC360" s="36" t="n">
        <f aca="false">IF($B360="",0,IF(AND($G360="CONTA",$I360&lt;&gt;"CONTA"),$F360,0))</f>
        <v>0</v>
      </c>
      <c r="AD360" s="36" t="n">
        <f aca="false">IF($W360="RECEITA",$F360,0)</f>
        <v>0</v>
      </c>
      <c r="AE360" s="36" t="n">
        <f aca="false">IF($W360="DESPESA",$F360,0)</f>
        <v>0</v>
      </c>
      <c r="AF360" s="36" t="n">
        <f aca="false">IF($W360="RECEITA_FINANCEIRA",$F360,0)</f>
        <v>0</v>
      </c>
      <c r="AG360" s="36" t="n">
        <f aca="false">IF($B360="",0,IF($I360="CONTA",$F360,0)-IF($G360="CONTA",$F360,0))</f>
        <v>0</v>
      </c>
      <c r="AH360" s="36" t="n">
        <f aca="false">IF($B360="",0,IF($G360="CARTAO",$F360,0)-IF($I360="CARTAO",$F360,0))</f>
        <v>0</v>
      </c>
      <c r="AI360" s="36" t="n">
        <f aca="false">IF($B360="",0,IF($I360="INVESTIMENTO",$F360,0)-IF($G360="INVESTIMENTO",$F360,0))</f>
        <v>0</v>
      </c>
      <c r="AJ360" s="35" t="str">
        <f aca="false">IF($B360="","",IF(NOT(ISNUMBER($F360)),"ERRO: valor nao numerico",IF($F360&lt;=0,"ERRO: valor deve ser maior que zero",IF(COUNTIF(MAP_TIPO,$D360)=0,"ERRO: tipo de operacao nao cadastrado",IF(COUNTIF(LST_STATUS,$E360)=0,"ERRO: status invalido",IF(AND($G360="EXTERNO",$I360="EXTERNO"),"ERRO: origem e destino externos",IF(AND($G360&lt;&gt;"EXTERNO",COUNTIFS(ENT_ID,$H360,ENT_TIPO,$G360)=0),"ERRO: origem inexistente",IF(AND($I360&lt;&gt;"EXTERNO",COUNTIFS(ENT_ID,$J360,ENT_TIPO,$I360)=0),"ERRO: destino inexistente",IF(AND($K360&lt;&gt;"",COUNTIF(CAT_ID,$K360)=0),"ERRO: categoria inexistente",IF(AND($L360&lt;&gt;"",COUNTIF(SUB_ID,$L360)=0),"ERRO: subcategoria inexistente",IF(AND($L360&lt;&gt;"",$K360&lt;&gt;"",IFERROR(INDEX(SUB_CATID,MATCH($L360,SUB_ID,0)),"")&lt;&gt;$K360),"ERRO: subcategoria nao pertence a categoria",IF(AND($O360&lt;&gt;"",COUNTIF(P_ID,$O360)=0),"ERRO: parcela inexistente",IF(AND($N360&lt;&gt;"",COUNTIF(CM_ID,$N360)=0),"ERRO: compromisso inexistente","OK")))))))))))))</f>
        <v/>
      </c>
      <c r="AK360" s="35" t="str">
        <f aca="false">IF($B360="","",IF(AND($N360="",$O360="",$P360="",$Q360="",$R360=""),"","VINCULADO: "&amp;TRIM(IF($N360&lt;&gt;"",$N360&amp;" ","")&amp;IF($O360&lt;&gt;"",$O360&amp;" ","")&amp;IF($P360&lt;&gt;"",$P360&amp;" ","")&amp;IF($Q360&lt;&gt;"",$Q360&amp;" ","")&amp;IF($R360&lt;&gt;"",$R360,""))))</f>
        <v/>
      </c>
    </row>
    <row r="361" customFormat="false" ht="15" hidden="false" customHeight="false" outlineLevel="0" collapsed="false">
      <c r="A361" s="30" t="str">
        <f aca="false">IF($B361="","","LAN-"&amp;TEXT(ROW()-4,"000000"))</f>
        <v/>
      </c>
      <c r="B361" s="31"/>
      <c r="C361" s="32"/>
      <c r="D361" s="32"/>
      <c r="E361" s="32"/>
      <c r="F361" s="33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4" t="str">
        <f aca="false">IF($B361="","",YEAR($B361))</f>
        <v/>
      </c>
      <c r="U361" s="34" t="str">
        <f aca="false">IF($B361="","",MONTH($B361))</f>
        <v/>
      </c>
      <c r="V361" s="34" t="str">
        <f aca="false">IF($B361="","",YEAR($B361)*100+MONTH($B361))</f>
        <v/>
      </c>
      <c r="W361" s="35" t="str">
        <f aca="false">IF($D361="","",IFERROR(INDEX(MAP_CLASS,MATCH($D361,MAP_TIPO,0)),"TIPO INVALIDO"))</f>
        <v/>
      </c>
      <c r="X361" s="35" t="str">
        <f aca="false">IF($K361="","",IFERROR(INDEX(CAT_NOME,MATCH($K361,CAT_ID,0)),"?"))</f>
        <v/>
      </c>
      <c r="Y361" s="35" t="str">
        <f aca="false">IF($L361="","",IFERROR(INDEX(SUB_NOME,MATCH($L361,SUB_ID,0)),"?"))</f>
        <v/>
      </c>
      <c r="Z361" s="35" t="str">
        <f aca="false">IF($G361="","",IF($G361="EXTERNO","(Externo)",IFERROR(INDEX(ENT_NOME,MATCH($H361,ENT_ID,0)),"?")))</f>
        <v/>
      </c>
      <c r="AA361" s="35" t="str">
        <f aca="false">IF($I361="","",IF($I361="EXTERNO","(Externo)",IFERROR(INDEX(ENT_NOME,MATCH($J361,ENT_ID,0)),"?")))</f>
        <v/>
      </c>
      <c r="AB361" s="36" t="n">
        <f aca="false">IF($B361="",0,IF(AND($I361="CONTA",$G361&lt;&gt;"CONTA"),$F361,0))</f>
        <v>0</v>
      </c>
      <c r="AC361" s="36" t="n">
        <f aca="false">IF($B361="",0,IF(AND($G361="CONTA",$I361&lt;&gt;"CONTA"),$F361,0))</f>
        <v>0</v>
      </c>
      <c r="AD361" s="36" t="n">
        <f aca="false">IF($W361="RECEITA",$F361,0)</f>
        <v>0</v>
      </c>
      <c r="AE361" s="36" t="n">
        <f aca="false">IF($W361="DESPESA",$F361,0)</f>
        <v>0</v>
      </c>
      <c r="AF361" s="36" t="n">
        <f aca="false">IF($W361="RECEITA_FINANCEIRA",$F361,0)</f>
        <v>0</v>
      </c>
      <c r="AG361" s="36" t="n">
        <f aca="false">IF($B361="",0,IF($I361="CONTA",$F361,0)-IF($G361="CONTA",$F361,0))</f>
        <v>0</v>
      </c>
      <c r="AH361" s="36" t="n">
        <f aca="false">IF($B361="",0,IF($G361="CARTAO",$F361,0)-IF($I361="CARTAO",$F361,0))</f>
        <v>0</v>
      </c>
      <c r="AI361" s="36" t="n">
        <f aca="false">IF($B361="",0,IF($I361="INVESTIMENTO",$F361,0)-IF($G361="INVESTIMENTO",$F361,0))</f>
        <v>0</v>
      </c>
      <c r="AJ361" s="35" t="str">
        <f aca="false">IF($B361="","",IF(NOT(ISNUMBER($F361)),"ERRO: valor nao numerico",IF($F361&lt;=0,"ERRO: valor deve ser maior que zero",IF(COUNTIF(MAP_TIPO,$D361)=0,"ERRO: tipo de operacao nao cadastrado",IF(COUNTIF(LST_STATUS,$E361)=0,"ERRO: status invalido",IF(AND($G361="EXTERNO",$I361="EXTERNO"),"ERRO: origem e destino externos",IF(AND($G361&lt;&gt;"EXTERNO",COUNTIFS(ENT_ID,$H361,ENT_TIPO,$G361)=0),"ERRO: origem inexistente",IF(AND($I361&lt;&gt;"EXTERNO",COUNTIFS(ENT_ID,$J361,ENT_TIPO,$I361)=0),"ERRO: destino inexistente",IF(AND($K361&lt;&gt;"",COUNTIF(CAT_ID,$K361)=0),"ERRO: categoria inexistente",IF(AND($L361&lt;&gt;"",COUNTIF(SUB_ID,$L361)=0),"ERRO: subcategoria inexistente",IF(AND($L361&lt;&gt;"",$K361&lt;&gt;"",IFERROR(INDEX(SUB_CATID,MATCH($L361,SUB_ID,0)),"")&lt;&gt;$K361),"ERRO: subcategoria nao pertence a categoria",IF(AND($O361&lt;&gt;"",COUNTIF(P_ID,$O361)=0),"ERRO: parcela inexistente",IF(AND($N361&lt;&gt;"",COUNTIF(CM_ID,$N361)=0),"ERRO: compromisso inexistente","OK")))))))))))))</f>
        <v/>
      </c>
      <c r="AK361" s="35" t="str">
        <f aca="false">IF($B361="","",IF(AND($N361="",$O361="",$P361="",$Q361="",$R361=""),"","VINCULADO: "&amp;TRIM(IF($N361&lt;&gt;"",$N361&amp;" ","")&amp;IF($O361&lt;&gt;"",$O361&amp;" ","")&amp;IF($P361&lt;&gt;"",$P361&amp;" ","")&amp;IF($Q361&lt;&gt;"",$Q361&amp;" ","")&amp;IF($R361&lt;&gt;"",$R361,""))))</f>
        <v/>
      </c>
    </row>
    <row r="362" customFormat="false" ht="15" hidden="false" customHeight="false" outlineLevel="0" collapsed="false">
      <c r="A362" s="30" t="str">
        <f aca="false">IF($B362="","","LAN-"&amp;TEXT(ROW()-4,"000000"))</f>
        <v/>
      </c>
      <c r="B362" s="31"/>
      <c r="C362" s="32"/>
      <c r="D362" s="32"/>
      <c r="E362" s="32"/>
      <c r="F362" s="33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4" t="str">
        <f aca="false">IF($B362="","",YEAR($B362))</f>
        <v/>
      </c>
      <c r="U362" s="34" t="str">
        <f aca="false">IF($B362="","",MONTH($B362))</f>
        <v/>
      </c>
      <c r="V362" s="34" t="str">
        <f aca="false">IF($B362="","",YEAR($B362)*100+MONTH($B362))</f>
        <v/>
      </c>
      <c r="W362" s="35" t="str">
        <f aca="false">IF($D362="","",IFERROR(INDEX(MAP_CLASS,MATCH($D362,MAP_TIPO,0)),"TIPO INVALIDO"))</f>
        <v/>
      </c>
      <c r="X362" s="35" t="str">
        <f aca="false">IF($K362="","",IFERROR(INDEX(CAT_NOME,MATCH($K362,CAT_ID,0)),"?"))</f>
        <v/>
      </c>
      <c r="Y362" s="35" t="str">
        <f aca="false">IF($L362="","",IFERROR(INDEX(SUB_NOME,MATCH($L362,SUB_ID,0)),"?"))</f>
        <v/>
      </c>
      <c r="Z362" s="35" t="str">
        <f aca="false">IF($G362="","",IF($G362="EXTERNO","(Externo)",IFERROR(INDEX(ENT_NOME,MATCH($H362,ENT_ID,0)),"?")))</f>
        <v/>
      </c>
      <c r="AA362" s="35" t="str">
        <f aca="false">IF($I362="","",IF($I362="EXTERNO","(Externo)",IFERROR(INDEX(ENT_NOME,MATCH($J362,ENT_ID,0)),"?")))</f>
        <v/>
      </c>
      <c r="AB362" s="36" t="n">
        <f aca="false">IF($B362="",0,IF(AND($I362="CONTA",$G362&lt;&gt;"CONTA"),$F362,0))</f>
        <v>0</v>
      </c>
      <c r="AC362" s="36" t="n">
        <f aca="false">IF($B362="",0,IF(AND($G362="CONTA",$I362&lt;&gt;"CONTA"),$F362,0))</f>
        <v>0</v>
      </c>
      <c r="AD362" s="36" t="n">
        <f aca="false">IF($W362="RECEITA",$F362,0)</f>
        <v>0</v>
      </c>
      <c r="AE362" s="36" t="n">
        <f aca="false">IF($W362="DESPESA",$F362,0)</f>
        <v>0</v>
      </c>
      <c r="AF362" s="36" t="n">
        <f aca="false">IF($W362="RECEITA_FINANCEIRA",$F362,0)</f>
        <v>0</v>
      </c>
      <c r="AG362" s="36" t="n">
        <f aca="false">IF($B362="",0,IF($I362="CONTA",$F362,0)-IF($G362="CONTA",$F362,0))</f>
        <v>0</v>
      </c>
      <c r="AH362" s="36" t="n">
        <f aca="false">IF($B362="",0,IF($G362="CARTAO",$F362,0)-IF($I362="CARTAO",$F362,0))</f>
        <v>0</v>
      </c>
      <c r="AI362" s="36" t="n">
        <f aca="false">IF($B362="",0,IF($I362="INVESTIMENTO",$F362,0)-IF($G362="INVESTIMENTO",$F362,0))</f>
        <v>0</v>
      </c>
      <c r="AJ362" s="35" t="str">
        <f aca="false">IF($B362="","",IF(NOT(ISNUMBER($F362)),"ERRO: valor nao numerico",IF($F362&lt;=0,"ERRO: valor deve ser maior que zero",IF(COUNTIF(MAP_TIPO,$D362)=0,"ERRO: tipo de operacao nao cadastrado",IF(COUNTIF(LST_STATUS,$E362)=0,"ERRO: status invalido",IF(AND($G362="EXTERNO",$I362="EXTERNO"),"ERRO: origem e destino externos",IF(AND($G362&lt;&gt;"EXTERNO",COUNTIFS(ENT_ID,$H362,ENT_TIPO,$G362)=0),"ERRO: origem inexistente",IF(AND($I362&lt;&gt;"EXTERNO",COUNTIFS(ENT_ID,$J362,ENT_TIPO,$I362)=0),"ERRO: destino inexistente",IF(AND($K362&lt;&gt;"",COUNTIF(CAT_ID,$K362)=0),"ERRO: categoria inexistente",IF(AND($L362&lt;&gt;"",COUNTIF(SUB_ID,$L362)=0),"ERRO: subcategoria inexistente",IF(AND($L362&lt;&gt;"",$K362&lt;&gt;"",IFERROR(INDEX(SUB_CATID,MATCH($L362,SUB_ID,0)),"")&lt;&gt;$K362),"ERRO: subcategoria nao pertence a categoria",IF(AND($O362&lt;&gt;"",COUNTIF(P_ID,$O362)=0),"ERRO: parcela inexistente",IF(AND($N362&lt;&gt;"",COUNTIF(CM_ID,$N362)=0),"ERRO: compromisso inexistente","OK")))))))))))))</f>
        <v/>
      </c>
      <c r="AK362" s="35" t="str">
        <f aca="false">IF($B362="","",IF(AND($N362="",$O362="",$P362="",$Q362="",$R362=""),"","VINCULADO: "&amp;TRIM(IF($N362&lt;&gt;"",$N362&amp;" ","")&amp;IF($O362&lt;&gt;"",$O362&amp;" ","")&amp;IF($P362&lt;&gt;"",$P362&amp;" ","")&amp;IF($Q362&lt;&gt;"",$Q362&amp;" ","")&amp;IF($R362&lt;&gt;"",$R362,""))))</f>
        <v/>
      </c>
    </row>
    <row r="363" customFormat="false" ht="15" hidden="false" customHeight="false" outlineLevel="0" collapsed="false">
      <c r="A363" s="30" t="str">
        <f aca="false">IF($B363="","","LAN-"&amp;TEXT(ROW()-4,"000000"))</f>
        <v/>
      </c>
      <c r="B363" s="31"/>
      <c r="C363" s="32"/>
      <c r="D363" s="32"/>
      <c r="E363" s="32"/>
      <c r="F363" s="33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4" t="str">
        <f aca="false">IF($B363="","",YEAR($B363))</f>
        <v/>
      </c>
      <c r="U363" s="34" t="str">
        <f aca="false">IF($B363="","",MONTH($B363))</f>
        <v/>
      </c>
      <c r="V363" s="34" t="str">
        <f aca="false">IF($B363="","",YEAR($B363)*100+MONTH($B363))</f>
        <v/>
      </c>
      <c r="W363" s="35" t="str">
        <f aca="false">IF($D363="","",IFERROR(INDEX(MAP_CLASS,MATCH($D363,MAP_TIPO,0)),"TIPO INVALIDO"))</f>
        <v/>
      </c>
      <c r="X363" s="35" t="str">
        <f aca="false">IF($K363="","",IFERROR(INDEX(CAT_NOME,MATCH($K363,CAT_ID,0)),"?"))</f>
        <v/>
      </c>
      <c r="Y363" s="35" t="str">
        <f aca="false">IF($L363="","",IFERROR(INDEX(SUB_NOME,MATCH($L363,SUB_ID,0)),"?"))</f>
        <v/>
      </c>
      <c r="Z363" s="35" t="str">
        <f aca="false">IF($G363="","",IF($G363="EXTERNO","(Externo)",IFERROR(INDEX(ENT_NOME,MATCH($H363,ENT_ID,0)),"?")))</f>
        <v/>
      </c>
      <c r="AA363" s="35" t="str">
        <f aca="false">IF($I363="","",IF($I363="EXTERNO","(Externo)",IFERROR(INDEX(ENT_NOME,MATCH($J363,ENT_ID,0)),"?")))</f>
        <v/>
      </c>
      <c r="AB363" s="36" t="n">
        <f aca="false">IF($B363="",0,IF(AND($I363="CONTA",$G363&lt;&gt;"CONTA"),$F363,0))</f>
        <v>0</v>
      </c>
      <c r="AC363" s="36" t="n">
        <f aca="false">IF($B363="",0,IF(AND($G363="CONTA",$I363&lt;&gt;"CONTA"),$F363,0))</f>
        <v>0</v>
      </c>
      <c r="AD363" s="36" t="n">
        <f aca="false">IF($W363="RECEITA",$F363,0)</f>
        <v>0</v>
      </c>
      <c r="AE363" s="36" t="n">
        <f aca="false">IF($W363="DESPESA",$F363,0)</f>
        <v>0</v>
      </c>
      <c r="AF363" s="36" t="n">
        <f aca="false">IF($W363="RECEITA_FINANCEIRA",$F363,0)</f>
        <v>0</v>
      </c>
      <c r="AG363" s="36" t="n">
        <f aca="false">IF($B363="",0,IF($I363="CONTA",$F363,0)-IF($G363="CONTA",$F363,0))</f>
        <v>0</v>
      </c>
      <c r="AH363" s="36" t="n">
        <f aca="false">IF($B363="",0,IF($G363="CARTAO",$F363,0)-IF($I363="CARTAO",$F363,0))</f>
        <v>0</v>
      </c>
      <c r="AI363" s="36" t="n">
        <f aca="false">IF($B363="",0,IF($I363="INVESTIMENTO",$F363,0)-IF($G363="INVESTIMENTO",$F363,0))</f>
        <v>0</v>
      </c>
      <c r="AJ363" s="35" t="str">
        <f aca="false">IF($B363="","",IF(NOT(ISNUMBER($F363)),"ERRO: valor nao numerico",IF($F363&lt;=0,"ERRO: valor deve ser maior que zero",IF(COUNTIF(MAP_TIPO,$D363)=0,"ERRO: tipo de operacao nao cadastrado",IF(COUNTIF(LST_STATUS,$E363)=0,"ERRO: status invalido",IF(AND($G363="EXTERNO",$I363="EXTERNO"),"ERRO: origem e destino externos",IF(AND($G363&lt;&gt;"EXTERNO",COUNTIFS(ENT_ID,$H363,ENT_TIPO,$G363)=0),"ERRO: origem inexistente",IF(AND($I363&lt;&gt;"EXTERNO",COUNTIFS(ENT_ID,$J363,ENT_TIPO,$I363)=0),"ERRO: destino inexistente",IF(AND($K363&lt;&gt;"",COUNTIF(CAT_ID,$K363)=0),"ERRO: categoria inexistente",IF(AND($L363&lt;&gt;"",COUNTIF(SUB_ID,$L363)=0),"ERRO: subcategoria inexistente",IF(AND($L363&lt;&gt;"",$K363&lt;&gt;"",IFERROR(INDEX(SUB_CATID,MATCH($L363,SUB_ID,0)),"")&lt;&gt;$K363),"ERRO: subcategoria nao pertence a categoria",IF(AND($O363&lt;&gt;"",COUNTIF(P_ID,$O363)=0),"ERRO: parcela inexistente",IF(AND($N363&lt;&gt;"",COUNTIF(CM_ID,$N363)=0),"ERRO: compromisso inexistente","OK")))))))))))))</f>
        <v/>
      </c>
      <c r="AK363" s="35" t="str">
        <f aca="false">IF($B363="","",IF(AND($N363="",$O363="",$P363="",$Q363="",$R363=""),"","VINCULADO: "&amp;TRIM(IF($N363&lt;&gt;"",$N363&amp;" ","")&amp;IF($O363&lt;&gt;"",$O363&amp;" ","")&amp;IF($P363&lt;&gt;"",$P363&amp;" ","")&amp;IF($Q363&lt;&gt;"",$Q363&amp;" ","")&amp;IF($R363&lt;&gt;"",$R363,""))))</f>
        <v/>
      </c>
    </row>
    <row r="364" customFormat="false" ht="15" hidden="false" customHeight="false" outlineLevel="0" collapsed="false">
      <c r="A364" s="30" t="str">
        <f aca="false">IF($B364="","","LAN-"&amp;TEXT(ROW()-4,"000000"))</f>
        <v/>
      </c>
      <c r="B364" s="31"/>
      <c r="C364" s="32"/>
      <c r="D364" s="32"/>
      <c r="E364" s="32"/>
      <c r="F364" s="33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4" t="str">
        <f aca="false">IF($B364="","",YEAR($B364))</f>
        <v/>
      </c>
      <c r="U364" s="34" t="str">
        <f aca="false">IF($B364="","",MONTH($B364))</f>
        <v/>
      </c>
      <c r="V364" s="34" t="str">
        <f aca="false">IF($B364="","",YEAR($B364)*100+MONTH($B364))</f>
        <v/>
      </c>
      <c r="W364" s="35" t="str">
        <f aca="false">IF($D364="","",IFERROR(INDEX(MAP_CLASS,MATCH($D364,MAP_TIPO,0)),"TIPO INVALIDO"))</f>
        <v/>
      </c>
      <c r="X364" s="35" t="str">
        <f aca="false">IF($K364="","",IFERROR(INDEX(CAT_NOME,MATCH($K364,CAT_ID,0)),"?"))</f>
        <v/>
      </c>
      <c r="Y364" s="35" t="str">
        <f aca="false">IF($L364="","",IFERROR(INDEX(SUB_NOME,MATCH($L364,SUB_ID,0)),"?"))</f>
        <v/>
      </c>
      <c r="Z364" s="35" t="str">
        <f aca="false">IF($G364="","",IF($G364="EXTERNO","(Externo)",IFERROR(INDEX(ENT_NOME,MATCH($H364,ENT_ID,0)),"?")))</f>
        <v/>
      </c>
      <c r="AA364" s="35" t="str">
        <f aca="false">IF($I364="","",IF($I364="EXTERNO","(Externo)",IFERROR(INDEX(ENT_NOME,MATCH($J364,ENT_ID,0)),"?")))</f>
        <v/>
      </c>
      <c r="AB364" s="36" t="n">
        <f aca="false">IF($B364="",0,IF(AND($I364="CONTA",$G364&lt;&gt;"CONTA"),$F364,0))</f>
        <v>0</v>
      </c>
      <c r="AC364" s="36" t="n">
        <f aca="false">IF($B364="",0,IF(AND($G364="CONTA",$I364&lt;&gt;"CONTA"),$F364,0))</f>
        <v>0</v>
      </c>
      <c r="AD364" s="36" t="n">
        <f aca="false">IF($W364="RECEITA",$F364,0)</f>
        <v>0</v>
      </c>
      <c r="AE364" s="36" t="n">
        <f aca="false">IF($W364="DESPESA",$F364,0)</f>
        <v>0</v>
      </c>
      <c r="AF364" s="36" t="n">
        <f aca="false">IF($W364="RECEITA_FINANCEIRA",$F364,0)</f>
        <v>0</v>
      </c>
      <c r="AG364" s="36" t="n">
        <f aca="false">IF($B364="",0,IF($I364="CONTA",$F364,0)-IF($G364="CONTA",$F364,0))</f>
        <v>0</v>
      </c>
      <c r="AH364" s="36" t="n">
        <f aca="false">IF($B364="",0,IF($G364="CARTAO",$F364,0)-IF($I364="CARTAO",$F364,0))</f>
        <v>0</v>
      </c>
      <c r="AI364" s="36" t="n">
        <f aca="false">IF($B364="",0,IF($I364="INVESTIMENTO",$F364,0)-IF($G364="INVESTIMENTO",$F364,0))</f>
        <v>0</v>
      </c>
      <c r="AJ364" s="35" t="str">
        <f aca="false">IF($B364="","",IF(NOT(ISNUMBER($F364)),"ERRO: valor nao numerico",IF($F364&lt;=0,"ERRO: valor deve ser maior que zero",IF(COUNTIF(MAP_TIPO,$D364)=0,"ERRO: tipo de operacao nao cadastrado",IF(COUNTIF(LST_STATUS,$E364)=0,"ERRO: status invalido",IF(AND($G364="EXTERNO",$I364="EXTERNO"),"ERRO: origem e destino externos",IF(AND($G364&lt;&gt;"EXTERNO",COUNTIFS(ENT_ID,$H364,ENT_TIPO,$G364)=0),"ERRO: origem inexistente",IF(AND($I364&lt;&gt;"EXTERNO",COUNTIFS(ENT_ID,$J364,ENT_TIPO,$I364)=0),"ERRO: destino inexistente",IF(AND($K364&lt;&gt;"",COUNTIF(CAT_ID,$K364)=0),"ERRO: categoria inexistente",IF(AND($L364&lt;&gt;"",COUNTIF(SUB_ID,$L364)=0),"ERRO: subcategoria inexistente",IF(AND($L364&lt;&gt;"",$K364&lt;&gt;"",IFERROR(INDEX(SUB_CATID,MATCH($L364,SUB_ID,0)),"")&lt;&gt;$K364),"ERRO: subcategoria nao pertence a categoria",IF(AND($O364&lt;&gt;"",COUNTIF(P_ID,$O364)=0),"ERRO: parcela inexistente",IF(AND($N364&lt;&gt;"",COUNTIF(CM_ID,$N364)=0),"ERRO: compromisso inexistente","OK")))))))))))))</f>
        <v/>
      </c>
      <c r="AK364" s="35" t="str">
        <f aca="false">IF($B364="","",IF(AND($N364="",$O364="",$P364="",$Q364="",$R364=""),"","VINCULADO: "&amp;TRIM(IF($N364&lt;&gt;"",$N364&amp;" ","")&amp;IF($O364&lt;&gt;"",$O364&amp;" ","")&amp;IF($P364&lt;&gt;"",$P364&amp;" ","")&amp;IF($Q364&lt;&gt;"",$Q364&amp;" ","")&amp;IF($R364&lt;&gt;"",$R364,""))))</f>
        <v/>
      </c>
    </row>
    <row r="365" customFormat="false" ht="15" hidden="false" customHeight="false" outlineLevel="0" collapsed="false">
      <c r="A365" s="30" t="str">
        <f aca="false">IF($B365="","","LAN-"&amp;TEXT(ROW()-4,"000000"))</f>
        <v/>
      </c>
      <c r="B365" s="31"/>
      <c r="C365" s="32"/>
      <c r="D365" s="32"/>
      <c r="E365" s="32"/>
      <c r="F365" s="33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4" t="str">
        <f aca="false">IF($B365="","",YEAR($B365))</f>
        <v/>
      </c>
      <c r="U365" s="34" t="str">
        <f aca="false">IF($B365="","",MONTH($B365))</f>
        <v/>
      </c>
      <c r="V365" s="34" t="str">
        <f aca="false">IF($B365="","",YEAR($B365)*100+MONTH($B365))</f>
        <v/>
      </c>
      <c r="W365" s="35" t="str">
        <f aca="false">IF($D365="","",IFERROR(INDEX(MAP_CLASS,MATCH($D365,MAP_TIPO,0)),"TIPO INVALIDO"))</f>
        <v/>
      </c>
      <c r="X365" s="35" t="str">
        <f aca="false">IF($K365="","",IFERROR(INDEX(CAT_NOME,MATCH($K365,CAT_ID,0)),"?"))</f>
        <v/>
      </c>
      <c r="Y365" s="35" t="str">
        <f aca="false">IF($L365="","",IFERROR(INDEX(SUB_NOME,MATCH($L365,SUB_ID,0)),"?"))</f>
        <v/>
      </c>
      <c r="Z365" s="35" t="str">
        <f aca="false">IF($G365="","",IF($G365="EXTERNO","(Externo)",IFERROR(INDEX(ENT_NOME,MATCH($H365,ENT_ID,0)),"?")))</f>
        <v/>
      </c>
      <c r="AA365" s="35" t="str">
        <f aca="false">IF($I365="","",IF($I365="EXTERNO","(Externo)",IFERROR(INDEX(ENT_NOME,MATCH($J365,ENT_ID,0)),"?")))</f>
        <v/>
      </c>
      <c r="AB365" s="36" t="n">
        <f aca="false">IF($B365="",0,IF(AND($I365="CONTA",$G365&lt;&gt;"CONTA"),$F365,0))</f>
        <v>0</v>
      </c>
      <c r="AC365" s="36" t="n">
        <f aca="false">IF($B365="",0,IF(AND($G365="CONTA",$I365&lt;&gt;"CONTA"),$F365,0))</f>
        <v>0</v>
      </c>
      <c r="AD365" s="36" t="n">
        <f aca="false">IF($W365="RECEITA",$F365,0)</f>
        <v>0</v>
      </c>
      <c r="AE365" s="36" t="n">
        <f aca="false">IF($W365="DESPESA",$F365,0)</f>
        <v>0</v>
      </c>
      <c r="AF365" s="36" t="n">
        <f aca="false">IF($W365="RECEITA_FINANCEIRA",$F365,0)</f>
        <v>0</v>
      </c>
      <c r="AG365" s="36" t="n">
        <f aca="false">IF($B365="",0,IF($I365="CONTA",$F365,0)-IF($G365="CONTA",$F365,0))</f>
        <v>0</v>
      </c>
      <c r="AH365" s="36" t="n">
        <f aca="false">IF($B365="",0,IF($G365="CARTAO",$F365,0)-IF($I365="CARTAO",$F365,0))</f>
        <v>0</v>
      </c>
      <c r="AI365" s="36" t="n">
        <f aca="false">IF($B365="",0,IF($I365="INVESTIMENTO",$F365,0)-IF($G365="INVESTIMENTO",$F365,0))</f>
        <v>0</v>
      </c>
      <c r="AJ365" s="35" t="str">
        <f aca="false">IF($B365="","",IF(NOT(ISNUMBER($F365)),"ERRO: valor nao numerico",IF($F365&lt;=0,"ERRO: valor deve ser maior que zero",IF(COUNTIF(MAP_TIPO,$D365)=0,"ERRO: tipo de operacao nao cadastrado",IF(COUNTIF(LST_STATUS,$E365)=0,"ERRO: status invalido",IF(AND($G365="EXTERNO",$I365="EXTERNO"),"ERRO: origem e destino externos",IF(AND($G365&lt;&gt;"EXTERNO",COUNTIFS(ENT_ID,$H365,ENT_TIPO,$G365)=0),"ERRO: origem inexistente",IF(AND($I365&lt;&gt;"EXTERNO",COUNTIFS(ENT_ID,$J365,ENT_TIPO,$I365)=0),"ERRO: destino inexistente",IF(AND($K365&lt;&gt;"",COUNTIF(CAT_ID,$K365)=0),"ERRO: categoria inexistente",IF(AND($L365&lt;&gt;"",COUNTIF(SUB_ID,$L365)=0),"ERRO: subcategoria inexistente",IF(AND($L365&lt;&gt;"",$K365&lt;&gt;"",IFERROR(INDEX(SUB_CATID,MATCH($L365,SUB_ID,0)),"")&lt;&gt;$K365),"ERRO: subcategoria nao pertence a categoria",IF(AND($O365&lt;&gt;"",COUNTIF(P_ID,$O365)=0),"ERRO: parcela inexistente",IF(AND($N365&lt;&gt;"",COUNTIF(CM_ID,$N365)=0),"ERRO: compromisso inexistente","OK")))))))))))))</f>
        <v/>
      </c>
      <c r="AK365" s="35" t="str">
        <f aca="false">IF($B365="","",IF(AND($N365="",$O365="",$P365="",$Q365="",$R365=""),"","VINCULADO: "&amp;TRIM(IF($N365&lt;&gt;"",$N365&amp;" ","")&amp;IF($O365&lt;&gt;"",$O365&amp;" ","")&amp;IF($P365&lt;&gt;"",$P365&amp;" ","")&amp;IF($Q365&lt;&gt;"",$Q365&amp;" ","")&amp;IF($R365&lt;&gt;"",$R365,""))))</f>
        <v/>
      </c>
    </row>
    <row r="366" customFormat="false" ht="15" hidden="false" customHeight="false" outlineLevel="0" collapsed="false">
      <c r="A366" s="30" t="str">
        <f aca="false">IF($B366="","","LAN-"&amp;TEXT(ROW()-4,"000000"))</f>
        <v/>
      </c>
      <c r="B366" s="31"/>
      <c r="C366" s="32"/>
      <c r="D366" s="32"/>
      <c r="E366" s="32"/>
      <c r="F366" s="33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4" t="str">
        <f aca="false">IF($B366="","",YEAR($B366))</f>
        <v/>
      </c>
      <c r="U366" s="34" t="str">
        <f aca="false">IF($B366="","",MONTH($B366))</f>
        <v/>
      </c>
      <c r="V366" s="34" t="str">
        <f aca="false">IF($B366="","",YEAR($B366)*100+MONTH($B366))</f>
        <v/>
      </c>
      <c r="W366" s="35" t="str">
        <f aca="false">IF($D366="","",IFERROR(INDEX(MAP_CLASS,MATCH($D366,MAP_TIPO,0)),"TIPO INVALIDO"))</f>
        <v/>
      </c>
      <c r="X366" s="35" t="str">
        <f aca="false">IF($K366="","",IFERROR(INDEX(CAT_NOME,MATCH($K366,CAT_ID,0)),"?"))</f>
        <v/>
      </c>
      <c r="Y366" s="35" t="str">
        <f aca="false">IF($L366="","",IFERROR(INDEX(SUB_NOME,MATCH($L366,SUB_ID,0)),"?"))</f>
        <v/>
      </c>
      <c r="Z366" s="35" t="str">
        <f aca="false">IF($G366="","",IF($G366="EXTERNO","(Externo)",IFERROR(INDEX(ENT_NOME,MATCH($H366,ENT_ID,0)),"?")))</f>
        <v/>
      </c>
      <c r="AA366" s="35" t="str">
        <f aca="false">IF($I366="","",IF($I366="EXTERNO","(Externo)",IFERROR(INDEX(ENT_NOME,MATCH($J366,ENT_ID,0)),"?")))</f>
        <v/>
      </c>
      <c r="AB366" s="36" t="n">
        <f aca="false">IF($B366="",0,IF(AND($I366="CONTA",$G366&lt;&gt;"CONTA"),$F366,0))</f>
        <v>0</v>
      </c>
      <c r="AC366" s="36" t="n">
        <f aca="false">IF($B366="",0,IF(AND($G366="CONTA",$I366&lt;&gt;"CONTA"),$F366,0))</f>
        <v>0</v>
      </c>
      <c r="AD366" s="36" t="n">
        <f aca="false">IF($W366="RECEITA",$F366,0)</f>
        <v>0</v>
      </c>
      <c r="AE366" s="36" t="n">
        <f aca="false">IF($W366="DESPESA",$F366,0)</f>
        <v>0</v>
      </c>
      <c r="AF366" s="36" t="n">
        <f aca="false">IF($W366="RECEITA_FINANCEIRA",$F366,0)</f>
        <v>0</v>
      </c>
      <c r="AG366" s="36" t="n">
        <f aca="false">IF($B366="",0,IF($I366="CONTA",$F366,0)-IF($G366="CONTA",$F366,0))</f>
        <v>0</v>
      </c>
      <c r="AH366" s="36" t="n">
        <f aca="false">IF($B366="",0,IF($G366="CARTAO",$F366,0)-IF($I366="CARTAO",$F366,0))</f>
        <v>0</v>
      </c>
      <c r="AI366" s="36" t="n">
        <f aca="false">IF($B366="",0,IF($I366="INVESTIMENTO",$F366,0)-IF($G366="INVESTIMENTO",$F366,0))</f>
        <v>0</v>
      </c>
      <c r="AJ366" s="35" t="str">
        <f aca="false">IF($B366="","",IF(NOT(ISNUMBER($F366)),"ERRO: valor nao numerico",IF($F366&lt;=0,"ERRO: valor deve ser maior que zero",IF(COUNTIF(MAP_TIPO,$D366)=0,"ERRO: tipo de operacao nao cadastrado",IF(COUNTIF(LST_STATUS,$E366)=0,"ERRO: status invalido",IF(AND($G366="EXTERNO",$I366="EXTERNO"),"ERRO: origem e destino externos",IF(AND($G366&lt;&gt;"EXTERNO",COUNTIFS(ENT_ID,$H366,ENT_TIPO,$G366)=0),"ERRO: origem inexistente",IF(AND($I366&lt;&gt;"EXTERNO",COUNTIFS(ENT_ID,$J366,ENT_TIPO,$I366)=0),"ERRO: destino inexistente",IF(AND($K366&lt;&gt;"",COUNTIF(CAT_ID,$K366)=0),"ERRO: categoria inexistente",IF(AND($L366&lt;&gt;"",COUNTIF(SUB_ID,$L366)=0),"ERRO: subcategoria inexistente",IF(AND($L366&lt;&gt;"",$K366&lt;&gt;"",IFERROR(INDEX(SUB_CATID,MATCH($L366,SUB_ID,0)),"")&lt;&gt;$K366),"ERRO: subcategoria nao pertence a categoria",IF(AND($O366&lt;&gt;"",COUNTIF(P_ID,$O366)=0),"ERRO: parcela inexistente",IF(AND($N366&lt;&gt;"",COUNTIF(CM_ID,$N366)=0),"ERRO: compromisso inexistente","OK")))))))))))))</f>
        <v/>
      </c>
      <c r="AK366" s="35" t="str">
        <f aca="false">IF($B366="","",IF(AND($N366="",$O366="",$P366="",$Q366="",$R366=""),"","VINCULADO: "&amp;TRIM(IF($N366&lt;&gt;"",$N366&amp;" ","")&amp;IF($O366&lt;&gt;"",$O366&amp;" ","")&amp;IF($P366&lt;&gt;"",$P366&amp;" ","")&amp;IF($Q366&lt;&gt;"",$Q366&amp;" ","")&amp;IF($R366&lt;&gt;"",$R366,""))))</f>
        <v/>
      </c>
    </row>
    <row r="367" customFormat="false" ht="15" hidden="false" customHeight="false" outlineLevel="0" collapsed="false">
      <c r="A367" s="30" t="str">
        <f aca="false">IF($B367="","","LAN-"&amp;TEXT(ROW()-4,"000000"))</f>
        <v/>
      </c>
      <c r="B367" s="31"/>
      <c r="C367" s="32"/>
      <c r="D367" s="32"/>
      <c r="E367" s="32"/>
      <c r="F367" s="33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4" t="str">
        <f aca="false">IF($B367="","",YEAR($B367))</f>
        <v/>
      </c>
      <c r="U367" s="34" t="str">
        <f aca="false">IF($B367="","",MONTH($B367))</f>
        <v/>
      </c>
      <c r="V367" s="34" t="str">
        <f aca="false">IF($B367="","",YEAR($B367)*100+MONTH($B367))</f>
        <v/>
      </c>
      <c r="W367" s="35" t="str">
        <f aca="false">IF($D367="","",IFERROR(INDEX(MAP_CLASS,MATCH($D367,MAP_TIPO,0)),"TIPO INVALIDO"))</f>
        <v/>
      </c>
      <c r="X367" s="35" t="str">
        <f aca="false">IF($K367="","",IFERROR(INDEX(CAT_NOME,MATCH($K367,CAT_ID,0)),"?"))</f>
        <v/>
      </c>
      <c r="Y367" s="35" t="str">
        <f aca="false">IF($L367="","",IFERROR(INDEX(SUB_NOME,MATCH($L367,SUB_ID,0)),"?"))</f>
        <v/>
      </c>
      <c r="Z367" s="35" t="str">
        <f aca="false">IF($G367="","",IF($G367="EXTERNO","(Externo)",IFERROR(INDEX(ENT_NOME,MATCH($H367,ENT_ID,0)),"?")))</f>
        <v/>
      </c>
      <c r="AA367" s="35" t="str">
        <f aca="false">IF($I367="","",IF($I367="EXTERNO","(Externo)",IFERROR(INDEX(ENT_NOME,MATCH($J367,ENT_ID,0)),"?")))</f>
        <v/>
      </c>
      <c r="AB367" s="36" t="n">
        <f aca="false">IF($B367="",0,IF(AND($I367="CONTA",$G367&lt;&gt;"CONTA"),$F367,0))</f>
        <v>0</v>
      </c>
      <c r="AC367" s="36" t="n">
        <f aca="false">IF($B367="",0,IF(AND($G367="CONTA",$I367&lt;&gt;"CONTA"),$F367,0))</f>
        <v>0</v>
      </c>
      <c r="AD367" s="36" t="n">
        <f aca="false">IF($W367="RECEITA",$F367,0)</f>
        <v>0</v>
      </c>
      <c r="AE367" s="36" t="n">
        <f aca="false">IF($W367="DESPESA",$F367,0)</f>
        <v>0</v>
      </c>
      <c r="AF367" s="36" t="n">
        <f aca="false">IF($W367="RECEITA_FINANCEIRA",$F367,0)</f>
        <v>0</v>
      </c>
      <c r="AG367" s="36" t="n">
        <f aca="false">IF($B367="",0,IF($I367="CONTA",$F367,0)-IF($G367="CONTA",$F367,0))</f>
        <v>0</v>
      </c>
      <c r="AH367" s="36" t="n">
        <f aca="false">IF($B367="",0,IF($G367="CARTAO",$F367,0)-IF($I367="CARTAO",$F367,0))</f>
        <v>0</v>
      </c>
      <c r="AI367" s="36" t="n">
        <f aca="false">IF($B367="",0,IF($I367="INVESTIMENTO",$F367,0)-IF($G367="INVESTIMENTO",$F367,0))</f>
        <v>0</v>
      </c>
      <c r="AJ367" s="35" t="str">
        <f aca="false">IF($B367="","",IF(NOT(ISNUMBER($F367)),"ERRO: valor nao numerico",IF($F367&lt;=0,"ERRO: valor deve ser maior que zero",IF(COUNTIF(MAP_TIPO,$D367)=0,"ERRO: tipo de operacao nao cadastrado",IF(COUNTIF(LST_STATUS,$E367)=0,"ERRO: status invalido",IF(AND($G367="EXTERNO",$I367="EXTERNO"),"ERRO: origem e destino externos",IF(AND($G367&lt;&gt;"EXTERNO",COUNTIFS(ENT_ID,$H367,ENT_TIPO,$G367)=0),"ERRO: origem inexistente",IF(AND($I367&lt;&gt;"EXTERNO",COUNTIFS(ENT_ID,$J367,ENT_TIPO,$I367)=0),"ERRO: destino inexistente",IF(AND($K367&lt;&gt;"",COUNTIF(CAT_ID,$K367)=0),"ERRO: categoria inexistente",IF(AND($L367&lt;&gt;"",COUNTIF(SUB_ID,$L367)=0),"ERRO: subcategoria inexistente",IF(AND($L367&lt;&gt;"",$K367&lt;&gt;"",IFERROR(INDEX(SUB_CATID,MATCH($L367,SUB_ID,0)),"")&lt;&gt;$K367),"ERRO: subcategoria nao pertence a categoria",IF(AND($O367&lt;&gt;"",COUNTIF(P_ID,$O367)=0),"ERRO: parcela inexistente",IF(AND($N367&lt;&gt;"",COUNTIF(CM_ID,$N367)=0),"ERRO: compromisso inexistente","OK")))))))))))))</f>
        <v/>
      </c>
      <c r="AK367" s="35" t="str">
        <f aca="false">IF($B367="","",IF(AND($N367="",$O367="",$P367="",$Q367="",$R367=""),"","VINCULADO: "&amp;TRIM(IF($N367&lt;&gt;"",$N367&amp;" ","")&amp;IF($O367&lt;&gt;"",$O367&amp;" ","")&amp;IF($P367&lt;&gt;"",$P367&amp;" ","")&amp;IF($Q367&lt;&gt;"",$Q367&amp;" ","")&amp;IF($R367&lt;&gt;"",$R367,""))))</f>
        <v/>
      </c>
    </row>
    <row r="368" customFormat="false" ht="15" hidden="false" customHeight="false" outlineLevel="0" collapsed="false">
      <c r="A368" s="30" t="str">
        <f aca="false">IF($B368="","","LAN-"&amp;TEXT(ROW()-4,"000000"))</f>
        <v/>
      </c>
      <c r="B368" s="31"/>
      <c r="C368" s="32"/>
      <c r="D368" s="32"/>
      <c r="E368" s="32"/>
      <c r="F368" s="33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4" t="str">
        <f aca="false">IF($B368="","",YEAR($B368))</f>
        <v/>
      </c>
      <c r="U368" s="34" t="str">
        <f aca="false">IF($B368="","",MONTH($B368))</f>
        <v/>
      </c>
      <c r="V368" s="34" t="str">
        <f aca="false">IF($B368="","",YEAR($B368)*100+MONTH($B368))</f>
        <v/>
      </c>
      <c r="W368" s="35" t="str">
        <f aca="false">IF($D368="","",IFERROR(INDEX(MAP_CLASS,MATCH($D368,MAP_TIPO,0)),"TIPO INVALIDO"))</f>
        <v/>
      </c>
      <c r="X368" s="35" t="str">
        <f aca="false">IF($K368="","",IFERROR(INDEX(CAT_NOME,MATCH($K368,CAT_ID,0)),"?"))</f>
        <v/>
      </c>
      <c r="Y368" s="35" t="str">
        <f aca="false">IF($L368="","",IFERROR(INDEX(SUB_NOME,MATCH($L368,SUB_ID,0)),"?"))</f>
        <v/>
      </c>
      <c r="Z368" s="35" t="str">
        <f aca="false">IF($G368="","",IF($G368="EXTERNO","(Externo)",IFERROR(INDEX(ENT_NOME,MATCH($H368,ENT_ID,0)),"?")))</f>
        <v/>
      </c>
      <c r="AA368" s="35" t="str">
        <f aca="false">IF($I368="","",IF($I368="EXTERNO","(Externo)",IFERROR(INDEX(ENT_NOME,MATCH($J368,ENT_ID,0)),"?")))</f>
        <v/>
      </c>
      <c r="AB368" s="36" t="n">
        <f aca="false">IF($B368="",0,IF(AND($I368="CONTA",$G368&lt;&gt;"CONTA"),$F368,0))</f>
        <v>0</v>
      </c>
      <c r="AC368" s="36" t="n">
        <f aca="false">IF($B368="",0,IF(AND($G368="CONTA",$I368&lt;&gt;"CONTA"),$F368,0))</f>
        <v>0</v>
      </c>
      <c r="AD368" s="36" t="n">
        <f aca="false">IF($W368="RECEITA",$F368,0)</f>
        <v>0</v>
      </c>
      <c r="AE368" s="36" t="n">
        <f aca="false">IF($W368="DESPESA",$F368,0)</f>
        <v>0</v>
      </c>
      <c r="AF368" s="36" t="n">
        <f aca="false">IF($W368="RECEITA_FINANCEIRA",$F368,0)</f>
        <v>0</v>
      </c>
      <c r="AG368" s="36" t="n">
        <f aca="false">IF($B368="",0,IF($I368="CONTA",$F368,0)-IF($G368="CONTA",$F368,0))</f>
        <v>0</v>
      </c>
      <c r="AH368" s="36" t="n">
        <f aca="false">IF($B368="",0,IF($G368="CARTAO",$F368,0)-IF($I368="CARTAO",$F368,0))</f>
        <v>0</v>
      </c>
      <c r="AI368" s="36" t="n">
        <f aca="false">IF($B368="",0,IF($I368="INVESTIMENTO",$F368,0)-IF($G368="INVESTIMENTO",$F368,0))</f>
        <v>0</v>
      </c>
      <c r="AJ368" s="35" t="str">
        <f aca="false">IF($B368="","",IF(NOT(ISNUMBER($F368)),"ERRO: valor nao numerico",IF($F368&lt;=0,"ERRO: valor deve ser maior que zero",IF(COUNTIF(MAP_TIPO,$D368)=0,"ERRO: tipo de operacao nao cadastrado",IF(COUNTIF(LST_STATUS,$E368)=0,"ERRO: status invalido",IF(AND($G368="EXTERNO",$I368="EXTERNO"),"ERRO: origem e destino externos",IF(AND($G368&lt;&gt;"EXTERNO",COUNTIFS(ENT_ID,$H368,ENT_TIPO,$G368)=0),"ERRO: origem inexistente",IF(AND($I368&lt;&gt;"EXTERNO",COUNTIFS(ENT_ID,$J368,ENT_TIPO,$I368)=0),"ERRO: destino inexistente",IF(AND($K368&lt;&gt;"",COUNTIF(CAT_ID,$K368)=0),"ERRO: categoria inexistente",IF(AND($L368&lt;&gt;"",COUNTIF(SUB_ID,$L368)=0),"ERRO: subcategoria inexistente",IF(AND($L368&lt;&gt;"",$K368&lt;&gt;"",IFERROR(INDEX(SUB_CATID,MATCH($L368,SUB_ID,0)),"")&lt;&gt;$K368),"ERRO: subcategoria nao pertence a categoria",IF(AND($O368&lt;&gt;"",COUNTIF(P_ID,$O368)=0),"ERRO: parcela inexistente",IF(AND($N368&lt;&gt;"",COUNTIF(CM_ID,$N368)=0),"ERRO: compromisso inexistente","OK")))))))))))))</f>
        <v/>
      </c>
      <c r="AK368" s="35" t="str">
        <f aca="false">IF($B368="","",IF(AND($N368="",$O368="",$P368="",$Q368="",$R368=""),"","VINCULADO: "&amp;TRIM(IF($N368&lt;&gt;"",$N368&amp;" ","")&amp;IF($O368&lt;&gt;"",$O368&amp;" ","")&amp;IF($P368&lt;&gt;"",$P368&amp;" ","")&amp;IF($Q368&lt;&gt;"",$Q368&amp;" ","")&amp;IF($R368&lt;&gt;"",$R368,""))))</f>
        <v/>
      </c>
    </row>
    <row r="369" customFormat="false" ht="15" hidden="false" customHeight="false" outlineLevel="0" collapsed="false">
      <c r="A369" s="30" t="str">
        <f aca="false">IF($B369="","","LAN-"&amp;TEXT(ROW()-4,"000000"))</f>
        <v/>
      </c>
      <c r="B369" s="31"/>
      <c r="C369" s="32"/>
      <c r="D369" s="32"/>
      <c r="E369" s="32"/>
      <c r="F369" s="33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4" t="str">
        <f aca="false">IF($B369="","",YEAR($B369))</f>
        <v/>
      </c>
      <c r="U369" s="34" t="str">
        <f aca="false">IF($B369="","",MONTH($B369))</f>
        <v/>
      </c>
      <c r="V369" s="34" t="str">
        <f aca="false">IF($B369="","",YEAR($B369)*100+MONTH($B369))</f>
        <v/>
      </c>
      <c r="W369" s="35" t="str">
        <f aca="false">IF($D369="","",IFERROR(INDEX(MAP_CLASS,MATCH($D369,MAP_TIPO,0)),"TIPO INVALIDO"))</f>
        <v/>
      </c>
      <c r="X369" s="35" t="str">
        <f aca="false">IF($K369="","",IFERROR(INDEX(CAT_NOME,MATCH($K369,CAT_ID,0)),"?"))</f>
        <v/>
      </c>
      <c r="Y369" s="35" t="str">
        <f aca="false">IF($L369="","",IFERROR(INDEX(SUB_NOME,MATCH($L369,SUB_ID,0)),"?"))</f>
        <v/>
      </c>
      <c r="Z369" s="35" t="str">
        <f aca="false">IF($G369="","",IF($G369="EXTERNO","(Externo)",IFERROR(INDEX(ENT_NOME,MATCH($H369,ENT_ID,0)),"?")))</f>
        <v/>
      </c>
      <c r="AA369" s="35" t="str">
        <f aca="false">IF($I369="","",IF($I369="EXTERNO","(Externo)",IFERROR(INDEX(ENT_NOME,MATCH($J369,ENT_ID,0)),"?")))</f>
        <v/>
      </c>
      <c r="AB369" s="36" t="n">
        <f aca="false">IF($B369="",0,IF(AND($I369="CONTA",$G369&lt;&gt;"CONTA"),$F369,0))</f>
        <v>0</v>
      </c>
      <c r="AC369" s="36" t="n">
        <f aca="false">IF($B369="",0,IF(AND($G369="CONTA",$I369&lt;&gt;"CONTA"),$F369,0))</f>
        <v>0</v>
      </c>
      <c r="AD369" s="36" t="n">
        <f aca="false">IF($W369="RECEITA",$F369,0)</f>
        <v>0</v>
      </c>
      <c r="AE369" s="36" t="n">
        <f aca="false">IF($W369="DESPESA",$F369,0)</f>
        <v>0</v>
      </c>
      <c r="AF369" s="36" t="n">
        <f aca="false">IF($W369="RECEITA_FINANCEIRA",$F369,0)</f>
        <v>0</v>
      </c>
      <c r="AG369" s="36" t="n">
        <f aca="false">IF($B369="",0,IF($I369="CONTA",$F369,0)-IF($G369="CONTA",$F369,0))</f>
        <v>0</v>
      </c>
      <c r="AH369" s="36" t="n">
        <f aca="false">IF($B369="",0,IF($G369="CARTAO",$F369,0)-IF($I369="CARTAO",$F369,0))</f>
        <v>0</v>
      </c>
      <c r="AI369" s="36" t="n">
        <f aca="false">IF($B369="",0,IF($I369="INVESTIMENTO",$F369,0)-IF($G369="INVESTIMENTO",$F369,0))</f>
        <v>0</v>
      </c>
      <c r="AJ369" s="35" t="str">
        <f aca="false">IF($B369="","",IF(NOT(ISNUMBER($F369)),"ERRO: valor nao numerico",IF($F369&lt;=0,"ERRO: valor deve ser maior que zero",IF(COUNTIF(MAP_TIPO,$D369)=0,"ERRO: tipo de operacao nao cadastrado",IF(COUNTIF(LST_STATUS,$E369)=0,"ERRO: status invalido",IF(AND($G369="EXTERNO",$I369="EXTERNO"),"ERRO: origem e destino externos",IF(AND($G369&lt;&gt;"EXTERNO",COUNTIFS(ENT_ID,$H369,ENT_TIPO,$G369)=0),"ERRO: origem inexistente",IF(AND($I369&lt;&gt;"EXTERNO",COUNTIFS(ENT_ID,$J369,ENT_TIPO,$I369)=0),"ERRO: destino inexistente",IF(AND($K369&lt;&gt;"",COUNTIF(CAT_ID,$K369)=0),"ERRO: categoria inexistente",IF(AND($L369&lt;&gt;"",COUNTIF(SUB_ID,$L369)=0),"ERRO: subcategoria inexistente",IF(AND($L369&lt;&gt;"",$K369&lt;&gt;"",IFERROR(INDEX(SUB_CATID,MATCH($L369,SUB_ID,0)),"")&lt;&gt;$K369),"ERRO: subcategoria nao pertence a categoria",IF(AND($O369&lt;&gt;"",COUNTIF(P_ID,$O369)=0),"ERRO: parcela inexistente",IF(AND($N369&lt;&gt;"",COUNTIF(CM_ID,$N369)=0),"ERRO: compromisso inexistente","OK")))))))))))))</f>
        <v/>
      </c>
      <c r="AK369" s="35" t="str">
        <f aca="false">IF($B369="","",IF(AND($N369="",$O369="",$P369="",$Q369="",$R369=""),"","VINCULADO: "&amp;TRIM(IF($N369&lt;&gt;"",$N369&amp;" ","")&amp;IF($O369&lt;&gt;"",$O369&amp;" ","")&amp;IF($P369&lt;&gt;"",$P369&amp;" ","")&amp;IF($Q369&lt;&gt;"",$Q369&amp;" ","")&amp;IF($R369&lt;&gt;"",$R369,""))))</f>
        <v/>
      </c>
    </row>
    <row r="370" customFormat="false" ht="15" hidden="false" customHeight="false" outlineLevel="0" collapsed="false">
      <c r="A370" s="30" t="str">
        <f aca="false">IF($B370="","","LAN-"&amp;TEXT(ROW()-4,"000000"))</f>
        <v/>
      </c>
      <c r="B370" s="31"/>
      <c r="C370" s="32"/>
      <c r="D370" s="32"/>
      <c r="E370" s="32"/>
      <c r="F370" s="33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4" t="str">
        <f aca="false">IF($B370="","",YEAR($B370))</f>
        <v/>
      </c>
      <c r="U370" s="34" t="str">
        <f aca="false">IF($B370="","",MONTH($B370))</f>
        <v/>
      </c>
      <c r="V370" s="34" t="str">
        <f aca="false">IF($B370="","",YEAR($B370)*100+MONTH($B370))</f>
        <v/>
      </c>
      <c r="W370" s="35" t="str">
        <f aca="false">IF($D370="","",IFERROR(INDEX(MAP_CLASS,MATCH($D370,MAP_TIPO,0)),"TIPO INVALIDO"))</f>
        <v/>
      </c>
      <c r="X370" s="35" t="str">
        <f aca="false">IF($K370="","",IFERROR(INDEX(CAT_NOME,MATCH($K370,CAT_ID,0)),"?"))</f>
        <v/>
      </c>
      <c r="Y370" s="35" t="str">
        <f aca="false">IF($L370="","",IFERROR(INDEX(SUB_NOME,MATCH($L370,SUB_ID,0)),"?"))</f>
        <v/>
      </c>
      <c r="Z370" s="35" t="str">
        <f aca="false">IF($G370="","",IF($G370="EXTERNO","(Externo)",IFERROR(INDEX(ENT_NOME,MATCH($H370,ENT_ID,0)),"?")))</f>
        <v/>
      </c>
      <c r="AA370" s="35" t="str">
        <f aca="false">IF($I370="","",IF($I370="EXTERNO","(Externo)",IFERROR(INDEX(ENT_NOME,MATCH($J370,ENT_ID,0)),"?")))</f>
        <v/>
      </c>
      <c r="AB370" s="36" t="n">
        <f aca="false">IF($B370="",0,IF(AND($I370="CONTA",$G370&lt;&gt;"CONTA"),$F370,0))</f>
        <v>0</v>
      </c>
      <c r="AC370" s="36" t="n">
        <f aca="false">IF($B370="",0,IF(AND($G370="CONTA",$I370&lt;&gt;"CONTA"),$F370,0))</f>
        <v>0</v>
      </c>
      <c r="AD370" s="36" t="n">
        <f aca="false">IF($W370="RECEITA",$F370,0)</f>
        <v>0</v>
      </c>
      <c r="AE370" s="36" t="n">
        <f aca="false">IF($W370="DESPESA",$F370,0)</f>
        <v>0</v>
      </c>
      <c r="AF370" s="36" t="n">
        <f aca="false">IF($W370="RECEITA_FINANCEIRA",$F370,0)</f>
        <v>0</v>
      </c>
      <c r="AG370" s="36" t="n">
        <f aca="false">IF($B370="",0,IF($I370="CONTA",$F370,0)-IF($G370="CONTA",$F370,0))</f>
        <v>0</v>
      </c>
      <c r="AH370" s="36" t="n">
        <f aca="false">IF($B370="",0,IF($G370="CARTAO",$F370,0)-IF($I370="CARTAO",$F370,0))</f>
        <v>0</v>
      </c>
      <c r="AI370" s="36" t="n">
        <f aca="false">IF($B370="",0,IF($I370="INVESTIMENTO",$F370,0)-IF($G370="INVESTIMENTO",$F370,0))</f>
        <v>0</v>
      </c>
      <c r="AJ370" s="35" t="str">
        <f aca="false">IF($B370="","",IF(NOT(ISNUMBER($F370)),"ERRO: valor nao numerico",IF($F370&lt;=0,"ERRO: valor deve ser maior que zero",IF(COUNTIF(MAP_TIPO,$D370)=0,"ERRO: tipo de operacao nao cadastrado",IF(COUNTIF(LST_STATUS,$E370)=0,"ERRO: status invalido",IF(AND($G370="EXTERNO",$I370="EXTERNO"),"ERRO: origem e destino externos",IF(AND($G370&lt;&gt;"EXTERNO",COUNTIFS(ENT_ID,$H370,ENT_TIPO,$G370)=0),"ERRO: origem inexistente",IF(AND($I370&lt;&gt;"EXTERNO",COUNTIFS(ENT_ID,$J370,ENT_TIPO,$I370)=0),"ERRO: destino inexistente",IF(AND($K370&lt;&gt;"",COUNTIF(CAT_ID,$K370)=0),"ERRO: categoria inexistente",IF(AND($L370&lt;&gt;"",COUNTIF(SUB_ID,$L370)=0),"ERRO: subcategoria inexistente",IF(AND($L370&lt;&gt;"",$K370&lt;&gt;"",IFERROR(INDEX(SUB_CATID,MATCH($L370,SUB_ID,0)),"")&lt;&gt;$K370),"ERRO: subcategoria nao pertence a categoria",IF(AND($O370&lt;&gt;"",COUNTIF(P_ID,$O370)=0),"ERRO: parcela inexistente",IF(AND($N370&lt;&gt;"",COUNTIF(CM_ID,$N370)=0),"ERRO: compromisso inexistente","OK")))))))))))))</f>
        <v/>
      </c>
      <c r="AK370" s="35" t="str">
        <f aca="false">IF($B370="","",IF(AND($N370="",$O370="",$P370="",$Q370="",$R370=""),"","VINCULADO: "&amp;TRIM(IF($N370&lt;&gt;"",$N370&amp;" ","")&amp;IF($O370&lt;&gt;"",$O370&amp;" ","")&amp;IF($P370&lt;&gt;"",$P370&amp;" ","")&amp;IF($Q370&lt;&gt;"",$Q370&amp;" ","")&amp;IF($R370&lt;&gt;"",$R370,""))))</f>
        <v/>
      </c>
    </row>
    <row r="371" customFormat="false" ht="15" hidden="false" customHeight="false" outlineLevel="0" collapsed="false">
      <c r="A371" s="30" t="str">
        <f aca="false">IF($B371="","","LAN-"&amp;TEXT(ROW()-4,"000000"))</f>
        <v/>
      </c>
      <c r="B371" s="31"/>
      <c r="C371" s="32"/>
      <c r="D371" s="32"/>
      <c r="E371" s="32"/>
      <c r="F371" s="33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4" t="str">
        <f aca="false">IF($B371="","",YEAR($B371))</f>
        <v/>
      </c>
      <c r="U371" s="34" t="str">
        <f aca="false">IF($B371="","",MONTH($B371))</f>
        <v/>
      </c>
      <c r="V371" s="34" t="str">
        <f aca="false">IF($B371="","",YEAR($B371)*100+MONTH($B371))</f>
        <v/>
      </c>
      <c r="W371" s="35" t="str">
        <f aca="false">IF($D371="","",IFERROR(INDEX(MAP_CLASS,MATCH($D371,MAP_TIPO,0)),"TIPO INVALIDO"))</f>
        <v/>
      </c>
      <c r="X371" s="35" t="str">
        <f aca="false">IF($K371="","",IFERROR(INDEX(CAT_NOME,MATCH($K371,CAT_ID,0)),"?"))</f>
        <v/>
      </c>
      <c r="Y371" s="35" t="str">
        <f aca="false">IF($L371="","",IFERROR(INDEX(SUB_NOME,MATCH($L371,SUB_ID,0)),"?"))</f>
        <v/>
      </c>
      <c r="Z371" s="35" t="str">
        <f aca="false">IF($G371="","",IF($G371="EXTERNO","(Externo)",IFERROR(INDEX(ENT_NOME,MATCH($H371,ENT_ID,0)),"?")))</f>
        <v/>
      </c>
      <c r="AA371" s="35" t="str">
        <f aca="false">IF($I371="","",IF($I371="EXTERNO","(Externo)",IFERROR(INDEX(ENT_NOME,MATCH($J371,ENT_ID,0)),"?")))</f>
        <v/>
      </c>
      <c r="AB371" s="36" t="n">
        <f aca="false">IF($B371="",0,IF(AND($I371="CONTA",$G371&lt;&gt;"CONTA"),$F371,0))</f>
        <v>0</v>
      </c>
      <c r="AC371" s="36" t="n">
        <f aca="false">IF($B371="",0,IF(AND($G371="CONTA",$I371&lt;&gt;"CONTA"),$F371,0))</f>
        <v>0</v>
      </c>
      <c r="AD371" s="36" t="n">
        <f aca="false">IF($W371="RECEITA",$F371,0)</f>
        <v>0</v>
      </c>
      <c r="AE371" s="36" t="n">
        <f aca="false">IF($W371="DESPESA",$F371,0)</f>
        <v>0</v>
      </c>
      <c r="AF371" s="36" t="n">
        <f aca="false">IF($W371="RECEITA_FINANCEIRA",$F371,0)</f>
        <v>0</v>
      </c>
      <c r="AG371" s="36" t="n">
        <f aca="false">IF($B371="",0,IF($I371="CONTA",$F371,0)-IF($G371="CONTA",$F371,0))</f>
        <v>0</v>
      </c>
      <c r="AH371" s="36" t="n">
        <f aca="false">IF($B371="",0,IF($G371="CARTAO",$F371,0)-IF($I371="CARTAO",$F371,0))</f>
        <v>0</v>
      </c>
      <c r="AI371" s="36" t="n">
        <f aca="false">IF($B371="",0,IF($I371="INVESTIMENTO",$F371,0)-IF($G371="INVESTIMENTO",$F371,0))</f>
        <v>0</v>
      </c>
      <c r="AJ371" s="35" t="str">
        <f aca="false">IF($B371="","",IF(NOT(ISNUMBER($F371)),"ERRO: valor nao numerico",IF($F371&lt;=0,"ERRO: valor deve ser maior que zero",IF(COUNTIF(MAP_TIPO,$D371)=0,"ERRO: tipo de operacao nao cadastrado",IF(COUNTIF(LST_STATUS,$E371)=0,"ERRO: status invalido",IF(AND($G371="EXTERNO",$I371="EXTERNO"),"ERRO: origem e destino externos",IF(AND($G371&lt;&gt;"EXTERNO",COUNTIFS(ENT_ID,$H371,ENT_TIPO,$G371)=0),"ERRO: origem inexistente",IF(AND($I371&lt;&gt;"EXTERNO",COUNTIFS(ENT_ID,$J371,ENT_TIPO,$I371)=0),"ERRO: destino inexistente",IF(AND($K371&lt;&gt;"",COUNTIF(CAT_ID,$K371)=0),"ERRO: categoria inexistente",IF(AND($L371&lt;&gt;"",COUNTIF(SUB_ID,$L371)=0),"ERRO: subcategoria inexistente",IF(AND($L371&lt;&gt;"",$K371&lt;&gt;"",IFERROR(INDEX(SUB_CATID,MATCH($L371,SUB_ID,0)),"")&lt;&gt;$K371),"ERRO: subcategoria nao pertence a categoria",IF(AND($O371&lt;&gt;"",COUNTIF(P_ID,$O371)=0),"ERRO: parcela inexistente",IF(AND($N371&lt;&gt;"",COUNTIF(CM_ID,$N371)=0),"ERRO: compromisso inexistente","OK")))))))))))))</f>
        <v/>
      </c>
      <c r="AK371" s="35" t="str">
        <f aca="false">IF($B371="","",IF(AND($N371="",$O371="",$P371="",$Q371="",$R371=""),"","VINCULADO: "&amp;TRIM(IF($N371&lt;&gt;"",$N371&amp;" ","")&amp;IF($O371&lt;&gt;"",$O371&amp;" ","")&amp;IF($P371&lt;&gt;"",$P371&amp;" ","")&amp;IF($Q371&lt;&gt;"",$Q371&amp;" ","")&amp;IF($R371&lt;&gt;"",$R371,""))))</f>
        <v/>
      </c>
    </row>
    <row r="372" customFormat="false" ht="15" hidden="false" customHeight="false" outlineLevel="0" collapsed="false">
      <c r="A372" s="30" t="str">
        <f aca="false">IF($B372="","","LAN-"&amp;TEXT(ROW()-4,"000000"))</f>
        <v/>
      </c>
      <c r="B372" s="31"/>
      <c r="C372" s="32"/>
      <c r="D372" s="32"/>
      <c r="E372" s="32"/>
      <c r="F372" s="33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4" t="str">
        <f aca="false">IF($B372="","",YEAR($B372))</f>
        <v/>
      </c>
      <c r="U372" s="34" t="str">
        <f aca="false">IF($B372="","",MONTH($B372))</f>
        <v/>
      </c>
      <c r="V372" s="34" t="str">
        <f aca="false">IF($B372="","",YEAR($B372)*100+MONTH($B372))</f>
        <v/>
      </c>
      <c r="W372" s="35" t="str">
        <f aca="false">IF($D372="","",IFERROR(INDEX(MAP_CLASS,MATCH($D372,MAP_TIPO,0)),"TIPO INVALIDO"))</f>
        <v/>
      </c>
      <c r="X372" s="35" t="str">
        <f aca="false">IF($K372="","",IFERROR(INDEX(CAT_NOME,MATCH($K372,CAT_ID,0)),"?"))</f>
        <v/>
      </c>
      <c r="Y372" s="35" t="str">
        <f aca="false">IF($L372="","",IFERROR(INDEX(SUB_NOME,MATCH($L372,SUB_ID,0)),"?"))</f>
        <v/>
      </c>
      <c r="Z372" s="35" t="str">
        <f aca="false">IF($G372="","",IF($G372="EXTERNO","(Externo)",IFERROR(INDEX(ENT_NOME,MATCH($H372,ENT_ID,0)),"?")))</f>
        <v/>
      </c>
      <c r="AA372" s="35" t="str">
        <f aca="false">IF($I372="","",IF($I372="EXTERNO","(Externo)",IFERROR(INDEX(ENT_NOME,MATCH($J372,ENT_ID,0)),"?")))</f>
        <v/>
      </c>
      <c r="AB372" s="36" t="n">
        <f aca="false">IF($B372="",0,IF(AND($I372="CONTA",$G372&lt;&gt;"CONTA"),$F372,0))</f>
        <v>0</v>
      </c>
      <c r="AC372" s="36" t="n">
        <f aca="false">IF($B372="",0,IF(AND($G372="CONTA",$I372&lt;&gt;"CONTA"),$F372,0))</f>
        <v>0</v>
      </c>
      <c r="AD372" s="36" t="n">
        <f aca="false">IF($W372="RECEITA",$F372,0)</f>
        <v>0</v>
      </c>
      <c r="AE372" s="36" t="n">
        <f aca="false">IF($W372="DESPESA",$F372,0)</f>
        <v>0</v>
      </c>
      <c r="AF372" s="36" t="n">
        <f aca="false">IF($W372="RECEITA_FINANCEIRA",$F372,0)</f>
        <v>0</v>
      </c>
      <c r="AG372" s="36" t="n">
        <f aca="false">IF($B372="",0,IF($I372="CONTA",$F372,0)-IF($G372="CONTA",$F372,0))</f>
        <v>0</v>
      </c>
      <c r="AH372" s="36" t="n">
        <f aca="false">IF($B372="",0,IF($G372="CARTAO",$F372,0)-IF($I372="CARTAO",$F372,0))</f>
        <v>0</v>
      </c>
      <c r="AI372" s="36" t="n">
        <f aca="false">IF($B372="",0,IF($I372="INVESTIMENTO",$F372,0)-IF($G372="INVESTIMENTO",$F372,0))</f>
        <v>0</v>
      </c>
      <c r="AJ372" s="35" t="str">
        <f aca="false">IF($B372="","",IF(NOT(ISNUMBER($F372)),"ERRO: valor nao numerico",IF($F372&lt;=0,"ERRO: valor deve ser maior que zero",IF(COUNTIF(MAP_TIPO,$D372)=0,"ERRO: tipo de operacao nao cadastrado",IF(COUNTIF(LST_STATUS,$E372)=0,"ERRO: status invalido",IF(AND($G372="EXTERNO",$I372="EXTERNO"),"ERRO: origem e destino externos",IF(AND($G372&lt;&gt;"EXTERNO",COUNTIFS(ENT_ID,$H372,ENT_TIPO,$G372)=0),"ERRO: origem inexistente",IF(AND($I372&lt;&gt;"EXTERNO",COUNTIFS(ENT_ID,$J372,ENT_TIPO,$I372)=0),"ERRO: destino inexistente",IF(AND($K372&lt;&gt;"",COUNTIF(CAT_ID,$K372)=0),"ERRO: categoria inexistente",IF(AND($L372&lt;&gt;"",COUNTIF(SUB_ID,$L372)=0),"ERRO: subcategoria inexistente",IF(AND($L372&lt;&gt;"",$K372&lt;&gt;"",IFERROR(INDEX(SUB_CATID,MATCH($L372,SUB_ID,0)),"")&lt;&gt;$K372),"ERRO: subcategoria nao pertence a categoria",IF(AND($O372&lt;&gt;"",COUNTIF(P_ID,$O372)=0),"ERRO: parcela inexistente",IF(AND($N372&lt;&gt;"",COUNTIF(CM_ID,$N372)=0),"ERRO: compromisso inexistente","OK")))))))))))))</f>
        <v/>
      </c>
      <c r="AK372" s="35" t="str">
        <f aca="false">IF($B372="","",IF(AND($N372="",$O372="",$P372="",$Q372="",$R372=""),"","VINCULADO: "&amp;TRIM(IF($N372&lt;&gt;"",$N372&amp;" ","")&amp;IF($O372&lt;&gt;"",$O372&amp;" ","")&amp;IF($P372&lt;&gt;"",$P372&amp;" ","")&amp;IF($Q372&lt;&gt;"",$Q372&amp;" ","")&amp;IF($R372&lt;&gt;"",$R372,""))))</f>
        <v/>
      </c>
    </row>
    <row r="373" customFormat="false" ht="15" hidden="false" customHeight="false" outlineLevel="0" collapsed="false">
      <c r="A373" s="30" t="str">
        <f aca="false">IF($B373="","","LAN-"&amp;TEXT(ROW()-4,"000000"))</f>
        <v/>
      </c>
      <c r="B373" s="31"/>
      <c r="C373" s="32"/>
      <c r="D373" s="32"/>
      <c r="E373" s="32"/>
      <c r="F373" s="33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4" t="str">
        <f aca="false">IF($B373="","",YEAR($B373))</f>
        <v/>
      </c>
      <c r="U373" s="34" t="str">
        <f aca="false">IF($B373="","",MONTH($B373))</f>
        <v/>
      </c>
      <c r="V373" s="34" t="str">
        <f aca="false">IF($B373="","",YEAR($B373)*100+MONTH($B373))</f>
        <v/>
      </c>
      <c r="W373" s="35" t="str">
        <f aca="false">IF($D373="","",IFERROR(INDEX(MAP_CLASS,MATCH($D373,MAP_TIPO,0)),"TIPO INVALIDO"))</f>
        <v/>
      </c>
      <c r="X373" s="35" t="str">
        <f aca="false">IF($K373="","",IFERROR(INDEX(CAT_NOME,MATCH($K373,CAT_ID,0)),"?"))</f>
        <v/>
      </c>
      <c r="Y373" s="35" t="str">
        <f aca="false">IF($L373="","",IFERROR(INDEX(SUB_NOME,MATCH($L373,SUB_ID,0)),"?"))</f>
        <v/>
      </c>
      <c r="Z373" s="35" t="str">
        <f aca="false">IF($G373="","",IF($G373="EXTERNO","(Externo)",IFERROR(INDEX(ENT_NOME,MATCH($H373,ENT_ID,0)),"?")))</f>
        <v/>
      </c>
      <c r="AA373" s="35" t="str">
        <f aca="false">IF($I373="","",IF($I373="EXTERNO","(Externo)",IFERROR(INDEX(ENT_NOME,MATCH($J373,ENT_ID,0)),"?")))</f>
        <v/>
      </c>
      <c r="AB373" s="36" t="n">
        <f aca="false">IF($B373="",0,IF(AND($I373="CONTA",$G373&lt;&gt;"CONTA"),$F373,0))</f>
        <v>0</v>
      </c>
      <c r="AC373" s="36" t="n">
        <f aca="false">IF($B373="",0,IF(AND($G373="CONTA",$I373&lt;&gt;"CONTA"),$F373,0))</f>
        <v>0</v>
      </c>
      <c r="AD373" s="36" t="n">
        <f aca="false">IF($W373="RECEITA",$F373,0)</f>
        <v>0</v>
      </c>
      <c r="AE373" s="36" t="n">
        <f aca="false">IF($W373="DESPESA",$F373,0)</f>
        <v>0</v>
      </c>
      <c r="AF373" s="36" t="n">
        <f aca="false">IF($W373="RECEITA_FINANCEIRA",$F373,0)</f>
        <v>0</v>
      </c>
      <c r="AG373" s="36" t="n">
        <f aca="false">IF($B373="",0,IF($I373="CONTA",$F373,0)-IF($G373="CONTA",$F373,0))</f>
        <v>0</v>
      </c>
      <c r="AH373" s="36" t="n">
        <f aca="false">IF($B373="",0,IF($G373="CARTAO",$F373,0)-IF($I373="CARTAO",$F373,0))</f>
        <v>0</v>
      </c>
      <c r="AI373" s="36" t="n">
        <f aca="false">IF($B373="",0,IF($I373="INVESTIMENTO",$F373,0)-IF($G373="INVESTIMENTO",$F373,0))</f>
        <v>0</v>
      </c>
      <c r="AJ373" s="35" t="str">
        <f aca="false">IF($B373="","",IF(NOT(ISNUMBER($F373)),"ERRO: valor nao numerico",IF($F373&lt;=0,"ERRO: valor deve ser maior que zero",IF(COUNTIF(MAP_TIPO,$D373)=0,"ERRO: tipo de operacao nao cadastrado",IF(COUNTIF(LST_STATUS,$E373)=0,"ERRO: status invalido",IF(AND($G373="EXTERNO",$I373="EXTERNO"),"ERRO: origem e destino externos",IF(AND($G373&lt;&gt;"EXTERNO",COUNTIFS(ENT_ID,$H373,ENT_TIPO,$G373)=0),"ERRO: origem inexistente",IF(AND($I373&lt;&gt;"EXTERNO",COUNTIFS(ENT_ID,$J373,ENT_TIPO,$I373)=0),"ERRO: destino inexistente",IF(AND($K373&lt;&gt;"",COUNTIF(CAT_ID,$K373)=0),"ERRO: categoria inexistente",IF(AND($L373&lt;&gt;"",COUNTIF(SUB_ID,$L373)=0),"ERRO: subcategoria inexistente",IF(AND($L373&lt;&gt;"",$K373&lt;&gt;"",IFERROR(INDEX(SUB_CATID,MATCH($L373,SUB_ID,0)),"")&lt;&gt;$K373),"ERRO: subcategoria nao pertence a categoria",IF(AND($O373&lt;&gt;"",COUNTIF(P_ID,$O373)=0),"ERRO: parcela inexistente",IF(AND($N373&lt;&gt;"",COUNTIF(CM_ID,$N373)=0),"ERRO: compromisso inexistente","OK")))))))))))))</f>
        <v/>
      </c>
      <c r="AK373" s="35" t="str">
        <f aca="false">IF($B373="","",IF(AND($N373="",$O373="",$P373="",$Q373="",$R373=""),"","VINCULADO: "&amp;TRIM(IF($N373&lt;&gt;"",$N373&amp;" ","")&amp;IF($O373&lt;&gt;"",$O373&amp;" ","")&amp;IF($P373&lt;&gt;"",$P373&amp;" ","")&amp;IF($Q373&lt;&gt;"",$Q373&amp;" ","")&amp;IF($R373&lt;&gt;"",$R373,""))))</f>
        <v/>
      </c>
    </row>
    <row r="374" customFormat="false" ht="15" hidden="false" customHeight="false" outlineLevel="0" collapsed="false">
      <c r="A374" s="30" t="str">
        <f aca="false">IF($B374="","","LAN-"&amp;TEXT(ROW()-4,"000000"))</f>
        <v/>
      </c>
      <c r="B374" s="31"/>
      <c r="C374" s="32"/>
      <c r="D374" s="32"/>
      <c r="E374" s="32"/>
      <c r="F374" s="33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4" t="str">
        <f aca="false">IF($B374="","",YEAR($B374))</f>
        <v/>
      </c>
      <c r="U374" s="34" t="str">
        <f aca="false">IF($B374="","",MONTH($B374))</f>
        <v/>
      </c>
      <c r="V374" s="34" t="str">
        <f aca="false">IF($B374="","",YEAR($B374)*100+MONTH($B374))</f>
        <v/>
      </c>
      <c r="W374" s="35" t="str">
        <f aca="false">IF($D374="","",IFERROR(INDEX(MAP_CLASS,MATCH($D374,MAP_TIPO,0)),"TIPO INVALIDO"))</f>
        <v/>
      </c>
      <c r="X374" s="35" t="str">
        <f aca="false">IF($K374="","",IFERROR(INDEX(CAT_NOME,MATCH($K374,CAT_ID,0)),"?"))</f>
        <v/>
      </c>
      <c r="Y374" s="35" t="str">
        <f aca="false">IF($L374="","",IFERROR(INDEX(SUB_NOME,MATCH($L374,SUB_ID,0)),"?"))</f>
        <v/>
      </c>
      <c r="Z374" s="35" t="str">
        <f aca="false">IF($G374="","",IF($G374="EXTERNO","(Externo)",IFERROR(INDEX(ENT_NOME,MATCH($H374,ENT_ID,0)),"?")))</f>
        <v/>
      </c>
      <c r="AA374" s="35" t="str">
        <f aca="false">IF($I374="","",IF($I374="EXTERNO","(Externo)",IFERROR(INDEX(ENT_NOME,MATCH($J374,ENT_ID,0)),"?")))</f>
        <v/>
      </c>
      <c r="AB374" s="36" t="n">
        <f aca="false">IF($B374="",0,IF(AND($I374="CONTA",$G374&lt;&gt;"CONTA"),$F374,0))</f>
        <v>0</v>
      </c>
      <c r="AC374" s="36" t="n">
        <f aca="false">IF($B374="",0,IF(AND($G374="CONTA",$I374&lt;&gt;"CONTA"),$F374,0))</f>
        <v>0</v>
      </c>
      <c r="AD374" s="36" t="n">
        <f aca="false">IF($W374="RECEITA",$F374,0)</f>
        <v>0</v>
      </c>
      <c r="AE374" s="36" t="n">
        <f aca="false">IF($W374="DESPESA",$F374,0)</f>
        <v>0</v>
      </c>
      <c r="AF374" s="36" t="n">
        <f aca="false">IF($W374="RECEITA_FINANCEIRA",$F374,0)</f>
        <v>0</v>
      </c>
      <c r="AG374" s="36" t="n">
        <f aca="false">IF($B374="",0,IF($I374="CONTA",$F374,0)-IF($G374="CONTA",$F374,0))</f>
        <v>0</v>
      </c>
      <c r="AH374" s="36" t="n">
        <f aca="false">IF($B374="",0,IF($G374="CARTAO",$F374,0)-IF($I374="CARTAO",$F374,0))</f>
        <v>0</v>
      </c>
      <c r="AI374" s="36" t="n">
        <f aca="false">IF($B374="",0,IF($I374="INVESTIMENTO",$F374,0)-IF($G374="INVESTIMENTO",$F374,0))</f>
        <v>0</v>
      </c>
      <c r="AJ374" s="35" t="str">
        <f aca="false">IF($B374="","",IF(NOT(ISNUMBER($F374)),"ERRO: valor nao numerico",IF($F374&lt;=0,"ERRO: valor deve ser maior que zero",IF(COUNTIF(MAP_TIPO,$D374)=0,"ERRO: tipo de operacao nao cadastrado",IF(COUNTIF(LST_STATUS,$E374)=0,"ERRO: status invalido",IF(AND($G374="EXTERNO",$I374="EXTERNO"),"ERRO: origem e destino externos",IF(AND($G374&lt;&gt;"EXTERNO",COUNTIFS(ENT_ID,$H374,ENT_TIPO,$G374)=0),"ERRO: origem inexistente",IF(AND($I374&lt;&gt;"EXTERNO",COUNTIFS(ENT_ID,$J374,ENT_TIPO,$I374)=0),"ERRO: destino inexistente",IF(AND($K374&lt;&gt;"",COUNTIF(CAT_ID,$K374)=0),"ERRO: categoria inexistente",IF(AND($L374&lt;&gt;"",COUNTIF(SUB_ID,$L374)=0),"ERRO: subcategoria inexistente",IF(AND($L374&lt;&gt;"",$K374&lt;&gt;"",IFERROR(INDEX(SUB_CATID,MATCH($L374,SUB_ID,0)),"")&lt;&gt;$K374),"ERRO: subcategoria nao pertence a categoria",IF(AND($O374&lt;&gt;"",COUNTIF(P_ID,$O374)=0),"ERRO: parcela inexistente",IF(AND($N374&lt;&gt;"",COUNTIF(CM_ID,$N374)=0),"ERRO: compromisso inexistente","OK")))))))))))))</f>
        <v/>
      </c>
      <c r="AK374" s="35" t="str">
        <f aca="false">IF($B374="","",IF(AND($N374="",$O374="",$P374="",$Q374="",$R374=""),"","VINCULADO: "&amp;TRIM(IF($N374&lt;&gt;"",$N374&amp;" ","")&amp;IF($O374&lt;&gt;"",$O374&amp;" ","")&amp;IF($P374&lt;&gt;"",$P374&amp;" ","")&amp;IF($Q374&lt;&gt;"",$Q374&amp;" ","")&amp;IF($R374&lt;&gt;"",$R374,""))))</f>
        <v/>
      </c>
    </row>
    <row r="375" customFormat="false" ht="15" hidden="false" customHeight="false" outlineLevel="0" collapsed="false">
      <c r="A375" s="30" t="str">
        <f aca="false">IF($B375="","","LAN-"&amp;TEXT(ROW()-4,"000000"))</f>
        <v/>
      </c>
      <c r="B375" s="31"/>
      <c r="C375" s="32"/>
      <c r="D375" s="32"/>
      <c r="E375" s="32"/>
      <c r="F375" s="33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4" t="str">
        <f aca="false">IF($B375="","",YEAR($B375))</f>
        <v/>
      </c>
      <c r="U375" s="34" t="str">
        <f aca="false">IF($B375="","",MONTH($B375))</f>
        <v/>
      </c>
      <c r="V375" s="34" t="str">
        <f aca="false">IF($B375="","",YEAR($B375)*100+MONTH($B375))</f>
        <v/>
      </c>
      <c r="W375" s="35" t="str">
        <f aca="false">IF($D375="","",IFERROR(INDEX(MAP_CLASS,MATCH($D375,MAP_TIPO,0)),"TIPO INVALIDO"))</f>
        <v/>
      </c>
      <c r="X375" s="35" t="str">
        <f aca="false">IF($K375="","",IFERROR(INDEX(CAT_NOME,MATCH($K375,CAT_ID,0)),"?"))</f>
        <v/>
      </c>
      <c r="Y375" s="35" t="str">
        <f aca="false">IF($L375="","",IFERROR(INDEX(SUB_NOME,MATCH($L375,SUB_ID,0)),"?"))</f>
        <v/>
      </c>
      <c r="Z375" s="35" t="str">
        <f aca="false">IF($G375="","",IF($G375="EXTERNO","(Externo)",IFERROR(INDEX(ENT_NOME,MATCH($H375,ENT_ID,0)),"?")))</f>
        <v/>
      </c>
      <c r="AA375" s="35" t="str">
        <f aca="false">IF($I375="","",IF($I375="EXTERNO","(Externo)",IFERROR(INDEX(ENT_NOME,MATCH($J375,ENT_ID,0)),"?")))</f>
        <v/>
      </c>
      <c r="AB375" s="36" t="n">
        <f aca="false">IF($B375="",0,IF(AND($I375="CONTA",$G375&lt;&gt;"CONTA"),$F375,0))</f>
        <v>0</v>
      </c>
      <c r="AC375" s="36" t="n">
        <f aca="false">IF($B375="",0,IF(AND($G375="CONTA",$I375&lt;&gt;"CONTA"),$F375,0))</f>
        <v>0</v>
      </c>
      <c r="AD375" s="36" t="n">
        <f aca="false">IF($W375="RECEITA",$F375,0)</f>
        <v>0</v>
      </c>
      <c r="AE375" s="36" t="n">
        <f aca="false">IF($W375="DESPESA",$F375,0)</f>
        <v>0</v>
      </c>
      <c r="AF375" s="36" t="n">
        <f aca="false">IF($W375="RECEITA_FINANCEIRA",$F375,0)</f>
        <v>0</v>
      </c>
      <c r="AG375" s="36" t="n">
        <f aca="false">IF($B375="",0,IF($I375="CONTA",$F375,0)-IF($G375="CONTA",$F375,0))</f>
        <v>0</v>
      </c>
      <c r="AH375" s="36" t="n">
        <f aca="false">IF($B375="",0,IF($G375="CARTAO",$F375,0)-IF($I375="CARTAO",$F375,0))</f>
        <v>0</v>
      </c>
      <c r="AI375" s="36" t="n">
        <f aca="false">IF($B375="",0,IF($I375="INVESTIMENTO",$F375,0)-IF($G375="INVESTIMENTO",$F375,0))</f>
        <v>0</v>
      </c>
      <c r="AJ375" s="35" t="str">
        <f aca="false">IF($B375="","",IF(NOT(ISNUMBER($F375)),"ERRO: valor nao numerico",IF($F375&lt;=0,"ERRO: valor deve ser maior que zero",IF(COUNTIF(MAP_TIPO,$D375)=0,"ERRO: tipo de operacao nao cadastrado",IF(COUNTIF(LST_STATUS,$E375)=0,"ERRO: status invalido",IF(AND($G375="EXTERNO",$I375="EXTERNO"),"ERRO: origem e destino externos",IF(AND($G375&lt;&gt;"EXTERNO",COUNTIFS(ENT_ID,$H375,ENT_TIPO,$G375)=0),"ERRO: origem inexistente",IF(AND($I375&lt;&gt;"EXTERNO",COUNTIFS(ENT_ID,$J375,ENT_TIPO,$I375)=0),"ERRO: destino inexistente",IF(AND($K375&lt;&gt;"",COUNTIF(CAT_ID,$K375)=0),"ERRO: categoria inexistente",IF(AND($L375&lt;&gt;"",COUNTIF(SUB_ID,$L375)=0),"ERRO: subcategoria inexistente",IF(AND($L375&lt;&gt;"",$K375&lt;&gt;"",IFERROR(INDEX(SUB_CATID,MATCH($L375,SUB_ID,0)),"")&lt;&gt;$K375),"ERRO: subcategoria nao pertence a categoria",IF(AND($O375&lt;&gt;"",COUNTIF(P_ID,$O375)=0),"ERRO: parcela inexistente",IF(AND($N375&lt;&gt;"",COUNTIF(CM_ID,$N375)=0),"ERRO: compromisso inexistente","OK")))))))))))))</f>
        <v/>
      </c>
      <c r="AK375" s="35" t="str">
        <f aca="false">IF($B375="","",IF(AND($N375="",$O375="",$P375="",$Q375="",$R375=""),"","VINCULADO: "&amp;TRIM(IF($N375&lt;&gt;"",$N375&amp;" ","")&amp;IF($O375&lt;&gt;"",$O375&amp;" ","")&amp;IF($P375&lt;&gt;"",$P375&amp;" ","")&amp;IF($Q375&lt;&gt;"",$Q375&amp;" ","")&amp;IF($R375&lt;&gt;"",$R375,""))))</f>
        <v/>
      </c>
    </row>
    <row r="376" customFormat="false" ht="15" hidden="false" customHeight="false" outlineLevel="0" collapsed="false">
      <c r="A376" s="30" t="str">
        <f aca="false">IF($B376="","","LAN-"&amp;TEXT(ROW()-4,"000000"))</f>
        <v/>
      </c>
      <c r="B376" s="31"/>
      <c r="C376" s="32"/>
      <c r="D376" s="32"/>
      <c r="E376" s="32"/>
      <c r="F376" s="33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4" t="str">
        <f aca="false">IF($B376="","",YEAR($B376))</f>
        <v/>
      </c>
      <c r="U376" s="34" t="str">
        <f aca="false">IF($B376="","",MONTH($B376))</f>
        <v/>
      </c>
      <c r="V376" s="34" t="str">
        <f aca="false">IF($B376="","",YEAR($B376)*100+MONTH($B376))</f>
        <v/>
      </c>
      <c r="W376" s="35" t="str">
        <f aca="false">IF($D376="","",IFERROR(INDEX(MAP_CLASS,MATCH($D376,MAP_TIPO,0)),"TIPO INVALIDO"))</f>
        <v/>
      </c>
      <c r="X376" s="35" t="str">
        <f aca="false">IF($K376="","",IFERROR(INDEX(CAT_NOME,MATCH($K376,CAT_ID,0)),"?"))</f>
        <v/>
      </c>
      <c r="Y376" s="35" t="str">
        <f aca="false">IF($L376="","",IFERROR(INDEX(SUB_NOME,MATCH($L376,SUB_ID,0)),"?"))</f>
        <v/>
      </c>
      <c r="Z376" s="35" t="str">
        <f aca="false">IF($G376="","",IF($G376="EXTERNO","(Externo)",IFERROR(INDEX(ENT_NOME,MATCH($H376,ENT_ID,0)),"?")))</f>
        <v/>
      </c>
      <c r="AA376" s="35" t="str">
        <f aca="false">IF($I376="","",IF($I376="EXTERNO","(Externo)",IFERROR(INDEX(ENT_NOME,MATCH($J376,ENT_ID,0)),"?")))</f>
        <v/>
      </c>
      <c r="AB376" s="36" t="n">
        <f aca="false">IF($B376="",0,IF(AND($I376="CONTA",$G376&lt;&gt;"CONTA"),$F376,0))</f>
        <v>0</v>
      </c>
      <c r="AC376" s="36" t="n">
        <f aca="false">IF($B376="",0,IF(AND($G376="CONTA",$I376&lt;&gt;"CONTA"),$F376,0))</f>
        <v>0</v>
      </c>
      <c r="AD376" s="36" t="n">
        <f aca="false">IF($W376="RECEITA",$F376,0)</f>
        <v>0</v>
      </c>
      <c r="AE376" s="36" t="n">
        <f aca="false">IF($W376="DESPESA",$F376,0)</f>
        <v>0</v>
      </c>
      <c r="AF376" s="36" t="n">
        <f aca="false">IF($W376="RECEITA_FINANCEIRA",$F376,0)</f>
        <v>0</v>
      </c>
      <c r="AG376" s="36" t="n">
        <f aca="false">IF($B376="",0,IF($I376="CONTA",$F376,0)-IF($G376="CONTA",$F376,0))</f>
        <v>0</v>
      </c>
      <c r="AH376" s="36" t="n">
        <f aca="false">IF($B376="",0,IF($G376="CARTAO",$F376,0)-IF($I376="CARTAO",$F376,0))</f>
        <v>0</v>
      </c>
      <c r="AI376" s="36" t="n">
        <f aca="false">IF($B376="",0,IF($I376="INVESTIMENTO",$F376,0)-IF($G376="INVESTIMENTO",$F376,0))</f>
        <v>0</v>
      </c>
      <c r="AJ376" s="35" t="str">
        <f aca="false">IF($B376="","",IF(NOT(ISNUMBER($F376)),"ERRO: valor nao numerico",IF($F376&lt;=0,"ERRO: valor deve ser maior que zero",IF(COUNTIF(MAP_TIPO,$D376)=0,"ERRO: tipo de operacao nao cadastrado",IF(COUNTIF(LST_STATUS,$E376)=0,"ERRO: status invalido",IF(AND($G376="EXTERNO",$I376="EXTERNO"),"ERRO: origem e destino externos",IF(AND($G376&lt;&gt;"EXTERNO",COUNTIFS(ENT_ID,$H376,ENT_TIPO,$G376)=0),"ERRO: origem inexistente",IF(AND($I376&lt;&gt;"EXTERNO",COUNTIFS(ENT_ID,$J376,ENT_TIPO,$I376)=0),"ERRO: destino inexistente",IF(AND($K376&lt;&gt;"",COUNTIF(CAT_ID,$K376)=0),"ERRO: categoria inexistente",IF(AND($L376&lt;&gt;"",COUNTIF(SUB_ID,$L376)=0),"ERRO: subcategoria inexistente",IF(AND($L376&lt;&gt;"",$K376&lt;&gt;"",IFERROR(INDEX(SUB_CATID,MATCH($L376,SUB_ID,0)),"")&lt;&gt;$K376),"ERRO: subcategoria nao pertence a categoria",IF(AND($O376&lt;&gt;"",COUNTIF(P_ID,$O376)=0),"ERRO: parcela inexistente",IF(AND($N376&lt;&gt;"",COUNTIF(CM_ID,$N376)=0),"ERRO: compromisso inexistente","OK")))))))))))))</f>
        <v/>
      </c>
      <c r="AK376" s="35" t="str">
        <f aca="false">IF($B376="","",IF(AND($N376="",$O376="",$P376="",$Q376="",$R376=""),"","VINCULADO: "&amp;TRIM(IF($N376&lt;&gt;"",$N376&amp;" ","")&amp;IF($O376&lt;&gt;"",$O376&amp;" ","")&amp;IF($P376&lt;&gt;"",$P376&amp;" ","")&amp;IF($Q376&lt;&gt;"",$Q376&amp;" ","")&amp;IF($R376&lt;&gt;"",$R376,""))))</f>
        <v/>
      </c>
    </row>
    <row r="377" customFormat="false" ht="15" hidden="false" customHeight="false" outlineLevel="0" collapsed="false">
      <c r="A377" s="30" t="str">
        <f aca="false">IF($B377="","","LAN-"&amp;TEXT(ROW()-4,"000000"))</f>
        <v/>
      </c>
      <c r="B377" s="31"/>
      <c r="C377" s="32"/>
      <c r="D377" s="32"/>
      <c r="E377" s="32"/>
      <c r="F377" s="33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4" t="str">
        <f aca="false">IF($B377="","",YEAR($B377))</f>
        <v/>
      </c>
      <c r="U377" s="34" t="str">
        <f aca="false">IF($B377="","",MONTH($B377))</f>
        <v/>
      </c>
      <c r="V377" s="34" t="str">
        <f aca="false">IF($B377="","",YEAR($B377)*100+MONTH($B377))</f>
        <v/>
      </c>
      <c r="W377" s="35" t="str">
        <f aca="false">IF($D377="","",IFERROR(INDEX(MAP_CLASS,MATCH($D377,MAP_TIPO,0)),"TIPO INVALIDO"))</f>
        <v/>
      </c>
      <c r="X377" s="35" t="str">
        <f aca="false">IF($K377="","",IFERROR(INDEX(CAT_NOME,MATCH($K377,CAT_ID,0)),"?"))</f>
        <v/>
      </c>
      <c r="Y377" s="35" t="str">
        <f aca="false">IF($L377="","",IFERROR(INDEX(SUB_NOME,MATCH($L377,SUB_ID,0)),"?"))</f>
        <v/>
      </c>
      <c r="Z377" s="35" t="str">
        <f aca="false">IF($G377="","",IF($G377="EXTERNO","(Externo)",IFERROR(INDEX(ENT_NOME,MATCH($H377,ENT_ID,0)),"?")))</f>
        <v/>
      </c>
      <c r="AA377" s="35" t="str">
        <f aca="false">IF($I377="","",IF($I377="EXTERNO","(Externo)",IFERROR(INDEX(ENT_NOME,MATCH($J377,ENT_ID,0)),"?")))</f>
        <v/>
      </c>
      <c r="AB377" s="36" t="n">
        <f aca="false">IF($B377="",0,IF(AND($I377="CONTA",$G377&lt;&gt;"CONTA"),$F377,0))</f>
        <v>0</v>
      </c>
      <c r="AC377" s="36" t="n">
        <f aca="false">IF($B377="",0,IF(AND($G377="CONTA",$I377&lt;&gt;"CONTA"),$F377,0))</f>
        <v>0</v>
      </c>
      <c r="AD377" s="36" t="n">
        <f aca="false">IF($W377="RECEITA",$F377,0)</f>
        <v>0</v>
      </c>
      <c r="AE377" s="36" t="n">
        <f aca="false">IF($W377="DESPESA",$F377,0)</f>
        <v>0</v>
      </c>
      <c r="AF377" s="36" t="n">
        <f aca="false">IF($W377="RECEITA_FINANCEIRA",$F377,0)</f>
        <v>0</v>
      </c>
      <c r="AG377" s="36" t="n">
        <f aca="false">IF($B377="",0,IF($I377="CONTA",$F377,0)-IF($G377="CONTA",$F377,0))</f>
        <v>0</v>
      </c>
      <c r="AH377" s="36" t="n">
        <f aca="false">IF($B377="",0,IF($G377="CARTAO",$F377,0)-IF($I377="CARTAO",$F377,0))</f>
        <v>0</v>
      </c>
      <c r="AI377" s="36" t="n">
        <f aca="false">IF($B377="",0,IF($I377="INVESTIMENTO",$F377,0)-IF($G377="INVESTIMENTO",$F377,0))</f>
        <v>0</v>
      </c>
      <c r="AJ377" s="35" t="str">
        <f aca="false">IF($B377="","",IF(NOT(ISNUMBER($F377)),"ERRO: valor nao numerico",IF($F377&lt;=0,"ERRO: valor deve ser maior que zero",IF(COUNTIF(MAP_TIPO,$D377)=0,"ERRO: tipo de operacao nao cadastrado",IF(COUNTIF(LST_STATUS,$E377)=0,"ERRO: status invalido",IF(AND($G377="EXTERNO",$I377="EXTERNO"),"ERRO: origem e destino externos",IF(AND($G377&lt;&gt;"EXTERNO",COUNTIFS(ENT_ID,$H377,ENT_TIPO,$G377)=0),"ERRO: origem inexistente",IF(AND($I377&lt;&gt;"EXTERNO",COUNTIFS(ENT_ID,$J377,ENT_TIPO,$I377)=0),"ERRO: destino inexistente",IF(AND($K377&lt;&gt;"",COUNTIF(CAT_ID,$K377)=0),"ERRO: categoria inexistente",IF(AND($L377&lt;&gt;"",COUNTIF(SUB_ID,$L377)=0),"ERRO: subcategoria inexistente",IF(AND($L377&lt;&gt;"",$K377&lt;&gt;"",IFERROR(INDEX(SUB_CATID,MATCH($L377,SUB_ID,0)),"")&lt;&gt;$K377),"ERRO: subcategoria nao pertence a categoria",IF(AND($O377&lt;&gt;"",COUNTIF(P_ID,$O377)=0),"ERRO: parcela inexistente",IF(AND($N377&lt;&gt;"",COUNTIF(CM_ID,$N377)=0),"ERRO: compromisso inexistente","OK")))))))))))))</f>
        <v/>
      </c>
      <c r="AK377" s="35" t="str">
        <f aca="false">IF($B377="","",IF(AND($N377="",$O377="",$P377="",$Q377="",$R377=""),"","VINCULADO: "&amp;TRIM(IF($N377&lt;&gt;"",$N377&amp;" ","")&amp;IF($O377&lt;&gt;"",$O377&amp;" ","")&amp;IF($P377&lt;&gt;"",$P377&amp;" ","")&amp;IF($Q377&lt;&gt;"",$Q377&amp;" ","")&amp;IF($R377&lt;&gt;"",$R377,""))))</f>
        <v/>
      </c>
    </row>
    <row r="378" customFormat="false" ht="15" hidden="false" customHeight="false" outlineLevel="0" collapsed="false">
      <c r="A378" s="30" t="str">
        <f aca="false">IF($B378="","","LAN-"&amp;TEXT(ROW()-4,"000000"))</f>
        <v/>
      </c>
      <c r="B378" s="31"/>
      <c r="C378" s="32"/>
      <c r="D378" s="32"/>
      <c r="E378" s="32"/>
      <c r="F378" s="33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4" t="str">
        <f aca="false">IF($B378="","",YEAR($B378))</f>
        <v/>
      </c>
      <c r="U378" s="34" t="str">
        <f aca="false">IF($B378="","",MONTH($B378))</f>
        <v/>
      </c>
      <c r="V378" s="34" t="str">
        <f aca="false">IF($B378="","",YEAR($B378)*100+MONTH($B378))</f>
        <v/>
      </c>
      <c r="W378" s="35" t="str">
        <f aca="false">IF($D378="","",IFERROR(INDEX(MAP_CLASS,MATCH($D378,MAP_TIPO,0)),"TIPO INVALIDO"))</f>
        <v/>
      </c>
      <c r="X378" s="35" t="str">
        <f aca="false">IF($K378="","",IFERROR(INDEX(CAT_NOME,MATCH($K378,CAT_ID,0)),"?"))</f>
        <v/>
      </c>
      <c r="Y378" s="35" t="str">
        <f aca="false">IF($L378="","",IFERROR(INDEX(SUB_NOME,MATCH($L378,SUB_ID,0)),"?"))</f>
        <v/>
      </c>
      <c r="Z378" s="35" t="str">
        <f aca="false">IF($G378="","",IF($G378="EXTERNO","(Externo)",IFERROR(INDEX(ENT_NOME,MATCH($H378,ENT_ID,0)),"?")))</f>
        <v/>
      </c>
      <c r="AA378" s="35" t="str">
        <f aca="false">IF($I378="","",IF($I378="EXTERNO","(Externo)",IFERROR(INDEX(ENT_NOME,MATCH($J378,ENT_ID,0)),"?")))</f>
        <v/>
      </c>
      <c r="AB378" s="36" t="n">
        <f aca="false">IF($B378="",0,IF(AND($I378="CONTA",$G378&lt;&gt;"CONTA"),$F378,0))</f>
        <v>0</v>
      </c>
      <c r="AC378" s="36" t="n">
        <f aca="false">IF($B378="",0,IF(AND($G378="CONTA",$I378&lt;&gt;"CONTA"),$F378,0))</f>
        <v>0</v>
      </c>
      <c r="AD378" s="36" t="n">
        <f aca="false">IF($W378="RECEITA",$F378,0)</f>
        <v>0</v>
      </c>
      <c r="AE378" s="36" t="n">
        <f aca="false">IF($W378="DESPESA",$F378,0)</f>
        <v>0</v>
      </c>
      <c r="AF378" s="36" t="n">
        <f aca="false">IF($W378="RECEITA_FINANCEIRA",$F378,0)</f>
        <v>0</v>
      </c>
      <c r="AG378" s="36" t="n">
        <f aca="false">IF($B378="",0,IF($I378="CONTA",$F378,0)-IF($G378="CONTA",$F378,0))</f>
        <v>0</v>
      </c>
      <c r="AH378" s="36" t="n">
        <f aca="false">IF($B378="",0,IF($G378="CARTAO",$F378,0)-IF($I378="CARTAO",$F378,0))</f>
        <v>0</v>
      </c>
      <c r="AI378" s="36" t="n">
        <f aca="false">IF($B378="",0,IF($I378="INVESTIMENTO",$F378,0)-IF($G378="INVESTIMENTO",$F378,0))</f>
        <v>0</v>
      </c>
      <c r="AJ378" s="35" t="str">
        <f aca="false">IF($B378="","",IF(NOT(ISNUMBER($F378)),"ERRO: valor nao numerico",IF($F378&lt;=0,"ERRO: valor deve ser maior que zero",IF(COUNTIF(MAP_TIPO,$D378)=0,"ERRO: tipo de operacao nao cadastrado",IF(COUNTIF(LST_STATUS,$E378)=0,"ERRO: status invalido",IF(AND($G378="EXTERNO",$I378="EXTERNO"),"ERRO: origem e destino externos",IF(AND($G378&lt;&gt;"EXTERNO",COUNTIFS(ENT_ID,$H378,ENT_TIPO,$G378)=0),"ERRO: origem inexistente",IF(AND($I378&lt;&gt;"EXTERNO",COUNTIFS(ENT_ID,$J378,ENT_TIPO,$I378)=0),"ERRO: destino inexistente",IF(AND($K378&lt;&gt;"",COUNTIF(CAT_ID,$K378)=0),"ERRO: categoria inexistente",IF(AND($L378&lt;&gt;"",COUNTIF(SUB_ID,$L378)=0),"ERRO: subcategoria inexistente",IF(AND($L378&lt;&gt;"",$K378&lt;&gt;"",IFERROR(INDEX(SUB_CATID,MATCH($L378,SUB_ID,0)),"")&lt;&gt;$K378),"ERRO: subcategoria nao pertence a categoria",IF(AND($O378&lt;&gt;"",COUNTIF(P_ID,$O378)=0),"ERRO: parcela inexistente",IF(AND($N378&lt;&gt;"",COUNTIF(CM_ID,$N378)=0),"ERRO: compromisso inexistente","OK")))))))))))))</f>
        <v/>
      </c>
      <c r="AK378" s="35" t="str">
        <f aca="false">IF($B378="","",IF(AND($N378="",$O378="",$P378="",$Q378="",$R378=""),"","VINCULADO: "&amp;TRIM(IF($N378&lt;&gt;"",$N378&amp;" ","")&amp;IF($O378&lt;&gt;"",$O378&amp;" ","")&amp;IF($P378&lt;&gt;"",$P378&amp;" ","")&amp;IF($Q378&lt;&gt;"",$Q378&amp;" ","")&amp;IF($R378&lt;&gt;"",$R378,""))))</f>
        <v/>
      </c>
    </row>
    <row r="379" customFormat="false" ht="15" hidden="false" customHeight="false" outlineLevel="0" collapsed="false">
      <c r="A379" s="30" t="str">
        <f aca="false">IF($B379="","","LAN-"&amp;TEXT(ROW()-4,"000000"))</f>
        <v/>
      </c>
      <c r="B379" s="31"/>
      <c r="C379" s="32"/>
      <c r="D379" s="32"/>
      <c r="E379" s="32"/>
      <c r="F379" s="33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4" t="str">
        <f aca="false">IF($B379="","",YEAR($B379))</f>
        <v/>
      </c>
      <c r="U379" s="34" t="str">
        <f aca="false">IF($B379="","",MONTH($B379))</f>
        <v/>
      </c>
      <c r="V379" s="34" t="str">
        <f aca="false">IF($B379="","",YEAR($B379)*100+MONTH($B379))</f>
        <v/>
      </c>
      <c r="W379" s="35" t="str">
        <f aca="false">IF($D379="","",IFERROR(INDEX(MAP_CLASS,MATCH($D379,MAP_TIPO,0)),"TIPO INVALIDO"))</f>
        <v/>
      </c>
      <c r="X379" s="35" t="str">
        <f aca="false">IF($K379="","",IFERROR(INDEX(CAT_NOME,MATCH($K379,CAT_ID,0)),"?"))</f>
        <v/>
      </c>
      <c r="Y379" s="35" t="str">
        <f aca="false">IF($L379="","",IFERROR(INDEX(SUB_NOME,MATCH($L379,SUB_ID,0)),"?"))</f>
        <v/>
      </c>
      <c r="Z379" s="35" t="str">
        <f aca="false">IF($G379="","",IF($G379="EXTERNO","(Externo)",IFERROR(INDEX(ENT_NOME,MATCH($H379,ENT_ID,0)),"?")))</f>
        <v/>
      </c>
      <c r="AA379" s="35" t="str">
        <f aca="false">IF($I379="","",IF($I379="EXTERNO","(Externo)",IFERROR(INDEX(ENT_NOME,MATCH($J379,ENT_ID,0)),"?")))</f>
        <v/>
      </c>
      <c r="AB379" s="36" t="n">
        <f aca="false">IF($B379="",0,IF(AND($I379="CONTA",$G379&lt;&gt;"CONTA"),$F379,0))</f>
        <v>0</v>
      </c>
      <c r="AC379" s="36" t="n">
        <f aca="false">IF($B379="",0,IF(AND($G379="CONTA",$I379&lt;&gt;"CONTA"),$F379,0))</f>
        <v>0</v>
      </c>
      <c r="AD379" s="36" t="n">
        <f aca="false">IF($W379="RECEITA",$F379,0)</f>
        <v>0</v>
      </c>
      <c r="AE379" s="36" t="n">
        <f aca="false">IF($W379="DESPESA",$F379,0)</f>
        <v>0</v>
      </c>
      <c r="AF379" s="36" t="n">
        <f aca="false">IF($W379="RECEITA_FINANCEIRA",$F379,0)</f>
        <v>0</v>
      </c>
      <c r="AG379" s="36" t="n">
        <f aca="false">IF($B379="",0,IF($I379="CONTA",$F379,0)-IF($G379="CONTA",$F379,0))</f>
        <v>0</v>
      </c>
      <c r="AH379" s="36" t="n">
        <f aca="false">IF($B379="",0,IF($G379="CARTAO",$F379,0)-IF($I379="CARTAO",$F379,0))</f>
        <v>0</v>
      </c>
      <c r="AI379" s="36" t="n">
        <f aca="false">IF($B379="",0,IF($I379="INVESTIMENTO",$F379,0)-IF($G379="INVESTIMENTO",$F379,0))</f>
        <v>0</v>
      </c>
      <c r="AJ379" s="35" t="str">
        <f aca="false">IF($B379="","",IF(NOT(ISNUMBER($F379)),"ERRO: valor nao numerico",IF($F379&lt;=0,"ERRO: valor deve ser maior que zero",IF(COUNTIF(MAP_TIPO,$D379)=0,"ERRO: tipo de operacao nao cadastrado",IF(COUNTIF(LST_STATUS,$E379)=0,"ERRO: status invalido",IF(AND($G379="EXTERNO",$I379="EXTERNO"),"ERRO: origem e destino externos",IF(AND($G379&lt;&gt;"EXTERNO",COUNTIFS(ENT_ID,$H379,ENT_TIPO,$G379)=0),"ERRO: origem inexistente",IF(AND($I379&lt;&gt;"EXTERNO",COUNTIFS(ENT_ID,$J379,ENT_TIPO,$I379)=0),"ERRO: destino inexistente",IF(AND($K379&lt;&gt;"",COUNTIF(CAT_ID,$K379)=0),"ERRO: categoria inexistente",IF(AND($L379&lt;&gt;"",COUNTIF(SUB_ID,$L379)=0),"ERRO: subcategoria inexistente",IF(AND($L379&lt;&gt;"",$K379&lt;&gt;"",IFERROR(INDEX(SUB_CATID,MATCH($L379,SUB_ID,0)),"")&lt;&gt;$K379),"ERRO: subcategoria nao pertence a categoria",IF(AND($O379&lt;&gt;"",COUNTIF(P_ID,$O379)=0),"ERRO: parcela inexistente",IF(AND($N379&lt;&gt;"",COUNTIF(CM_ID,$N379)=0),"ERRO: compromisso inexistente","OK")))))))))))))</f>
        <v/>
      </c>
      <c r="AK379" s="35" t="str">
        <f aca="false">IF($B379="","",IF(AND($N379="",$O379="",$P379="",$Q379="",$R379=""),"","VINCULADO: "&amp;TRIM(IF($N379&lt;&gt;"",$N379&amp;" ","")&amp;IF($O379&lt;&gt;"",$O379&amp;" ","")&amp;IF($P379&lt;&gt;"",$P379&amp;" ","")&amp;IF($Q379&lt;&gt;"",$Q379&amp;" ","")&amp;IF($R379&lt;&gt;"",$R379,""))))</f>
        <v/>
      </c>
    </row>
    <row r="380" customFormat="false" ht="15" hidden="false" customHeight="false" outlineLevel="0" collapsed="false">
      <c r="A380" s="30" t="str">
        <f aca="false">IF($B380="","","LAN-"&amp;TEXT(ROW()-4,"000000"))</f>
        <v/>
      </c>
      <c r="B380" s="31"/>
      <c r="C380" s="32"/>
      <c r="D380" s="32"/>
      <c r="E380" s="32"/>
      <c r="F380" s="33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4" t="str">
        <f aca="false">IF($B380="","",YEAR($B380))</f>
        <v/>
      </c>
      <c r="U380" s="34" t="str">
        <f aca="false">IF($B380="","",MONTH($B380))</f>
        <v/>
      </c>
      <c r="V380" s="34" t="str">
        <f aca="false">IF($B380="","",YEAR($B380)*100+MONTH($B380))</f>
        <v/>
      </c>
      <c r="W380" s="35" t="str">
        <f aca="false">IF($D380="","",IFERROR(INDEX(MAP_CLASS,MATCH($D380,MAP_TIPO,0)),"TIPO INVALIDO"))</f>
        <v/>
      </c>
      <c r="X380" s="35" t="str">
        <f aca="false">IF($K380="","",IFERROR(INDEX(CAT_NOME,MATCH($K380,CAT_ID,0)),"?"))</f>
        <v/>
      </c>
      <c r="Y380" s="35" t="str">
        <f aca="false">IF($L380="","",IFERROR(INDEX(SUB_NOME,MATCH($L380,SUB_ID,0)),"?"))</f>
        <v/>
      </c>
      <c r="Z380" s="35" t="str">
        <f aca="false">IF($G380="","",IF($G380="EXTERNO","(Externo)",IFERROR(INDEX(ENT_NOME,MATCH($H380,ENT_ID,0)),"?")))</f>
        <v/>
      </c>
      <c r="AA380" s="35" t="str">
        <f aca="false">IF($I380="","",IF($I380="EXTERNO","(Externo)",IFERROR(INDEX(ENT_NOME,MATCH($J380,ENT_ID,0)),"?")))</f>
        <v/>
      </c>
      <c r="AB380" s="36" t="n">
        <f aca="false">IF($B380="",0,IF(AND($I380="CONTA",$G380&lt;&gt;"CONTA"),$F380,0))</f>
        <v>0</v>
      </c>
      <c r="AC380" s="36" t="n">
        <f aca="false">IF($B380="",0,IF(AND($G380="CONTA",$I380&lt;&gt;"CONTA"),$F380,0))</f>
        <v>0</v>
      </c>
      <c r="AD380" s="36" t="n">
        <f aca="false">IF($W380="RECEITA",$F380,0)</f>
        <v>0</v>
      </c>
      <c r="AE380" s="36" t="n">
        <f aca="false">IF($W380="DESPESA",$F380,0)</f>
        <v>0</v>
      </c>
      <c r="AF380" s="36" t="n">
        <f aca="false">IF($W380="RECEITA_FINANCEIRA",$F380,0)</f>
        <v>0</v>
      </c>
      <c r="AG380" s="36" t="n">
        <f aca="false">IF($B380="",0,IF($I380="CONTA",$F380,0)-IF($G380="CONTA",$F380,0))</f>
        <v>0</v>
      </c>
      <c r="AH380" s="36" t="n">
        <f aca="false">IF($B380="",0,IF($G380="CARTAO",$F380,0)-IF($I380="CARTAO",$F380,0))</f>
        <v>0</v>
      </c>
      <c r="AI380" s="36" t="n">
        <f aca="false">IF($B380="",0,IF($I380="INVESTIMENTO",$F380,0)-IF($G380="INVESTIMENTO",$F380,0))</f>
        <v>0</v>
      </c>
      <c r="AJ380" s="35" t="str">
        <f aca="false">IF($B380="","",IF(NOT(ISNUMBER($F380)),"ERRO: valor nao numerico",IF($F380&lt;=0,"ERRO: valor deve ser maior que zero",IF(COUNTIF(MAP_TIPO,$D380)=0,"ERRO: tipo de operacao nao cadastrado",IF(COUNTIF(LST_STATUS,$E380)=0,"ERRO: status invalido",IF(AND($G380="EXTERNO",$I380="EXTERNO"),"ERRO: origem e destino externos",IF(AND($G380&lt;&gt;"EXTERNO",COUNTIFS(ENT_ID,$H380,ENT_TIPO,$G380)=0),"ERRO: origem inexistente",IF(AND($I380&lt;&gt;"EXTERNO",COUNTIFS(ENT_ID,$J380,ENT_TIPO,$I380)=0),"ERRO: destino inexistente",IF(AND($K380&lt;&gt;"",COUNTIF(CAT_ID,$K380)=0),"ERRO: categoria inexistente",IF(AND($L380&lt;&gt;"",COUNTIF(SUB_ID,$L380)=0),"ERRO: subcategoria inexistente",IF(AND($L380&lt;&gt;"",$K380&lt;&gt;"",IFERROR(INDEX(SUB_CATID,MATCH($L380,SUB_ID,0)),"")&lt;&gt;$K380),"ERRO: subcategoria nao pertence a categoria",IF(AND($O380&lt;&gt;"",COUNTIF(P_ID,$O380)=0),"ERRO: parcela inexistente",IF(AND($N380&lt;&gt;"",COUNTIF(CM_ID,$N380)=0),"ERRO: compromisso inexistente","OK")))))))))))))</f>
        <v/>
      </c>
      <c r="AK380" s="35" t="str">
        <f aca="false">IF($B380="","",IF(AND($N380="",$O380="",$P380="",$Q380="",$R380=""),"","VINCULADO: "&amp;TRIM(IF($N380&lt;&gt;"",$N380&amp;" ","")&amp;IF($O380&lt;&gt;"",$O380&amp;" ","")&amp;IF($P380&lt;&gt;"",$P380&amp;" ","")&amp;IF($Q380&lt;&gt;"",$Q380&amp;" ","")&amp;IF($R380&lt;&gt;"",$R380,""))))</f>
        <v/>
      </c>
    </row>
    <row r="381" customFormat="false" ht="15" hidden="false" customHeight="false" outlineLevel="0" collapsed="false">
      <c r="A381" s="30" t="str">
        <f aca="false">IF($B381="","","LAN-"&amp;TEXT(ROW()-4,"000000"))</f>
        <v/>
      </c>
      <c r="B381" s="31"/>
      <c r="C381" s="32"/>
      <c r="D381" s="32"/>
      <c r="E381" s="32"/>
      <c r="F381" s="33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4" t="str">
        <f aca="false">IF($B381="","",YEAR($B381))</f>
        <v/>
      </c>
      <c r="U381" s="34" t="str">
        <f aca="false">IF($B381="","",MONTH($B381))</f>
        <v/>
      </c>
      <c r="V381" s="34" t="str">
        <f aca="false">IF($B381="","",YEAR($B381)*100+MONTH($B381))</f>
        <v/>
      </c>
      <c r="W381" s="35" t="str">
        <f aca="false">IF($D381="","",IFERROR(INDEX(MAP_CLASS,MATCH($D381,MAP_TIPO,0)),"TIPO INVALIDO"))</f>
        <v/>
      </c>
      <c r="X381" s="35" t="str">
        <f aca="false">IF($K381="","",IFERROR(INDEX(CAT_NOME,MATCH($K381,CAT_ID,0)),"?"))</f>
        <v/>
      </c>
      <c r="Y381" s="35" t="str">
        <f aca="false">IF($L381="","",IFERROR(INDEX(SUB_NOME,MATCH($L381,SUB_ID,0)),"?"))</f>
        <v/>
      </c>
      <c r="Z381" s="35" t="str">
        <f aca="false">IF($G381="","",IF($G381="EXTERNO","(Externo)",IFERROR(INDEX(ENT_NOME,MATCH($H381,ENT_ID,0)),"?")))</f>
        <v/>
      </c>
      <c r="AA381" s="35" t="str">
        <f aca="false">IF($I381="","",IF($I381="EXTERNO","(Externo)",IFERROR(INDEX(ENT_NOME,MATCH($J381,ENT_ID,0)),"?")))</f>
        <v/>
      </c>
      <c r="AB381" s="36" t="n">
        <f aca="false">IF($B381="",0,IF(AND($I381="CONTA",$G381&lt;&gt;"CONTA"),$F381,0))</f>
        <v>0</v>
      </c>
      <c r="AC381" s="36" t="n">
        <f aca="false">IF($B381="",0,IF(AND($G381="CONTA",$I381&lt;&gt;"CONTA"),$F381,0))</f>
        <v>0</v>
      </c>
      <c r="AD381" s="36" t="n">
        <f aca="false">IF($W381="RECEITA",$F381,0)</f>
        <v>0</v>
      </c>
      <c r="AE381" s="36" t="n">
        <f aca="false">IF($W381="DESPESA",$F381,0)</f>
        <v>0</v>
      </c>
      <c r="AF381" s="36" t="n">
        <f aca="false">IF($W381="RECEITA_FINANCEIRA",$F381,0)</f>
        <v>0</v>
      </c>
      <c r="AG381" s="36" t="n">
        <f aca="false">IF($B381="",0,IF($I381="CONTA",$F381,0)-IF($G381="CONTA",$F381,0))</f>
        <v>0</v>
      </c>
      <c r="AH381" s="36" t="n">
        <f aca="false">IF($B381="",0,IF($G381="CARTAO",$F381,0)-IF($I381="CARTAO",$F381,0))</f>
        <v>0</v>
      </c>
      <c r="AI381" s="36" t="n">
        <f aca="false">IF($B381="",0,IF($I381="INVESTIMENTO",$F381,0)-IF($G381="INVESTIMENTO",$F381,0))</f>
        <v>0</v>
      </c>
      <c r="AJ381" s="35" t="str">
        <f aca="false">IF($B381="","",IF(NOT(ISNUMBER($F381)),"ERRO: valor nao numerico",IF($F381&lt;=0,"ERRO: valor deve ser maior que zero",IF(COUNTIF(MAP_TIPO,$D381)=0,"ERRO: tipo de operacao nao cadastrado",IF(COUNTIF(LST_STATUS,$E381)=0,"ERRO: status invalido",IF(AND($G381="EXTERNO",$I381="EXTERNO"),"ERRO: origem e destino externos",IF(AND($G381&lt;&gt;"EXTERNO",COUNTIFS(ENT_ID,$H381,ENT_TIPO,$G381)=0),"ERRO: origem inexistente",IF(AND($I381&lt;&gt;"EXTERNO",COUNTIFS(ENT_ID,$J381,ENT_TIPO,$I381)=0),"ERRO: destino inexistente",IF(AND($K381&lt;&gt;"",COUNTIF(CAT_ID,$K381)=0),"ERRO: categoria inexistente",IF(AND($L381&lt;&gt;"",COUNTIF(SUB_ID,$L381)=0),"ERRO: subcategoria inexistente",IF(AND($L381&lt;&gt;"",$K381&lt;&gt;"",IFERROR(INDEX(SUB_CATID,MATCH($L381,SUB_ID,0)),"")&lt;&gt;$K381),"ERRO: subcategoria nao pertence a categoria",IF(AND($O381&lt;&gt;"",COUNTIF(P_ID,$O381)=0),"ERRO: parcela inexistente",IF(AND($N381&lt;&gt;"",COUNTIF(CM_ID,$N381)=0),"ERRO: compromisso inexistente","OK")))))))))))))</f>
        <v/>
      </c>
      <c r="AK381" s="35" t="str">
        <f aca="false">IF($B381="","",IF(AND($N381="",$O381="",$P381="",$Q381="",$R381=""),"","VINCULADO: "&amp;TRIM(IF($N381&lt;&gt;"",$N381&amp;" ","")&amp;IF($O381&lt;&gt;"",$O381&amp;" ","")&amp;IF($P381&lt;&gt;"",$P381&amp;" ","")&amp;IF($Q381&lt;&gt;"",$Q381&amp;" ","")&amp;IF($R381&lt;&gt;"",$R381,""))))</f>
        <v/>
      </c>
    </row>
    <row r="382" customFormat="false" ht="15" hidden="false" customHeight="false" outlineLevel="0" collapsed="false">
      <c r="A382" s="30" t="str">
        <f aca="false">IF($B382="","","LAN-"&amp;TEXT(ROW()-4,"000000"))</f>
        <v/>
      </c>
      <c r="B382" s="31"/>
      <c r="C382" s="32"/>
      <c r="D382" s="32"/>
      <c r="E382" s="32"/>
      <c r="F382" s="33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4" t="str">
        <f aca="false">IF($B382="","",YEAR($B382))</f>
        <v/>
      </c>
      <c r="U382" s="34" t="str">
        <f aca="false">IF($B382="","",MONTH($B382))</f>
        <v/>
      </c>
      <c r="V382" s="34" t="str">
        <f aca="false">IF($B382="","",YEAR($B382)*100+MONTH($B382))</f>
        <v/>
      </c>
      <c r="W382" s="35" t="str">
        <f aca="false">IF($D382="","",IFERROR(INDEX(MAP_CLASS,MATCH($D382,MAP_TIPO,0)),"TIPO INVALIDO"))</f>
        <v/>
      </c>
      <c r="X382" s="35" t="str">
        <f aca="false">IF($K382="","",IFERROR(INDEX(CAT_NOME,MATCH($K382,CAT_ID,0)),"?"))</f>
        <v/>
      </c>
      <c r="Y382" s="35" t="str">
        <f aca="false">IF($L382="","",IFERROR(INDEX(SUB_NOME,MATCH($L382,SUB_ID,0)),"?"))</f>
        <v/>
      </c>
      <c r="Z382" s="35" t="str">
        <f aca="false">IF($G382="","",IF($G382="EXTERNO","(Externo)",IFERROR(INDEX(ENT_NOME,MATCH($H382,ENT_ID,0)),"?")))</f>
        <v/>
      </c>
      <c r="AA382" s="35" t="str">
        <f aca="false">IF($I382="","",IF($I382="EXTERNO","(Externo)",IFERROR(INDEX(ENT_NOME,MATCH($J382,ENT_ID,0)),"?")))</f>
        <v/>
      </c>
      <c r="AB382" s="36" t="n">
        <f aca="false">IF($B382="",0,IF(AND($I382="CONTA",$G382&lt;&gt;"CONTA"),$F382,0))</f>
        <v>0</v>
      </c>
      <c r="AC382" s="36" t="n">
        <f aca="false">IF($B382="",0,IF(AND($G382="CONTA",$I382&lt;&gt;"CONTA"),$F382,0))</f>
        <v>0</v>
      </c>
      <c r="AD382" s="36" t="n">
        <f aca="false">IF($W382="RECEITA",$F382,0)</f>
        <v>0</v>
      </c>
      <c r="AE382" s="36" t="n">
        <f aca="false">IF($W382="DESPESA",$F382,0)</f>
        <v>0</v>
      </c>
      <c r="AF382" s="36" t="n">
        <f aca="false">IF($W382="RECEITA_FINANCEIRA",$F382,0)</f>
        <v>0</v>
      </c>
      <c r="AG382" s="36" t="n">
        <f aca="false">IF($B382="",0,IF($I382="CONTA",$F382,0)-IF($G382="CONTA",$F382,0))</f>
        <v>0</v>
      </c>
      <c r="AH382" s="36" t="n">
        <f aca="false">IF($B382="",0,IF($G382="CARTAO",$F382,0)-IF($I382="CARTAO",$F382,0))</f>
        <v>0</v>
      </c>
      <c r="AI382" s="36" t="n">
        <f aca="false">IF($B382="",0,IF($I382="INVESTIMENTO",$F382,0)-IF($G382="INVESTIMENTO",$F382,0))</f>
        <v>0</v>
      </c>
      <c r="AJ382" s="35" t="str">
        <f aca="false">IF($B382="","",IF(NOT(ISNUMBER($F382)),"ERRO: valor nao numerico",IF($F382&lt;=0,"ERRO: valor deve ser maior que zero",IF(COUNTIF(MAP_TIPO,$D382)=0,"ERRO: tipo de operacao nao cadastrado",IF(COUNTIF(LST_STATUS,$E382)=0,"ERRO: status invalido",IF(AND($G382="EXTERNO",$I382="EXTERNO"),"ERRO: origem e destino externos",IF(AND($G382&lt;&gt;"EXTERNO",COUNTIFS(ENT_ID,$H382,ENT_TIPO,$G382)=0),"ERRO: origem inexistente",IF(AND($I382&lt;&gt;"EXTERNO",COUNTIFS(ENT_ID,$J382,ENT_TIPO,$I382)=0),"ERRO: destino inexistente",IF(AND($K382&lt;&gt;"",COUNTIF(CAT_ID,$K382)=0),"ERRO: categoria inexistente",IF(AND($L382&lt;&gt;"",COUNTIF(SUB_ID,$L382)=0),"ERRO: subcategoria inexistente",IF(AND($L382&lt;&gt;"",$K382&lt;&gt;"",IFERROR(INDEX(SUB_CATID,MATCH($L382,SUB_ID,0)),"")&lt;&gt;$K382),"ERRO: subcategoria nao pertence a categoria",IF(AND($O382&lt;&gt;"",COUNTIF(P_ID,$O382)=0),"ERRO: parcela inexistente",IF(AND($N382&lt;&gt;"",COUNTIF(CM_ID,$N382)=0),"ERRO: compromisso inexistente","OK")))))))))))))</f>
        <v/>
      </c>
      <c r="AK382" s="35" t="str">
        <f aca="false">IF($B382="","",IF(AND($N382="",$O382="",$P382="",$Q382="",$R382=""),"","VINCULADO: "&amp;TRIM(IF($N382&lt;&gt;"",$N382&amp;" ","")&amp;IF($O382&lt;&gt;"",$O382&amp;" ","")&amp;IF($P382&lt;&gt;"",$P382&amp;" ","")&amp;IF($Q382&lt;&gt;"",$Q382&amp;" ","")&amp;IF($R382&lt;&gt;"",$R382,""))))</f>
        <v/>
      </c>
    </row>
    <row r="383" customFormat="false" ht="15" hidden="false" customHeight="false" outlineLevel="0" collapsed="false">
      <c r="A383" s="30" t="str">
        <f aca="false">IF($B383="","","LAN-"&amp;TEXT(ROW()-4,"000000"))</f>
        <v/>
      </c>
      <c r="B383" s="31"/>
      <c r="C383" s="32"/>
      <c r="D383" s="32"/>
      <c r="E383" s="32"/>
      <c r="F383" s="33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4" t="str">
        <f aca="false">IF($B383="","",YEAR($B383))</f>
        <v/>
      </c>
      <c r="U383" s="34" t="str">
        <f aca="false">IF($B383="","",MONTH($B383))</f>
        <v/>
      </c>
      <c r="V383" s="34" t="str">
        <f aca="false">IF($B383="","",YEAR($B383)*100+MONTH($B383))</f>
        <v/>
      </c>
      <c r="W383" s="35" t="str">
        <f aca="false">IF($D383="","",IFERROR(INDEX(MAP_CLASS,MATCH($D383,MAP_TIPO,0)),"TIPO INVALIDO"))</f>
        <v/>
      </c>
      <c r="X383" s="35" t="str">
        <f aca="false">IF($K383="","",IFERROR(INDEX(CAT_NOME,MATCH($K383,CAT_ID,0)),"?"))</f>
        <v/>
      </c>
      <c r="Y383" s="35" t="str">
        <f aca="false">IF($L383="","",IFERROR(INDEX(SUB_NOME,MATCH($L383,SUB_ID,0)),"?"))</f>
        <v/>
      </c>
      <c r="Z383" s="35" t="str">
        <f aca="false">IF($G383="","",IF($G383="EXTERNO","(Externo)",IFERROR(INDEX(ENT_NOME,MATCH($H383,ENT_ID,0)),"?")))</f>
        <v/>
      </c>
      <c r="AA383" s="35" t="str">
        <f aca="false">IF($I383="","",IF($I383="EXTERNO","(Externo)",IFERROR(INDEX(ENT_NOME,MATCH($J383,ENT_ID,0)),"?")))</f>
        <v/>
      </c>
      <c r="AB383" s="36" t="n">
        <f aca="false">IF($B383="",0,IF(AND($I383="CONTA",$G383&lt;&gt;"CONTA"),$F383,0))</f>
        <v>0</v>
      </c>
      <c r="AC383" s="36" t="n">
        <f aca="false">IF($B383="",0,IF(AND($G383="CONTA",$I383&lt;&gt;"CONTA"),$F383,0))</f>
        <v>0</v>
      </c>
      <c r="AD383" s="36" t="n">
        <f aca="false">IF($W383="RECEITA",$F383,0)</f>
        <v>0</v>
      </c>
      <c r="AE383" s="36" t="n">
        <f aca="false">IF($W383="DESPESA",$F383,0)</f>
        <v>0</v>
      </c>
      <c r="AF383" s="36" t="n">
        <f aca="false">IF($W383="RECEITA_FINANCEIRA",$F383,0)</f>
        <v>0</v>
      </c>
      <c r="AG383" s="36" t="n">
        <f aca="false">IF($B383="",0,IF($I383="CONTA",$F383,0)-IF($G383="CONTA",$F383,0))</f>
        <v>0</v>
      </c>
      <c r="AH383" s="36" t="n">
        <f aca="false">IF($B383="",0,IF($G383="CARTAO",$F383,0)-IF($I383="CARTAO",$F383,0))</f>
        <v>0</v>
      </c>
      <c r="AI383" s="36" t="n">
        <f aca="false">IF($B383="",0,IF($I383="INVESTIMENTO",$F383,0)-IF($G383="INVESTIMENTO",$F383,0))</f>
        <v>0</v>
      </c>
      <c r="AJ383" s="35" t="str">
        <f aca="false">IF($B383="","",IF(NOT(ISNUMBER($F383)),"ERRO: valor nao numerico",IF($F383&lt;=0,"ERRO: valor deve ser maior que zero",IF(COUNTIF(MAP_TIPO,$D383)=0,"ERRO: tipo de operacao nao cadastrado",IF(COUNTIF(LST_STATUS,$E383)=0,"ERRO: status invalido",IF(AND($G383="EXTERNO",$I383="EXTERNO"),"ERRO: origem e destino externos",IF(AND($G383&lt;&gt;"EXTERNO",COUNTIFS(ENT_ID,$H383,ENT_TIPO,$G383)=0),"ERRO: origem inexistente",IF(AND($I383&lt;&gt;"EXTERNO",COUNTIFS(ENT_ID,$J383,ENT_TIPO,$I383)=0),"ERRO: destino inexistente",IF(AND($K383&lt;&gt;"",COUNTIF(CAT_ID,$K383)=0),"ERRO: categoria inexistente",IF(AND($L383&lt;&gt;"",COUNTIF(SUB_ID,$L383)=0),"ERRO: subcategoria inexistente",IF(AND($L383&lt;&gt;"",$K383&lt;&gt;"",IFERROR(INDEX(SUB_CATID,MATCH($L383,SUB_ID,0)),"")&lt;&gt;$K383),"ERRO: subcategoria nao pertence a categoria",IF(AND($O383&lt;&gt;"",COUNTIF(P_ID,$O383)=0),"ERRO: parcela inexistente",IF(AND($N383&lt;&gt;"",COUNTIF(CM_ID,$N383)=0),"ERRO: compromisso inexistente","OK")))))))))))))</f>
        <v/>
      </c>
      <c r="AK383" s="35" t="str">
        <f aca="false">IF($B383="","",IF(AND($N383="",$O383="",$P383="",$Q383="",$R383=""),"","VINCULADO: "&amp;TRIM(IF($N383&lt;&gt;"",$N383&amp;" ","")&amp;IF($O383&lt;&gt;"",$O383&amp;" ","")&amp;IF($P383&lt;&gt;"",$P383&amp;" ","")&amp;IF($Q383&lt;&gt;"",$Q383&amp;" ","")&amp;IF($R383&lt;&gt;"",$R383,""))))</f>
        <v/>
      </c>
    </row>
    <row r="384" customFormat="false" ht="15" hidden="false" customHeight="false" outlineLevel="0" collapsed="false">
      <c r="A384" s="30" t="str">
        <f aca="false">IF($B384="","","LAN-"&amp;TEXT(ROW()-4,"000000"))</f>
        <v/>
      </c>
      <c r="B384" s="31"/>
      <c r="C384" s="32"/>
      <c r="D384" s="32"/>
      <c r="E384" s="32"/>
      <c r="F384" s="33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4" t="str">
        <f aca="false">IF($B384="","",YEAR($B384))</f>
        <v/>
      </c>
      <c r="U384" s="34" t="str">
        <f aca="false">IF($B384="","",MONTH($B384))</f>
        <v/>
      </c>
      <c r="V384" s="34" t="str">
        <f aca="false">IF($B384="","",YEAR($B384)*100+MONTH($B384))</f>
        <v/>
      </c>
      <c r="W384" s="35" t="str">
        <f aca="false">IF($D384="","",IFERROR(INDEX(MAP_CLASS,MATCH($D384,MAP_TIPO,0)),"TIPO INVALIDO"))</f>
        <v/>
      </c>
      <c r="X384" s="35" t="str">
        <f aca="false">IF($K384="","",IFERROR(INDEX(CAT_NOME,MATCH($K384,CAT_ID,0)),"?"))</f>
        <v/>
      </c>
      <c r="Y384" s="35" t="str">
        <f aca="false">IF($L384="","",IFERROR(INDEX(SUB_NOME,MATCH($L384,SUB_ID,0)),"?"))</f>
        <v/>
      </c>
      <c r="Z384" s="35" t="str">
        <f aca="false">IF($G384="","",IF($G384="EXTERNO","(Externo)",IFERROR(INDEX(ENT_NOME,MATCH($H384,ENT_ID,0)),"?")))</f>
        <v/>
      </c>
      <c r="AA384" s="35" t="str">
        <f aca="false">IF($I384="","",IF($I384="EXTERNO","(Externo)",IFERROR(INDEX(ENT_NOME,MATCH($J384,ENT_ID,0)),"?")))</f>
        <v/>
      </c>
      <c r="AB384" s="36" t="n">
        <f aca="false">IF($B384="",0,IF(AND($I384="CONTA",$G384&lt;&gt;"CONTA"),$F384,0))</f>
        <v>0</v>
      </c>
      <c r="AC384" s="36" t="n">
        <f aca="false">IF($B384="",0,IF(AND($G384="CONTA",$I384&lt;&gt;"CONTA"),$F384,0))</f>
        <v>0</v>
      </c>
      <c r="AD384" s="36" t="n">
        <f aca="false">IF($W384="RECEITA",$F384,0)</f>
        <v>0</v>
      </c>
      <c r="AE384" s="36" t="n">
        <f aca="false">IF($W384="DESPESA",$F384,0)</f>
        <v>0</v>
      </c>
      <c r="AF384" s="36" t="n">
        <f aca="false">IF($W384="RECEITA_FINANCEIRA",$F384,0)</f>
        <v>0</v>
      </c>
      <c r="AG384" s="36" t="n">
        <f aca="false">IF($B384="",0,IF($I384="CONTA",$F384,0)-IF($G384="CONTA",$F384,0))</f>
        <v>0</v>
      </c>
      <c r="AH384" s="36" t="n">
        <f aca="false">IF($B384="",0,IF($G384="CARTAO",$F384,0)-IF($I384="CARTAO",$F384,0))</f>
        <v>0</v>
      </c>
      <c r="AI384" s="36" t="n">
        <f aca="false">IF($B384="",0,IF($I384="INVESTIMENTO",$F384,0)-IF($G384="INVESTIMENTO",$F384,0))</f>
        <v>0</v>
      </c>
      <c r="AJ384" s="35" t="str">
        <f aca="false">IF($B384="","",IF(NOT(ISNUMBER($F384)),"ERRO: valor nao numerico",IF($F384&lt;=0,"ERRO: valor deve ser maior que zero",IF(COUNTIF(MAP_TIPO,$D384)=0,"ERRO: tipo de operacao nao cadastrado",IF(COUNTIF(LST_STATUS,$E384)=0,"ERRO: status invalido",IF(AND($G384="EXTERNO",$I384="EXTERNO"),"ERRO: origem e destino externos",IF(AND($G384&lt;&gt;"EXTERNO",COUNTIFS(ENT_ID,$H384,ENT_TIPO,$G384)=0),"ERRO: origem inexistente",IF(AND($I384&lt;&gt;"EXTERNO",COUNTIFS(ENT_ID,$J384,ENT_TIPO,$I384)=0),"ERRO: destino inexistente",IF(AND($K384&lt;&gt;"",COUNTIF(CAT_ID,$K384)=0),"ERRO: categoria inexistente",IF(AND($L384&lt;&gt;"",COUNTIF(SUB_ID,$L384)=0),"ERRO: subcategoria inexistente",IF(AND($L384&lt;&gt;"",$K384&lt;&gt;"",IFERROR(INDEX(SUB_CATID,MATCH($L384,SUB_ID,0)),"")&lt;&gt;$K384),"ERRO: subcategoria nao pertence a categoria",IF(AND($O384&lt;&gt;"",COUNTIF(P_ID,$O384)=0),"ERRO: parcela inexistente",IF(AND($N384&lt;&gt;"",COUNTIF(CM_ID,$N384)=0),"ERRO: compromisso inexistente","OK")))))))))))))</f>
        <v/>
      </c>
      <c r="AK384" s="35" t="str">
        <f aca="false">IF($B384="","",IF(AND($N384="",$O384="",$P384="",$Q384="",$R384=""),"","VINCULADO: "&amp;TRIM(IF($N384&lt;&gt;"",$N384&amp;" ","")&amp;IF($O384&lt;&gt;"",$O384&amp;" ","")&amp;IF($P384&lt;&gt;"",$P384&amp;" ","")&amp;IF($Q384&lt;&gt;"",$Q384&amp;" ","")&amp;IF($R384&lt;&gt;"",$R384,""))))</f>
        <v/>
      </c>
    </row>
    <row r="385" customFormat="false" ht="15" hidden="false" customHeight="false" outlineLevel="0" collapsed="false">
      <c r="A385" s="30" t="str">
        <f aca="false">IF($B385="","","LAN-"&amp;TEXT(ROW()-4,"000000"))</f>
        <v/>
      </c>
      <c r="B385" s="31"/>
      <c r="C385" s="32"/>
      <c r="D385" s="32"/>
      <c r="E385" s="32"/>
      <c r="F385" s="33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4" t="str">
        <f aca="false">IF($B385="","",YEAR($B385))</f>
        <v/>
      </c>
      <c r="U385" s="34" t="str">
        <f aca="false">IF($B385="","",MONTH($B385))</f>
        <v/>
      </c>
      <c r="V385" s="34" t="str">
        <f aca="false">IF($B385="","",YEAR($B385)*100+MONTH($B385))</f>
        <v/>
      </c>
      <c r="W385" s="35" t="str">
        <f aca="false">IF($D385="","",IFERROR(INDEX(MAP_CLASS,MATCH($D385,MAP_TIPO,0)),"TIPO INVALIDO"))</f>
        <v/>
      </c>
      <c r="X385" s="35" t="str">
        <f aca="false">IF($K385="","",IFERROR(INDEX(CAT_NOME,MATCH($K385,CAT_ID,0)),"?"))</f>
        <v/>
      </c>
      <c r="Y385" s="35" t="str">
        <f aca="false">IF($L385="","",IFERROR(INDEX(SUB_NOME,MATCH($L385,SUB_ID,0)),"?"))</f>
        <v/>
      </c>
      <c r="Z385" s="35" t="str">
        <f aca="false">IF($G385="","",IF($G385="EXTERNO","(Externo)",IFERROR(INDEX(ENT_NOME,MATCH($H385,ENT_ID,0)),"?")))</f>
        <v/>
      </c>
      <c r="AA385" s="35" t="str">
        <f aca="false">IF($I385="","",IF($I385="EXTERNO","(Externo)",IFERROR(INDEX(ENT_NOME,MATCH($J385,ENT_ID,0)),"?")))</f>
        <v/>
      </c>
      <c r="AB385" s="36" t="n">
        <f aca="false">IF($B385="",0,IF(AND($I385="CONTA",$G385&lt;&gt;"CONTA"),$F385,0))</f>
        <v>0</v>
      </c>
      <c r="AC385" s="36" t="n">
        <f aca="false">IF($B385="",0,IF(AND($G385="CONTA",$I385&lt;&gt;"CONTA"),$F385,0))</f>
        <v>0</v>
      </c>
      <c r="AD385" s="36" t="n">
        <f aca="false">IF($W385="RECEITA",$F385,0)</f>
        <v>0</v>
      </c>
      <c r="AE385" s="36" t="n">
        <f aca="false">IF($W385="DESPESA",$F385,0)</f>
        <v>0</v>
      </c>
      <c r="AF385" s="36" t="n">
        <f aca="false">IF($W385="RECEITA_FINANCEIRA",$F385,0)</f>
        <v>0</v>
      </c>
      <c r="AG385" s="36" t="n">
        <f aca="false">IF($B385="",0,IF($I385="CONTA",$F385,0)-IF($G385="CONTA",$F385,0))</f>
        <v>0</v>
      </c>
      <c r="AH385" s="36" t="n">
        <f aca="false">IF($B385="",0,IF($G385="CARTAO",$F385,0)-IF($I385="CARTAO",$F385,0))</f>
        <v>0</v>
      </c>
      <c r="AI385" s="36" t="n">
        <f aca="false">IF($B385="",0,IF($I385="INVESTIMENTO",$F385,0)-IF($G385="INVESTIMENTO",$F385,0))</f>
        <v>0</v>
      </c>
      <c r="AJ385" s="35" t="str">
        <f aca="false">IF($B385="","",IF(NOT(ISNUMBER($F385)),"ERRO: valor nao numerico",IF($F385&lt;=0,"ERRO: valor deve ser maior que zero",IF(COUNTIF(MAP_TIPO,$D385)=0,"ERRO: tipo de operacao nao cadastrado",IF(COUNTIF(LST_STATUS,$E385)=0,"ERRO: status invalido",IF(AND($G385="EXTERNO",$I385="EXTERNO"),"ERRO: origem e destino externos",IF(AND($G385&lt;&gt;"EXTERNO",COUNTIFS(ENT_ID,$H385,ENT_TIPO,$G385)=0),"ERRO: origem inexistente",IF(AND($I385&lt;&gt;"EXTERNO",COUNTIFS(ENT_ID,$J385,ENT_TIPO,$I385)=0),"ERRO: destino inexistente",IF(AND($K385&lt;&gt;"",COUNTIF(CAT_ID,$K385)=0),"ERRO: categoria inexistente",IF(AND($L385&lt;&gt;"",COUNTIF(SUB_ID,$L385)=0),"ERRO: subcategoria inexistente",IF(AND($L385&lt;&gt;"",$K385&lt;&gt;"",IFERROR(INDEX(SUB_CATID,MATCH($L385,SUB_ID,0)),"")&lt;&gt;$K385),"ERRO: subcategoria nao pertence a categoria",IF(AND($O385&lt;&gt;"",COUNTIF(P_ID,$O385)=0),"ERRO: parcela inexistente",IF(AND($N385&lt;&gt;"",COUNTIF(CM_ID,$N385)=0),"ERRO: compromisso inexistente","OK")))))))))))))</f>
        <v/>
      </c>
      <c r="AK385" s="35" t="str">
        <f aca="false">IF($B385="","",IF(AND($N385="",$O385="",$P385="",$Q385="",$R385=""),"","VINCULADO: "&amp;TRIM(IF($N385&lt;&gt;"",$N385&amp;" ","")&amp;IF($O385&lt;&gt;"",$O385&amp;" ","")&amp;IF($P385&lt;&gt;"",$P385&amp;" ","")&amp;IF($Q385&lt;&gt;"",$Q385&amp;" ","")&amp;IF($R385&lt;&gt;"",$R385,""))))</f>
        <v/>
      </c>
    </row>
    <row r="386" customFormat="false" ht="15" hidden="false" customHeight="false" outlineLevel="0" collapsed="false">
      <c r="A386" s="30" t="str">
        <f aca="false">IF($B386="","","LAN-"&amp;TEXT(ROW()-4,"000000"))</f>
        <v/>
      </c>
      <c r="B386" s="31"/>
      <c r="C386" s="32"/>
      <c r="D386" s="32"/>
      <c r="E386" s="32"/>
      <c r="F386" s="33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4" t="str">
        <f aca="false">IF($B386="","",YEAR($B386))</f>
        <v/>
      </c>
      <c r="U386" s="34" t="str">
        <f aca="false">IF($B386="","",MONTH($B386))</f>
        <v/>
      </c>
      <c r="V386" s="34" t="str">
        <f aca="false">IF($B386="","",YEAR($B386)*100+MONTH($B386))</f>
        <v/>
      </c>
      <c r="W386" s="35" t="str">
        <f aca="false">IF($D386="","",IFERROR(INDEX(MAP_CLASS,MATCH($D386,MAP_TIPO,0)),"TIPO INVALIDO"))</f>
        <v/>
      </c>
      <c r="X386" s="35" t="str">
        <f aca="false">IF($K386="","",IFERROR(INDEX(CAT_NOME,MATCH($K386,CAT_ID,0)),"?"))</f>
        <v/>
      </c>
      <c r="Y386" s="35" t="str">
        <f aca="false">IF($L386="","",IFERROR(INDEX(SUB_NOME,MATCH($L386,SUB_ID,0)),"?"))</f>
        <v/>
      </c>
      <c r="Z386" s="35" t="str">
        <f aca="false">IF($G386="","",IF($G386="EXTERNO","(Externo)",IFERROR(INDEX(ENT_NOME,MATCH($H386,ENT_ID,0)),"?")))</f>
        <v/>
      </c>
      <c r="AA386" s="35" t="str">
        <f aca="false">IF($I386="","",IF($I386="EXTERNO","(Externo)",IFERROR(INDEX(ENT_NOME,MATCH($J386,ENT_ID,0)),"?")))</f>
        <v/>
      </c>
      <c r="AB386" s="36" t="n">
        <f aca="false">IF($B386="",0,IF(AND($I386="CONTA",$G386&lt;&gt;"CONTA"),$F386,0))</f>
        <v>0</v>
      </c>
      <c r="AC386" s="36" t="n">
        <f aca="false">IF($B386="",0,IF(AND($G386="CONTA",$I386&lt;&gt;"CONTA"),$F386,0))</f>
        <v>0</v>
      </c>
      <c r="AD386" s="36" t="n">
        <f aca="false">IF($W386="RECEITA",$F386,0)</f>
        <v>0</v>
      </c>
      <c r="AE386" s="36" t="n">
        <f aca="false">IF($W386="DESPESA",$F386,0)</f>
        <v>0</v>
      </c>
      <c r="AF386" s="36" t="n">
        <f aca="false">IF($W386="RECEITA_FINANCEIRA",$F386,0)</f>
        <v>0</v>
      </c>
      <c r="AG386" s="36" t="n">
        <f aca="false">IF($B386="",0,IF($I386="CONTA",$F386,0)-IF($G386="CONTA",$F386,0))</f>
        <v>0</v>
      </c>
      <c r="AH386" s="36" t="n">
        <f aca="false">IF($B386="",0,IF($G386="CARTAO",$F386,0)-IF($I386="CARTAO",$F386,0))</f>
        <v>0</v>
      </c>
      <c r="AI386" s="36" t="n">
        <f aca="false">IF($B386="",0,IF($I386="INVESTIMENTO",$F386,0)-IF($G386="INVESTIMENTO",$F386,0))</f>
        <v>0</v>
      </c>
      <c r="AJ386" s="35" t="str">
        <f aca="false">IF($B386="","",IF(NOT(ISNUMBER($F386)),"ERRO: valor nao numerico",IF($F386&lt;=0,"ERRO: valor deve ser maior que zero",IF(COUNTIF(MAP_TIPO,$D386)=0,"ERRO: tipo de operacao nao cadastrado",IF(COUNTIF(LST_STATUS,$E386)=0,"ERRO: status invalido",IF(AND($G386="EXTERNO",$I386="EXTERNO"),"ERRO: origem e destino externos",IF(AND($G386&lt;&gt;"EXTERNO",COUNTIFS(ENT_ID,$H386,ENT_TIPO,$G386)=0),"ERRO: origem inexistente",IF(AND($I386&lt;&gt;"EXTERNO",COUNTIFS(ENT_ID,$J386,ENT_TIPO,$I386)=0),"ERRO: destino inexistente",IF(AND($K386&lt;&gt;"",COUNTIF(CAT_ID,$K386)=0),"ERRO: categoria inexistente",IF(AND($L386&lt;&gt;"",COUNTIF(SUB_ID,$L386)=0),"ERRO: subcategoria inexistente",IF(AND($L386&lt;&gt;"",$K386&lt;&gt;"",IFERROR(INDEX(SUB_CATID,MATCH($L386,SUB_ID,0)),"")&lt;&gt;$K386),"ERRO: subcategoria nao pertence a categoria",IF(AND($O386&lt;&gt;"",COUNTIF(P_ID,$O386)=0),"ERRO: parcela inexistente",IF(AND($N386&lt;&gt;"",COUNTIF(CM_ID,$N386)=0),"ERRO: compromisso inexistente","OK")))))))))))))</f>
        <v/>
      </c>
      <c r="AK386" s="35" t="str">
        <f aca="false">IF($B386="","",IF(AND($N386="",$O386="",$P386="",$Q386="",$R386=""),"","VINCULADO: "&amp;TRIM(IF($N386&lt;&gt;"",$N386&amp;" ","")&amp;IF($O386&lt;&gt;"",$O386&amp;" ","")&amp;IF($P386&lt;&gt;"",$P386&amp;" ","")&amp;IF($Q386&lt;&gt;"",$Q386&amp;" ","")&amp;IF($R386&lt;&gt;"",$R386,""))))</f>
        <v/>
      </c>
    </row>
    <row r="387" customFormat="false" ht="15" hidden="false" customHeight="false" outlineLevel="0" collapsed="false">
      <c r="A387" s="30" t="str">
        <f aca="false">IF($B387="","","LAN-"&amp;TEXT(ROW()-4,"000000"))</f>
        <v/>
      </c>
      <c r="B387" s="31"/>
      <c r="C387" s="32"/>
      <c r="D387" s="32"/>
      <c r="E387" s="32"/>
      <c r="F387" s="33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4" t="str">
        <f aca="false">IF($B387="","",YEAR($B387))</f>
        <v/>
      </c>
      <c r="U387" s="34" t="str">
        <f aca="false">IF($B387="","",MONTH($B387))</f>
        <v/>
      </c>
      <c r="V387" s="34" t="str">
        <f aca="false">IF($B387="","",YEAR($B387)*100+MONTH($B387))</f>
        <v/>
      </c>
      <c r="W387" s="35" t="str">
        <f aca="false">IF($D387="","",IFERROR(INDEX(MAP_CLASS,MATCH($D387,MAP_TIPO,0)),"TIPO INVALIDO"))</f>
        <v/>
      </c>
      <c r="X387" s="35" t="str">
        <f aca="false">IF($K387="","",IFERROR(INDEX(CAT_NOME,MATCH($K387,CAT_ID,0)),"?"))</f>
        <v/>
      </c>
      <c r="Y387" s="35" t="str">
        <f aca="false">IF($L387="","",IFERROR(INDEX(SUB_NOME,MATCH($L387,SUB_ID,0)),"?"))</f>
        <v/>
      </c>
      <c r="Z387" s="35" t="str">
        <f aca="false">IF($G387="","",IF($G387="EXTERNO","(Externo)",IFERROR(INDEX(ENT_NOME,MATCH($H387,ENT_ID,0)),"?")))</f>
        <v/>
      </c>
      <c r="AA387" s="35" t="str">
        <f aca="false">IF($I387="","",IF($I387="EXTERNO","(Externo)",IFERROR(INDEX(ENT_NOME,MATCH($J387,ENT_ID,0)),"?")))</f>
        <v/>
      </c>
      <c r="AB387" s="36" t="n">
        <f aca="false">IF($B387="",0,IF(AND($I387="CONTA",$G387&lt;&gt;"CONTA"),$F387,0))</f>
        <v>0</v>
      </c>
      <c r="AC387" s="36" t="n">
        <f aca="false">IF($B387="",0,IF(AND($G387="CONTA",$I387&lt;&gt;"CONTA"),$F387,0))</f>
        <v>0</v>
      </c>
      <c r="AD387" s="36" t="n">
        <f aca="false">IF($W387="RECEITA",$F387,0)</f>
        <v>0</v>
      </c>
      <c r="AE387" s="36" t="n">
        <f aca="false">IF($W387="DESPESA",$F387,0)</f>
        <v>0</v>
      </c>
      <c r="AF387" s="36" t="n">
        <f aca="false">IF($W387="RECEITA_FINANCEIRA",$F387,0)</f>
        <v>0</v>
      </c>
      <c r="AG387" s="36" t="n">
        <f aca="false">IF($B387="",0,IF($I387="CONTA",$F387,0)-IF($G387="CONTA",$F387,0))</f>
        <v>0</v>
      </c>
      <c r="AH387" s="36" t="n">
        <f aca="false">IF($B387="",0,IF($G387="CARTAO",$F387,0)-IF($I387="CARTAO",$F387,0))</f>
        <v>0</v>
      </c>
      <c r="AI387" s="36" t="n">
        <f aca="false">IF($B387="",0,IF($I387="INVESTIMENTO",$F387,0)-IF($G387="INVESTIMENTO",$F387,0))</f>
        <v>0</v>
      </c>
      <c r="AJ387" s="35" t="str">
        <f aca="false">IF($B387="","",IF(NOT(ISNUMBER($F387)),"ERRO: valor nao numerico",IF($F387&lt;=0,"ERRO: valor deve ser maior que zero",IF(COUNTIF(MAP_TIPO,$D387)=0,"ERRO: tipo de operacao nao cadastrado",IF(COUNTIF(LST_STATUS,$E387)=0,"ERRO: status invalido",IF(AND($G387="EXTERNO",$I387="EXTERNO"),"ERRO: origem e destino externos",IF(AND($G387&lt;&gt;"EXTERNO",COUNTIFS(ENT_ID,$H387,ENT_TIPO,$G387)=0),"ERRO: origem inexistente",IF(AND($I387&lt;&gt;"EXTERNO",COUNTIFS(ENT_ID,$J387,ENT_TIPO,$I387)=0),"ERRO: destino inexistente",IF(AND($K387&lt;&gt;"",COUNTIF(CAT_ID,$K387)=0),"ERRO: categoria inexistente",IF(AND($L387&lt;&gt;"",COUNTIF(SUB_ID,$L387)=0),"ERRO: subcategoria inexistente",IF(AND($L387&lt;&gt;"",$K387&lt;&gt;"",IFERROR(INDEX(SUB_CATID,MATCH($L387,SUB_ID,0)),"")&lt;&gt;$K387),"ERRO: subcategoria nao pertence a categoria",IF(AND($O387&lt;&gt;"",COUNTIF(P_ID,$O387)=0),"ERRO: parcela inexistente",IF(AND($N387&lt;&gt;"",COUNTIF(CM_ID,$N387)=0),"ERRO: compromisso inexistente","OK")))))))))))))</f>
        <v/>
      </c>
      <c r="AK387" s="35" t="str">
        <f aca="false">IF($B387="","",IF(AND($N387="",$O387="",$P387="",$Q387="",$R387=""),"","VINCULADO: "&amp;TRIM(IF($N387&lt;&gt;"",$N387&amp;" ","")&amp;IF($O387&lt;&gt;"",$O387&amp;" ","")&amp;IF($P387&lt;&gt;"",$P387&amp;" ","")&amp;IF($Q387&lt;&gt;"",$Q387&amp;" ","")&amp;IF($R387&lt;&gt;"",$R387,""))))</f>
        <v/>
      </c>
    </row>
    <row r="388" customFormat="false" ht="15" hidden="false" customHeight="false" outlineLevel="0" collapsed="false">
      <c r="A388" s="30" t="str">
        <f aca="false">IF($B388="","","LAN-"&amp;TEXT(ROW()-4,"000000"))</f>
        <v/>
      </c>
      <c r="B388" s="31"/>
      <c r="C388" s="32"/>
      <c r="D388" s="32"/>
      <c r="E388" s="32"/>
      <c r="F388" s="33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4" t="str">
        <f aca="false">IF($B388="","",YEAR($B388))</f>
        <v/>
      </c>
      <c r="U388" s="34" t="str">
        <f aca="false">IF($B388="","",MONTH($B388))</f>
        <v/>
      </c>
      <c r="V388" s="34" t="str">
        <f aca="false">IF($B388="","",YEAR($B388)*100+MONTH($B388))</f>
        <v/>
      </c>
      <c r="W388" s="35" t="str">
        <f aca="false">IF($D388="","",IFERROR(INDEX(MAP_CLASS,MATCH($D388,MAP_TIPO,0)),"TIPO INVALIDO"))</f>
        <v/>
      </c>
      <c r="X388" s="35" t="str">
        <f aca="false">IF($K388="","",IFERROR(INDEX(CAT_NOME,MATCH($K388,CAT_ID,0)),"?"))</f>
        <v/>
      </c>
      <c r="Y388" s="35" t="str">
        <f aca="false">IF($L388="","",IFERROR(INDEX(SUB_NOME,MATCH($L388,SUB_ID,0)),"?"))</f>
        <v/>
      </c>
      <c r="Z388" s="35" t="str">
        <f aca="false">IF($G388="","",IF($G388="EXTERNO","(Externo)",IFERROR(INDEX(ENT_NOME,MATCH($H388,ENT_ID,0)),"?")))</f>
        <v/>
      </c>
      <c r="AA388" s="35" t="str">
        <f aca="false">IF($I388="","",IF($I388="EXTERNO","(Externo)",IFERROR(INDEX(ENT_NOME,MATCH($J388,ENT_ID,0)),"?")))</f>
        <v/>
      </c>
      <c r="AB388" s="36" t="n">
        <f aca="false">IF($B388="",0,IF(AND($I388="CONTA",$G388&lt;&gt;"CONTA"),$F388,0))</f>
        <v>0</v>
      </c>
      <c r="AC388" s="36" t="n">
        <f aca="false">IF($B388="",0,IF(AND($G388="CONTA",$I388&lt;&gt;"CONTA"),$F388,0))</f>
        <v>0</v>
      </c>
      <c r="AD388" s="36" t="n">
        <f aca="false">IF($W388="RECEITA",$F388,0)</f>
        <v>0</v>
      </c>
      <c r="AE388" s="36" t="n">
        <f aca="false">IF($W388="DESPESA",$F388,0)</f>
        <v>0</v>
      </c>
      <c r="AF388" s="36" t="n">
        <f aca="false">IF($W388="RECEITA_FINANCEIRA",$F388,0)</f>
        <v>0</v>
      </c>
      <c r="AG388" s="36" t="n">
        <f aca="false">IF($B388="",0,IF($I388="CONTA",$F388,0)-IF($G388="CONTA",$F388,0))</f>
        <v>0</v>
      </c>
      <c r="AH388" s="36" t="n">
        <f aca="false">IF($B388="",0,IF($G388="CARTAO",$F388,0)-IF($I388="CARTAO",$F388,0))</f>
        <v>0</v>
      </c>
      <c r="AI388" s="36" t="n">
        <f aca="false">IF($B388="",0,IF($I388="INVESTIMENTO",$F388,0)-IF($G388="INVESTIMENTO",$F388,0))</f>
        <v>0</v>
      </c>
      <c r="AJ388" s="35" t="str">
        <f aca="false">IF($B388="","",IF(NOT(ISNUMBER($F388)),"ERRO: valor nao numerico",IF($F388&lt;=0,"ERRO: valor deve ser maior que zero",IF(COUNTIF(MAP_TIPO,$D388)=0,"ERRO: tipo de operacao nao cadastrado",IF(COUNTIF(LST_STATUS,$E388)=0,"ERRO: status invalido",IF(AND($G388="EXTERNO",$I388="EXTERNO"),"ERRO: origem e destino externos",IF(AND($G388&lt;&gt;"EXTERNO",COUNTIFS(ENT_ID,$H388,ENT_TIPO,$G388)=0),"ERRO: origem inexistente",IF(AND($I388&lt;&gt;"EXTERNO",COUNTIFS(ENT_ID,$J388,ENT_TIPO,$I388)=0),"ERRO: destino inexistente",IF(AND($K388&lt;&gt;"",COUNTIF(CAT_ID,$K388)=0),"ERRO: categoria inexistente",IF(AND($L388&lt;&gt;"",COUNTIF(SUB_ID,$L388)=0),"ERRO: subcategoria inexistente",IF(AND($L388&lt;&gt;"",$K388&lt;&gt;"",IFERROR(INDEX(SUB_CATID,MATCH($L388,SUB_ID,0)),"")&lt;&gt;$K388),"ERRO: subcategoria nao pertence a categoria",IF(AND($O388&lt;&gt;"",COUNTIF(P_ID,$O388)=0),"ERRO: parcela inexistente",IF(AND($N388&lt;&gt;"",COUNTIF(CM_ID,$N388)=0),"ERRO: compromisso inexistente","OK")))))))))))))</f>
        <v/>
      </c>
      <c r="AK388" s="35" t="str">
        <f aca="false">IF($B388="","",IF(AND($N388="",$O388="",$P388="",$Q388="",$R388=""),"","VINCULADO: "&amp;TRIM(IF($N388&lt;&gt;"",$N388&amp;" ","")&amp;IF($O388&lt;&gt;"",$O388&amp;" ","")&amp;IF($P388&lt;&gt;"",$P388&amp;" ","")&amp;IF($Q388&lt;&gt;"",$Q388&amp;" ","")&amp;IF($R388&lt;&gt;"",$R388,""))))</f>
        <v/>
      </c>
    </row>
    <row r="389" customFormat="false" ht="15" hidden="false" customHeight="false" outlineLevel="0" collapsed="false">
      <c r="A389" s="30" t="str">
        <f aca="false">IF($B389="","","LAN-"&amp;TEXT(ROW()-4,"000000"))</f>
        <v/>
      </c>
      <c r="B389" s="31"/>
      <c r="C389" s="32"/>
      <c r="D389" s="32"/>
      <c r="E389" s="32"/>
      <c r="F389" s="33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4" t="str">
        <f aca="false">IF($B389="","",YEAR($B389))</f>
        <v/>
      </c>
      <c r="U389" s="34" t="str">
        <f aca="false">IF($B389="","",MONTH($B389))</f>
        <v/>
      </c>
      <c r="V389" s="34" t="str">
        <f aca="false">IF($B389="","",YEAR($B389)*100+MONTH($B389))</f>
        <v/>
      </c>
      <c r="W389" s="35" t="str">
        <f aca="false">IF($D389="","",IFERROR(INDEX(MAP_CLASS,MATCH($D389,MAP_TIPO,0)),"TIPO INVALIDO"))</f>
        <v/>
      </c>
      <c r="X389" s="35" t="str">
        <f aca="false">IF($K389="","",IFERROR(INDEX(CAT_NOME,MATCH($K389,CAT_ID,0)),"?"))</f>
        <v/>
      </c>
      <c r="Y389" s="35" t="str">
        <f aca="false">IF($L389="","",IFERROR(INDEX(SUB_NOME,MATCH($L389,SUB_ID,0)),"?"))</f>
        <v/>
      </c>
      <c r="Z389" s="35" t="str">
        <f aca="false">IF($G389="","",IF($G389="EXTERNO","(Externo)",IFERROR(INDEX(ENT_NOME,MATCH($H389,ENT_ID,0)),"?")))</f>
        <v/>
      </c>
      <c r="AA389" s="35" t="str">
        <f aca="false">IF($I389="","",IF($I389="EXTERNO","(Externo)",IFERROR(INDEX(ENT_NOME,MATCH($J389,ENT_ID,0)),"?")))</f>
        <v/>
      </c>
      <c r="AB389" s="36" t="n">
        <f aca="false">IF($B389="",0,IF(AND($I389="CONTA",$G389&lt;&gt;"CONTA"),$F389,0))</f>
        <v>0</v>
      </c>
      <c r="AC389" s="36" t="n">
        <f aca="false">IF($B389="",0,IF(AND($G389="CONTA",$I389&lt;&gt;"CONTA"),$F389,0))</f>
        <v>0</v>
      </c>
      <c r="AD389" s="36" t="n">
        <f aca="false">IF($W389="RECEITA",$F389,0)</f>
        <v>0</v>
      </c>
      <c r="AE389" s="36" t="n">
        <f aca="false">IF($W389="DESPESA",$F389,0)</f>
        <v>0</v>
      </c>
      <c r="AF389" s="36" t="n">
        <f aca="false">IF($W389="RECEITA_FINANCEIRA",$F389,0)</f>
        <v>0</v>
      </c>
      <c r="AG389" s="36" t="n">
        <f aca="false">IF($B389="",0,IF($I389="CONTA",$F389,0)-IF($G389="CONTA",$F389,0))</f>
        <v>0</v>
      </c>
      <c r="AH389" s="36" t="n">
        <f aca="false">IF($B389="",0,IF($G389="CARTAO",$F389,0)-IF($I389="CARTAO",$F389,0))</f>
        <v>0</v>
      </c>
      <c r="AI389" s="36" t="n">
        <f aca="false">IF($B389="",0,IF($I389="INVESTIMENTO",$F389,0)-IF($G389="INVESTIMENTO",$F389,0))</f>
        <v>0</v>
      </c>
      <c r="AJ389" s="35" t="str">
        <f aca="false">IF($B389="","",IF(NOT(ISNUMBER($F389)),"ERRO: valor nao numerico",IF($F389&lt;=0,"ERRO: valor deve ser maior que zero",IF(COUNTIF(MAP_TIPO,$D389)=0,"ERRO: tipo de operacao nao cadastrado",IF(COUNTIF(LST_STATUS,$E389)=0,"ERRO: status invalido",IF(AND($G389="EXTERNO",$I389="EXTERNO"),"ERRO: origem e destino externos",IF(AND($G389&lt;&gt;"EXTERNO",COUNTIFS(ENT_ID,$H389,ENT_TIPO,$G389)=0),"ERRO: origem inexistente",IF(AND($I389&lt;&gt;"EXTERNO",COUNTIFS(ENT_ID,$J389,ENT_TIPO,$I389)=0),"ERRO: destino inexistente",IF(AND($K389&lt;&gt;"",COUNTIF(CAT_ID,$K389)=0),"ERRO: categoria inexistente",IF(AND($L389&lt;&gt;"",COUNTIF(SUB_ID,$L389)=0),"ERRO: subcategoria inexistente",IF(AND($L389&lt;&gt;"",$K389&lt;&gt;"",IFERROR(INDEX(SUB_CATID,MATCH($L389,SUB_ID,0)),"")&lt;&gt;$K389),"ERRO: subcategoria nao pertence a categoria",IF(AND($O389&lt;&gt;"",COUNTIF(P_ID,$O389)=0),"ERRO: parcela inexistente",IF(AND($N389&lt;&gt;"",COUNTIF(CM_ID,$N389)=0),"ERRO: compromisso inexistente","OK")))))))))))))</f>
        <v/>
      </c>
      <c r="AK389" s="35" t="str">
        <f aca="false">IF($B389="","",IF(AND($N389="",$O389="",$P389="",$Q389="",$R389=""),"","VINCULADO: "&amp;TRIM(IF($N389&lt;&gt;"",$N389&amp;" ","")&amp;IF($O389&lt;&gt;"",$O389&amp;" ","")&amp;IF($P389&lt;&gt;"",$P389&amp;" ","")&amp;IF($Q389&lt;&gt;"",$Q389&amp;" ","")&amp;IF($R389&lt;&gt;"",$R389,""))))</f>
        <v/>
      </c>
    </row>
    <row r="390" customFormat="false" ht="15" hidden="false" customHeight="false" outlineLevel="0" collapsed="false">
      <c r="A390" s="30" t="str">
        <f aca="false">IF($B390="","","LAN-"&amp;TEXT(ROW()-4,"000000"))</f>
        <v/>
      </c>
      <c r="B390" s="31"/>
      <c r="C390" s="32"/>
      <c r="D390" s="32"/>
      <c r="E390" s="32"/>
      <c r="F390" s="33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4" t="str">
        <f aca="false">IF($B390="","",YEAR($B390))</f>
        <v/>
      </c>
      <c r="U390" s="34" t="str">
        <f aca="false">IF($B390="","",MONTH($B390))</f>
        <v/>
      </c>
      <c r="V390" s="34" t="str">
        <f aca="false">IF($B390="","",YEAR($B390)*100+MONTH($B390))</f>
        <v/>
      </c>
      <c r="W390" s="35" t="str">
        <f aca="false">IF($D390="","",IFERROR(INDEX(MAP_CLASS,MATCH($D390,MAP_TIPO,0)),"TIPO INVALIDO"))</f>
        <v/>
      </c>
      <c r="X390" s="35" t="str">
        <f aca="false">IF($K390="","",IFERROR(INDEX(CAT_NOME,MATCH($K390,CAT_ID,0)),"?"))</f>
        <v/>
      </c>
      <c r="Y390" s="35" t="str">
        <f aca="false">IF($L390="","",IFERROR(INDEX(SUB_NOME,MATCH($L390,SUB_ID,0)),"?"))</f>
        <v/>
      </c>
      <c r="Z390" s="35" t="str">
        <f aca="false">IF($G390="","",IF($G390="EXTERNO","(Externo)",IFERROR(INDEX(ENT_NOME,MATCH($H390,ENT_ID,0)),"?")))</f>
        <v/>
      </c>
      <c r="AA390" s="35" t="str">
        <f aca="false">IF($I390="","",IF($I390="EXTERNO","(Externo)",IFERROR(INDEX(ENT_NOME,MATCH($J390,ENT_ID,0)),"?")))</f>
        <v/>
      </c>
      <c r="AB390" s="36" t="n">
        <f aca="false">IF($B390="",0,IF(AND($I390="CONTA",$G390&lt;&gt;"CONTA"),$F390,0))</f>
        <v>0</v>
      </c>
      <c r="AC390" s="36" t="n">
        <f aca="false">IF($B390="",0,IF(AND($G390="CONTA",$I390&lt;&gt;"CONTA"),$F390,0))</f>
        <v>0</v>
      </c>
      <c r="AD390" s="36" t="n">
        <f aca="false">IF($W390="RECEITA",$F390,0)</f>
        <v>0</v>
      </c>
      <c r="AE390" s="36" t="n">
        <f aca="false">IF($W390="DESPESA",$F390,0)</f>
        <v>0</v>
      </c>
      <c r="AF390" s="36" t="n">
        <f aca="false">IF($W390="RECEITA_FINANCEIRA",$F390,0)</f>
        <v>0</v>
      </c>
      <c r="AG390" s="36" t="n">
        <f aca="false">IF($B390="",0,IF($I390="CONTA",$F390,0)-IF($G390="CONTA",$F390,0))</f>
        <v>0</v>
      </c>
      <c r="AH390" s="36" t="n">
        <f aca="false">IF($B390="",0,IF($G390="CARTAO",$F390,0)-IF($I390="CARTAO",$F390,0))</f>
        <v>0</v>
      </c>
      <c r="AI390" s="36" t="n">
        <f aca="false">IF($B390="",0,IF($I390="INVESTIMENTO",$F390,0)-IF($G390="INVESTIMENTO",$F390,0))</f>
        <v>0</v>
      </c>
      <c r="AJ390" s="35" t="str">
        <f aca="false">IF($B390="","",IF(NOT(ISNUMBER($F390)),"ERRO: valor nao numerico",IF($F390&lt;=0,"ERRO: valor deve ser maior que zero",IF(COUNTIF(MAP_TIPO,$D390)=0,"ERRO: tipo de operacao nao cadastrado",IF(COUNTIF(LST_STATUS,$E390)=0,"ERRO: status invalido",IF(AND($G390="EXTERNO",$I390="EXTERNO"),"ERRO: origem e destino externos",IF(AND($G390&lt;&gt;"EXTERNO",COUNTIFS(ENT_ID,$H390,ENT_TIPO,$G390)=0),"ERRO: origem inexistente",IF(AND($I390&lt;&gt;"EXTERNO",COUNTIFS(ENT_ID,$J390,ENT_TIPO,$I390)=0),"ERRO: destino inexistente",IF(AND($K390&lt;&gt;"",COUNTIF(CAT_ID,$K390)=0),"ERRO: categoria inexistente",IF(AND($L390&lt;&gt;"",COUNTIF(SUB_ID,$L390)=0),"ERRO: subcategoria inexistente",IF(AND($L390&lt;&gt;"",$K390&lt;&gt;"",IFERROR(INDEX(SUB_CATID,MATCH($L390,SUB_ID,0)),"")&lt;&gt;$K390),"ERRO: subcategoria nao pertence a categoria",IF(AND($O390&lt;&gt;"",COUNTIF(P_ID,$O390)=0),"ERRO: parcela inexistente",IF(AND($N390&lt;&gt;"",COUNTIF(CM_ID,$N390)=0),"ERRO: compromisso inexistente","OK")))))))))))))</f>
        <v/>
      </c>
      <c r="AK390" s="35" t="str">
        <f aca="false">IF($B390="","",IF(AND($N390="",$O390="",$P390="",$Q390="",$R390=""),"","VINCULADO: "&amp;TRIM(IF($N390&lt;&gt;"",$N390&amp;" ","")&amp;IF($O390&lt;&gt;"",$O390&amp;" ","")&amp;IF($P390&lt;&gt;"",$P390&amp;" ","")&amp;IF($Q390&lt;&gt;"",$Q390&amp;" ","")&amp;IF($R390&lt;&gt;"",$R390,""))))</f>
        <v/>
      </c>
    </row>
    <row r="391" customFormat="false" ht="15" hidden="false" customHeight="false" outlineLevel="0" collapsed="false">
      <c r="A391" s="30" t="str">
        <f aca="false">IF($B391="","","LAN-"&amp;TEXT(ROW()-4,"000000"))</f>
        <v/>
      </c>
      <c r="B391" s="31"/>
      <c r="C391" s="32"/>
      <c r="D391" s="32"/>
      <c r="E391" s="32"/>
      <c r="F391" s="33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4" t="str">
        <f aca="false">IF($B391="","",YEAR($B391))</f>
        <v/>
      </c>
      <c r="U391" s="34" t="str">
        <f aca="false">IF($B391="","",MONTH($B391))</f>
        <v/>
      </c>
      <c r="V391" s="34" t="str">
        <f aca="false">IF($B391="","",YEAR($B391)*100+MONTH($B391))</f>
        <v/>
      </c>
      <c r="W391" s="35" t="str">
        <f aca="false">IF($D391="","",IFERROR(INDEX(MAP_CLASS,MATCH($D391,MAP_TIPO,0)),"TIPO INVALIDO"))</f>
        <v/>
      </c>
      <c r="X391" s="35" t="str">
        <f aca="false">IF($K391="","",IFERROR(INDEX(CAT_NOME,MATCH($K391,CAT_ID,0)),"?"))</f>
        <v/>
      </c>
      <c r="Y391" s="35" t="str">
        <f aca="false">IF($L391="","",IFERROR(INDEX(SUB_NOME,MATCH($L391,SUB_ID,0)),"?"))</f>
        <v/>
      </c>
      <c r="Z391" s="35" t="str">
        <f aca="false">IF($G391="","",IF($G391="EXTERNO","(Externo)",IFERROR(INDEX(ENT_NOME,MATCH($H391,ENT_ID,0)),"?")))</f>
        <v/>
      </c>
      <c r="AA391" s="35" t="str">
        <f aca="false">IF($I391="","",IF($I391="EXTERNO","(Externo)",IFERROR(INDEX(ENT_NOME,MATCH($J391,ENT_ID,0)),"?")))</f>
        <v/>
      </c>
      <c r="AB391" s="36" t="n">
        <f aca="false">IF($B391="",0,IF(AND($I391="CONTA",$G391&lt;&gt;"CONTA"),$F391,0))</f>
        <v>0</v>
      </c>
      <c r="AC391" s="36" t="n">
        <f aca="false">IF($B391="",0,IF(AND($G391="CONTA",$I391&lt;&gt;"CONTA"),$F391,0))</f>
        <v>0</v>
      </c>
      <c r="AD391" s="36" t="n">
        <f aca="false">IF($W391="RECEITA",$F391,0)</f>
        <v>0</v>
      </c>
      <c r="AE391" s="36" t="n">
        <f aca="false">IF($W391="DESPESA",$F391,0)</f>
        <v>0</v>
      </c>
      <c r="AF391" s="36" t="n">
        <f aca="false">IF($W391="RECEITA_FINANCEIRA",$F391,0)</f>
        <v>0</v>
      </c>
      <c r="AG391" s="36" t="n">
        <f aca="false">IF($B391="",0,IF($I391="CONTA",$F391,0)-IF($G391="CONTA",$F391,0))</f>
        <v>0</v>
      </c>
      <c r="AH391" s="36" t="n">
        <f aca="false">IF($B391="",0,IF($G391="CARTAO",$F391,0)-IF($I391="CARTAO",$F391,0))</f>
        <v>0</v>
      </c>
      <c r="AI391" s="36" t="n">
        <f aca="false">IF($B391="",0,IF($I391="INVESTIMENTO",$F391,0)-IF($G391="INVESTIMENTO",$F391,0))</f>
        <v>0</v>
      </c>
      <c r="AJ391" s="35" t="str">
        <f aca="false">IF($B391="","",IF(NOT(ISNUMBER($F391)),"ERRO: valor nao numerico",IF($F391&lt;=0,"ERRO: valor deve ser maior que zero",IF(COUNTIF(MAP_TIPO,$D391)=0,"ERRO: tipo de operacao nao cadastrado",IF(COUNTIF(LST_STATUS,$E391)=0,"ERRO: status invalido",IF(AND($G391="EXTERNO",$I391="EXTERNO"),"ERRO: origem e destino externos",IF(AND($G391&lt;&gt;"EXTERNO",COUNTIFS(ENT_ID,$H391,ENT_TIPO,$G391)=0),"ERRO: origem inexistente",IF(AND($I391&lt;&gt;"EXTERNO",COUNTIFS(ENT_ID,$J391,ENT_TIPO,$I391)=0),"ERRO: destino inexistente",IF(AND($K391&lt;&gt;"",COUNTIF(CAT_ID,$K391)=0),"ERRO: categoria inexistente",IF(AND($L391&lt;&gt;"",COUNTIF(SUB_ID,$L391)=0),"ERRO: subcategoria inexistente",IF(AND($L391&lt;&gt;"",$K391&lt;&gt;"",IFERROR(INDEX(SUB_CATID,MATCH($L391,SUB_ID,0)),"")&lt;&gt;$K391),"ERRO: subcategoria nao pertence a categoria",IF(AND($O391&lt;&gt;"",COUNTIF(P_ID,$O391)=0),"ERRO: parcela inexistente",IF(AND($N391&lt;&gt;"",COUNTIF(CM_ID,$N391)=0),"ERRO: compromisso inexistente","OK")))))))))))))</f>
        <v/>
      </c>
      <c r="AK391" s="35" t="str">
        <f aca="false">IF($B391="","",IF(AND($N391="",$O391="",$P391="",$Q391="",$R391=""),"","VINCULADO: "&amp;TRIM(IF($N391&lt;&gt;"",$N391&amp;" ","")&amp;IF($O391&lt;&gt;"",$O391&amp;" ","")&amp;IF($P391&lt;&gt;"",$P391&amp;" ","")&amp;IF($Q391&lt;&gt;"",$Q391&amp;" ","")&amp;IF($R391&lt;&gt;"",$R391,""))))</f>
        <v/>
      </c>
    </row>
    <row r="392" customFormat="false" ht="15" hidden="false" customHeight="false" outlineLevel="0" collapsed="false">
      <c r="A392" s="30" t="str">
        <f aca="false">IF($B392="","","LAN-"&amp;TEXT(ROW()-4,"000000"))</f>
        <v/>
      </c>
      <c r="B392" s="31"/>
      <c r="C392" s="32"/>
      <c r="D392" s="32"/>
      <c r="E392" s="32"/>
      <c r="F392" s="33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4" t="str">
        <f aca="false">IF($B392="","",YEAR($B392))</f>
        <v/>
      </c>
      <c r="U392" s="34" t="str">
        <f aca="false">IF($B392="","",MONTH($B392))</f>
        <v/>
      </c>
      <c r="V392" s="34" t="str">
        <f aca="false">IF($B392="","",YEAR($B392)*100+MONTH($B392))</f>
        <v/>
      </c>
      <c r="W392" s="35" t="str">
        <f aca="false">IF($D392="","",IFERROR(INDEX(MAP_CLASS,MATCH($D392,MAP_TIPO,0)),"TIPO INVALIDO"))</f>
        <v/>
      </c>
      <c r="X392" s="35" t="str">
        <f aca="false">IF($K392="","",IFERROR(INDEX(CAT_NOME,MATCH($K392,CAT_ID,0)),"?"))</f>
        <v/>
      </c>
      <c r="Y392" s="35" t="str">
        <f aca="false">IF($L392="","",IFERROR(INDEX(SUB_NOME,MATCH($L392,SUB_ID,0)),"?"))</f>
        <v/>
      </c>
      <c r="Z392" s="35" t="str">
        <f aca="false">IF($G392="","",IF($G392="EXTERNO","(Externo)",IFERROR(INDEX(ENT_NOME,MATCH($H392,ENT_ID,0)),"?")))</f>
        <v/>
      </c>
      <c r="AA392" s="35" t="str">
        <f aca="false">IF($I392="","",IF($I392="EXTERNO","(Externo)",IFERROR(INDEX(ENT_NOME,MATCH($J392,ENT_ID,0)),"?")))</f>
        <v/>
      </c>
      <c r="AB392" s="36" t="n">
        <f aca="false">IF($B392="",0,IF(AND($I392="CONTA",$G392&lt;&gt;"CONTA"),$F392,0))</f>
        <v>0</v>
      </c>
      <c r="AC392" s="36" t="n">
        <f aca="false">IF($B392="",0,IF(AND($G392="CONTA",$I392&lt;&gt;"CONTA"),$F392,0))</f>
        <v>0</v>
      </c>
      <c r="AD392" s="36" t="n">
        <f aca="false">IF($W392="RECEITA",$F392,0)</f>
        <v>0</v>
      </c>
      <c r="AE392" s="36" t="n">
        <f aca="false">IF($W392="DESPESA",$F392,0)</f>
        <v>0</v>
      </c>
      <c r="AF392" s="36" t="n">
        <f aca="false">IF($W392="RECEITA_FINANCEIRA",$F392,0)</f>
        <v>0</v>
      </c>
      <c r="AG392" s="36" t="n">
        <f aca="false">IF($B392="",0,IF($I392="CONTA",$F392,0)-IF($G392="CONTA",$F392,0))</f>
        <v>0</v>
      </c>
      <c r="AH392" s="36" t="n">
        <f aca="false">IF($B392="",0,IF($G392="CARTAO",$F392,0)-IF($I392="CARTAO",$F392,0))</f>
        <v>0</v>
      </c>
      <c r="AI392" s="36" t="n">
        <f aca="false">IF($B392="",0,IF($I392="INVESTIMENTO",$F392,0)-IF($G392="INVESTIMENTO",$F392,0))</f>
        <v>0</v>
      </c>
      <c r="AJ392" s="35" t="str">
        <f aca="false">IF($B392="","",IF(NOT(ISNUMBER($F392)),"ERRO: valor nao numerico",IF($F392&lt;=0,"ERRO: valor deve ser maior que zero",IF(COUNTIF(MAP_TIPO,$D392)=0,"ERRO: tipo de operacao nao cadastrado",IF(COUNTIF(LST_STATUS,$E392)=0,"ERRO: status invalido",IF(AND($G392="EXTERNO",$I392="EXTERNO"),"ERRO: origem e destino externos",IF(AND($G392&lt;&gt;"EXTERNO",COUNTIFS(ENT_ID,$H392,ENT_TIPO,$G392)=0),"ERRO: origem inexistente",IF(AND($I392&lt;&gt;"EXTERNO",COUNTIFS(ENT_ID,$J392,ENT_TIPO,$I392)=0),"ERRO: destino inexistente",IF(AND($K392&lt;&gt;"",COUNTIF(CAT_ID,$K392)=0),"ERRO: categoria inexistente",IF(AND($L392&lt;&gt;"",COUNTIF(SUB_ID,$L392)=0),"ERRO: subcategoria inexistente",IF(AND($L392&lt;&gt;"",$K392&lt;&gt;"",IFERROR(INDEX(SUB_CATID,MATCH($L392,SUB_ID,0)),"")&lt;&gt;$K392),"ERRO: subcategoria nao pertence a categoria",IF(AND($O392&lt;&gt;"",COUNTIF(P_ID,$O392)=0),"ERRO: parcela inexistente",IF(AND($N392&lt;&gt;"",COUNTIF(CM_ID,$N392)=0),"ERRO: compromisso inexistente","OK")))))))))))))</f>
        <v/>
      </c>
      <c r="AK392" s="35" t="str">
        <f aca="false">IF($B392="","",IF(AND($N392="",$O392="",$P392="",$Q392="",$R392=""),"","VINCULADO: "&amp;TRIM(IF($N392&lt;&gt;"",$N392&amp;" ","")&amp;IF($O392&lt;&gt;"",$O392&amp;" ","")&amp;IF($P392&lt;&gt;"",$P392&amp;" ","")&amp;IF($Q392&lt;&gt;"",$Q392&amp;" ","")&amp;IF($R392&lt;&gt;"",$R392,""))))</f>
        <v/>
      </c>
    </row>
    <row r="393" customFormat="false" ht="15" hidden="false" customHeight="false" outlineLevel="0" collapsed="false">
      <c r="A393" s="30" t="str">
        <f aca="false">IF($B393="","","LAN-"&amp;TEXT(ROW()-4,"000000"))</f>
        <v/>
      </c>
      <c r="B393" s="31"/>
      <c r="C393" s="32"/>
      <c r="D393" s="32"/>
      <c r="E393" s="32"/>
      <c r="F393" s="33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4" t="str">
        <f aca="false">IF($B393="","",YEAR($B393))</f>
        <v/>
      </c>
      <c r="U393" s="34" t="str">
        <f aca="false">IF($B393="","",MONTH($B393))</f>
        <v/>
      </c>
      <c r="V393" s="34" t="str">
        <f aca="false">IF($B393="","",YEAR($B393)*100+MONTH($B393))</f>
        <v/>
      </c>
      <c r="W393" s="35" t="str">
        <f aca="false">IF($D393="","",IFERROR(INDEX(MAP_CLASS,MATCH($D393,MAP_TIPO,0)),"TIPO INVALIDO"))</f>
        <v/>
      </c>
      <c r="X393" s="35" t="str">
        <f aca="false">IF($K393="","",IFERROR(INDEX(CAT_NOME,MATCH($K393,CAT_ID,0)),"?"))</f>
        <v/>
      </c>
      <c r="Y393" s="35" t="str">
        <f aca="false">IF($L393="","",IFERROR(INDEX(SUB_NOME,MATCH($L393,SUB_ID,0)),"?"))</f>
        <v/>
      </c>
      <c r="Z393" s="35" t="str">
        <f aca="false">IF($G393="","",IF($G393="EXTERNO","(Externo)",IFERROR(INDEX(ENT_NOME,MATCH($H393,ENT_ID,0)),"?")))</f>
        <v/>
      </c>
      <c r="AA393" s="35" t="str">
        <f aca="false">IF($I393="","",IF($I393="EXTERNO","(Externo)",IFERROR(INDEX(ENT_NOME,MATCH($J393,ENT_ID,0)),"?")))</f>
        <v/>
      </c>
      <c r="AB393" s="36" t="n">
        <f aca="false">IF($B393="",0,IF(AND($I393="CONTA",$G393&lt;&gt;"CONTA"),$F393,0))</f>
        <v>0</v>
      </c>
      <c r="AC393" s="36" t="n">
        <f aca="false">IF($B393="",0,IF(AND($G393="CONTA",$I393&lt;&gt;"CONTA"),$F393,0))</f>
        <v>0</v>
      </c>
      <c r="AD393" s="36" t="n">
        <f aca="false">IF($W393="RECEITA",$F393,0)</f>
        <v>0</v>
      </c>
      <c r="AE393" s="36" t="n">
        <f aca="false">IF($W393="DESPESA",$F393,0)</f>
        <v>0</v>
      </c>
      <c r="AF393" s="36" t="n">
        <f aca="false">IF($W393="RECEITA_FINANCEIRA",$F393,0)</f>
        <v>0</v>
      </c>
      <c r="AG393" s="36" t="n">
        <f aca="false">IF($B393="",0,IF($I393="CONTA",$F393,0)-IF($G393="CONTA",$F393,0))</f>
        <v>0</v>
      </c>
      <c r="AH393" s="36" t="n">
        <f aca="false">IF($B393="",0,IF($G393="CARTAO",$F393,0)-IF($I393="CARTAO",$F393,0))</f>
        <v>0</v>
      </c>
      <c r="AI393" s="36" t="n">
        <f aca="false">IF($B393="",0,IF($I393="INVESTIMENTO",$F393,0)-IF($G393="INVESTIMENTO",$F393,0))</f>
        <v>0</v>
      </c>
      <c r="AJ393" s="35" t="str">
        <f aca="false">IF($B393="","",IF(NOT(ISNUMBER($F393)),"ERRO: valor nao numerico",IF($F393&lt;=0,"ERRO: valor deve ser maior que zero",IF(COUNTIF(MAP_TIPO,$D393)=0,"ERRO: tipo de operacao nao cadastrado",IF(COUNTIF(LST_STATUS,$E393)=0,"ERRO: status invalido",IF(AND($G393="EXTERNO",$I393="EXTERNO"),"ERRO: origem e destino externos",IF(AND($G393&lt;&gt;"EXTERNO",COUNTIFS(ENT_ID,$H393,ENT_TIPO,$G393)=0),"ERRO: origem inexistente",IF(AND($I393&lt;&gt;"EXTERNO",COUNTIFS(ENT_ID,$J393,ENT_TIPO,$I393)=0),"ERRO: destino inexistente",IF(AND($K393&lt;&gt;"",COUNTIF(CAT_ID,$K393)=0),"ERRO: categoria inexistente",IF(AND($L393&lt;&gt;"",COUNTIF(SUB_ID,$L393)=0),"ERRO: subcategoria inexistente",IF(AND($L393&lt;&gt;"",$K393&lt;&gt;"",IFERROR(INDEX(SUB_CATID,MATCH($L393,SUB_ID,0)),"")&lt;&gt;$K393),"ERRO: subcategoria nao pertence a categoria",IF(AND($O393&lt;&gt;"",COUNTIF(P_ID,$O393)=0),"ERRO: parcela inexistente",IF(AND($N393&lt;&gt;"",COUNTIF(CM_ID,$N393)=0),"ERRO: compromisso inexistente","OK")))))))))))))</f>
        <v/>
      </c>
      <c r="AK393" s="35" t="str">
        <f aca="false">IF($B393="","",IF(AND($N393="",$O393="",$P393="",$Q393="",$R393=""),"","VINCULADO: "&amp;TRIM(IF($N393&lt;&gt;"",$N393&amp;" ","")&amp;IF($O393&lt;&gt;"",$O393&amp;" ","")&amp;IF($P393&lt;&gt;"",$P393&amp;" ","")&amp;IF($Q393&lt;&gt;"",$Q393&amp;" ","")&amp;IF($R393&lt;&gt;"",$R393,""))))</f>
        <v/>
      </c>
    </row>
    <row r="394" customFormat="false" ht="15" hidden="false" customHeight="false" outlineLevel="0" collapsed="false">
      <c r="A394" s="30" t="str">
        <f aca="false">IF($B394="","","LAN-"&amp;TEXT(ROW()-4,"000000"))</f>
        <v/>
      </c>
      <c r="B394" s="31"/>
      <c r="C394" s="32"/>
      <c r="D394" s="32"/>
      <c r="E394" s="32"/>
      <c r="F394" s="33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4" t="str">
        <f aca="false">IF($B394="","",YEAR($B394))</f>
        <v/>
      </c>
      <c r="U394" s="34" t="str">
        <f aca="false">IF($B394="","",MONTH($B394))</f>
        <v/>
      </c>
      <c r="V394" s="34" t="str">
        <f aca="false">IF($B394="","",YEAR($B394)*100+MONTH($B394))</f>
        <v/>
      </c>
      <c r="W394" s="35" t="str">
        <f aca="false">IF($D394="","",IFERROR(INDEX(MAP_CLASS,MATCH($D394,MAP_TIPO,0)),"TIPO INVALIDO"))</f>
        <v/>
      </c>
      <c r="X394" s="35" t="str">
        <f aca="false">IF($K394="","",IFERROR(INDEX(CAT_NOME,MATCH($K394,CAT_ID,0)),"?"))</f>
        <v/>
      </c>
      <c r="Y394" s="35" t="str">
        <f aca="false">IF($L394="","",IFERROR(INDEX(SUB_NOME,MATCH($L394,SUB_ID,0)),"?"))</f>
        <v/>
      </c>
      <c r="Z394" s="35" t="str">
        <f aca="false">IF($G394="","",IF($G394="EXTERNO","(Externo)",IFERROR(INDEX(ENT_NOME,MATCH($H394,ENT_ID,0)),"?")))</f>
        <v/>
      </c>
      <c r="AA394" s="35" t="str">
        <f aca="false">IF($I394="","",IF($I394="EXTERNO","(Externo)",IFERROR(INDEX(ENT_NOME,MATCH($J394,ENT_ID,0)),"?")))</f>
        <v/>
      </c>
      <c r="AB394" s="36" t="n">
        <f aca="false">IF($B394="",0,IF(AND($I394="CONTA",$G394&lt;&gt;"CONTA"),$F394,0))</f>
        <v>0</v>
      </c>
      <c r="AC394" s="36" t="n">
        <f aca="false">IF($B394="",0,IF(AND($G394="CONTA",$I394&lt;&gt;"CONTA"),$F394,0))</f>
        <v>0</v>
      </c>
      <c r="AD394" s="36" t="n">
        <f aca="false">IF($W394="RECEITA",$F394,0)</f>
        <v>0</v>
      </c>
      <c r="AE394" s="36" t="n">
        <f aca="false">IF($W394="DESPESA",$F394,0)</f>
        <v>0</v>
      </c>
      <c r="AF394" s="36" t="n">
        <f aca="false">IF($W394="RECEITA_FINANCEIRA",$F394,0)</f>
        <v>0</v>
      </c>
      <c r="AG394" s="36" t="n">
        <f aca="false">IF($B394="",0,IF($I394="CONTA",$F394,0)-IF($G394="CONTA",$F394,0))</f>
        <v>0</v>
      </c>
      <c r="AH394" s="36" t="n">
        <f aca="false">IF($B394="",0,IF($G394="CARTAO",$F394,0)-IF($I394="CARTAO",$F394,0))</f>
        <v>0</v>
      </c>
      <c r="AI394" s="36" t="n">
        <f aca="false">IF($B394="",0,IF($I394="INVESTIMENTO",$F394,0)-IF($G394="INVESTIMENTO",$F394,0))</f>
        <v>0</v>
      </c>
      <c r="AJ394" s="35" t="str">
        <f aca="false">IF($B394="","",IF(NOT(ISNUMBER($F394)),"ERRO: valor nao numerico",IF($F394&lt;=0,"ERRO: valor deve ser maior que zero",IF(COUNTIF(MAP_TIPO,$D394)=0,"ERRO: tipo de operacao nao cadastrado",IF(COUNTIF(LST_STATUS,$E394)=0,"ERRO: status invalido",IF(AND($G394="EXTERNO",$I394="EXTERNO"),"ERRO: origem e destino externos",IF(AND($G394&lt;&gt;"EXTERNO",COUNTIFS(ENT_ID,$H394,ENT_TIPO,$G394)=0),"ERRO: origem inexistente",IF(AND($I394&lt;&gt;"EXTERNO",COUNTIFS(ENT_ID,$J394,ENT_TIPO,$I394)=0),"ERRO: destino inexistente",IF(AND($K394&lt;&gt;"",COUNTIF(CAT_ID,$K394)=0),"ERRO: categoria inexistente",IF(AND($L394&lt;&gt;"",COUNTIF(SUB_ID,$L394)=0),"ERRO: subcategoria inexistente",IF(AND($L394&lt;&gt;"",$K394&lt;&gt;"",IFERROR(INDEX(SUB_CATID,MATCH($L394,SUB_ID,0)),"")&lt;&gt;$K394),"ERRO: subcategoria nao pertence a categoria",IF(AND($O394&lt;&gt;"",COUNTIF(P_ID,$O394)=0),"ERRO: parcela inexistente",IF(AND($N394&lt;&gt;"",COUNTIF(CM_ID,$N394)=0),"ERRO: compromisso inexistente","OK")))))))))))))</f>
        <v/>
      </c>
      <c r="AK394" s="35" t="str">
        <f aca="false">IF($B394="","",IF(AND($N394="",$O394="",$P394="",$Q394="",$R394=""),"","VINCULADO: "&amp;TRIM(IF($N394&lt;&gt;"",$N394&amp;" ","")&amp;IF($O394&lt;&gt;"",$O394&amp;" ","")&amp;IF($P394&lt;&gt;"",$P394&amp;" ","")&amp;IF($Q394&lt;&gt;"",$Q394&amp;" ","")&amp;IF($R394&lt;&gt;"",$R394,""))))</f>
        <v/>
      </c>
    </row>
    <row r="395" customFormat="false" ht="15" hidden="false" customHeight="false" outlineLevel="0" collapsed="false">
      <c r="A395" s="30" t="str">
        <f aca="false">IF($B395="","","LAN-"&amp;TEXT(ROW()-4,"000000"))</f>
        <v/>
      </c>
      <c r="B395" s="31"/>
      <c r="C395" s="32"/>
      <c r="D395" s="32"/>
      <c r="E395" s="32"/>
      <c r="F395" s="33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4" t="str">
        <f aca="false">IF($B395="","",YEAR($B395))</f>
        <v/>
      </c>
      <c r="U395" s="34" t="str">
        <f aca="false">IF($B395="","",MONTH($B395))</f>
        <v/>
      </c>
      <c r="V395" s="34" t="str">
        <f aca="false">IF($B395="","",YEAR($B395)*100+MONTH($B395))</f>
        <v/>
      </c>
      <c r="W395" s="35" t="str">
        <f aca="false">IF($D395="","",IFERROR(INDEX(MAP_CLASS,MATCH($D395,MAP_TIPO,0)),"TIPO INVALIDO"))</f>
        <v/>
      </c>
      <c r="X395" s="35" t="str">
        <f aca="false">IF($K395="","",IFERROR(INDEX(CAT_NOME,MATCH($K395,CAT_ID,0)),"?"))</f>
        <v/>
      </c>
      <c r="Y395" s="35" t="str">
        <f aca="false">IF($L395="","",IFERROR(INDEX(SUB_NOME,MATCH($L395,SUB_ID,0)),"?"))</f>
        <v/>
      </c>
      <c r="Z395" s="35" t="str">
        <f aca="false">IF($G395="","",IF($G395="EXTERNO","(Externo)",IFERROR(INDEX(ENT_NOME,MATCH($H395,ENT_ID,0)),"?")))</f>
        <v/>
      </c>
      <c r="AA395" s="35" t="str">
        <f aca="false">IF($I395="","",IF($I395="EXTERNO","(Externo)",IFERROR(INDEX(ENT_NOME,MATCH($J395,ENT_ID,0)),"?")))</f>
        <v/>
      </c>
      <c r="AB395" s="36" t="n">
        <f aca="false">IF($B395="",0,IF(AND($I395="CONTA",$G395&lt;&gt;"CONTA"),$F395,0))</f>
        <v>0</v>
      </c>
      <c r="AC395" s="36" t="n">
        <f aca="false">IF($B395="",0,IF(AND($G395="CONTA",$I395&lt;&gt;"CONTA"),$F395,0))</f>
        <v>0</v>
      </c>
      <c r="AD395" s="36" t="n">
        <f aca="false">IF($W395="RECEITA",$F395,0)</f>
        <v>0</v>
      </c>
      <c r="AE395" s="36" t="n">
        <f aca="false">IF($W395="DESPESA",$F395,0)</f>
        <v>0</v>
      </c>
      <c r="AF395" s="36" t="n">
        <f aca="false">IF($W395="RECEITA_FINANCEIRA",$F395,0)</f>
        <v>0</v>
      </c>
      <c r="AG395" s="36" t="n">
        <f aca="false">IF($B395="",0,IF($I395="CONTA",$F395,0)-IF($G395="CONTA",$F395,0))</f>
        <v>0</v>
      </c>
      <c r="AH395" s="36" t="n">
        <f aca="false">IF($B395="",0,IF($G395="CARTAO",$F395,0)-IF($I395="CARTAO",$F395,0))</f>
        <v>0</v>
      </c>
      <c r="AI395" s="36" t="n">
        <f aca="false">IF($B395="",0,IF($I395="INVESTIMENTO",$F395,0)-IF($G395="INVESTIMENTO",$F395,0))</f>
        <v>0</v>
      </c>
      <c r="AJ395" s="35" t="str">
        <f aca="false">IF($B395="","",IF(NOT(ISNUMBER($F395)),"ERRO: valor nao numerico",IF($F395&lt;=0,"ERRO: valor deve ser maior que zero",IF(COUNTIF(MAP_TIPO,$D395)=0,"ERRO: tipo de operacao nao cadastrado",IF(COUNTIF(LST_STATUS,$E395)=0,"ERRO: status invalido",IF(AND($G395="EXTERNO",$I395="EXTERNO"),"ERRO: origem e destino externos",IF(AND($G395&lt;&gt;"EXTERNO",COUNTIFS(ENT_ID,$H395,ENT_TIPO,$G395)=0),"ERRO: origem inexistente",IF(AND($I395&lt;&gt;"EXTERNO",COUNTIFS(ENT_ID,$J395,ENT_TIPO,$I395)=0),"ERRO: destino inexistente",IF(AND($K395&lt;&gt;"",COUNTIF(CAT_ID,$K395)=0),"ERRO: categoria inexistente",IF(AND($L395&lt;&gt;"",COUNTIF(SUB_ID,$L395)=0),"ERRO: subcategoria inexistente",IF(AND($L395&lt;&gt;"",$K395&lt;&gt;"",IFERROR(INDEX(SUB_CATID,MATCH($L395,SUB_ID,0)),"")&lt;&gt;$K395),"ERRO: subcategoria nao pertence a categoria",IF(AND($O395&lt;&gt;"",COUNTIF(P_ID,$O395)=0),"ERRO: parcela inexistente",IF(AND($N395&lt;&gt;"",COUNTIF(CM_ID,$N395)=0),"ERRO: compromisso inexistente","OK")))))))))))))</f>
        <v/>
      </c>
      <c r="AK395" s="35" t="str">
        <f aca="false">IF($B395="","",IF(AND($N395="",$O395="",$P395="",$Q395="",$R395=""),"","VINCULADO: "&amp;TRIM(IF($N395&lt;&gt;"",$N395&amp;" ","")&amp;IF($O395&lt;&gt;"",$O395&amp;" ","")&amp;IF($P395&lt;&gt;"",$P395&amp;" ","")&amp;IF($Q395&lt;&gt;"",$Q395&amp;" ","")&amp;IF($R395&lt;&gt;"",$R395,""))))</f>
        <v/>
      </c>
    </row>
    <row r="396" customFormat="false" ht="15" hidden="false" customHeight="false" outlineLevel="0" collapsed="false">
      <c r="A396" s="30" t="str">
        <f aca="false">IF($B396="","","LAN-"&amp;TEXT(ROW()-4,"000000"))</f>
        <v/>
      </c>
      <c r="B396" s="31"/>
      <c r="C396" s="32"/>
      <c r="D396" s="32"/>
      <c r="E396" s="32"/>
      <c r="F396" s="33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4" t="str">
        <f aca="false">IF($B396="","",YEAR($B396))</f>
        <v/>
      </c>
      <c r="U396" s="34" t="str">
        <f aca="false">IF($B396="","",MONTH($B396))</f>
        <v/>
      </c>
      <c r="V396" s="34" t="str">
        <f aca="false">IF($B396="","",YEAR($B396)*100+MONTH($B396))</f>
        <v/>
      </c>
      <c r="W396" s="35" t="str">
        <f aca="false">IF($D396="","",IFERROR(INDEX(MAP_CLASS,MATCH($D396,MAP_TIPO,0)),"TIPO INVALIDO"))</f>
        <v/>
      </c>
      <c r="X396" s="35" t="str">
        <f aca="false">IF($K396="","",IFERROR(INDEX(CAT_NOME,MATCH($K396,CAT_ID,0)),"?"))</f>
        <v/>
      </c>
      <c r="Y396" s="35" t="str">
        <f aca="false">IF($L396="","",IFERROR(INDEX(SUB_NOME,MATCH($L396,SUB_ID,0)),"?"))</f>
        <v/>
      </c>
      <c r="Z396" s="35" t="str">
        <f aca="false">IF($G396="","",IF($G396="EXTERNO","(Externo)",IFERROR(INDEX(ENT_NOME,MATCH($H396,ENT_ID,0)),"?")))</f>
        <v/>
      </c>
      <c r="AA396" s="35" t="str">
        <f aca="false">IF($I396="","",IF($I396="EXTERNO","(Externo)",IFERROR(INDEX(ENT_NOME,MATCH($J396,ENT_ID,0)),"?")))</f>
        <v/>
      </c>
      <c r="AB396" s="36" t="n">
        <f aca="false">IF($B396="",0,IF(AND($I396="CONTA",$G396&lt;&gt;"CONTA"),$F396,0))</f>
        <v>0</v>
      </c>
      <c r="AC396" s="36" t="n">
        <f aca="false">IF($B396="",0,IF(AND($G396="CONTA",$I396&lt;&gt;"CONTA"),$F396,0))</f>
        <v>0</v>
      </c>
      <c r="AD396" s="36" t="n">
        <f aca="false">IF($W396="RECEITA",$F396,0)</f>
        <v>0</v>
      </c>
      <c r="AE396" s="36" t="n">
        <f aca="false">IF($W396="DESPESA",$F396,0)</f>
        <v>0</v>
      </c>
      <c r="AF396" s="36" t="n">
        <f aca="false">IF($W396="RECEITA_FINANCEIRA",$F396,0)</f>
        <v>0</v>
      </c>
      <c r="AG396" s="36" t="n">
        <f aca="false">IF($B396="",0,IF($I396="CONTA",$F396,0)-IF($G396="CONTA",$F396,0))</f>
        <v>0</v>
      </c>
      <c r="AH396" s="36" t="n">
        <f aca="false">IF($B396="",0,IF($G396="CARTAO",$F396,0)-IF($I396="CARTAO",$F396,0))</f>
        <v>0</v>
      </c>
      <c r="AI396" s="36" t="n">
        <f aca="false">IF($B396="",0,IF($I396="INVESTIMENTO",$F396,0)-IF($G396="INVESTIMENTO",$F396,0))</f>
        <v>0</v>
      </c>
      <c r="AJ396" s="35" t="str">
        <f aca="false">IF($B396="","",IF(NOT(ISNUMBER($F396)),"ERRO: valor nao numerico",IF($F396&lt;=0,"ERRO: valor deve ser maior que zero",IF(COUNTIF(MAP_TIPO,$D396)=0,"ERRO: tipo de operacao nao cadastrado",IF(COUNTIF(LST_STATUS,$E396)=0,"ERRO: status invalido",IF(AND($G396="EXTERNO",$I396="EXTERNO"),"ERRO: origem e destino externos",IF(AND($G396&lt;&gt;"EXTERNO",COUNTIFS(ENT_ID,$H396,ENT_TIPO,$G396)=0),"ERRO: origem inexistente",IF(AND($I396&lt;&gt;"EXTERNO",COUNTIFS(ENT_ID,$J396,ENT_TIPO,$I396)=0),"ERRO: destino inexistente",IF(AND($K396&lt;&gt;"",COUNTIF(CAT_ID,$K396)=0),"ERRO: categoria inexistente",IF(AND($L396&lt;&gt;"",COUNTIF(SUB_ID,$L396)=0),"ERRO: subcategoria inexistente",IF(AND($L396&lt;&gt;"",$K396&lt;&gt;"",IFERROR(INDEX(SUB_CATID,MATCH($L396,SUB_ID,0)),"")&lt;&gt;$K396),"ERRO: subcategoria nao pertence a categoria",IF(AND($O396&lt;&gt;"",COUNTIF(P_ID,$O396)=0),"ERRO: parcela inexistente",IF(AND($N396&lt;&gt;"",COUNTIF(CM_ID,$N396)=0),"ERRO: compromisso inexistente","OK")))))))))))))</f>
        <v/>
      </c>
      <c r="AK396" s="35" t="str">
        <f aca="false">IF($B396="","",IF(AND($N396="",$O396="",$P396="",$Q396="",$R396=""),"","VINCULADO: "&amp;TRIM(IF($N396&lt;&gt;"",$N396&amp;" ","")&amp;IF($O396&lt;&gt;"",$O396&amp;" ","")&amp;IF($P396&lt;&gt;"",$P396&amp;" ","")&amp;IF($Q396&lt;&gt;"",$Q396&amp;" ","")&amp;IF($R396&lt;&gt;"",$R396,""))))</f>
        <v/>
      </c>
    </row>
    <row r="397" customFormat="false" ht="15" hidden="false" customHeight="false" outlineLevel="0" collapsed="false">
      <c r="A397" s="30" t="str">
        <f aca="false">IF($B397="","","LAN-"&amp;TEXT(ROW()-4,"000000"))</f>
        <v/>
      </c>
      <c r="B397" s="31"/>
      <c r="C397" s="32"/>
      <c r="D397" s="32"/>
      <c r="E397" s="32"/>
      <c r="F397" s="33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4" t="str">
        <f aca="false">IF($B397="","",YEAR($B397))</f>
        <v/>
      </c>
      <c r="U397" s="34" t="str">
        <f aca="false">IF($B397="","",MONTH($B397))</f>
        <v/>
      </c>
      <c r="V397" s="34" t="str">
        <f aca="false">IF($B397="","",YEAR($B397)*100+MONTH($B397))</f>
        <v/>
      </c>
      <c r="W397" s="35" t="str">
        <f aca="false">IF($D397="","",IFERROR(INDEX(MAP_CLASS,MATCH($D397,MAP_TIPO,0)),"TIPO INVALIDO"))</f>
        <v/>
      </c>
      <c r="X397" s="35" t="str">
        <f aca="false">IF($K397="","",IFERROR(INDEX(CAT_NOME,MATCH($K397,CAT_ID,0)),"?"))</f>
        <v/>
      </c>
      <c r="Y397" s="35" t="str">
        <f aca="false">IF($L397="","",IFERROR(INDEX(SUB_NOME,MATCH($L397,SUB_ID,0)),"?"))</f>
        <v/>
      </c>
      <c r="Z397" s="35" t="str">
        <f aca="false">IF($G397="","",IF($G397="EXTERNO","(Externo)",IFERROR(INDEX(ENT_NOME,MATCH($H397,ENT_ID,0)),"?")))</f>
        <v/>
      </c>
      <c r="AA397" s="35" t="str">
        <f aca="false">IF($I397="","",IF($I397="EXTERNO","(Externo)",IFERROR(INDEX(ENT_NOME,MATCH($J397,ENT_ID,0)),"?")))</f>
        <v/>
      </c>
      <c r="AB397" s="36" t="n">
        <f aca="false">IF($B397="",0,IF(AND($I397="CONTA",$G397&lt;&gt;"CONTA"),$F397,0))</f>
        <v>0</v>
      </c>
      <c r="AC397" s="36" t="n">
        <f aca="false">IF($B397="",0,IF(AND($G397="CONTA",$I397&lt;&gt;"CONTA"),$F397,0))</f>
        <v>0</v>
      </c>
      <c r="AD397" s="36" t="n">
        <f aca="false">IF($W397="RECEITA",$F397,0)</f>
        <v>0</v>
      </c>
      <c r="AE397" s="36" t="n">
        <f aca="false">IF($W397="DESPESA",$F397,0)</f>
        <v>0</v>
      </c>
      <c r="AF397" s="36" t="n">
        <f aca="false">IF($W397="RECEITA_FINANCEIRA",$F397,0)</f>
        <v>0</v>
      </c>
      <c r="AG397" s="36" t="n">
        <f aca="false">IF($B397="",0,IF($I397="CONTA",$F397,0)-IF($G397="CONTA",$F397,0))</f>
        <v>0</v>
      </c>
      <c r="AH397" s="36" t="n">
        <f aca="false">IF($B397="",0,IF($G397="CARTAO",$F397,0)-IF($I397="CARTAO",$F397,0))</f>
        <v>0</v>
      </c>
      <c r="AI397" s="36" t="n">
        <f aca="false">IF($B397="",0,IF($I397="INVESTIMENTO",$F397,0)-IF($G397="INVESTIMENTO",$F397,0))</f>
        <v>0</v>
      </c>
      <c r="AJ397" s="35" t="str">
        <f aca="false">IF($B397="","",IF(NOT(ISNUMBER($F397)),"ERRO: valor nao numerico",IF($F397&lt;=0,"ERRO: valor deve ser maior que zero",IF(COUNTIF(MAP_TIPO,$D397)=0,"ERRO: tipo de operacao nao cadastrado",IF(COUNTIF(LST_STATUS,$E397)=0,"ERRO: status invalido",IF(AND($G397="EXTERNO",$I397="EXTERNO"),"ERRO: origem e destino externos",IF(AND($G397&lt;&gt;"EXTERNO",COUNTIFS(ENT_ID,$H397,ENT_TIPO,$G397)=0),"ERRO: origem inexistente",IF(AND($I397&lt;&gt;"EXTERNO",COUNTIFS(ENT_ID,$J397,ENT_TIPO,$I397)=0),"ERRO: destino inexistente",IF(AND($K397&lt;&gt;"",COUNTIF(CAT_ID,$K397)=0),"ERRO: categoria inexistente",IF(AND($L397&lt;&gt;"",COUNTIF(SUB_ID,$L397)=0),"ERRO: subcategoria inexistente",IF(AND($L397&lt;&gt;"",$K397&lt;&gt;"",IFERROR(INDEX(SUB_CATID,MATCH($L397,SUB_ID,0)),"")&lt;&gt;$K397),"ERRO: subcategoria nao pertence a categoria",IF(AND($O397&lt;&gt;"",COUNTIF(P_ID,$O397)=0),"ERRO: parcela inexistente",IF(AND($N397&lt;&gt;"",COUNTIF(CM_ID,$N397)=0),"ERRO: compromisso inexistente","OK")))))))))))))</f>
        <v/>
      </c>
      <c r="AK397" s="35" t="str">
        <f aca="false">IF($B397="","",IF(AND($N397="",$O397="",$P397="",$Q397="",$R397=""),"","VINCULADO: "&amp;TRIM(IF($N397&lt;&gt;"",$N397&amp;" ","")&amp;IF($O397&lt;&gt;"",$O397&amp;" ","")&amp;IF($P397&lt;&gt;"",$P397&amp;" ","")&amp;IF($Q397&lt;&gt;"",$Q397&amp;" ","")&amp;IF($R397&lt;&gt;"",$R397,""))))</f>
        <v/>
      </c>
    </row>
    <row r="398" customFormat="false" ht="15" hidden="false" customHeight="false" outlineLevel="0" collapsed="false">
      <c r="A398" s="30" t="str">
        <f aca="false">IF($B398="","","LAN-"&amp;TEXT(ROW()-4,"000000"))</f>
        <v/>
      </c>
      <c r="B398" s="31"/>
      <c r="C398" s="32"/>
      <c r="D398" s="32"/>
      <c r="E398" s="32"/>
      <c r="F398" s="33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4" t="str">
        <f aca="false">IF($B398="","",YEAR($B398))</f>
        <v/>
      </c>
      <c r="U398" s="34" t="str">
        <f aca="false">IF($B398="","",MONTH($B398))</f>
        <v/>
      </c>
      <c r="V398" s="34" t="str">
        <f aca="false">IF($B398="","",YEAR($B398)*100+MONTH($B398))</f>
        <v/>
      </c>
      <c r="W398" s="35" t="str">
        <f aca="false">IF($D398="","",IFERROR(INDEX(MAP_CLASS,MATCH($D398,MAP_TIPO,0)),"TIPO INVALIDO"))</f>
        <v/>
      </c>
      <c r="X398" s="35" t="str">
        <f aca="false">IF($K398="","",IFERROR(INDEX(CAT_NOME,MATCH($K398,CAT_ID,0)),"?"))</f>
        <v/>
      </c>
      <c r="Y398" s="35" t="str">
        <f aca="false">IF($L398="","",IFERROR(INDEX(SUB_NOME,MATCH($L398,SUB_ID,0)),"?"))</f>
        <v/>
      </c>
      <c r="Z398" s="35" t="str">
        <f aca="false">IF($G398="","",IF($G398="EXTERNO","(Externo)",IFERROR(INDEX(ENT_NOME,MATCH($H398,ENT_ID,0)),"?")))</f>
        <v/>
      </c>
      <c r="AA398" s="35" t="str">
        <f aca="false">IF($I398="","",IF($I398="EXTERNO","(Externo)",IFERROR(INDEX(ENT_NOME,MATCH($J398,ENT_ID,0)),"?")))</f>
        <v/>
      </c>
      <c r="AB398" s="36" t="n">
        <f aca="false">IF($B398="",0,IF(AND($I398="CONTA",$G398&lt;&gt;"CONTA"),$F398,0))</f>
        <v>0</v>
      </c>
      <c r="AC398" s="36" t="n">
        <f aca="false">IF($B398="",0,IF(AND($G398="CONTA",$I398&lt;&gt;"CONTA"),$F398,0))</f>
        <v>0</v>
      </c>
      <c r="AD398" s="36" t="n">
        <f aca="false">IF($W398="RECEITA",$F398,0)</f>
        <v>0</v>
      </c>
      <c r="AE398" s="36" t="n">
        <f aca="false">IF($W398="DESPESA",$F398,0)</f>
        <v>0</v>
      </c>
      <c r="AF398" s="36" t="n">
        <f aca="false">IF($W398="RECEITA_FINANCEIRA",$F398,0)</f>
        <v>0</v>
      </c>
      <c r="AG398" s="36" t="n">
        <f aca="false">IF($B398="",0,IF($I398="CONTA",$F398,0)-IF($G398="CONTA",$F398,0))</f>
        <v>0</v>
      </c>
      <c r="AH398" s="36" t="n">
        <f aca="false">IF($B398="",0,IF($G398="CARTAO",$F398,0)-IF($I398="CARTAO",$F398,0))</f>
        <v>0</v>
      </c>
      <c r="AI398" s="36" t="n">
        <f aca="false">IF($B398="",0,IF($I398="INVESTIMENTO",$F398,0)-IF($G398="INVESTIMENTO",$F398,0))</f>
        <v>0</v>
      </c>
      <c r="AJ398" s="35" t="str">
        <f aca="false">IF($B398="","",IF(NOT(ISNUMBER($F398)),"ERRO: valor nao numerico",IF($F398&lt;=0,"ERRO: valor deve ser maior que zero",IF(COUNTIF(MAP_TIPO,$D398)=0,"ERRO: tipo de operacao nao cadastrado",IF(COUNTIF(LST_STATUS,$E398)=0,"ERRO: status invalido",IF(AND($G398="EXTERNO",$I398="EXTERNO"),"ERRO: origem e destino externos",IF(AND($G398&lt;&gt;"EXTERNO",COUNTIFS(ENT_ID,$H398,ENT_TIPO,$G398)=0),"ERRO: origem inexistente",IF(AND($I398&lt;&gt;"EXTERNO",COUNTIFS(ENT_ID,$J398,ENT_TIPO,$I398)=0),"ERRO: destino inexistente",IF(AND($K398&lt;&gt;"",COUNTIF(CAT_ID,$K398)=0),"ERRO: categoria inexistente",IF(AND($L398&lt;&gt;"",COUNTIF(SUB_ID,$L398)=0),"ERRO: subcategoria inexistente",IF(AND($L398&lt;&gt;"",$K398&lt;&gt;"",IFERROR(INDEX(SUB_CATID,MATCH($L398,SUB_ID,0)),"")&lt;&gt;$K398),"ERRO: subcategoria nao pertence a categoria",IF(AND($O398&lt;&gt;"",COUNTIF(P_ID,$O398)=0),"ERRO: parcela inexistente",IF(AND($N398&lt;&gt;"",COUNTIF(CM_ID,$N398)=0),"ERRO: compromisso inexistente","OK")))))))))))))</f>
        <v/>
      </c>
      <c r="AK398" s="35" t="str">
        <f aca="false">IF($B398="","",IF(AND($N398="",$O398="",$P398="",$Q398="",$R398=""),"","VINCULADO: "&amp;TRIM(IF($N398&lt;&gt;"",$N398&amp;" ","")&amp;IF($O398&lt;&gt;"",$O398&amp;" ","")&amp;IF($P398&lt;&gt;"",$P398&amp;" ","")&amp;IF($Q398&lt;&gt;"",$Q398&amp;" ","")&amp;IF($R398&lt;&gt;"",$R398,""))))</f>
        <v/>
      </c>
    </row>
    <row r="399" customFormat="false" ht="15" hidden="false" customHeight="false" outlineLevel="0" collapsed="false">
      <c r="A399" s="30" t="str">
        <f aca="false">IF($B399="","","LAN-"&amp;TEXT(ROW()-4,"000000"))</f>
        <v/>
      </c>
      <c r="B399" s="31"/>
      <c r="C399" s="32"/>
      <c r="D399" s="32"/>
      <c r="E399" s="32"/>
      <c r="F399" s="33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4" t="str">
        <f aca="false">IF($B399="","",YEAR($B399))</f>
        <v/>
      </c>
      <c r="U399" s="34" t="str">
        <f aca="false">IF($B399="","",MONTH($B399))</f>
        <v/>
      </c>
      <c r="V399" s="34" t="str">
        <f aca="false">IF($B399="","",YEAR($B399)*100+MONTH($B399))</f>
        <v/>
      </c>
      <c r="W399" s="35" t="str">
        <f aca="false">IF($D399="","",IFERROR(INDEX(MAP_CLASS,MATCH($D399,MAP_TIPO,0)),"TIPO INVALIDO"))</f>
        <v/>
      </c>
      <c r="X399" s="35" t="str">
        <f aca="false">IF($K399="","",IFERROR(INDEX(CAT_NOME,MATCH($K399,CAT_ID,0)),"?"))</f>
        <v/>
      </c>
      <c r="Y399" s="35" t="str">
        <f aca="false">IF($L399="","",IFERROR(INDEX(SUB_NOME,MATCH($L399,SUB_ID,0)),"?"))</f>
        <v/>
      </c>
      <c r="Z399" s="35" t="str">
        <f aca="false">IF($G399="","",IF($G399="EXTERNO","(Externo)",IFERROR(INDEX(ENT_NOME,MATCH($H399,ENT_ID,0)),"?")))</f>
        <v/>
      </c>
      <c r="AA399" s="35" t="str">
        <f aca="false">IF($I399="","",IF($I399="EXTERNO","(Externo)",IFERROR(INDEX(ENT_NOME,MATCH($J399,ENT_ID,0)),"?")))</f>
        <v/>
      </c>
      <c r="AB399" s="36" t="n">
        <f aca="false">IF($B399="",0,IF(AND($I399="CONTA",$G399&lt;&gt;"CONTA"),$F399,0))</f>
        <v>0</v>
      </c>
      <c r="AC399" s="36" t="n">
        <f aca="false">IF($B399="",0,IF(AND($G399="CONTA",$I399&lt;&gt;"CONTA"),$F399,0))</f>
        <v>0</v>
      </c>
      <c r="AD399" s="36" t="n">
        <f aca="false">IF($W399="RECEITA",$F399,0)</f>
        <v>0</v>
      </c>
      <c r="AE399" s="36" t="n">
        <f aca="false">IF($W399="DESPESA",$F399,0)</f>
        <v>0</v>
      </c>
      <c r="AF399" s="36" t="n">
        <f aca="false">IF($W399="RECEITA_FINANCEIRA",$F399,0)</f>
        <v>0</v>
      </c>
      <c r="AG399" s="36" t="n">
        <f aca="false">IF($B399="",0,IF($I399="CONTA",$F399,0)-IF($G399="CONTA",$F399,0))</f>
        <v>0</v>
      </c>
      <c r="AH399" s="36" t="n">
        <f aca="false">IF($B399="",0,IF($G399="CARTAO",$F399,0)-IF($I399="CARTAO",$F399,0))</f>
        <v>0</v>
      </c>
      <c r="AI399" s="36" t="n">
        <f aca="false">IF($B399="",0,IF($I399="INVESTIMENTO",$F399,0)-IF($G399="INVESTIMENTO",$F399,0))</f>
        <v>0</v>
      </c>
      <c r="AJ399" s="35" t="str">
        <f aca="false">IF($B399="","",IF(NOT(ISNUMBER($F399)),"ERRO: valor nao numerico",IF($F399&lt;=0,"ERRO: valor deve ser maior que zero",IF(COUNTIF(MAP_TIPO,$D399)=0,"ERRO: tipo de operacao nao cadastrado",IF(COUNTIF(LST_STATUS,$E399)=0,"ERRO: status invalido",IF(AND($G399="EXTERNO",$I399="EXTERNO"),"ERRO: origem e destino externos",IF(AND($G399&lt;&gt;"EXTERNO",COUNTIFS(ENT_ID,$H399,ENT_TIPO,$G399)=0),"ERRO: origem inexistente",IF(AND($I399&lt;&gt;"EXTERNO",COUNTIFS(ENT_ID,$J399,ENT_TIPO,$I399)=0),"ERRO: destino inexistente",IF(AND($K399&lt;&gt;"",COUNTIF(CAT_ID,$K399)=0),"ERRO: categoria inexistente",IF(AND($L399&lt;&gt;"",COUNTIF(SUB_ID,$L399)=0),"ERRO: subcategoria inexistente",IF(AND($L399&lt;&gt;"",$K399&lt;&gt;"",IFERROR(INDEX(SUB_CATID,MATCH($L399,SUB_ID,0)),"")&lt;&gt;$K399),"ERRO: subcategoria nao pertence a categoria",IF(AND($O399&lt;&gt;"",COUNTIF(P_ID,$O399)=0),"ERRO: parcela inexistente",IF(AND($N399&lt;&gt;"",COUNTIF(CM_ID,$N399)=0),"ERRO: compromisso inexistente","OK")))))))))))))</f>
        <v/>
      </c>
      <c r="AK399" s="35" t="str">
        <f aca="false">IF($B399="","",IF(AND($N399="",$O399="",$P399="",$Q399="",$R399=""),"","VINCULADO: "&amp;TRIM(IF($N399&lt;&gt;"",$N399&amp;" ","")&amp;IF($O399&lt;&gt;"",$O399&amp;" ","")&amp;IF($P399&lt;&gt;"",$P399&amp;" ","")&amp;IF($Q399&lt;&gt;"",$Q399&amp;" ","")&amp;IF($R399&lt;&gt;"",$R399,""))))</f>
        <v/>
      </c>
    </row>
    <row r="400" customFormat="false" ht="15" hidden="false" customHeight="false" outlineLevel="0" collapsed="false">
      <c r="A400" s="30" t="str">
        <f aca="false">IF($B400="","","LAN-"&amp;TEXT(ROW()-4,"000000"))</f>
        <v/>
      </c>
      <c r="B400" s="31"/>
      <c r="C400" s="32"/>
      <c r="D400" s="32"/>
      <c r="E400" s="32"/>
      <c r="F400" s="33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4" t="str">
        <f aca="false">IF($B400="","",YEAR($B400))</f>
        <v/>
      </c>
      <c r="U400" s="34" t="str">
        <f aca="false">IF($B400="","",MONTH($B400))</f>
        <v/>
      </c>
      <c r="V400" s="34" t="str">
        <f aca="false">IF($B400="","",YEAR($B400)*100+MONTH($B400))</f>
        <v/>
      </c>
      <c r="W400" s="35" t="str">
        <f aca="false">IF($D400="","",IFERROR(INDEX(MAP_CLASS,MATCH($D400,MAP_TIPO,0)),"TIPO INVALIDO"))</f>
        <v/>
      </c>
      <c r="X400" s="35" t="str">
        <f aca="false">IF($K400="","",IFERROR(INDEX(CAT_NOME,MATCH($K400,CAT_ID,0)),"?"))</f>
        <v/>
      </c>
      <c r="Y400" s="35" t="str">
        <f aca="false">IF($L400="","",IFERROR(INDEX(SUB_NOME,MATCH($L400,SUB_ID,0)),"?"))</f>
        <v/>
      </c>
      <c r="Z400" s="35" t="str">
        <f aca="false">IF($G400="","",IF($G400="EXTERNO","(Externo)",IFERROR(INDEX(ENT_NOME,MATCH($H400,ENT_ID,0)),"?")))</f>
        <v/>
      </c>
      <c r="AA400" s="35" t="str">
        <f aca="false">IF($I400="","",IF($I400="EXTERNO","(Externo)",IFERROR(INDEX(ENT_NOME,MATCH($J400,ENT_ID,0)),"?")))</f>
        <v/>
      </c>
      <c r="AB400" s="36" t="n">
        <f aca="false">IF($B400="",0,IF(AND($I400="CONTA",$G400&lt;&gt;"CONTA"),$F400,0))</f>
        <v>0</v>
      </c>
      <c r="AC400" s="36" t="n">
        <f aca="false">IF($B400="",0,IF(AND($G400="CONTA",$I400&lt;&gt;"CONTA"),$F400,0))</f>
        <v>0</v>
      </c>
      <c r="AD400" s="36" t="n">
        <f aca="false">IF($W400="RECEITA",$F400,0)</f>
        <v>0</v>
      </c>
      <c r="AE400" s="36" t="n">
        <f aca="false">IF($W400="DESPESA",$F400,0)</f>
        <v>0</v>
      </c>
      <c r="AF400" s="36" t="n">
        <f aca="false">IF($W400="RECEITA_FINANCEIRA",$F400,0)</f>
        <v>0</v>
      </c>
      <c r="AG400" s="36" t="n">
        <f aca="false">IF($B400="",0,IF($I400="CONTA",$F400,0)-IF($G400="CONTA",$F400,0))</f>
        <v>0</v>
      </c>
      <c r="AH400" s="36" t="n">
        <f aca="false">IF($B400="",0,IF($G400="CARTAO",$F400,0)-IF($I400="CARTAO",$F400,0))</f>
        <v>0</v>
      </c>
      <c r="AI400" s="36" t="n">
        <f aca="false">IF($B400="",0,IF($I400="INVESTIMENTO",$F400,0)-IF($G400="INVESTIMENTO",$F400,0))</f>
        <v>0</v>
      </c>
      <c r="AJ400" s="35" t="str">
        <f aca="false">IF($B400="","",IF(NOT(ISNUMBER($F400)),"ERRO: valor nao numerico",IF($F400&lt;=0,"ERRO: valor deve ser maior que zero",IF(COUNTIF(MAP_TIPO,$D400)=0,"ERRO: tipo de operacao nao cadastrado",IF(COUNTIF(LST_STATUS,$E400)=0,"ERRO: status invalido",IF(AND($G400="EXTERNO",$I400="EXTERNO"),"ERRO: origem e destino externos",IF(AND($G400&lt;&gt;"EXTERNO",COUNTIFS(ENT_ID,$H400,ENT_TIPO,$G400)=0),"ERRO: origem inexistente",IF(AND($I400&lt;&gt;"EXTERNO",COUNTIFS(ENT_ID,$J400,ENT_TIPO,$I400)=0),"ERRO: destino inexistente",IF(AND($K400&lt;&gt;"",COUNTIF(CAT_ID,$K400)=0),"ERRO: categoria inexistente",IF(AND($L400&lt;&gt;"",COUNTIF(SUB_ID,$L400)=0),"ERRO: subcategoria inexistente",IF(AND($L400&lt;&gt;"",$K400&lt;&gt;"",IFERROR(INDEX(SUB_CATID,MATCH($L400,SUB_ID,0)),"")&lt;&gt;$K400),"ERRO: subcategoria nao pertence a categoria",IF(AND($O400&lt;&gt;"",COUNTIF(P_ID,$O400)=0),"ERRO: parcela inexistente",IF(AND($N400&lt;&gt;"",COUNTIF(CM_ID,$N400)=0),"ERRO: compromisso inexistente","OK")))))))))))))</f>
        <v/>
      </c>
      <c r="AK400" s="35" t="str">
        <f aca="false">IF($B400="","",IF(AND($N400="",$O400="",$P400="",$Q400="",$R400=""),"","VINCULADO: "&amp;TRIM(IF($N400&lt;&gt;"",$N400&amp;" ","")&amp;IF($O400&lt;&gt;"",$O400&amp;" ","")&amp;IF($P400&lt;&gt;"",$P400&amp;" ","")&amp;IF($Q400&lt;&gt;"",$Q400&amp;" ","")&amp;IF($R400&lt;&gt;"",$R400,""))))</f>
        <v/>
      </c>
    </row>
    <row r="401" customFormat="false" ht="15" hidden="false" customHeight="false" outlineLevel="0" collapsed="false">
      <c r="A401" s="30" t="str">
        <f aca="false">IF($B401="","","LAN-"&amp;TEXT(ROW()-4,"000000"))</f>
        <v/>
      </c>
      <c r="B401" s="31"/>
      <c r="C401" s="32"/>
      <c r="D401" s="32"/>
      <c r="E401" s="32"/>
      <c r="F401" s="33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4" t="str">
        <f aca="false">IF($B401="","",YEAR($B401))</f>
        <v/>
      </c>
      <c r="U401" s="34" t="str">
        <f aca="false">IF($B401="","",MONTH($B401))</f>
        <v/>
      </c>
      <c r="V401" s="34" t="str">
        <f aca="false">IF($B401="","",YEAR($B401)*100+MONTH($B401))</f>
        <v/>
      </c>
      <c r="W401" s="35" t="str">
        <f aca="false">IF($D401="","",IFERROR(INDEX(MAP_CLASS,MATCH($D401,MAP_TIPO,0)),"TIPO INVALIDO"))</f>
        <v/>
      </c>
      <c r="X401" s="35" t="str">
        <f aca="false">IF($K401="","",IFERROR(INDEX(CAT_NOME,MATCH($K401,CAT_ID,0)),"?"))</f>
        <v/>
      </c>
      <c r="Y401" s="35" t="str">
        <f aca="false">IF($L401="","",IFERROR(INDEX(SUB_NOME,MATCH($L401,SUB_ID,0)),"?"))</f>
        <v/>
      </c>
      <c r="Z401" s="35" t="str">
        <f aca="false">IF($G401="","",IF($G401="EXTERNO","(Externo)",IFERROR(INDEX(ENT_NOME,MATCH($H401,ENT_ID,0)),"?")))</f>
        <v/>
      </c>
      <c r="AA401" s="35" t="str">
        <f aca="false">IF($I401="","",IF($I401="EXTERNO","(Externo)",IFERROR(INDEX(ENT_NOME,MATCH($J401,ENT_ID,0)),"?")))</f>
        <v/>
      </c>
      <c r="AB401" s="36" t="n">
        <f aca="false">IF($B401="",0,IF(AND($I401="CONTA",$G401&lt;&gt;"CONTA"),$F401,0))</f>
        <v>0</v>
      </c>
      <c r="AC401" s="36" t="n">
        <f aca="false">IF($B401="",0,IF(AND($G401="CONTA",$I401&lt;&gt;"CONTA"),$F401,0))</f>
        <v>0</v>
      </c>
      <c r="AD401" s="36" t="n">
        <f aca="false">IF($W401="RECEITA",$F401,0)</f>
        <v>0</v>
      </c>
      <c r="AE401" s="36" t="n">
        <f aca="false">IF($W401="DESPESA",$F401,0)</f>
        <v>0</v>
      </c>
      <c r="AF401" s="36" t="n">
        <f aca="false">IF($W401="RECEITA_FINANCEIRA",$F401,0)</f>
        <v>0</v>
      </c>
      <c r="AG401" s="36" t="n">
        <f aca="false">IF($B401="",0,IF($I401="CONTA",$F401,0)-IF($G401="CONTA",$F401,0))</f>
        <v>0</v>
      </c>
      <c r="AH401" s="36" t="n">
        <f aca="false">IF($B401="",0,IF($G401="CARTAO",$F401,0)-IF($I401="CARTAO",$F401,0))</f>
        <v>0</v>
      </c>
      <c r="AI401" s="36" t="n">
        <f aca="false">IF($B401="",0,IF($I401="INVESTIMENTO",$F401,0)-IF($G401="INVESTIMENTO",$F401,0))</f>
        <v>0</v>
      </c>
      <c r="AJ401" s="35" t="str">
        <f aca="false">IF($B401="","",IF(NOT(ISNUMBER($F401)),"ERRO: valor nao numerico",IF($F401&lt;=0,"ERRO: valor deve ser maior que zero",IF(COUNTIF(MAP_TIPO,$D401)=0,"ERRO: tipo de operacao nao cadastrado",IF(COUNTIF(LST_STATUS,$E401)=0,"ERRO: status invalido",IF(AND($G401="EXTERNO",$I401="EXTERNO"),"ERRO: origem e destino externos",IF(AND($G401&lt;&gt;"EXTERNO",COUNTIFS(ENT_ID,$H401,ENT_TIPO,$G401)=0),"ERRO: origem inexistente",IF(AND($I401&lt;&gt;"EXTERNO",COUNTIFS(ENT_ID,$J401,ENT_TIPO,$I401)=0),"ERRO: destino inexistente",IF(AND($K401&lt;&gt;"",COUNTIF(CAT_ID,$K401)=0),"ERRO: categoria inexistente",IF(AND($L401&lt;&gt;"",COUNTIF(SUB_ID,$L401)=0),"ERRO: subcategoria inexistente",IF(AND($L401&lt;&gt;"",$K401&lt;&gt;"",IFERROR(INDEX(SUB_CATID,MATCH($L401,SUB_ID,0)),"")&lt;&gt;$K401),"ERRO: subcategoria nao pertence a categoria",IF(AND($O401&lt;&gt;"",COUNTIF(P_ID,$O401)=0),"ERRO: parcela inexistente",IF(AND($N401&lt;&gt;"",COUNTIF(CM_ID,$N401)=0),"ERRO: compromisso inexistente","OK")))))))))))))</f>
        <v/>
      </c>
      <c r="AK401" s="35" t="str">
        <f aca="false">IF($B401="","",IF(AND($N401="",$O401="",$P401="",$Q401="",$R401=""),"","VINCULADO: "&amp;TRIM(IF($N401&lt;&gt;"",$N401&amp;" ","")&amp;IF($O401&lt;&gt;"",$O401&amp;" ","")&amp;IF($P401&lt;&gt;"",$P401&amp;" ","")&amp;IF($Q401&lt;&gt;"",$Q401&amp;" ","")&amp;IF($R401&lt;&gt;"",$R401,""))))</f>
        <v/>
      </c>
    </row>
    <row r="402" customFormat="false" ht="15" hidden="false" customHeight="false" outlineLevel="0" collapsed="false">
      <c r="A402" s="30" t="str">
        <f aca="false">IF($B402="","","LAN-"&amp;TEXT(ROW()-4,"000000"))</f>
        <v/>
      </c>
      <c r="B402" s="31"/>
      <c r="C402" s="32"/>
      <c r="D402" s="32"/>
      <c r="E402" s="32"/>
      <c r="F402" s="33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4" t="str">
        <f aca="false">IF($B402="","",YEAR($B402))</f>
        <v/>
      </c>
      <c r="U402" s="34" t="str">
        <f aca="false">IF($B402="","",MONTH($B402))</f>
        <v/>
      </c>
      <c r="V402" s="34" t="str">
        <f aca="false">IF($B402="","",YEAR($B402)*100+MONTH($B402))</f>
        <v/>
      </c>
      <c r="W402" s="35" t="str">
        <f aca="false">IF($D402="","",IFERROR(INDEX(MAP_CLASS,MATCH($D402,MAP_TIPO,0)),"TIPO INVALIDO"))</f>
        <v/>
      </c>
      <c r="X402" s="35" t="str">
        <f aca="false">IF($K402="","",IFERROR(INDEX(CAT_NOME,MATCH($K402,CAT_ID,0)),"?"))</f>
        <v/>
      </c>
      <c r="Y402" s="35" t="str">
        <f aca="false">IF($L402="","",IFERROR(INDEX(SUB_NOME,MATCH($L402,SUB_ID,0)),"?"))</f>
        <v/>
      </c>
      <c r="Z402" s="35" t="str">
        <f aca="false">IF($G402="","",IF($G402="EXTERNO","(Externo)",IFERROR(INDEX(ENT_NOME,MATCH($H402,ENT_ID,0)),"?")))</f>
        <v/>
      </c>
      <c r="AA402" s="35" t="str">
        <f aca="false">IF($I402="","",IF($I402="EXTERNO","(Externo)",IFERROR(INDEX(ENT_NOME,MATCH($J402,ENT_ID,0)),"?")))</f>
        <v/>
      </c>
      <c r="AB402" s="36" t="n">
        <f aca="false">IF($B402="",0,IF(AND($I402="CONTA",$G402&lt;&gt;"CONTA"),$F402,0))</f>
        <v>0</v>
      </c>
      <c r="AC402" s="36" t="n">
        <f aca="false">IF($B402="",0,IF(AND($G402="CONTA",$I402&lt;&gt;"CONTA"),$F402,0))</f>
        <v>0</v>
      </c>
      <c r="AD402" s="36" t="n">
        <f aca="false">IF($W402="RECEITA",$F402,0)</f>
        <v>0</v>
      </c>
      <c r="AE402" s="36" t="n">
        <f aca="false">IF($W402="DESPESA",$F402,0)</f>
        <v>0</v>
      </c>
      <c r="AF402" s="36" t="n">
        <f aca="false">IF($W402="RECEITA_FINANCEIRA",$F402,0)</f>
        <v>0</v>
      </c>
      <c r="AG402" s="36" t="n">
        <f aca="false">IF($B402="",0,IF($I402="CONTA",$F402,0)-IF($G402="CONTA",$F402,0))</f>
        <v>0</v>
      </c>
      <c r="AH402" s="36" t="n">
        <f aca="false">IF($B402="",0,IF($G402="CARTAO",$F402,0)-IF($I402="CARTAO",$F402,0))</f>
        <v>0</v>
      </c>
      <c r="AI402" s="36" t="n">
        <f aca="false">IF($B402="",0,IF($I402="INVESTIMENTO",$F402,0)-IF($G402="INVESTIMENTO",$F402,0))</f>
        <v>0</v>
      </c>
      <c r="AJ402" s="35" t="str">
        <f aca="false">IF($B402="","",IF(NOT(ISNUMBER($F402)),"ERRO: valor nao numerico",IF($F402&lt;=0,"ERRO: valor deve ser maior que zero",IF(COUNTIF(MAP_TIPO,$D402)=0,"ERRO: tipo de operacao nao cadastrado",IF(COUNTIF(LST_STATUS,$E402)=0,"ERRO: status invalido",IF(AND($G402="EXTERNO",$I402="EXTERNO"),"ERRO: origem e destino externos",IF(AND($G402&lt;&gt;"EXTERNO",COUNTIFS(ENT_ID,$H402,ENT_TIPO,$G402)=0),"ERRO: origem inexistente",IF(AND($I402&lt;&gt;"EXTERNO",COUNTIFS(ENT_ID,$J402,ENT_TIPO,$I402)=0),"ERRO: destino inexistente",IF(AND($K402&lt;&gt;"",COUNTIF(CAT_ID,$K402)=0),"ERRO: categoria inexistente",IF(AND($L402&lt;&gt;"",COUNTIF(SUB_ID,$L402)=0),"ERRO: subcategoria inexistente",IF(AND($L402&lt;&gt;"",$K402&lt;&gt;"",IFERROR(INDEX(SUB_CATID,MATCH($L402,SUB_ID,0)),"")&lt;&gt;$K402),"ERRO: subcategoria nao pertence a categoria",IF(AND($O402&lt;&gt;"",COUNTIF(P_ID,$O402)=0),"ERRO: parcela inexistente",IF(AND($N402&lt;&gt;"",COUNTIF(CM_ID,$N402)=0),"ERRO: compromisso inexistente","OK")))))))))))))</f>
        <v/>
      </c>
      <c r="AK402" s="35" t="str">
        <f aca="false">IF($B402="","",IF(AND($N402="",$O402="",$P402="",$Q402="",$R402=""),"","VINCULADO: "&amp;TRIM(IF($N402&lt;&gt;"",$N402&amp;" ","")&amp;IF($O402&lt;&gt;"",$O402&amp;" ","")&amp;IF($P402&lt;&gt;"",$P402&amp;" ","")&amp;IF($Q402&lt;&gt;"",$Q402&amp;" ","")&amp;IF($R402&lt;&gt;"",$R402,""))))</f>
        <v/>
      </c>
    </row>
    <row r="403" customFormat="false" ht="15" hidden="false" customHeight="false" outlineLevel="0" collapsed="false">
      <c r="A403" s="30" t="str">
        <f aca="false">IF($B403="","","LAN-"&amp;TEXT(ROW()-4,"000000"))</f>
        <v/>
      </c>
      <c r="B403" s="31"/>
      <c r="C403" s="32"/>
      <c r="D403" s="32"/>
      <c r="E403" s="32"/>
      <c r="F403" s="33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4" t="str">
        <f aca="false">IF($B403="","",YEAR($B403))</f>
        <v/>
      </c>
      <c r="U403" s="34" t="str">
        <f aca="false">IF($B403="","",MONTH($B403))</f>
        <v/>
      </c>
      <c r="V403" s="34" t="str">
        <f aca="false">IF($B403="","",YEAR($B403)*100+MONTH($B403))</f>
        <v/>
      </c>
      <c r="W403" s="35" t="str">
        <f aca="false">IF($D403="","",IFERROR(INDEX(MAP_CLASS,MATCH($D403,MAP_TIPO,0)),"TIPO INVALIDO"))</f>
        <v/>
      </c>
      <c r="X403" s="35" t="str">
        <f aca="false">IF($K403="","",IFERROR(INDEX(CAT_NOME,MATCH($K403,CAT_ID,0)),"?"))</f>
        <v/>
      </c>
      <c r="Y403" s="35" t="str">
        <f aca="false">IF($L403="","",IFERROR(INDEX(SUB_NOME,MATCH($L403,SUB_ID,0)),"?"))</f>
        <v/>
      </c>
      <c r="Z403" s="35" t="str">
        <f aca="false">IF($G403="","",IF($G403="EXTERNO","(Externo)",IFERROR(INDEX(ENT_NOME,MATCH($H403,ENT_ID,0)),"?")))</f>
        <v/>
      </c>
      <c r="AA403" s="35" t="str">
        <f aca="false">IF($I403="","",IF($I403="EXTERNO","(Externo)",IFERROR(INDEX(ENT_NOME,MATCH($J403,ENT_ID,0)),"?")))</f>
        <v/>
      </c>
      <c r="AB403" s="36" t="n">
        <f aca="false">IF($B403="",0,IF(AND($I403="CONTA",$G403&lt;&gt;"CONTA"),$F403,0))</f>
        <v>0</v>
      </c>
      <c r="AC403" s="36" t="n">
        <f aca="false">IF($B403="",0,IF(AND($G403="CONTA",$I403&lt;&gt;"CONTA"),$F403,0))</f>
        <v>0</v>
      </c>
      <c r="AD403" s="36" t="n">
        <f aca="false">IF($W403="RECEITA",$F403,0)</f>
        <v>0</v>
      </c>
      <c r="AE403" s="36" t="n">
        <f aca="false">IF($W403="DESPESA",$F403,0)</f>
        <v>0</v>
      </c>
      <c r="AF403" s="36" t="n">
        <f aca="false">IF($W403="RECEITA_FINANCEIRA",$F403,0)</f>
        <v>0</v>
      </c>
      <c r="AG403" s="36" t="n">
        <f aca="false">IF($B403="",0,IF($I403="CONTA",$F403,0)-IF($G403="CONTA",$F403,0))</f>
        <v>0</v>
      </c>
      <c r="AH403" s="36" t="n">
        <f aca="false">IF($B403="",0,IF($G403="CARTAO",$F403,0)-IF($I403="CARTAO",$F403,0))</f>
        <v>0</v>
      </c>
      <c r="AI403" s="36" t="n">
        <f aca="false">IF($B403="",0,IF($I403="INVESTIMENTO",$F403,0)-IF($G403="INVESTIMENTO",$F403,0))</f>
        <v>0</v>
      </c>
      <c r="AJ403" s="35" t="str">
        <f aca="false">IF($B403="","",IF(NOT(ISNUMBER($F403)),"ERRO: valor nao numerico",IF($F403&lt;=0,"ERRO: valor deve ser maior que zero",IF(COUNTIF(MAP_TIPO,$D403)=0,"ERRO: tipo de operacao nao cadastrado",IF(COUNTIF(LST_STATUS,$E403)=0,"ERRO: status invalido",IF(AND($G403="EXTERNO",$I403="EXTERNO"),"ERRO: origem e destino externos",IF(AND($G403&lt;&gt;"EXTERNO",COUNTIFS(ENT_ID,$H403,ENT_TIPO,$G403)=0),"ERRO: origem inexistente",IF(AND($I403&lt;&gt;"EXTERNO",COUNTIFS(ENT_ID,$J403,ENT_TIPO,$I403)=0),"ERRO: destino inexistente",IF(AND($K403&lt;&gt;"",COUNTIF(CAT_ID,$K403)=0),"ERRO: categoria inexistente",IF(AND($L403&lt;&gt;"",COUNTIF(SUB_ID,$L403)=0),"ERRO: subcategoria inexistente",IF(AND($L403&lt;&gt;"",$K403&lt;&gt;"",IFERROR(INDEX(SUB_CATID,MATCH($L403,SUB_ID,0)),"")&lt;&gt;$K403),"ERRO: subcategoria nao pertence a categoria",IF(AND($O403&lt;&gt;"",COUNTIF(P_ID,$O403)=0),"ERRO: parcela inexistente",IF(AND($N403&lt;&gt;"",COUNTIF(CM_ID,$N403)=0),"ERRO: compromisso inexistente","OK")))))))))))))</f>
        <v/>
      </c>
      <c r="AK403" s="35" t="str">
        <f aca="false">IF($B403="","",IF(AND($N403="",$O403="",$P403="",$Q403="",$R403=""),"","VINCULADO: "&amp;TRIM(IF($N403&lt;&gt;"",$N403&amp;" ","")&amp;IF($O403&lt;&gt;"",$O403&amp;" ","")&amp;IF($P403&lt;&gt;"",$P403&amp;" ","")&amp;IF($Q403&lt;&gt;"",$Q403&amp;" ","")&amp;IF($R403&lt;&gt;"",$R403,""))))</f>
        <v/>
      </c>
    </row>
    <row r="404" customFormat="false" ht="15" hidden="false" customHeight="false" outlineLevel="0" collapsed="false">
      <c r="A404" s="30" t="str">
        <f aca="false">IF($B404="","","LAN-"&amp;TEXT(ROW()-4,"000000"))</f>
        <v/>
      </c>
      <c r="B404" s="31"/>
      <c r="C404" s="32"/>
      <c r="D404" s="32"/>
      <c r="E404" s="32"/>
      <c r="F404" s="33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4" t="str">
        <f aca="false">IF($B404="","",YEAR($B404))</f>
        <v/>
      </c>
      <c r="U404" s="34" t="str">
        <f aca="false">IF($B404="","",MONTH($B404))</f>
        <v/>
      </c>
      <c r="V404" s="34" t="str">
        <f aca="false">IF($B404="","",YEAR($B404)*100+MONTH($B404))</f>
        <v/>
      </c>
      <c r="W404" s="35" t="str">
        <f aca="false">IF($D404="","",IFERROR(INDEX(MAP_CLASS,MATCH($D404,MAP_TIPO,0)),"TIPO INVALIDO"))</f>
        <v/>
      </c>
      <c r="X404" s="35" t="str">
        <f aca="false">IF($K404="","",IFERROR(INDEX(CAT_NOME,MATCH($K404,CAT_ID,0)),"?"))</f>
        <v/>
      </c>
      <c r="Y404" s="35" t="str">
        <f aca="false">IF($L404="","",IFERROR(INDEX(SUB_NOME,MATCH($L404,SUB_ID,0)),"?"))</f>
        <v/>
      </c>
      <c r="Z404" s="35" t="str">
        <f aca="false">IF($G404="","",IF($G404="EXTERNO","(Externo)",IFERROR(INDEX(ENT_NOME,MATCH($H404,ENT_ID,0)),"?")))</f>
        <v/>
      </c>
      <c r="AA404" s="35" t="str">
        <f aca="false">IF($I404="","",IF($I404="EXTERNO","(Externo)",IFERROR(INDEX(ENT_NOME,MATCH($J404,ENT_ID,0)),"?")))</f>
        <v/>
      </c>
      <c r="AB404" s="36" t="n">
        <f aca="false">IF($B404="",0,IF(AND($I404="CONTA",$G404&lt;&gt;"CONTA"),$F404,0))</f>
        <v>0</v>
      </c>
      <c r="AC404" s="36" t="n">
        <f aca="false">IF($B404="",0,IF(AND($G404="CONTA",$I404&lt;&gt;"CONTA"),$F404,0))</f>
        <v>0</v>
      </c>
      <c r="AD404" s="36" t="n">
        <f aca="false">IF($W404="RECEITA",$F404,0)</f>
        <v>0</v>
      </c>
      <c r="AE404" s="36" t="n">
        <f aca="false">IF($W404="DESPESA",$F404,0)</f>
        <v>0</v>
      </c>
      <c r="AF404" s="36" t="n">
        <f aca="false">IF($W404="RECEITA_FINANCEIRA",$F404,0)</f>
        <v>0</v>
      </c>
      <c r="AG404" s="36" t="n">
        <f aca="false">IF($B404="",0,IF($I404="CONTA",$F404,0)-IF($G404="CONTA",$F404,0))</f>
        <v>0</v>
      </c>
      <c r="AH404" s="36" t="n">
        <f aca="false">IF($B404="",0,IF($G404="CARTAO",$F404,0)-IF($I404="CARTAO",$F404,0))</f>
        <v>0</v>
      </c>
      <c r="AI404" s="36" t="n">
        <f aca="false">IF($B404="",0,IF($I404="INVESTIMENTO",$F404,0)-IF($G404="INVESTIMENTO",$F404,0))</f>
        <v>0</v>
      </c>
      <c r="AJ404" s="35" t="str">
        <f aca="false">IF($B404="","",IF(NOT(ISNUMBER($F404)),"ERRO: valor nao numerico",IF($F404&lt;=0,"ERRO: valor deve ser maior que zero",IF(COUNTIF(MAP_TIPO,$D404)=0,"ERRO: tipo de operacao nao cadastrado",IF(COUNTIF(LST_STATUS,$E404)=0,"ERRO: status invalido",IF(AND($G404="EXTERNO",$I404="EXTERNO"),"ERRO: origem e destino externos",IF(AND($G404&lt;&gt;"EXTERNO",COUNTIFS(ENT_ID,$H404,ENT_TIPO,$G404)=0),"ERRO: origem inexistente",IF(AND($I404&lt;&gt;"EXTERNO",COUNTIFS(ENT_ID,$J404,ENT_TIPO,$I404)=0),"ERRO: destino inexistente",IF(AND($K404&lt;&gt;"",COUNTIF(CAT_ID,$K404)=0),"ERRO: categoria inexistente",IF(AND($L404&lt;&gt;"",COUNTIF(SUB_ID,$L404)=0),"ERRO: subcategoria inexistente",IF(AND($L404&lt;&gt;"",$K404&lt;&gt;"",IFERROR(INDEX(SUB_CATID,MATCH($L404,SUB_ID,0)),"")&lt;&gt;$K404),"ERRO: subcategoria nao pertence a categoria",IF(AND($O404&lt;&gt;"",COUNTIF(P_ID,$O404)=0),"ERRO: parcela inexistente",IF(AND($N404&lt;&gt;"",COUNTIF(CM_ID,$N404)=0),"ERRO: compromisso inexistente","OK")))))))))))))</f>
        <v/>
      </c>
      <c r="AK404" s="35" t="str">
        <f aca="false">IF($B404="","",IF(AND($N404="",$O404="",$P404="",$Q404="",$R404=""),"","VINCULADO: "&amp;TRIM(IF($N404&lt;&gt;"",$N404&amp;" ","")&amp;IF($O404&lt;&gt;"",$O404&amp;" ","")&amp;IF($P404&lt;&gt;"",$P404&amp;" ","")&amp;IF($Q404&lt;&gt;"",$Q404&amp;" ","")&amp;IF($R404&lt;&gt;"",$R404,""))))</f>
        <v/>
      </c>
    </row>
    <row r="405" customFormat="false" ht="15" hidden="false" customHeight="false" outlineLevel="0" collapsed="false">
      <c r="A405" s="30" t="str">
        <f aca="false">IF($B405="","","LAN-"&amp;TEXT(ROW()-4,"000000"))</f>
        <v/>
      </c>
      <c r="B405" s="31"/>
      <c r="C405" s="32"/>
      <c r="D405" s="32"/>
      <c r="E405" s="32"/>
      <c r="F405" s="33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4" t="str">
        <f aca="false">IF($B405="","",YEAR($B405))</f>
        <v/>
      </c>
      <c r="U405" s="34" t="str">
        <f aca="false">IF($B405="","",MONTH($B405))</f>
        <v/>
      </c>
      <c r="V405" s="34" t="str">
        <f aca="false">IF($B405="","",YEAR($B405)*100+MONTH($B405))</f>
        <v/>
      </c>
      <c r="W405" s="35" t="str">
        <f aca="false">IF($D405="","",IFERROR(INDEX(MAP_CLASS,MATCH($D405,MAP_TIPO,0)),"TIPO INVALIDO"))</f>
        <v/>
      </c>
      <c r="X405" s="35" t="str">
        <f aca="false">IF($K405="","",IFERROR(INDEX(CAT_NOME,MATCH($K405,CAT_ID,0)),"?"))</f>
        <v/>
      </c>
      <c r="Y405" s="35" t="str">
        <f aca="false">IF($L405="","",IFERROR(INDEX(SUB_NOME,MATCH($L405,SUB_ID,0)),"?"))</f>
        <v/>
      </c>
      <c r="Z405" s="35" t="str">
        <f aca="false">IF($G405="","",IF($G405="EXTERNO","(Externo)",IFERROR(INDEX(ENT_NOME,MATCH($H405,ENT_ID,0)),"?")))</f>
        <v/>
      </c>
      <c r="AA405" s="35" t="str">
        <f aca="false">IF($I405="","",IF($I405="EXTERNO","(Externo)",IFERROR(INDEX(ENT_NOME,MATCH($J405,ENT_ID,0)),"?")))</f>
        <v/>
      </c>
      <c r="AB405" s="36" t="n">
        <f aca="false">IF($B405="",0,IF(AND($I405="CONTA",$G405&lt;&gt;"CONTA"),$F405,0))</f>
        <v>0</v>
      </c>
      <c r="AC405" s="36" t="n">
        <f aca="false">IF($B405="",0,IF(AND($G405="CONTA",$I405&lt;&gt;"CONTA"),$F405,0))</f>
        <v>0</v>
      </c>
      <c r="AD405" s="36" t="n">
        <f aca="false">IF($W405="RECEITA",$F405,0)</f>
        <v>0</v>
      </c>
      <c r="AE405" s="36" t="n">
        <f aca="false">IF($W405="DESPESA",$F405,0)</f>
        <v>0</v>
      </c>
      <c r="AF405" s="36" t="n">
        <f aca="false">IF($W405="RECEITA_FINANCEIRA",$F405,0)</f>
        <v>0</v>
      </c>
      <c r="AG405" s="36" t="n">
        <f aca="false">IF($B405="",0,IF($I405="CONTA",$F405,0)-IF($G405="CONTA",$F405,0))</f>
        <v>0</v>
      </c>
      <c r="AH405" s="36" t="n">
        <f aca="false">IF($B405="",0,IF($G405="CARTAO",$F405,0)-IF($I405="CARTAO",$F405,0))</f>
        <v>0</v>
      </c>
      <c r="AI405" s="36" t="n">
        <f aca="false">IF($B405="",0,IF($I405="INVESTIMENTO",$F405,0)-IF($G405="INVESTIMENTO",$F405,0))</f>
        <v>0</v>
      </c>
      <c r="AJ405" s="35" t="str">
        <f aca="false">IF($B405="","",IF(NOT(ISNUMBER($F405)),"ERRO: valor nao numerico",IF($F405&lt;=0,"ERRO: valor deve ser maior que zero",IF(COUNTIF(MAP_TIPO,$D405)=0,"ERRO: tipo de operacao nao cadastrado",IF(COUNTIF(LST_STATUS,$E405)=0,"ERRO: status invalido",IF(AND($G405="EXTERNO",$I405="EXTERNO"),"ERRO: origem e destino externos",IF(AND($G405&lt;&gt;"EXTERNO",COUNTIFS(ENT_ID,$H405,ENT_TIPO,$G405)=0),"ERRO: origem inexistente",IF(AND($I405&lt;&gt;"EXTERNO",COUNTIFS(ENT_ID,$J405,ENT_TIPO,$I405)=0),"ERRO: destino inexistente",IF(AND($K405&lt;&gt;"",COUNTIF(CAT_ID,$K405)=0),"ERRO: categoria inexistente",IF(AND($L405&lt;&gt;"",COUNTIF(SUB_ID,$L405)=0),"ERRO: subcategoria inexistente",IF(AND($L405&lt;&gt;"",$K405&lt;&gt;"",IFERROR(INDEX(SUB_CATID,MATCH($L405,SUB_ID,0)),"")&lt;&gt;$K405),"ERRO: subcategoria nao pertence a categoria",IF(AND($O405&lt;&gt;"",COUNTIF(P_ID,$O405)=0),"ERRO: parcela inexistente",IF(AND($N405&lt;&gt;"",COUNTIF(CM_ID,$N405)=0),"ERRO: compromisso inexistente","OK")))))))))))))</f>
        <v/>
      </c>
      <c r="AK405" s="35" t="str">
        <f aca="false">IF($B405="","",IF(AND($N405="",$O405="",$P405="",$Q405="",$R405=""),"","VINCULADO: "&amp;TRIM(IF($N405&lt;&gt;"",$N405&amp;" ","")&amp;IF($O405&lt;&gt;"",$O405&amp;" ","")&amp;IF($P405&lt;&gt;"",$P405&amp;" ","")&amp;IF($Q405&lt;&gt;"",$Q405&amp;" ","")&amp;IF($R405&lt;&gt;"",$R405,""))))</f>
        <v/>
      </c>
    </row>
    <row r="406" customFormat="false" ht="15" hidden="false" customHeight="false" outlineLevel="0" collapsed="false">
      <c r="A406" s="30" t="str">
        <f aca="false">IF($B406="","","LAN-"&amp;TEXT(ROW()-4,"000000"))</f>
        <v/>
      </c>
      <c r="B406" s="31"/>
      <c r="C406" s="32"/>
      <c r="D406" s="32"/>
      <c r="E406" s="32"/>
      <c r="F406" s="33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4" t="str">
        <f aca="false">IF($B406="","",YEAR($B406))</f>
        <v/>
      </c>
      <c r="U406" s="34" t="str">
        <f aca="false">IF($B406="","",MONTH($B406))</f>
        <v/>
      </c>
      <c r="V406" s="34" t="str">
        <f aca="false">IF($B406="","",YEAR($B406)*100+MONTH($B406))</f>
        <v/>
      </c>
      <c r="W406" s="35" t="str">
        <f aca="false">IF($D406="","",IFERROR(INDEX(MAP_CLASS,MATCH($D406,MAP_TIPO,0)),"TIPO INVALIDO"))</f>
        <v/>
      </c>
      <c r="X406" s="35" t="str">
        <f aca="false">IF($K406="","",IFERROR(INDEX(CAT_NOME,MATCH($K406,CAT_ID,0)),"?"))</f>
        <v/>
      </c>
      <c r="Y406" s="35" t="str">
        <f aca="false">IF($L406="","",IFERROR(INDEX(SUB_NOME,MATCH($L406,SUB_ID,0)),"?"))</f>
        <v/>
      </c>
      <c r="Z406" s="35" t="str">
        <f aca="false">IF($G406="","",IF($G406="EXTERNO","(Externo)",IFERROR(INDEX(ENT_NOME,MATCH($H406,ENT_ID,0)),"?")))</f>
        <v/>
      </c>
      <c r="AA406" s="35" t="str">
        <f aca="false">IF($I406="","",IF($I406="EXTERNO","(Externo)",IFERROR(INDEX(ENT_NOME,MATCH($J406,ENT_ID,0)),"?")))</f>
        <v/>
      </c>
      <c r="AB406" s="36" t="n">
        <f aca="false">IF($B406="",0,IF(AND($I406="CONTA",$G406&lt;&gt;"CONTA"),$F406,0))</f>
        <v>0</v>
      </c>
      <c r="AC406" s="36" t="n">
        <f aca="false">IF($B406="",0,IF(AND($G406="CONTA",$I406&lt;&gt;"CONTA"),$F406,0))</f>
        <v>0</v>
      </c>
      <c r="AD406" s="36" t="n">
        <f aca="false">IF($W406="RECEITA",$F406,0)</f>
        <v>0</v>
      </c>
      <c r="AE406" s="36" t="n">
        <f aca="false">IF($W406="DESPESA",$F406,0)</f>
        <v>0</v>
      </c>
      <c r="AF406" s="36" t="n">
        <f aca="false">IF($W406="RECEITA_FINANCEIRA",$F406,0)</f>
        <v>0</v>
      </c>
      <c r="AG406" s="36" t="n">
        <f aca="false">IF($B406="",0,IF($I406="CONTA",$F406,0)-IF($G406="CONTA",$F406,0))</f>
        <v>0</v>
      </c>
      <c r="AH406" s="36" t="n">
        <f aca="false">IF($B406="",0,IF($G406="CARTAO",$F406,0)-IF($I406="CARTAO",$F406,0))</f>
        <v>0</v>
      </c>
      <c r="AI406" s="36" t="n">
        <f aca="false">IF($B406="",0,IF($I406="INVESTIMENTO",$F406,0)-IF($G406="INVESTIMENTO",$F406,0))</f>
        <v>0</v>
      </c>
      <c r="AJ406" s="35" t="str">
        <f aca="false">IF($B406="","",IF(NOT(ISNUMBER($F406)),"ERRO: valor nao numerico",IF($F406&lt;=0,"ERRO: valor deve ser maior que zero",IF(COUNTIF(MAP_TIPO,$D406)=0,"ERRO: tipo de operacao nao cadastrado",IF(COUNTIF(LST_STATUS,$E406)=0,"ERRO: status invalido",IF(AND($G406="EXTERNO",$I406="EXTERNO"),"ERRO: origem e destino externos",IF(AND($G406&lt;&gt;"EXTERNO",COUNTIFS(ENT_ID,$H406,ENT_TIPO,$G406)=0),"ERRO: origem inexistente",IF(AND($I406&lt;&gt;"EXTERNO",COUNTIFS(ENT_ID,$J406,ENT_TIPO,$I406)=0),"ERRO: destino inexistente",IF(AND($K406&lt;&gt;"",COUNTIF(CAT_ID,$K406)=0),"ERRO: categoria inexistente",IF(AND($L406&lt;&gt;"",COUNTIF(SUB_ID,$L406)=0),"ERRO: subcategoria inexistente",IF(AND($L406&lt;&gt;"",$K406&lt;&gt;"",IFERROR(INDEX(SUB_CATID,MATCH($L406,SUB_ID,0)),"")&lt;&gt;$K406),"ERRO: subcategoria nao pertence a categoria",IF(AND($O406&lt;&gt;"",COUNTIF(P_ID,$O406)=0),"ERRO: parcela inexistente",IF(AND($N406&lt;&gt;"",COUNTIF(CM_ID,$N406)=0),"ERRO: compromisso inexistente","OK")))))))))))))</f>
        <v/>
      </c>
      <c r="AK406" s="35" t="str">
        <f aca="false">IF($B406="","",IF(AND($N406="",$O406="",$P406="",$Q406="",$R406=""),"","VINCULADO: "&amp;TRIM(IF($N406&lt;&gt;"",$N406&amp;" ","")&amp;IF($O406&lt;&gt;"",$O406&amp;" ","")&amp;IF($P406&lt;&gt;"",$P406&amp;" ","")&amp;IF($Q406&lt;&gt;"",$Q406&amp;" ","")&amp;IF($R406&lt;&gt;"",$R406,""))))</f>
        <v/>
      </c>
    </row>
    <row r="407" customFormat="false" ht="15" hidden="false" customHeight="false" outlineLevel="0" collapsed="false">
      <c r="A407" s="30" t="str">
        <f aca="false">IF($B407="","","LAN-"&amp;TEXT(ROW()-4,"000000"))</f>
        <v/>
      </c>
      <c r="B407" s="31"/>
      <c r="C407" s="32"/>
      <c r="D407" s="32"/>
      <c r="E407" s="32"/>
      <c r="F407" s="33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4" t="str">
        <f aca="false">IF($B407="","",YEAR($B407))</f>
        <v/>
      </c>
      <c r="U407" s="34" t="str">
        <f aca="false">IF($B407="","",MONTH($B407))</f>
        <v/>
      </c>
      <c r="V407" s="34" t="str">
        <f aca="false">IF($B407="","",YEAR($B407)*100+MONTH($B407))</f>
        <v/>
      </c>
      <c r="W407" s="35" t="str">
        <f aca="false">IF($D407="","",IFERROR(INDEX(MAP_CLASS,MATCH($D407,MAP_TIPO,0)),"TIPO INVALIDO"))</f>
        <v/>
      </c>
      <c r="X407" s="35" t="str">
        <f aca="false">IF($K407="","",IFERROR(INDEX(CAT_NOME,MATCH($K407,CAT_ID,0)),"?"))</f>
        <v/>
      </c>
      <c r="Y407" s="35" t="str">
        <f aca="false">IF($L407="","",IFERROR(INDEX(SUB_NOME,MATCH($L407,SUB_ID,0)),"?"))</f>
        <v/>
      </c>
      <c r="Z407" s="35" t="str">
        <f aca="false">IF($G407="","",IF($G407="EXTERNO","(Externo)",IFERROR(INDEX(ENT_NOME,MATCH($H407,ENT_ID,0)),"?")))</f>
        <v/>
      </c>
      <c r="AA407" s="35" t="str">
        <f aca="false">IF($I407="","",IF($I407="EXTERNO","(Externo)",IFERROR(INDEX(ENT_NOME,MATCH($J407,ENT_ID,0)),"?")))</f>
        <v/>
      </c>
      <c r="AB407" s="36" t="n">
        <f aca="false">IF($B407="",0,IF(AND($I407="CONTA",$G407&lt;&gt;"CONTA"),$F407,0))</f>
        <v>0</v>
      </c>
      <c r="AC407" s="36" t="n">
        <f aca="false">IF($B407="",0,IF(AND($G407="CONTA",$I407&lt;&gt;"CONTA"),$F407,0))</f>
        <v>0</v>
      </c>
      <c r="AD407" s="36" t="n">
        <f aca="false">IF($W407="RECEITA",$F407,0)</f>
        <v>0</v>
      </c>
      <c r="AE407" s="36" t="n">
        <f aca="false">IF($W407="DESPESA",$F407,0)</f>
        <v>0</v>
      </c>
      <c r="AF407" s="36" t="n">
        <f aca="false">IF($W407="RECEITA_FINANCEIRA",$F407,0)</f>
        <v>0</v>
      </c>
      <c r="AG407" s="36" t="n">
        <f aca="false">IF($B407="",0,IF($I407="CONTA",$F407,0)-IF($G407="CONTA",$F407,0))</f>
        <v>0</v>
      </c>
      <c r="AH407" s="36" t="n">
        <f aca="false">IF($B407="",0,IF($G407="CARTAO",$F407,0)-IF($I407="CARTAO",$F407,0))</f>
        <v>0</v>
      </c>
      <c r="AI407" s="36" t="n">
        <f aca="false">IF($B407="",0,IF($I407="INVESTIMENTO",$F407,0)-IF($G407="INVESTIMENTO",$F407,0))</f>
        <v>0</v>
      </c>
      <c r="AJ407" s="35" t="str">
        <f aca="false">IF($B407="","",IF(NOT(ISNUMBER($F407)),"ERRO: valor nao numerico",IF($F407&lt;=0,"ERRO: valor deve ser maior que zero",IF(COUNTIF(MAP_TIPO,$D407)=0,"ERRO: tipo de operacao nao cadastrado",IF(COUNTIF(LST_STATUS,$E407)=0,"ERRO: status invalido",IF(AND($G407="EXTERNO",$I407="EXTERNO"),"ERRO: origem e destino externos",IF(AND($G407&lt;&gt;"EXTERNO",COUNTIFS(ENT_ID,$H407,ENT_TIPO,$G407)=0),"ERRO: origem inexistente",IF(AND($I407&lt;&gt;"EXTERNO",COUNTIFS(ENT_ID,$J407,ENT_TIPO,$I407)=0),"ERRO: destino inexistente",IF(AND($K407&lt;&gt;"",COUNTIF(CAT_ID,$K407)=0),"ERRO: categoria inexistente",IF(AND($L407&lt;&gt;"",COUNTIF(SUB_ID,$L407)=0),"ERRO: subcategoria inexistente",IF(AND($L407&lt;&gt;"",$K407&lt;&gt;"",IFERROR(INDEX(SUB_CATID,MATCH($L407,SUB_ID,0)),"")&lt;&gt;$K407),"ERRO: subcategoria nao pertence a categoria",IF(AND($O407&lt;&gt;"",COUNTIF(P_ID,$O407)=0),"ERRO: parcela inexistente",IF(AND($N407&lt;&gt;"",COUNTIF(CM_ID,$N407)=0),"ERRO: compromisso inexistente","OK")))))))))))))</f>
        <v/>
      </c>
      <c r="AK407" s="35" t="str">
        <f aca="false">IF($B407="","",IF(AND($N407="",$O407="",$P407="",$Q407="",$R407=""),"","VINCULADO: "&amp;TRIM(IF($N407&lt;&gt;"",$N407&amp;" ","")&amp;IF($O407&lt;&gt;"",$O407&amp;" ","")&amp;IF($P407&lt;&gt;"",$P407&amp;" ","")&amp;IF($Q407&lt;&gt;"",$Q407&amp;" ","")&amp;IF($R407&lt;&gt;"",$R407,""))))</f>
        <v/>
      </c>
    </row>
    <row r="408" customFormat="false" ht="15" hidden="false" customHeight="false" outlineLevel="0" collapsed="false">
      <c r="A408" s="30" t="str">
        <f aca="false">IF($B408="","","LAN-"&amp;TEXT(ROW()-4,"000000"))</f>
        <v/>
      </c>
      <c r="B408" s="31"/>
      <c r="C408" s="32"/>
      <c r="D408" s="32"/>
      <c r="E408" s="32"/>
      <c r="F408" s="33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4" t="str">
        <f aca="false">IF($B408="","",YEAR($B408))</f>
        <v/>
      </c>
      <c r="U408" s="34" t="str">
        <f aca="false">IF($B408="","",MONTH($B408))</f>
        <v/>
      </c>
      <c r="V408" s="34" t="str">
        <f aca="false">IF($B408="","",YEAR($B408)*100+MONTH($B408))</f>
        <v/>
      </c>
      <c r="W408" s="35" t="str">
        <f aca="false">IF($D408="","",IFERROR(INDEX(MAP_CLASS,MATCH($D408,MAP_TIPO,0)),"TIPO INVALIDO"))</f>
        <v/>
      </c>
      <c r="X408" s="35" t="str">
        <f aca="false">IF($K408="","",IFERROR(INDEX(CAT_NOME,MATCH($K408,CAT_ID,0)),"?"))</f>
        <v/>
      </c>
      <c r="Y408" s="35" t="str">
        <f aca="false">IF($L408="","",IFERROR(INDEX(SUB_NOME,MATCH($L408,SUB_ID,0)),"?"))</f>
        <v/>
      </c>
      <c r="Z408" s="35" t="str">
        <f aca="false">IF($G408="","",IF($G408="EXTERNO","(Externo)",IFERROR(INDEX(ENT_NOME,MATCH($H408,ENT_ID,0)),"?")))</f>
        <v/>
      </c>
      <c r="AA408" s="35" t="str">
        <f aca="false">IF($I408="","",IF($I408="EXTERNO","(Externo)",IFERROR(INDEX(ENT_NOME,MATCH($J408,ENT_ID,0)),"?")))</f>
        <v/>
      </c>
      <c r="AB408" s="36" t="n">
        <f aca="false">IF($B408="",0,IF(AND($I408="CONTA",$G408&lt;&gt;"CONTA"),$F408,0))</f>
        <v>0</v>
      </c>
      <c r="AC408" s="36" t="n">
        <f aca="false">IF($B408="",0,IF(AND($G408="CONTA",$I408&lt;&gt;"CONTA"),$F408,0))</f>
        <v>0</v>
      </c>
      <c r="AD408" s="36" t="n">
        <f aca="false">IF($W408="RECEITA",$F408,0)</f>
        <v>0</v>
      </c>
      <c r="AE408" s="36" t="n">
        <f aca="false">IF($W408="DESPESA",$F408,0)</f>
        <v>0</v>
      </c>
      <c r="AF408" s="36" t="n">
        <f aca="false">IF($W408="RECEITA_FINANCEIRA",$F408,0)</f>
        <v>0</v>
      </c>
      <c r="AG408" s="36" t="n">
        <f aca="false">IF($B408="",0,IF($I408="CONTA",$F408,0)-IF($G408="CONTA",$F408,0))</f>
        <v>0</v>
      </c>
      <c r="AH408" s="36" t="n">
        <f aca="false">IF($B408="",0,IF($G408="CARTAO",$F408,0)-IF($I408="CARTAO",$F408,0))</f>
        <v>0</v>
      </c>
      <c r="AI408" s="36" t="n">
        <f aca="false">IF($B408="",0,IF($I408="INVESTIMENTO",$F408,0)-IF($G408="INVESTIMENTO",$F408,0))</f>
        <v>0</v>
      </c>
      <c r="AJ408" s="35" t="str">
        <f aca="false">IF($B408="","",IF(NOT(ISNUMBER($F408)),"ERRO: valor nao numerico",IF($F408&lt;=0,"ERRO: valor deve ser maior que zero",IF(COUNTIF(MAP_TIPO,$D408)=0,"ERRO: tipo de operacao nao cadastrado",IF(COUNTIF(LST_STATUS,$E408)=0,"ERRO: status invalido",IF(AND($G408="EXTERNO",$I408="EXTERNO"),"ERRO: origem e destino externos",IF(AND($G408&lt;&gt;"EXTERNO",COUNTIFS(ENT_ID,$H408,ENT_TIPO,$G408)=0),"ERRO: origem inexistente",IF(AND($I408&lt;&gt;"EXTERNO",COUNTIFS(ENT_ID,$J408,ENT_TIPO,$I408)=0),"ERRO: destino inexistente",IF(AND($K408&lt;&gt;"",COUNTIF(CAT_ID,$K408)=0),"ERRO: categoria inexistente",IF(AND($L408&lt;&gt;"",COUNTIF(SUB_ID,$L408)=0),"ERRO: subcategoria inexistente",IF(AND($L408&lt;&gt;"",$K408&lt;&gt;"",IFERROR(INDEX(SUB_CATID,MATCH($L408,SUB_ID,0)),"")&lt;&gt;$K408),"ERRO: subcategoria nao pertence a categoria",IF(AND($O408&lt;&gt;"",COUNTIF(P_ID,$O408)=0),"ERRO: parcela inexistente",IF(AND($N408&lt;&gt;"",COUNTIF(CM_ID,$N408)=0),"ERRO: compromisso inexistente","OK")))))))))))))</f>
        <v/>
      </c>
      <c r="AK408" s="35" t="str">
        <f aca="false">IF($B408="","",IF(AND($N408="",$O408="",$P408="",$Q408="",$R408=""),"","VINCULADO: "&amp;TRIM(IF($N408&lt;&gt;"",$N408&amp;" ","")&amp;IF($O408&lt;&gt;"",$O408&amp;" ","")&amp;IF($P408&lt;&gt;"",$P408&amp;" ","")&amp;IF($Q408&lt;&gt;"",$Q408&amp;" ","")&amp;IF($R408&lt;&gt;"",$R408,""))))</f>
        <v/>
      </c>
    </row>
    <row r="409" customFormat="false" ht="15" hidden="false" customHeight="false" outlineLevel="0" collapsed="false">
      <c r="A409" s="30" t="str">
        <f aca="false">IF($B409="","","LAN-"&amp;TEXT(ROW()-4,"000000"))</f>
        <v/>
      </c>
      <c r="B409" s="31"/>
      <c r="C409" s="32"/>
      <c r="D409" s="32"/>
      <c r="E409" s="32"/>
      <c r="F409" s="33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4" t="str">
        <f aca="false">IF($B409="","",YEAR($B409))</f>
        <v/>
      </c>
      <c r="U409" s="34" t="str">
        <f aca="false">IF($B409="","",MONTH($B409))</f>
        <v/>
      </c>
      <c r="V409" s="34" t="str">
        <f aca="false">IF($B409="","",YEAR($B409)*100+MONTH($B409))</f>
        <v/>
      </c>
      <c r="W409" s="35" t="str">
        <f aca="false">IF($D409="","",IFERROR(INDEX(MAP_CLASS,MATCH($D409,MAP_TIPO,0)),"TIPO INVALIDO"))</f>
        <v/>
      </c>
      <c r="X409" s="35" t="str">
        <f aca="false">IF($K409="","",IFERROR(INDEX(CAT_NOME,MATCH($K409,CAT_ID,0)),"?"))</f>
        <v/>
      </c>
      <c r="Y409" s="35" t="str">
        <f aca="false">IF($L409="","",IFERROR(INDEX(SUB_NOME,MATCH($L409,SUB_ID,0)),"?"))</f>
        <v/>
      </c>
      <c r="Z409" s="35" t="str">
        <f aca="false">IF($G409="","",IF($G409="EXTERNO","(Externo)",IFERROR(INDEX(ENT_NOME,MATCH($H409,ENT_ID,0)),"?")))</f>
        <v/>
      </c>
      <c r="AA409" s="35" t="str">
        <f aca="false">IF($I409="","",IF($I409="EXTERNO","(Externo)",IFERROR(INDEX(ENT_NOME,MATCH($J409,ENT_ID,0)),"?")))</f>
        <v/>
      </c>
      <c r="AB409" s="36" t="n">
        <f aca="false">IF($B409="",0,IF(AND($I409="CONTA",$G409&lt;&gt;"CONTA"),$F409,0))</f>
        <v>0</v>
      </c>
      <c r="AC409" s="36" t="n">
        <f aca="false">IF($B409="",0,IF(AND($G409="CONTA",$I409&lt;&gt;"CONTA"),$F409,0))</f>
        <v>0</v>
      </c>
      <c r="AD409" s="36" t="n">
        <f aca="false">IF($W409="RECEITA",$F409,0)</f>
        <v>0</v>
      </c>
      <c r="AE409" s="36" t="n">
        <f aca="false">IF($W409="DESPESA",$F409,0)</f>
        <v>0</v>
      </c>
      <c r="AF409" s="36" t="n">
        <f aca="false">IF($W409="RECEITA_FINANCEIRA",$F409,0)</f>
        <v>0</v>
      </c>
      <c r="AG409" s="36" t="n">
        <f aca="false">IF($B409="",0,IF($I409="CONTA",$F409,0)-IF($G409="CONTA",$F409,0))</f>
        <v>0</v>
      </c>
      <c r="AH409" s="36" t="n">
        <f aca="false">IF($B409="",0,IF($G409="CARTAO",$F409,0)-IF($I409="CARTAO",$F409,0))</f>
        <v>0</v>
      </c>
      <c r="AI409" s="36" t="n">
        <f aca="false">IF($B409="",0,IF($I409="INVESTIMENTO",$F409,0)-IF($G409="INVESTIMENTO",$F409,0))</f>
        <v>0</v>
      </c>
      <c r="AJ409" s="35" t="str">
        <f aca="false">IF($B409="","",IF(NOT(ISNUMBER($F409)),"ERRO: valor nao numerico",IF($F409&lt;=0,"ERRO: valor deve ser maior que zero",IF(COUNTIF(MAP_TIPO,$D409)=0,"ERRO: tipo de operacao nao cadastrado",IF(COUNTIF(LST_STATUS,$E409)=0,"ERRO: status invalido",IF(AND($G409="EXTERNO",$I409="EXTERNO"),"ERRO: origem e destino externos",IF(AND($G409&lt;&gt;"EXTERNO",COUNTIFS(ENT_ID,$H409,ENT_TIPO,$G409)=0),"ERRO: origem inexistente",IF(AND($I409&lt;&gt;"EXTERNO",COUNTIFS(ENT_ID,$J409,ENT_TIPO,$I409)=0),"ERRO: destino inexistente",IF(AND($K409&lt;&gt;"",COUNTIF(CAT_ID,$K409)=0),"ERRO: categoria inexistente",IF(AND($L409&lt;&gt;"",COUNTIF(SUB_ID,$L409)=0),"ERRO: subcategoria inexistente",IF(AND($L409&lt;&gt;"",$K409&lt;&gt;"",IFERROR(INDEX(SUB_CATID,MATCH($L409,SUB_ID,0)),"")&lt;&gt;$K409),"ERRO: subcategoria nao pertence a categoria",IF(AND($O409&lt;&gt;"",COUNTIF(P_ID,$O409)=0),"ERRO: parcela inexistente",IF(AND($N409&lt;&gt;"",COUNTIF(CM_ID,$N409)=0),"ERRO: compromisso inexistente","OK")))))))))))))</f>
        <v/>
      </c>
      <c r="AK409" s="35" t="str">
        <f aca="false">IF($B409="","",IF(AND($N409="",$O409="",$P409="",$Q409="",$R409=""),"","VINCULADO: "&amp;TRIM(IF($N409&lt;&gt;"",$N409&amp;" ","")&amp;IF($O409&lt;&gt;"",$O409&amp;" ","")&amp;IF($P409&lt;&gt;"",$P409&amp;" ","")&amp;IF($Q409&lt;&gt;"",$Q409&amp;" ","")&amp;IF($R409&lt;&gt;"",$R409,""))))</f>
        <v/>
      </c>
    </row>
    <row r="410" customFormat="false" ht="15" hidden="false" customHeight="false" outlineLevel="0" collapsed="false">
      <c r="A410" s="30" t="str">
        <f aca="false">IF($B410="","","LAN-"&amp;TEXT(ROW()-4,"000000"))</f>
        <v/>
      </c>
      <c r="B410" s="31"/>
      <c r="C410" s="32"/>
      <c r="D410" s="32"/>
      <c r="E410" s="32"/>
      <c r="F410" s="33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4" t="str">
        <f aca="false">IF($B410="","",YEAR($B410))</f>
        <v/>
      </c>
      <c r="U410" s="34" t="str">
        <f aca="false">IF($B410="","",MONTH($B410))</f>
        <v/>
      </c>
      <c r="V410" s="34" t="str">
        <f aca="false">IF($B410="","",YEAR($B410)*100+MONTH($B410))</f>
        <v/>
      </c>
      <c r="W410" s="35" t="str">
        <f aca="false">IF($D410="","",IFERROR(INDEX(MAP_CLASS,MATCH($D410,MAP_TIPO,0)),"TIPO INVALIDO"))</f>
        <v/>
      </c>
      <c r="X410" s="35" t="str">
        <f aca="false">IF($K410="","",IFERROR(INDEX(CAT_NOME,MATCH($K410,CAT_ID,0)),"?"))</f>
        <v/>
      </c>
      <c r="Y410" s="35" t="str">
        <f aca="false">IF($L410="","",IFERROR(INDEX(SUB_NOME,MATCH($L410,SUB_ID,0)),"?"))</f>
        <v/>
      </c>
      <c r="Z410" s="35" t="str">
        <f aca="false">IF($G410="","",IF($G410="EXTERNO","(Externo)",IFERROR(INDEX(ENT_NOME,MATCH($H410,ENT_ID,0)),"?")))</f>
        <v/>
      </c>
      <c r="AA410" s="35" t="str">
        <f aca="false">IF($I410="","",IF($I410="EXTERNO","(Externo)",IFERROR(INDEX(ENT_NOME,MATCH($J410,ENT_ID,0)),"?")))</f>
        <v/>
      </c>
      <c r="AB410" s="36" t="n">
        <f aca="false">IF($B410="",0,IF(AND($I410="CONTA",$G410&lt;&gt;"CONTA"),$F410,0))</f>
        <v>0</v>
      </c>
      <c r="AC410" s="36" t="n">
        <f aca="false">IF($B410="",0,IF(AND($G410="CONTA",$I410&lt;&gt;"CONTA"),$F410,0))</f>
        <v>0</v>
      </c>
      <c r="AD410" s="36" t="n">
        <f aca="false">IF($W410="RECEITA",$F410,0)</f>
        <v>0</v>
      </c>
      <c r="AE410" s="36" t="n">
        <f aca="false">IF($W410="DESPESA",$F410,0)</f>
        <v>0</v>
      </c>
      <c r="AF410" s="36" t="n">
        <f aca="false">IF($W410="RECEITA_FINANCEIRA",$F410,0)</f>
        <v>0</v>
      </c>
      <c r="AG410" s="36" t="n">
        <f aca="false">IF($B410="",0,IF($I410="CONTA",$F410,0)-IF($G410="CONTA",$F410,0))</f>
        <v>0</v>
      </c>
      <c r="AH410" s="36" t="n">
        <f aca="false">IF($B410="",0,IF($G410="CARTAO",$F410,0)-IF($I410="CARTAO",$F410,0))</f>
        <v>0</v>
      </c>
      <c r="AI410" s="36" t="n">
        <f aca="false">IF($B410="",0,IF($I410="INVESTIMENTO",$F410,0)-IF($G410="INVESTIMENTO",$F410,0))</f>
        <v>0</v>
      </c>
      <c r="AJ410" s="35" t="str">
        <f aca="false">IF($B410="","",IF(NOT(ISNUMBER($F410)),"ERRO: valor nao numerico",IF($F410&lt;=0,"ERRO: valor deve ser maior que zero",IF(COUNTIF(MAP_TIPO,$D410)=0,"ERRO: tipo de operacao nao cadastrado",IF(COUNTIF(LST_STATUS,$E410)=0,"ERRO: status invalido",IF(AND($G410="EXTERNO",$I410="EXTERNO"),"ERRO: origem e destino externos",IF(AND($G410&lt;&gt;"EXTERNO",COUNTIFS(ENT_ID,$H410,ENT_TIPO,$G410)=0),"ERRO: origem inexistente",IF(AND($I410&lt;&gt;"EXTERNO",COUNTIFS(ENT_ID,$J410,ENT_TIPO,$I410)=0),"ERRO: destino inexistente",IF(AND($K410&lt;&gt;"",COUNTIF(CAT_ID,$K410)=0),"ERRO: categoria inexistente",IF(AND($L410&lt;&gt;"",COUNTIF(SUB_ID,$L410)=0),"ERRO: subcategoria inexistente",IF(AND($L410&lt;&gt;"",$K410&lt;&gt;"",IFERROR(INDEX(SUB_CATID,MATCH($L410,SUB_ID,0)),"")&lt;&gt;$K410),"ERRO: subcategoria nao pertence a categoria",IF(AND($O410&lt;&gt;"",COUNTIF(P_ID,$O410)=0),"ERRO: parcela inexistente",IF(AND($N410&lt;&gt;"",COUNTIF(CM_ID,$N410)=0),"ERRO: compromisso inexistente","OK")))))))))))))</f>
        <v/>
      </c>
      <c r="AK410" s="35" t="str">
        <f aca="false">IF($B410="","",IF(AND($N410="",$O410="",$P410="",$Q410="",$R410=""),"","VINCULADO: "&amp;TRIM(IF($N410&lt;&gt;"",$N410&amp;" ","")&amp;IF($O410&lt;&gt;"",$O410&amp;" ","")&amp;IF($P410&lt;&gt;"",$P410&amp;" ","")&amp;IF($Q410&lt;&gt;"",$Q410&amp;" ","")&amp;IF($R410&lt;&gt;"",$R410,""))))</f>
        <v/>
      </c>
    </row>
    <row r="411" customFormat="false" ht="15" hidden="false" customHeight="false" outlineLevel="0" collapsed="false">
      <c r="A411" s="30" t="str">
        <f aca="false">IF($B411="","","LAN-"&amp;TEXT(ROW()-4,"000000"))</f>
        <v/>
      </c>
      <c r="B411" s="31"/>
      <c r="C411" s="32"/>
      <c r="D411" s="32"/>
      <c r="E411" s="32"/>
      <c r="F411" s="33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4" t="str">
        <f aca="false">IF($B411="","",YEAR($B411))</f>
        <v/>
      </c>
      <c r="U411" s="34" t="str">
        <f aca="false">IF($B411="","",MONTH($B411))</f>
        <v/>
      </c>
      <c r="V411" s="34" t="str">
        <f aca="false">IF($B411="","",YEAR($B411)*100+MONTH($B411))</f>
        <v/>
      </c>
      <c r="W411" s="35" t="str">
        <f aca="false">IF($D411="","",IFERROR(INDEX(MAP_CLASS,MATCH($D411,MAP_TIPO,0)),"TIPO INVALIDO"))</f>
        <v/>
      </c>
      <c r="X411" s="35" t="str">
        <f aca="false">IF($K411="","",IFERROR(INDEX(CAT_NOME,MATCH($K411,CAT_ID,0)),"?"))</f>
        <v/>
      </c>
      <c r="Y411" s="35" t="str">
        <f aca="false">IF($L411="","",IFERROR(INDEX(SUB_NOME,MATCH($L411,SUB_ID,0)),"?"))</f>
        <v/>
      </c>
      <c r="Z411" s="35" t="str">
        <f aca="false">IF($G411="","",IF($G411="EXTERNO","(Externo)",IFERROR(INDEX(ENT_NOME,MATCH($H411,ENT_ID,0)),"?")))</f>
        <v/>
      </c>
      <c r="AA411" s="35" t="str">
        <f aca="false">IF($I411="","",IF($I411="EXTERNO","(Externo)",IFERROR(INDEX(ENT_NOME,MATCH($J411,ENT_ID,0)),"?")))</f>
        <v/>
      </c>
      <c r="AB411" s="36" t="n">
        <f aca="false">IF($B411="",0,IF(AND($I411="CONTA",$G411&lt;&gt;"CONTA"),$F411,0))</f>
        <v>0</v>
      </c>
      <c r="AC411" s="36" t="n">
        <f aca="false">IF($B411="",0,IF(AND($G411="CONTA",$I411&lt;&gt;"CONTA"),$F411,0))</f>
        <v>0</v>
      </c>
      <c r="AD411" s="36" t="n">
        <f aca="false">IF($W411="RECEITA",$F411,0)</f>
        <v>0</v>
      </c>
      <c r="AE411" s="36" t="n">
        <f aca="false">IF($W411="DESPESA",$F411,0)</f>
        <v>0</v>
      </c>
      <c r="AF411" s="36" t="n">
        <f aca="false">IF($W411="RECEITA_FINANCEIRA",$F411,0)</f>
        <v>0</v>
      </c>
      <c r="AG411" s="36" t="n">
        <f aca="false">IF($B411="",0,IF($I411="CONTA",$F411,0)-IF($G411="CONTA",$F411,0))</f>
        <v>0</v>
      </c>
      <c r="AH411" s="36" t="n">
        <f aca="false">IF($B411="",0,IF($G411="CARTAO",$F411,0)-IF($I411="CARTAO",$F411,0))</f>
        <v>0</v>
      </c>
      <c r="AI411" s="36" t="n">
        <f aca="false">IF($B411="",0,IF($I411="INVESTIMENTO",$F411,0)-IF($G411="INVESTIMENTO",$F411,0))</f>
        <v>0</v>
      </c>
      <c r="AJ411" s="35" t="str">
        <f aca="false">IF($B411="","",IF(NOT(ISNUMBER($F411)),"ERRO: valor nao numerico",IF($F411&lt;=0,"ERRO: valor deve ser maior que zero",IF(COUNTIF(MAP_TIPO,$D411)=0,"ERRO: tipo de operacao nao cadastrado",IF(COUNTIF(LST_STATUS,$E411)=0,"ERRO: status invalido",IF(AND($G411="EXTERNO",$I411="EXTERNO"),"ERRO: origem e destino externos",IF(AND($G411&lt;&gt;"EXTERNO",COUNTIFS(ENT_ID,$H411,ENT_TIPO,$G411)=0),"ERRO: origem inexistente",IF(AND($I411&lt;&gt;"EXTERNO",COUNTIFS(ENT_ID,$J411,ENT_TIPO,$I411)=0),"ERRO: destino inexistente",IF(AND($K411&lt;&gt;"",COUNTIF(CAT_ID,$K411)=0),"ERRO: categoria inexistente",IF(AND($L411&lt;&gt;"",COUNTIF(SUB_ID,$L411)=0),"ERRO: subcategoria inexistente",IF(AND($L411&lt;&gt;"",$K411&lt;&gt;"",IFERROR(INDEX(SUB_CATID,MATCH($L411,SUB_ID,0)),"")&lt;&gt;$K411),"ERRO: subcategoria nao pertence a categoria",IF(AND($O411&lt;&gt;"",COUNTIF(P_ID,$O411)=0),"ERRO: parcela inexistente",IF(AND($N411&lt;&gt;"",COUNTIF(CM_ID,$N411)=0),"ERRO: compromisso inexistente","OK")))))))))))))</f>
        <v/>
      </c>
      <c r="AK411" s="35" t="str">
        <f aca="false">IF($B411="","",IF(AND($N411="",$O411="",$P411="",$Q411="",$R411=""),"","VINCULADO: "&amp;TRIM(IF($N411&lt;&gt;"",$N411&amp;" ","")&amp;IF($O411&lt;&gt;"",$O411&amp;" ","")&amp;IF($P411&lt;&gt;"",$P411&amp;" ","")&amp;IF($Q411&lt;&gt;"",$Q411&amp;" ","")&amp;IF($R411&lt;&gt;"",$R411,""))))</f>
        <v/>
      </c>
    </row>
    <row r="412" customFormat="false" ht="15" hidden="false" customHeight="false" outlineLevel="0" collapsed="false">
      <c r="A412" s="30" t="str">
        <f aca="false">IF($B412="","","LAN-"&amp;TEXT(ROW()-4,"000000"))</f>
        <v/>
      </c>
      <c r="B412" s="31"/>
      <c r="C412" s="32"/>
      <c r="D412" s="32"/>
      <c r="E412" s="32"/>
      <c r="F412" s="33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4" t="str">
        <f aca="false">IF($B412="","",YEAR($B412))</f>
        <v/>
      </c>
      <c r="U412" s="34" t="str">
        <f aca="false">IF($B412="","",MONTH($B412))</f>
        <v/>
      </c>
      <c r="V412" s="34" t="str">
        <f aca="false">IF($B412="","",YEAR($B412)*100+MONTH($B412))</f>
        <v/>
      </c>
      <c r="W412" s="35" t="str">
        <f aca="false">IF($D412="","",IFERROR(INDEX(MAP_CLASS,MATCH($D412,MAP_TIPO,0)),"TIPO INVALIDO"))</f>
        <v/>
      </c>
      <c r="X412" s="35" t="str">
        <f aca="false">IF($K412="","",IFERROR(INDEX(CAT_NOME,MATCH($K412,CAT_ID,0)),"?"))</f>
        <v/>
      </c>
      <c r="Y412" s="35" t="str">
        <f aca="false">IF($L412="","",IFERROR(INDEX(SUB_NOME,MATCH($L412,SUB_ID,0)),"?"))</f>
        <v/>
      </c>
      <c r="Z412" s="35" t="str">
        <f aca="false">IF($G412="","",IF($G412="EXTERNO","(Externo)",IFERROR(INDEX(ENT_NOME,MATCH($H412,ENT_ID,0)),"?")))</f>
        <v/>
      </c>
      <c r="AA412" s="35" t="str">
        <f aca="false">IF($I412="","",IF($I412="EXTERNO","(Externo)",IFERROR(INDEX(ENT_NOME,MATCH($J412,ENT_ID,0)),"?")))</f>
        <v/>
      </c>
      <c r="AB412" s="36" t="n">
        <f aca="false">IF($B412="",0,IF(AND($I412="CONTA",$G412&lt;&gt;"CONTA"),$F412,0))</f>
        <v>0</v>
      </c>
      <c r="AC412" s="36" t="n">
        <f aca="false">IF($B412="",0,IF(AND($G412="CONTA",$I412&lt;&gt;"CONTA"),$F412,0))</f>
        <v>0</v>
      </c>
      <c r="AD412" s="36" t="n">
        <f aca="false">IF($W412="RECEITA",$F412,0)</f>
        <v>0</v>
      </c>
      <c r="AE412" s="36" t="n">
        <f aca="false">IF($W412="DESPESA",$F412,0)</f>
        <v>0</v>
      </c>
      <c r="AF412" s="36" t="n">
        <f aca="false">IF($W412="RECEITA_FINANCEIRA",$F412,0)</f>
        <v>0</v>
      </c>
      <c r="AG412" s="36" t="n">
        <f aca="false">IF($B412="",0,IF($I412="CONTA",$F412,0)-IF($G412="CONTA",$F412,0))</f>
        <v>0</v>
      </c>
      <c r="AH412" s="36" t="n">
        <f aca="false">IF($B412="",0,IF($G412="CARTAO",$F412,0)-IF($I412="CARTAO",$F412,0))</f>
        <v>0</v>
      </c>
      <c r="AI412" s="36" t="n">
        <f aca="false">IF($B412="",0,IF($I412="INVESTIMENTO",$F412,0)-IF($G412="INVESTIMENTO",$F412,0))</f>
        <v>0</v>
      </c>
      <c r="AJ412" s="35" t="str">
        <f aca="false">IF($B412="","",IF(NOT(ISNUMBER($F412)),"ERRO: valor nao numerico",IF($F412&lt;=0,"ERRO: valor deve ser maior que zero",IF(COUNTIF(MAP_TIPO,$D412)=0,"ERRO: tipo de operacao nao cadastrado",IF(COUNTIF(LST_STATUS,$E412)=0,"ERRO: status invalido",IF(AND($G412="EXTERNO",$I412="EXTERNO"),"ERRO: origem e destino externos",IF(AND($G412&lt;&gt;"EXTERNO",COUNTIFS(ENT_ID,$H412,ENT_TIPO,$G412)=0),"ERRO: origem inexistente",IF(AND($I412&lt;&gt;"EXTERNO",COUNTIFS(ENT_ID,$J412,ENT_TIPO,$I412)=0),"ERRO: destino inexistente",IF(AND($K412&lt;&gt;"",COUNTIF(CAT_ID,$K412)=0),"ERRO: categoria inexistente",IF(AND($L412&lt;&gt;"",COUNTIF(SUB_ID,$L412)=0),"ERRO: subcategoria inexistente",IF(AND($L412&lt;&gt;"",$K412&lt;&gt;"",IFERROR(INDEX(SUB_CATID,MATCH($L412,SUB_ID,0)),"")&lt;&gt;$K412),"ERRO: subcategoria nao pertence a categoria",IF(AND($O412&lt;&gt;"",COUNTIF(P_ID,$O412)=0),"ERRO: parcela inexistente",IF(AND($N412&lt;&gt;"",COUNTIF(CM_ID,$N412)=0),"ERRO: compromisso inexistente","OK")))))))))))))</f>
        <v/>
      </c>
      <c r="AK412" s="35" t="str">
        <f aca="false">IF($B412="","",IF(AND($N412="",$O412="",$P412="",$Q412="",$R412=""),"","VINCULADO: "&amp;TRIM(IF($N412&lt;&gt;"",$N412&amp;" ","")&amp;IF($O412&lt;&gt;"",$O412&amp;" ","")&amp;IF($P412&lt;&gt;"",$P412&amp;" ","")&amp;IF($Q412&lt;&gt;"",$Q412&amp;" ","")&amp;IF($R412&lt;&gt;"",$R412,""))))</f>
        <v/>
      </c>
    </row>
    <row r="413" customFormat="false" ht="15" hidden="false" customHeight="false" outlineLevel="0" collapsed="false">
      <c r="A413" s="30" t="str">
        <f aca="false">IF($B413="","","LAN-"&amp;TEXT(ROW()-4,"000000"))</f>
        <v/>
      </c>
      <c r="B413" s="31"/>
      <c r="C413" s="32"/>
      <c r="D413" s="32"/>
      <c r="E413" s="32"/>
      <c r="F413" s="33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4" t="str">
        <f aca="false">IF($B413="","",YEAR($B413))</f>
        <v/>
      </c>
      <c r="U413" s="34" t="str">
        <f aca="false">IF($B413="","",MONTH($B413))</f>
        <v/>
      </c>
      <c r="V413" s="34" t="str">
        <f aca="false">IF($B413="","",YEAR($B413)*100+MONTH($B413))</f>
        <v/>
      </c>
      <c r="W413" s="35" t="str">
        <f aca="false">IF($D413="","",IFERROR(INDEX(MAP_CLASS,MATCH($D413,MAP_TIPO,0)),"TIPO INVALIDO"))</f>
        <v/>
      </c>
      <c r="X413" s="35" t="str">
        <f aca="false">IF($K413="","",IFERROR(INDEX(CAT_NOME,MATCH($K413,CAT_ID,0)),"?"))</f>
        <v/>
      </c>
      <c r="Y413" s="35" t="str">
        <f aca="false">IF($L413="","",IFERROR(INDEX(SUB_NOME,MATCH($L413,SUB_ID,0)),"?"))</f>
        <v/>
      </c>
      <c r="Z413" s="35" t="str">
        <f aca="false">IF($G413="","",IF($G413="EXTERNO","(Externo)",IFERROR(INDEX(ENT_NOME,MATCH($H413,ENT_ID,0)),"?")))</f>
        <v/>
      </c>
      <c r="AA413" s="35" t="str">
        <f aca="false">IF($I413="","",IF($I413="EXTERNO","(Externo)",IFERROR(INDEX(ENT_NOME,MATCH($J413,ENT_ID,0)),"?")))</f>
        <v/>
      </c>
      <c r="AB413" s="36" t="n">
        <f aca="false">IF($B413="",0,IF(AND($I413="CONTA",$G413&lt;&gt;"CONTA"),$F413,0))</f>
        <v>0</v>
      </c>
      <c r="AC413" s="36" t="n">
        <f aca="false">IF($B413="",0,IF(AND($G413="CONTA",$I413&lt;&gt;"CONTA"),$F413,0))</f>
        <v>0</v>
      </c>
      <c r="AD413" s="36" t="n">
        <f aca="false">IF($W413="RECEITA",$F413,0)</f>
        <v>0</v>
      </c>
      <c r="AE413" s="36" t="n">
        <f aca="false">IF($W413="DESPESA",$F413,0)</f>
        <v>0</v>
      </c>
      <c r="AF413" s="36" t="n">
        <f aca="false">IF($W413="RECEITA_FINANCEIRA",$F413,0)</f>
        <v>0</v>
      </c>
      <c r="AG413" s="36" t="n">
        <f aca="false">IF($B413="",0,IF($I413="CONTA",$F413,0)-IF($G413="CONTA",$F413,0))</f>
        <v>0</v>
      </c>
      <c r="AH413" s="36" t="n">
        <f aca="false">IF($B413="",0,IF($G413="CARTAO",$F413,0)-IF($I413="CARTAO",$F413,0))</f>
        <v>0</v>
      </c>
      <c r="AI413" s="36" t="n">
        <f aca="false">IF($B413="",0,IF($I413="INVESTIMENTO",$F413,0)-IF($G413="INVESTIMENTO",$F413,0))</f>
        <v>0</v>
      </c>
      <c r="AJ413" s="35" t="str">
        <f aca="false">IF($B413="","",IF(NOT(ISNUMBER($F413)),"ERRO: valor nao numerico",IF($F413&lt;=0,"ERRO: valor deve ser maior que zero",IF(COUNTIF(MAP_TIPO,$D413)=0,"ERRO: tipo de operacao nao cadastrado",IF(COUNTIF(LST_STATUS,$E413)=0,"ERRO: status invalido",IF(AND($G413="EXTERNO",$I413="EXTERNO"),"ERRO: origem e destino externos",IF(AND($G413&lt;&gt;"EXTERNO",COUNTIFS(ENT_ID,$H413,ENT_TIPO,$G413)=0),"ERRO: origem inexistente",IF(AND($I413&lt;&gt;"EXTERNO",COUNTIFS(ENT_ID,$J413,ENT_TIPO,$I413)=0),"ERRO: destino inexistente",IF(AND($K413&lt;&gt;"",COUNTIF(CAT_ID,$K413)=0),"ERRO: categoria inexistente",IF(AND($L413&lt;&gt;"",COUNTIF(SUB_ID,$L413)=0),"ERRO: subcategoria inexistente",IF(AND($L413&lt;&gt;"",$K413&lt;&gt;"",IFERROR(INDEX(SUB_CATID,MATCH($L413,SUB_ID,0)),"")&lt;&gt;$K413),"ERRO: subcategoria nao pertence a categoria",IF(AND($O413&lt;&gt;"",COUNTIF(P_ID,$O413)=0),"ERRO: parcela inexistente",IF(AND($N413&lt;&gt;"",COUNTIF(CM_ID,$N413)=0),"ERRO: compromisso inexistente","OK")))))))))))))</f>
        <v/>
      </c>
      <c r="AK413" s="35" t="str">
        <f aca="false">IF($B413="","",IF(AND($N413="",$O413="",$P413="",$Q413="",$R413=""),"","VINCULADO: "&amp;TRIM(IF($N413&lt;&gt;"",$N413&amp;" ","")&amp;IF($O413&lt;&gt;"",$O413&amp;" ","")&amp;IF($P413&lt;&gt;"",$P413&amp;" ","")&amp;IF($Q413&lt;&gt;"",$Q413&amp;" ","")&amp;IF($R413&lt;&gt;"",$R413,""))))</f>
        <v/>
      </c>
    </row>
    <row r="414" customFormat="false" ht="15" hidden="false" customHeight="false" outlineLevel="0" collapsed="false">
      <c r="A414" s="30" t="str">
        <f aca="false">IF($B414="","","LAN-"&amp;TEXT(ROW()-4,"000000"))</f>
        <v/>
      </c>
      <c r="B414" s="31"/>
      <c r="C414" s="32"/>
      <c r="D414" s="32"/>
      <c r="E414" s="32"/>
      <c r="F414" s="33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4" t="str">
        <f aca="false">IF($B414="","",YEAR($B414))</f>
        <v/>
      </c>
      <c r="U414" s="34" t="str">
        <f aca="false">IF($B414="","",MONTH($B414))</f>
        <v/>
      </c>
      <c r="V414" s="34" t="str">
        <f aca="false">IF($B414="","",YEAR($B414)*100+MONTH($B414))</f>
        <v/>
      </c>
      <c r="W414" s="35" t="str">
        <f aca="false">IF($D414="","",IFERROR(INDEX(MAP_CLASS,MATCH($D414,MAP_TIPO,0)),"TIPO INVALIDO"))</f>
        <v/>
      </c>
      <c r="X414" s="35" t="str">
        <f aca="false">IF($K414="","",IFERROR(INDEX(CAT_NOME,MATCH($K414,CAT_ID,0)),"?"))</f>
        <v/>
      </c>
      <c r="Y414" s="35" t="str">
        <f aca="false">IF($L414="","",IFERROR(INDEX(SUB_NOME,MATCH($L414,SUB_ID,0)),"?"))</f>
        <v/>
      </c>
      <c r="Z414" s="35" t="str">
        <f aca="false">IF($G414="","",IF($G414="EXTERNO","(Externo)",IFERROR(INDEX(ENT_NOME,MATCH($H414,ENT_ID,0)),"?")))</f>
        <v/>
      </c>
      <c r="AA414" s="35" t="str">
        <f aca="false">IF($I414="","",IF($I414="EXTERNO","(Externo)",IFERROR(INDEX(ENT_NOME,MATCH($J414,ENT_ID,0)),"?")))</f>
        <v/>
      </c>
      <c r="AB414" s="36" t="n">
        <f aca="false">IF($B414="",0,IF(AND($I414="CONTA",$G414&lt;&gt;"CONTA"),$F414,0))</f>
        <v>0</v>
      </c>
      <c r="AC414" s="36" t="n">
        <f aca="false">IF($B414="",0,IF(AND($G414="CONTA",$I414&lt;&gt;"CONTA"),$F414,0))</f>
        <v>0</v>
      </c>
      <c r="AD414" s="36" t="n">
        <f aca="false">IF($W414="RECEITA",$F414,0)</f>
        <v>0</v>
      </c>
      <c r="AE414" s="36" t="n">
        <f aca="false">IF($W414="DESPESA",$F414,0)</f>
        <v>0</v>
      </c>
      <c r="AF414" s="36" t="n">
        <f aca="false">IF($W414="RECEITA_FINANCEIRA",$F414,0)</f>
        <v>0</v>
      </c>
      <c r="AG414" s="36" t="n">
        <f aca="false">IF($B414="",0,IF($I414="CONTA",$F414,0)-IF($G414="CONTA",$F414,0))</f>
        <v>0</v>
      </c>
      <c r="AH414" s="36" t="n">
        <f aca="false">IF($B414="",0,IF($G414="CARTAO",$F414,0)-IF($I414="CARTAO",$F414,0))</f>
        <v>0</v>
      </c>
      <c r="AI414" s="36" t="n">
        <f aca="false">IF($B414="",0,IF($I414="INVESTIMENTO",$F414,0)-IF($G414="INVESTIMENTO",$F414,0))</f>
        <v>0</v>
      </c>
      <c r="AJ414" s="35" t="str">
        <f aca="false">IF($B414="","",IF(NOT(ISNUMBER($F414)),"ERRO: valor nao numerico",IF($F414&lt;=0,"ERRO: valor deve ser maior que zero",IF(COUNTIF(MAP_TIPO,$D414)=0,"ERRO: tipo de operacao nao cadastrado",IF(COUNTIF(LST_STATUS,$E414)=0,"ERRO: status invalido",IF(AND($G414="EXTERNO",$I414="EXTERNO"),"ERRO: origem e destino externos",IF(AND($G414&lt;&gt;"EXTERNO",COUNTIFS(ENT_ID,$H414,ENT_TIPO,$G414)=0),"ERRO: origem inexistente",IF(AND($I414&lt;&gt;"EXTERNO",COUNTIFS(ENT_ID,$J414,ENT_TIPO,$I414)=0),"ERRO: destino inexistente",IF(AND($K414&lt;&gt;"",COUNTIF(CAT_ID,$K414)=0),"ERRO: categoria inexistente",IF(AND($L414&lt;&gt;"",COUNTIF(SUB_ID,$L414)=0),"ERRO: subcategoria inexistente",IF(AND($L414&lt;&gt;"",$K414&lt;&gt;"",IFERROR(INDEX(SUB_CATID,MATCH($L414,SUB_ID,0)),"")&lt;&gt;$K414),"ERRO: subcategoria nao pertence a categoria",IF(AND($O414&lt;&gt;"",COUNTIF(P_ID,$O414)=0),"ERRO: parcela inexistente",IF(AND($N414&lt;&gt;"",COUNTIF(CM_ID,$N414)=0),"ERRO: compromisso inexistente","OK")))))))))))))</f>
        <v/>
      </c>
      <c r="AK414" s="35" t="str">
        <f aca="false">IF($B414="","",IF(AND($N414="",$O414="",$P414="",$Q414="",$R414=""),"","VINCULADO: "&amp;TRIM(IF($N414&lt;&gt;"",$N414&amp;" ","")&amp;IF($O414&lt;&gt;"",$O414&amp;" ","")&amp;IF($P414&lt;&gt;"",$P414&amp;" ","")&amp;IF($Q414&lt;&gt;"",$Q414&amp;" ","")&amp;IF($R414&lt;&gt;"",$R414,""))))</f>
        <v/>
      </c>
    </row>
    <row r="415" customFormat="false" ht="15" hidden="false" customHeight="false" outlineLevel="0" collapsed="false">
      <c r="A415" s="30" t="str">
        <f aca="false">IF($B415="","","LAN-"&amp;TEXT(ROW()-4,"000000"))</f>
        <v/>
      </c>
      <c r="B415" s="31"/>
      <c r="C415" s="32"/>
      <c r="D415" s="32"/>
      <c r="E415" s="32"/>
      <c r="F415" s="33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4" t="str">
        <f aca="false">IF($B415="","",YEAR($B415))</f>
        <v/>
      </c>
      <c r="U415" s="34" t="str">
        <f aca="false">IF($B415="","",MONTH($B415))</f>
        <v/>
      </c>
      <c r="V415" s="34" t="str">
        <f aca="false">IF($B415="","",YEAR($B415)*100+MONTH($B415))</f>
        <v/>
      </c>
      <c r="W415" s="35" t="str">
        <f aca="false">IF($D415="","",IFERROR(INDEX(MAP_CLASS,MATCH($D415,MAP_TIPO,0)),"TIPO INVALIDO"))</f>
        <v/>
      </c>
      <c r="X415" s="35" t="str">
        <f aca="false">IF($K415="","",IFERROR(INDEX(CAT_NOME,MATCH($K415,CAT_ID,0)),"?"))</f>
        <v/>
      </c>
      <c r="Y415" s="35" t="str">
        <f aca="false">IF($L415="","",IFERROR(INDEX(SUB_NOME,MATCH($L415,SUB_ID,0)),"?"))</f>
        <v/>
      </c>
      <c r="Z415" s="35" t="str">
        <f aca="false">IF($G415="","",IF($G415="EXTERNO","(Externo)",IFERROR(INDEX(ENT_NOME,MATCH($H415,ENT_ID,0)),"?")))</f>
        <v/>
      </c>
      <c r="AA415" s="35" t="str">
        <f aca="false">IF($I415="","",IF($I415="EXTERNO","(Externo)",IFERROR(INDEX(ENT_NOME,MATCH($J415,ENT_ID,0)),"?")))</f>
        <v/>
      </c>
      <c r="AB415" s="36" t="n">
        <f aca="false">IF($B415="",0,IF(AND($I415="CONTA",$G415&lt;&gt;"CONTA"),$F415,0))</f>
        <v>0</v>
      </c>
      <c r="AC415" s="36" t="n">
        <f aca="false">IF($B415="",0,IF(AND($G415="CONTA",$I415&lt;&gt;"CONTA"),$F415,0))</f>
        <v>0</v>
      </c>
      <c r="AD415" s="36" t="n">
        <f aca="false">IF($W415="RECEITA",$F415,0)</f>
        <v>0</v>
      </c>
      <c r="AE415" s="36" t="n">
        <f aca="false">IF($W415="DESPESA",$F415,0)</f>
        <v>0</v>
      </c>
      <c r="AF415" s="36" t="n">
        <f aca="false">IF($W415="RECEITA_FINANCEIRA",$F415,0)</f>
        <v>0</v>
      </c>
      <c r="AG415" s="36" t="n">
        <f aca="false">IF($B415="",0,IF($I415="CONTA",$F415,0)-IF($G415="CONTA",$F415,0))</f>
        <v>0</v>
      </c>
      <c r="AH415" s="36" t="n">
        <f aca="false">IF($B415="",0,IF($G415="CARTAO",$F415,0)-IF($I415="CARTAO",$F415,0))</f>
        <v>0</v>
      </c>
      <c r="AI415" s="36" t="n">
        <f aca="false">IF($B415="",0,IF($I415="INVESTIMENTO",$F415,0)-IF($G415="INVESTIMENTO",$F415,0))</f>
        <v>0</v>
      </c>
      <c r="AJ415" s="35" t="str">
        <f aca="false">IF($B415="","",IF(NOT(ISNUMBER($F415)),"ERRO: valor nao numerico",IF($F415&lt;=0,"ERRO: valor deve ser maior que zero",IF(COUNTIF(MAP_TIPO,$D415)=0,"ERRO: tipo de operacao nao cadastrado",IF(COUNTIF(LST_STATUS,$E415)=0,"ERRO: status invalido",IF(AND($G415="EXTERNO",$I415="EXTERNO"),"ERRO: origem e destino externos",IF(AND($G415&lt;&gt;"EXTERNO",COUNTIFS(ENT_ID,$H415,ENT_TIPO,$G415)=0),"ERRO: origem inexistente",IF(AND($I415&lt;&gt;"EXTERNO",COUNTIFS(ENT_ID,$J415,ENT_TIPO,$I415)=0),"ERRO: destino inexistente",IF(AND($K415&lt;&gt;"",COUNTIF(CAT_ID,$K415)=0),"ERRO: categoria inexistente",IF(AND($L415&lt;&gt;"",COUNTIF(SUB_ID,$L415)=0),"ERRO: subcategoria inexistente",IF(AND($L415&lt;&gt;"",$K415&lt;&gt;"",IFERROR(INDEX(SUB_CATID,MATCH($L415,SUB_ID,0)),"")&lt;&gt;$K415),"ERRO: subcategoria nao pertence a categoria",IF(AND($O415&lt;&gt;"",COUNTIF(P_ID,$O415)=0),"ERRO: parcela inexistente",IF(AND($N415&lt;&gt;"",COUNTIF(CM_ID,$N415)=0),"ERRO: compromisso inexistente","OK")))))))))))))</f>
        <v/>
      </c>
      <c r="AK415" s="35" t="str">
        <f aca="false">IF($B415="","",IF(AND($N415="",$O415="",$P415="",$Q415="",$R415=""),"","VINCULADO: "&amp;TRIM(IF($N415&lt;&gt;"",$N415&amp;" ","")&amp;IF($O415&lt;&gt;"",$O415&amp;" ","")&amp;IF($P415&lt;&gt;"",$P415&amp;" ","")&amp;IF($Q415&lt;&gt;"",$Q415&amp;" ","")&amp;IF($R415&lt;&gt;"",$R415,""))))</f>
        <v/>
      </c>
    </row>
    <row r="416" customFormat="false" ht="15" hidden="false" customHeight="false" outlineLevel="0" collapsed="false">
      <c r="A416" s="30" t="str">
        <f aca="false">IF($B416="","","LAN-"&amp;TEXT(ROW()-4,"000000"))</f>
        <v/>
      </c>
      <c r="B416" s="31"/>
      <c r="C416" s="32"/>
      <c r="D416" s="32"/>
      <c r="E416" s="32"/>
      <c r="F416" s="33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4" t="str">
        <f aca="false">IF($B416="","",YEAR($B416))</f>
        <v/>
      </c>
      <c r="U416" s="34" t="str">
        <f aca="false">IF($B416="","",MONTH($B416))</f>
        <v/>
      </c>
      <c r="V416" s="34" t="str">
        <f aca="false">IF($B416="","",YEAR($B416)*100+MONTH($B416))</f>
        <v/>
      </c>
      <c r="W416" s="35" t="str">
        <f aca="false">IF($D416="","",IFERROR(INDEX(MAP_CLASS,MATCH($D416,MAP_TIPO,0)),"TIPO INVALIDO"))</f>
        <v/>
      </c>
      <c r="X416" s="35" t="str">
        <f aca="false">IF($K416="","",IFERROR(INDEX(CAT_NOME,MATCH($K416,CAT_ID,0)),"?"))</f>
        <v/>
      </c>
      <c r="Y416" s="35" t="str">
        <f aca="false">IF($L416="","",IFERROR(INDEX(SUB_NOME,MATCH($L416,SUB_ID,0)),"?"))</f>
        <v/>
      </c>
      <c r="Z416" s="35" t="str">
        <f aca="false">IF($G416="","",IF($G416="EXTERNO","(Externo)",IFERROR(INDEX(ENT_NOME,MATCH($H416,ENT_ID,0)),"?")))</f>
        <v/>
      </c>
      <c r="AA416" s="35" t="str">
        <f aca="false">IF($I416="","",IF($I416="EXTERNO","(Externo)",IFERROR(INDEX(ENT_NOME,MATCH($J416,ENT_ID,0)),"?")))</f>
        <v/>
      </c>
      <c r="AB416" s="36" t="n">
        <f aca="false">IF($B416="",0,IF(AND($I416="CONTA",$G416&lt;&gt;"CONTA"),$F416,0))</f>
        <v>0</v>
      </c>
      <c r="AC416" s="36" t="n">
        <f aca="false">IF($B416="",0,IF(AND($G416="CONTA",$I416&lt;&gt;"CONTA"),$F416,0))</f>
        <v>0</v>
      </c>
      <c r="AD416" s="36" t="n">
        <f aca="false">IF($W416="RECEITA",$F416,0)</f>
        <v>0</v>
      </c>
      <c r="AE416" s="36" t="n">
        <f aca="false">IF($W416="DESPESA",$F416,0)</f>
        <v>0</v>
      </c>
      <c r="AF416" s="36" t="n">
        <f aca="false">IF($W416="RECEITA_FINANCEIRA",$F416,0)</f>
        <v>0</v>
      </c>
      <c r="AG416" s="36" t="n">
        <f aca="false">IF($B416="",0,IF($I416="CONTA",$F416,0)-IF($G416="CONTA",$F416,0))</f>
        <v>0</v>
      </c>
      <c r="AH416" s="36" t="n">
        <f aca="false">IF($B416="",0,IF($G416="CARTAO",$F416,0)-IF($I416="CARTAO",$F416,0))</f>
        <v>0</v>
      </c>
      <c r="AI416" s="36" t="n">
        <f aca="false">IF($B416="",0,IF($I416="INVESTIMENTO",$F416,0)-IF($G416="INVESTIMENTO",$F416,0))</f>
        <v>0</v>
      </c>
      <c r="AJ416" s="35" t="str">
        <f aca="false">IF($B416="","",IF(NOT(ISNUMBER($F416)),"ERRO: valor nao numerico",IF($F416&lt;=0,"ERRO: valor deve ser maior que zero",IF(COUNTIF(MAP_TIPO,$D416)=0,"ERRO: tipo de operacao nao cadastrado",IF(COUNTIF(LST_STATUS,$E416)=0,"ERRO: status invalido",IF(AND($G416="EXTERNO",$I416="EXTERNO"),"ERRO: origem e destino externos",IF(AND($G416&lt;&gt;"EXTERNO",COUNTIFS(ENT_ID,$H416,ENT_TIPO,$G416)=0),"ERRO: origem inexistente",IF(AND($I416&lt;&gt;"EXTERNO",COUNTIFS(ENT_ID,$J416,ENT_TIPO,$I416)=0),"ERRO: destino inexistente",IF(AND($K416&lt;&gt;"",COUNTIF(CAT_ID,$K416)=0),"ERRO: categoria inexistente",IF(AND($L416&lt;&gt;"",COUNTIF(SUB_ID,$L416)=0),"ERRO: subcategoria inexistente",IF(AND($L416&lt;&gt;"",$K416&lt;&gt;"",IFERROR(INDEX(SUB_CATID,MATCH($L416,SUB_ID,0)),"")&lt;&gt;$K416),"ERRO: subcategoria nao pertence a categoria",IF(AND($O416&lt;&gt;"",COUNTIF(P_ID,$O416)=0),"ERRO: parcela inexistente",IF(AND($N416&lt;&gt;"",COUNTIF(CM_ID,$N416)=0),"ERRO: compromisso inexistente","OK")))))))))))))</f>
        <v/>
      </c>
      <c r="AK416" s="35" t="str">
        <f aca="false">IF($B416="","",IF(AND($N416="",$O416="",$P416="",$Q416="",$R416=""),"","VINCULADO: "&amp;TRIM(IF($N416&lt;&gt;"",$N416&amp;" ","")&amp;IF($O416&lt;&gt;"",$O416&amp;" ","")&amp;IF($P416&lt;&gt;"",$P416&amp;" ","")&amp;IF($Q416&lt;&gt;"",$Q416&amp;" ","")&amp;IF($R416&lt;&gt;"",$R416,""))))</f>
        <v/>
      </c>
    </row>
    <row r="417" customFormat="false" ht="15" hidden="false" customHeight="false" outlineLevel="0" collapsed="false">
      <c r="A417" s="30" t="str">
        <f aca="false">IF($B417="","","LAN-"&amp;TEXT(ROW()-4,"000000"))</f>
        <v/>
      </c>
      <c r="B417" s="31"/>
      <c r="C417" s="32"/>
      <c r="D417" s="32"/>
      <c r="E417" s="32"/>
      <c r="F417" s="33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4" t="str">
        <f aca="false">IF($B417="","",YEAR($B417))</f>
        <v/>
      </c>
      <c r="U417" s="34" t="str">
        <f aca="false">IF($B417="","",MONTH($B417))</f>
        <v/>
      </c>
      <c r="V417" s="34" t="str">
        <f aca="false">IF($B417="","",YEAR($B417)*100+MONTH($B417))</f>
        <v/>
      </c>
      <c r="W417" s="35" t="str">
        <f aca="false">IF($D417="","",IFERROR(INDEX(MAP_CLASS,MATCH($D417,MAP_TIPO,0)),"TIPO INVALIDO"))</f>
        <v/>
      </c>
      <c r="X417" s="35" t="str">
        <f aca="false">IF($K417="","",IFERROR(INDEX(CAT_NOME,MATCH($K417,CAT_ID,0)),"?"))</f>
        <v/>
      </c>
      <c r="Y417" s="35" t="str">
        <f aca="false">IF($L417="","",IFERROR(INDEX(SUB_NOME,MATCH($L417,SUB_ID,0)),"?"))</f>
        <v/>
      </c>
      <c r="Z417" s="35" t="str">
        <f aca="false">IF($G417="","",IF($G417="EXTERNO","(Externo)",IFERROR(INDEX(ENT_NOME,MATCH($H417,ENT_ID,0)),"?")))</f>
        <v/>
      </c>
      <c r="AA417" s="35" t="str">
        <f aca="false">IF($I417="","",IF($I417="EXTERNO","(Externo)",IFERROR(INDEX(ENT_NOME,MATCH($J417,ENT_ID,0)),"?")))</f>
        <v/>
      </c>
      <c r="AB417" s="36" t="n">
        <f aca="false">IF($B417="",0,IF(AND($I417="CONTA",$G417&lt;&gt;"CONTA"),$F417,0))</f>
        <v>0</v>
      </c>
      <c r="AC417" s="36" t="n">
        <f aca="false">IF($B417="",0,IF(AND($G417="CONTA",$I417&lt;&gt;"CONTA"),$F417,0))</f>
        <v>0</v>
      </c>
      <c r="AD417" s="36" t="n">
        <f aca="false">IF($W417="RECEITA",$F417,0)</f>
        <v>0</v>
      </c>
      <c r="AE417" s="36" t="n">
        <f aca="false">IF($W417="DESPESA",$F417,0)</f>
        <v>0</v>
      </c>
      <c r="AF417" s="36" t="n">
        <f aca="false">IF($W417="RECEITA_FINANCEIRA",$F417,0)</f>
        <v>0</v>
      </c>
      <c r="AG417" s="36" t="n">
        <f aca="false">IF($B417="",0,IF($I417="CONTA",$F417,0)-IF($G417="CONTA",$F417,0))</f>
        <v>0</v>
      </c>
      <c r="AH417" s="36" t="n">
        <f aca="false">IF($B417="",0,IF($G417="CARTAO",$F417,0)-IF($I417="CARTAO",$F417,0))</f>
        <v>0</v>
      </c>
      <c r="AI417" s="36" t="n">
        <f aca="false">IF($B417="",0,IF($I417="INVESTIMENTO",$F417,0)-IF($G417="INVESTIMENTO",$F417,0))</f>
        <v>0</v>
      </c>
      <c r="AJ417" s="35" t="str">
        <f aca="false">IF($B417="","",IF(NOT(ISNUMBER($F417)),"ERRO: valor nao numerico",IF($F417&lt;=0,"ERRO: valor deve ser maior que zero",IF(COUNTIF(MAP_TIPO,$D417)=0,"ERRO: tipo de operacao nao cadastrado",IF(COUNTIF(LST_STATUS,$E417)=0,"ERRO: status invalido",IF(AND($G417="EXTERNO",$I417="EXTERNO"),"ERRO: origem e destino externos",IF(AND($G417&lt;&gt;"EXTERNO",COUNTIFS(ENT_ID,$H417,ENT_TIPO,$G417)=0),"ERRO: origem inexistente",IF(AND($I417&lt;&gt;"EXTERNO",COUNTIFS(ENT_ID,$J417,ENT_TIPO,$I417)=0),"ERRO: destino inexistente",IF(AND($K417&lt;&gt;"",COUNTIF(CAT_ID,$K417)=0),"ERRO: categoria inexistente",IF(AND($L417&lt;&gt;"",COUNTIF(SUB_ID,$L417)=0),"ERRO: subcategoria inexistente",IF(AND($L417&lt;&gt;"",$K417&lt;&gt;"",IFERROR(INDEX(SUB_CATID,MATCH($L417,SUB_ID,0)),"")&lt;&gt;$K417),"ERRO: subcategoria nao pertence a categoria",IF(AND($O417&lt;&gt;"",COUNTIF(P_ID,$O417)=0),"ERRO: parcela inexistente",IF(AND($N417&lt;&gt;"",COUNTIF(CM_ID,$N417)=0),"ERRO: compromisso inexistente","OK")))))))))))))</f>
        <v/>
      </c>
      <c r="AK417" s="35" t="str">
        <f aca="false">IF($B417="","",IF(AND($N417="",$O417="",$P417="",$Q417="",$R417=""),"","VINCULADO: "&amp;TRIM(IF($N417&lt;&gt;"",$N417&amp;" ","")&amp;IF($O417&lt;&gt;"",$O417&amp;" ","")&amp;IF($P417&lt;&gt;"",$P417&amp;" ","")&amp;IF($Q417&lt;&gt;"",$Q417&amp;" ","")&amp;IF($R417&lt;&gt;"",$R417,""))))</f>
        <v/>
      </c>
    </row>
    <row r="418" customFormat="false" ht="15" hidden="false" customHeight="false" outlineLevel="0" collapsed="false">
      <c r="A418" s="30" t="str">
        <f aca="false">IF($B418="","","LAN-"&amp;TEXT(ROW()-4,"000000"))</f>
        <v/>
      </c>
      <c r="B418" s="31"/>
      <c r="C418" s="32"/>
      <c r="D418" s="32"/>
      <c r="E418" s="32"/>
      <c r="F418" s="33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4" t="str">
        <f aca="false">IF($B418="","",YEAR($B418))</f>
        <v/>
      </c>
      <c r="U418" s="34" t="str">
        <f aca="false">IF($B418="","",MONTH($B418))</f>
        <v/>
      </c>
      <c r="V418" s="34" t="str">
        <f aca="false">IF($B418="","",YEAR($B418)*100+MONTH($B418))</f>
        <v/>
      </c>
      <c r="W418" s="35" t="str">
        <f aca="false">IF($D418="","",IFERROR(INDEX(MAP_CLASS,MATCH($D418,MAP_TIPO,0)),"TIPO INVALIDO"))</f>
        <v/>
      </c>
      <c r="X418" s="35" t="str">
        <f aca="false">IF($K418="","",IFERROR(INDEX(CAT_NOME,MATCH($K418,CAT_ID,0)),"?"))</f>
        <v/>
      </c>
      <c r="Y418" s="35" t="str">
        <f aca="false">IF($L418="","",IFERROR(INDEX(SUB_NOME,MATCH($L418,SUB_ID,0)),"?"))</f>
        <v/>
      </c>
      <c r="Z418" s="35" t="str">
        <f aca="false">IF($G418="","",IF($G418="EXTERNO","(Externo)",IFERROR(INDEX(ENT_NOME,MATCH($H418,ENT_ID,0)),"?")))</f>
        <v/>
      </c>
      <c r="AA418" s="35" t="str">
        <f aca="false">IF($I418="","",IF($I418="EXTERNO","(Externo)",IFERROR(INDEX(ENT_NOME,MATCH($J418,ENT_ID,0)),"?")))</f>
        <v/>
      </c>
      <c r="AB418" s="36" t="n">
        <f aca="false">IF($B418="",0,IF(AND($I418="CONTA",$G418&lt;&gt;"CONTA"),$F418,0))</f>
        <v>0</v>
      </c>
      <c r="AC418" s="36" t="n">
        <f aca="false">IF($B418="",0,IF(AND($G418="CONTA",$I418&lt;&gt;"CONTA"),$F418,0))</f>
        <v>0</v>
      </c>
      <c r="AD418" s="36" t="n">
        <f aca="false">IF($W418="RECEITA",$F418,0)</f>
        <v>0</v>
      </c>
      <c r="AE418" s="36" t="n">
        <f aca="false">IF($W418="DESPESA",$F418,0)</f>
        <v>0</v>
      </c>
      <c r="AF418" s="36" t="n">
        <f aca="false">IF($W418="RECEITA_FINANCEIRA",$F418,0)</f>
        <v>0</v>
      </c>
      <c r="AG418" s="36" t="n">
        <f aca="false">IF($B418="",0,IF($I418="CONTA",$F418,0)-IF($G418="CONTA",$F418,0))</f>
        <v>0</v>
      </c>
      <c r="AH418" s="36" t="n">
        <f aca="false">IF($B418="",0,IF($G418="CARTAO",$F418,0)-IF($I418="CARTAO",$F418,0))</f>
        <v>0</v>
      </c>
      <c r="AI418" s="36" t="n">
        <f aca="false">IF($B418="",0,IF($I418="INVESTIMENTO",$F418,0)-IF($G418="INVESTIMENTO",$F418,0))</f>
        <v>0</v>
      </c>
      <c r="AJ418" s="35" t="str">
        <f aca="false">IF($B418="","",IF(NOT(ISNUMBER($F418)),"ERRO: valor nao numerico",IF($F418&lt;=0,"ERRO: valor deve ser maior que zero",IF(COUNTIF(MAP_TIPO,$D418)=0,"ERRO: tipo de operacao nao cadastrado",IF(COUNTIF(LST_STATUS,$E418)=0,"ERRO: status invalido",IF(AND($G418="EXTERNO",$I418="EXTERNO"),"ERRO: origem e destino externos",IF(AND($G418&lt;&gt;"EXTERNO",COUNTIFS(ENT_ID,$H418,ENT_TIPO,$G418)=0),"ERRO: origem inexistente",IF(AND($I418&lt;&gt;"EXTERNO",COUNTIFS(ENT_ID,$J418,ENT_TIPO,$I418)=0),"ERRO: destino inexistente",IF(AND($K418&lt;&gt;"",COUNTIF(CAT_ID,$K418)=0),"ERRO: categoria inexistente",IF(AND($L418&lt;&gt;"",COUNTIF(SUB_ID,$L418)=0),"ERRO: subcategoria inexistente",IF(AND($L418&lt;&gt;"",$K418&lt;&gt;"",IFERROR(INDEX(SUB_CATID,MATCH($L418,SUB_ID,0)),"")&lt;&gt;$K418),"ERRO: subcategoria nao pertence a categoria",IF(AND($O418&lt;&gt;"",COUNTIF(P_ID,$O418)=0),"ERRO: parcela inexistente",IF(AND($N418&lt;&gt;"",COUNTIF(CM_ID,$N418)=0),"ERRO: compromisso inexistente","OK")))))))))))))</f>
        <v/>
      </c>
      <c r="AK418" s="35" t="str">
        <f aca="false">IF($B418="","",IF(AND($N418="",$O418="",$P418="",$Q418="",$R418=""),"","VINCULADO: "&amp;TRIM(IF($N418&lt;&gt;"",$N418&amp;" ","")&amp;IF($O418&lt;&gt;"",$O418&amp;" ","")&amp;IF($P418&lt;&gt;"",$P418&amp;" ","")&amp;IF($Q418&lt;&gt;"",$Q418&amp;" ","")&amp;IF($R418&lt;&gt;"",$R418,""))))</f>
        <v/>
      </c>
    </row>
    <row r="419" customFormat="false" ht="15" hidden="false" customHeight="false" outlineLevel="0" collapsed="false">
      <c r="A419" s="30" t="str">
        <f aca="false">IF($B419="","","LAN-"&amp;TEXT(ROW()-4,"000000"))</f>
        <v/>
      </c>
      <c r="B419" s="31"/>
      <c r="C419" s="32"/>
      <c r="D419" s="32"/>
      <c r="E419" s="32"/>
      <c r="F419" s="33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4" t="str">
        <f aca="false">IF($B419="","",YEAR($B419))</f>
        <v/>
      </c>
      <c r="U419" s="34" t="str">
        <f aca="false">IF($B419="","",MONTH($B419))</f>
        <v/>
      </c>
      <c r="V419" s="34" t="str">
        <f aca="false">IF($B419="","",YEAR($B419)*100+MONTH($B419))</f>
        <v/>
      </c>
      <c r="W419" s="35" t="str">
        <f aca="false">IF($D419="","",IFERROR(INDEX(MAP_CLASS,MATCH($D419,MAP_TIPO,0)),"TIPO INVALIDO"))</f>
        <v/>
      </c>
      <c r="X419" s="35" t="str">
        <f aca="false">IF($K419="","",IFERROR(INDEX(CAT_NOME,MATCH($K419,CAT_ID,0)),"?"))</f>
        <v/>
      </c>
      <c r="Y419" s="35" t="str">
        <f aca="false">IF($L419="","",IFERROR(INDEX(SUB_NOME,MATCH($L419,SUB_ID,0)),"?"))</f>
        <v/>
      </c>
      <c r="Z419" s="35" t="str">
        <f aca="false">IF($G419="","",IF($G419="EXTERNO","(Externo)",IFERROR(INDEX(ENT_NOME,MATCH($H419,ENT_ID,0)),"?")))</f>
        <v/>
      </c>
      <c r="AA419" s="35" t="str">
        <f aca="false">IF($I419="","",IF($I419="EXTERNO","(Externo)",IFERROR(INDEX(ENT_NOME,MATCH($J419,ENT_ID,0)),"?")))</f>
        <v/>
      </c>
      <c r="AB419" s="36" t="n">
        <f aca="false">IF($B419="",0,IF(AND($I419="CONTA",$G419&lt;&gt;"CONTA"),$F419,0))</f>
        <v>0</v>
      </c>
      <c r="AC419" s="36" t="n">
        <f aca="false">IF($B419="",0,IF(AND($G419="CONTA",$I419&lt;&gt;"CONTA"),$F419,0))</f>
        <v>0</v>
      </c>
      <c r="AD419" s="36" t="n">
        <f aca="false">IF($W419="RECEITA",$F419,0)</f>
        <v>0</v>
      </c>
      <c r="AE419" s="36" t="n">
        <f aca="false">IF($W419="DESPESA",$F419,0)</f>
        <v>0</v>
      </c>
      <c r="AF419" s="36" t="n">
        <f aca="false">IF($W419="RECEITA_FINANCEIRA",$F419,0)</f>
        <v>0</v>
      </c>
      <c r="AG419" s="36" t="n">
        <f aca="false">IF($B419="",0,IF($I419="CONTA",$F419,0)-IF($G419="CONTA",$F419,0))</f>
        <v>0</v>
      </c>
      <c r="AH419" s="36" t="n">
        <f aca="false">IF($B419="",0,IF($G419="CARTAO",$F419,0)-IF($I419="CARTAO",$F419,0))</f>
        <v>0</v>
      </c>
      <c r="AI419" s="36" t="n">
        <f aca="false">IF($B419="",0,IF($I419="INVESTIMENTO",$F419,0)-IF($G419="INVESTIMENTO",$F419,0))</f>
        <v>0</v>
      </c>
      <c r="AJ419" s="35" t="str">
        <f aca="false">IF($B419="","",IF(NOT(ISNUMBER($F419)),"ERRO: valor nao numerico",IF($F419&lt;=0,"ERRO: valor deve ser maior que zero",IF(COUNTIF(MAP_TIPO,$D419)=0,"ERRO: tipo de operacao nao cadastrado",IF(COUNTIF(LST_STATUS,$E419)=0,"ERRO: status invalido",IF(AND($G419="EXTERNO",$I419="EXTERNO"),"ERRO: origem e destino externos",IF(AND($G419&lt;&gt;"EXTERNO",COUNTIFS(ENT_ID,$H419,ENT_TIPO,$G419)=0),"ERRO: origem inexistente",IF(AND($I419&lt;&gt;"EXTERNO",COUNTIFS(ENT_ID,$J419,ENT_TIPO,$I419)=0),"ERRO: destino inexistente",IF(AND($K419&lt;&gt;"",COUNTIF(CAT_ID,$K419)=0),"ERRO: categoria inexistente",IF(AND($L419&lt;&gt;"",COUNTIF(SUB_ID,$L419)=0),"ERRO: subcategoria inexistente",IF(AND($L419&lt;&gt;"",$K419&lt;&gt;"",IFERROR(INDEX(SUB_CATID,MATCH($L419,SUB_ID,0)),"")&lt;&gt;$K419),"ERRO: subcategoria nao pertence a categoria",IF(AND($O419&lt;&gt;"",COUNTIF(P_ID,$O419)=0),"ERRO: parcela inexistente",IF(AND($N419&lt;&gt;"",COUNTIF(CM_ID,$N419)=0),"ERRO: compromisso inexistente","OK")))))))))))))</f>
        <v/>
      </c>
      <c r="AK419" s="35" t="str">
        <f aca="false">IF($B419="","",IF(AND($N419="",$O419="",$P419="",$Q419="",$R419=""),"","VINCULADO: "&amp;TRIM(IF($N419&lt;&gt;"",$N419&amp;" ","")&amp;IF($O419&lt;&gt;"",$O419&amp;" ","")&amp;IF($P419&lt;&gt;"",$P419&amp;" ","")&amp;IF($Q419&lt;&gt;"",$Q419&amp;" ","")&amp;IF($R419&lt;&gt;"",$R419,""))))</f>
        <v/>
      </c>
    </row>
    <row r="420" customFormat="false" ht="15" hidden="false" customHeight="false" outlineLevel="0" collapsed="false">
      <c r="A420" s="30" t="str">
        <f aca="false">IF($B420="","","LAN-"&amp;TEXT(ROW()-4,"000000"))</f>
        <v/>
      </c>
      <c r="B420" s="31"/>
      <c r="C420" s="32"/>
      <c r="D420" s="32"/>
      <c r="E420" s="32"/>
      <c r="F420" s="33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4" t="str">
        <f aca="false">IF($B420="","",YEAR($B420))</f>
        <v/>
      </c>
      <c r="U420" s="34" t="str">
        <f aca="false">IF($B420="","",MONTH($B420))</f>
        <v/>
      </c>
      <c r="V420" s="34" t="str">
        <f aca="false">IF($B420="","",YEAR($B420)*100+MONTH($B420))</f>
        <v/>
      </c>
      <c r="W420" s="35" t="str">
        <f aca="false">IF($D420="","",IFERROR(INDEX(MAP_CLASS,MATCH($D420,MAP_TIPO,0)),"TIPO INVALIDO"))</f>
        <v/>
      </c>
      <c r="X420" s="35" t="str">
        <f aca="false">IF($K420="","",IFERROR(INDEX(CAT_NOME,MATCH($K420,CAT_ID,0)),"?"))</f>
        <v/>
      </c>
      <c r="Y420" s="35" t="str">
        <f aca="false">IF($L420="","",IFERROR(INDEX(SUB_NOME,MATCH($L420,SUB_ID,0)),"?"))</f>
        <v/>
      </c>
      <c r="Z420" s="35" t="str">
        <f aca="false">IF($G420="","",IF($G420="EXTERNO","(Externo)",IFERROR(INDEX(ENT_NOME,MATCH($H420,ENT_ID,0)),"?")))</f>
        <v/>
      </c>
      <c r="AA420" s="35" t="str">
        <f aca="false">IF($I420="","",IF($I420="EXTERNO","(Externo)",IFERROR(INDEX(ENT_NOME,MATCH($J420,ENT_ID,0)),"?")))</f>
        <v/>
      </c>
      <c r="AB420" s="36" t="n">
        <f aca="false">IF($B420="",0,IF(AND($I420="CONTA",$G420&lt;&gt;"CONTA"),$F420,0))</f>
        <v>0</v>
      </c>
      <c r="AC420" s="36" t="n">
        <f aca="false">IF($B420="",0,IF(AND($G420="CONTA",$I420&lt;&gt;"CONTA"),$F420,0))</f>
        <v>0</v>
      </c>
      <c r="AD420" s="36" t="n">
        <f aca="false">IF($W420="RECEITA",$F420,0)</f>
        <v>0</v>
      </c>
      <c r="AE420" s="36" t="n">
        <f aca="false">IF($W420="DESPESA",$F420,0)</f>
        <v>0</v>
      </c>
      <c r="AF420" s="36" t="n">
        <f aca="false">IF($W420="RECEITA_FINANCEIRA",$F420,0)</f>
        <v>0</v>
      </c>
      <c r="AG420" s="36" t="n">
        <f aca="false">IF($B420="",0,IF($I420="CONTA",$F420,0)-IF($G420="CONTA",$F420,0))</f>
        <v>0</v>
      </c>
      <c r="AH420" s="36" t="n">
        <f aca="false">IF($B420="",0,IF($G420="CARTAO",$F420,0)-IF($I420="CARTAO",$F420,0))</f>
        <v>0</v>
      </c>
      <c r="AI420" s="36" t="n">
        <f aca="false">IF($B420="",0,IF($I420="INVESTIMENTO",$F420,0)-IF($G420="INVESTIMENTO",$F420,0))</f>
        <v>0</v>
      </c>
      <c r="AJ420" s="35" t="str">
        <f aca="false">IF($B420="","",IF(NOT(ISNUMBER($F420)),"ERRO: valor nao numerico",IF($F420&lt;=0,"ERRO: valor deve ser maior que zero",IF(COUNTIF(MAP_TIPO,$D420)=0,"ERRO: tipo de operacao nao cadastrado",IF(COUNTIF(LST_STATUS,$E420)=0,"ERRO: status invalido",IF(AND($G420="EXTERNO",$I420="EXTERNO"),"ERRO: origem e destino externos",IF(AND($G420&lt;&gt;"EXTERNO",COUNTIFS(ENT_ID,$H420,ENT_TIPO,$G420)=0),"ERRO: origem inexistente",IF(AND($I420&lt;&gt;"EXTERNO",COUNTIFS(ENT_ID,$J420,ENT_TIPO,$I420)=0),"ERRO: destino inexistente",IF(AND($K420&lt;&gt;"",COUNTIF(CAT_ID,$K420)=0),"ERRO: categoria inexistente",IF(AND($L420&lt;&gt;"",COUNTIF(SUB_ID,$L420)=0),"ERRO: subcategoria inexistente",IF(AND($L420&lt;&gt;"",$K420&lt;&gt;"",IFERROR(INDEX(SUB_CATID,MATCH($L420,SUB_ID,0)),"")&lt;&gt;$K420),"ERRO: subcategoria nao pertence a categoria",IF(AND($O420&lt;&gt;"",COUNTIF(P_ID,$O420)=0),"ERRO: parcela inexistente",IF(AND($N420&lt;&gt;"",COUNTIF(CM_ID,$N420)=0),"ERRO: compromisso inexistente","OK")))))))))))))</f>
        <v/>
      </c>
      <c r="AK420" s="35" t="str">
        <f aca="false">IF($B420="","",IF(AND($N420="",$O420="",$P420="",$Q420="",$R420=""),"","VINCULADO: "&amp;TRIM(IF($N420&lt;&gt;"",$N420&amp;" ","")&amp;IF($O420&lt;&gt;"",$O420&amp;" ","")&amp;IF($P420&lt;&gt;"",$P420&amp;" ","")&amp;IF($Q420&lt;&gt;"",$Q420&amp;" ","")&amp;IF($R420&lt;&gt;"",$R420,""))))</f>
        <v/>
      </c>
    </row>
    <row r="421" customFormat="false" ht="15" hidden="false" customHeight="false" outlineLevel="0" collapsed="false">
      <c r="A421" s="30" t="str">
        <f aca="false">IF($B421="","","LAN-"&amp;TEXT(ROW()-4,"000000"))</f>
        <v/>
      </c>
      <c r="B421" s="31"/>
      <c r="C421" s="32"/>
      <c r="D421" s="32"/>
      <c r="E421" s="32"/>
      <c r="F421" s="33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4" t="str">
        <f aca="false">IF($B421="","",YEAR($B421))</f>
        <v/>
      </c>
      <c r="U421" s="34" t="str">
        <f aca="false">IF($B421="","",MONTH($B421))</f>
        <v/>
      </c>
      <c r="V421" s="34" t="str">
        <f aca="false">IF($B421="","",YEAR($B421)*100+MONTH($B421))</f>
        <v/>
      </c>
      <c r="W421" s="35" t="str">
        <f aca="false">IF($D421="","",IFERROR(INDEX(MAP_CLASS,MATCH($D421,MAP_TIPO,0)),"TIPO INVALIDO"))</f>
        <v/>
      </c>
      <c r="X421" s="35" t="str">
        <f aca="false">IF($K421="","",IFERROR(INDEX(CAT_NOME,MATCH($K421,CAT_ID,0)),"?"))</f>
        <v/>
      </c>
      <c r="Y421" s="35" t="str">
        <f aca="false">IF($L421="","",IFERROR(INDEX(SUB_NOME,MATCH($L421,SUB_ID,0)),"?"))</f>
        <v/>
      </c>
      <c r="Z421" s="35" t="str">
        <f aca="false">IF($G421="","",IF($G421="EXTERNO","(Externo)",IFERROR(INDEX(ENT_NOME,MATCH($H421,ENT_ID,0)),"?")))</f>
        <v/>
      </c>
      <c r="AA421" s="35" t="str">
        <f aca="false">IF($I421="","",IF($I421="EXTERNO","(Externo)",IFERROR(INDEX(ENT_NOME,MATCH($J421,ENT_ID,0)),"?")))</f>
        <v/>
      </c>
      <c r="AB421" s="36" t="n">
        <f aca="false">IF($B421="",0,IF(AND($I421="CONTA",$G421&lt;&gt;"CONTA"),$F421,0))</f>
        <v>0</v>
      </c>
      <c r="AC421" s="36" t="n">
        <f aca="false">IF($B421="",0,IF(AND($G421="CONTA",$I421&lt;&gt;"CONTA"),$F421,0))</f>
        <v>0</v>
      </c>
      <c r="AD421" s="36" t="n">
        <f aca="false">IF($W421="RECEITA",$F421,0)</f>
        <v>0</v>
      </c>
      <c r="AE421" s="36" t="n">
        <f aca="false">IF($W421="DESPESA",$F421,0)</f>
        <v>0</v>
      </c>
      <c r="AF421" s="36" t="n">
        <f aca="false">IF($W421="RECEITA_FINANCEIRA",$F421,0)</f>
        <v>0</v>
      </c>
      <c r="AG421" s="36" t="n">
        <f aca="false">IF($B421="",0,IF($I421="CONTA",$F421,0)-IF($G421="CONTA",$F421,0))</f>
        <v>0</v>
      </c>
      <c r="AH421" s="36" t="n">
        <f aca="false">IF($B421="",0,IF($G421="CARTAO",$F421,0)-IF($I421="CARTAO",$F421,0))</f>
        <v>0</v>
      </c>
      <c r="AI421" s="36" t="n">
        <f aca="false">IF($B421="",0,IF($I421="INVESTIMENTO",$F421,0)-IF($G421="INVESTIMENTO",$F421,0))</f>
        <v>0</v>
      </c>
      <c r="AJ421" s="35" t="str">
        <f aca="false">IF($B421="","",IF(NOT(ISNUMBER($F421)),"ERRO: valor nao numerico",IF($F421&lt;=0,"ERRO: valor deve ser maior que zero",IF(COUNTIF(MAP_TIPO,$D421)=0,"ERRO: tipo de operacao nao cadastrado",IF(COUNTIF(LST_STATUS,$E421)=0,"ERRO: status invalido",IF(AND($G421="EXTERNO",$I421="EXTERNO"),"ERRO: origem e destino externos",IF(AND($G421&lt;&gt;"EXTERNO",COUNTIFS(ENT_ID,$H421,ENT_TIPO,$G421)=0),"ERRO: origem inexistente",IF(AND($I421&lt;&gt;"EXTERNO",COUNTIFS(ENT_ID,$J421,ENT_TIPO,$I421)=0),"ERRO: destino inexistente",IF(AND($K421&lt;&gt;"",COUNTIF(CAT_ID,$K421)=0),"ERRO: categoria inexistente",IF(AND($L421&lt;&gt;"",COUNTIF(SUB_ID,$L421)=0),"ERRO: subcategoria inexistente",IF(AND($L421&lt;&gt;"",$K421&lt;&gt;"",IFERROR(INDEX(SUB_CATID,MATCH($L421,SUB_ID,0)),"")&lt;&gt;$K421),"ERRO: subcategoria nao pertence a categoria",IF(AND($O421&lt;&gt;"",COUNTIF(P_ID,$O421)=0),"ERRO: parcela inexistente",IF(AND($N421&lt;&gt;"",COUNTIF(CM_ID,$N421)=0),"ERRO: compromisso inexistente","OK")))))))))))))</f>
        <v/>
      </c>
      <c r="AK421" s="35" t="str">
        <f aca="false">IF($B421="","",IF(AND($N421="",$O421="",$P421="",$Q421="",$R421=""),"","VINCULADO: "&amp;TRIM(IF($N421&lt;&gt;"",$N421&amp;" ","")&amp;IF($O421&lt;&gt;"",$O421&amp;" ","")&amp;IF($P421&lt;&gt;"",$P421&amp;" ","")&amp;IF($Q421&lt;&gt;"",$Q421&amp;" ","")&amp;IF($R421&lt;&gt;"",$R421,""))))</f>
        <v/>
      </c>
    </row>
    <row r="422" customFormat="false" ht="15" hidden="false" customHeight="false" outlineLevel="0" collapsed="false">
      <c r="A422" s="30" t="str">
        <f aca="false">IF($B422="","","LAN-"&amp;TEXT(ROW()-4,"000000"))</f>
        <v/>
      </c>
      <c r="B422" s="31"/>
      <c r="C422" s="32"/>
      <c r="D422" s="32"/>
      <c r="E422" s="32"/>
      <c r="F422" s="33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4" t="str">
        <f aca="false">IF($B422="","",YEAR($B422))</f>
        <v/>
      </c>
      <c r="U422" s="34" t="str">
        <f aca="false">IF($B422="","",MONTH($B422))</f>
        <v/>
      </c>
      <c r="V422" s="34" t="str">
        <f aca="false">IF($B422="","",YEAR($B422)*100+MONTH($B422))</f>
        <v/>
      </c>
      <c r="W422" s="35" t="str">
        <f aca="false">IF($D422="","",IFERROR(INDEX(MAP_CLASS,MATCH($D422,MAP_TIPO,0)),"TIPO INVALIDO"))</f>
        <v/>
      </c>
      <c r="X422" s="35" t="str">
        <f aca="false">IF($K422="","",IFERROR(INDEX(CAT_NOME,MATCH($K422,CAT_ID,0)),"?"))</f>
        <v/>
      </c>
      <c r="Y422" s="35" t="str">
        <f aca="false">IF($L422="","",IFERROR(INDEX(SUB_NOME,MATCH($L422,SUB_ID,0)),"?"))</f>
        <v/>
      </c>
      <c r="Z422" s="35" t="str">
        <f aca="false">IF($G422="","",IF($G422="EXTERNO","(Externo)",IFERROR(INDEX(ENT_NOME,MATCH($H422,ENT_ID,0)),"?")))</f>
        <v/>
      </c>
      <c r="AA422" s="35" t="str">
        <f aca="false">IF($I422="","",IF($I422="EXTERNO","(Externo)",IFERROR(INDEX(ENT_NOME,MATCH($J422,ENT_ID,0)),"?")))</f>
        <v/>
      </c>
      <c r="AB422" s="36" t="n">
        <f aca="false">IF($B422="",0,IF(AND($I422="CONTA",$G422&lt;&gt;"CONTA"),$F422,0))</f>
        <v>0</v>
      </c>
      <c r="AC422" s="36" t="n">
        <f aca="false">IF($B422="",0,IF(AND($G422="CONTA",$I422&lt;&gt;"CONTA"),$F422,0))</f>
        <v>0</v>
      </c>
      <c r="AD422" s="36" t="n">
        <f aca="false">IF($W422="RECEITA",$F422,0)</f>
        <v>0</v>
      </c>
      <c r="AE422" s="36" t="n">
        <f aca="false">IF($W422="DESPESA",$F422,0)</f>
        <v>0</v>
      </c>
      <c r="AF422" s="36" t="n">
        <f aca="false">IF($W422="RECEITA_FINANCEIRA",$F422,0)</f>
        <v>0</v>
      </c>
      <c r="AG422" s="36" t="n">
        <f aca="false">IF($B422="",0,IF($I422="CONTA",$F422,0)-IF($G422="CONTA",$F422,0))</f>
        <v>0</v>
      </c>
      <c r="AH422" s="36" t="n">
        <f aca="false">IF($B422="",0,IF($G422="CARTAO",$F422,0)-IF($I422="CARTAO",$F422,0))</f>
        <v>0</v>
      </c>
      <c r="AI422" s="36" t="n">
        <f aca="false">IF($B422="",0,IF($I422="INVESTIMENTO",$F422,0)-IF($G422="INVESTIMENTO",$F422,0))</f>
        <v>0</v>
      </c>
      <c r="AJ422" s="35" t="str">
        <f aca="false">IF($B422="","",IF(NOT(ISNUMBER($F422)),"ERRO: valor nao numerico",IF($F422&lt;=0,"ERRO: valor deve ser maior que zero",IF(COUNTIF(MAP_TIPO,$D422)=0,"ERRO: tipo de operacao nao cadastrado",IF(COUNTIF(LST_STATUS,$E422)=0,"ERRO: status invalido",IF(AND($G422="EXTERNO",$I422="EXTERNO"),"ERRO: origem e destino externos",IF(AND($G422&lt;&gt;"EXTERNO",COUNTIFS(ENT_ID,$H422,ENT_TIPO,$G422)=0),"ERRO: origem inexistente",IF(AND($I422&lt;&gt;"EXTERNO",COUNTIFS(ENT_ID,$J422,ENT_TIPO,$I422)=0),"ERRO: destino inexistente",IF(AND($K422&lt;&gt;"",COUNTIF(CAT_ID,$K422)=0),"ERRO: categoria inexistente",IF(AND($L422&lt;&gt;"",COUNTIF(SUB_ID,$L422)=0),"ERRO: subcategoria inexistente",IF(AND($L422&lt;&gt;"",$K422&lt;&gt;"",IFERROR(INDEX(SUB_CATID,MATCH($L422,SUB_ID,0)),"")&lt;&gt;$K422),"ERRO: subcategoria nao pertence a categoria",IF(AND($O422&lt;&gt;"",COUNTIF(P_ID,$O422)=0),"ERRO: parcela inexistente",IF(AND($N422&lt;&gt;"",COUNTIF(CM_ID,$N422)=0),"ERRO: compromisso inexistente","OK")))))))))))))</f>
        <v/>
      </c>
      <c r="AK422" s="35" t="str">
        <f aca="false">IF($B422="","",IF(AND($N422="",$O422="",$P422="",$Q422="",$R422=""),"","VINCULADO: "&amp;TRIM(IF($N422&lt;&gt;"",$N422&amp;" ","")&amp;IF($O422&lt;&gt;"",$O422&amp;" ","")&amp;IF($P422&lt;&gt;"",$P422&amp;" ","")&amp;IF($Q422&lt;&gt;"",$Q422&amp;" ","")&amp;IF($R422&lt;&gt;"",$R422,""))))</f>
        <v/>
      </c>
    </row>
    <row r="423" customFormat="false" ht="15" hidden="false" customHeight="false" outlineLevel="0" collapsed="false">
      <c r="A423" s="30" t="str">
        <f aca="false">IF($B423="","","LAN-"&amp;TEXT(ROW()-4,"000000"))</f>
        <v/>
      </c>
      <c r="B423" s="31"/>
      <c r="C423" s="32"/>
      <c r="D423" s="32"/>
      <c r="E423" s="32"/>
      <c r="F423" s="33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4" t="str">
        <f aca="false">IF($B423="","",YEAR($B423))</f>
        <v/>
      </c>
      <c r="U423" s="34" t="str">
        <f aca="false">IF($B423="","",MONTH($B423))</f>
        <v/>
      </c>
      <c r="V423" s="34" t="str">
        <f aca="false">IF($B423="","",YEAR($B423)*100+MONTH($B423))</f>
        <v/>
      </c>
      <c r="W423" s="35" t="str">
        <f aca="false">IF($D423="","",IFERROR(INDEX(MAP_CLASS,MATCH($D423,MAP_TIPO,0)),"TIPO INVALIDO"))</f>
        <v/>
      </c>
      <c r="X423" s="35" t="str">
        <f aca="false">IF($K423="","",IFERROR(INDEX(CAT_NOME,MATCH($K423,CAT_ID,0)),"?"))</f>
        <v/>
      </c>
      <c r="Y423" s="35" t="str">
        <f aca="false">IF($L423="","",IFERROR(INDEX(SUB_NOME,MATCH($L423,SUB_ID,0)),"?"))</f>
        <v/>
      </c>
      <c r="Z423" s="35" t="str">
        <f aca="false">IF($G423="","",IF($G423="EXTERNO","(Externo)",IFERROR(INDEX(ENT_NOME,MATCH($H423,ENT_ID,0)),"?")))</f>
        <v/>
      </c>
      <c r="AA423" s="35" t="str">
        <f aca="false">IF($I423="","",IF($I423="EXTERNO","(Externo)",IFERROR(INDEX(ENT_NOME,MATCH($J423,ENT_ID,0)),"?")))</f>
        <v/>
      </c>
      <c r="AB423" s="36" t="n">
        <f aca="false">IF($B423="",0,IF(AND($I423="CONTA",$G423&lt;&gt;"CONTA"),$F423,0))</f>
        <v>0</v>
      </c>
      <c r="AC423" s="36" t="n">
        <f aca="false">IF($B423="",0,IF(AND($G423="CONTA",$I423&lt;&gt;"CONTA"),$F423,0))</f>
        <v>0</v>
      </c>
      <c r="AD423" s="36" t="n">
        <f aca="false">IF($W423="RECEITA",$F423,0)</f>
        <v>0</v>
      </c>
      <c r="AE423" s="36" t="n">
        <f aca="false">IF($W423="DESPESA",$F423,0)</f>
        <v>0</v>
      </c>
      <c r="AF423" s="36" t="n">
        <f aca="false">IF($W423="RECEITA_FINANCEIRA",$F423,0)</f>
        <v>0</v>
      </c>
      <c r="AG423" s="36" t="n">
        <f aca="false">IF($B423="",0,IF($I423="CONTA",$F423,0)-IF($G423="CONTA",$F423,0))</f>
        <v>0</v>
      </c>
      <c r="AH423" s="36" t="n">
        <f aca="false">IF($B423="",0,IF($G423="CARTAO",$F423,0)-IF($I423="CARTAO",$F423,0))</f>
        <v>0</v>
      </c>
      <c r="AI423" s="36" t="n">
        <f aca="false">IF($B423="",0,IF($I423="INVESTIMENTO",$F423,0)-IF($G423="INVESTIMENTO",$F423,0))</f>
        <v>0</v>
      </c>
      <c r="AJ423" s="35" t="str">
        <f aca="false">IF($B423="","",IF(NOT(ISNUMBER($F423)),"ERRO: valor nao numerico",IF($F423&lt;=0,"ERRO: valor deve ser maior que zero",IF(COUNTIF(MAP_TIPO,$D423)=0,"ERRO: tipo de operacao nao cadastrado",IF(COUNTIF(LST_STATUS,$E423)=0,"ERRO: status invalido",IF(AND($G423="EXTERNO",$I423="EXTERNO"),"ERRO: origem e destino externos",IF(AND($G423&lt;&gt;"EXTERNO",COUNTIFS(ENT_ID,$H423,ENT_TIPO,$G423)=0),"ERRO: origem inexistente",IF(AND($I423&lt;&gt;"EXTERNO",COUNTIFS(ENT_ID,$J423,ENT_TIPO,$I423)=0),"ERRO: destino inexistente",IF(AND($K423&lt;&gt;"",COUNTIF(CAT_ID,$K423)=0),"ERRO: categoria inexistente",IF(AND($L423&lt;&gt;"",COUNTIF(SUB_ID,$L423)=0),"ERRO: subcategoria inexistente",IF(AND($L423&lt;&gt;"",$K423&lt;&gt;"",IFERROR(INDEX(SUB_CATID,MATCH($L423,SUB_ID,0)),"")&lt;&gt;$K423),"ERRO: subcategoria nao pertence a categoria",IF(AND($O423&lt;&gt;"",COUNTIF(P_ID,$O423)=0),"ERRO: parcela inexistente",IF(AND($N423&lt;&gt;"",COUNTIF(CM_ID,$N423)=0),"ERRO: compromisso inexistente","OK")))))))))))))</f>
        <v/>
      </c>
      <c r="AK423" s="35" t="str">
        <f aca="false">IF($B423="","",IF(AND($N423="",$O423="",$P423="",$Q423="",$R423=""),"","VINCULADO: "&amp;TRIM(IF($N423&lt;&gt;"",$N423&amp;" ","")&amp;IF($O423&lt;&gt;"",$O423&amp;" ","")&amp;IF($P423&lt;&gt;"",$P423&amp;" ","")&amp;IF($Q423&lt;&gt;"",$Q423&amp;" ","")&amp;IF($R423&lt;&gt;"",$R423,""))))</f>
        <v/>
      </c>
    </row>
    <row r="424" customFormat="false" ht="15" hidden="false" customHeight="false" outlineLevel="0" collapsed="false">
      <c r="A424" s="30" t="str">
        <f aca="false">IF($B424="","","LAN-"&amp;TEXT(ROW()-4,"000000"))</f>
        <v/>
      </c>
      <c r="B424" s="31"/>
      <c r="C424" s="32"/>
      <c r="D424" s="32"/>
      <c r="E424" s="32"/>
      <c r="F424" s="33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4" t="str">
        <f aca="false">IF($B424="","",YEAR($B424))</f>
        <v/>
      </c>
      <c r="U424" s="34" t="str">
        <f aca="false">IF($B424="","",MONTH($B424))</f>
        <v/>
      </c>
      <c r="V424" s="34" t="str">
        <f aca="false">IF($B424="","",YEAR($B424)*100+MONTH($B424))</f>
        <v/>
      </c>
      <c r="W424" s="35" t="str">
        <f aca="false">IF($D424="","",IFERROR(INDEX(MAP_CLASS,MATCH($D424,MAP_TIPO,0)),"TIPO INVALIDO"))</f>
        <v/>
      </c>
      <c r="X424" s="35" t="str">
        <f aca="false">IF($K424="","",IFERROR(INDEX(CAT_NOME,MATCH($K424,CAT_ID,0)),"?"))</f>
        <v/>
      </c>
      <c r="Y424" s="35" t="str">
        <f aca="false">IF($L424="","",IFERROR(INDEX(SUB_NOME,MATCH($L424,SUB_ID,0)),"?"))</f>
        <v/>
      </c>
      <c r="Z424" s="35" t="str">
        <f aca="false">IF($G424="","",IF($G424="EXTERNO","(Externo)",IFERROR(INDEX(ENT_NOME,MATCH($H424,ENT_ID,0)),"?")))</f>
        <v/>
      </c>
      <c r="AA424" s="35" t="str">
        <f aca="false">IF($I424="","",IF($I424="EXTERNO","(Externo)",IFERROR(INDEX(ENT_NOME,MATCH($J424,ENT_ID,0)),"?")))</f>
        <v/>
      </c>
      <c r="AB424" s="36" t="n">
        <f aca="false">IF($B424="",0,IF(AND($I424="CONTA",$G424&lt;&gt;"CONTA"),$F424,0))</f>
        <v>0</v>
      </c>
      <c r="AC424" s="36" t="n">
        <f aca="false">IF($B424="",0,IF(AND($G424="CONTA",$I424&lt;&gt;"CONTA"),$F424,0))</f>
        <v>0</v>
      </c>
      <c r="AD424" s="36" t="n">
        <f aca="false">IF($W424="RECEITA",$F424,0)</f>
        <v>0</v>
      </c>
      <c r="AE424" s="36" t="n">
        <f aca="false">IF($W424="DESPESA",$F424,0)</f>
        <v>0</v>
      </c>
      <c r="AF424" s="36" t="n">
        <f aca="false">IF($W424="RECEITA_FINANCEIRA",$F424,0)</f>
        <v>0</v>
      </c>
      <c r="AG424" s="36" t="n">
        <f aca="false">IF($B424="",0,IF($I424="CONTA",$F424,0)-IF($G424="CONTA",$F424,0))</f>
        <v>0</v>
      </c>
      <c r="AH424" s="36" t="n">
        <f aca="false">IF($B424="",0,IF($G424="CARTAO",$F424,0)-IF($I424="CARTAO",$F424,0))</f>
        <v>0</v>
      </c>
      <c r="AI424" s="36" t="n">
        <f aca="false">IF($B424="",0,IF($I424="INVESTIMENTO",$F424,0)-IF($G424="INVESTIMENTO",$F424,0))</f>
        <v>0</v>
      </c>
      <c r="AJ424" s="35" t="str">
        <f aca="false">IF($B424="","",IF(NOT(ISNUMBER($F424)),"ERRO: valor nao numerico",IF($F424&lt;=0,"ERRO: valor deve ser maior que zero",IF(COUNTIF(MAP_TIPO,$D424)=0,"ERRO: tipo de operacao nao cadastrado",IF(COUNTIF(LST_STATUS,$E424)=0,"ERRO: status invalido",IF(AND($G424="EXTERNO",$I424="EXTERNO"),"ERRO: origem e destino externos",IF(AND($G424&lt;&gt;"EXTERNO",COUNTIFS(ENT_ID,$H424,ENT_TIPO,$G424)=0),"ERRO: origem inexistente",IF(AND($I424&lt;&gt;"EXTERNO",COUNTIFS(ENT_ID,$J424,ENT_TIPO,$I424)=0),"ERRO: destino inexistente",IF(AND($K424&lt;&gt;"",COUNTIF(CAT_ID,$K424)=0),"ERRO: categoria inexistente",IF(AND($L424&lt;&gt;"",COUNTIF(SUB_ID,$L424)=0),"ERRO: subcategoria inexistente",IF(AND($L424&lt;&gt;"",$K424&lt;&gt;"",IFERROR(INDEX(SUB_CATID,MATCH($L424,SUB_ID,0)),"")&lt;&gt;$K424),"ERRO: subcategoria nao pertence a categoria",IF(AND($O424&lt;&gt;"",COUNTIF(P_ID,$O424)=0),"ERRO: parcela inexistente",IF(AND($N424&lt;&gt;"",COUNTIF(CM_ID,$N424)=0),"ERRO: compromisso inexistente","OK")))))))))))))</f>
        <v/>
      </c>
      <c r="AK424" s="35" t="str">
        <f aca="false">IF($B424="","",IF(AND($N424="",$O424="",$P424="",$Q424="",$R424=""),"","VINCULADO: "&amp;TRIM(IF($N424&lt;&gt;"",$N424&amp;" ","")&amp;IF($O424&lt;&gt;"",$O424&amp;" ","")&amp;IF($P424&lt;&gt;"",$P424&amp;" ","")&amp;IF($Q424&lt;&gt;"",$Q424&amp;" ","")&amp;IF($R424&lt;&gt;"",$R424,""))))</f>
        <v/>
      </c>
    </row>
    <row r="425" customFormat="false" ht="15" hidden="false" customHeight="false" outlineLevel="0" collapsed="false">
      <c r="A425" s="30" t="str">
        <f aca="false">IF($B425="","","LAN-"&amp;TEXT(ROW()-4,"000000"))</f>
        <v/>
      </c>
      <c r="B425" s="31"/>
      <c r="C425" s="32"/>
      <c r="D425" s="32"/>
      <c r="E425" s="32"/>
      <c r="F425" s="33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4" t="str">
        <f aca="false">IF($B425="","",YEAR($B425))</f>
        <v/>
      </c>
      <c r="U425" s="34" t="str">
        <f aca="false">IF($B425="","",MONTH($B425))</f>
        <v/>
      </c>
      <c r="V425" s="34" t="str">
        <f aca="false">IF($B425="","",YEAR($B425)*100+MONTH($B425))</f>
        <v/>
      </c>
      <c r="W425" s="35" t="str">
        <f aca="false">IF($D425="","",IFERROR(INDEX(MAP_CLASS,MATCH($D425,MAP_TIPO,0)),"TIPO INVALIDO"))</f>
        <v/>
      </c>
      <c r="X425" s="35" t="str">
        <f aca="false">IF($K425="","",IFERROR(INDEX(CAT_NOME,MATCH($K425,CAT_ID,0)),"?"))</f>
        <v/>
      </c>
      <c r="Y425" s="35" t="str">
        <f aca="false">IF($L425="","",IFERROR(INDEX(SUB_NOME,MATCH($L425,SUB_ID,0)),"?"))</f>
        <v/>
      </c>
      <c r="Z425" s="35" t="str">
        <f aca="false">IF($G425="","",IF($G425="EXTERNO","(Externo)",IFERROR(INDEX(ENT_NOME,MATCH($H425,ENT_ID,0)),"?")))</f>
        <v/>
      </c>
      <c r="AA425" s="35" t="str">
        <f aca="false">IF($I425="","",IF($I425="EXTERNO","(Externo)",IFERROR(INDEX(ENT_NOME,MATCH($J425,ENT_ID,0)),"?")))</f>
        <v/>
      </c>
      <c r="AB425" s="36" t="n">
        <f aca="false">IF($B425="",0,IF(AND($I425="CONTA",$G425&lt;&gt;"CONTA"),$F425,0))</f>
        <v>0</v>
      </c>
      <c r="AC425" s="36" t="n">
        <f aca="false">IF($B425="",0,IF(AND($G425="CONTA",$I425&lt;&gt;"CONTA"),$F425,0))</f>
        <v>0</v>
      </c>
      <c r="AD425" s="36" t="n">
        <f aca="false">IF($W425="RECEITA",$F425,0)</f>
        <v>0</v>
      </c>
      <c r="AE425" s="36" t="n">
        <f aca="false">IF($W425="DESPESA",$F425,0)</f>
        <v>0</v>
      </c>
      <c r="AF425" s="36" t="n">
        <f aca="false">IF($W425="RECEITA_FINANCEIRA",$F425,0)</f>
        <v>0</v>
      </c>
      <c r="AG425" s="36" t="n">
        <f aca="false">IF($B425="",0,IF($I425="CONTA",$F425,0)-IF($G425="CONTA",$F425,0))</f>
        <v>0</v>
      </c>
      <c r="AH425" s="36" t="n">
        <f aca="false">IF($B425="",0,IF($G425="CARTAO",$F425,0)-IF($I425="CARTAO",$F425,0))</f>
        <v>0</v>
      </c>
      <c r="AI425" s="36" t="n">
        <f aca="false">IF($B425="",0,IF($I425="INVESTIMENTO",$F425,0)-IF($G425="INVESTIMENTO",$F425,0))</f>
        <v>0</v>
      </c>
      <c r="AJ425" s="35" t="str">
        <f aca="false">IF($B425="","",IF(NOT(ISNUMBER($F425)),"ERRO: valor nao numerico",IF($F425&lt;=0,"ERRO: valor deve ser maior que zero",IF(COUNTIF(MAP_TIPO,$D425)=0,"ERRO: tipo de operacao nao cadastrado",IF(COUNTIF(LST_STATUS,$E425)=0,"ERRO: status invalido",IF(AND($G425="EXTERNO",$I425="EXTERNO"),"ERRO: origem e destino externos",IF(AND($G425&lt;&gt;"EXTERNO",COUNTIFS(ENT_ID,$H425,ENT_TIPO,$G425)=0),"ERRO: origem inexistente",IF(AND($I425&lt;&gt;"EXTERNO",COUNTIFS(ENT_ID,$J425,ENT_TIPO,$I425)=0),"ERRO: destino inexistente",IF(AND($K425&lt;&gt;"",COUNTIF(CAT_ID,$K425)=0),"ERRO: categoria inexistente",IF(AND($L425&lt;&gt;"",COUNTIF(SUB_ID,$L425)=0),"ERRO: subcategoria inexistente",IF(AND($L425&lt;&gt;"",$K425&lt;&gt;"",IFERROR(INDEX(SUB_CATID,MATCH($L425,SUB_ID,0)),"")&lt;&gt;$K425),"ERRO: subcategoria nao pertence a categoria",IF(AND($O425&lt;&gt;"",COUNTIF(P_ID,$O425)=0),"ERRO: parcela inexistente",IF(AND($N425&lt;&gt;"",COUNTIF(CM_ID,$N425)=0),"ERRO: compromisso inexistente","OK")))))))))))))</f>
        <v/>
      </c>
      <c r="AK425" s="35" t="str">
        <f aca="false">IF($B425="","",IF(AND($N425="",$O425="",$P425="",$Q425="",$R425=""),"","VINCULADO: "&amp;TRIM(IF($N425&lt;&gt;"",$N425&amp;" ","")&amp;IF($O425&lt;&gt;"",$O425&amp;" ","")&amp;IF($P425&lt;&gt;"",$P425&amp;" ","")&amp;IF($Q425&lt;&gt;"",$Q425&amp;" ","")&amp;IF($R425&lt;&gt;"",$R425,""))))</f>
        <v/>
      </c>
    </row>
    <row r="426" customFormat="false" ht="15" hidden="false" customHeight="false" outlineLevel="0" collapsed="false">
      <c r="A426" s="30" t="str">
        <f aca="false">IF($B426="","","LAN-"&amp;TEXT(ROW()-4,"000000"))</f>
        <v/>
      </c>
      <c r="B426" s="31"/>
      <c r="C426" s="32"/>
      <c r="D426" s="32"/>
      <c r="E426" s="32"/>
      <c r="F426" s="33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4" t="str">
        <f aca="false">IF($B426="","",YEAR($B426))</f>
        <v/>
      </c>
      <c r="U426" s="34" t="str">
        <f aca="false">IF($B426="","",MONTH($B426))</f>
        <v/>
      </c>
      <c r="V426" s="34" t="str">
        <f aca="false">IF($B426="","",YEAR($B426)*100+MONTH($B426))</f>
        <v/>
      </c>
      <c r="W426" s="35" t="str">
        <f aca="false">IF($D426="","",IFERROR(INDEX(MAP_CLASS,MATCH($D426,MAP_TIPO,0)),"TIPO INVALIDO"))</f>
        <v/>
      </c>
      <c r="X426" s="35" t="str">
        <f aca="false">IF($K426="","",IFERROR(INDEX(CAT_NOME,MATCH($K426,CAT_ID,0)),"?"))</f>
        <v/>
      </c>
      <c r="Y426" s="35" t="str">
        <f aca="false">IF($L426="","",IFERROR(INDEX(SUB_NOME,MATCH($L426,SUB_ID,0)),"?"))</f>
        <v/>
      </c>
      <c r="Z426" s="35" t="str">
        <f aca="false">IF($G426="","",IF($G426="EXTERNO","(Externo)",IFERROR(INDEX(ENT_NOME,MATCH($H426,ENT_ID,0)),"?")))</f>
        <v/>
      </c>
      <c r="AA426" s="35" t="str">
        <f aca="false">IF($I426="","",IF($I426="EXTERNO","(Externo)",IFERROR(INDEX(ENT_NOME,MATCH($J426,ENT_ID,0)),"?")))</f>
        <v/>
      </c>
      <c r="AB426" s="36" t="n">
        <f aca="false">IF($B426="",0,IF(AND($I426="CONTA",$G426&lt;&gt;"CONTA"),$F426,0))</f>
        <v>0</v>
      </c>
      <c r="AC426" s="36" t="n">
        <f aca="false">IF($B426="",0,IF(AND($G426="CONTA",$I426&lt;&gt;"CONTA"),$F426,0))</f>
        <v>0</v>
      </c>
      <c r="AD426" s="36" t="n">
        <f aca="false">IF($W426="RECEITA",$F426,0)</f>
        <v>0</v>
      </c>
      <c r="AE426" s="36" t="n">
        <f aca="false">IF($W426="DESPESA",$F426,0)</f>
        <v>0</v>
      </c>
      <c r="AF426" s="36" t="n">
        <f aca="false">IF($W426="RECEITA_FINANCEIRA",$F426,0)</f>
        <v>0</v>
      </c>
      <c r="AG426" s="36" t="n">
        <f aca="false">IF($B426="",0,IF($I426="CONTA",$F426,0)-IF($G426="CONTA",$F426,0))</f>
        <v>0</v>
      </c>
      <c r="AH426" s="36" t="n">
        <f aca="false">IF($B426="",0,IF($G426="CARTAO",$F426,0)-IF($I426="CARTAO",$F426,0))</f>
        <v>0</v>
      </c>
      <c r="AI426" s="36" t="n">
        <f aca="false">IF($B426="",0,IF($I426="INVESTIMENTO",$F426,0)-IF($G426="INVESTIMENTO",$F426,0))</f>
        <v>0</v>
      </c>
      <c r="AJ426" s="35" t="str">
        <f aca="false">IF($B426="","",IF(NOT(ISNUMBER($F426)),"ERRO: valor nao numerico",IF($F426&lt;=0,"ERRO: valor deve ser maior que zero",IF(COUNTIF(MAP_TIPO,$D426)=0,"ERRO: tipo de operacao nao cadastrado",IF(COUNTIF(LST_STATUS,$E426)=0,"ERRO: status invalido",IF(AND($G426="EXTERNO",$I426="EXTERNO"),"ERRO: origem e destino externos",IF(AND($G426&lt;&gt;"EXTERNO",COUNTIFS(ENT_ID,$H426,ENT_TIPO,$G426)=0),"ERRO: origem inexistente",IF(AND($I426&lt;&gt;"EXTERNO",COUNTIFS(ENT_ID,$J426,ENT_TIPO,$I426)=0),"ERRO: destino inexistente",IF(AND($K426&lt;&gt;"",COUNTIF(CAT_ID,$K426)=0),"ERRO: categoria inexistente",IF(AND($L426&lt;&gt;"",COUNTIF(SUB_ID,$L426)=0),"ERRO: subcategoria inexistente",IF(AND($L426&lt;&gt;"",$K426&lt;&gt;"",IFERROR(INDEX(SUB_CATID,MATCH($L426,SUB_ID,0)),"")&lt;&gt;$K426),"ERRO: subcategoria nao pertence a categoria",IF(AND($O426&lt;&gt;"",COUNTIF(P_ID,$O426)=0),"ERRO: parcela inexistente",IF(AND($N426&lt;&gt;"",COUNTIF(CM_ID,$N426)=0),"ERRO: compromisso inexistente","OK")))))))))))))</f>
        <v/>
      </c>
      <c r="AK426" s="35" t="str">
        <f aca="false">IF($B426="","",IF(AND($N426="",$O426="",$P426="",$Q426="",$R426=""),"","VINCULADO: "&amp;TRIM(IF($N426&lt;&gt;"",$N426&amp;" ","")&amp;IF($O426&lt;&gt;"",$O426&amp;" ","")&amp;IF($P426&lt;&gt;"",$P426&amp;" ","")&amp;IF($Q426&lt;&gt;"",$Q426&amp;" ","")&amp;IF($R426&lt;&gt;"",$R426,""))))</f>
        <v/>
      </c>
    </row>
    <row r="427" customFormat="false" ht="15" hidden="false" customHeight="false" outlineLevel="0" collapsed="false">
      <c r="A427" s="30" t="str">
        <f aca="false">IF($B427="","","LAN-"&amp;TEXT(ROW()-4,"000000"))</f>
        <v/>
      </c>
      <c r="B427" s="31"/>
      <c r="C427" s="32"/>
      <c r="D427" s="32"/>
      <c r="E427" s="32"/>
      <c r="F427" s="33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4" t="str">
        <f aca="false">IF($B427="","",YEAR($B427))</f>
        <v/>
      </c>
      <c r="U427" s="34" t="str">
        <f aca="false">IF($B427="","",MONTH($B427))</f>
        <v/>
      </c>
      <c r="V427" s="34" t="str">
        <f aca="false">IF($B427="","",YEAR($B427)*100+MONTH($B427))</f>
        <v/>
      </c>
      <c r="W427" s="35" t="str">
        <f aca="false">IF($D427="","",IFERROR(INDEX(MAP_CLASS,MATCH($D427,MAP_TIPO,0)),"TIPO INVALIDO"))</f>
        <v/>
      </c>
      <c r="X427" s="35" t="str">
        <f aca="false">IF($K427="","",IFERROR(INDEX(CAT_NOME,MATCH($K427,CAT_ID,0)),"?"))</f>
        <v/>
      </c>
      <c r="Y427" s="35" t="str">
        <f aca="false">IF($L427="","",IFERROR(INDEX(SUB_NOME,MATCH($L427,SUB_ID,0)),"?"))</f>
        <v/>
      </c>
      <c r="Z427" s="35" t="str">
        <f aca="false">IF($G427="","",IF($G427="EXTERNO","(Externo)",IFERROR(INDEX(ENT_NOME,MATCH($H427,ENT_ID,0)),"?")))</f>
        <v/>
      </c>
      <c r="AA427" s="35" t="str">
        <f aca="false">IF($I427="","",IF($I427="EXTERNO","(Externo)",IFERROR(INDEX(ENT_NOME,MATCH($J427,ENT_ID,0)),"?")))</f>
        <v/>
      </c>
      <c r="AB427" s="36" t="n">
        <f aca="false">IF($B427="",0,IF(AND($I427="CONTA",$G427&lt;&gt;"CONTA"),$F427,0))</f>
        <v>0</v>
      </c>
      <c r="AC427" s="36" t="n">
        <f aca="false">IF($B427="",0,IF(AND($G427="CONTA",$I427&lt;&gt;"CONTA"),$F427,0))</f>
        <v>0</v>
      </c>
      <c r="AD427" s="36" t="n">
        <f aca="false">IF($W427="RECEITA",$F427,0)</f>
        <v>0</v>
      </c>
      <c r="AE427" s="36" t="n">
        <f aca="false">IF($W427="DESPESA",$F427,0)</f>
        <v>0</v>
      </c>
      <c r="AF427" s="36" t="n">
        <f aca="false">IF($W427="RECEITA_FINANCEIRA",$F427,0)</f>
        <v>0</v>
      </c>
      <c r="AG427" s="36" t="n">
        <f aca="false">IF($B427="",0,IF($I427="CONTA",$F427,0)-IF($G427="CONTA",$F427,0))</f>
        <v>0</v>
      </c>
      <c r="AH427" s="36" t="n">
        <f aca="false">IF($B427="",0,IF($G427="CARTAO",$F427,0)-IF($I427="CARTAO",$F427,0))</f>
        <v>0</v>
      </c>
      <c r="AI427" s="36" t="n">
        <f aca="false">IF($B427="",0,IF($I427="INVESTIMENTO",$F427,0)-IF($G427="INVESTIMENTO",$F427,0))</f>
        <v>0</v>
      </c>
      <c r="AJ427" s="35" t="str">
        <f aca="false">IF($B427="","",IF(NOT(ISNUMBER($F427)),"ERRO: valor nao numerico",IF($F427&lt;=0,"ERRO: valor deve ser maior que zero",IF(COUNTIF(MAP_TIPO,$D427)=0,"ERRO: tipo de operacao nao cadastrado",IF(COUNTIF(LST_STATUS,$E427)=0,"ERRO: status invalido",IF(AND($G427="EXTERNO",$I427="EXTERNO"),"ERRO: origem e destino externos",IF(AND($G427&lt;&gt;"EXTERNO",COUNTIFS(ENT_ID,$H427,ENT_TIPO,$G427)=0),"ERRO: origem inexistente",IF(AND($I427&lt;&gt;"EXTERNO",COUNTIFS(ENT_ID,$J427,ENT_TIPO,$I427)=0),"ERRO: destino inexistente",IF(AND($K427&lt;&gt;"",COUNTIF(CAT_ID,$K427)=0),"ERRO: categoria inexistente",IF(AND($L427&lt;&gt;"",COUNTIF(SUB_ID,$L427)=0),"ERRO: subcategoria inexistente",IF(AND($L427&lt;&gt;"",$K427&lt;&gt;"",IFERROR(INDEX(SUB_CATID,MATCH($L427,SUB_ID,0)),"")&lt;&gt;$K427),"ERRO: subcategoria nao pertence a categoria",IF(AND($O427&lt;&gt;"",COUNTIF(P_ID,$O427)=0),"ERRO: parcela inexistente",IF(AND($N427&lt;&gt;"",COUNTIF(CM_ID,$N427)=0),"ERRO: compromisso inexistente","OK")))))))))))))</f>
        <v/>
      </c>
      <c r="AK427" s="35" t="str">
        <f aca="false">IF($B427="","",IF(AND($N427="",$O427="",$P427="",$Q427="",$R427=""),"","VINCULADO: "&amp;TRIM(IF($N427&lt;&gt;"",$N427&amp;" ","")&amp;IF($O427&lt;&gt;"",$O427&amp;" ","")&amp;IF($P427&lt;&gt;"",$P427&amp;" ","")&amp;IF($Q427&lt;&gt;"",$Q427&amp;" ","")&amp;IF($R427&lt;&gt;"",$R427,""))))</f>
        <v/>
      </c>
    </row>
    <row r="428" customFormat="false" ht="15" hidden="false" customHeight="false" outlineLevel="0" collapsed="false">
      <c r="A428" s="30" t="str">
        <f aca="false">IF($B428="","","LAN-"&amp;TEXT(ROW()-4,"000000"))</f>
        <v/>
      </c>
      <c r="B428" s="31"/>
      <c r="C428" s="32"/>
      <c r="D428" s="32"/>
      <c r="E428" s="32"/>
      <c r="F428" s="33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4" t="str">
        <f aca="false">IF($B428="","",YEAR($B428))</f>
        <v/>
      </c>
      <c r="U428" s="34" t="str">
        <f aca="false">IF($B428="","",MONTH($B428))</f>
        <v/>
      </c>
      <c r="V428" s="34" t="str">
        <f aca="false">IF($B428="","",YEAR($B428)*100+MONTH($B428))</f>
        <v/>
      </c>
      <c r="W428" s="35" t="str">
        <f aca="false">IF($D428="","",IFERROR(INDEX(MAP_CLASS,MATCH($D428,MAP_TIPO,0)),"TIPO INVALIDO"))</f>
        <v/>
      </c>
      <c r="X428" s="35" t="str">
        <f aca="false">IF($K428="","",IFERROR(INDEX(CAT_NOME,MATCH($K428,CAT_ID,0)),"?"))</f>
        <v/>
      </c>
      <c r="Y428" s="35" t="str">
        <f aca="false">IF($L428="","",IFERROR(INDEX(SUB_NOME,MATCH($L428,SUB_ID,0)),"?"))</f>
        <v/>
      </c>
      <c r="Z428" s="35" t="str">
        <f aca="false">IF($G428="","",IF($G428="EXTERNO","(Externo)",IFERROR(INDEX(ENT_NOME,MATCH($H428,ENT_ID,0)),"?")))</f>
        <v/>
      </c>
      <c r="AA428" s="35" t="str">
        <f aca="false">IF($I428="","",IF($I428="EXTERNO","(Externo)",IFERROR(INDEX(ENT_NOME,MATCH($J428,ENT_ID,0)),"?")))</f>
        <v/>
      </c>
      <c r="AB428" s="36" t="n">
        <f aca="false">IF($B428="",0,IF(AND($I428="CONTA",$G428&lt;&gt;"CONTA"),$F428,0))</f>
        <v>0</v>
      </c>
      <c r="AC428" s="36" t="n">
        <f aca="false">IF($B428="",0,IF(AND($G428="CONTA",$I428&lt;&gt;"CONTA"),$F428,0))</f>
        <v>0</v>
      </c>
      <c r="AD428" s="36" t="n">
        <f aca="false">IF($W428="RECEITA",$F428,0)</f>
        <v>0</v>
      </c>
      <c r="AE428" s="36" t="n">
        <f aca="false">IF($W428="DESPESA",$F428,0)</f>
        <v>0</v>
      </c>
      <c r="AF428" s="36" t="n">
        <f aca="false">IF($W428="RECEITA_FINANCEIRA",$F428,0)</f>
        <v>0</v>
      </c>
      <c r="AG428" s="36" t="n">
        <f aca="false">IF($B428="",0,IF($I428="CONTA",$F428,0)-IF($G428="CONTA",$F428,0))</f>
        <v>0</v>
      </c>
      <c r="AH428" s="36" t="n">
        <f aca="false">IF($B428="",0,IF($G428="CARTAO",$F428,0)-IF($I428="CARTAO",$F428,0))</f>
        <v>0</v>
      </c>
      <c r="AI428" s="36" t="n">
        <f aca="false">IF($B428="",0,IF($I428="INVESTIMENTO",$F428,0)-IF($G428="INVESTIMENTO",$F428,0))</f>
        <v>0</v>
      </c>
      <c r="AJ428" s="35" t="str">
        <f aca="false">IF($B428="","",IF(NOT(ISNUMBER($F428)),"ERRO: valor nao numerico",IF($F428&lt;=0,"ERRO: valor deve ser maior que zero",IF(COUNTIF(MAP_TIPO,$D428)=0,"ERRO: tipo de operacao nao cadastrado",IF(COUNTIF(LST_STATUS,$E428)=0,"ERRO: status invalido",IF(AND($G428="EXTERNO",$I428="EXTERNO"),"ERRO: origem e destino externos",IF(AND($G428&lt;&gt;"EXTERNO",COUNTIFS(ENT_ID,$H428,ENT_TIPO,$G428)=0),"ERRO: origem inexistente",IF(AND($I428&lt;&gt;"EXTERNO",COUNTIFS(ENT_ID,$J428,ENT_TIPO,$I428)=0),"ERRO: destino inexistente",IF(AND($K428&lt;&gt;"",COUNTIF(CAT_ID,$K428)=0),"ERRO: categoria inexistente",IF(AND($L428&lt;&gt;"",COUNTIF(SUB_ID,$L428)=0),"ERRO: subcategoria inexistente",IF(AND($L428&lt;&gt;"",$K428&lt;&gt;"",IFERROR(INDEX(SUB_CATID,MATCH($L428,SUB_ID,0)),"")&lt;&gt;$K428),"ERRO: subcategoria nao pertence a categoria",IF(AND($O428&lt;&gt;"",COUNTIF(P_ID,$O428)=0),"ERRO: parcela inexistente",IF(AND($N428&lt;&gt;"",COUNTIF(CM_ID,$N428)=0),"ERRO: compromisso inexistente","OK")))))))))))))</f>
        <v/>
      </c>
      <c r="AK428" s="35" t="str">
        <f aca="false">IF($B428="","",IF(AND($N428="",$O428="",$P428="",$Q428="",$R428=""),"","VINCULADO: "&amp;TRIM(IF($N428&lt;&gt;"",$N428&amp;" ","")&amp;IF($O428&lt;&gt;"",$O428&amp;" ","")&amp;IF($P428&lt;&gt;"",$P428&amp;" ","")&amp;IF($Q428&lt;&gt;"",$Q428&amp;" ","")&amp;IF($R428&lt;&gt;"",$R428,""))))</f>
        <v/>
      </c>
    </row>
    <row r="429" customFormat="false" ht="15" hidden="false" customHeight="false" outlineLevel="0" collapsed="false">
      <c r="A429" s="30" t="str">
        <f aca="false">IF($B429="","","LAN-"&amp;TEXT(ROW()-4,"000000"))</f>
        <v/>
      </c>
      <c r="B429" s="31"/>
      <c r="C429" s="32"/>
      <c r="D429" s="32"/>
      <c r="E429" s="32"/>
      <c r="F429" s="33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4" t="str">
        <f aca="false">IF($B429="","",YEAR($B429))</f>
        <v/>
      </c>
      <c r="U429" s="34" t="str">
        <f aca="false">IF($B429="","",MONTH($B429))</f>
        <v/>
      </c>
      <c r="V429" s="34" t="str">
        <f aca="false">IF($B429="","",YEAR($B429)*100+MONTH($B429))</f>
        <v/>
      </c>
      <c r="W429" s="35" t="str">
        <f aca="false">IF($D429="","",IFERROR(INDEX(MAP_CLASS,MATCH($D429,MAP_TIPO,0)),"TIPO INVALIDO"))</f>
        <v/>
      </c>
      <c r="X429" s="35" t="str">
        <f aca="false">IF($K429="","",IFERROR(INDEX(CAT_NOME,MATCH($K429,CAT_ID,0)),"?"))</f>
        <v/>
      </c>
      <c r="Y429" s="35" t="str">
        <f aca="false">IF($L429="","",IFERROR(INDEX(SUB_NOME,MATCH($L429,SUB_ID,0)),"?"))</f>
        <v/>
      </c>
      <c r="Z429" s="35" t="str">
        <f aca="false">IF($G429="","",IF($G429="EXTERNO","(Externo)",IFERROR(INDEX(ENT_NOME,MATCH($H429,ENT_ID,0)),"?")))</f>
        <v/>
      </c>
      <c r="AA429" s="35" t="str">
        <f aca="false">IF($I429="","",IF($I429="EXTERNO","(Externo)",IFERROR(INDEX(ENT_NOME,MATCH($J429,ENT_ID,0)),"?")))</f>
        <v/>
      </c>
      <c r="AB429" s="36" t="n">
        <f aca="false">IF($B429="",0,IF(AND($I429="CONTA",$G429&lt;&gt;"CONTA"),$F429,0))</f>
        <v>0</v>
      </c>
      <c r="AC429" s="36" t="n">
        <f aca="false">IF($B429="",0,IF(AND($G429="CONTA",$I429&lt;&gt;"CONTA"),$F429,0))</f>
        <v>0</v>
      </c>
      <c r="AD429" s="36" t="n">
        <f aca="false">IF($W429="RECEITA",$F429,0)</f>
        <v>0</v>
      </c>
      <c r="AE429" s="36" t="n">
        <f aca="false">IF($W429="DESPESA",$F429,0)</f>
        <v>0</v>
      </c>
      <c r="AF429" s="36" t="n">
        <f aca="false">IF($W429="RECEITA_FINANCEIRA",$F429,0)</f>
        <v>0</v>
      </c>
      <c r="AG429" s="36" t="n">
        <f aca="false">IF($B429="",0,IF($I429="CONTA",$F429,0)-IF($G429="CONTA",$F429,0))</f>
        <v>0</v>
      </c>
      <c r="AH429" s="36" t="n">
        <f aca="false">IF($B429="",0,IF($G429="CARTAO",$F429,0)-IF($I429="CARTAO",$F429,0))</f>
        <v>0</v>
      </c>
      <c r="AI429" s="36" t="n">
        <f aca="false">IF($B429="",0,IF($I429="INVESTIMENTO",$F429,0)-IF($G429="INVESTIMENTO",$F429,0))</f>
        <v>0</v>
      </c>
      <c r="AJ429" s="35" t="str">
        <f aca="false">IF($B429="","",IF(NOT(ISNUMBER($F429)),"ERRO: valor nao numerico",IF($F429&lt;=0,"ERRO: valor deve ser maior que zero",IF(COUNTIF(MAP_TIPO,$D429)=0,"ERRO: tipo de operacao nao cadastrado",IF(COUNTIF(LST_STATUS,$E429)=0,"ERRO: status invalido",IF(AND($G429="EXTERNO",$I429="EXTERNO"),"ERRO: origem e destino externos",IF(AND($G429&lt;&gt;"EXTERNO",COUNTIFS(ENT_ID,$H429,ENT_TIPO,$G429)=0),"ERRO: origem inexistente",IF(AND($I429&lt;&gt;"EXTERNO",COUNTIFS(ENT_ID,$J429,ENT_TIPO,$I429)=0),"ERRO: destino inexistente",IF(AND($K429&lt;&gt;"",COUNTIF(CAT_ID,$K429)=0),"ERRO: categoria inexistente",IF(AND($L429&lt;&gt;"",COUNTIF(SUB_ID,$L429)=0),"ERRO: subcategoria inexistente",IF(AND($L429&lt;&gt;"",$K429&lt;&gt;"",IFERROR(INDEX(SUB_CATID,MATCH($L429,SUB_ID,0)),"")&lt;&gt;$K429),"ERRO: subcategoria nao pertence a categoria",IF(AND($O429&lt;&gt;"",COUNTIF(P_ID,$O429)=0),"ERRO: parcela inexistente",IF(AND($N429&lt;&gt;"",COUNTIF(CM_ID,$N429)=0),"ERRO: compromisso inexistente","OK")))))))))))))</f>
        <v/>
      </c>
      <c r="AK429" s="35" t="str">
        <f aca="false">IF($B429="","",IF(AND($N429="",$O429="",$P429="",$Q429="",$R429=""),"","VINCULADO: "&amp;TRIM(IF($N429&lt;&gt;"",$N429&amp;" ","")&amp;IF($O429&lt;&gt;"",$O429&amp;" ","")&amp;IF($P429&lt;&gt;"",$P429&amp;" ","")&amp;IF($Q429&lt;&gt;"",$Q429&amp;" ","")&amp;IF($R429&lt;&gt;"",$R429,""))))</f>
        <v/>
      </c>
    </row>
    <row r="430" customFormat="false" ht="15" hidden="false" customHeight="false" outlineLevel="0" collapsed="false">
      <c r="A430" s="30" t="str">
        <f aca="false">IF($B430="","","LAN-"&amp;TEXT(ROW()-4,"000000"))</f>
        <v/>
      </c>
      <c r="B430" s="31"/>
      <c r="C430" s="32"/>
      <c r="D430" s="32"/>
      <c r="E430" s="32"/>
      <c r="F430" s="33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4" t="str">
        <f aca="false">IF($B430="","",YEAR($B430))</f>
        <v/>
      </c>
      <c r="U430" s="34" t="str">
        <f aca="false">IF($B430="","",MONTH($B430))</f>
        <v/>
      </c>
      <c r="V430" s="34" t="str">
        <f aca="false">IF($B430="","",YEAR($B430)*100+MONTH($B430))</f>
        <v/>
      </c>
      <c r="W430" s="35" t="str">
        <f aca="false">IF($D430="","",IFERROR(INDEX(MAP_CLASS,MATCH($D430,MAP_TIPO,0)),"TIPO INVALIDO"))</f>
        <v/>
      </c>
      <c r="X430" s="35" t="str">
        <f aca="false">IF($K430="","",IFERROR(INDEX(CAT_NOME,MATCH($K430,CAT_ID,0)),"?"))</f>
        <v/>
      </c>
      <c r="Y430" s="35" t="str">
        <f aca="false">IF($L430="","",IFERROR(INDEX(SUB_NOME,MATCH($L430,SUB_ID,0)),"?"))</f>
        <v/>
      </c>
      <c r="Z430" s="35" t="str">
        <f aca="false">IF($G430="","",IF($G430="EXTERNO","(Externo)",IFERROR(INDEX(ENT_NOME,MATCH($H430,ENT_ID,0)),"?")))</f>
        <v/>
      </c>
      <c r="AA430" s="35" t="str">
        <f aca="false">IF($I430="","",IF($I430="EXTERNO","(Externo)",IFERROR(INDEX(ENT_NOME,MATCH($J430,ENT_ID,0)),"?")))</f>
        <v/>
      </c>
      <c r="AB430" s="36" t="n">
        <f aca="false">IF($B430="",0,IF(AND($I430="CONTA",$G430&lt;&gt;"CONTA"),$F430,0))</f>
        <v>0</v>
      </c>
      <c r="AC430" s="36" t="n">
        <f aca="false">IF($B430="",0,IF(AND($G430="CONTA",$I430&lt;&gt;"CONTA"),$F430,0))</f>
        <v>0</v>
      </c>
      <c r="AD430" s="36" t="n">
        <f aca="false">IF($W430="RECEITA",$F430,0)</f>
        <v>0</v>
      </c>
      <c r="AE430" s="36" t="n">
        <f aca="false">IF($W430="DESPESA",$F430,0)</f>
        <v>0</v>
      </c>
      <c r="AF430" s="36" t="n">
        <f aca="false">IF($W430="RECEITA_FINANCEIRA",$F430,0)</f>
        <v>0</v>
      </c>
      <c r="AG430" s="36" t="n">
        <f aca="false">IF($B430="",0,IF($I430="CONTA",$F430,0)-IF($G430="CONTA",$F430,0))</f>
        <v>0</v>
      </c>
      <c r="AH430" s="36" t="n">
        <f aca="false">IF($B430="",0,IF($G430="CARTAO",$F430,0)-IF($I430="CARTAO",$F430,0))</f>
        <v>0</v>
      </c>
      <c r="AI430" s="36" t="n">
        <f aca="false">IF($B430="",0,IF($I430="INVESTIMENTO",$F430,0)-IF($G430="INVESTIMENTO",$F430,0))</f>
        <v>0</v>
      </c>
      <c r="AJ430" s="35" t="str">
        <f aca="false">IF($B430="","",IF(NOT(ISNUMBER($F430)),"ERRO: valor nao numerico",IF($F430&lt;=0,"ERRO: valor deve ser maior que zero",IF(COUNTIF(MAP_TIPO,$D430)=0,"ERRO: tipo de operacao nao cadastrado",IF(COUNTIF(LST_STATUS,$E430)=0,"ERRO: status invalido",IF(AND($G430="EXTERNO",$I430="EXTERNO"),"ERRO: origem e destino externos",IF(AND($G430&lt;&gt;"EXTERNO",COUNTIFS(ENT_ID,$H430,ENT_TIPO,$G430)=0),"ERRO: origem inexistente",IF(AND($I430&lt;&gt;"EXTERNO",COUNTIFS(ENT_ID,$J430,ENT_TIPO,$I430)=0),"ERRO: destino inexistente",IF(AND($K430&lt;&gt;"",COUNTIF(CAT_ID,$K430)=0),"ERRO: categoria inexistente",IF(AND($L430&lt;&gt;"",COUNTIF(SUB_ID,$L430)=0),"ERRO: subcategoria inexistente",IF(AND($L430&lt;&gt;"",$K430&lt;&gt;"",IFERROR(INDEX(SUB_CATID,MATCH($L430,SUB_ID,0)),"")&lt;&gt;$K430),"ERRO: subcategoria nao pertence a categoria",IF(AND($O430&lt;&gt;"",COUNTIF(P_ID,$O430)=0),"ERRO: parcela inexistente",IF(AND($N430&lt;&gt;"",COUNTIF(CM_ID,$N430)=0),"ERRO: compromisso inexistente","OK")))))))))))))</f>
        <v/>
      </c>
      <c r="AK430" s="35" t="str">
        <f aca="false">IF($B430="","",IF(AND($N430="",$O430="",$P430="",$Q430="",$R430=""),"","VINCULADO: "&amp;TRIM(IF($N430&lt;&gt;"",$N430&amp;" ","")&amp;IF($O430&lt;&gt;"",$O430&amp;" ","")&amp;IF($P430&lt;&gt;"",$P430&amp;" ","")&amp;IF($Q430&lt;&gt;"",$Q430&amp;" ","")&amp;IF($R430&lt;&gt;"",$R430,""))))</f>
        <v/>
      </c>
    </row>
    <row r="431" customFormat="false" ht="15" hidden="false" customHeight="false" outlineLevel="0" collapsed="false">
      <c r="A431" s="30" t="str">
        <f aca="false">IF($B431="","","LAN-"&amp;TEXT(ROW()-4,"000000"))</f>
        <v/>
      </c>
      <c r="B431" s="31"/>
      <c r="C431" s="32"/>
      <c r="D431" s="32"/>
      <c r="E431" s="32"/>
      <c r="F431" s="33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4" t="str">
        <f aca="false">IF($B431="","",YEAR($B431))</f>
        <v/>
      </c>
      <c r="U431" s="34" t="str">
        <f aca="false">IF($B431="","",MONTH($B431))</f>
        <v/>
      </c>
      <c r="V431" s="34" t="str">
        <f aca="false">IF($B431="","",YEAR($B431)*100+MONTH($B431))</f>
        <v/>
      </c>
      <c r="W431" s="35" t="str">
        <f aca="false">IF($D431="","",IFERROR(INDEX(MAP_CLASS,MATCH($D431,MAP_TIPO,0)),"TIPO INVALIDO"))</f>
        <v/>
      </c>
      <c r="X431" s="35" t="str">
        <f aca="false">IF($K431="","",IFERROR(INDEX(CAT_NOME,MATCH($K431,CAT_ID,0)),"?"))</f>
        <v/>
      </c>
      <c r="Y431" s="35" t="str">
        <f aca="false">IF($L431="","",IFERROR(INDEX(SUB_NOME,MATCH($L431,SUB_ID,0)),"?"))</f>
        <v/>
      </c>
      <c r="Z431" s="35" t="str">
        <f aca="false">IF($G431="","",IF($G431="EXTERNO","(Externo)",IFERROR(INDEX(ENT_NOME,MATCH($H431,ENT_ID,0)),"?")))</f>
        <v/>
      </c>
      <c r="AA431" s="35" t="str">
        <f aca="false">IF($I431="","",IF($I431="EXTERNO","(Externo)",IFERROR(INDEX(ENT_NOME,MATCH($J431,ENT_ID,0)),"?")))</f>
        <v/>
      </c>
      <c r="AB431" s="36" t="n">
        <f aca="false">IF($B431="",0,IF(AND($I431="CONTA",$G431&lt;&gt;"CONTA"),$F431,0))</f>
        <v>0</v>
      </c>
      <c r="AC431" s="36" t="n">
        <f aca="false">IF($B431="",0,IF(AND($G431="CONTA",$I431&lt;&gt;"CONTA"),$F431,0))</f>
        <v>0</v>
      </c>
      <c r="AD431" s="36" t="n">
        <f aca="false">IF($W431="RECEITA",$F431,0)</f>
        <v>0</v>
      </c>
      <c r="AE431" s="36" t="n">
        <f aca="false">IF($W431="DESPESA",$F431,0)</f>
        <v>0</v>
      </c>
      <c r="AF431" s="36" t="n">
        <f aca="false">IF($W431="RECEITA_FINANCEIRA",$F431,0)</f>
        <v>0</v>
      </c>
      <c r="AG431" s="36" t="n">
        <f aca="false">IF($B431="",0,IF($I431="CONTA",$F431,0)-IF($G431="CONTA",$F431,0))</f>
        <v>0</v>
      </c>
      <c r="AH431" s="36" t="n">
        <f aca="false">IF($B431="",0,IF($G431="CARTAO",$F431,0)-IF($I431="CARTAO",$F431,0))</f>
        <v>0</v>
      </c>
      <c r="AI431" s="36" t="n">
        <f aca="false">IF($B431="",0,IF($I431="INVESTIMENTO",$F431,0)-IF($G431="INVESTIMENTO",$F431,0))</f>
        <v>0</v>
      </c>
      <c r="AJ431" s="35" t="str">
        <f aca="false">IF($B431="","",IF(NOT(ISNUMBER($F431)),"ERRO: valor nao numerico",IF($F431&lt;=0,"ERRO: valor deve ser maior que zero",IF(COUNTIF(MAP_TIPO,$D431)=0,"ERRO: tipo de operacao nao cadastrado",IF(COUNTIF(LST_STATUS,$E431)=0,"ERRO: status invalido",IF(AND($G431="EXTERNO",$I431="EXTERNO"),"ERRO: origem e destino externos",IF(AND($G431&lt;&gt;"EXTERNO",COUNTIFS(ENT_ID,$H431,ENT_TIPO,$G431)=0),"ERRO: origem inexistente",IF(AND($I431&lt;&gt;"EXTERNO",COUNTIFS(ENT_ID,$J431,ENT_TIPO,$I431)=0),"ERRO: destino inexistente",IF(AND($K431&lt;&gt;"",COUNTIF(CAT_ID,$K431)=0),"ERRO: categoria inexistente",IF(AND($L431&lt;&gt;"",COUNTIF(SUB_ID,$L431)=0),"ERRO: subcategoria inexistente",IF(AND($L431&lt;&gt;"",$K431&lt;&gt;"",IFERROR(INDEX(SUB_CATID,MATCH($L431,SUB_ID,0)),"")&lt;&gt;$K431),"ERRO: subcategoria nao pertence a categoria",IF(AND($O431&lt;&gt;"",COUNTIF(P_ID,$O431)=0),"ERRO: parcela inexistente",IF(AND($N431&lt;&gt;"",COUNTIF(CM_ID,$N431)=0),"ERRO: compromisso inexistente","OK")))))))))))))</f>
        <v/>
      </c>
      <c r="AK431" s="35" t="str">
        <f aca="false">IF($B431="","",IF(AND($N431="",$O431="",$P431="",$Q431="",$R431=""),"","VINCULADO: "&amp;TRIM(IF($N431&lt;&gt;"",$N431&amp;" ","")&amp;IF($O431&lt;&gt;"",$O431&amp;" ","")&amp;IF($P431&lt;&gt;"",$P431&amp;" ","")&amp;IF($Q431&lt;&gt;"",$Q431&amp;" ","")&amp;IF($R431&lt;&gt;"",$R431,""))))</f>
        <v/>
      </c>
    </row>
    <row r="432" customFormat="false" ht="15" hidden="false" customHeight="false" outlineLevel="0" collapsed="false">
      <c r="A432" s="30" t="str">
        <f aca="false">IF($B432="","","LAN-"&amp;TEXT(ROW()-4,"000000"))</f>
        <v/>
      </c>
      <c r="B432" s="31"/>
      <c r="C432" s="32"/>
      <c r="D432" s="32"/>
      <c r="E432" s="32"/>
      <c r="F432" s="33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4" t="str">
        <f aca="false">IF($B432="","",YEAR($B432))</f>
        <v/>
      </c>
      <c r="U432" s="34" t="str">
        <f aca="false">IF($B432="","",MONTH($B432))</f>
        <v/>
      </c>
      <c r="V432" s="34" t="str">
        <f aca="false">IF($B432="","",YEAR($B432)*100+MONTH($B432))</f>
        <v/>
      </c>
      <c r="W432" s="35" t="str">
        <f aca="false">IF($D432="","",IFERROR(INDEX(MAP_CLASS,MATCH($D432,MAP_TIPO,0)),"TIPO INVALIDO"))</f>
        <v/>
      </c>
      <c r="X432" s="35" t="str">
        <f aca="false">IF($K432="","",IFERROR(INDEX(CAT_NOME,MATCH($K432,CAT_ID,0)),"?"))</f>
        <v/>
      </c>
      <c r="Y432" s="35" t="str">
        <f aca="false">IF($L432="","",IFERROR(INDEX(SUB_NOME,MATCH($L432,SUB_ID,0)),"?"))</f>
        <v/>
      </c>
      <c r="Z432" s="35" t="str">
        <f aca="false">IF($G432="","",IF($G432="EXTERNO","(Externo)",IFERROR(INDEX(ENT_NOME,MATCH($H432,ENT_ID,0)),"?")))</f>
        <v/>
      </c>
      <c r="AA432" s="35" t="str">
        <f aca="false">IF($I432="","",IF($I432="EXTERNO","(Externo)",IFERROR(INDEX(ENT_NOME,MATCH($J432,ENT_ID,0)),"?")))</f>
        <v/>
      </c>
      <c r="AB432" s="36" t="n">
        <f aca="false">IF($B432="",0,IF(AND($I432="CONTA",$G432&lt;&gt;"CONTA"),$F432,0))</f>
        <v>0</v>
      </c>
      <c r="AC432" s="36" t="n">
        <f aca="false">IF($B432="",0,IF(AND($G432="CONTA",$I432&lt;&gt;"CONTA"),$F432,0))</f>
        <v>0</v>
      </c>
      <c r="AD432" s="36" t="n">
        <f aca="false">IF($W432="RECEITA",$F432,0)</f>
        <v>0</v>
      </c>
      <c r="AE432" s="36" t="n">
        <f aca="false">IF($W432="DESPESA",$F432,0)</f>
        <v>0</v>
      </c>
      <c r="AF432" s="36" t="n">
        <f aca="false">IF($W432="RECEITA_FINANCEIRA",$F432,0)</f>
        <v>0</v>
      </c>
      <c r="AG432" s="36" t="n">
        <f aca="false">IF($B432="",0,IF($I432="CONTA",$F432,0)-IF($G432="CONTA",$F432,0))</f>
        <v>0</v>
      </c>
      <c r="AH432" s="36" t="n">
        <f aca="false">IF($B432="",0,IF($G432="CARTAO",$F432,0)-IF($I432="CARTAO",$F432,0))</f>
        <v>0</v>
      </c>
      <c r="AI432" s="36" t="n">
        <f aca="false">IF($B432="",0,IF($I432="INVESTIMENTO",$F432,0)-IF($G432="INVESTIMENTO",$F432,0))</f>
        <v>0</v>
      </c>
      <c r="AJ432" s="35" t="str">
        <f aca="false">IF($B432="","",IF(NOT(ISNUMBER($F432)),"ERRO: valor nao numerico",IF($F432&lt;=0,"ERRO: valor deve ser maior que zero",IF(COUNTIF(MAP_TIPO,$D432)=0,"ERRO: tipo de operacao nao cadastrado",IF(COUNTIF(LST_STATUS,$E432)=0,"ERRO: status invalido",IF(AND($G432="EXTERNO",$I432="EXTERNO"),"ERRO: origem e destino externos",IF(AND($G432&lt;&gt;"EXTERNO",COUNTIFS(ENT_ID,$H432,ENT_TIPO,$G432)=0),"ERRO: origem inexistente",IF(AND($I432&lt;&gt;"EXTERNO",COUNTIFS(ENT_ID,$J432,ENT_TIPO,$I432)=0),"ERRO: destino inexistente",IF(AND($K432&lt;&gt;"",COUNTIF(CAT_ID,$K432)=0),"ERRO: categoria inexistente",IF(AND($L432&lt;&gt;"",COUNTIF(SUB_ID,$L432)=0),"ERRO: subcategoria inexistente",IF(AND($L432&lt;&gt;"",$K432&lt;&gt;"",IFERROR(INDEX(SUB_CATID,MATCH($L432,SUB_ID,0)),"")&lt;&gt;$K432),"ERRO: subcategoria nao pertence a categoria",IF(AND($O432&lt;&gt;"",COUNTIF(P_ID,$O432)=0),"ERRO: parcela inexistente",IF(AND($N432&lt;&gt;"",COUNTIF(CM_ID,$N432)=0),"ERRO: compromisso inexistente","OK")))))))))))))</f>
        <v/>
      </c>
      <c r="AK432" s="35" t="str">
        <f aca="false">IF($B432="","",IF(AND($N432="",$O432="",$P432="",$Q432="",$R432=""),"","VINCULADO: "&amp;TRIM(IF($N432&lt;&gt;"",$N432&amp;" ","")&amp;IF($O432&lt;&gt;"",$O432&amp;" ","")&amp;IF($P432&lt;&gt;"",$P432&amp;" ","")&amp;IF($Q432&lt;&gt;"",$Q432&amp;" ","")&amp;IF($R432&lt;&gt;"",$R432,""))))</f>
        <v/>
      </c>
    </row>
    <row r="433" customFormat="false" ht="15" hidden="false" customHeight="false" outlineLevel="0" collapsed="false">
      <c r="A433" s="30" t="str">
        <f aca="false">IF($B433="","","LAN-"&amp;TEXT(ROW()-4,"000000"))</f>
        <v/>
      </c>
      <c r="B433" s="31"/>
      <c r="C433" s="32"/>
      <c r="D433" s="32"/>
      <c r="E433" s="32"/>
      <c r="F433" s="33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4" t="str">
        <f aca="false">IF($B433="","",YEAR($B433))</f>
        <v/>
      </c>
      <c r="U433" s="34" t="str">
        <f aca="false">IF($B433="","",MONTH($B433))</f>
        <v/>
      </c>
      <c r="V433" s="34" t="str">
        <f aca="false">IF($B433="","",YEAR($B433)*100+MONTH($B433))</f>
        <v/>
      </c>
      <c r="W433" s="35" t="str">
        <f aca="false">IF($D433="","",IFERROR(INDEX(MAP_CLASS,MATCH($D433,MAP_TIPO,0)),"TIPO INVALIDO"))</f>
        <v/>
      </c>
      <c r="X433" s="35" t="str">
        <f aca="false">IF($K433="","",IFERROR(INDEX(CAT_NOME,MATCH($K433,CAT_ID,0)),"?"))</f>
        <v/>
      </c>
      <c r="Y433" s="35" t="str">
        <f aca="false">IF($L433="","",IFERROR(INDEX(SUB_NOME,MATCH($L433,SUB_ID,0)),"?"))</f>
        <v/>
      </c>
      <c r="Z433" s="35" t="str">
        <f aca="false">IF($G433="","",IF($G433="EXTERNO","(Externo)",IFERROR(INDEX(ENT_NOME,MATCH($H433,ENT_ID,0)),"?")))</f>
        <v/>
      </c>
      <c r="AA433" s="35" t="str">
        <f aca="false">IF($I433="","",IF($I433="EXTERNO","(Externo)",IFERROR(INDEX(ENT_NOME,MATCH($J433,ENT_ID,0)),"?")))</f>
        <v/>
      </c>
      <c r="AB433" s="36" t="n">
        <f aca="false">IF($B433="",0,IF(AND($I433="CONTA",$G433&lt;&gt;"CONTA"),$F433,0))</f>
        <v>0</v>
      </c>
      <c r="AC433" s="36" t="n">
        <f aca="false">IF($B433="",0,IF(AND($G433="CONTA",$I433&lt;&gt;"CONTA"),$F433,0))</f>
        <v>0</v>
      </c>
      <c r="AD433" s="36" t="n">
        <f aca="false">IF($W433="RECEITA",$F433,0)</f>
        <v>0</v>
      </c>
      <c r="AE433" s="36" t="n">
        <f aca="false">IF($W433="DESPESA",$F433,0)</f>
        <v>0</v>
      </c>
      <c r="AF433" s="36" t="n">
        <f aca="false">IF($W433="RECEITA_FINANCEIRA",$F433,0)</f>
        <v>0</v>
      </c>
      <c r="AG433" s="36" t="n">
        <f aca="false">IF($B433="",0,IF($I433="CONTA",$F433,0)-IF($G433="CONTA",$F433,0))</f>
        <v>0</v>
      </c>
      <c r="AH433" s="36" t="n">
        <f aca="false">IF($B433="",0,IF($G433="CARTAO",$F433,0)-IF($I433="CARTAO",$F433,0))</f>
        <v>0</v>
      </c>
      <c r="AI433" s="36" t="n">
        <f aca="false">IF($B433="",0,IF($I433="INVESTIMENTO",$F433,0)-IF($G433="INVESTIMENTO",$F433,0))</f>
        <v>0</v>
      </c>
      <c r="AJ433" s="35" t="str">
        <f aca="false">IF($B433="","",IF(NOT(ISNUMBER($F433)),"ERRO: valor nao numerico",IF($F433&lt;=0,"ERRO: valor deve ser maior que zero",IF(COUNTIF(MAP_TIPO,$D433)=0,"ERRO: tipo de operacao nao cadastrado",IF(COUNTIF(LST_STATUS,$E433)=0,"ERRO: status invalido",IF(AND($G433="EXTERNO",$I433="EXTERNO"),"ERRO: origem e destino externos",IF(AND($G433&lt;&gt;"EXTERNO",COUNTIFS(ENT_ID,$H433,ENT_TIPO,$G433)=0),"ERRO: origem inexistente",IF(AND($I433&lt;&gt;"EXTERNO",COUNTIFS(ENT_ID,$J433,ENT_TIPO,$I433)=0),"ERRO: destino inexistente",IF(AND($K433&lt;&gt;"",COUNTIF(CAT_ID,$K433)=0),"ERRO: categoria inexistente",IF(AND($L433&lt;&gt;"",COUNTIF(SUB_ID,$L433)=0),"ERRO: subcategoria inexistente",IF(AND($L433&lt;&gt;"",$K433&lt;&gt;"",IFERROR(INDEX(SUB_CATID,MATCH($L433,SUB_ID,0)),"")&lt;&gt;$K433),"ERRO: subcategoria nao pertence a categoria",IF(AND($O433&lt;&gt;"",COUNTIF(P_ID,$O433)=0),"ERRO: parcela inexistente",IF(AND($N433&lt;&gt;"",COUNTIF(CM_ID,$N433)=0),"ERRO: compromisso inexistente","OK")))))))))))))</f>
        <v/>
      </c>
      <c r="AK433" s="35" t="str">
        <f aca="false">IF($B433="","",IF(AND($N433="",$O433="",$P433="",$Q433="",$R433=""),"","VINCULADO: "&amp;TRIM(IF($N433&lt;&gt;"",$N433&amp;" ","")&amp;IF($O433&lt;&gt;"",$O433&amp;" ","")&amp;IF($P433&lt;&gt;"",$P433&amp;" ","")&amp;IF($Q433&lt;&gt;"",$Q433&amp;" ","")&amp;IF($R433&lt;&gt;"",$R433,""))))</f>
        <v/>
      </c>
    </row>
    <row r="434" customFormat="false" ht="15" hidden="false" customHeight="false" outlineLevel="0" collapsed="false">
      <c r="A434" s="30" t="str">
        <f aca="false">IF($B434="","","LAN-"&amp;TEXT(ROW()-4,"000000"))</f>
        <v/>
      </c>
      <c r="B434" s="31"/>
      <c r="C434" s="32"/>
      <c r="D434" s="32"/>
      <c r="E434" s="32"/>
      <c r="F434" s="33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4" t="str">
        <f aca="false">IF($B434="","",YEAR($B434))</f>
        <v/>
      </c>
      <c r="U434" s="34" t="str">
        <f aca="false">IF($B434="","",MONTH($B434))</f>
        <v/>
      </c>
      <c r="V434" s="34" t="str">
        <f aca="false">IF($B434="","",YEAR($B434)*100+MONTH($B434))</f>
        <v/>
      </c>
      <c r="W434" s="35" t="str">
        <f aca="false">IF($D434="","",IFERROR(INDEX(MAP_CLASS,MATCH($D434,MAP_TIPO,0)),"TIPO INVALIDO"))</f>
        <v/>
      </c>
      <c r="X434" s="35" t="str">
        <f aca="false">IF($K434="","",IFERROR(INDEX(CAT_NOME,MATCH($K434,CAT_ID,0)),"?"))</f>
        <v/>
      </c>
      <c r="Y434" s="35" t="str">
        <f aca="false">IF($L434="","",IFERROR(INDEX(SUB_NOME,MATCH($L434,SUB_ID,0)),"?"))</f>
        <v/>
      </c>
      <c r="Z434" s="35" t="str">
        <f aca="false">IF($G434="","",IF($G434="EXTERNO","(Externo)",IFERROR(INDEX(ENT_NOME,MATCH($H434,ENT_ID,0)),"?")))</f>
        <v/>
      </c>
      <c r="AA434" s="35" t="str">
        <f aca="false">IF($I434="","",IF($I434="EXTERNO","(Externo)",IFERROR(INDEX(ENT_NOME,MATCH($J434,ENT_ID,0)),"?")))</f>
        <v/>
      </c>
      <c r="AB434" s="36" t="n">
        <f aca="false">IF($B434="",0,IF(AND($I434="CONTA",$G434&lt;&gt;"CONTA"),$F434,0))</f>
        <v>0</v>
      </c>
      <c r="AC434" s="36" t="n">
        <f aca="false">IF($B434="",0,IF(AND($G434="CONTA",$I434&lt;&gt;"CONTA"),$F434,0))</f>
        <v>0</v>
      </c>
      <c r="AD434" s="36" t="n">
        <f aca="false">IF($W434="RECEITA",$F434,0)</f>
        <v>0</v>
      </c>
      <c r="AE434" s="36" t="n">
        <f aca="false">IF($W434="DESPESA",$F434,0)</f>
        <v>0</v>
      </c>
      <c r="AF434" s="36" t="n">
        <f aca="false">IF($W434="RECEITA_FINANCEIRA",$F434,0)</f>
        <v>0</v>
      </c>
      <c r="AG434" s="36" t="n">
        <f aca="false">IF($B434="",0,IF($I434="CONTA",$F434,0)-IF($G434="CONTA",$F434,0))</f>
        <v>0</v>
      </c>
      <c r="AH434" s="36" t="n">
        <f aca="false">IF($B434="",0,IF($G434="CARTAO",$F434,0)-IF($I434="CARTAO",$F434,0))</f>
        <v>0</v>
      </c>
      <c r="AI434" s="36" t="n">
        <f aca="false">IF($B434="",0,IF($I434="INVESTIMENTO",$F434,0)-IF($G434="INVESTIMENTO",$F434,0))</f>
        <v>0</v>
      </c>
      <c r="AJ434" s="35" t="str">
        <f aca="false">IF($B434="","",IF(NOT(ISNUMBER($F434)),"ERRO: valor nao numerico",IF($F434&lt;=0,"ERRO: valor deve ser maior que zero",IF(COUNTIF(MAP_TIPO,$D434)=0,"ERRO: tipo de operacao nao cadastrado",IF(COUNTIF(LST_STATUS,$E434)=0,"ERRO: status invalido",IF(AND($G434="EXTERNO",$I434="EXTERNO"),"ERRO: origem e destino externos",IF(AND($G434&lt;&gt;"EXTERNO",COUNTIFS(ENT_ID,$H434,ENT_TIPO,$G434)=0),"ERRO: origem inexistente",IF(AND($I434&lt;&gt;"EXTERNO",COUNTIFS(ENT_ID,$J434,ENT_TIPO,$I434)=0),"ERRO: destino inexistente",IF(AND($K434&lt;&gt;"",COUNTIF(CAT_ID,$K434)=0),"ERRO: categoria inexistente",IF(AND($L434&lt;&gt;"",COUNTIF(SUB_ID,$L434)=0),"ERRO: subcategoria inexistente",IF(AND($L434&lt;&gt;"",$K434&lt;&gt;"",IFERROR(INDEX(SUB_CATID,MATCH($L434,SUB_ID,0)),"")&lt;&gt;$K434),"ERRO: subcategoria nao pertence a categoria",IF(AND($O434&lt;&gt;"",COUNTIF(P_ID,$O434)=0),"ERRO: parcela inexistente",IF(AND($N434&lt;&gt;"",COUNTIF(CM_ID,$N434)=0),"ERRO: compromisso inexistente","OK")))))))))))))</f>
        <v/>
      </c>
      <c r="AK434" s="35" t="str">
        <f aca="false">IF($B434="","",IF(AND($N434="",$O434="",$P434="",$Q434="",$R434=""),"","VINCULADO: "&amp;TRIM(IF($N434&lt;&gt;"",$N434&amp;" ","")&amp;IF($O434&lt;&gt;"",$O434&amp;" ","")&amp;IF($P434&lt;&gt;"",$P434&amp;" ","")&amp;IF($Q434&lt;&gt;"",$Q434&amp;" ","")&amp;IF($R434&lt;&gt;"",$R434,""))))</f>
        <v/>
      </c>
    </row>
    <row r="435" customFormat="false" ht="15" hidden="false" customHeight="false" outlineLevel="0" collapsed="false">
      <c r="A435" s="30" t="str">
        <f aca="false">IF($B435="","","LAN-"&amp;TEXT(ROW()-4,"000000"))</f>
        <v/>
      </c>
      <c r="B435" s="31"/>
      <c r="C435" s="32"/>
      <c r="D435" s="32"/>
      <c r="E435" s="32"/>
      <c r="F435" s="33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4" t="str">
        <f aca="false">IF($B435="","",YEAR($B435))</f>
        <v/>
      </c>
      <c r="U435" s="34" t="str">
        <f aca="false">IF($B435="","",MONTH($B435))</f>
        <v/>
      </c>
      <c r="V435" s="34" t="str">
        <f aca="false">IF($B435="","",YEAR($B435)*100+MONTH($B435))</f>
        <v/>
      </c>
      <c r="W435" s="35" t="str">
        <f aca="false">IF($D435="","",IFERROR(INDEX(MAP_CLASS,MATCH($D435,MAP_TIPO,0)),"TIPO INVALIDO"))</f>
        <v/>
      </c>
      <c r="X435" s="35" t="str">
        <f aca="false">IF($K435="","",IFERROR(INDEX(CAT_NOME,MATCH($K435,CAT_ID,0)),"?"))</f>
        <v/>
      </c>
      <c r="Y435" s="35" t="str">
        <f aca="false">IF($L435="","",IFERROR(INDEX(SUB_NOME,MATCH($L435,SUB_ID,0)),"?"))</f>
        <v/>
      </c>
      <c r="Z435" s="35" t="str">
        <f aca="false">IF($G435="","",IF($G435="EXTERNO","(Externo)",IFERROR(INDEX(ENT_NOME,MATCH($H435,ENT_ID,0)),"?")))</f>
        <v/>
      </c>
      <c r="AA435" s="35" t="str">
        <f aca="false">IF($I435="","",IF($I435="EXTERNO","(Externo)",IFERROR(INDEX(ENT_NOME,MATCH($J435,ENT_ID,0)),"?")))</f>
        <v/>
      </c>
      <c r="AB435" s="36" t="n">
        <f aca="false">IF($B435="",0,IF(AND($I435="CONTA",$G435&lt;&gt;"CONTA"),$F435,0))</f>
        <v>0</v>
      </c>
      <c r="AC435" s="36" t="n">
        <f aca="false">IF($B435="",0,IF(AND($G435="CONTA",$I435&lt;&gt;"CONTA"),$F435,0))</f>
        <v>0</v>
      </c>
      <c r="AD435" s="36" t="n">
        <f aca="false">IF($W435="RECEITA",$F435,0)</f>
        <v>0</v>
      </c>
      <c r="AE435" s="36" t="n">
        <f aca="false">IF($W435="DESPESA",$F435,0)</f>
        <v>0</v>
      </c>
      <c r="AF435" s="36" t="n">
        <f aca="false">IF($W435="RECEITA_FINANCEIRA",$F435,0)</f>
        <v>0</v>
      </c>
      <c r="AG435" s="36" t="n">
        <f aca="false">IF($B435="",0,IF($I435="CONTA",$F435,0)-IF($G435="CONTA",$F435,0))</f>
        <v>0</v>
      </c>
      <c r="AH435" s="36" t="n">
        <f aca="false">IF($B435="",0,IF($G435="CARTAO",$F435,0)-IF($I435="CARTAO",$F435,0))</f>
        <v>0</v>
      </c>
      <c r="AI435" s="36" t="n">
        <f aca="false">IF($B435="",0,IF($I435="INVESTIMENTO",$F435,0)-IF($G435="INVESTIMENTO",$F435,0))</f>
        <v>0</v>
      </c>
      <c r="AJ435" s="35" t="str">
        <f aca="false">IF($B435="","",IF(NOT(ISNUMBER($F435)),"ERRO: valor nao numerico",IF($F435&lt;=0,"ERRO: valor deve ser maior que zero",IF(COUNTIF(MAP_TIPO,$D435)=0,"ERRO: tipo de operacao nao cadastrado",IF(COUNTIF(LST_STATUS,$E435)=0,"ERRO: status invalido",IF(AND($G435="EXTERNO",$I435="EXTERNO"),"ERRO: origem e destino externos",IF(AND($G435&lt;&gt;"EXTERNO",COUNTIFS(ENT_ID,$H435,ENT_TIPO,$G435)=0),"ERRO: origem inexistente",IF(AND($I435&lt;&gt;"EXTERNO",COUNTIFS(ENT_ID,$J435,ENT_TIPO,$I435)=0),"ERRO: destino inexistente",IF(AND($K435&lt;&gt;"",COUNTIF(CAT_ID,$K435)=0),"ERRO: categoria inexistente",IF(AND($L435&lt;&gt;"",COUNTIF(SUB_ID,$L435)=0),"ERRO: subcategoria inexistente",IF(AND($L435&lt;&gt;"",$K435&lt;&gt;"",IFERROR(INDEX(SUB_CATID,MATCH($L435,SUB_ID,0)),"")&lt;&gt;$K435),"ERRO: subcategoria nao pertence a categoria",IF(AND($O435&lt;&gt;"",COUNTIF(P_ID,$O435)=0),"ERRO: parcela inexistente",IF(AND($N435&lt;&gt;"",COUNTIF(CM_ID,$N435)=0),"ERRO: compromisso inexistente","OK")))))))))))))</f>
        <v/>
      </c>
      <c r="AK435" s="35" t="str">
        <f aca="false">IF($B435="","",IF(AND($N435="",$O435="",$P435="",$Q435="",$R435=""),"","VINCULADO: "&amp;TRIM(IF($N435&lt;&gt;"",$N435&amp;" ","")&amp;IF($O435&lt;&gt;"",$O435&amp;" ","")&amp;IF($P435&lt;&gt;"",$P435&amp;" ","")&amp;IF($Q435&lt;&gt;"",$Q435&amp;" ","")&amp;IF($R435&lt;&gt;"",$R435,""))))</f>
        <v/>
      </c>
    </row>
    <row r="436" customFormat="false" ht="15" hidden="false" customHeight="false" outlineLevel="0" collapsed="false">
      <c r="A436" s="30" t="str">
        <f aca="false">IF($B436="","","LAN-"&amp;TEXT(ROW()-4,"000000"))</f>
        <v/>
      </c>
      <c r="B436" s="31"/>
      <c r="C436" s="32"/>
      <c r="D436" s="32"/>
      <c r="E436" s="32"/>
      <c r="F436" s="33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4" t="str">
        <f aca="false">IF($B436="","",YEAR($B436))</f>
        <v/>
      </c>
      <c r="U436" s="34" t="str">
        <f aca="false">IF($B436="","",MONTH($B436))</f>
        <v/>
      </c>
      <c r="V436" s="34" t="str">
        <f aca="false">IF($B436="","",YEAR($B436)*100+MONTH($B436))</f>
        <v/>
      </c>
      <c r="W436" s="35" t="str">
        <f aca="false">IF($D436="","",IFERROR(INDEX(MAP_CLASS,MATCH($D436,MAP_TIPO,0)),"TIPO INVALIDO"))</f>
        <v/>
      </c>
      <c r="X436" s="35" t="str">
        <f aca="false">IF($K436="","",IFERROR(INDEX(CAT_NOME,MATCH($K436,CAT_ID,0)),"?"))</f>
        <v/>
      </c>
      <c r="Y436" s="35" t="str">
        <f aca="false">IF($L436="","",IFERROR(INDEX(SUB_NOME,MATCH($L436,SUB_ID,0)),"?"))</f>
        <v/>
      </c>
      <c r="Z436" s="35" t="str">
        <f aca="false">IF($G436="","",IF($G436="EXTERNO","(Externo)",IFERROR(INDEX(ENT_NOME,MATCH($H436,ENT_ID,0)),"?")))</f>
        <v/>
      </c>
      <c r="AA436" s="35" t="str">
        <f aca="false">IF($I436="","",IF($I436="EXTERNO","(Externo)",IFERROR(INDEX(ENT_NOME,MATCH($J436,ENT_ID,0)),"?")))</f>
        <v/>
      </c>
      <c r="AB436" s="36" t="n">
        <f aca="false">IF($B436="",0,IF(AND($I436="CONTA",$G436&lt;&gt;"CONTA"),$F436,0))</f>
        <v>0</v>
      </c>
      <c r="AC436" s="36" t="n">
        <f aca="false">IF($B436="",0,IF(AND($G436="CONTA",$I436&lt;&gt;"CONTA"),$F436,0))</f>
        <v>0</v>
      </c>
      <c r="AD436" s="36" t="n">
        <f aca="false">IF($W436="RECEITA",$F436,0)</f>
        <v>0</v>
      </c>
      <c r="AE436" s="36" t="n">
        <f aca="false">IF($W436="DESPESA",$F436,0)</f>
        <v>0</v>
      </c>
      <c r="AF436" s="36" t="n">
        <f aca="false">IF($W436="RECEITA_FINANCEIRA",$F436,0)</f>
        <v>0</v>
      </c>
      <c r="AG436" s="36" t="n">
        <f aca="false">IF($B436="",0,IF($I436="CONTA",$F436,0)-IF($G436="CONTA",$F436,0))</f>
        <v>0</v>
      </c>
      <c r="AH436" s="36" t="n">
        <f aca="false">IF($B436="",0,IF($G436="CARTAO",$F436,0)-IF($I436="CARTAO",$F436,0))</f>
        <v>0</v>
      </c>
      <c r="AI436" s="36" t="n">
        <f aca="false">IF($B436="",0,IF($I436="INVESTIMENTO",$F436,0)-IF($G436="INVESTIMENTO",$F436,0))</f>
        <v>0</v>
      </c>
      <c r="AJ436" s="35" t="str">
        <f aca="false">IF($B436="","",IF(NOT(ISNUMBER($F436)),"ERRO: valor nao numerico",IF($F436&lt;=0,"ERRO: valor deve ser maior que zero",IF(COUNTIF(MAP_TIPO,$D436)=0,"ERRO: tipo de operacao nao cadastrado",IF(COUNTIF(LST_STATUS,$E436)=0,"ERRO: status invalido",IF(AND($G436="EXTERNO",$I436="EXTERNO"),"ERRO: origem e destino externos",IF(AND($G436&lt;&gt;"EXTERNO",COUNTIFS(ENT_ID,$H436,ENT_TIPO,$G436)=0),"ERRO: origem inexistente",IF(AND($I436&lt;&gt;"EXTERNO",COUNTIFS(ENT_ID,$J436,ENT_TIPO,$I436)=0),"ERRO: destino inexistente",IF(AND($K436&lt;&gt;"",COUNTIF(CAT_ID,$K436)=0),"ERRO: categoria inexistente",IF(AND($L436&lt;&gt;"",COUNTIF(SUB_ID,$L436)=0),"ERRO: subcategoria inexistente",IF(AND($L436&lt;&gt;"",$K436&lt;&gt;"",IFERROR(INDEX(SUB_CATID,MATCH($L436,SUB_ID,0)),"")&lt;&gt;$K436),"ERRO: subcategoria nao pertence a categoria",IF(AND($O436&lt;&gt;"",COUNTIF(P_ID,$O436)=0),"ERRO: parcela inexistente",IF(AND($N436&lt;&gt;"",COUNTIF(CM_ID,$N436)=0),"ERRO: compromisso inexistente","OK")))))))))))))</f>
        <v/>
      </c>
      <c r="AK436" s="35" t="str">
        <f aca="false">IF($B436="","",IF(AND($N436="",$O436="",$P436="",$Q436="",$R436=""),"","VINCULADO: "&amp;TRIM(IF($N436&lt;&gt;"",$N436&amp;" ","")&amp;IF($O436&lt;&gt;"",$O436&amp;" ","")&amp;IF($P436&lt;&gt;"",$P436&amp;" ","")&amp;IF($Q436&lt;&gt;"",$Q436&amp;" ","")&amp;IF($R436&lt;&gt;"",$R436,""))))</f>
        <v/>
      </c>
    </row>
    <row r="437" customFormat="false" ht="15" hidden="false" customHeight="false" outlineLevel="0" collapsed="false">
      <c r="A437" s="30" t="str">
        <f aca="false">IF($B437="","","LAN-"&amp;TEXT(ROW()-4,"000000"))</f>
        <v/>
      </c>
      <c r="B437" s="31"/>
      <c r="C437" s="32"/>
      <c r="D437" s="32"/>
      <c r="E437" s="32"/>
      <c r="F437" s="33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4" t="str">
        <f aca="false">IF($B437="","",YEAR($B437))</f>
        <v/>
      </c>
      <c r="U437" s="34" t="str">
        <f aca="false">IF($B437="","",MONTH($B437))</f>
        <v/>
      </c>
      <c r="V437" s="34" t="str">
        <f aca="false">IF($B437="","",YEAR($B437)*100+MONTH($B437))</f>
        <v/>
      </c>
      <c r="W437" s="35" t="str">
        <f aca="false">IF($D437="","",IFERROR(INDEX(MAP_CLASS,MATCH($D437,MAP_TIPO,0)),"TIPO INVALIDO"))</f>
        <v/>
      </c>
      <c r="X437" s="35" t="str">
        <f aca="false">IF($K437="","",IFERROR(INDEX(CAT_NOME,MATCH($K437,CAT_ID,0)),"?"))</f>
        <v/>
      </c>
      <c r="Y437" s="35" t="str">
        <f aca="false">IF($L437="","",IFERROR(INDEX(SUB_NOME,MATCH($L437,SUB_ID,0)),"?"))</f>
        <v/>
      </c>
      <c r="Z437" s="35" t="str">
        <f aca="false">IF($G437="","",IF($G437="EXTERNO","(Externo)",IFERROR(INDEX(ENT_NOME,MATCH($H437,ENT_ID,0)),"?")))</f>
        <v/>
      </c>
      <c r="AA437" s="35" t="str">
        <f aca="false">IF($I437="","",IF($I437="EXTERNO","(Externo)",IFERROR(INDEX(ENT_NOME,MATCH($J437,ENT_ID,0)),"?")))</f>
        <v/>
      </c>
      <c r="AB437" s="36" t="n">
        <f aca="false">IF($B437="",0,IF(AND($I437="CONTA",$G437&lt;&gt;"CONTA"),$F437,0))</f>
        <v>0</v>
      </c>
      <c r="AC437" s="36" t="n">
        <f aca="false">IF($B437="",0,IF(AND($G437="CONTA",$I437&lt;&gt;"CONTA"),$F437,0))</f>
        <v>0</v>
      </c>
      <c r="AD437" s="36" t="n">
        <f aca="false">IF($W437="RECEITA",$F437,0)</f>
        <v>0</v>
      </c>
      <c r="AE437" s="36" t="n">
        <f aca="false">IF($W437="DESPESA",$F437,0)</f>
        <v>0</v>
      </c>
      <c r="AF437" s="36" t="n">
        <f aca="false">IF($W437="RECEITA_FINANCEIRA",$F437,0)</f>
        <v>0</v>
      </c>
      <c r="AG437" s="36" t="n">
        <f aca="false">IF($B437="",0,IF($I437="CONTA",$F437,0)-IF($G437="CONTA",$F437,0))</f>
        <v>0</v>
      </c>
      <c r="AH437" s="36" t="n">
        <f aca="false">IF($B437="",0,IF($G437="CARTAO",$F437,0)-IF($I437="CARTAO",$F437,0))</f>
        <v>0</v>
      </c>
      <c r="AI437" s="36" t="n">
        <f aca="false">IF($B437="",0,IF($I437="INVESTIMENTO",$F437,0)-IF($G437="INVESTIMENTO",$F437,0))</f>
        <v>0</v>
      </c>
      <c r="AJ437" s="35" t="str">
        <f aca="false">IF($B437="","",IF(NOT(ISNUMBER($F437)),"ERRO: valor nao numerico",IF($F437&lt;=0,"ERRO: valor deve ser maior que zero",IF(COUNTIF(MAP_TIPO,$D437)=0,"ERRO: tipo de operacao nao cadastrado",IF(COUNTIF(LST_STATUS,$E437)=0,"ERRO: status invalido",IF(AND($G437="EXTERNO",$I437="EXTERNO"),"ERRO: origem e destino externos",IF(AND($G437&lt;&gt;"EXTERNO",COUNTIFS(ENT_ID,$H437,ENT_TIPO,$G437)=0),"ERRO: origem inexistente",IF(AND($I437&lt;&gt;"EXTERNO",COUNTIFS(ENT_ID,$J437,ENT_TIPO,$I437)=0),"ERRO: destino inexistente",IF(AND($K437&lt;&gt;"",COUNTIF(CAT_ID,$K437)=0),"ERRO: categoria inexistente",IF(AND($L437&lt;&gt;"",COUNTIF(SUB_ID,$L437)=0),"ERRO: subcategoria inexistente",IF(AND($L437&lt;&gt;"",$K437&lt;&gt;"",IFERROR(INDEX(SUB_CATID,MATCH($L437,SUB_ID,0)),"")&lt;&gt;$K437),"ERRO: subcategoria nao pertence a categoria",IF(AND($O437&lt;&gt;"",COUNTIF(P_ID,$O437)=0),"ERRO: parcela inexistente",IF(AND($N437&lt;&gt;"",COUNTIF(CM_ID,$N437)=0),"ERRO: compromisso inexistente","OK")))))))))))))</f>
        <v/>
      </c>
      <c r="AK437" s="35" t="str">
        <f aca="false">IF($B437="","",IF(AND($N437="",$O437="",$P437="",$Q437="",$R437=""),"","VINCULADO: "&amp;TRIM(IF($N437&lt;&gt;"",$N437&amp;" ","")&amp;IF($O437&lt;&gt;"",$O437&amp;" ","")&amp;IF($P437&lt;&gt;"",$P437&amp;" ","")&amp;IF($Q437&lt;&gt;"",$Q437&amp;" ","")&amp;IF($R437&lt;&gt;"",$R437,""))))</f>
        <v/>
      </c>
    </row>
    <row r="438" customFormat="false" ht="15" hidden="false" customHeight="false" outlineLevel="0" collapsed="false">
      <c r="A438" s="30" t="str">
        <f aca="false">IF($B438="","","LAN-"&amp;TEXT(ROW()-4,"000000"))</f>
        <v/>
      </c>
      <c r="B438" s="31"/>
      <c r="C438" s="32"/>
      <c r="D438" s="32"/>
      <c r="E438" s="32"/>
      <c r="F438" s="33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4" t="str">
        <f aca="false">IF($B438="","",YEAR($B438))</f>
        <v/>
      </c>
      <c r="U438" s="34" t="str">
        <f aca="false">IF($B438="","",MONTH($B438))</f>
        <v/>
      </c>
      <c r="V438" s="34" t="str">
        <f aca="false">IF($B438="","",YEAR($B438)*100+MONTH($B438))</f>
        <v/>
      </c>
      <c r="W438" s="35" t="str">
        <f aca="false">IF($D438="","",IFERROR(INDEX(MAP_CLASS,MATCH($D438,MAP_TIPO,0)),"TIPO INVALIDO"))</f>
        <v/>
      </c>
      <c r="X438" s="35" t="str">
        <f aca="false">IF($K438="","",IFERROR(INDEX(CAT_NOME,MATCH($K438,CAT_ID,0)),"?"))</f>
        <v/>
      </c>
      <c r="Y438" s="35" t="str">
        <f aca="false">IF($L438="","",IFERROR(INDEX(SUB_NOME,MATCH($L438,SUB_ID,0)),"?"))</f>
        <v/>
      </c>
      <c r="Z438" s="35" t="str">
        <f aca="false">IF($G438="","",IF($G438="EXTERNO","(Externo)",IFERROR(INDEX(ENT_NOME,MATCH($H438,ENT_ID,0)),"?")))</f>
        <v/>
      </c>
      <c r="AA438" s="35" t="str">
        <f aca="false">IF($I438="","",IF($I438="EXTERNO","(Externo)",IFERROR(INDEX(ENT_NOME,MATCH($J438,ENT_ID,0)),"?")))</f>
        <v/>
      </c>
      <c r="AB438" s="36" t="n">
        <f aca="false">IF($B438="",0,IF(AND($I438="CONTA",$G438&lt;&gt;"CONTA"),$F438,0))</f>
        <v>0</v>
      </c>
      <c r="AC438" s="36" t="n">
        <f aca="false">IF($B438="",0,IF(AND($G438="CONTA",$I438&lt;&gt;"CONTA"),$F438,0))</f>
        <v>0</v>
      </c>
      <c r="AD438" s="36" t="n">
        <f aca="false">IF($W438="RECEITA",$F438,0)</f>
        <v>0</v>
      </c>
      <c r="AE438" s="36" t="n">
        <f aca="false">IF($W438="DESPESA",$F438,0)</f>
        <v>0</v>
      </c>
      <c r="AF438" s="36" t="n">
        <f aca="false">IF($W438="RECEITA_FINANCEIRA",$F438,0)</f>
        <v>0</v>
      </c>
      <c r="AG438" s="36" t="n">
        <f aca="false">IF($B438="",0,IF($I438="CONTA",$F438,0)-IF($G438="CONTA",$F438,0))</f>
        <v>0</v>
      </c>
      <c r="AH438" s="36" t="n">
        <f aca="false">IF($B438="",0,IF($G438="CARTAO",$F438,0)-IF($I438="CARTAO",$F438,0))</f>
        <v>0</v>
      </c>
      <c r="AI438" s="36" t="n">
        <f aca="false">IF($B438="",0,IF($I438="INVESTIMENTO",$F438,0)-IF($G438="INVESTIMENTO",$F438,0))</f>
        <v>0</v>
      </c>
      <c r="AJ438" s="35" t="str">
        <f aca="false">IF($B438="","",IF(NOT(ISNUMBER($F438)),"ERRO: valor nao numerico",IF($F438&lt;=0,"ERRO: valor deve ser maior que zero",IF(COUNTIF(MAP_TIPO,$D438)=0,"ERRO: tipo de operacao nao cadastrado",IF(COUNTIF(LST_STATUS,$E438)=0,"ERRO: status invalido",IF(AND($G438="EXTERNO",$I438="EXTERNO"),"ERRO: origem e destino externos",IF(AND($G438&lt;&gt;"EXTERNO",COUNTIFS(ENT_ID,$H438,ENT_TIPO,$G438)=0),"ERRO: origem inexistente",IF(AND($I438&lt;&gt;"EXTERNO",COUNTIFS(ENT_ID,$J438,ENT_TIPO,$I438)=0),"ERRO: destino inexistente",IF(AND($K438&lt;&gt;"",COUNTIF(CAT_ID,$K438)=0),"ERRO: categoria inexistente",IF(AND($L438&lt;&gt;"",COUNTIF(SUB_ID,$L438)=0),"ERRO: subcategoria inexistente",IF(AND($L438&lt;&gt;"",$K438&lt;&gt;"",IFERROR(INDEX(SUB_CATID,MATCH($L438,SUB_ID,0)),"")&lt;&gt;$K438),"ERRO: subcategoria nao pertence a categoria",IF(AND($O438&lt;&gt;"",COUNTIF(P_ID,$O438)=0),"ERRO: parcela inexistente",IF(AND($N438&lt;&gt;"",COUNTIF(CM_ID,$N438)=0),"ERRO: compromisso inexistente","OK")))))))))))))</f>
        <v/>
      </c>
      <c r="AK438" s="35" t="str">
        <f aca="false">IF($B438="","",IF(AND($N438="",$O438="",$P438="",$Q438="",$R438=""),"","VINCULADO: "&amp;TRIM(IF($N438&lt;&gt;"",$N438&amp;" ","")&amp;IF($O438&lt;&gt;"",$O438&amp;" ","")&amp;IF($P438&lt;&gt;"",$P438&amp;" ","")&amp;IF($Q438&lt;&gt;"",$Q438&amp;" ","")&amp;IF($R438&lt;&gt;"",$R438,""))))</f>
        <v/>
      </c>
    </row>
    <row r="439" customFormat="false" ht="15" hidden="false" customHeight="false" outlineLevel="0" collapsed="false">
      <c r="A439" s="30" t="str">
        <f aca="false">IF($B439="","","LAN-"&amp;TEXT(ROW()-4,"000000"))</f>
        <v/>
      </c>
      <c r="B439" s="31"/>
      <c r="C439" s="32"/>
      <c r="D439" s="32"/>
      <c r="E439" s="32"/>
      <c r="F439" s="33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4" t="str">
        <f aca="false">IF($B439="","",YEAR($B439))</f>
        <v/>
      </c>
      <c r="U439" s="34" t="str">
        <f aca="false">IF($B439="","",MONTH($B439))</f>
        <v/>
      </c>
      <c r="V439" s="34" t="str">
        <f aca="false">IF($B439="","",YEAR($B439)*100+MONTH($B439))</f>
        <v/>
      </c>
      <c r="W439" s="35" t="str">
        <f aca="false">IF($D439="","",IFERROR(INDEX(MAP_CLASS,MATCH($D439,MAP_TIPO,0)),"TIPO INVALIDO"))</f>
        <v/>
      </c>
      <c r="X439" s="35" t="str">
        <f aca="false">IF($K439="","",IFERROR(INDEX(CAT_NOME,MATCH($K439,CAT_ID,0)),"?"))</f>
        <v/>
      </c>
      <c r="Y439" s="35" t="str">
        <f aca="false">IF($L439="","",IFERROR(INDEX(SUB_NOME,MATCH($L439,SUB_ID,0)),"?"))</f>
        <v/>
      </c>
      <c r="Z439" s="35" t="str">
        <f aca="false">IF($G439="","",IF($G439="EXTERNO","(Externo)",IFERROR(INDEX(ENT_NOME,MATCH($H439,ENT_ID,0)),"?")))</f>
        <v/>
      </c>
      <c r="AA439" s="35" t="str">
        <f aca="false">IF($I439="","",IF($I439="EXTERNO","(Externo)",IFERROR(INDEX(ENT_NOME,MATCH($J439,ENT_ID,0)),"?")))</f>
        <v/>
      </c>
      <c r="AB439" s="36" t="n">
        <f aca="false">IF($B439="",0,IF(AND($I439="CONTA",$G439&lt;&gt;"CONTA"),$F439,0))</f>
        <v>0</v>
      </c>
      <c r="AC439" s="36" t="n">
        <f aca="false">IF($B439="",0,IF(AND($G439="CONTA",$I439&lt;&gt;"CONTA"),$F439,0))</f>
        <v>0</v>
      </c>
      <c r="AD439" s="36" t="n">
        <f aca="false">IF($W439="RECEITA",$F439,0)</f>
        <v>0</v>
      </c>
      <c r="AE439" s="36" t="n">
        <f aca="false">IF($W439="DESPESA",$F439,0)</f>
        <v>0</v>
      </c>
      <c r="AF439" s="36" t="n">
        <f aca="false">IF($W439="RECEITA_FINANCEIRA",$F439,0)</f>
        <v>0</v>
      </c>
      <c r="AG439" s="36" t="n">
        <f aca="false">IF($B439="",0,IF($I439="CONTA",$F439,0)-IF($G439="CONTA",$F439,0))</f>
        <v>0</v>
      </c>
      <c r="AH439" s="36" t="n">
        <f aca="false">IF($B439="",0,IF($G439="CARTAO",$F439,0)-IF($I439="CARTAO",$F439,0))</f>
        <v>0</v>
      </c>
      <c r="AI439" s="36" t="n">
        <f aca="false">IF($B439="",0,IF($I439="INVESTIMENTO",$F439,0)-IF($G439="INVESTIMENTO",$F439,0))</f>
        <v>0</v>
      </c>
      <c r="AJ439" s="35" t="str">
        <f aca="false">IF($B439="","",IF(NOT(ISNUMBER($F439)),"ERRO: valor nao numerico",IF($F439&lt;=0,"ERRO: valor deve ser maior que zero",IF(COUNTIF(MAP_TIPO,$D439)=0,"ERRO: tipo de operacao nao cadastrado",IF(COUNTIF(LST_STATUS,$E439)=0,"ERRO: status invalido",IF(AND($G439="EXTERNO",$I439="EXTERNO"),"ERRO: origem e destino externos",IF(AND($G439&lt;&gt;"EXTERNO",COUNTIFS(ENT_ID,$H439,ENT_TIPO,$G439)=0),"ERRO: origem inexistente",IF(AND($I439&lt;&gt;"EXTERNO",COUNTIFS(ENT_ID,$J439,ENT_TIPO,$I439)=0),"ERRO: destino inexistente",IF(AND($K439&lt;&gt;"",COUNTIF(CAT_ID,$K439)=0),"ERRO: categoria inexistente",IF(AND($L439&lt;&gt;"",COUNTIF(SUB_ID,$L439)=0),"ERRO: subcategoria inexistente",IF(AND($L439&lt;&gt;"",$K439&lt;&gt;"",IFERROR(INDEX(SUB_CATID,MATCH($L439,SUB_ID,0)),"")&lt;&gt;$K439),"ERRO: subcategoria nao pertence a categoria",IF(AND($O439&lt;&gt;"",COUNTIF(P_ID,$O439)=0),"ERRO: parcela inexistente",IF(AND($N439&lt;&gt;"",COUNTIF(CM_ID,$N439)=0),"ERRO: compromisso inexistente","OK")))))))))))))</f>
        <v/>
      </c>
      <c r="AK439" s="35" t="str">
        <f aca="false">IF($B439="","",IF(AND($N439="",$O439="",$P439="",$Q439="",$R439=""),"","VINCULADO: "&amp;TRIM(IF($N439&lt;&gt;"",$N439&amp;" ","")&amp;IF($O439&lt;&gt;"",$O439&amp;" ","")&amp;IF($P439&lt;&gt;"",$P439&amp;" ","")&amp;IF($Q439&lt;&gt;"",$Q439&amp;" ","")&amp;IF($R439&lt;&gt;"",$R439,""))))</f>
        <v/>
      </c>
    </row>
    <row r="440" customFormat="false" ht="15" hidden="false" customHeight="false" outlineLevel="0" collapsed="false">
      <c r="A440" s="30" t="str">
        <f aca="false">IF($B440="","","LAN-"&amp;TEXT(ROW()-4,"000000"))</f>
        <v/>
      </c>
      <c r="B440" s="31"/>
      <c r="C440" s="32"/>
      <c r="D440" s="32"/>
      <c r="E440" s="32"/>
      <c r="F440" s="33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4" t="str">
        <f aca="false">IF($B440="","",YEAR($B440))</f>
        <v/>
      </c>
      <c r="U440" s="34" t="str">
        <f aca="false">IF($B440="","",MONTH($B440))</f>
        <v/>
      </c>
      <c r="V440" s="34" t="str">
        <f aca="false">IF($B440="","",YEAR($B440)*100+MONTH($B440))</f>
        <v/>
      </c>
      <c r="W440" s="35" t="str">
        <f aca="false">IF($D440="","",IFERROR(INDEX(MAP_CLASS,MATCH($D440,MAP_TIPO,0)),"TIPO INVALIDO"))</f>
        <v/>
      </c>
      <c r="X440" s="35" t="str">
        <f aca="false">IF($K440="","",IFERROR(INDEX(CAT_NOME,MATCH($K440,CAT_ID,0)),"?"))</f>
        <v/>
      </c>
      <c r="Y440" s="35" t="str">
        <f aca="false">IF($L440="","",IFERROR(INDEX(SUB_NOME,MATCH($L440,SUB_ID,0)),"?"))</f>
        <v/>
      </c>
      <c r="Z440" s="35" t="str">
        <f aca="false">IF($G440="","",IF($G440="EXTERNO","(Externo)",IFERROR(INDEX(ENT_NOME,MATCH($H440,ENT_ID,0)),"?")))</f>
        <v/>
      </c>
      <c r="AA440" s="35" t="str">
        <f aca="false">IF($I440="","",IF($I440="EXTERNO","(Externo)",IFERROR(INDEX(ENT_NOME,MATCH($J440,ENT_ID,0)),"?")))</f>
        <v/>
      </c>
      <c r="AB440" s="36" t="n">
        <f aca="false">IF($B440="",0,IF(AND($I440="CONTA",$G440&lt;&gt;"CONTA"),$F440,0))</f>
        <v>0</v>
      </c>
      <c r="AC440" s="36" t="n">
        <f aca="false">IF($B440="",0,IF(AND($G440="CONTA",$I440&lt;&gt;"CONTA"),$F440,0))</f>
        <v>0</v>
      </c>
      <c r="AD440" s="36" t="n">
        <f aca="false">IF($W440="RECEITA",$F440,0)</f>
        <v>0</v>
      </c>
      <c r="AE440" s="36" t="n">
        <f aca="false">IF($W440="DESPESA",$F440,0)</f>
        <v>0</v>
      </c>
      <c r="AF440" s="36" t="n">
        <f aca="false">IF($W440="RECEITA_FINANCEIRA",$F440,0)</f>
        <v>0</v>
      </c>
      <c r="AG440" s="36" t="n">
        <f aca="false">IF($B440="",0,IF($I440="CONTA",$F440,0)-IF($G440="CONTA",$F440,0))</f>
        <v>0</v>
      </c>
      <c r="AH440" s="36" t="n">
        <f aca="false">IF($B440="",0,IF($G440="CARTAO",$F440,0)-IF($I440="CARTAO",$F440,0))</f>
        <v>0</v>
      </c>
      <c r="AI440" s="36" t="n">
        <f aca="false">IF($B440="",0,IF($I440="INVESTIMENTO",$F440,0)-IF($G440="INVESTIMENTO",$F440,0))</f>
        <v>0</v>
      </c>
      <c r="AJ440" s="35" t="str">
        <f aca="false">IF($B440="","",IF(NOT(ISNUMBER($F440)),"ERRO: valor nao numerico",IF($F440&lt;=0,"ERRO: valor deve ser maior que zero",IF(COUNTIF(MAP_TIPO,$D440)=0,"ERRO: tipo de operacao nao cadastrado",IF(COUNTIF(LST_STATUS,$E440)=0,"ERRO: status invalido",IF(AND($G440="EXTERNO",$I440="EXTERNO"),"ERRO: origem e destino externos",IF(AND($G440&lt;&gt;"EXTERNO",COUNTIFS(ENT_ID,$H440,ENT_TIPO,$G440)=0),"ERRO: origem inexistente",IF(AND($I440&lt;&gt;"EXTERNO",COUNTIFS(ENT_ID,$J440,ENT_TIPO,$I440)=0),"ERRO: destino inexistente",IF(AND($K440&lt;&gt;"",COUNTIF(CAT_ID,$K440)=0),"ERRO: categoria inexistente",IF(AND($L440&lt;&gt;"",COUNTIF(SUB_ID,$L440)=0),"ERRO: subcategoria inexistente",IF(AND($L440&lt;&gt;"",$K440&lt;&gt;"",IFERROR(INDEX(SUB_CATID,MATCH($L440,SUB_ID,0)),"")&lt;&gt;$K440),"ERRO: subcategoria nao pertence a categoria",IF(AND($O440&lt;&gt;"",COUNTIF(P_ID,$O440)=0),"ERRO: parcela inexistente",IF(AND($N440&lt;&gt;"",COUNTIF(CM_ID,$N440)=0),"ERRO: compromisso inexistente","OK")))))))))))))</f>
        <v/>
      </c>
      <c r="AK440" s="35" t="str">
        <f aca="false">IF($B440="","",IF(AND($N440="",$O440="",$P440="",$Q440="",$R440=""),"","VINCULADO: "&amp;TRIM(IF($N440&lt;&gt;"",$N440&amp;" ","")&amp;IF($O440&lt;&gt;"",$O440&amp;" ","")&amp;IF($P440&lt;&gt;"",$P440&amp;" ","")&amp;IF($Q440&lt;&gt;"",$Q440&amp;" ","")&amp;IF($R440&lt;&gt;"",$R440,""))))</f>
        <v/>
      </c>
    </row>
    <row r="441" customFormat="false" ht="15" hidden="false" customHeight="false" outlineLevel="0" collapsed="false">
      <c r="A441" s="30" t="str">
        <f aca="false">IF($B441="","","LAN-"&amp;TEXT(ROW()-4,"000000"))</f>
        <v/>
      </c>
      <c r="B441" s="31"/>
      <c r="C441" s="32"/>
      <c r="D441" s="32"/>
      <c r="E441" s="32"/>
      <c r="F441" s="33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4" t="str">
        <f aca="false">IF($B441="","",YEAR($B441))</f>
        <v/>
      </c>
      <c r="U441" s="34" t="str">
        <f aca="false">IF($B441="","",MONTH($B441))</f>
        <v/>
      </c>
      <c r="V441" s="34" t="str">
        <f aca="false">IF($B441="","",YEAR($B441)*100+MONTH($B441))</f>
        <v/>
      </c>
      <c r="W441" s="35" t="str">
        <f aca="false">IF($D441="","",IFERROR(INDEX(MAP_CLASS,MATCH($D441,MAP_TIPO,0)),"TIPO INVALIDO"))</f>
        <v/>
      </c>
      <c r="X441" s="35" t="str">
        <f aca="false">IF($K441="","",IFERROR(INDEX(CAT_NOME,MATCH($K441,CAT_ID,0)),"?"))</f>
        <v/>
      </c>
      <c r="Y441" s="35" t="str">
        <f aca="false">IF($L441="","",IFERROR(INDEX(SUB_NOME,MATCH($L441,SUB_ID,0)),"?"))</f>
        <v/>
      </c>
      <c r="Z441" s="35" t="str">
        <f aca="false">IF($G441="","",IF($G441="EXTERNO","(Externo)",IFERROR(INDEX(ENT_NOME,MATCH($H441,ENT_ID,0)),"?")))</f>
        <v/>
      </c>
      <c r="AA441" s="35" t="str">
        <f aca="false">IF($I441="","",IF($I441="EXTERNO","(Externo)",IFERROR(INDEX(ENT_NOME,MATCH($J441,ENT_ID,0)),"?")))</f>
        <v/>
      </c>
      <c r="AB441" s="36" t="n">
        <f aca="false">IF($B441="",0,IF(AND($I441="CONTA",$G441&lt;&gt;"CONTA"),$F441,0))</f>
        <v>0</v>
      </c>
      <c r="AC441" s="36" t="n">
        <f aca="false">IF($B441="",0,IF(AND($G441="CONTA",$I441&lt;&gt;"CONTA"),$F441,0))</f>
        <v>0</v>
      </c>
      <c r="AD441" s="36" t="n">
        <f aca="false">IF($W441="RECEITA",$F441,0)</f>
        <v>0</v>
      </c>
      <c r="AE441" s="36" t="n">
        <f aca="false">IF($W441="DESPESA",$F441,0)</f>
        <v>0</v>
      </c>
      <c r="AF441" s="36" t="n">
        <f aca="false">IF($W441="RECEITA_FINANCEIRA",$F441,0)</f>
        <v>0</v>
      </c>
      <c r="AG441" s="36" t="n">
        <f aca="false">IF($B441="",0,IF($I441="CONTA",$F441,0)-IF($G441="CONTA",$F441,0))</f>
        <v>0</v>
      </c>
      <c r="AH441" s="36" t="n">
        <f aca="false">IF($B441="",0,IF($G441="CARTAO",$F441,0)-IF($I441="CARTAO",$F441,0))</f>
        <v>0</v>
      </c>
      <c r="AI441" s="36" t="n">
        <f aca="false">IF($B441="",0,IF($I441="INVESTIMENTO",$F441,0)-IF($G441="INVESTIMENTO",$F441,0))</f>
        <v>0</v>
      </c>
      <c r="AJ441" s="35" t="str">
        <f aca="false">IF($B441="","",IF(NOT(ISNUMBER($F441)),"ERRO: valor nao numerico",IF($F441&lt;=0,"ERRO: valor deve ser maior que zero",IF(COUNTIF(MAP_TIPO,$D441)=0,"ERRO: tipo de operacao nao cadastrado",IF(COUNTIF(LST_STATUS,$E441)=0,"ERRO: status invalido",IF(AND($G441="EXTERNO",$I441="EXTERNO"),"ERRO: origem e destino externos",IF(AND($G441&lt;&gt;"EXTERNO",COUNTIFS(ENT_ID,$H441,ENT_TIPO,$G441)=0),"ERRO: origem inexistente",IF(AND($I441&lt;&gt;"EXTERNO",COUNTIFS(ENT_ID,$J441,ENT_TIPO,$I441)=0),"ERRO: destino inexistente",IF(AND($K441&lt;&gt;"",COUNTIF(CAT_ID,$K441)=0),"ERRO: categoria inexistente",IF(AND($L441&lt;&gt;"",COUNTIF(SUB_ID,$L441)=0),"ERRO: subcategoria inexistente",IF(AND($L441&lt;&gt;"",$K441&lt;&gt;"",IFERROR(INDEX(SUB_CATID,MATCH($L441,SUB_ID,0)),"")&lt;&gt;$K441),"ERRO: subcategoria nao pertence a categoria",IF(AND($O441&lt;&gt;"",COUNTIF(P_ID,$O441)=0),"ERRO: parcela inexistente",IF(AND($N441&lt;&gt;"",COUNTIF(CM_ID,$N441)=0),"ERRO: compromisso inexistente","OK")))))))))))))</f>
        <v/>
      </c>
      <c r="AK441" s="35" t="str">
        <f aca="false">IF($B441="","",IF(AND($N441="",$O441="",$P441="",$Q441="",$R441=""),"","VINCULADO: "&amp;TRIM(IF($N441&lt;&gt;"",$N441&amp;" ","")&amp;IF($O441&lt;&gt;"",$O441&amp;" ","")&amp;IF($P441&lt;&gt;"",$P441&amp;" ","")&amp;IF($Q441&lt;&gt;"",$Q441&amp;" ","")&amp;IF($R441&lt;&gt;"",$R441,""))))</f>
        <v/>
      </c>
    </row>
    <row r="442" customFormat="false" ht="15" hidden="false" customHeight="false" outlineLevel="0" collapsed="false">
      <c r="A442" s="30" t="str">
        <f aca="false">IF($B442="","","LAN-"&amp;TEXT(ROW()-4,"000000"))</f>
        <v/>
      </c>
      <c r="B442" s="31"/>
      <c r="C442" s="32"/>
      <c r="D442" s="32"/>
      <c r="E442" s="32"/>
      <c r="F442" s="33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4" t="str">
        <f aca="false">IF($B442="","",YEAR($B442))</f>
        <v/>
      </c>
      <c r="U442" s="34" t="str">
        <f aca="false">IF($B442="","",MONTH($B442))</f>
        <v/>
      </c>
      <c r="V442" s="34" t="str">
        <f aca="false">IF($B442="","",YEAR($B442)*100+MONTH($B442))</f>
        <v/>
      </c>
      <c r="W442" s="35" t="str">
        <f aca="false">IF($D442="","",IFERROR(INDEX(MAP_CLASS,MATCH($D442,MAP_TIPO,0)),"TIPO INVALIDO"))</f>
        <v/>
      </c>
      <c r="X442" s="35" t="str">
        <f aca="false">IF($K442="","",IFERROR(INDEX(CAT_NOME,MATCH($K442,CAT_ID,0)),"?"))</f>
        <v/>
      </c>
      <c r="Y442" s="35" t="str">
        <f aca="false">IF($L442="","",IFERROR(INDEX(SUB_NOME,MATCH($L442,SUB_ID,0)),"?"))</f>
        <v/>
      </c>
      <c r="Z442" s="35" t="str">
        <f aca="false">IF($G442="","",IF($G442="EXTERNO","(Externo)",IFERROR(INDEX(ENT_NOME,MATCH($H442,ENT_ID,0)),"?")))</f>
        <v/>
      </c>
      <c r="AA442" s="35" t="str">
        <f aca="false">IF($I442="","",IF($I442="EXTERNO","(Externo)",IFERROR(INDEX(ENT_NOME,MATCH($J442,ENT_ID,0)),"?")))</f>
        <v/>
      </c>
      <c r="AB442" s="36" t="n">
        <f aca="false">IF($B442="",0,IF(AND($I442="CONTA",$G442&lt;&gt;"CONTA"),$F442,0))</f>
        <v>0</v>
      </c>
      <c r="AC442" s="36" t="n">
        <f aca="false">IF($B442="",0,IF(AND($G442="CONTA",$I442&lt;&gt;"CONTA"),$F442,0))</f>
        <v>0</v>
      </c>
      <c r="AD442" s="36" t="n">
        <f aca="false">IF($W442="RECEITA",$F442,0)</f>
        <v>0</v>
      </c>
      <c r="AE442" s="36" t="n">
        <f aca="false">IF($W442="DESPESA",$F442,0)</f>
        <v>0</v>
      </c>
      <c r="AF442" s="36" t="n">
        <f aca="false">IF($W442="RECEITA_FINANCEIRA",$F442,0)</f>
        <v>0</v>
      </c>
      <c r="AG442" s="36" t="n">
        <f aca="false">IF($B442="",0,IF($I442="CONTA",$F442,0)-IF($G442="CONTA",$F442,0))</f>
        <v>0</v>
      </c>
      <c r="AH442" s="36" t="n">
        <f aca="false">IF($B442="",0,IF($G442="CARTAO",$F442,0)-IF($I442="CARTAO",$F442,0))</f>
        <v>0</v>
      </c>
      <c r="AI442" s="36" t="n">
        <f aca="false">IF($B442="",0,IF($I442="INVESTIMENTO",$F442,0)-IF($G442="INVESTIMENTO",$F442,0))</f>
        <v>0</v>
      </c>
      <c r="AJ442" s="35" t="str">
        <f aca="false">IF($B442="","",IF(NOT(ISNUMBER($F442)),"ERRO: valor nao numerico",IF($F442&lt;=0,"ERRO: valor deve ser maior que zero",IF(COUNTIF(MAP_TIPO,$D442)=0,"ERRO: tipo de operacao nao cadastrado",IF(COUNTIF(LST_STATUS,$E442)=0,"ERRO: status invalido",IF(AND($G442="EXTERNO",$I442="EXTERNO"),"ERRO: origem e destino externos",IF(AND($G442&lt;&gt;"EXTERNO",COUNTIFS(ENT_ID,$H442,ENT_TIPO,$G442)=0),"ERRO: origem inexistente",IF(AND($I442&lt;&gt;"EXTERNO",COUNTIFS(ENT_ID,$J442,ENT_TIPO,$I442)=0),"ERRO: destino inexistente",IF(AND($K442&lt;&gt;"",COUNTIF(CAT_ID,$K442)=0),"ERRO: categoria inexistente",IF(AND($L442&lt;&gt;"",COUNTIF(SUB_ID,$L442)=0),"ERRO: subcategoria inexistente",IF(AND($L442&lt;&gt;"",$K442&lt;&gt;"",IFERROR(INDEX(SUB_CATID,MATCH($L442,SUB_ID,0)),"")&lt;&gt;$K442),"ERRO: subcategoria nao pertence a categoria",IF(AND($O442&lt;&gt;"",COUNTIF(P_ID,$O442)=0),"ERRO: parcela inexistente",IF(AND($N442&lt;&gt;"",COUNTIF(CM_ID,$N442)=0),"ERRO: compromisso inexistente","OK")))))))))))))</f>
        <v/>
      </c>
      <c r="AK442" s="35" t="str">
        <f aca="false">IF($B442="","",IF(AND($N442="",$O442="",$P442="",$Q442="",$R442=""),"","VINCULADO: "&amp;TRIM(IF($N442&lt;&gt;"",$N442&amp;" ","")&amp;IF($O442&lt;&gt;"",$O442&amp;" ","")&amp;IF($P442&lt;&gt;"",$P442&amp;" ","")&amp;IF($Q442&lt;&gt;"",$Q442&amp;" ","")&amp;IF($R442&lt;&gt;"",$R442,""))))</f>
        <v/>
      </c>
    </row>
    <row r="443" customFormat="false" ht="15" hidden="false" customHeight="false" outlineLevel="0" collapsed="false">
      <c r="A443" s="30" t="str">
        <f aca="false">IF($B443="","","LAN-"&amp;TEXT(ROW()-4,"000000"))</f>
        <v/>
      </c>
      <c r="B443" s="31"/>
      <c r="C443" s="32"/>
      <c r="D443" s="32"/>
      <c r="E443" s="32"/>
      <c r="F443" s="33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4" t="str">
        <f aca="false">IF($B443="","",YEAR($B443))</f>
        <v/>
      </c>
      <c r="U443" s="34" t="str">
        <f aca="false">IF($B443="","",MONTH($B443))</f>
        <v/>
      </c>
      <c r="V443" s="34" t="str">
        <f aca="false">IF($B443="","",YEAR($B443)*100+MONTH($B443))</f>
        <v/>
      </c>
      <c r="W443" s="35" t="str">
        <f aca="false">IF($D443="","",IFERROR(INDEX(MAP_CLASS,MATCH($D443,MAP_TIPO,0)),"TIPO INVALIDO"))</f>
        <v/>
      </c>
      <c r="X443" s="35" t="str">
        <f aca="false">IF($K443="","",IFERROR(INDEX(CAT_NOME,MATCH($K443,CAT_ID,0)),"?"))</f>
        <v/>
      </c>
      <c r="Y443" s="35" t="str">
        <f aca="false">IF($L443="","",IFERROR(INDEX(SUB_NOME,MATCH($L443,SUB_ID,0)),"?"))</f>
        <v/>
      </c>
      <c r="Z443" s="35" t="str">
        <f aca="false">IF($G443="","",IF($G443="EXTERNO","(Externo)",IFERROR(INDEX(ENT_NOME,MATCH($H443,ENT_ID,0)),"?")))</f>
        <v/>
      </c>
      <c r="AA443" s="35" t="str">
        <f aca="false">IF($I443="","",IF($I443="EXTERNO","(Externo)",IFERROR(INDEX(ENT_NOME,MATCH($J443,ENT_ID,0)),"?")))</f>
        <v/>
      </c>
      <c r="AB443" s="36" t="n">
        <f aca="false">IF($B443="",0,IF(AND($I443="CONTA",$G443&lt;&gt;"CONTA"),$F443,0))</f>
        <v>0</v>
      </c>
      <c r="AC443" s="36" t="n">
        <f aca="false">IF($B443="",0,IF(AND($G443="CONTA",$I443&lt;&gt;"CONTA"),$F443,0))</f>
        <v>0</v>
      </c>
      <c r="AD443" s="36" t="n">
        <f aca="false">IF($W443="RECEITA",$F443,0)</f>
        <v>0</v>
      </c>
      <c r="AE443" s="36" t="n">
        <f aca="false">IF($W443="DESPESA",$F443,0)</f>
        <v>0</v>
      </c>
      <c r="AF443" s="36" t="n">
        <f aca="false">IF($W443="RECEITA_FINANCEIRA",$F443,0)</f>
        <v>0</v>
      </c>
      <c r="AG443" s="36" t="n">
        <f aca="false">IF($B443="",0,IF($I443="CONTA",$F443,0)-IF($G443="CONTA",$F443,0))</f>
        <v>0</v>
      </c>
      <c r="AH443" s="36" t="n">
        <f aca="false">IF($B443="",0,IF($G443="CARTAO",$F443,0)-IF($I443="CARTAO",$F443,0))</f>
        <v>0</v>
      </c>
      <c r="AI443" s="36" t="n">
        <f aca="false">IF($B443="",0,IF($I443="INVESTIMENTO",$F443,0)-IF($G443="INVESTIMENTO",$F443,0))</f>
        <v>0</v>
      </c>
      <c r="AJ443" s="35" t="str">
        <f aca="false">IF($B443="","",IF(NOT(ISNUMBER($F443)),"ERRO: valor nao numerico",IF($F443&lt;=0,"ERRO: valor deve ser maior que zero",IF(COUNTIF(MAP_TIPO,$D443)=0,"ERRO: tipo de operacao nao cadastrado",IF(COUNTIF(LST_STATUS,$E443)=0,"ERRO: status invalido",IF(AND($G443="EXTERNO",$I443="EXTERNO"),"ERRO: origem e destino externos",IF(AND($G443&lt;&gt;"EXTERNO",COUNTIFS(ENT_ID,$H443,ENT_TIPO,$G443)=0),"ERRO: origem inexistente",IF(AND($I443&lt;&gt;"EXTERNO",COUNTIFS(ENT_ID,$J443,ENT_TIPO,$I443)=0),"ERRO: destino inexistente",IF(AND($K443&lt;&gt;"",COUNTIF(CAT_ID,$K443)=0),"ERRO: categoria inexistente",IF(AND($L443&lt;&gt;"",COUNTIF(SUB_ID,$L443)=0),"ERRO: subcategoria inexistente",IF(AND($L443&lt;&gt;"",$K443&lt;&gt;"",IFERROR(INDEX(SUB_CATID,MATCH($L443,SUB_ID,0)),"")&lt;&gt;$K443),"ERRO: subcategoria nao pertence a categoria",IF(AND($O443&lt;&gt;"",COUNTIF(P_ID,$O443)=0),"ERRO: parcela inexistente",IF(AND($N443&lt;&gt;"",COUNTIF(CM_ID,$N443)=0),"ERRO: compromisso inexistente","OK")))))))))))))</f>
        <v/>
      </c>
      <c r="AK443" s="35" t="str">
        <f aca="false">IF($B443="","",IF(AND($N443="",$O443="",$P443="",$Q443="",$R443=""),"","VINCULADO: "&amp;TRIM(IF($N443&lt;&gt;"",$N443&amp;" ","")&amp;IF($O443&lt;&gt;"",$O443&amp;" ","")&amp;IF($P443&lt;&gt;"",$P443&amp;" ","")&amp;IF($Q443&lt;&gt;"",$Q443&amp;" ","")&amp;IF($R443&lt;&gt;"",$R443,""))))</f>
        <v/>
      </c>
    </row>
    <row r="444" customFormat="false" ht="15" hidden="false" customHeight="false" outlineLevel="0" collapsed="false">
      <c r="A444" s="30" t="str">
        <f aca="false">IF($B444="","","LAN-"&amp;TEXT(ROW()-4,"000000"))</f>
        <v/>
      </c>
      <c r="B444" s="31"/>
      <c r="C444" s="32"/>
      <c r="D444" s="32"/>
      <c r="E444" s="32"/>
      <c r="F444" s="33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4" t="str">
        <f aca="false">IF($B444="","",YEAR($B444))</f>
        <v/>
      </c>
      <c r="U444" s="34" t="str">
        <f aca="false">IF($B444="","",MONTH($B444))</f>
        <v/>
      </c>
      <c r="V444" s="34" t="str">
        <f aca="false">IF($B444="","",YEAR($B444)*100+MONTH($B444))</f>
        <v/>
      </c>
      <c r="W444" s="35" t="str">
        <f aca="false">IF($D444="","",IFERROR(INDEX(MAP_CLASS,MATCH($D444,MAP_TIPO,0)),"TIPO INVALIDO"))</f>
        <v/>
      </c>
      <c r="X444" s="35" t="str">
        <f aca="false">IF($K444="","",IFERROR(INDEX(CAT_NOME,MATCH($K444,CAT_ID,0)),"?"))</f>
        <v/>
      </c>
      <c r="Y444" s="35" t="str">
        <f aca="false">IF($L444="","",IFERROR(INDEX(SUB_NOME,MATCH($L444,SUB_ID,0)),"?"))</f>
        <v/>
      </c>
      <c r="Z444" s="35" t="str">
        <f aca="false">IF($G444="","",IF($G444="EXTERNO","(Externo)",IFERROR(INDEX(ENT_NOME,MATCH($H444,ENT_ID,0)),"?")))</f>
        <v/>
      </c>
      <c r="AA444" s="35" t="str">
        <f aca="false">IF($I444="","",IF($I444="EXTERNO","(Externo)",IFERROR(INDEX(ENT_NOME,MATCH($J444,ENT_ID,0)),"?")))</f>
        <v/>
      </c>
      <c r="AB444" s="36" t="n">
        <f aca="false">IF($B444="",0,IF(AND($I444="CONTA",$G444&lt;&gt;"CONTA"),$F444,0))</f>
        <v>0</v>
      </c>
      <c r="AC444" s="36" t="n">
        <f aca="false">IF($B444="",0,IF(AND($G444="CONTA",$I444&lt;&gt;"CONTA"),$F444,0))</f>
        <v>0</v>
      </c>
      <c r="AD444" s="36" t="n">
        <f aca="false">IF($W444="RECEITA",$F444,0)</f>
        <v>0</v>
      </c>
      <c r="AE444" s="36" t="n">
        <f aca="false">IF($W444="DESPESA",$F444,0)</f>
        <v>0</v>
      </c>
      <c r="AF444" s="36" t="n">
        <f aca="false">IF($W444="RECEITA_FINANCEIRA",$F444,0)</f>
        <v>0</v>
      </c>
      <c r="AG444" s="36" t="n">
        <f aca="false">IF($B444="",0,IF($I444="CONTA",$F444,0)-IF($G444="CONTA",$F444,0))</f>
        <v>0</v>
      </c>
      <c r="AH444" s="36" t="n">
        <f aca="false">IF($B444="",0,IF($G444="CARTAO",$F444,0)-IF($I444="CARTAO",$F444,0))</f>
        <v>0</v>
      </c>
      <c r="AI444" s="36" t="n">
        <f aca="false">IF($B444="",0,IF($I444="INVESTIMENTO",$F444,0)-IF($G444="INVESTIMENTO",$F444,0))</f>
        <v>0</v>
      </c>
      <c r="AJ444" s="35" t="str">
        <f aca="false">IF($B444="","",IF(NOT(ISNUMBER($F444)),"ERRO: valor nao numerico",IF($F444&lt;=0,"ERRO: valor deve ser maior que zero",IF(COUNTIF(MAP_TIPO,$D444)=0,"ERRO: tipo de operacao nao cadastrado",IF(COUNTIF(LST_STATUS,$E444)=0,"ERRO: status invalido",IF(AND($G444="EXTERNO",$I444="EXTERNO"),"ERRO: origem e destino externos",IF(AND($G444&lt;&gt;"EXTERNO",COUNTIFS(ENT_ID,$H444,ENT_TIPO,$G444)=0),"ERRO: origem inexistente",IF(AND($I444&lt;&gt;"EXTERNO",COUNTIFS(ENT_ID,$J444,ENT_TIPO,$I444)=0),"ERRO: destino inexistente",IF(AND($K444&lt;&gt;"",COUNTIF(CAT_ID,$K444)=0),"ERRO: categoria inexistente",IF(AND($L444&lt;&gt;"",COUNTIF(SUB_ID,$L444)=0),"ERRO: subcategoria inexistente",IF(AND($L444&lt;&gt;"",$K444&lt;&gt;"",IFERROR(INDEX(SUB_CATID,MATCH($L444,SUB_ID,0)),"")&lt;&gt;$K444),"ERRO: subcategoria nao pertence a categoria",IF(AND($O444&lt;&gt;"",COUNTIF(P_ID,$O444)=0),"ERRO: parcela inexistente",IF(AND($N444&lt;&gt;"",COUNTIF(CM_ID,$N444)=0),"ERRO: compromisso inexistente","OK")))))))))))))</f>
        <v/>
      </c>
      <c r="AK444" s="35" t="str">
        <f aca="false">IF($B444="","",IF(AND($N444="",$O444="",$P444="",$Q444="",$R444=""),"","VINCULADO: "&amp;TRIM(IF($N444&lt;&gt;"",$N444&amp;" ","")&amp;IF($O444&lt;&gt;"",$O444&amp;" ","")&amp;IF($P444&lt;&gt;"",$P444&amp;" ","")&amp;IF($Q444&lt;&gt;"",$Q444&amp;" ","")&amp;IF($R444&lt;&gt;"",$R444,""))))</f>
        <v/>
      </c>
    </row>
    <row r="445" customFormat="false" ht="15" hidden="false" customHeight="false" outlineLevel="0" collapsed="false">
      <c r="A445" s="30" t="str">
        <f aca="false">IF($B445="","","LAN-"&amp;TEXT(ROW()-4,"000000"))</f>
        <v/>
      </c>
      <c r="B445" s="31"/>
      <c r="C445" s="32"/>
      <c r="D445" s="32"/>
      <c r="E445" s="32"/>
      <c r="F445" s="33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4" t="str">
        <f aca="false">IF($B445="","",YEAR($B445))</f>
        <v/>
      </c>
      <c r="U445" s="34" t="str">
        <f aca="false">IF($B445="","",MONTH($B445))</f>
        <v/>
      </c>
      <c r="V445" s="34" t="str">
        <f aca="false">IF($B445="","",YEAR($B445)*100+MONTH($B445))</f>
        <v/>
      </c>
      <c r="W445" s="35" t="str">
        <f aca="false">IF($D445="","",IFERROR(INDEX(MAP_CLASS,MATCH($D445,MAP_TIPO,0)),"TIPO INVALIDO"))</f>
        <v/>
      </c>
      <c r="X445" s="35" t="str">
        <f aca="false">IF($K445="","",IFERROR(INDEX(CAT_NOME,MATCH($K445,CAT_ID,0)),"?"))</f>
        <v/>
      </c>
      <c r="Y445" s="35" t="str">
        <f aca="false">IF($L445="","",IFERROR(INDEX(SUB_NOME,MATCH($L445,SUB_ID,0)),"?"))</f>
        <v/>
      </c>
      <c r="Z445" s="35" t="str">
        <f aca="false">IF($G445="","",IF($G445="EXTERNO","(Externo)",IFERROR(INDEX(ENT_NOME,MATCH($H445,ENT_ID,0)),"?")))</f>
        <v/>
      </c>
      <c r="AA445" s="35" t="str">
        <f aca="false">IF($I445="","",IF($I445="EXTERNO","(Externo)",IFERROR(INDEX(ENT_NOME,MATCH($J445,ENT_ID,0)),"?")))</f>
        <v/>
      </c>
      <c r="AB445" s="36" t="n">
        <f aca="false">IF($B445="",0,IF(AND($I445="CONTA",$G445&lt;&gt;"CONTA"),$F445,0))</f>
        <v>0</v>
      </c>
      <c r="AC445" s="36" t="n">
        <f aca="false">IF($B445="",0,IF(AND($G445="CONTA",$I445&lt;&gt;"CONTA"),$F445,0))</f>
        <v>0</v>
      </c>
      <c r="AD445" s="36" t="n">
        <f aca="false">IF($W445="RECEITA",$F445,0)</f>
        <v>0</v>
      </c>
      <c r="AE445" s="36" t="n">
        <f aca="false">IF($W445="DESPESA",$F445,0)</f>
        <v>0</v>
      </c>
      <c r="AF445" s="36" t="n">
        <f aca="false">IF($W445="RECEITA_FINANCEIRA",$F445,0)</f>
        <v>0</v>
      </c>
      <c r="AG445" s="36" t="n">
        <f aca="false">IF($B445="",0,IF($I445="CONTA",$F445,0)-IF($G445="CONTA",$F445,0))</f>
        <v>0</v>
      </c>
      <c r="AH445" s="36" t="n">
        <f aca="false">IF($B445="",0,IF($G445="CARTAO",$F445,0)-IF($I445="CARTAO",$F445,0))</f>
        <v>0</v>
      </c>
      <c r="AI445" s="36" t="n">
        <f aca="false">IF($B445="",0,IF($I445="INVESTIMENTO",$F445,0)-IF($G445="INVESTIMENTO",$F445,0))</f>
        <v>0</v>
      </c>
      <c r="AJ445" s="35" t="str">
        <f aca="false">IF($B445="","",IF(NOT(ISNUMBER($F445)),"ERRO: valor nao numerico",IF($F445&lt;=0,"ERRO: valor deve ser maior que zero",IF(COUNTIF(MAP_TIPO,$D445)=0,"ERRO: tipo de operacao nao cadastrado",IF(COUNTIF(LST_STATUS,$E445)=0,"ERRO: status invalido",IF(AND($G445="EXTERNO",$I445="EXTERNO"),"ERRO: origem e destino externos",IF(AND($G445&lt;&gt;"EXTERNO",COUNTIFS(ENT_ID,$H445,ENT_TIPO,$G445)=0),"ERRO: origem inexistente",IF(AND($I445&lt;&gt;"EXTERNO",COUNTIFS(ENT_ID,$J445,ENT_TIPO,$I445)=0),"ERRO: destino inexistente",IF(AND($K445&lt;&gt;"",COUNTIF(CAT_ID,$K445)=0),"ERRO: categoria inexistente",IF(AND($L445&lt;&gt;"",COUNTIF(SUB_ID,$L445)=0),"ERRO: subcategoria inexistente",IF(AND($L445&lt;&gt;"",$K445&lt;&gt;"",IFERROR(INDEX(SUB_CATID,MATCH($L445,SUB_ID,0)),"")&lt;&gt;$K445),"ERRO: subcategoria nao pertence a categoria",IF(AND($O445&lt;&gt;"",COUNTIF(P_ID,$O445)=0),"ERRO: parcela inexistente",IF(AND($N445&lt;&gt;"",COUNTIF(CM_ID,$N445)=0),"ERRO: compromisso inexistente","OK")))))))))))))</f>
        <v/>
      </c>
      <c r="AK445" s="35" t="str">
        <f aca="false">IF($B445="","",IF(AND($N445="",$O445="",$P445="",$Q445="",$R445=""),"","VINCULADO: "&amp;TRIM(IF($N445&lt;&gt;"",$N445&amp;" ","")&amp;IF($O445&lt;&gt;"",$O445&amp;" ","")&amp;IF($P445&lt;&gt;"",$P445&amp;" ","")&amp;IF($Q445&lt;&gt;"",$Q445&amp;" ","")&amp;IF($R445&lt;&gt;"",$R445,""))))</f>
        <v/>
      </c>
    </row>
    <row r="446" customFormat="false" ht="15" hidden="false" customHeight="false" outlineLevel="0" collapsed="false">
      <c r="A446" s="30" t="str">
        <f aca="false">IF($B446="","","LAN-"&amp;TEXT(ROW()-4,"000000"))</f>
        <v/>
      </c>
      <c r="B446" s="31"/>
      <c r="C446" s="32"/>
      <c r="D446" s="32"/>
      <c r="E446" s="32"/>
      <c r="F446" s="33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4" t="str">
        <f aca="false">IF($B446="","",YEAR($B446))</f>
        <v/>
      </c>
      <c r="U446" s="34" t="str">
        <f aca="false">IF($B446="","",MONTH($B446))</f>
        <v/>
      </c>
      <c r="V446" s="34" t="str">
        <f aca="false">IF($B446="","",YEAR($B446)*100+MONTH($B446))</f>
        <v/>
      </c>
      <c r="W446" s="35" t="str">
        <f aca="false">IF($D446="","",IFERROR(INDEX(MAP_CLASS,MATCH($D446,MAP_TIPO,0)),"TIPO INVALIDO"))</f>
        <v/>
      </c>
      <c r="X446" s="35" t="str">
        <f aca="false">IF($K446="","",IFERROR(INDEX(CAT_NOME,MATCH($K446,CAT_ID,0)),"?"))</f>
        <v/>
      </c>
      <c r="Y446" s="35" t="str">
        <f aca="false">IF($L446="","",IFERROR(INDEX(SUB_NOME,MATCH($L446,SUB_ID,0)),"?"))</f>
        <v/>
      </c>
      <c r="Z446" s="35" t="str">
        <f aca="false">IF($G446="","",IF($G446="EXTERNO","(Externo)",IFERROR(INDEX(ENT_NOME,MATCH($H446,ENT_ID,0)),"?")))</f>
        <v/>
      </c>
      <c r="AA446" s="35" t="str">
        <f aca="false">IF($I446="","",IF($I446="EXTERNO","(Externo)",IFERROR(INDEX(ENT_NOME,MATCH($J446,ENT_ID,0)),"?")))</f>
        <v/>
      </c>
      <c r="AB446" s="36" t="n">
        <f aca="false">IF($B446="",0,IF(AND($I446="CONTA",$G446&lt;&gt;"CONTA"),$F446,0))</f>
        <v>0</v>
      </c>
      <c r="AC446" s="36" t="n">
        <f aca="false">IF($B446="",0,IF(AND($G446="CONTA",$I446&lt;&gt;"CONTA"),$F446,0))</f>
        <v>0</v>
      </c>
      <c r="AD446" s="36" t="n">
        <f aca="false">IF($W446="RECEITA",$F446,0)</f>
        <v>0</v>
      </c>
      <c r="AE446" s="36" t="n">
        <f aca="false">IF($W446="DESPESA",$F446,0)</f>
        <v>0</v>
      </c>
      <c r="AF446" s="36" t="n">
        <f aca="false">IF($W446="RECEITA_FINANCEIRA",$F446,0)</f>
        <v>0</v>
      </c>
      <c r="AG446" s="36" t="n">
        <f aca="false">IF($B446="",0,IF($I446="CONTA",$F446,0)-IF($G446="CONTA",$F446,0))</f>
        <v>0</v>
      </c>
      <c r="AH446" s="36" t="n">
        <f aca="false">IF($B446="",0,IF($G446="CARTAO",$F446,0)-IF($I446="CARTAO",$F446,0))</f>
        <v>0</v>
      </c>
      <c r="AI446" s="36" t="n">
        <f aca="false">IF($B446="",0,IF($I446="INVESTIMENTO",$F446,0)-IF($G446="INVESTIMENTO",$F446,0))</f>
        <v>0</v>
      </c>
      <c r="AJ446" s="35" t="str">
        <f aca="false">IF($B446="","",IF(NOT(ISNUMBER($F446)),"ERRO: valor nao numerico",IF($F446&lt;=0,"ERRO: valor deve ser maior que zero",IF(COUNTIF(MAP_TIPO,$D446)=0,"ERRO: tipo de operacao nao cadastrado",IF(COUNTIF(LST_STATUS,$E446)=0,"ERRO: status invalido",IF(AND($G446="EXTERNO",$I446="EXTERNO"),"ERRO: origem e destino externos",IF(AND($G446&lt;&gt;"EXTERNO",COUNTIFS(ENT_ID,$H446,ENT_TIPO,$G446)=0),"ERRO: origem inexistente",IF(AND($I446&lt;&gt;"EXTERNO",COUNTIFS(ENT_ID,$J446,ENT_TIPO,$I446)=0),"ERRO: destino inexistente",IF(AND($K446&lt;&gt;"",COUNTIF(CAT_ID,$K446)=0),"ERRO: categoria inexistente",IF(AND($L446&lt;&gt;"",COUNTIF(SUB_ID,$L446)=0),"ERRO: subcategoria inexistente",IF(AND($L446&lt;&gt;"",$K446&lt;&gt;"",IFERROR(INDEX(SUB_CATID,MATCH($L446,SUB_ID,0)),"")&lt;&gt;$K446),"ERRO: subcategoria nao pertence a categoria",IF(AND($O446&lt;&gt;"",COUNTIF(P_ID,$O446)=0),"ERRO: parcela inexistente",IF(AND($N446&lt;&gt;"",COUNTIF(CM_ID,$N446)=0),"ERRO: compromisso inexistente","OK")))))))))))))</f>
        <v/>
      </c>
      <c r="AK446" s="35" t="str">
        <f aca="false">IF($B446="","",IF(AND($N446="",$O446="",$P446="",$Q446="",$R446=""),"","VINCULADO: "&amp;TRIM(IF($N446&lt;&gt;"",$N446&amp;" ","")&amp;IF($O446&lt;&gt;"",$O446&amp;" ","")&amp;IF($P446&lt;&gt;"",$P446&amp;" ","")&amp;IF($Q446&lt;&gt;"",$Q446&amp;" ","")&amp;IF($R446&lt;&gt;"",$R446,""))))</f>
        <v/>
      </c>
    </row>
    <row r="447" customFormat="false" ht="15" hidden="false" customHeight="false" outlineLevel="0" collapsed="false">
      <c r="A447" s="30" t="str">
        <f aca="false">IF($B447="","","LAN-"&amp;TEXT(ROW()-4,"000000"))</f>
        <v/>
      </c>
      <c r="B447" s="31"/>
      <c r="C447" s="32"/>
      <c r="D447" s="32"/>
      <c r="E447" s="32"/>
      <c r="F447" s="33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4" t="str">
        <f aca="false">IF($B447="","",YEAR($B447))</f>
        <v/>
      </c>
      <c r="U447" s="34" t="str">
        <f aca="false">IF($B447="","",MONTH($B447))</f>
        <v/>
      </c>
      <c r="V447" s="34" t="str">
        <f aca="false">IF($B447="","",YEAR($B447)*100+MONTH($B447))</f>
        <v/>
      </c>
      <c r="W447" s="35" t="str">
        <f aca="false">IF($D447="","",IFERROR(INDEX(MAP_CLASS,MATCH($D447,MAP_TIPO,0)),"TIPO INVALIDO"))</f>
        <v/>
      </c>
      <c r="X447" s="35" t="str">
        <f aca="false">IF($K447="","",IFERROR(INDEX(CAT_NOME,MATCH($K447,CAT_ID,0)),"?"))</f>
        <v/>
      </c>
      <c r="Y447" s="35" t="str">
        <f aca="false">IF($L447="","",IFERROR(INDEX(SUB_NOME,MATCH($L447,SUB_ID,0)),"?"))</f>
        <v/>
      </c>
      <c r="Z447" s="35" t="str">
        <f aca="false">IF($G447="","",IF($G447="EXTERNO","(Externo)",IFERROR(INDEX(ENT_NOME,MATCH($H447,ENT_ID,0)),"?")))</f>
        <v/>
      </c>
      <c r="AA447" s="35" t="str">
        <f aca="false">IF($I447="","",IF($I447="EXTERNO","(Externo)",IFERROR(INDEX(ENT_NOME,MATCH($J447,ENT_ID,0)),"?")))</f>
        <v/>
      </c>
      <c r="AB447" s="36" t="n">
        <f aca="false">IF($B447="",0,IF(AND($I447="CONTA",$G447&lt;&gt;"CONTA"),$F447,0))</f>
        <v>0</v>
      </c>
      <c r="AC447" s="36" t="n">
        <f aca="false">IF($B447="",0,IF(AND($G447="CONTA",$I447&lt;&gt;"CONTA"),$F447,0))</f>
        <v>0</v>
      </c>
      <c r="AD447" s="36" t="n">
        <f aca="false">IF($W447="RECEITA",$F447,0)</f>
        <v>0</v>
      </c>
      <c r="AE447" s="36" t="n">
        <f aca="false">IF($W447="DESPESA",$F447,0)</f>
        <v>0</v>
      </c>
      <c r="AF447" s="36" t="n">
        <f aca="false">IF($W447="RECEITA_FINANCEIRA",$F447,0)</f>
        <v>0</v>
      </c>
      <c r="AG447" s="36" t="n">
        <f aca="false">IF($B447="",0,IF($I447="CONTA",$F447,0)-IF($G447="CONTA",$F447,0))</f>
        <v>0</v>
      </c>
      <c r="AH447" s="36" t="n">
        <f aca="false">IF($B447="",0,IF($G447="CARTAO",$F447,0)-IF($I447="CARTAO",$F447,0))</f>
        <v>0</v>
      </c>
      <c r="AI447" s="36" t="n">
        <f aca="false">IF($B447="",0,IF($I447="INVESTIMENTO",$F447,0)-IF($G447="INVESTIMENTO",$F447,0))</f>
        <v>0</v>
      </c>
      <c r="AJ447" s="35" t="str">
        <f aca="false">IF($B447="","",IF(NOT(ISNUMBER($F447)),"ERRO: valor nao numerico",IF($F447&lt;=0,"ERRO: valor deve ser maior que zero",IF(COUNTIF(MAP_TIPO,$D447)=0,"ERRO: tipo de operacao nao cadastrado",IF(COUNTIF(LST_STATUS,$E447)=0,"ERRO: status invalido",IF(AND($G447="EXTERNO",$I447="EXTERNO"),"ERRO: origem e destino externos",IF(AND($G447&lt;&gt;"EXTERNO",COUNTIFS(ENT_ID,$H447,ENT_TIPO,$G447)=0),"ERRO: origem inexistente",IF(AND($I447&lt;&gt;"EXTERNO",COUNTIFS(ENT_ID,$J447,ENT_TIPO,$I447)=0),"ERRO: destino inexistente",IF(AND($K447&lt;&gt;"",COUNTIF(CAT_ID,$K447)=0),"ERRO: categoria inexistente",IF(AND($L447&lt;&gt;"",COUNTIF(SUB_ID,$L447)=0),"ERRO: subcategoria inexistente",IF(AND($L447&lt;&gt;"",$K447&lt;&gt;"",IFERROR(INDEX(SUB_CATID,MATCH($L447,SUB_ID,0)),"")&lt;&gt;$K447),"ERRO: subcategoria nao pertence a categoria",IF(AND($O447&lt;&gt;"",COUNTIF(P_ID,$O447)=0),"ERRO: parcela inexistente",IF(AND($N447&lt;&gt;"",COUNTIF(CM_ID,$N447)=0),"ERRO: compromisso inexistente","OK")))))))))))))</f>
        <v/>
      </c>
      <c r="AK447" s="35" t="str">
        <f aca="false">IF($B447="","",IF(AND($N447="",$O447="",$P447="",$Q447="",$R447=""),"","VINCULADO: "&amp;TRIM(IF($N447&lt;&gt;"",$N447&amp;" ","")&amp;IF($O447&lt;&gt;"",$O447&amp;" ","")&amp;IF($P447&lt;&gt;"",$P447&amp;" ","")&amp;IF($Q447&lt;&gt;"",$Q447&amp;" ","")&amp;IF($R447&lt;&gt;"",$R447,""))))</f>
        <v/>
      </c>
    </row>
    <row r="448" customFormat="false" ht="15" hidden="false" customHeight="false" outlineLevel="0" collapsed="false">
      <c r="A448" s="30" t="str">
        <f aca="false">IF($B448="","","LAN-"&amp;TEXT(ROW()-4,"000000"))</f>
        <v/>
      </c>
      <c r="B448" s="31"/>
      <c r="C448" s="32"/>
      <c r="D448" s="32"/>
      <c r="E448" s="32"/>
      <c r="F448" s="33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4" t="str">
        <f aca="false">IF($B448="","",YEAR($B448))</f>
        <v/>
      </c>
      <c r="U448" s="34" t="str">
        <f aca="false">IF($B448="","",MONTH($B448))</f>
        <v/>
      </c>
      <c r="V448" s="34" t="str">
        <f aca="false">IF($B448="","",YEAR($B448)*100+MONTH($B448))</f>
        <v/>
      </c>
      <c r="W448" s="35" t="str">
        <f aca="false">IF($D448="","",IFERROR(INDEX(MAP_CLASS,MATCH($D448,MAP_TIPO,0)),"TIPO INVALIDO"))</f>
        <v/>
      </c>
      <c r="X448" s="35" t="str">
        <f aca="false">IF($K448="","",IFERROR(INDEX(CAT_NOME,MATCH($K448,CAT_ID,0)),"?"))</f>
        <v/>
      </c>
      <c r="Y448" s="35" t="str">
        <f aca="false">IF($L448="","",IFERROR(INDEX(SUB_NOME,MATCH($L448,SUB_ID,0)),"?"))</f>
        <v/>
      </c>
      <c r="Z448" s="35" t="str">
        <f aca="false">IF($G448="","",IF($G448="EXTERNO","(Externo)",IFERROR(INDEX(ENT_NOME,MATCH($H448,ENT_ID,0)),"?")))</f>
        <v/>
      </c>
      <c r="AA448" s="35" t="str">
        <f aca="false">IF($I448="","",IF($I448="EXTERNO","(Externo)",IFERROR(INDEX(ENT_NOME,MATCH($J448,ENT_ID,0)),"?")))</f>
        <v/>
      </c>
      <c r="AB448" s="36" t="n">
        <f aca="false">IF($B448="",0,IF(AND($I448="CONTA",$G448&lt;&gt;"CONTA"),$F448,0))</f>
        <v>0</v>
      </c>
      <c r="AC448" s="36" t="n">
        <f aca="false">IF($B448="",0,IF(AND($G448="CONTA",$I448&lt;&gt;"CONTA"),$F448,0))</f>
        <v>0</v>
      </c>
      <c r="AD448" s="36" t="n">
        <f aca="false">IF($W448="RECEITA",$F448,0)</f>
        <v>0</v>
      </c>
      <c r="AE448" s="36" t="n">
        <f aca="false">IF($W448="DESPESA",$F448,0)</f>
        <v>0</v>
      </c>
      <c r="AF448" s="36" t="n">
        <f aca="false">IF($W448="RECEITA_FINANCEIRA",$F448,0)</f>
        <v>0</v>
      </c>
      <c r="AG448" s="36" t="n">
        <f aca="false">IF($B448="",0,IF($I448="CONTA",$F448,0)-IF($G448="CONTA",$F448,0))</f>
        <v>0</v>
      </c>
      <c r="AH448" s="36" t="n">
        <f aca="false">IF($B448="",0,IF($G448="CARTAO",$F448,0)-IF($I448="CARTAO",$F448,0))</f>
        <v>0</v>
      </c>
      <c r="AI448" s="36" t="n">
        <f aca="false">IF($B448="",0,IF($I448="INVESTIMENTO",$F448,0)-IF($G448="INVESTIMENTO",$F448,0))</f>
        <v>0</v>
      </c>
      <c r="AJ448" s="35" t="str">
        <f aca="false">IF($B448="","",IF(NOT(ISNUMBER($F448)),"ERRO: valor nao numerico",IF($F448&lt;=0,"ERRO: valor deve ser maior que zero",IF(COUNTIF(MAP_TIPO,$D448)=0,"ERRO: tipo de operacao nao cadastrado",IF(COUNTIF(LST_STATUS,$E448)=0,"ERRO: status invalido",IF(AND($G448="EXTERNO",$I448="EXTERNO"),"ERRO: origem e destino externos",IF(AND($G448&lt;&gt;"EXTERNO",COUNTIFS(ENT_ID,$H448,ENT_TIPO,$G448)=0),"ERRO: origem inexistente",IF(AND($I448&lt;&gt;"EXTERNO",COUNTIFS(ENT_ID,$J448,ENT_TIPO,$I448)=0),"ERRO: destino inexistente",IF(AND($K448&lt;&gt;"",COUNTIF(CAT_ID,$K448)=0),"ERRO: categoria inexistente",IF(AND($L448&lt;&gt;"",COUNTIF(SUB_ID,$L448)=0),"ERRO: subcategoria inexistente",IF(AND($L448&lt;&gt;"",$K448&lt;&gt;"",IFERROR(INDEX(SUB_CATID,MATCH($L448,SUB_ID,0)),"")&lt;&gt;$K448),"ERRO: subcategoria nao pertence a categoria",IF(AND($O448&lt;&gt;"",COUNTIF(P_ID,$O448)=0),"ERRO: parcela inexistente",IF(AND($N448&lt;&gt;"",COUNTIF(CM_ID,$N448)=0),"ERRO: compromisso inexistente","OK")))))))))))))</f>
        <v/>
      </c>
      <c r="AK448" s="35" t="str">
        <f aca="false">IF($B448="","",IF(AND($N448="",$O448="",$P448="",$Q448="",$R448=""),"","VINCULADO: "&amp;TRIM(IF($N448&lt;&gt;"",$N448&amp;" ","")&amp;IF($O448&lt;&gt;"",$O448&amp;" ","")&amp;IF($P448&lt;&gt;"",$P448&amp;" ","")&amp;IF($Q448&lt;&gt;"",$Q448&amp;" ","")&amp;IF($R448&lt;&gt;"",$R448,""))))</f>
        <v/>
      </c>
    </row>
    <row r="449" customFormat="false" ht="15" hidden="false" customHeight="false" outlineLevel="0" collapsed="false">
      <c r="A449" s="30" t="str">
        <f aca="false">IF($B449="","","LAN-"&amp;TEXT(ROW()-4,"000000"))</f>
        <v/>
      </c>
      <c r="B449" s="31"/>
      <c r="C449" s="32"/>
      <c r="D449" s="32"/>
      <c r="E449" s="32"/>
      <c r="F449" s="33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4" t="str">
        <f aca="false">IF($B449="","",YEAR($B449))</f>
        <v/>
      </c>
      <c r="U449" s="34" t="str">
        <f aca="false">IF($B449="","",MONTH($B449))</f>
        <v/>
      </c>
      <c r="V449" s="34" t="str">
        <f aca="false">IF($B449="","",YEAR($B449)*100+MONTH($B449))</f>
        <v/>
      </c>
      <c r="W449" s="35" t="str">
        <f aca="false">IF($D449="","",IFERROR(INDEX(MAP_CLASS,MATCH($D449,MAP_TIPO,0)),"TIPO INVALIDO"))</f>
        <v/>
      </c>
      <c r="X449" s="35" t="str">
        <f aca="false">IF($K449="","",IFERROR(INDEX(CAT_NOME,MATCH($K449,CAT_ID,0)),"?"))</f>
        <v/>
      </c>
      <c r="Y449" s="35" t="str">
        <f aca="false">IF($L449="","",IFERROR(INDEX(SUB_NOME,MATCH($L449,SUB_ID,0)),"?"))</f>
        <v/>
      </c>
      <c r="Z449" s="35" t="str">
        <f aca="false">IF($G449="","",IF($G449="EXTERNO","(Externo)",IFERROR(INDEX(ENT_NOME,MATCH($H449,ENT_ID,0)),"?")))</f>
        <v/>
      </c>
      <c r="AA449" s="35" t="str">
        <f aca="false">IF($I449="","",IF($I449="EXTERNO","(Externo)",IFERROR(INDEX(ENT_NOME,MATCH($J449,ENT_ID,0)),"?")))</f>
        <v/>
      </c>
      <c r="AB449" s="36" t="n">
        <f aca="false">IF($B449="",0,IF(AND($I449="CONTA",$G449&lt;&gt;"CONTA"),$F449,0))</f>
        <v>0</v>
      </c>
      <c r="AC449" s="36" t="n">
        <f aca="false">IF($B449="",0,IF(AND($G449="CONTA",$I449&lt;&gt;"CONTA"),$F449,0))</f>
        <v>0</v>
      </c>
      <c r="AD449" s="36" t="n">
        <f aca="false">IF($W449="RECEITA",$F449,0)</f>
        <v>0</v>
      </c>
      <c r="AE449" s="36" t="n">
        <f aca="false">IF($W449="DESPESA",$F449,0)</f>
        <v>0</v>
      </c>
      <c r="AF449" s="36" t="n">
        <f aca="false">IF($W449="RECEITA_FINANCEIRA",$F449,0)</f>
        <v>0</v>
      </c>
      <c r="AG449" s="36" t="n">
        <f aca="false">IF($B449="",0,IF($I449="CONTA",$F449,0)-IF($G449="CONTA",$F449,0))</f>
        <v>0</v>
      </c>
      <c r="AH449" s="36" t="n">
        <f aca="false">IF($B449="",0,IF($G449="CARTAO",$F449,0)-IF($I449="CARTAO",$F449,0))</f>
        <v>0</v>
      </c>
      <c r="AI449" s="36" t="n">
        <f aca="false">IF($B449="",0,IF($I449="INVESTIMENTO",$F449,0)-IF($G449="INVESTIMENTO",$F449,0))</f>
        <v>0</v>
      </c>
      <c r="AJ449" s="35" t="str">
        <f aca="false">IF($B449="","",IF(NOT(ISNUMBER($F449)),"ERRO: valor nao numerico",IF($F449&lt;=0,"ERRO: valor deve ser maior que zero",IF(COUNTIF(MAP_TIPO,$D449)=0,"ERRO: tipo de operacao nao cadastrado",IF(COUNTIF(LST_STATUS,$E449)=0,"ERRO: status invalido",IF(AND($G449="EXTERNO",$I449="EXTERNO"),"ERRO: origem e destino externos",IF(AND($G449&lt;&gt;"EXTERNO",COUNTIFS(ENT_ID,$H449,ENT_TIPO,$G449)=0),"ERRO: origem inexistente",IF(AND($I449&lt;&gt;"EXTERNO",COUNTIFS(ENT_ID,$J449,ENT_TIPO,$I449)=0),"ERRO: destino inexistente",IF(AND($K449&lt;&gt;"",COUNTIF(CAT_ID,$K449)=0),"ERRO: categoria inexistente",IF(AND($L449&lt;&gt;"",COUNTIF(SUB_ID,$L449)=0),"ERRO: subcategoria inexistente",IF(AND($L449&lt;&gt;"",$K449&lt;&gt;"",IFERROR(INDEX(SUB_CATID,MATCH($L449,SUB_ID,0)),"")&lt;&gt;$K449),"ERRO: subcategoria nao pertence a categoria",IF(AND($O449&lt;&gt;"",COUNTIF(P_ID,$O449)=0),"ERRO: parcela inexistente",IF(AND($N449&lt;&gt;"",COUNTIF(CM_ID,$N449)=0),"ERRO: compromisso inexistente","OK")))))))))))))</f>
        <v/>
      </c>
      <c r="AK449" s="35" t="str">
        <f aca="false">IF($B449="","",IF(AND($N449="",$O449="",$P449="",$Q449="",$R449=""),"","VINCULADO: "&amp;TRIM(IF($N449&lt;&gt;"",$N449&amp;" ","")&amp;IF($O449&lt;&gt;"",$O449&amp;" ","")&amp;IF($P449&lt;&gt;"",$P449&amp;" ","")&amp;IF($Q449&lt;&gt;"",$Q449&amp;" ","")&amp;IF($R449&lt;&gt;"",$R449,""))))</f>
        <v/>
      </c>
    </row>
    <row r="450" customFormat="false" ht="15" hidden="false" customHeight="false" outlineLevel="0" collapsed="false">
      <c r="A450" s="30" t="str">
        <f aca="false">IF($B450="","","LAN-"&amp;TEXT(ROW()-4,"000000"))</f>
        <v/>
      </c>
      <c r="B450" s="31"/>
      <c r="C450" s="32"/>
      <c r="D450" s="32"/>
      <c r="E450" s="32"/>
      <c r="F450" s="33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4" t="str">
        <f aca="false">IF($B450="","",YEAR($B450))</f>
        <v/>
      </c>
      <c r="U450" s="34" t="str">
        <f aca="false">IF($B450="","",MONTH($B450))</f>
        <v/>
      </c>
      <c r="V450" s="34" t="str">
        <f aca="false">IF($B450="","",YEAR($B450)*100+MONTH($B450))</f>
        <v/>
      </c>
      <c r="W450" s="35" t="str">
        <f aca="false">IF($D450="","",IFERROR(INDEX(MAP_CLASS,MATCH($D450,MAP_TIPO,0)),"TIPO INVALIDO"))</f>
        <v/>
      </c>
      <c r="X450" s="35" t="str">
        <f aca="false">IF($K450="","",IFERROR(INDEX(CAT_NOME,MATCH($K450,CAT_ID,0)),"?"))</f>
        <v/>
      </c>
      <c r="Y450" s="35" t="str">
        <f aca="false">IF($L450="","",IFERROR(INDEX(SUB_NOME,MATCH($L450,SUB_ID,0)),"?"))</f>
        <v/>
      </c>
      <c r="Z450" s="35" t="str">
        <f aca="false">IF($G450="","",IF($G450="EXTERNO","(Externo)",IFERROR(INDEX(ENT_NOME,MATCH($H450,ENT_ID,0)),"?")))</f>
        <v/>
      </c>
      <c r="AA450" s="35" t="str">
        <f aca="false">IF($I450="","",IF($I450="EXTERNO","(Externo)",IFERROR(INDEX(ENT_NOME,MATCH($J450,ENT_ID,0)),"?")))</f>
        <v/>
      </c>
      <c r="AB450" s="36" t="n">
        <f aca="false">IF($B450="",0,IF(AND($I450="CONTA",$G450&lt;&gt;"CONTA"),$F450,0))</f>
        <v>0</v>
      </c>
      <c r="AC450" s="36" t="n">
        <f aca="false">IF($B450="",0,IF(AND($G450="CONTA",$I450&lt;&gt;"CONTA"),$F450,0))</f>
        <v>0</v>
      </c>
      <c r="AD450" s="36" t="n">
        <f aca="false">IF($W450="RECEITA",$F450,0)</f>
        <v>0</v>
      </c>
      <c r="AE450" s="36" t="n">
        <f aca="false">IF($W450="DESPESA",$F450,0)</f>
        <v>0</v>
      </c>
      <c r="AF450" s="36" t="n">
        <f aca="false">IF($W450="RECEITA_FINANCEIRA",$F450,0)</f>
        <v>0</v>
      </c>
      <c r="AG450" s="36" t="n">
        <f aca="false">IF($B450="",0,IF($I450="CONTA",$F450,0)-IF($G450="CONTA",$F450,0))</f>
        <v>0</v>
      </c>
      <c r="AH450" s="36" t="n">
        <f aca="false">IF($B450="",0,IF($G450="CARTAO",$F450,0)-IF($I450="CARTAO",$F450,0))</f>
        <v>0</v>
      </c>
      <c r="AI450" s="36" t="n">
        <f aca="false">IF($B450="",0,IF($I450="INVESTIMENTO",$F450,0)-IF($G450="INVESTIMENTO",$F450,0))</f>
        <v>0</v>
      </c>
      <c r="AJ450" s="35" t="str">
        <f aca="false">IF($B450="","",IF(NOT(ISNUMBER($F450)),"ERRO: valor nao numerico",IF($F450&lt;=0,"ERRO: valor deve ser maior que zero",IF(COUNTIF(MAP_TIPO,$D450)=0,"ERRO: tipo de operacao nao cadastrado",IF(COUNTIF(LST_STATUS,$E450)=0,"ERRO: status invalido",IF(AND($G450="EXTERNO",$I450="EXTERNO"),"ERRO: origem e destino externos",IF(AND($G450&lt;&gt;"EXTERNO",COUNTIFS(ENT_ID,$H450,ENT_TIPO,$G450)=0),"ERRO: origem inexistente",IF(AND($I450&lt;&gt;"EXTERNO",COUNTIFS(ENT_ID,$J450,ENT_TIPO,$I450)=0),"ERRO: destino inexistente",IF(AND($K450&lt;&gt;"",COUNTIF(CAT_ID,$K450)=0),"ERRO: categoria inexistente",IF(AND($L450&lt;&gt;"",COUNTIF(SUB_ID,$L450)=0),"ERRO: subcategoria inexistente",IF(AND($L450&lt;&gt;"",$K450&lt;&gt;"",IFERROR(INDEX(SUB_CATID,MATCH($L450,SUB_ID,0)),"")&lt;&gt;$K450),"ERRO: subcategoria nao pertence a categoria",IF(AND($O450&lt;&gt;"",COUNTIF(P_ID,$O450)=0),"ERRO: parcela inexistente",IF(AND($N450&lt;&gt;"",COUNTIF(CM_ID,$N450)=0),"ERRO: compromisso inexistente","OK")))))))))))))</f>
        <v/>
      </c>
      <c r="AK450" s="35" t="str">
        <f aca="false">IF($B450="","",IF(AND($N450="",$O450="",$P450="",$Q450="",$R450=""),"","VINCULADO: "&amp;TRIM(IF($N450&lt;&gt;"",$N450&amp;" ","")&amp;IF($O450&lt;&gt;"",$O450&amp;" ","")&amp;IF($P450&lt;&gt;"",$P450&amp;" ","")&amp;IF($Q450&lt;&gt;"",$Q450&amp;" ","")&amp;IF($R450&lt;&gt;"",$R450,""))))</f>
        <v/>
      </c>
    </row>
    <row r="451" customFormat="false" ht="15" hidden="false" customHeight="false" outlineLevel="0" collapsed="false">
      <c r="A451" s="30" t="str">
        <f aca="false">IF($B451="","","LAN-"&amp;TEXT(ROW()-4,"000000"))</f>
        <v/>
      </c>
      <c r="B451" s="31"/>
      <c r="C451" s="32"/>
      <c r="D451" s="32"/>
      <c r="E451" s="32"/>
      <c r="F451" s="33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4" t="str">
        <f aca="false">IF($B451="","",YEAR($B451))</f>
        <v/>
      </c>
      <c r="U451" s="34" t="str">
        <f aca="false">IF($B451="","",MONTH($B451))</f>
        <v/>
      </c>
      <c r="V451" s="34" t="str">
        <f aca="false">IF($B451="","",YEAR($B451)*100+MONTH($B451))</f>
        <v/>
      </c>
      <c r="W451" s="35" t="str">
        <f aca="false">IF($D451="","",IFERROR(INDEX(MAP_CLASS,MATCH($D451,MAP_TIPO,0)),"TIPO INVALIDO"))</f>
        <v/>
      </c>
      <c r="X451" s="35" t="str">
        <f aca="false">IF($K451="","",IFERROR(INDEX(CAT_NOME,MATCH($K451,CAT_ID,0)),"?"))</f>
        <v/>
      </c>
      <c r="Y451" s="35" t="str">
        <f aca="false">IF($L451="","",IFERROR(INDEX(SUB_NOME,MATCH($L451,SUB_ID,0)),"?"))</f>
        <v/>
      </c>
      <c r="Z451" s="35" t="str">
        <f aca="false">IF($G451="","",IF($G451="EXTERNO","(Externo)",IFERROR(INDEX(ENT_NOME,MATCH($H451,ENT_ID,0)),"?")))</f>
        <v/>
      </c>
      <c r="AA451" s="35" t="str">
        <f aca="false">IF($I451="","",IF($I451="EXTERNO","(Externo)",IFERROR(INDEX(ENT_NOME,MATCH($J451,ENT_ID,0)),"?")))</f>
        <v/>
      </c>
      <c r="AB451" s="36" t="n">
        <f aca="false">IF($B451="",0,IF(AND($I451="CONTA",$G451&lt;&gt;"CONTA"),$F451,0))</f>
        <v>0</v>
      </c>
      <c r="AC451" s="36" t="n">
        <f aca="false">IF($B451="",0,IF(AND($G451="CONTA",$I451&lt;&gt;"CONTA"),$F451,0))</f>
        <v>0</v>
      </c>
      <c r="AD451" s="36" t="n">
        <f aca="false">IF($W451="RECEITA",$F451,0)</f>
        <v>0</v>
      </c>
      <c r="AE451" s="36" t="n">
        <f aca="false">IF($W451="DESPESA",$F451,0)</f>
        <v>0</v>
      </c>
      <c r="AF451" s="36" t="n">
        <f aca="false">IF($W451="RECEITA_FINANCEIRA",$F451,0)</f>
        <v>0</v>
      </c>
      <c r="AG451" s="36" t="n">
        <f aca="false">IF($B451="",0,IF($I451="CONTA",$F451,0)-IF($G451="CONTA",$F451,0))</f>
        <v>0</v>
      </c>
      <c r="AH451" s="36" t="n">
        <f aca="false">IF($B451="",0,IF($G451="CARTAO",$F451,0)-IF($I451="CARTAO",$F451,0))</f>
        <v>0</v>
      </c>
      <c r="AI451" s="36" t="n">
        <f aca="false">IF($B451="",0,IF($I451="INVESTIMENTO",$F451,0)-IF($G451="INVESTIMENTO",$F451,0))</f>
        <v>0</v>
      </c>
      <c r="AJ451" s="35" t="str">
        <f aca="false">IF($B451="","",IF(NOT(ISNUMBER($F451)),"ERRO: valor nao numerico",IF($F451&lt;=0,"ERRO: valor deve ser maior que zero",IF(COUNTIF(MAP_TIPO,$D451)=0,"ERRO: tipo de operacao nao cadastrado",IF(COUNTIF(LST_STATUS,$E451)=0,"ERRO: status invalido",IF(AND($G451="EXTERNO",$I451="EXTERNO"),"ERRO: origem e destino externos",IF(AND($G451&lt;&gt;"EXTERNO",COUNTIFS(ENT_ID,$H451,ENT_TIPO,$G451)=0),"ERRO: origem inexistente",IF(AND($I451&lt;&gt;"EXTERNO",COUNTIFS(ENT_ID,$J451,ENT_TIPO,$I451)=0),"ERRO: destino inexistente",IF(AND($K451&lt;&gt;"",COUNTIF(CAT_ID,$K451)=0),"ERRO: categoria inexistente",IF(AND($L451&lt;&gt;"",COUNTIF(SUB_ID,$L451)=0),"ERRO: subcategoria inexistente",IF(AND($L451&lt;&gt;"",$K451&lt;&gt;"",IFERROR(INDEX(SUB_CATID,MATCH($L451,SUB_ID,0)),"")&lt;&gt;$K451),"ERRO: subcategoria nao pertence a categoria",IF(AND($O451&lt;&gt;"",COUNTIF(P_ID,$O451)=0),"ERRO: parcela inexistente",IF(AND($N451&lt;&gt;"",COUNTIF(CM_ID,$N451)=0),"ERRO: compromisso inexistente","OK")))))))))))))</f>
        <v/>
      </c>
      <c r="AK451" s="35" t="str">
        <f aca="false">IF($B451="","",IF(AND($N451="",$O451="",$P451="",$Q451="",$R451=""),"","VINCULADO: "&amp;TRIM(IF($N451&lt;&gt;"",$N451&amp;" ","")&amp;IF($O451&lt;&gt;"",$O451&amp;" ","")&amp;IF($P451&lt;&gt;"",$P451&amp;" ","")&amp;IF($Q451&lt;&gt;"",$Q451&amp;" ","")&amp;IF($R451&lt;&gt;"",$R451,""))))</f>
        <v/>
      </c>
    </row>
    <row r="452" customFormat="false" ht="15" hidden="false" customHeight="false" outlineLevel="0" collapsed="false">
      <c r="A452" s="30" t="str">
        <f aca="false">IF($B452="","","LAN-"&amp;TEXT(ROW()-4,"000000"))</f>
        <v/>
      </c>
      <c r="B452" s="31"/>
      <c r="C452" s="32"/>
      <c r="D452" s="32"/>
      <c r="E452" s="32"/>
      <c r="F452" s="33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4" t="str">
        <f aca="false">IF($B452="","",YEAR($B452))</f>
        <v/>
      </c>
      <c r="U452" s="34" t="str">
        <f aca="false">IF($B452="","",MONTH($B452))</f>
        <v/>
      </c>
      <c r="V452" s="34" t="str">
        <f aca="false">IF($B452="","",YEAR($B452)*100+MONTH($B452))</f>
        <v/>
      </c>
      <c r="W452" s="35" t="str">
        <f aca="false">IF($D452="","",IFERROR(INDEX(MAP_CLASS,MATCH($D452,MAP_TIPO,0)),"TIPO INVALIDO"))</f>
        <v/>
      </c>
      <c r="X452" s="35" t="str">
        <f aca="false">IF($K452="","",IFERROR(INDEX(CAT_NOME,MATCH($K452,CAT_ID,0)),"?"))</f>
        <v/>
      </c>
      <c r="Y452" s="35" t="str">
        <f aca="false">IF($L452="","",IFERROR(INDEX(SUB_NOME,MATCH($L452,SUB_ID,0)),"?"))</f>
        <v/>
      </c>
      <c r="Z452" s="35" t="str">
        <f aca="false">IF($G452="","",IF($G452="EXTERNO","(Externo)",IFERROR(INDEX(ENT_NOME,MATCH($H452,ENT_ID,0)),"?")))</f>
        <v/>
      </c>
      <c r="AA452" s="35" t="str">
        <f aca="false">IF($I452="","",IF($I452="EXTERNO","(Externo)",IFERROR(INDEX(ENT_NOME,MATCH($J452,ENT_ID,0)),"?")))</f>
        <v/>
      </c>
      <c r="AB452" s="36" t="n">
        <f aca="false">IF($B452="",0,IF(AND($I452="CONTA",$G452&lt;&gt;"CONTA"),$F452,0))</f>
        <v>0</v>
      </c>
      <c r="AC452" s="36" t="n">
        <f aca="false">IF($B452="",0,IF(AND($G452="CONTA",$I452&lt;&gt;"CONTA"),$F452,0))</f>
        <v>0</v>
      </c>
      <c r="AD452" s="36" t="n">
        <f aca="false">IF($W452="RECEITA",$F452,0)</f>
        <v>0</v>
      </c>
      <c r="AE452" s="36" t="n">
        <f aca="false">IF($W452="DESPESA",$F452,0)</f>
        <v>0</v>
      </c>
      <c r="AF452" s="36" t="n">
        <f aca="false">IF($W452="RECEITA_FINANCEIRA",$F452,0)</f>
        <v>0</v>
      </c>
      <c r="AG452" s="36" t="n">
        <f aca="false">IF($B452="",0,IF($I452="CONTA",$F452,0)-IF($G452="CONTA",$F452,0))</f>
        <v>0</v>
      </c>
      <c r="AH452" s="36" t="n">
        <f aca="false">IF($B452="",0,IF($G452="CARTAO",$F452,0)-IF($I452="CARTAO",$F452,0))</f>
        <v>0</v>
      </c>
      <c r="AI452" s="36" t="n">
        <f aca="false">IF($B452="",0,IF($I452="INVESTIMENTO",$F452,0)-IF($G452="INVESTIMENTO",$F452,0))</f>
        <v>0</v>
      </c>
      <c r="AJ452" s="35" t="str">
        <f aca="false">IF($B452="","",IF(NOT(ISNUMBER($F452)),"ERRO: valor nao numerico",IF($F452&lt;=0,"ERRO: valor deve ser maior que zero",IF(COUNTIF(MAP_TIPO,$D452)=0,"ERRO: tipo de operacao nao cadastrado",IF(COUNTIF(LST_STATUS,$E452)=0,"ERRO: status invalido",IF(AND($G452="EXTERNO",$I452="EXTERNO"),"ERRO: origem e destino externos",IF(AND($G452&lt;&gt;"EXTERNO",COUNTIFS(ENT_ID,$H452,ENT_TIPO,$G452)=0),"ERRO: origem inexistente",IF(AND($I452&lt;&gt;"EXTERNO",COUNTIFS(ENT_ID,$J452,ENT_TIPO,$I452)=0),"ERRO: destino inexistente",IF(AND($K452&lt;&gt;"",COUNTIF(CAT_ID,$K452)=0),"ERRO: categoria inexistente",IF(AND($L452&lt;&gt;"",COUNTIF(SUB_ID,$L452)=0),"ERRO: subcategoria inexistente",IF(AND($L452&lt;&gt;"",$K452&lt;&gt;"",IFERROR(INDEX(SUB_CATID,MATCH($L452,SUB_ID,0)),"")&lt;&gt;$K452),"ERRO: subcategoria nao pertence a categoria",IF(AND($O452&lt;&gt;"",COUNTIF(P_ID,$O452)=0),"ERRO: parcela inexistente",IF(AND($N452&lt;&gt;"",COUNTIF(CM_ID,$N452)=0),"ERRO: compromisso inexistente","OK")))))))))))))</f>
        <v/>
      </c>
      <c r="AK452" s="35" t="str">
        <f aca="false">IF($B452="","",IF(AND($N452="",$O452="",$P452="",$Q452="",$R452=""),"","VINCULADO: "&amp;TRIM(IF($N452&lt;&gt;"",$N452&amp;" ","")&amp;IF($O452&lt;&gt;"",$O452&amp;" ","")&amp;IF($P452&lt;&gt;"",$P452&amp;" ","")&amp;IF($Q452&lt;&gt;"",$Q452&amp;" ","")&amp;IF($R452&lt;&gt;"",$R452,""))))</f>
        <v/>
      </c>
    </row>
    <row r="453" customFormat="false" ht="15" hidden="false" customHeight="false" outlineLevel="0" collapsed="false">
      <c r="A453" s="30" t="str">
        <f aca="false">IF($B453="","","LAN-"&amp;TEXT(ROW()-4,"000000"))</f>
        <v/>
      </c>
      <c r="B453" s="31"/>
      <c r="C453" s="32"/>
      <c r="D453" s="32"/>
      <c r="E453" s="32"/>
      <c r="F453" s="33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4" t="str">
        <f aca="false">IF($B453="","",YEAR($B453))</f>
        <v/>
      </c>
      <c r="U453" s="34" t="str">
        <f aca="false">IF($B453="","",MONTH($B453))</f>
        <v/>
      </c>
      <c r="V453" s="34" t="str">
        <f aca="false">IF($B453="","",YEAR($B453)*100+MONTH($B453))</f>
        <v/>
      </c>
      <c r="W453" s="35" t="str">
        <f aca="false">IF($D453="","",IFERROR(INDEX(MAP_CLASS,MATCH($D453,MAP_TIPO,0)),"TIPO INVALIDO"))</f>
        <v/>
      </c>
      <c r="X453" s="35" t="str">
        <f aca="false">IF($K453="","",IFERROR(INDEX(CAT_NOME,MATCH($K453,CAT_ID,0)),"?"))</f>
        <v/>
      </c>
      <c r="Y453" s="35" t="str">
        <f aca="false">IF($L453="","",IFERROR(INDEX(SUB_NOME,MATCH($L453,SUB_ID,0)),"?"))</f>
        <v/>
      </c>
      <c r="Z453" s="35" t="str">
        <f aca="false">IF($G453="","",IF($G453="EXTERNO","(Externo)",IFERROR(INDEX(ENT_NOME,MATCH($H453,ENT_ID,0)),"?")))</f>
        <v/>
      </c>
      <c r="AA453" s="35" t="str">
        <f aca="false">IF($I453="","",IF($I453="EXTERNO","(Externo)",IFERROR(INDEX(ENT_NOME,MATCH($J453,ENT_ID,0)),"?")))</f>
        <v/>
      </c>
      <c r="AB453" s="36" t="n">
        <f aca="false">IF($B453="",0,IF(AND($I453="CONTA",$G453&lt;&gt;"CONTA"),$F453,0))</f>
        <v>0</v>
      </c>
      <c r="AC453" s="36" t="n">
        <f aca="false">IF($B453="",0,IF(AND($G453="CONTA",$I453&lt;&gt;"CONTA"),$F453,0))</f>
        <v>0</v>
      </c>
      <c r="AD453" s="36" t="n">
        <f aca="false">IF($W453="RECEITA",$F453,0)</f>
        <v>0</v>
      </c>
      <c r="AE453" s="36" t="n">
        <f aca="false">IF($W453="DESPESA",$F453,0)</f>
        <v>0</v>
      </c>
      <c r="AF453" s="36" t="n">
        <f aca="false">IF($W453="RECEITA_FINANCEIRA",$F453,0)</f>
        <v>0</v>
      </c>
      <c r="AG453" s="36" t="n">
        <f aca="false">IF($B453="",0,IF($I453="CONTA",$F453,0)-IF($G453="CONTA",$F453,0))</f>
        <v>0</v>
      </c>
      <c r="AH453" s="36" t="n">
        <f aca="false">IF($B453="",0,IF($G453="CARTAO",$F453,0)-IF($I453="CARTAO",$F453,0))</f>
        <v>0</v>
      </c>
      <c r="AI453" s="36" t="n">
        <f aca="false">IF($B453="",0,IF($I453="INVESTIMENTO",$F453,0)-IF($G453="INVESTIMENTO",$F453,0))</f>
        <v>0</v>
      </c>
      <c r="AJ453" s="35" t="str">
        <f aca="false">IF($B453="","",IF(NOT(ISNUMBER($F453)),"ERRO: valor nao numerico",IF($F453&lt;=0,"ERRO: valor deve ser maior que zero",IF(COUNTIF(MAP_TIPO,$D453)=0,"ERRO: tipo de operacao nao cadastrado",IF(COUNTIF(LST_STATUS,$E453)=0,"ERRO: status invalido",IF(AND($G453="EXTERNO",$I453="EXTERNO"),"ERRO: origem e destino externos",IF(AND($G453&lt;&gt;"EXTERNO",COUNTIFS(ENT_ID,$H453,ENT_TIPO,$G453)=0),"ERRO: origem inexistente",IF(AND($I453&lt;&gt;"EXTERNO",COUNTIFS(ENT_ID,$J453,ENT_TIPO,$I453)=0),"ERRO: destino inexistente",IF(AND($K453&lt;&gt;"",COUNTIF(CAT_ID,$K453)=0),"ERRO: categoria inexistente",IF(AND($L453&lt;&gt;"",COUNTIF(SUB_ID,$L453)=0),"ERRO: subcategoria inexistente",IF(AND($L453&lt;&gt;"",$K453&lt;&gt;"",IFERROR(INDEX(SUB_CATID,MATCH($L453,SUB_ID,0)),"")&lt;&gt;$K453),"ERRO: subcategoria nao pertence a categoria",IF(AND($O453&lt;&gt;"",COUNTIF(P_ID,$O453)=0),"ERRO: parcela inexistente",IF(AND($N453&lt;&gt;"",COUNTIF(CM_ID,$N453)=0),"ERRO: compromisso inexistente","OK")))))))))))))</f>
        <v/>
      </c>
      <c r="AK453" s="35" t="str">
        <f aca="false">IF($B453="","",IF(AND($N453="",$O453="",$P453="",$Q453="",$R453=""),"","VINCULADO: "&amp;TRIM(IF($N453&lt;&gt;"",$N453&amp;" ","")&amp;IF($O453&lt;&gt;"",$O453&amp;" ","")&amp;IF($P453&lt;&gt;"",$P453&amp;" ","")&amp;IF($Q453&lt;&gt;"",$Q453&amp;" ","")&amp;IF($R453&lt;&gt;"",$R453,""))))</f>
        <v/>
      </c>
    </row>
    <row r="454" customFormat="false" ht="15" hidden="false" customHeight="false" outlineLevel="0" collapsed="false">
      <c r="A454" s="30" t="str">
        <f aca="false">IF($B454="","","LAN-"&amp;TEXT(ROW()-4,"000000"))</f>
        <v/>
      </c>
      <c r="B454" s="31"/>
      <c r="C454" s="32"/>
      <c r="D454" s="32"/>
      <c r="E454" s="32"/>
      <c r="F454" s="33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4" t="str">
        <f aca="false">IF($B454="","",YEAR($B454))</f>
        <v/>
      </c>
      <c r="U454" s="34" t="str">
        <f aca="false">IF($B454="","",MONTH($B454))</f>
        <v/>
      </c>
      <c r="V454" s="34" t="str">
        <f aca="false">IF($B454="","",YEAR($B454)*100+MONTH($B454))</f>
        <v/>
      </c>
      <c r="W454" s="35" t="str">
        <f aca="false">IF($D454="","",IFERROR(INDEX(MAP_CLASS,MATCH($D454,MAP_TIPO,0)),"TIPO INVALIDO"))</f>
        <v/>
      </c>
      <c r="X454" s="35" t="str">
        <f aca="false">IF($K454="","",IFERROR(INDEX(CAT_NOME,MATCH($K454,CAT_ID,0)),"?"))</f>
        <v/>
      </c>
      <c r="Y454" s="35" t="str">
        <f aca="false">IF($L454="","",IFERROR(INDEX(SUB_NOME,MATCH($L454,SUB_ID,0)),"?"))</f>
        <v/>
      </c>
      <c r="Z454" s="35" t="str">
        <f aca="false">IF($G454="","",IF($G454="EXTERNO","(Externo)",IFERROR(INDEX(ENT_NOME,MATCH($H454,ENT_ID,0)),"?")))</f>
        <v/>
      </c>
      <c r="AA454" s="35" t="str">
        <f aca="false">IF($I454="","",IF($I454="EXTERNO","(Externo)",IFERROR(INDEX(ENT_NOME,MATCH($J454,ENT_ID,0)),"?")))</f>
        <v/>
      </c>
      <c r="AB454" s="36" t="n">
        <f aca="false">IF($B454="",0,IF(AND($I454="CONTA",$G454&lt;&gt;"CONTA"),$F454,0))</f>
        <v>0</v>
      </c>
      <c r="AC454" s="36" t="n">
        <f aca="false">IF($B454="",0,IF(AND($G454="CONTA",$I454&lt;&gt;"CONTA"),$F454,0))</f>
        <v>0</v>
      </c>
      <c r="AD454" s="36" t="n">
        <f aca="false">IF($W454="RECEITA",$F454,0)</f>
        <v>0</v>
      </c>
      <c r="AE454" s="36" t="n">
        <f aca="false">IF($W454="DESPESA",$F454,0)</f>
        <v>0</v>
      </c>
      <c r="AF454" s="36" t="n">
        <f aca="false">IF($W454="RECEITA_FINANCEIRA",$F454,0)</f>
        <v>0</v>
      </c>
      <c r="AG454" s="36" t="n">
        <f aca="false">IF($B454="",0,IF($I454="CONTA",$F454,0)-IF($G454="CONTA",$F454,0))</f>
        <v>0</v>
      </c>
      <c r="AH454" s="36" t="n">
        <f aca="false">IF($B454="",0,IF($G454="CARTAO",$F454,0)-IF($I454="CARTAO",$F454,0))</f>
        <v>0</v>
      </c>
      <c r="AI454" s="36" t="n">
        <f aca="false">IF($B454="",0,IF($I454="INVESTIMENTO",$F454,0)-IF($G454="INVESTIMENTO",$F454,0))</f>
        <v>0</v>
      </c>
      <c r="AJ454" s="35" t="str">
        <f aca="false">IF($B454="","",IF(NOT(ISNUMBER($F454)),"ERRO: valor nao numerico",IF($F454&lt;=0,"ERRO: valor deve ser maior que zero",IF(COUNTIF(MAP_TIPO,$D454)=0,"ERRO: tipo de operacao nao cadastrado",IF(COUNTIF(LST_STATUS,$E454)=0,"ERRO: status invalido",IF(AND($G454="EXTERNO",$I454="EXTERNO"),"ERRO: origem e destino externos",IF(AND($G454&lt;&gt;"EXTERNO",COUNTIFS(ENT_ID,$H454,ENT_TIPO,$G454)=0),"ERRO: origem inexistente",IF(AND($I454&lt;&gt;"EXTERNO",COUNTIFS(ENT_ID,$J454,ENT_TIPO,$I454)=0),"ERRO: destino inexistente",IF(AND($K454&lt;&gt;"",COUNTIF(CAT_ID,$K454)=0),"ERRO: categoria inexistente",IF(AND($L454&lt;&gt;"",COUNTIF(SUB_ID,$L454)=0),"ERRO: subcategoria inexistente",IF(AND($L454&lt;&gt;"",$K454&lt;&gt;"",IFERROR(INDEX(SUB_CATID,MATCH($L454,SUB_ID,0)),"")&lt;&gt;$K454),"ERRO: subcategoria nao pertence a categoria",IF(AND($O454&lt;&gt;"",COUNTIF(P_ID,$O454)=0),"ERRO: parcela inexistente",IF(AND($N454&lt;&gt;"",COUNTIF(CM_ID,$N454)=0),"ERRO: compromisso inexistente","OK")))))))))))))</f>
        <v/>
      </c>
      <c r="AK454" s="35" t="str">
        <f aca="false">IF($B454="","",IF(AND($N454="",$O454="",$P454="",$Q454="",$R454=""),"","VINCULADO: "&amp;TRIM(IF($N454&lt;&gt;"",$N454&amp;" ","")&amp;IF($O454&lt;&gt;"",$O454&amp;" ","")&amp;IF($P454&lt;&gt;"",$P454&amp;" ","")&amp;IF($Q454&lt;&gt;"",$Q454&amp;" ","")&amp;IF($R454&lt;&gt;"",$R454,""))))</f>
        <v/>
      </c>
    </row>
    <row r="455" customFormat="false" ht="15" hidden="false" customHeight="false" outlineLevel="0" collapsed="false">
      <c r="A455" s="30" t="str">
        <f aca="false">IF($B455="","","LAN-"&amp;TEXT(ROW()-4,"000000"))</f>
        <v/>
      </c>
      <c r="B455" s="31"/>
      <c r="C455" s="32"/>
      <c r="D455" s="32"/>
      <c r="E455" s="32"/>
      <c r="F455" s="33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4" t="str">
        <f aca="false">IF($B455="","",YEAR($B455))</f>
        <v/>
      </c>
      <c r="U455" s="34" t="str">
        <f aca="false">IF($B455="","",MONTH($B455))</f>
        <v/>
      </c>
      <c r="V455" s="34" t="str">
        <f aca="false">IF($B455="","",YEAR($B455)*100+MONTH($B455))</f>
        <v/>
      </c>
      <c r="W455" s="35" t="str">
        <f aca="false">IF($D455="","",IFERROR(INDEX(MAP_CLASS,MATCH($D455,MAP_TIPO,0)),"TIPO INVALIDO"))</f>
        <v/>
      </c>
      <c r="X455" s="35" t="str">
        <f aca="false">IF($K455="","",IFERROR(INDEX(CAT_NOME,MATCH($K455,CAT_ID,0)),"?"))</f>
        <v/>
      </c>
      <c r="Y455" s="35" t="str">
        <f aca="false">IF($L455="","",IFERROR(INDEX(SUB_NOME,MATCH($L455,SUB_ID,0)),"?"))</f>
        <v/>
      </c>
      <c r="Z455" s="35" t="str">
        <f aca="false">IF($G455="","",IF($G455="EXTERNO","(Externo)",IFERROR(INDEX(ENT_NOME,MATCH($H455,ENT_ID,0)),"?")))</f>
        <v/>
      </c>
      <c r="AA455" s="35" t="str">
        <f aca="false">IF($I455="","",IF($I455="EXTERNO","(Externo)",IFERROR(INDEX(ENT_NOME,MATCH($J455,ENT_ID,0)),"?")))</f>
        <v/>
      </c>
      <c r="AB455" s="36" t="n">
        <f aca="false">IF($B455="",0,IF(AND($I455="CONTA",$G455&lt;&gt;"CONTA"),$F455,0))</f>
        <v>0</v>
      </c>
      <c r="AC455" s="36" t="n">
        <f aca="false">IF($B455="",0,IF(AND($G455="CONTA",$I455&lt;&gt;"CONTA"),$F455,0))</f>
        <v>0</v>
      </c>
      <c r="AD455" s="36" t="n">
        <f aca="false">IF($W455="RECEITA",$F455,0)</f>
        <v>0</v>
      </c>
      <c r="AE455" s="36" t="n">
        <f aca="false">IF($W455="DESPESA",$F455,0)</f>
        <v>0</v>
      </c>
      <c r="AF455" s="36" t="n">
        <f aca="false">IF($W455="RECEITA_FINANCEIRA",$F455,0)</f>
        <v>0</v>
      </c>
      <c r="AG455" s="36" t="n">
        <f aca="false">IF($B455="",0,IF($I455="CONTA",$F455,0)-IF($G455="CONTA",$F455,0))</f>
        <v>0</v>
      </c>
      <c r="AH455" s="36" t="n">
        <f aca="false">IF($B455="",0,IF($G455="CARTAO",$F455,0)-IF($I455="CARTAO",$F455,0))</f>
        <v>0</v>
      </c>
      <c r="AI455" s="36" t="n">
        <f aca="false">IF($B455="",0,IF($I455="INVESTIMENTO",$F455,0)-IF($G455="INVESTIMENTO",$F455,0))</f>
        <v>0</v>
      </c>
      <c r="AJ455" s="35" t="str">
        <f aca="false">IF($B455="","",IF(NOT(ISNUMBER($F455)),"ERRO: valor nao numerico",IF($F455&lt;=0,"ERRO: valor deve ser maior que zero",IF(COUNTIF(MAP_TIPO,$D455)=0,"ERRO: tipo de operacao nao cadastrado",IF(COUNTIF(LST_STATUS,$E455)=0,"ERRO: status invalido",IF(AND($G455="EXTERNO",$I455="EXTERNO"),"ERRO: origem e destino externos",IF(AND($G455&lt;&gt;"EXTERNO",COUNTIFS(ENT_ID,$H455,ENT_TIPO,$G455)=0),"ERRO: origem inexistente",IF(AND($I455&lt;&gt;"EXTERNO",COUNTIFS(ENT_ID,$J455,ENT_TIPO,$I455)=0),"ERRO: destino inexistente",IF(AND($K455&lt;&gt;"",COUNTIF(CAT_ID,$K455)=0),"ERRO: categoria inexistente",IF(AND($L455&lt;&gt;"",COUNTIF(SUB_ID,$L455)=0),"ERRO: subcategoria inexistente",IF(AND($L455&lt;&gt;"",$K455&lt;&gt;"",IFERROR(INDEX(SUB_CATID,MATCH($L455,SUB_ID,0)),"")&lt;&gt;$K455),"ERRO: subcategoria nao pertence a categoria",IF(AND($O455&lt;&gt;"",COUNTIF(P_ID,$O455)=0),"ERRO: parcela inexistente",IF(AND($N455&lt;&gt;"",COUNTIF(CM_ID,$N455)=0),"ERRO: compromisso inexistente","OK")))))))))))))</f>
        <v/>
      </c>
      <c r="AK455" s="35" t="str">
        <f aca="false">IF($B455="","",IF(AND($N455="",$O455="",$P455="",$Q455="",$R455=""),"","VINCULADO: "&amp;TRIM(IF($N455&lt;&gt;"",$N455&amp;" ","")&amp;IF($O455&lt;&gt;"",$O455&amp;" ","")&amp;IF($P455&lt;&gt;"",$P455&amp;" ","")&amp;IF($Q455&lt;&gt;"",$Q455&amp;" ","")&amp;IF($R455&lt;&gt;"",$R455,""))))</f>
        <v/>
      </c>
    </row>
    <row r="456" customFormat="false" ht="15" hidden="false" customHeight="false" outlineLevel="0" collapsed="false">
      <c r="A456" s="30" t="str">
        <f aca="false">IF($B456="","","LAN-"&amp;TEXT(ROW()-4,"000000"))</f>
        <v/>
      </c>
      <c r="B456" s="31"/>
      <c r="C456" s="32"/>
      <c r="D456" s="32"/>
      <c r="E456" s="32"/>
      <c r="F456" s="33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4" t="str">
        <f aca="false">IF($B456="","",YEAR($B456))</f>
        <v/>
      </c>
      <c r="U456" s="34" t="str">
        <f aca="false">IF($B456="","",MONTH($B456))</f>
        <v/>
      </c>
      <c r="V456" s="34" t="str">
        <f aca="false">IF($B456="","",YEAR($B456)*100+MONTH($B456))</f>
        <v/>
      </c>
      <c r="W456" s="35" t="str">
        <f aca="false">IF($D456="","",IFERROR(INDEX(MAP_CLASS,MATCH($D456,MAP_TIPO,0)),"TIPO INVALIDO"))</f>
        <v/>
      </c>
      <c r="X456" s="35" t="str">
        <f aca="false">IF($K456="","",IFERROR(INDEX(CAT_NOME,MATCH($K456,CAT_ID,0)),"?"))</f>
        <v/>
      </c>
      <c r="Y456" s="35" t="str">
        <f aca="false">IF($L456="","",IFERROR(INDEX(SUB_NOME,MATCH($L456,SUB_ID,0)),"?"))</f>
        <v/>
      </c>
      <c r="Z456" s="35" t="str">
        <f aca="false">IF($G456="","",IF($G456="EXTERNO","(Externo)",IFERROR(INDEX(ENT_NOME,MATCH($H456,ENT_ID,0)),"?")))</f>
        <v/>
      </c>
      <c r="AA456" s="35" t="str">
        <f aca="false">IF($I456="","",IF($I456="EXTERNO","(Externo)",IFERROR(INDEX(ENT_NOME,MATCH($J456,ENT_ID,0)),"?")))</f>
        <v/>
      </c>
      <c r="AB456" s="36" t="n">
        <f aca="false">IF($B456="",0,IF(AND($I456="CONTA",$G456&lt;&gt;"CONTA"),$F456,0))</f>
        <v>0</v>
      </c>
      <c r="AC456" s="36" t="n">
        <f aca="false">IF($B456="",0,IF(AND($G456="CONTA",$I456&lt;&gt;"CONTA"),$F456,0))</f>
        <v>0</v>
      </c>
      <c r="AD456" s="36" t="n">
        <f aca="false">IF($W456="RECEITA",$F456,0)</f>
        <v>0</v>
      </c>
      <c r="AE456" s="36" t="n">
        <f aca="false">IF($W456="DESPESA",$F456,0)</f>
        <v>0</v>
      </c>
      <c r="AF456" s="36" t="n">
        <f aca="false">IF($W456="RECEITA_FINANCEIRA",$F456,0)</f>
        <v>0</v>
      </c>
      <c r="AG456" s="36" t="n">
        <f aca="false">IF($B456="",0,IF($I456="CONTA",$F456,0)-IF($G456="CONTA",$F456,0))</f>
        <v>0</v>
      </c>
      <c r="AH456" s="36" t="n">
        <f aca="false">IF($B456="",0,IF($G456="CARTAO",$F456,0)-IF($I456="CARTAO",$F456,0))</f>
        <v>0</v>
      </c>
      <c r="AI456" s="36" t="n">
        <f aca="false">IF($B456="",0,IF($I456="INVESTIMENTO",$F456,0)-IF($G456="INVESTIMENTO",$F456,0))</f>
        <v>0</v>
      </c>
      <c r="AJ456" s="35" t="str">
        <f aca="false">IF($B456="","",IF(NOT(ISNUMBER($F456)),"ERRO: valor nao numerico",IF($F456&lt;=0,"ERRO: valor deve ser maior que zero",IF(COUNTIF(MAP_TIPO,$D456)=0,"ERRO: tipo de operacao nao cadastrado",IF(COUNTIF(LST_STATUS,$E456)=0,"ERRO: status invalido",IF(AND($G456="EXTERNO",$I456="EXTERNO"),"ERRO: origem e destino externos",IF(AND($G456&lt;&gt;"EXTERNO",COUNTIFS(ENT_ID,$H456,ENT_TIPO,$G456)=0),"ERRO: origem inexistente",IF(AND($I456&lt;&gt;"EXTERNO",COUNTIFS(ENT_ID,$J456,ENT_TIPO,$I456)=0),"ERRO: destino inexistente",IF(AND($K456&lt;&gt;"",COUNTIF(CAT_ID,$K456)=0),"ERRO: categoria inexistente",IF(AND($L456&lt;&gt;"",COUNTIF(SUB_ID,$L456)=0),"ERRO: subcategoria inexistente",IF(AND($L456&lt;&gt;"",$K456&lt;&gt;"",IFERROR(INDEX(SUB_CATID,MATCH($L456,SUB_ID,0)),"")&lt;&gt;$K456),"ERRO: subcategoria nao pertence a categoria",IF(AND($O456&lt;&gt;"",COUNTIF(P_ID,$O456)=0),"ERRO: parcela inexistente",IF(AND($N456&lt;&gt;"",COUNTIF(CM_ID,$N456)=0),"ERRO: compromisso inexistente","OK")))))))))))))</f>
        <v/>
      </c>
      <c r="AK456" s="35" t="str">
        <f aca="false">IF($B456="","",IF(AND($N456="",$O456="",$P456="",$Q456="",$R456=""),"","VINCULADO: "&amp;TRIM(IF($N456&lt;&gt;"",$N456&amp;" ","")&amp;IF($O456&lt;&gt;"",$O456&amp;" ","")&amp;IF($P456&lt;&gt;"",$P456&amp;" ","")&amp;IF($Q456&lt;&gt;"",$Q456&amp;" ","")&amp;IF($R456&lt;&gt;"",$R456,""))))</f>
        <v/>
      </c>
    </row>
    <row r="457" customFormat="false" ht="15" hidden="false" customHeight="false" outlineLevel="0" collapsed="false">
      <c r="A457" s="30" t="str">
        <f aca="false">IF($B457="","","LAN-"&amp;TEXT(ROW()-4,"000000"))</f>
        <v/>
      </c>
      <c r="B457" s="31"/>
      <c r="C457" s="32"/>
      <c r="D457" s="32"/>
      <c r="E457" s="32"/>
      <c r="F457" s="33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4" t="str">
        <f aca="false">IF($B457="","",YEAR($B457))</f>
        <v/>
      </c>
      <c r="U457" s="34" t="str">
        <f aca="false">IF($B457="","",MONTH($B457))</f>
        <v/>
      </c>
      <c r="V457" s="34" t="str">
        <f aca="false">IF($B457="","",YEAR($B457)*100+MONTH($B457))</f>
        <v/>
      </c>
      <c r="W457" s="35" t="str">
        <f aca="false">IF($D457="","",IFERROR(INDEX(MAP_CLASS,MATCH($D457,MAP_TIPO,0)),"TIPO INVALIDO"))</f>
        <v/>
      </c>
      <c r="X457" s="35" t="str">
        <f aca="false">IF($K457="","",IFERROR(INDEX(CAT_NOME,MATCH($K457,CAT_ID,0)),"?"))</f>
        <v/>
      </c>
      <c r="Y457" s="35" t="str">
        <f aca="false">IF($L457="","",IFERROR(INDEX(SUB_NOME,MATCH($L457,SUB_ID,0)),"?"))</f>
        <v/>
      </c>
      <c r="Z457" s="35" t="str">
        <f aca="false">IF($G457="","",IF($G457="EXTERNO","(Externo)",IFERROR(INDEX(ENT_NOME,MATCH($H457,ENT_ID,0)),"?")))</f>
        <v/>
      </c>
      <c r="AA457" s="35" t="str">
        <f aca="false">IF($I457="","",IF($I457="EXTERNO","(Externo)",IFERROR(INDEX(ENT_NOME,MATCH($J457,ENT_ID,0)),"?")))</f>
        <v/>
      </c>
      <c r="AB457" s="36" t="n">
        <f aca="false">IF($B457="",0,IF(AND($I457="CONTA",$G457&lt;&gt;"CONTA"),$F457,0))</f>
        <v>0</v>
      </c>
      <c r="AC457" s="36" t="n">
        <f aca="false">IF($B457="",0,IF(AND($G457="CONTA",$I457&lt;&gt;"CONTA"),$F457,0))</f>
        <v>0</v>
      </c>
      <c r="AD457" s="36" t="n">
        <f aca="false">IF($W457="RECEITA",$F457,0)</f>
        <v>0</v>
      </c>
      <c r="AE457" s="36" t="n">
        <f aca="false">IF($W457="DESPESA",$F457,0)</f>
        <v>0</v>
      </c>
      <c r="AF457" s="36" t="n">
        <f aca="false">IF($W457="RECEITA_FINANCEIRA",$F457,0)</f>
        <v>0</v>
      </c>
      <c r="AG457" s="36" t="n">
        <f aca="false">IF($B457="",0,IF($I457="CONTA",$F457,0)-IF($G457="CONTA",$F457,0))</f>
        <v>0</v>
      </c>
      <c r="AH457" s="36" t="n">
        <f aca="false">IF($B457="",0,IF($G457="CARTAO",$F457,0)-IF($I457="CARTAO",$F457,0))</f>
        <v>0</v>
      </c>
      <c r="AI457" s="36" t="n">
        <f aca="false">IF($B457="",0,IF($I457="INVESTIMENTO",$F457,0)-IF($G457="INVESTIMENTO",$F457,0))</f>
        <v>0</v>
      </c>
      <c r="AJ457" s="35" t="str">
        <f aca="false">IF($B457="","",IF(NOT(ISNUMBER($F457)),"ERRO: valor nao numerico",IF($F457&lt;=0,"ERRO: valor deve ser maior que zero",IF(COUNTIF(MAP_TIPO,$D457)=0,"ERRO: tipo de operacao nao cadastrado",IF(COUNTIF(LST_STATUS,$E457)=0,"ERRO: status invalido",IF(AND($G457="EXTERNO",$I457="EXTERNO"),"ERRO: origem e destino externos",IF(AND($G457&lt;&gt;"EXTERNO",COUNTIFS(ENT_ID,$H457,ENT_TIPO,$G457)=0),"ERRO: origem inexistente",IF(AND($I457&lt;&gt;"EXTERNO",COUNTIFS(ENT_ID,$J457,ENT_TIPO,$I457)=0),"ERRO: destino inexistente",IF(AND($K457&lt;&gt;"",COUNTIF(CAT_ID,$K457)=0),"ERRO: categoria inexistente",IF(AND($L457&lt;&gt;"",COUNTIF(SUB_ID,$L457)=0),"ERRO: subcategoria inexistente",IF(AND($L457&lt;&gt;"",$K457&lt;&gt;"",IFERROR(INDEX(SUB_CATID,MATCH($L457,SUB_ID,0)),"")&lt;&gt;$K457),"ERRO: subcategoria nao pertence a categoria",IF(AND($O457&lt;&gt;"",COUNTIF(P_ID,$O457)=0),"ERRO: parcela inexistente",IF(AND($N457&lt;&gt;"",COUNTIF(CM_ID,$N457)=0),"ERRO: compromisso inexistente","OK")))))))))))))</f>
        <v/>
      </c>
      <c r="AK457" s="35" t="str">
        <f aca="false">IF($B457="","",IF(AND($N457="",$O457="",$P457="",$Q457="",$R457=""),"","VINCULADO: "&amp;TRIM(IF($N457&lt;&gt;"",$N457&amp;" ","")&amp;IF($O457&lt;&gt;"",$O457&amp;" ","")&amp;IF($P457&lt;&gt;"",$P457&amp;" ","")&amp;IF($Q457&lt;&gt;"",$Q457&amp;" ","")&amp;IF($R457&lt;&gt;"",$R457,""))))</f>
        <v/>
      </c>
    </row>
    <row r="458" customFormat="false" ht="15" hidden="false" customHeight="false" outlineLevel="0" collapsed="false">
      <c r="A458" s="30" t="str">
        <f aca="false">IF($B458="","","LAN-"&amp;TEXT(ROW()-4,"000000"))</f>
        <v/>
      </c>
      <c r="B458" s="31"/>
      <c r="C458" s="32"/>
      <c r="D458" s="32"/>
      <c r="E458" s="32"/>
      <c r="F458" s="33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4" t="str">
        <f aca="false">IF($B458="","",YEAR($B458))</f>
        <v/>
      </c>
      <c r="U458" s="34" t="str">
        <f aca="false">IF($B458="","",MONTH($B458))</f>
        <v/>
      </c>
      <c r="V458" s="34" t="str">
        <f aca="false">IF($B458="","",YEAR($B458)*100+MONTH($B458))</f>
        <v/>
      </c>
      <c r="W458" s="35" t="str">
        <f aca="false">IF($D458="","",IFERROR(INDEX(MAP_CLASS,MATCH($D458,MAP_TIPO,0)),"TIPO INVALIDO"))</f>
        <v/>
      </c>
      <c r="X458" s="35" t="str">
        <f aca="false">IF($K458="","",IFERROR(INDEX(CAT_NOME,MATCH($K458,CAT_ID,0)),"?"))</f>
        <v/>
      </c>
      <c r="Y458" s="35" t="str">
        <f aca="false">IF($L458="","",IFERROR(INDEX(SUB_NOME,MATCH($L458,SUB_ID,0)),"?"))</f>
        <v/>
      </c>
      <c r="Z458" s="35" t="str">
        <f aca="false">IF($G458="","",IF($G458="EXTERNO","(Externo)",IFERROR(INDEX(ENT_NOME,MATCH($H458,ENT_ID,0)),"?")))</f>
        <v/>
      </c>
      <c r="AA458" s="35" t="str">
        <f aca="false">IF($I458="","",IF($I458="EXTERNO","(Externo)",IFERROR(INDEX(ENT_NOME,MATCH($J458,ENT_ID,0)),"?")))</f>
        <v/>
      </c>
      <c r="AB458" s="36" t="n">
        <f aca="false">IF($B458="",0,IF(AND($I458="CONTA",$G458&lt;&gt;"CONTA"),$F458,0))</f>
        <v>0</v>
      </c>
      <c r="AC458" s="36" t="n">
        <f aca="false">IF($B458="",0,IF(AND($G458="CONTA",$I458&lt;&gt;"CONTA"),$F458,0))</f>
        <v>0</v>
      </c>
      <c r="AD458" s="36" t="n">
        <f aca="false">IF($W458="RECEITA",$F458,0)</f>
        <v>0</v>
      </c>
      <c r="AE458" s="36" t="n">
        <f aca="false">IF($W458="DESPESA",$F458,0)</f>
        <v>0</v>
      </c>
      <c r="AF458" s="36" t="n">
        <f aca="false">IF($W458="RECEITA_FINANCEIRA",$F458,0)</f>
        <v>0</v>
      </c>
      <c r="AG458" s="36" t="n">
        <f aca="false">IF($B458="",0,IF($I458="CONTA",$F458,0)-IF($G458="CONTA",$F458,0))</f>
        <v>0</v>
      </c>
      <c r="AH458" s="36" t="n">
        <f aca="false">IF($B458="",0,IF($G458="CARTAO",$F458,0)-IF($I458="CARTAO",$F458,0))</f>
        <v>0</v>
      </c>
      <c r="AI458" s="36" t="n">
        <f aca="false">IF($B458="",0,IF($I458="INVESTIMENTO",$F458,0)-IF($G458="INVESTIMENTO",$F458,0))</f>
        <v>0</v>
      </c>
      <c r="AJ458" s="35" t="str">
        <f aca="false">IF($B458="","",IF(NOT(ISNUMBER($F458)),"ERRO: valor nao numerico",IF($F458&lt;=0,"ERRO: valor deve ser maior que zero",IF(COUNTIF(MAP_TIPO,$D458)=0,"ERRO: tipo de operacao nao cadastrado",IF(COUNTIF(LST_STATUS,$E458)=0,"ERRO: status invalido",IF(AND($G458="EXTERNO",$I458="EXTERNO"),"ERRO: origem e destino externos",IF(AND($G458&lt;&gt;"EXTERNO",COUNTIFS(ENT_ID,$H458,ENT_TIPO,$G458)=0),"ERRO: origem inexistente",IF(AND($I458&lt;&gt;"EXTERNO",COUNTIFS(ENT_ID,$J458,ENT_TIPO,$I458)=0),"ERRO: destino inexistente",IF(AND($K458&lt;&gt;"",COUNTIF(CAT_ID,$K458)=0),"ERRO: categoria inexistente",IF(AND($L458&lt;&gt;"",COUNTIF(SUB_ID,$L458)=0),"ERRO: subcategoria inexistente",IF(AND($L458&lt;&gt;"",$K458&lt;&gt;"",IFERROR(INDEX(SUB_CATID,MATCH($L458,SUB_ID,0)),"")&lt;&gt;$K458),"ERRO: subcategoria nao pertence a categoria",IF(AND($O458&lt;&gt;"",COUNTIF(P_ID,$O458)=0),"ERRO: parcela inexistente",IF(AND($N458&lt;&gt;"",COUNTIF(CM_ID,$N458)=0),"ERRO: compromisso inexistente","OK")))))))))))))</f>
        <v/>
      </c>
      <c r="AK458" s="35" t="str">
        <f aca="false">IF($B458="","",IF(AND($N458="",$O458="",$P458="",$Q458="",$R458=""),"","VINCULADO: "&amp;TRIM(IF($N458&lt;&gt;"",$N458&amp;" ","")&amp;IF($O458&lt;&gt;"",$O458&amp;" ","")&amp;IF($P458&lt;&gt;"",$P458&amp;" ","")&amp;IF($Q458&lt;&gt;"",$Q458&amp;" ","")&amp;IF($R458&lt;&gt;"",$R458,""))))</f>
        <v/>
      </c>
    </row>
    <row r="459" customFormat="false" ht="15" hidden="false" customHeight="false" outlineLevel="0" collapsed="false">
      <c r="A459" s="30" t="str">
        <f aca="false">IF($B459="","","LAN-"&amp;TEXT(ROW()-4,"000000"))</f>
        <v/>
      </c>
      <c r="B459" s="31"/>
      <c r="C459" s="32"/>
      <c r="D459" s="32"/>
      <c r="E459" s="32"/>
      <c r="F459" s="33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4" t="str">
        <f aca="false">IF($B459="","",YEAR($B459))</f>
        <v/>
      </c>
      <c r="U459" s="34" t="str">
        <f aca="false">IF($B459="","",MONTH($B459))</f>
        <v/>
      </c>
      <c r="V459" s="34" t="str">
        <f aca="false">IF($B459="","",YEAR($B459)*100+MONTH($B459))</f>
        <v/>
      </c>
      <c r="W459" s="35" t="str">
        <f aca="false">IF($D459="","",IFERROR(INDEX(MAP_CLASS,MATCH($D459,MAP_TIPO,0)),"TIPO INVALIDO"))</f>
        <v/>
      </c>
      <c r="X459" s="35" t="str">
        <f aca="false">IF($K459="","",IFERROR(INDEX(CAT_NOME,MATCH($K459,CAT_ID,0)),"?"))</f>
        <v/>
      </c>
      <c r="Y459" s="35" t="str">
        <f aca="false">IF($L459="","",IFERROR(INDEX(SUB_NOME,MATCH($L459,SUB_ID,0)),"?"))</f>
        <v/>
      </c>
      <c r="Z459" s="35" t="str">
        <f aca="false">IF($G459="","",IF($G459="EXTERNO","(Externo)",IFERROR(INDEX(ENT_NOME,MATCH($H459,ENT_ID,0)),"?")))</f>
        <v/>
      </c>
      <c r="AA459" s="35" t="str">
        <f aca="false">IF($I459="","",IF($I459="EXTERNO","(Externo)",IFERROR(INDEX(ENT_NOME,MATCH($J459,ENT_ID,0)),"?")))</f>
        <v/>
      </c>
      <c r="AB459" s="36" t="n">
        <f aca="false">IF($B459="",0,IF(AND($I459="CONTA",$G459&lt;&gt;"CONTA"),$F459,0))</f>
        <v>0</v>
      </c>
      <c r="AC459" s="36" t="n">
        <f aca="false">IF($B459="",0,IF(AND($G459="CONTA",$I459&lt;&gt;"CONTA"),$F459,0))</f>
        <v>0</v>
      </c>
      <c r="AD459" s="36" t="n">
        <f aca="false">IF($W459="RECEITA",$F459,0)</f>
        <v>0</v>
      </c>
      <c r="AE459" s="36" t="n">
        <f aca="false">IF($W459="DESPESA",$F459,0)</f>
        <v>0</v>
      </c>
      <c r="AF459" s="36" t="n">
        <f aca="false">IF($W459="RECEITA_FINANCEIRA",$F459,0)</f>
        <v>0</v>
      </c>
      <c r="AG459" s="36" t="n">
        <f aca="false">IF($B459="",0,IF($I459="CONTA",$F459,0)-IF($G459="CONTA",$F459,0))</f>
        <v>0</v>
      </c>
      <c r="AH459" s="36" t="n">
        <f aca="false">IF($B459="",0,IF($G459="CARTAO",$F459,0)-IF($I459="CARTAO",$F459,0))</f>
        <v>0</v>
      </c>
      <c r="AI459" s="36" t="n">
        <f aca="false">IF($B459="",0,IF($I459="INVESTIMENTO",$F459,0)-IF($G459="INVESTIMENTO",$F459,0))</f>
        <v>0</v>
      </c>
      <c r="AJ459" s="35" t="str">
        <f aca="false">IF($B459="","",IF(NOT(ISNUMBER($F459)),"ERRO: valor nao numerico",IF($F459&lt;=0,"ERRO: valor deve ser maior que zero",IF(COUNTIF(MAP_TIPO,$D459)=0,"ERRO: tipo de operacao nao cadastrado",IF(COUNTIF(LST_STATUS,$E459)=0,"ERRO: status invalido",IF(AND($G459="EXTERNO",$I459="EXTERNO"),"ERRO: origem e destino externos",IF(AND($G459&lt;&gt;"EXTERNO",COUNTIFS(ENT_ID,$H459,ENT_TIPO,$G459)=0),"ERRO: origem inexistente",IF(AND($I459&lt;&gt;"EXTERNO",COUNTIFS(ENT_ID,$J459,ENT_TIPO,$I459)=0),"ERRO: destino inexistente",IF(AND($K459&lt;&gt;"",COUNTIF(CAT_ID,$K459)=0),"ERRO: categoria inexistente",IF(AND($L459&lt;&gt;"",COUNTIF(SUB_ID,$L459)=0),"ERRO: subcategoria inexistente",IF(AND($L459&lt;&gt;"",$K459&lt;&gt;"",IFERROR(INDEX(SUB_CATID,MATCH($L459,SUB_ID,0)),"")&lt;&gt;$K459),"ERRO: subcategoria nao pertence a categoria",IF(AND($O459&lt;&gt;"",COUNTIF(P_ID,$O459)=0),"ERRO: parcela inexistente",IF(AND($N459&lt;&gt;"",COUNTIF(CM_ID,$N459)=0),"ERRO: compromisso inexistente","OK")))))))))))))</f>
        <v/>
      </c>
      <c r="AK459" s="35" t="str">
        <f aca="false">IF($B459="","",IF(AND($N459="",$O459="",$P459="",$Q459="",$R459=""),"","VINCULADO: "&amp;TRIM(IF($N459&lt;&gt;"",$N459&amp;" ","")&amp;IF($O459&lt;&gt;"",$O459&amp;" ","")&amp;IF($P459&lt;&gt;"",$P459&amp;" ","")&amp;IF($Q459&lt;&gt;"",$Q459&amp;" ","")&amp;IF($R459&lt;&gt;"",$R459,""))))</f>
        <v/>
      </c>
    </row>
    <row r="460" customFormat="false" ht="15" hidden="false" customHeight="false" outlineLevel="0" collapsed="false">
      <c r="A460" s="30" t="str">
        <f aca="false">IF($B460="","","LAN-"&amp;TEXT(ROW()-4,"000000"))</f>
        <v/>
      </c>
      <c r="B460" s="31"/>
      <c r="C460" s="32"/>
      <c r="D460" s="32"/>
      <c r="E460" s="32"/>
      <c r="F460" s="33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4" t="str">
        <f aca="false">IF($B460="","",YEAR($B460))</f>
        <v/>
      </c>
      <c r="U460" s="34" t="str">
        <f aca="false">IF($B460="","",MONTH($B460))</f>
        <v/>
      </c>
      <c r="V460" s="34" t="str">
        <f aca="false">IF($B460="","",YEAR($B460)*100+MONTH($B460))</f>
        <v/>
      </c>
      <c r="W460" s="35" t="str">
        <f aca="false">IF($D460="","",IFERROR(INDEX(MAP_CLASS,MATCH($D460,MAP_TIPO,0)),"TIPO INVALIDO"))</f>
        <v/>
      </c>
      <c r="X460" s="35" t="str">
        <f aca="false">IF($K460="","",IFERROR(INDEX(CAT_NOME,MATCH($K460,CAT_ID,0)),"?"))</f>
        <v/>
      </c>
      <c r="Y460" s="35" t="str">
        <f aca="false">IF($L460="","",IFERROR(INDEX(SUB_NOME,MATCH($L460,SUB_ID,0)),"?"))</f>
        <v/>
      </c>
      <c r="Z460" s="35" t="str">
        <f aca="false">IF($G460="","",IF($G460="EXTERNO","(Externo)",IFERROR(INDEX(ENT_NOME,MATCH($H460,ENT_ID,0)),"?")))</f>
        <v/>
      </c>
      <c r="AA460" s="35" t="str">
        <f aca="false">IF($I460="","",IF($I460="EXTERNO","(Externo)",IFERROR(INDEX(ENT_NOME,MATCH($J460,ENT_ID,0)),"?")))</f>
        <v/>
      </c>
      <c r="AB460" s="36" t="n">
        <f aca="false">IF($B460="",0,IF(AND($I460="CONTA",$G460&lt;&gt;"CONTA"),$F460,0))</f>
        <v>0</v>
      </c>
      <c r="AC460" s="36" t="n">
        <f aca="false">IF($B460="",0,IF(AND($G460="CONTA",$I460&lt;&gt;"CONTA"),$F460,0))</f>
        <v>0</v>
      </c>
      <c r="AD460" s="36" t="n">
        <f aca="false">IF($W460="RECEITA",$F460,0)</f>
        <v>0</v>
      </c>
      <c r="AE460" s="36" t="n">
        <f aca="false">IF($W460="DESPESA",$F460,0)</f>
        <v>0</v>
      </c>
      <c r="AF460" s="36" t="n">
        <f aca="false">IF($W460="RECEITA_FINANCEIRA",$F460,0)</f>
        <v>0</v>
      </c>
      <c r="AG460" s="36" t="n">
        <f aca="false">IF($B460="",0,IF($I460="CONTA",$F460,0)-IF($G460="CONTA",$F460,0))</f>
        <v>0</v>
      </c>
      <c r="AH460" s="36" t="n">
        <f aca="false">IF($B460="",0,IF($G460="CARTAO",$F460,0)-IF($I460="CARTAO",$F460,0))</f>
        <v>0</v>
      </c>
      <c r="AI460" s="36" t="n">
        <f aca="false">IF($B460="",0,IF($I460="INVESTIMENTO",$F460,0)-IF($G460="INVESTIMENTO",$F460,0))</f>
        <v>0</v>
      </c>
      <c r="AJ460" s="35" t="str">
        <f aca="false">IF($B460="","",IF(NOT(ISNUMBER($F460)),"ERRO: valor nao numerico",IF($F460&lt;=0,"ERRO: valor deve ser maior que zero",IF(COUNTIF(MAP_TIPO,$D460)=0,"ERRO: tipo de operacao nao cadastrado",IF(COUNTIF(LST_STATUS,$E460)=0,"ERRO: status invalido",IF(AND($G460="EXTERNO",$I460="EXTERNO"),"ERRO: origem e destino externos",IF(AND($G460&lt;&gt;"EXTERNO",COUNTIFS(ENT_ID,$H460,ENT_TIPO,$G460)=0),"ERRO: origem inexistente",IF(AND($I460&lt;&gt;"EXTERNO",COUNTIFS(ENT_ID,$J460,ENT_TIPO,$I460)=0),"ERRO: destino inexistente",IF(AND($K460&lt;&gt;"",COUNTIF(CAT_ID,$K460)=0),"ERRO: categoria inexistente",IF(AND($L460&lt;&gt;"",COUNTIF(SUB_ID,$L460)=0),"ERRO: subcategoria inexistente",IF(AND($L460&lt;&gt;"",$K460&lt;&gt;"",IFERROR(INDEX(SUB_CATID,MATCH($L460,SUB_ID,0)),"")&lt;&gt;$K460),"ERRO: subcategoria nao pertence a categoria",IF(AND($O460&lt;&gt;"",COUNTIF(P_ID,$O460)=0),"ERRO: parcela inexistente",IF(AND($N460&lt;&gt;"",COUNTIF(CM_ID,$N460)=0),"ERRO: compromisso inexistente","OK")))))))))))))</f>
        <v/>
      </c>
      <c r="AK460" s="35" t="str">
        <f aca="false">IF($B460="","",IF(AND($N460="",$O460="",$P460="",$Q460="",$R460=""),"","VINCULADO: "&amp;TRIM(IF($N460&lt;&gt;"",$N460&amp;" ","")&amp;IF($O460&lt;&gt;"",$O460&amp;" ","")&amp;IF($P460&lt;&gt;"",$P460&amp;" ","")&amp;IF($Q460&lt;&gt;"",$Q460&amp;" ","")&amp;IF($R460&lt;&gt;"",$R460,""))))</f>
        <v/>
      </c>
    </row>
    <row r="461" customFormat="false" ht="15" hidden="false" customHeight="false" outlineLevel="0" collapsed="false">
      <c r="A461" s="30" t="str">
        <f aca="false">IF($B461="","","LAN-"&amp;TEXT(ROW()-4,"000000"))</f>
        <v/>
      </c>
      <c r="B461" s="31"/>
      <c r="C461" s="32"/>
      <c r="D461" s="32"/>
      <c r="E461" s="32"/>
      <c r="F461" s="33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4" t="str">
        <f aca="false">IF($B461="","",YEAR($B461))</f>
        <v/>
      </c>
      <c r="U461" s="34" t="str">
        <f aca="false">IF($B461="","",MONTH($B461))</f>
        <v/>
      </c>
      <c r="V461" s="34" t="str">
        <f aca="false">IF($B461="","",YEAR($B461)*100+MONTH($B461))</f>
        <v/>
      </c>
      <c r="W461" s="35" t="str">
        <f aca="false">IF($D461="","",IFERROR(INDEX(MAP_CLASS,MATCH($D461,MAP_TIPO,0)),"TIPO INVALIDO"))</f>
        <v/>
      </c>
      <c r="X461" s="35" t="str">
        <f aca="false">IF($K461="","",IFERROR(INDEX(CAT_NOME,MATCH($K461,CAT_ID,0)),"?"))</f>
        <v/>
      </c>
      <c r="Y461" s="35" t="str">
        <f aca="false">IF($L461="","",IFERROR(INDEX(SUB_NOME,MATCH($L461,SUB_ID,0)),"?"))</f>
        <v/>
      </c>
      <c r="Z461" s="35" t="str">
        <f aca="false">IF($G461="","",IF($G461="EXTERNO","(Externo)",IFERROR(INDEX(ENT_NOME,MATCH($H461,ENT_ID,0)),"?")))</f>
        <v/>
      </c>
      <c r="AA461" s="35" t="str">
        <f aca="false">IF($I461="","",IF($I461="EXTERNO","(Externo)",IFERROR(INDEX(ENT_NOME,MATCH($J461,ENT_ID,0)),"?")))</f>
        <v/>
      </c>
      <c r="AB461" s="36" t="n">
        <f aca="false">IF($B461="",0,IF(AND($I461="CONTA",$G461&lt;&gt;"CONTA"),$F461,0))</f>
        <v>0</v>
      </c>
      <c r="AC461" s="36" t="n">
        <f aca="false">IF($B461="",0,IF(AND($G461="CONTA",$I461&lt;&gt;"CONTA"),$F461,0))</f>
        <v>0</v>
      </c>
      <c r="AD461" s="36" t="n">
        <f aca="false">IF($W461="RECEITA",$F461,0)</f>
        <v>0</v>
      </c>
      <c r="AE461" s="36" t="n">
        <f aca="false">IF($W461="DESPESA",$F461,0)</f>
        <v>0</v>
      </c>
      <c r="AF461" s="36" t="n">
        <f aca="false">IF($W461="RECEITA_FINANCEIRA",$F461,0)</f>
        <v>0</v>
      </c>
      <c r="AG461" s="36" t="n">
        <f aca="false">IF($B461="",0,IF($I461="CONTA",$F461,0)-IF($G461="CONTA",$F461,0))</f>
        <v>0</v>
      </c>
      <c r="AH461" s="36" t="n">
        <f aca="false">IF($B461="",0,IF($G461="CARTAO",$F461,0)-IF($I461="CARTAO",$F461,0))</f>
        <v>0</v>
      </c>
      <c r="AI461" s="36" t="n">
        <f aca="false">IF($B461="",0,IF($I461="INVESTIMENTO",$F461,0)-IF($G461="INVESTIMENTO",$F461,0))</f>
        <v>0</v>
      </c>
      <c r="AJ461" s="35" t="str">
        <f aca="false">IF($B461="","",IF(NOT(ISNUMBER($F461)),"ERRO: valor nao numerico",IF($F461&lt;=0,"ERRO: valor deve ser maior que zero",IF(COUNTIF(MAP_TIPO,$D461)=0,"ERRO: tipo de operacao nao cadastrado",IF(COUNTIF(LST_STATUS,$E461)=0,"ERRO: status invalido",IF(AND($G461="EXTERNO",$I461="EXTERNO"),"ERRO: origem e destino externos",IF(AND($G461&lt;&gt;"EXTERNO",COUNTIFS(ENT_ID,$H461,ENT_TIPO,$G461)=0),"ERRO: origem inexistente",IF(AND($I461&lt;&gt;"EXTERNO",COUNTIFS(ENT_ID,$J461,ENT_TIPO,$I461)=0),"ERRO: destino inexistente",IF(AND($K461&lt;&gt;"",COUNTIF(CAT_ID,$K461)=0),"ERRO: categoria inexistente",IF(AND($L461&lt;&gt;"",COUNTIF(SUB_ID,$L461)=0),"ERRO: subcategoria inexistente",IF(AND($L461&lt;&gt;"",$K461&lt;&gt;"",IFERROR(INDEX(SUB_CATID,MATCH($L461,SUB_ID,0)),"")&lt;&gt;$K461),"ERRO: subcategoria nao pertence a categoria",IF(AND($O461&lt;&gt;"",COUNTIF(P_ID,$O461)=0),"ERRO: parcela inexistente",IF(AND($N461&lt;&gt;"",COUNTIF(CM_ID,$N461)=0),"ERRO: compromisso inexistente","OK")))))))))))))</f>
        <v/>
      </c>
      <c r="AK461" s="35" t="str">
        <f aca="false">IF($B461="","",IF(AND($N461="",$O461="",$P461="",$Q461="",$R461=""),"","VINCULADO: "&amp;TRIM(IF($N461&lt;&gt;"",$N461&amp;" ","")&amp;IF($O461&lt;&gt;"",$O461&amp;" ","")&amp;IF($P461&lt;&gt;"",$P461&amp;" ","")&amp;IF($Q461&lt;&gt;"",$Q461&amp;" ","")&amp;IF($R461&lt;&gt;"",$R461,""))))</f>
        <v/>
      </c>
    </row>
    <row r="462" customFormat="false" ht="15" hidden="false" customHeight="false" outlineLevel="0" collapsed="false">
      <c r="A462" s="30" t="str">
        <f aca="false">IF($B462="","","LAN-"&amp;TEXT(ROW()-4,"000000"))</f>
        <v/>
      </c>
      <c r="B462" s="31"/>
      <c r="C462" s="32"/>
      <c r="D462" s="32"/>
      <c r="E462" s="32"/>
      <c r="F462" s="33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4" t="str">
        <f aca="false">IF($B462="","",YEAR($B462))</f>
        <v/>
      </c>
      <c r="U462" s="34" t="str">
        <f aca="false">IF($B462="","",MONTH($B462))</f>
        <v/>
      </c>
      <c r="V462" s="34" t="str">
        <f aca="false">IF($B462="","",YEAR($B462)*100+MONTH($B462))</f>
        <v/>
      </c>
      <c r="W462" s="35" t="str">
        <f aca="false">IF($D462="","",IFERROR(INDEX(MAP_CLASS,MATCH($D462,MAP_TIPO,0)),"TIPO INVALIDO"))</f>
        <v/>
      </c>
      <c r="X462" s="35" t="str">
        <f aca="false">IF($K462="","",IFERROR(INDEX(CAT_NOME,MATCH($K462,CAT_ID,0)),"?"))</f>
        <v/>
      </c>
      <c r="Y462" s="35" t="str">
        <f aca="false">IF($L462="","",IFERROR(INDEX(SUB_NOME,MATCH($L462,SUB_ID,0)),"?"))</f>
        <v/>
      </c>
      <c r="Z462" s="35" t="str">
        <f aca="false">IF($G462="","",IF($G462="EXTERNO","(Externo)",IFERROR(INDEX(ENT_NOME,MATCH($H462,ENT_ID,0)),"?")))</f>
        <v/>
      </c>
      <c r="AA462" s="35" t="str">
        <f aca="false">IF($I462="","",IF($I462="EXTERNO","(Externo)",IFERROR(INDEX(ENT_NOME,MATCH($J462,ENT_ID,0)),"?")))</f>
        <v/>
      </c>
      <c r="AB462" s="36" t="n">
        <f aca="false">IF($B462="",0,IF(AND($I462="CONTA",$G462&lt;&gt;"CONTA"),$F462,0))</f>
        <v>0</v>
      </c>
      <c r="AC462" s="36" t="n">
        <f aca="false">IF($B462="",0,IF(AND($G462="CONTA",$I462&lt;&gt;"CONTA"),$F462,0))</f>
        <v>0</v>
      </c>
      <c r="AD462" s="36" t="n">
        <f aca="false">IF($W462="RECEITA",$F462,0)</f>
        <v>0</v>
      </c>
      <c r="AE462" s="36" t="n">
        <f aca="false">IF($W462="DESPESA",$F462,0)</f>
        <v>0</v>
      </c>
      <c r="AF462" s="36" t="n">
        <f aca="false">IF($W462="RECEITA_FINANCEIRA",$F462,0)</f>
        <v>0</v>
      </c>
      <c r="AG462" s="36" t="n">
        <f aca="false">IF($B462="",0,IF($I462="CONTA",$F462,0)-IF($G462="CONTA",$F462,0))</f>
        <v>0</v>
      </c>
      <c r="AH462" s="36" t="n">
        <f aca="false">IF($B462="",0,IF($G462="CARTAO",$F462,0)-IF($I462="CARTAO",$F462,0))</f>
        <v>0</v>
      </c>
      <c r="AI462" s="36" t="n">
        <f aca="false">IF($B462="",0,IF($I462="INVESTIMENTO",$F462,0)-IF($G462="INVESTIMENTO",$F462,0))</f>
        <v>0</v>
      </c>
      <c r="AJ462" s="35" t="str">
        <f aca="false">IF($B462="","",IF(NOT(ISNUMBER($F462)),"ERRO: valor nao numerico",IF($F462&lt;=0,"ERRO: valor deve ser maior que zero",IF(COUNTIF(MAP_TIPO,$D462)=0,"ERRO: tipo de operacao nao cadastrado",IF(COUNTIF(LST_STATUS,$E462)=0,"ERRO: status invalido",IF(AND($G462="EXTERNO",$I462="EXTERNO"),"ERRO: origem e destino externos",IF(AND($G462&lt;&gt;"EXTERNO",COUNTIFS(ENT_ID,$H462,ENT_TIPO,$G462)=0),"ERRO: origem inexistente",IF(AND($I462&lt;&gt;"EXTERNO",COUNTIFS(ENT_ID,$J462,ENT_TIPO,$I462)=0),"ERRO: destino inexistente",IF(AND($K462&lt;&gt;"",COUNTIF(CAT_ID,$K462)=0),"ERRO: categoria inexistente",IF(AND($L462&lt;&gt;"",COUNTIF(SUB_ID,$L462)=0),"ERRO: subcategoria inexistente",IF(AND($L462&lt;&gt;"",$K462&lt;&gt;"",IFERROR(INDEX(SUB_CATID,MATCH($L462,SUB_ID,0)),"")&lt;&gt;$K462),"ERRO: subcategoria nao pertence a categoria",IF(AND($O462&lt;&gt;"",COUNTIF(P_ID,$O462)=0),"ERRO: parcela inexistente",IF(AND($N462&lt;&gt;"",COUNTIF(CM_ID,$N462)=0),"ERRO: compromisso inexistente","OK")))))))))))))</f>
        <v/>
      </c>
      <c r="AK462" s="35" t="str">
        <f aca="false">IF($B462="","",IF(AND($N462="",$O462="",$P462="",$Q462="",$R462=""),"","VINCULADO: "&amp;TRIM(IF($N462&lt;&gt;"",$N462&amp;" ","")&amp;IF($O462&lt;&gt;"",$O462&amp;" ","")&amp;IF($P462&lt;&gt;"",$P462&amp;" ","")&amp;IF($Q462&lt;&gt;"",$Q462&amp;" ","")&amp;IF($R462&lt;&gt;"",$R462,""))))</f>
        <v/>
      </c>
    </row>
    <row r="463" customFormat="false" ht="15" hidden="false" customHeight="false" outlineLevel="0" collapsed="false">
      <c r="A463" s="30" t="str">
        <f aca="false">IF($B463="","","LAN-"&amp;TEXT(ROW()-4,"000000"))</f>
        <v/>
      </c>
      <c r="B463" s="31"/>
      <c r="C463" s="32"/>
      <c r="D463" s="32"/>
      <c r="E463" s="32"/>
      <c r="F463" s="33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4" t="str">
        <f aca="false">IF($B463="","",YEAR($B463))</f>
        <v/>
      </c>
      <c r="U463" s="34" t="str">
        <f aca="false">IF($B463="","",MONTH($B463))</f>
        <v/>
      </c>
      <c r="V463" s="34" t="str">
        <f aca="false">IF($B463="","",YEAR($B463)*100+MONTH($B463))</f>
        <v/>
      </c>
      <c r="W463" s="35" t="str">
        <f aca="false">IF($D463="","",IFERROR(INDEX(MAP_CLASS,MATCH($D463,MAP_TIPO,0)),"TIPO INVALIDO"))</f>
        <v/>
      </c>
      <c r="X463" s="35" t="str">
        <f aca="false">IF($K463="","",IFERROR(INDEX(CAT_NOME,MATCH($K463,CAT_ID,0)),"?"))</f>
        <v/>
      </c>
      <c r="Y463" s="35" t="str">
        <f aca="false">IF($L463="","",IFERROR(INDEX(SUB_NOME,MATCH($L463,SUB_ID,0)),"?"))</f>
        <v/>
      </c>
      <c r="Z463" s="35" t="str">
        <f aca="false">IF($G463="","",IF($G463="EXTERNO","(Externo)",IFERROR(INDEX(ENT_NOME,MATCH($H463,ENT_ID,0)),"?")))</f>
        <v/>
      </c>
      <c r="AA463" s="35" t="str">
        <f aca="false">IF($I463="","",IF($I463="EXTERNO","(Externo)",IFERROR(INDEX(ENT_NOME,MATCH($J463,ENT_ID,0)),"?")))</f>
        <v/>
      </c>
      <c r="AB463" s="36" t="n">
        <f aca="false">IF($B463="",0,IF(AND($I463="CONTA",$G463&lt;&gt;"CONTA"),$F463,0))</f>
        <v>0</v>
      </c>
      <c r="AC463" s="36" t="n">
        <f aca="false">IF($B463="",0,IF(AND($G463="CONTA",$I463&lt;&gt;"CONTA"),$F463,0))</f>
        <v>0</v>
      </c>
      <c r="AD463" s="36" t="n">
        <f aca="false">IF($W463="RECEITA",$F463,0)</f>
        <v>0</v>
      </c>
      <c r="AE463" s="36" t="n">
        <f aca="false">IF($W463="DESPESA",$F463,0)</f>
        <v>0</v>
      </c>
      <c r="AF463" s="36" t="n">
        <f aca="false">IF($W463="RECEITA_FINANCEIRA",$F463,0)</f>
        <v>0</v>
      </c>
      <c r="AG463" s="36" t="n">
        <f aca="false">IF($B463="",0,IF($I463="CONTA",$F463,0)-IF($G463="CONTA",$F463,0))</f>
        <v>0</v>
      </c>
      <c r="AH463" s="36" t="n">
        <f aca="false">IF($B463="",0,IF($G463="CARTAO",$F463,0)-IF($I463="CARTAO",$F463,0))</f>
        <v>0</v>
      </c>
      <c r="AI463" s="36" t="n">
        <f aca="false">IF($B463="",0,IF($I463="INVESTIMENTO",$F463,0)-IF($G463="INVESTIMENTO",$F463,0))</f>
        <v>0</v>
      </c>
      <c r="AJ463" s="35" t="str">
        <f aca="false">IF($B463="","",IF(NOT(ISNUMBER($F463)),"ERRO: valor nao numerico",IF($F463&lt;=0,"ERRO: valor deve ser maior que zero",IF(COUNTIF(MAP_TIPO,$D463)=0,"ERRO: tipo de operacao nao cadastrado",IF(COUNTIF(LST_STATUS,$E463)=0,"ERRO: status invalido",IF(AND($G463="EXTERNO",$I463="EXTERNO"),"ERRO: origem e destino externos",IF(AND($G463&lt;&gt;"EXTERNO",COUNTIFS(ENT_ID,$H463,ENT_TIPO,$G463)=0),"ERRO: origem inexistente",IF(AND($I463&lt;&gt;"EXTERNO",COUNTIFS(ENT_ID,$J463,ENT_TIPO,$I463)=0),"ERRO: destino inexistente",IF(AND($K463&lt;&gt;"",COUNTIF(CAT_ID,$K463)=0),"ERRO: categoria inexistente",IF(AND($L463&lt;&gt;"",COUNTIF(SUB_ID,$L463)=0),"ERRO: subcategoria inexistente",IF(AND($L463&lt;&gt;"",$K463&lt;&gt;"",IFERROR(INDEX(SUB_CATID,MATCH($L463,SUB_ID,0)),"")&lt;&gt;$K463),"ERRO: subcategoria nao pertence a categoria",IF(AND($O463&lt;&gt;"",COUNTIF(P_ID,$O463)=0),"ERRO: parcela inexistente",IF(AND($N463&lt;&gt;"",COUNTIF(CM_ID,$N463)=0),"ERRO: compromisso inexistente","OK")))))))))))))</f>
        <v/>
      </c>
      <c r="AK463" s="35" t="str">
        <f aca="false">IF($B463="","",IF(AND($N463="",$O463="",$P463="",$Q463="",$R463=""),"","VINCULADO: "&amp;TRIM(IF($N463&lt;&gt;"",$N463&amp;" ","")&amp;IF($O463&lt;&gt;"",$O463&amp;" ","")&amp;IF($P463&lt;&gt;"",$P463&amp;" ","")&amp;IF($Q463&lt;&gt;"",$Q463&amp;" ","")&amp;IF($R463&lt;&gt;"",$R463,""))))</f>
        <v/>
      </c>
    </row>
    <row r="464" customFormat="false" ht="15" hidden="false" customHeight="false" outlineLevel="0" collapsed="false">
      <c r="A464" s="30" t="str">
        <f aca="false">IF($B464="","","LAN-"&amp;TEXT(ROW()-4,"000000"))</f>
        <v/>
      </c>
      <c r="B464" s="31"/>
      <c r="C464" s="32"/>
      <c r="D464" s="32"/>
      <c r="E464" s="32"/>
      <c r="F464" s="33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4" t="str">
        <f aca="false">IF($B464="","",YEAR($B464))</f>
        <v/>
      </c>
      <c r="U464" s="34" t="str">
        <f aca="false">IF($B464="","",MONTH($B464))</f>
        <v/>
      </c>
      <c r="V464" s="34" t="str">
        <f aca="false">IF($B464="","",YEAR($B464)*100+MONTH($B464))</f>
        <v/>
      </c>
      <c r="W464" s="35" t="str">
        <f aca="false">IF($D464="","",IFERROR(INDEX(MAP_CLASS,MATCH($D464,MAP_TIPO,0)),"TIPO INVALIDO"))</f>
        <v/>
      </c>
      <c r="X464" s="35" t="str">
        <f aca="false">IF($K464="","",IFERROR(INDEX(CAT_NOME,MATCH($K464,CAT_ID,0)),"?"))</f>
        <v/>
      </c>
      <c r="Y464" s="35" t="str">
        <f aca="false">IF($L464="","",IFERROR(INDEX(SUB_NOME,MATCH($L464,SUB_ID,0)),"?"))</f>
        <v/>
      </c>
      <c r="Z464" s="35" t="str">
        <f aca="false">IF($G464="","",IF($G464="EXTERNO","(Externo)",IFERROR(INDEX(ENT_NOME,MATCH($H464,ENT_ID,0)),"?")))</f>
        <v/>
      </c>
      <c r="AA464" s="35" t="str">
        <f aca="false">IF($I464="","",IF($I464="EXTERNO","(Externo)",IFERROR(INDEX(ENT_NOME,MATCH($J464,ENT_ID,0)),"?")))</f>
        <v/>
      </c>
      <c r="AB464" s="36" t="n">
        <f aca="false">IF($B464="",0,IF(AND($I464="CONTA",$G464&lt;&gt;"CONTA"),$F464,0))</f>
        <v>0</v>
      </c>
      <c r="AC464" s="36" t="n">
        <f aca="false">IF($B464="",0,IF(AND($G464="CONTA",$I464&lt;&gt;"CONTA"),$F464,0))</f>
        <v>0</v>
      </c>
      <c r="AD464" s="36" t="n">
        <f aca="false">IF($W464="RECEITA",$F464,0)</f>
        <v>0</v>
      </c>
      <c r="AE464" s="36" t="n">
        <f aca="false">IF($W464="DESPESA",$F464,0)</f>
        <v>0</v>
      </c>
      <c r="AF464" s="36" t="n">
        <f aca="false">IF($W464="RECEITA_FINANCEIRA",$F464,0)</f>
        <v>0</v>
      </c>
      <c r="AG464" s="36" t="n">
        <f aca="false">IF($B464="",0,IF($I464="CONTA",$F464,0)-IF($G464="CONTA",$F464,0))</f>
        <v>0</v>
      </c>
      <c r="AH464" s="36" t="n">
        <f aca="false">IF($B464="",0,IF($G464="CARTAO",$F464,0)-IF($I464="CARTAO",$F464,0))</f>
        <v>0</v>
      </c>
      <c r="AI464" s="36" t="n">
        <f aca="false">IF($B464="",0,IF($I464="INVESTIMENTO",$F464,0)-IF($G464="INVESTIMENTO",$F464,0))</f>
        <v>0</v>
      </c>
      <c r="AJ464" s="35" t="str">
        <f aca="false">IF($B464="","",IF(NOT(ISNUMBER($F464)),"ERRO: valor nao numerico",IF($F464&lt;=0,"ERRO: valor deve ser maior que zero",IF(COUNTIF(MAP_TIPO,$D464)=0,"ERRO: tipo de operacao nao cadastrado",IF(COUNTIF(LST_STATUS,$E464)=0,"ERRO: status invalido",IF(AND($G464="EXTERNO",$I464="EXTERNO"),"ERRO: origem e destino externos",IF(AND($G464&lt;&gt;"EXTERNO",COUNTIFS(ENT_ID,$H464,ENT_TIPO,$G464)=0),"ERRO: origem inexistente",IF(AND($I464&lt;&gt;"EXTERNO",COUNTIFS(ENT_ID,$J464,ENT_TIPO,$I464)=0),"ERRO: destino inexistente",IF(AND($K464&lt;&gt;"",COUNTIF(CAT_ID,$K464)=0),"ERRO: categoria inexistente",IF(AND($L464&lt;&gt;"",COUNTIF(SUB_ID,$L464)=0),"ERRO: subcategoria inexistente",IF(AND($L464&lt;&gt;"",$K464&lt;&gt;"",IFERROR(INDEX(SUB_CATID,MATCH($L464,SUB_ID,0)),"")&lt;&gt;$K464),"ERRO: subcategoria nao pertence a categoria",IF(AND($O464&lt;&gt;"",COUNTIF(P_ID,$O464)=0),"ERRO: parcela inexistente",IF(AND($N464&lt;&gt;"",COUNTIF(CM_ID,$N464)=0),"ERRO: compromisso inexistente","OK")))))))))))))</f>
        <v/>
      </c>
      <c r="AK464" s="35" t="str">
        <f aca="false">IF($B464="","",IF(AND($N464="",$O464="",$P464="",$Q464="",$R464=""),"","VINCULADO: "&amp;TRIM(IF($N464&lt;&gt;"",$N464&amp;" ","")&amp;IF($O464&lt;&gt;"",$O464&amp;" ","")&amp;IF($P464&lt;&gt;"",$P464&amp;" ","")&amp;IF($Q464&lt;&gt;"",$Q464&amp;" ","")&amp;IF($R464&lt;&gt;"",$R464,""))))</f>
        <v/>
      </c>
    </row>
    <row r="465" customFormat="false" ht="15" hidden="false" customHeight="false" outlineLevel="0" collapsed="false">
      <c r="A465" s="30" t="str">
        <f aca="false">IF($B465="","","LAN-"&amp;TEXT(ROW()-4,"000000"))</f>
        <v/>
      </c>
      <c r="B465" s="31"/>
      <c r="C465" s="32"/>
      <c r="D465" s="32"/>
      <c r="E465" s="32"/>
      <c r="F465" s="33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4" t="str">
        <f aca="false">IF($B465="","",YEAR($B465))</f>
        <v/>
      </c>
      <c r="U465" s="34" t="str">
        <f aca="false">IF($B465="","",MONTH($B465))</f>
        <v/>
      </c>
      <c r="V465" s="34" t="str">
        <f aca="false">IF($B465="","",YEAR($B465)*100+MONTH($B465))</f>
        <v/>
      </c>
      <c r="W465" s="35" t="str">
        <f aca="false">IF($D465="","",IFERROR(INDEX(MAP_CLASS,MATCH($D465,MAP_TIPO,0)),"TIPO INVALIDO"))</f>
        <v/>
      </c>
      <c r="X465" s="35" t="str">
        <f aca="false">IF($K465="","",IFERROR(INDEX(CAT_NOME,MATCH($K465,CAT_ID,0)),"?"))</f>
        <v/>
      </c>
      <c r="Y465" s="35" t="str">
        <f aca="false">IF($L465="","",IFERROR(INDEX(SUB_NOME,MATCH($L465,SUB_ID,0)),"?"))</f>
        <v/>
      </c>
      <c r="Z465" s="35" t="str">
        <f aca="false">IF($G465="","",IF($G465="EXTERNO","(Externo)",IFERROR(INDEX(ENT_NOME,MATCH($H465,ENT_ID,0)),"?")))</f>
        <v/>
      </c>
      <c r="AA465" s="35" t="str">
        <f aca="false">IF($I465="","",IF($I465="EXTERNO","(Externo)",IFERROR(INDEX(ENT_NOME,MATCH($J465,ENT_ID,0)),"?")))</f>
        <v/>
      </c>
      <c r="AB465" s="36" t="n">
        <f aca="false">IF($B465="",0,IF(AND($I465="CONTA",$G465&lt;&gt;"CONTA"),$F465,0))</f>
        <v>0</v>
      </c>
      <c r="AC465" s="36" t="n">
        <f aca="false">IF($B465="",0,IF(AND($G465="CONTA",$I465&lt;&gt;"CONTA"),$F465,0))</f>
        <v>0</v>
      </c>
      <c r="AD465" s="36" t="n">
        <f aca="false">IF($W465="RECEITA",$F465,0)</f>
        <v>0</v>
      </c>
      <c r="AE465" s="36" t="n">
        <f aca="false">IF($W465="DESPESA",$F465,0)</f>
        <v>0</v>
      </c>
      <c r="AF465" s="36" t="n">
        <f aca="false">IF($W465="RECEITA_FINANCEIRA",$F465,0)</f>
        <v>0</v>
      </c>
      <c r="AG465" s="36" t="n">
        <f aca="false">IF($B465="",0,IF($I465="CONTA",$F465,0)-IF($G465="CONTA",$F465,0))</f>
        <v>0</v>
      </c>
      <c r="AH465" s="36" t="n">
        <f aca="false">IF($B465="",0,IF($G465="CARTAO",$F465,0)-IF($I465="CARTAO",$F465,0))</f>
        <v>0</v>
      </c>
      <c r="AI465" s="36" t="n">
        <f aca="false">IF($B465="",0,IF($I465="INVESTIMENTO",$F465,0)-IF($G465="INVESTIMENTO",$F465,0))</f>
        <v>0</v>
      </c>
      <c r="AJ465" s="35" t="str">
        <f aca="false">IF($B465="","",IF(NOT(ISNUMBER($F465)),"ERRO: valor nao numerico",IF($F465&lt;=0,"ERRO: valor deve ser maior que zero",IF(COUNTIF(MAP_TIPO,$D465)=0,"ERRO: tipo de operacao nao cadastrado",IF(COUNTIF(LST_STATUS,$E465)=0,"ERRO: status invalido",IF(AND($G465="EXTERNO",$I465="EXTERNO"),"ERRO: origem e destino externos",IF(AND($G465&lt;&gt;"EXTERNO",COUNTIFS(ENT_ID,$H465,ENT_TIPO,$G465)=0),"ERRO: origem inexistente",IF(AND($I465&lt;&gt;"EXTERNO",COUNTIFS(ENT_ID,$J465,ENT_TIPO,$I465)=0),"ERRO: destino inexistente",IF(AND($K465&lt;&gt;"",COUNTIF(CAT_ID,$K465)=0),"ERRO: categoria inexistente",IF(AND($L465&lt;&gt;"",COUNTIF(SUB_ID,$L465)=0),"ERRO: subcategoria inexistente",IF(AND($L465&lt;&gt;"",$K465&lt;&gt;"",IFERROR(INDEX(SUB_CATID,MATCH($L465,SUB_ID,0)),"")&lt;&gt;$K465),"ERRO: subcategoria nao pertence a categoria",IF(AND($O465&lt;&gt;"",COUNTIF(P_ID,$O465)=0),"ERRO: parcela inexistente",IF(AND($N465&lt;&gt;"",COUNTIF(CM_ID,$N465)=0),"ERRO: compromisso inexistente","OK")))))))))))))</f>
        <v/>
      </c>
      <c r="AK465" s="35" t="str">
        <f aca="false">IF($B465="","",IF(AND($N465="",$O465="",$P465="",$Q465="",$R465=""),"","VINCULADO: "&amp;TRIM(IF($N465&lt;&gt;"",$N465&amp;" ","")&amp;IF($O465&lt;&gt;"",$O465&amp;" ","")&amp;IF($P465&lt;&gt;"",$P465&amp;" ","")&amp;IF($Q465&lt;&gt;"",$Q465&amp;" ","")&amp;IF($R465&lt;&gt;"",$R465,""))))</f>
        <v/>
      </c>
    </row>
    <row r="466" customFormat="false" ht="15" hidden="false" customHeight="false" outlineLevel="0" collapsed="false">
      <c r="A466" s="30" t="str">
        <f aca="false">IF($B466="","","LAN-"&amp;TEXT(ROW()-4,"000000"))</f>
        <v/>
      </c>
      <c r="B466" s="31"/>
      <c r="C466" s="32"/>
      <c r="D466" s="32"/>
      <c r="E466" s="32"/>
      <c r="F466" s="33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4" t="str">
        <f aca="false">IF($B466="","",YEAR($B466))</f>
        <v/>
      </c>
      <c r="U466" s="34" t="str">
        <f aca="false">IF($B466="","",MONTH($B466))</f>
        <v/>
      </c>
      <c r="V466" s="34" t="str">
        <f aca="false">IF($B466="","",YEAR($B466)*100+MONTH($B466))</f>
        <v/>
      </c>
      <c r="W466" s="35" t="str">
        <f aca="false">IF($D466="","",IFERROR(INDEX(MAP_CLASS,MATCH($D466,MAP_TIPO,0)),"TIPO INVALIDO"))</f>
        <v/>
      </c>
      <c r="X466" s="35" t="str">
        <f aca="false">IF($K466="","",IFERROR(INDEX(CAT_NOME,MATCH($K466,CAT_ID,0)),"?"))</f>
        <v/>
      </c>
      <c r="Y466" s="35" t="str">
        <f aca="false">IF($L466="","",IFERROR(INDEX(SUB_NOME,MATCH($L466,SUB_ID,0)),"?"))</f>
        <v/>
      </c>
      <c r="Z466" s="35" t="str">
        <f aca="false">IF($G466="","",IF($G466="EXTERNO","(Externo)",IFERROR(INDEX(ENT_NOME,MATCH($H466,ENT_ID,0)),"?")))</f>
        <v/>
      </c>
      <c r="AA466" s="35" t="str">
        <f aca="false">IF($I466="","",IF($I466="EXTERNO","(Externo)",IFERROR(INDEX(ENT_NOME,MATCH($J466,ENT_ID,0)),"?")))</f>
        <v/>
      </c>
      <c r="AB466" s="36" t="n">
        <f aca="false">IF($B466="",0,IF(AND($I466="CONTA",$G466&lt;&gt;"CONTA"),$F466,0))</f>
        <v>0</v>
      </c>
      <c r="AC466" s="36" t="n">
        <f aca="false">IF($B466="",0,IF(AND($G466="CONTA",$I466&lt;&gt;"CONTA"),$F466,0))</f>
        <v>0</v>
      </c>
      <c r="AD466" s="36" t="n">
        <f aca="false">IF($W466="RECEITA",$F466,0)</f>
        <v>0</v>
      </c>
      <c r="AE466" s="36" t="n">
        <f aca="false">IF($W466="DESPESA",$F466,0)</f>
        <v>0</v>
      </c>
      <c r="AF466" s="36" t="n">
        <f aca="false">IF($W466="RECEITA_FINANCEIRA",$F466,0)</f>
        <v>0</v>
      </c>
      <c r="AG466" s="36" t="n">
        <f aca="false">IF($B466="",0,IF($I466="CONTA",$F466,0)-IF($G466="CONTA",$F466,0))</f>
        <v>0</v>
      </c>
      <c r="AH466" s="36" t="n">
        <f aca="false">IF($B466="",0,IF($G466="CARTAO",$F466,0)-IF($I466="CARTAO",$F466,0))</f>
        <v>0</v>
      </c>
      <c r="AI466" s="36" t="n">
        <f aca="false">IF($B466="",0,IF($I466="INVESTIMENTO",$F466,0)-IF($G466="INVESTIMENTO",$F466,0))</f>
        <v>0</v>
      </c>
      <c r="AJ466" s="35" t="str">
        <f aca="false">IF($B466="","",IF(NOT(ISNUMBER($F466)),"ERRO: valor nao numerico",IF($F466&lt;=0,"ERRO: valor deve ser maior que zero",IF(COUNTIF(MAP_TIPO,$D466)=0,"ERRO: tipo de operacao nao cadastrado",IF(COUNTIF(LST_STATUS,$E466)=0,"ERRO: status invalido",IF(AND($G466="EXTERNO",$I466="EXTERNO"),"ERRO: origem e destino externos",IF(AND($G466&lt;&gt;"EXTERNO",COUNTIFS(ENT_ID,$H466,ENT_TIPO,$G466)=0),"ERRO: origem inexistente",IF(AND($I466&lt;&gt;"EXTERNO",COUNTIFS(ENT_ID,$J466,ENT_TIPO,$I466)=0),"ERRO: destino inexistente",IF(AND($K466&lt;&gt;"",COUNTIF(CAT_ID,$K466)=0),"ERRO: categoria inexistente",IF(AND($L466&lt;&gt;"",COUNTIF(SUB_ID,$L466)=0),"ERRO: subcategoria inexistente",IF(AND($L466&lt;&gt;"",$K466&lt;&gt;"",IFERROR(INDEX(SUB_CATID,MATCH($L466,SUB_ID,0)),"")&lt;&gt;$K466),"ERRO: subcategoria nao pertence a categoria",IF(AND($O466&lt;&gt;"",COUNTIF(P_ID,$O466)=0),"ERRO: parcela inexistente",IF(AND($N466&lt;&gt;"",COUNTIF(CM_ID,$N466)=0),"ERRO: compromisso inexistente","OK")))))))))))))</f>
        <v/>
      </c>
      <c r="AK466" s="35" t="str">
        <f aca="false">IF($B466="","",IF(AND($N466="",$O466="",$P466="",$Q466="",$R466=""),"","VINCULADO: "&amp;TRIM(IF($N466&lt;&gt;"",$N466&amp;" ","")&amp;IF($O466&lt;&gt;"",$O466&amp;" ","")&amp;IF($P466&lt;&gt;"",$P466&amp;" ","")&amp;IF($Q466&lt;&gt;"",$Q466&amp;" ","")&amp;IF($R466&lt;&gt;"",$R466,""))))</f>
        <v/>
      </c>
    </row>
    <row r="467" customFormat="false" ht="15" hidden="false" customHeight="false" outlineLevel="0" collapsed="false">
      <c r="A467" s="30" t="str">
        <f aca="false">IF($B467="","","LAN-"&amp;TEXT(ROW()-4,"000000"))</f>
        <v/>
      </c>
      <c r="B467" s="31"/>
      <c r="C467" s="32"/>
      <c r="D467" s="32"/>
      <c r="E467" s="32"/>
      <c r="F467" s="33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4" t="str">
        <f aca="false">IF($B467="","",YEAR($B467))</f>
        <v/>
      </c>
      <c r="U467" s="34" t="str">
        <f aca="false">IF($B467="","",MONTH($B467))</f>
        <v/>
      </c>
      <c r="V467" s="34" t="str">
        <f aca="false">IF($B467="","",YEAR($B467)*100+MONTH($B467))</f>
        <v/>
      </c>
      <c r="W467" s="35" t="str">
        <f aca="false">IF($D467="","",IFERROR(INDEX(MAP_CLASS,MATCH($D467,MAP_TIPO,0)),"TIPO INVALIDO"))</f>
        <v/>
      </c>
      <c r="X467" s="35" t="str">
        <f aca="false">IF($K467="","",IFERROR(INDEX(CAT_NOME,MATCH($K467,CAT_ID,0)),"?"))</f>
        <v/>
      </c>
      <c r="Y467" s="35" t="str">
        <f aca="false">IF($L467="","",IFERROR(INDEX(SUB_NOME,MATCH($L467,SUB_ID,0)),"?"))</f>
        <v/>
      </c>
      <c r="Z467" s="35" t="str">
        <f aca="false">IF($G467="","",IF($G467="EXTERNO","(Externo)",IFERROR(INDEX(ENT_NOME,MATCH($H467,ENT_ID,0)),"?")))</f>
        <v/>
      </c>
      <c r="AA467" s="35" t="str">
        <f aca="false">IF($I467="","",IF($I467="EXTERNO","(Externo)",IFERROR(INDEX(ENT_NOME,MATCH($J467,ENT_ID,0)),"?")))</f>
        <v/>
      </c>
      <c r="AB467" s="36" t="n">
        <f aca="false">IF($B467="",0,IF(AND($I467="CONTA",$G467&lt;&gt;"CONTA"),$F467,0))</f>
        <v>0</v>
      </c>
      <c r="AC467" s="36" t="n">
        <f aca="false">IF($B467="",0,IF(AND($G467="CONTA",$I467&lt;&gt;"CONTA"),$F467,0))</f>
        <v>0</v>
      </c>
      <c r="AD467" s="36" t="n">
        <f aca="false">IF($W467="RECEITA",$F467,0)</f>
        <v>0</v>
      </c>
      <c r="AE467" s="36" t="n">
        <f aca="false">IF($W467="DESPESA",$F467,0)</f>
        <v>0</v>
      </c>
      <c r="AF467" s="36" t="n">
        <f aca="false">IF($W467="RECEITA_FINANCEIRA",$F467,0)</f>
        <v>0</v>
      </c>
      <c r="AG467" s="36" t="n">
        <f aca="false">IF($B467="",0,IF($I467="CONTA",$F467,0)-IF($G467="CONTA",$F467,0))</f>
        <v>0</v>
      </c>
      <c r="AH467" s="36" t="n">
        <f aca="false">IF($B467="",0,IF($G467="CARTAO",$F467,0)-IF($I467="CARTAO",$F467,0))</f>
        <v>0</v>
      </c>
      <c r="AI467" s="36" t="n">
        <f aca="false">IF($B467="",0,IF($I467="INVESTIMENTO",$F467,0)-IF($G467="INVESTIMENTO",$F467,0))</f>
        <v>0</v>
      </c>
      <c r="AJ467" s="35" t="str">
        <f aca="false">IF($B467="","",IF(NOT(ISNUMBER($F467)),"ERRO: valor nao numerico",IF($F467&lt;=0,"ERRO: valor deve ser maior que zero",IF(COUNTIF(MAP_TIPO,$D467)=0,"ERRO: tipo de operacao nao cadastrado",IF(COUNTIF(LST_STATUS,$E467)=0,"ERRO: status invalido",IF(AND($G467="EXTERNO",$I467="EXTERNO"),"ERRO: origem e destino externos",IF(AND($G467&lt;&gt;"EXTERNO",COUNTIFS(ENT_ID,$H467,ENT_TIPO,$G467)=0),"ERRO: origem inexistente",IF(AND($I467&lt;&gt;"EXTERNO",COUNTIFS(ENT_ID,$J467,ENT_TIPO,$I467)=0),"ERRO: destino inexistente",IF(AND($K467&lt;&gt;"",COUNTIF(CAT_ID,$K467)=0),"ERRO: categoria inexistente",IF(AND($L467&lt;&gt;"",COUNTIF(SUB_ID,$L467)=0),"ERRO: subcategoria inexistente",IF(AND($L467&lt;&gt;"",$K467&lt;&gt;"",IFERROR(INDEX(SUB_CATID,MATCH($L467,SUB_ID,0)),"")&lt;&gt;$K467),"ERRO: subcategoria nao pertence a categoria",IF(AND($O467&lt;&gt;"",COUNTIF(P_ID,$O467)=0),"ERRO: parcela inexistente",IF(AND($N467&lt;&gt;"",COUNTIF(CM_ID,$N467)=0),"ERRO: compromisso inexistente","OK")))))))))))))</f>
        <v/>
      </c>
      <c r="AK467" s="35" t="str">
        <f aca="false">IF($B467="","",IF(AND($N467="",$O467="",$P467="",$Q467="",$R467=""),"","VINCULADO: "&amp;TRIM(IF($N467&lt;&gt;"",$N467&amp;" ","")&amp;IF($O467&lt;&gt;"",$O467&amp;" ","")&amp;IF($P467&lt;&gt;"",$P467&amp;" ","")&amp;IF($Q467&lt;&gt;"",$Q467&amp;" ","")&amp;IF($R467&lt;&gt;"",$R467,""))))</f>
        <v/>
      </c>
    </row>
    <row r="468" customFormat="false" ht="15" hidden="false" customHeight="false" outlineLevel="0" collapsed="false">
      <c r="A468" s="30" t="str">
        <f aca="false">IF($B468="","","LAN-"&amp;TEXT(ROW()-4,"000000"))</f>
        <v/>
      </c>
      <c r="B468" s="31"/>
      <c r="C468" s="32"/>
      <c r="D468" s="32"/>
      <c r="E468" s="32"/>
      <c r="F468" s="33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4" t="str">
        <f aca="false">IF($B468="","",YEAR($B468))</f>
        <v/>
      </c>
      <c r="U468" s="34" t="str">
        <f aca="false">IF($B468="","",MONTH($B468))</f>
        <v/>
      </c>
      <c r="V468" s="34" t="str">
        <f aca="false">IF($B468="","",YEAR($B468)*100+MONTH($B468))</f>
        <v/>
      </c>
      <c r="W468" s="35" t="str">
        <f aca="false">IF($D468="","",IFERROR(INDEX(MAP_CLASS,MATCH($D468,MAP_TIPO,0)),"TIPO INVALIDO"))</f>
        <v/>
      </c>
      <c r="X468" s="35" t="str">
        <f aca="false">IF($K468="","",IFERROR(INDEX(CAT_NOME,MATCH($K468,CAT_ID,0)),"?"))</f>
        <v/>
      </c>
      <c r="Y468" s="35" t="str">
        <f aca="false">IF($L468="","",IFERROR(INDEX(SUB_NOME,MATCH($L468,SUB_ID,0)),"?"))</f>
        <v/>
      </c>
      <c r="Z468" s="35" t="str">
        <f aca="false">IF($G468="","",IF($G468="EXTERNO","(Externo)",IFERROR(INDEX(ENT_NOME,MATCH($H468,ENT_ID,0)),"?")))</f>
        <v/>
      </c>
      <c r="AA468" s="35" t="str">
        <f aca="false">IF($I468="","",IF($I468="EXTERNO","(Externo)",IFERROR(INDEX(ENT_NOME,MATCH($J468,ENT_ID,0)),"?")))</f>
        <v/>
      </c>
      <c r="AB468" s="36" t="n">
        <f aca="false">IF($B468="",0,IF(AND($I468="CONTA",$G468&lt;&gt;"CONTA"),$F468,0))</f>
        <v>0</v>
      </c>
      <c r="AC468" s="36" t="n">
        <f aca="false">IF($B468="",0,IF(AND($G468="CONTA",$I468&lt;&gt;"CONTA"),$F468,0))</f>
        <v>0</v>
      </c>
      <c r="AD468" s="36" t="n">
        <f aca="false">IF($W468="RECEITA",$F468,0)</f>
        <v>0</v>
      </c>
      <c r="AE468" s="36" t="n">
        <f aca="false">IF($W468="DESPESA",$F468,0)</f>
        <v>0</v>
      </c>
      <c r="AF468" s="36" t="n">
        <f aca="false">IF($W468="RECEITA_FINANCEIRA",$F468,0)</f>
        <v>0</v>
      </c>
      <c r="AG468" s="36" t="n">
        <f aca="false">IF($B468="",0,IF($I468="CONTA",$F468,0)-IF($G468="CONTA",$F468,0))</f>
        <v>0</v>
      </c>
      <c r="AH468" s="36" t="n">
        <f aca="false">IF($B468="",0,IF($G468="CARTAO",$F468,0)-IF($I468="CARTAO",$F468,0))</f>
        <v>0</v>
      </c>
      <c r="AI468" s="36" t="n">
        <f aca="false">IF($B468="",0,IF($I468="INVESTIMENTO",$F468,0)-IF($G468="INVESTIMENTO",$F468,0))</f>
        <v>0</v>
      </c>
      <c r="AJ468" s="35" t="str">
        <f aca="false">IF($B468="","",IF(NOT(ISNUMBER($F468)),"ERRO: valor nao numerico",IF($F468&lt;=0,"ERRO: valor deve ser maior que zero",IF(COUNTIF(MAP_TIPO,$D468)=0,"ERRO: tipo de operacao nao cadastrado",IF(COUNTIF(LST_STATUS,$E468)=0,"ERRO: status invalido",IF(AND($G468="EXTERNO",$I468="EXTERNO"),"ERRO: origem e destino externos",IF(AND($G468&lt;&gt;"EXTERNO",COUNTIFS(ENT_ID,$H468,ENT_TIPO,$G468)=0),"ERRO: origem inexistente",IF(AND($I468&lt;&gt;"EXTERNO",COUNTIFS(ENT_ID,$J468,ENT_TIPO,$I468)=0),"ERRO: destino inexistente",IF(AND($K468&lt;&gt;"",COUNTIF(CAT_ID,$K468)=0),"ERRO: categoria inexistente",IF(AND($L468&lt;&gt;"",COUNTIF(SUB_ID,$L468)=0),"ERRO: subcategoria inexistente",IF(AND($L468&lt;&gt;"",$K468&lt;&gt;"",IFERROR(INDEX(SUB_CATID,MATCH($L468,SUB_ID,0)),"")&lt;&gt;$K468),"ERRO: subcategoria nao pertence a categoria",IF(AND($O468&lt;&gt;"",COUNTIF(P_ID,$O468)=0),"ERRO: parcela inexistente",IF(AND($N468&lt;&gt;"",COUNTIF(CM_ID,$N468)=0),"ERRO: compromisso inexistente","OK")))))))))))))</f>
        <v/>
      </c>
      <c r="AK468" s="35" t="str">
        <f aca="false">IF($B468="","",IF(AND($N468="",$O468="",$P468="",$Q468="",$R468=""),"","VINCULADO: "&amp;TRIM(IF($N468&lt;&gt;"",$N468&amp;" ","")&amp;IF($O468&lt;&gt;"",$O468&amp;" ","")&amp;IF($P468&lt;&gt;"",$P468&amp;" ","")&amp;IF($Q468&lt;&gt;"",$Q468&amp;" ","")&amp;IF($R468&lt;&gt;"",$R468,""))))</f>
        <v/>
      </c>
    </row>
    <row r="469" customFormat="false" ht="15" hidden="false" customHeight="false" outlineLevel="0" collapsed="false">
      <c r="A469" s="30" t="str">
        <f aca="false">IF($B469="","","LAN-"&amp;TEXT(ROW()-4,"000000"))</f>
        <v/>
      </c>
      <c r="B469" s="31"/>
      <c r="C469" s="32"/>
      <c r="D469" s="32"/>
      <c r="E469" s="32"/>
      <c r="F469" s="33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4" t="str">
        <f aca="false">IF($B469="","",YEAR($B469))</f>
        <v/>
      </c>
      <c r="U469" s="34" t="str">
        <f aca="false">IF($B469="","",MONTH($B469))</f>
        <v/>
      </c>
      <c r="V469" s="34" t="str">
        <f aca="false">IF($B469="","",YEAR($B469)*100+MONTH($B469))</f>
        <v/>
      </c>
      <c r="W469" s="35" t="str">
        <f aca="false">IF($D469="","",IFERROR(INDEX(MAP_CLASS,MATCH($D469,MAP_TIPO,0)),"TIPO INVALIDO"))</f>
        <v/>
      </c>
      <c r="X469" s="35" t="str">
        <f aca="false">IF($K469="","",IFERROR(INDEX(CAT_NOME,MATCH($K469,CAT_ID,0)),"?"))</f>
        <v/>
      </c>
      <c r="Y469" s="35" t="str">
        <f aca="false">IF($L469="","",IFERROR(INDEX(SUB_NOME,MATCH($L469,SUB_ID,0)),"?"))</f>
        <v/>
      </c>
      <c r="Z469" s="35" t="str">
        <f aca="false">IF($G469="","",IF($G469="EXTERNO","(Externo)",IFERROR(INDEX(ENT_NOME,MATCH($H469,ENT_ID,0)),"?")))</f>
        <v/>
      </c>
      <c r="AA469" s="35" t="str">
        <f aca="false">IF($I469="","",IF($I469="EXTERNO","(Externo)",IFERROR(INDEX(ENT_NOME,MATCH($J469,ENT_ID,0)),"?")))</f>
        <v/>
      </c>
      <c r="AB469" s="36" t="n">
        <f aca="false">IF($B469="",0,IF(AND($I469="CONTA",$G469&lt;&gt;"CONTA"),$F469,0))</f>
        <v>0</v>
      </c>
      <c r="AC469" s="36" t="n">
        <f aca="false">IF($B469="",0,IF(AND($G469="CONTA",$I469&lt;&gt;"CONTA"),$F469,0))</f>
        <v>0</v>
      </c>
      <c r="AD469" s="36" t="n">
        <f aca="false">IF($W469="RECEITA",$F469,0)</f>
        <v>0</v>
      </c>
      <c r="AE469" s="36" t="n">
        <f aca="false">IF($W469="DESPESA",$F469,0)</f>
        <v>0</v>
      </c>
      <c r="AF469" s="36" t="n">
        <f aca="false">IF($W469="RECEITA_FINANCEIRA",$F469,0)</f>
        <v>0</v>
      </c>
      <c r="AG469" s="36" t="n">
        <f aca="false">IF($B469="",0,IF($I469="CONTA",$F469,0)-IF($G469="CONTA",$F469,0))</f>
        <v>0</v>
      </c>
      <c r="AH469" s="36" t="n">
        <f aca="false">IF($B469="",0,IF($G469="CARTAO",$F469,0)-IF($I469="CARTAO",$F469,0))</f>
        <v>0</v>
      </c>
      <c r="AI469" s="36" t="n">
        <f aca="false">IF($B469="",0,IF($I469="INVESTIMENTO",$F469,0)-IF($G469="INVESTIMENTO",$F469,0))</f>
        <v>0</v>
      </c>
      <c r="AJ469" s="35" t="str">
        <f aca="false">IF($B469="","",IF(NOT(ISNUMBER($F469)),"ERRO: valor nao numerico",IF($F469&lt;=0,"ERRO: valor deve ser maior que zero",IF(COUNTIF(MAP_TIPO,$D469)=0,"ERRO: tipo de operacao nao cadastrado",IF(COUNTIF(LST_STATUS,$E469)=0,"ERRO: status invalido",IF(AND($G469="EXTERNO",$I469="EXTERNO"),"ERRO: origem e destino externos",IF(AND($G469&lt;&gt;"EXTERNO",COUNTIFS(ENT_ID,$H469,ENT_TIPO,$G469)=0),"ERRO: origem inexistente",IF(AND($I469&lt;&gt;"EXTERNO",COUNTIFS(ENT_ID,$J469,ENT_TIPO,$I469)=0),"ERRO: destino inexistente",IF(AND($K469&lt;&gt;"",COUNTIF(CAT_ID,$K469)=0),"ERRO: categoria inexistente",IF(AND($L469&lt;&gt;"",COUNTIF(SUB_ID,$L469)=0),"ERRO: subcategoria inexistente",IF(AND($L469&lt;&gt;"",$K469&lt;&gt;"",IFERROR(INDEX(SUB_CATID,MATCH($L469,SUB_ID,0)),"")&lt;&gt;$K469),"ERRO: subcategoria nao pertence a categoria",IF(AND($O469&lt;&gt;"",COUNTIF(P_ID,$O469)=0),"ERRO: parcela inexistente",IF(AND($N469&lt;&gt;"",COUNTIF(CM_ID,$N469)=0),"ERRO: compromisso inexistente","OK")))))))))))))</f>
        <v/>
      </c>
      <c r="AK469" s="35" t="str">
        <f aca="false">IF($B469="","",IF(AND($N469="",$O469="",$P469="",$Q469="",$R469=""),"","VINCULADO: "&amp;TRIM(IF($N469&lt;&gt;"",$N469&amp;" ","")&amp;IF($O469&lt;&gt;"",$O469&amp;" ","")&amp;IF($P469&lt;&gt;"",$P469&amp;" ","")&amp;IF($Q469&lt;&gt;"",$Q469&amp;" ","")&amp;IF($R469&lt;&gt;"",$R469,""))))</f>
        <v/>
      </c>
    </row>
    <row r="470" customFormat="false" ht="15" hidden="false" customHeight="false" outlineLevel="0" collapsed="false">
      <c r="A470" s="30" t="str">
        <f aca="false">IF($B470="","","LAN-"&amp;TEXT(ROW()-4,"000000"))</f>
        <v/>
      </c>
      <c r="B470" s="31"/>
      <c r="C470" s="32"/>
      <c r="D470" s="32"/>
      <c r="E470" s="32"/>
      <c r="F470" s="33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4" t="str">
        <f aca="false">IF($B470="","",YEAR($B470))</f>
        <v/>
      </c>
      <c r="U470" s="34" t="str">
        <f aca="false">IF($B470="","",MONTH($B470))</f>
        <v/>
      </c>
      <c r="V470" s="34" t="str">
        <f aca="false">IF($B470="","",YEAR($B470)*100+MONTH($B470))</f>
        <v/>
      </c>
      <c r="W470" s="35" t="str">
        <f aca="false">IF($D470="","",IFERROR(INDEX(MAP_CLASS,MATCH($D470,MAP_TIPO,0)),"TIPO INVALIDO"))</f>
        <v/>
      </c>
      <c r="X470" s="35" t="str">
        <f aca="false">IF($K470="","",IFERROR(INDEX(CAT_NOME,MATCH($K470,CAT_ID,0)),"?"))</f>
        <v/>
      </c>
      <c r="Y470" s="35" t="str">
        <f aca="false">IF($L470="","",IFERROR(INDEX(SUB_NOME,MATCH($L470,SUB_ID,0)),"?"))</f>
        <v/>
      </c>
      <c r="Z470" s="35" t="str">
        <f aca="false">IF($G470="","",IF($G470="EXTERNO","(Externo)",IFERROR(INDEX(ENT_NOME,MATCH($H470,ENT_ID,0)),"?")))</f>
        <v/>
      </c>
      <c r="AA470" s="35" t="str">
        <f aca="false">IF($I470="","",IF($I470="EXTERNO","(Externo)",IFERROR(INDEX(ENT_NOME,MATCH($J470,ENT_ID,0)),"?")))</f>
        <v/>
      </c>
      <c r="AB470" s="36" t="n">
        <f aca="false">IF($B470="",0,IF(AND($I470="CONTA",$G470&lt;&gt;"CONTA"),$F470,0))</f>
        <v>0</v>
      </c>
      <c r="AC470" s="36" t="n">
        <f aca="false">IF($B470="",0,IF(AND($G470="CONTA",$I470&lt;&gt;"CONTA"),$F470,0))</f>
        <v>0</v>
      </c>
      <c r="AD470" s="36" t="n">
        <f aca="false">IF($W470="RECEITA",$F470,0)</f>
        <v>0</v>
      </c>
      <c r="AE470" s="36" t="n">
        <f aca="false">IF($W470="DESPESA",$F470,0)</f>
        <v>0</v>
      </c>
      <c r="AF470" s="36" t="n">
        <f aca="false">IF($W470="RECEITA_FINANCEIRA",$F470,0)</f>
        <v>0</v>
      </c>
      <c r="AG470" s="36" t="n">
        <f aca="false">IF($B470="",0,IF($I470="CONTA",$F470,0)-IF($G470="CONTA",$F470,0))</f>
        <v>0</v>
      </c>
      <c r="AH470" s="36" t="n">
        <f aca="false">IF($B470="",0,IF($G470="CARTAO",$F470,0)-IF($I470="CARTAO",$F470,0))</f>
        <v>0</v>
      </c>
      <c r="AI470" s="36" t="n">
        <f aca="false">IF($B470="",0,IF($I470="INVESTIMENTO",$F470,0)-IF($G470="INVESTIMENTO",$F470,0))</f>
        <v>0</v>
      </c>
      <c r="AJ470" s="35" t="str">
        <f aca="false">IF($B470="","",IF(NOT(ISNUMBER($F470)),"ERRO: valor nao numerico",IF($F470&lt;=0,"ERRO: valor deve ser maior que zero",IF(COUNTIF(MAP_TIPO,$D470)=0,"ERRO: tipo de operacao nao cadastrado",IF(COUNTIF(LST_STATUS,$E470)=0,"ERRO: status invalido",IF(AND($G470="EXTERNO",$I470="EXTERNO"),"ERRO: origem e destino externos",IF(AND($G470&lt;&gt;"EXTERNO",COUNTIFS(ENT_ID,$H470,ENT_TIPO,$G470)=0),"ERRO: origem inexistente",IF(AND($I470&lt;&gt;"EXTERNO",COUNTIFS(ENT_ID,$J470,ENT_TIPO,$I470)=0),"ERRO: destino inexistente",IF(AND($K470&lt;&gt;"",COUNTIF(CAT_ID,$K470)=0),"ERRO: categoria inexistente",IF(AND($L470&lt;&gt;"",COUNTIF(SUB_ID,$L470)=0),"ERRO: subcategoria inexistente",IF(AND($L470&lt;&gt;"",$K470&lt;&gt;"",IFERROR(INDEX(SUB_CATID,MATCH($L470,SUB_ID,0)),"")&lt;&gt;$K470),"ERRO: subcategoria nao pertence a categoria",IF(AND($O470&lt;&gt;"",COUNTIF(P_ID,$O470)=0),"ERRO: parcela inexistente",IF(AND($N470&lt;&gt;"",COUNTIF(CM_ID,$N470)=0),"ERRO: compromisso inexistente","OK")))))))))))))</f>
        <v/>
      </c>
      <c r="AK470" s="35" t="str">
        <f aca="false">IF($B470="","",IF(AND($N470="",$O470="",$P470="",$Q470="",$R470=""),"","VINCULADO: "&amp;TRIM(IF($N470&lt;&gt;"",$N470&amp;" ","")&amp;IF($O470&lt;&gt;"",$O470&amp;" ","")&amp;IF($P470&lt;&gt;"",$P470&amp;" ","")&amp;IF($Q470&lt;&gt;"",$Q470&amp;" ","")&amp;IF($R470&lt;&gt;"",$R470,""))))</f>
        <v/>
      </c>
    </row>
    <row r="471" customFormat="false" ht="15" hidden="false" customHeight="false" outlineLevel="0" collapsed="false">
      <c r="A471" s="30" t="str">
        <f aca="false">IF($B471="","","LAN-"&amp;TEXT(ROW()-4,"000000"))</f>
        <v/>
      </c>
      <c r="B471" s="31"/>
      <c r="C471" s="32"/>
      <c r="D471" s="32"/>
      <c r="E471" s="32"/>
      <c r="F471" s="33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4" t="str">
        <f aca="false">IF($B471="","",YEAR($B471))</f>
        <v/>
      </c>
      <c r="U471" s="34" t="str">
        <f aca="false">IF($B471="","",MONTH($B471))</f>
        <v/>
      </c>
      <c r="V471" s="34" t="str">
        <f aca="false">IF($B471="","",YEAR($B471)*100+MONTH($B471))</f>
        <v/>
      </c>
      <c r="W471" s="35" t="str">
        <f aca="false">IF($D471="","",IFERROR(INDEX(MAP_CLASS,MATCH($D471,MAP_TIPO,0)),"TIPO INVALIDO"))</f>
        <v/>
      </c>
      <c r="X471" s="35" t="str">
        <f aca="false">IF($K471="","",IFERROR(INDEX(CAT_NOME,MATCH($K471,CAT_ID,0)),"?"))</f>
        <v/>
      </c>
      <c r="Y471" s="35" t="str">
        <f aca="false">IF($L471="","",IFERROR(INDEX(SUB_NOME,MATCH($L471,SUB_ID,0)),"?"))</f>
        <v/>
      </c>
      <c r="Z471" s="35" t="str">
        <f aca="false">IF($G471="","",IF($G471="EXTERNO","(Externo)",IFERROR(INDEX(ENT_NOME,MATCH($H471,ENT_ID,0)),"?")))</f>
        <v/>
      </c>
      <c r="AA471" s="35" t="str">
        <f aca="false">IF($I471="","",IF($I471="EXTERNO","(Externo)",IFERROR(INDEX(ENT_NOME,MATCH($J471,ENT_ID,0)),"?")))</f>
        <v/>
      </c>
      <c r="AB471" s="36" t="n">
        <f aca="false">IF($B471="",0,IF(AND($I471="CONTA",$G471&lt;&gt;"CONTA"),$F471,0))</f>
        <v>0</v>
      </c>
      <c r="AC471" s="36" t="n">
        <f aca="false">IF($B471="",0,IF(AND($G471="CONTA",$I471&lt;&gt;"CONTA"),$F471,0))</f>
        <v>0</v>
      </c>
      <c r="AD471" s="36" t="n">
        <f aca="false">IF($W471="RECEITA",$F471,0)</f>
        <v>0</v>
      </c>
      <c r="AE471" s="36" t="n">
        <f aca="false">IF($W471="DESPESA",$F471,0)</f>
        <v>0</v>
      </c>
      <c r="AF471" s="36" t="n">
        <f aca="false">IF($W471="RECEITA_FINANCEIRA",$F471,0)</f>
        <v>0</v>
      </c>
      <c r="AG471" s="36" t="n">
        <f aca="false">IF($B471="",0,IF($I471="CONTA",$F471,0)-IF($G471="CONTA",$F471,0))</f>
        <v>0</v>
      </c>
      <c r="AH471" s="36" t="n">
        <f aca="false">IF($B471="",0,IF($G471="CARTAO",$F471,0)-IF($I471="CARTAO",$F471,0))</f>
        <v>0</v>
      </c>
      <c r="AI471" s="36" t="n">
        <f aca="false">IF($B471="",0,IF($I471="INVESTIMENTO",$F471,0)-IF($G471="INVESTIMENTO",$F471,0))</f>
        <v>0</v>
      </c>
      <c r="AJ471" s="35" t="str">
        <f aca="false">IF($B471="","",IF(NOT(ISNUMBER($F471)),"ERRO: valor nao numerico",IF($F471&lt;=0,"ERRO: valor deve ser maior que zero",IF(COUNTIF(MAP_TIPO,$D471)=0,"ERRO: tipo de operacao nao cadastrado",IF(COUNTIF(LST_STATUS,$E471)=0,"ERRO: status invalido",IF(AND($G471="EXTERNO",$I471="EXTERNO"),"ERRO: origem e destino externos",IF(AND($G471&lt;&gt;"EXTERNO",COUNTIFS(ENT_ID,$H471,ENT_TIPO,$G471)=0),"ERRO: origem inexistente",IF(AND($I471&lt;&gt;"EXTERNO",COUNTIFS(ENT_ID,$J471,ENT_TIPO,$I471)=0),"ERRO: destino inexistente",IF(AND($K471&lt;&gt;"",COUNTIF(CAT_ID,$K471)=0),"ERRO: categoria inexistente",IF(AND($L471&lt;&gt;"",COUNTIF(SUB_ID,$L471)=0),"ERRO: subcategoria inexistente",IF(AND($L471&lt;&gt;"",$K471&lt;&gt;"",IFERROR(INDEX(SUB_CATID,MATCH($L471,SUB_ID,0)),"")&lt;&gt;$K471),"ERRO: subcategoria nao pertence a categoria",IF(AND($O471&lt;&gt;"",COUNTIF(P_ID,$O471)=0),"ERRO: parcela inexistente",IF(AND($N471&lt;&gt;"",COUNTIF(CM_ID,$N471)=0),"ERRO: compromisso inexistente","OK")))))))))))))</f>
        <v/>
      </c>
      <c r="AK471" s="35" t="str">
        <f aca="false">IF($B471="","",IF(AND($N471="",$O471="",$P471="",$Q471="",$R471=""),"","VINCULADO: "&amp;TRIM(IF($N471&lt;&gt;"",$N471&amp;" ","")&amp;IF($O471&lt;&gt;"",$O471&amp;" ","")&amp;IF($P471&lt;&gt;"",$P471&amp;" ","")&amp;IF($Q471&lt;&gt;"",$Q471&amp;" ","")&amp;IF($R471&lt;&gt;"",$R471,""))))</f>
        <v/>
      </c>
    </row>
    <row r="472" customFormat="false" ht="15" hidden="false" customHeight="false" outlineLevel="0" collapsed="false">
      <c r="A472" s="30" t="str">
        <f aca="false">IF($B472="","","LAN-"&amp;TEXT(ROW()-4,"000000"))</f>
        <v/>
      </c>
      <c r="B472" s="31"/>
      <c r="C472" s="32"/>
      <c r="D472" s="32"/>
      <c r="E472" s="32"/>
      <c r="F472" s="33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4" t="str">
        <f aca="false">IF($B472="","",YEAR($B472))</f>
        <v/>
      </c>
      <c r="U472" s="34" t="str">
        <f aca="false">IF($B472="","",MONTH($B472))</f>
        <v/>
      </c>
      <c r="V472" s="34" t="str">
        <f aca="false">IF($B472="","",YEAR($B472)*100+MONTH($B472))</f>
        <v/>
      </c>
      <c r="W472" s="35" t="str">
        <f aca="false">IF($D472="","",IFERROR(INDEX(MAP_CLASS,MATCH($D472,MAP_TIPO,0)),"TIPO INVALIDO"))</f>
        <v/>
      </c>
      <c r="X472" s="35" t="str">
        <f aca="false">IF($K472="","",IFERROR(INDEX(CAT_NOME,MATCH($K472,CAT_ID,0)),"?"))</f>
        <v/>
      </c>
      <c r="Y472" s="35" t="str">
        <f aca="false">IF($L472="","",IFERROR(INDEX(SUB_NOME,MATCH($L472,SUB_ID,0)),"?"))</f>
        <v/>
      </c>
      <c r="Z472" s="35" t="str">
        <f aca="false">IF($G472="","",IF($G472="EXTERNO","(Externo)",IFERROR(INDEX(ENT_NOME,MATCH($H472,ENT_ID,0)),"?")))</f>
        <v/>
      </c>
      <c r="AA472" s="35" t="str">
        <f aca="false">IF($I472="","",IF($I472="EXTERNO","(Externo)",IFERROR(INDEX(ENT_NOME,MATCH($J472,ENT_ID,0)),"?")))</f>
        <v/>
      </c>
      <c r="AB472" s="36" t="n">
        <f aca="false">IF($B472="",0,IF(AND($I472="CONTA",$G472&lt;&gt;"CONTA"),$F472,0))</f>
        <v>0</v>
      </c>
      <c r="AC472" s="36" t="n">
        <f aca="false">IF($B472="",0,IF(AND($G472="CONTA",$I472&lt;&gt;"CONTA"),$F472,0))</f>
        <v>0</v>
      </c>
      <c r="AD472" s="36" t="n">
        <f aca="false">IF($W472="RECEITA",$F472,0)</f>
        <v>0</v>
      </c>
      <c r="AE472" s="36" t="n">
        <f aca="false">IF($W472="DESPESA",$F472,0)</f>
        <v>0</v>
      </c>
      <c r="AF472" s="36" t="n">
        <f aca="false">IF($W472="RECEITA_FINANCEIRA",$F472,0)</f>
        <v>0</v>
      </c>
      <c r="AG472" s="36" t="n">
        <f aca="false">IF($B472="",0,IF($I472="CONTA",$F472,0)-IF($G472="CONTA",$F472,0))</f>
        <v>0</v>
      </c>
      <c r="AH472" s="36" t="n">
        <f aca="false">IF($B472="",0,IF($G472="CARTAO",$F472,0)-IF($I472="CARTAO",$F472,0))</f>
        <v>0</v>
      </c>
      <c r="AI472" s="36" t="n">
        <f aca="false">IF($B472="",0,IF($I472="INVESTIMENTO",$F472,0)-IF($G472="INVESTIMENTO",$F472,0))</f>
        <v>0</v>
      </c>
      <c r="AJ472" s="35" t="str">
        <f aca="false">IF($B472="","",IF(NOT(ISNUMBER($F472)),"ERRO: valor nao numerico",IF($F472&lt;=0,"ERRO: valor deve ser maior que zero",IF(COUNTIF(MAP_TIPO,$D472)=0,"ERRO: tipo de operacao nao cadastrado",IF(COUNTIF(LST_STATUS,$E472)=0,"ERRO: status invalido",IF(AND($G472="EXTERNO",$I472="EXTERNO"),"ERRO: origem e destino externos",IF(AND($G472&lt;&gt;"EXTERNO",COUNTIFS(ENT_ID,$H472,ENT_TIPO,$G472)=0),"ERRO: origem inexistente",IF(AND($I472&lt;&gt;"EXTERNO",COUNTIFS(ENT_ID,$J472,ENT_TIPO,$I472)=0),"ERRO: destino inexistente",IF(AND($K472&lt;&gt;"",COUNTIF(CAT_ID,$K472)=0),"ERRO: categoria inexistente",IF(AND($L472&lt;&gt;"",COUNTIF(SUB_ID,$L472)=0),"ERRO: subcategoria inexistente",IF(AND($L472&lt;&gt;"",$K472&lt;&gt;"",IFERROR(INDEX(SUB_CATID,MATCH($L472,SUB_ID,0)),"")&lt;&gt;$K472),"ERRO: subcategoria nao pertence a categoria",IF(AND($O472&lt;&gt;"",COUNTIF(P_ID,$O472)=0),"ERRO: parcela inexistente",IF(AND($N472&lt;&gt;"",COUNTIF(CM_ID,$N472)=0),"ERRO: compromisso inexistente","OK")))))))))))))</f>
        <v/>
      </c>
      <c r="AK472" s="35" t="str">
        <f aca="false">IF($B472="","",IF(AND($N472="",$O472="",$P472="",$Q472="",$R472=""),"","VINCULADO: "&amp;TRIM(IF($N472&lt;&gt;"",$N472&amp;" ","")&amp;IF($O472&lt;&gt;"",$O472&amp;" ","")&amp;IF($P472&lt;&gt;"",$P472&amp;" ","")&amp;IF($Q472&lt;&gt;"",$Q472&amp;" ","")&amp;IF($R472&lt;&gt;"",$R472,""))))</f>
        <v/>
      </c>
    </row>
    <row r="473" customFormat="false" ht="15" hidden="false" customHeight="false" outlineLevel="0" collapsed="false">
      <c r="A473" s="30" t="str">
        <f aca="false">IF($B473="","","LAN-"&amp;TEXT(ROW()-4,"000000"))</f>
        <v/>
      </c>
      <c r="B473" s="31"/>
      <c r="C473" s="32"/>
      <c r="D473" s="32"/>
      <c r="E473" s="32"/>
      <c r="F473" s="33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4" t="str">
        <f aca="false">IF($B473="","",YEAR($B473))</f>
        <v/>
      </c>
      <c r="U473" s="34" t="str">
        <f aca="false">IF($B473="","",MONTH($B473))</f>
        <v/>
      </c>
      <c r="V473" s="34" t="str">
        <f aca="false">IF($B473="","",YEAR($B473)*100+MONTH($B473))</f>
        <v/>
      </c>
      <c r="W473" s="35" t="str">
        <f aca="false">IF($D473="","",IFERROR(INDEX(MAP_CLASS,MATCH($D473,MAP_TIPO,0)),"TIPO INVALIDO"))</f>
        <v/>
      </c>
      <c r="X473" s="35" t="str">
        <f aca="false">IF($K473="","",IFERROR(INDEX(CAT_NOME,MATCH($K473,CAT_ID,0)),"?"))</f>
        <v/>
      </c>
      <c r="Y473" s="35" t="str">
        <f aca="false">IF($L473="","",IFERROR(INDEX(SUB_NOME,MATCH($L473,SUB_ID,0)),"?"))</f>
        <v/>
      </c>
      <c r="Z473" s="35" t="str">
        <f aca="false">IF($G473="","",IF($G473="EXTERNO","(Externo)",IFERROR(INDEX(ENT_NOME,MATCH($H473,ENT_ID,0)),"?")))</f>
        <v/>
      </c>
      <c r="AA473" s="35" t="str">
        <f aca="false">IF($I473="","",IF($I473="EXTERNO","(Externo)",IFERROR(INDEX(ENT_NOME,MATCH($J473,ENT_ID,0)),"?")))</f>
        <v/>
      </c>
      <c r="AB473" s="36" t="n">
        <f aca="false">IF($B473="",0,IF(AND($I473="CONTA",$G473&lt;&gt;"CONTA"),$F473,0))</f>
        <v>0</v>
      </c>
      <c r="AC473" s="36" t="n">
        <f aca="false">IF($B473="",0,IF(AND($G473="CONTA",$I473&lt;&gt;"CONTA"),$F473,0))</f>
        <v>0</v>
      </c>
      <c r="AD473" s="36" t="n">
        <f aca="false">IF($W473="RECEITA",$F473,0)</f>
        <v>0</v>
      </c>
      <c r="AE473" s="36" t="n">
        <f aca="false">IF($W473="DESPESA",$F473,0)</f>
        <v>0</v>
      </c>
      <c r="AF473" s="36" t="n">
        <f aca="false">IF($W473="RECEITA_FINANCEIRA",$F473,0)</f>
        <v>0</v>
      </c>
      <c r="AG473" s="36" t="n">
        <f aca="false">IF($B473="",0,IF($I473="CONTA",$F473,0)-IF($G473="CONTA",$F473,0))</f>
        <v>0</v>
      </c>
      <c r="AH473" s="36" t="n">
        <f aca="false">IF($B473="",0,IF($G473="CARTAO",$F473,0)-IF($I473="CARTAO",$F473,0))</f>
        <v>0</v>
      </c>
      <c r="AI473" s="36" t="n">
        <f aca="false">IF($B473="",0,IF($I473="INVESTIMENTO",$F473,0)-IF($G473="INVESTIMENTO",$F473,0))</f>
        <v>0</v>
      </c>
      <c r="AJ473" s="35" t="str">
        <f aca="false">IF($B473="","",IF(NOT(ISNUMBER($F473)),"ERRO: valor nao numerico",IF($F473&lt;=0,"ERRO: valor deve ser maior que zero",IF(COUNTIF(MAP_TIPO,$D473)=0,"ERRO: tipo de operacao nao cadastrado",IF(COUNTIF(LST_STATUS,$E473)=0,"ERRO: status invalido",IF(AND($G473="EXTERNO",$I473="EXTERNO"),"ERRO: origem e destino externos",IF(AND($G473&lt;&gt;"EXTERNO",COUNTIFS(ENT_ID,$H473,ENT_TIPO,$G473)=0),"ERRO: origem inexistente",IF(AND($I473&lt;&gt;"EXTERNO",COUNTIFS(ENT_ID,$J473,ENT_TIPO,$I473)=0),"ERRO: destino inexistente",IF(AND($K473&lt;&gt;"",COUNTIF(CAT_ID,$K473)=0),"ERRO: categoria inexistente",IF(AND($L473&lt;&gt;"",COUNTIF(SUB_ID,$L473)=0),"ERRO: subcategoria inexistente",IF(AND($L473&lt;&gt;"",$K473&lt;&gt;"",IFERROR(INDEX(SUB_CATID,MATCH($L473,SUB_ID,0)),"")&lt;&gt;$K473),"ERRO: subcategoria nao pertence a categoria",IF(AND($O473&lt;&gt;"",COUNTIF(P_ID,$O473)=0),"ERRO: parcela inexistente",IF(AND($N473&lt;&gt;"",COUNTIF(CM_ID,$N473)=0),"ERRO: compromisso inexistente","OK")))))))))))))</f>
        <v/>
      </c>
      <c r="AK473" s="35" t="str">
        <f aca="false">IF($B473="","",IF(AND($N473="",$O473="",$P473="",$Q473="",$R473=""),"","VINCULADO: "&amp;TRIM(IF($N473&lt;&gt;"",$N473&amp;" ","")&amp;IF($O473&lt;&gt;"",$O473&amp;" ","")&amp;IF($P473&lt;&gt;"",$P473&amp;" ","")&amp;IF($Q473&lt;&gt;"",$Q473&amp;" ","")&amp;IF($R473&lt;&gt;"",$R473,""))))</f>
        <v/>
      </c>
    </row>
    <row r="474" customFormat="false" ht="15" hidden="false" customHeight="false" outlineLevel="0" collapsed="false">
      <c r="A474" s="30" t="str">
        <f aca="false">IF($B474="","","LAN-"&amp;TEXT(ROW()-4,"000000"))</f>
        <v/>
      </c>
      <c r="B474" s="31"/>
      <c r="C474" s="32"/>
      <c r="D474" s="32"/>
      <c r="E474" s="32"/>
      <c r="F474" s="33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4" t="str">
        <f aca="false">IF($B474="","",YEAR($B474))</f>
        <v/>
      </c>
      <c r="U474" s="34" t="str">
        <f aca="false">IF($B474="","",MONTH($B474))</f>
        <v/>
      </c>
      <c r="V474" s="34" t="str">
        <f aca="false">IF($B474="","",YEAR($B474)*100+MONTH($B474))</f>
        <v/>
      </c>
      <c r="W474" s="35" t="str">
        <f aca="false">IF($D474="","",IFERROR(INDEX(MAP_CLASS,MATCH($D474,MAP_TIPO,0)),"TIPO INVALIDO"))</f>
        <v/>
      </c>
      <c r="X474" s="35" t="str">
        <f aca="false">IF($K474="","",IFERROR(INDEX(CAT_NOME,MATCH($K474,CAT_ID,0)),"?"))</f>
        <v/>
      </c>
      <c r="Y474" s="35" t="str">
        <f aca="false">IF($L474="","",IFERROR(INDEX(SUB_NOME,MATCH($L474,SUB_ID,0)),"?"))</f>
        <v/>
      </c>
      <c r="Z474" s="35" t="str">
        <f aca="false">IF($G474="","",IF($G474="EXTERNO","(Externo)",IFERROR(INDEX(ENT_NOME,MATCH($H474,ENT_ID,0)),"?")))</f>
        <v/>
      </c>
      <c r="AA474" s="35" t="str">
        <f aca="false">IF($I474="","",IF($I474="EXTERNO","(Externo)",IFERROR(INDEX(ENT_NOME,MATCH($J474,ENT_ID,0)),"?")))</f>
        <v/>
      </c>
      <c r="AB474" s="36" t="n">
        <f aca="false">IF($B474="",0,IF(AND($I474="CONTA",$G474&lt;&gt;"CONTA"),$F474,0))</f>
        <v>0</v>
      </c>
      <c r="AC474" s="36" t="n">
        <f aca="false">IF($B474="",0,IF(AND($G474="CONTA",$I474&lt;&gt;"CONTA"),$F474,0))</f>
        <v>0</v>
      </c>
      <c r="AD474" s="36" t="n">
        <f aca="false">IF($W474="RECEITA",$F474,0)</f>
        <v>0</v>
      </c>
      <c r="AE474" s="36" t="n">
        <f aca="false">IF($W474="DESPESA",$F474,0)</f>
        <v>0</v>
      </c>
      <c r="AF474" s="36" t="n">
        <f aca="false">IF($W474="RECEITA_FINANCEIRA",$F474,0)</f>
        <v>0</v>
      </c>
      <c r="AG474" s="36" t="n">
        <f aca="false">IF($B474="",0,IF($I474="CONTA",$F474,0)-IF($G474="CONTA",$F474,0))</f>
        <v>0</v>
      </c>
      <c r="AH474" s="36" t="n">
        <f aca="false">IF($B474="",0,IF($G474="CARTAO",$F474,0)-IF($I474="CARTAO",$F474,0))</f>
        <v>0</v>
      </c>
      <c r="AI474" s="36" t="n">
        <f aca="false">IF($B474="",0,IF($I474="INVESTIMENTO",$F474,0)-IF($G474="INVESTIMENTO",$F474,0))</f>
        <v>0</v>
      </c>
      <c r="AJ474" s="35" t="str">
        <f aca="false">IF($B474="","",IF(NOT(ISNUMBER($F474)),"ERRO: valor nao numerico",IF($F474&lt;=0,"ERRO: valor deve ser maior que zero",IF(COUNTIF(MAP_TIPO,$D474)=0,"ERRO: tipo de operacao nao cadastrado",IF(COUNTIF(LST_STATUS,$E474)=0,"ERRO: status invalido",IF(AND($G474="EXTERNO",$I474="EXTERNO"),"ERRO: origem e destino externos",IF(AND($G474&lt;&gt;"EXTERNO",COUNTIFS(ENT_ID,$H474,ENT_TIPO,$G474)=0),"ERRO: origem inexistente",IF(AND($I474&lt;&gt;"EXTERNO",COUNTIFS(ENT_ID,$J474,ENT_TIPO,$I474)=0),"ERRO: destino inexistente",IF(AND($K474&lt;&gt;"",COUNTIF(CAT_ID,$K474)=0),"ERRO: categoria inexistente",IF(AND($L474&lt;&gt;"",COUNTIF(SUB_ID,$L474)=0),"ERRO: subcategoria inexistente",IF(AND($L474&lt;&gt;"",$K474&lt;&gt;"",IFERROR(INDEX(SUB_CATID,MATCH($L474,SUB_ID,0)),"")&lt;&gt;$K474),"ERRO: subcategoria nao pertence a categoria",IF(AND($O474&lt;&gt;"",COUNTIF(P_ID,$O474)=0),"ERRO: parcela inexistente",IF(AND($N474&lt;&gt;"",COUNTIF(CM_ID,$N474)=0),"ERRO: compromisso inexistente","OK")))))))))))))</f>
        <v/>
      </c>
      <c r="AK474" s="35" t="str">
        <f aca="false">IF($B474="","",IF(AND($N474="",$O474="",$P474="",$Q474="",$R474=""),"","VINCULADO: "&amp;TRIM(IF($N474&lt;&gt;"",$N474&amp;" ","")&amp;IF($O474&lt;&gt;"",$O474&amp;" ","")&amp;IF($P474&lt;&gt;"",$P474&amp;" ","")&amp;IF($Q474&lt;&gt;"",$Q474&amp;" ","")&amp;IF($R474&lt;&gt;"",$R474,""))))</f>
        <v/>
      </c>
    </row>
    <row r="475" customFormat="false" ht="15" hidden="false" customHeight="false" outlineLevel="0" collapsed="false">
      <c r="A475" s="30" t="str">
        <f aca="false">IF($B475="","","LAN-"&amp;TEXT(ROW()-4,"000000"))</f>
        <v/>
      </c>
      <c r="B475" s="31"/>
      <c r="C475" s="32"/>
      <c r="D475" s="32"/>
      <c r="E475" s="32"/>
      <c r="F475" s="33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4" t="str">
        <f aca="false">IF($B475="","",YEAR($B475))</f>
        <v/>
      </c>
      <c r="U475" s="34" t="str">
        <f aca="false">IF($B475="","",MONTH($B475))</f>
        <v/>
      </c>
      <c r="V475" s="34" t="str">
        <f aca="false">IF($B475="","",YEAR($B475)*100+MONTH($B475))</f>
        <v/>
      </c>
      <c r="W475" s="35" t="str">
        <f aca="false">IF($D475="","",IFERROR(INDEX(MAP_CLASS,MATCH($D475,MAP_TIPO,0)),"TIPO INVALIDO"))</f>
        <v/>
      </c>
      <c r="X475" s="35" t="str">
        <f aca="false">IF($K475="","",IFERROR(INDEX(CAT_NOME,MATCH($K475,CAT_ID,0)),"?"))</f>
        <v/>
      </c>
      <c r="Y475" s="35" t="str">
        <f aca="false">IF($L475="","",IFERROR(INDEX(SUB_NOME,MATCH($L475,SUB_ID,0)),"?"))</f>
        <v/>
      </c>
      <c r="Z475" s="35" t="str">
        <f aca="false">IF($G475="","",IF($G475="EXTERNO","(Externo)",IFERROR(INDEX(ENT_NOME,MATCH($H475,ENT_ID,0)),"?")))</f>
        <v/>
      </c>
      <c r="AA475" s="35" t="str">
        <f aca="false">IF($I475="","",IF($I475="EXTERNO","(Externo)",IFERROR(INDEX(ENT_NOME,MATCH($J475,ENT_ID,0)),"?")))</f>
        <v/>
      </c>
      <c r="AB475" s="36" t="n">
        <f aca="false">IF($B475="",0,IF(AND($I475="CONTA",$G475&lt;&gt;"CONTA"),$F475,0))</f>
        <v>0</v>
      </c>
      <c r="AC475" s="36" t="n">
        <f aca="false">IF($B475="",0,IF(AND($G475="CONTA",$I475&lt;&gt;"CONTA"),$F475,0))</f>
        <v>0</v>
      </c>
      <c r="AD475" s="36" t="n">
        <f aca="false">IF($W475="RECEITA",$F475,0)</f>
        <v>0</v>
      </c>
      <c r="AE475" s="36" t="n">
        <f aca="false">IF($W475="DESPESA",$F475,0)</f>
        <v>0</v>
      </c>
      <c r="AF475" s="36" t="n">
        <f aca="false">IF($W475="RECEITA_FINANCEIRA",$F475,0)</f>
        <v>0</v>
      </c>
      <c r="AG475" s="36" t="n">
        <f aca="false">IF($B475="",0,IF($I475="CONTA",$F475,0)-IF($G475="CONTA",$F475,0))</f>
        <v>0</v>
      </c>
      <c r="AH475" s="36" t="n">
        <f aca="false">IF($B475="",0,IF($G475="CARTAO",$F475,0)-IF($I475="CARTAO",$F475,0))</f>
        <v>0</v>
      </c>
      <c r="AI475" s="36" t="n">
        <f aca="false">IF($B475="",0,IF($I475="INVESTIMENTO",$F475,0)-IF($G475="INVESTIMENTO",$F475,0))</f>
        <v>0</v>
      </c>
      <c r="AJ475" s="35" t="str">
        <f aca="false">IF($B475="","",IF(NOT(ISNUMBER($F475)),"ERRO: valor nao numerico",IF($F475&lt;=0,"ERRO: valor deve ser maior que zero",IF(COUNTIF(MAP_TIPO,$D475)=0,"ERRO: tipo de operacao nao cadastrado",IF(COUNTIF(LST_STATUS,$E475)=0,"ERRO: status invalido",IF(AND($G475="EXTERNO",$I475="EXTERNO"),"ERRO: origem e destino externos",IF(AND($G475&lt;&gt;"EXTERNO",COUNTIFS(ENT_ID,$H475,ENT_TIPO,$G475)=0),"ERRO: origem inexistente",IF(AND($I475&lt;&gt;"EXTERNO",COUNTIFS(ENT_ID,$J475,ENT_TIPO,$I475)=0),"ERRO: destino inexistente",IF(AND($K475&lt;&gt;"",COUNTIF(CAT_ID,$K475)=0),"ERRO: categoria inexistente",IF(AND($L475&lt;&gt;"",COUNTIF(SUB_ID,$L475)=0),"ERRO: subcategoria inexistente",IF(AND($L475&lt;&gt;"",$K475&lt;&gt;"",IFERROR(INDEX(SUB_CATID,MATCH($L475,SUB_ID,0)),"")&lt;&gt;$K475),"ERRO: subcategoria nao pertence a categoria",IF(AND($O475&lt;&gt;"",COUNTIF(P_ID,$O475)=0),"ERRO: parcela inexistente",IF(AND($N475&lt;&gt;"",COUNTIF(CM_ID,$N475)=0),"ERRO: compromisso inexistente","OK")))))))))))))</f>
        <v/>
      </c>
      <c r="AK475" s="35" t="str">
        <f aca="false">IF($B475="","",IF(AND($N475="",$O475="",$P475="",$Q475="",$R475=""),"","VINCULADO: "&amp;TRIM(IF($N475&lt;&gt;"",$N475&amp;" ","")&amp;IF($O475&lt;&gt;"",$O475&amp;" ","")&amp;IF($P475&lt;&gt;"",$P475&amp;" ","")&amp;IF($Q475&lt;&gt;"",$Q475&amp;" ","")&amp;IF($R475&lt;&gt;"",$R475,""))))</f>
        <v/>
      </c>
    </row>
    <row r="476" customFormat="false" ht="15" hidden="false" customHeight="false" outlineLevel="0" collapsed="false">
      <c r="A476" s="30" t="str">
        <f aca="false">IF($B476="","","LAN-"&amp;TEXT(ROW()-4,"000000"))</f>
        <v/>
      </c>
      <c r="B476" s="31"/>
      <c r="C476" s="32"/>
      <c r="D476" s="32"/>
      <c r="E476" s="32"/>
      <c r="F476" s="33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4" t="str">
        <f aca="false">IF($B476="","",YEAR($B476))</f>
        <v/>
      </c>
      <c r="U476" s="34" t="str">
        <f aca="false">IF($B476="","",MONTH($B476))</f>
        <v/>
      </c>
      <c r="V476" s="34" t="str">
        <f aca="false">IF($B476="","",YEAR($B476)*100+MONTH($B476))</f>
        <v/>
      </c>
      <c r="W476" s="35" t="str">
        <f aca="false">IF($D476="","",IFERROR(INDEX(MAP_CLASS,MATCH($D476,MAP_TIPO,0)),"TIPO INVALIDO"))</f>
        <v/>
      </c>
      <c r="X476" s="35" t="str">
        <f aca="false">IF($K476="","",IFERROR(INDEX(CAT_NOME,MATCH($K476,CAT_ID,0)),"?"))</f>
        <v/>
      </c>
      <c r="Y476" s="35" t="str">
        <f aca="false">IF($L476="","",IFERROR(INDEX(SUB_NOME,MATCH($L476,SUB_ID,0)),"?"))</f>
        <v/>
      </c>
      <c r="Z476" s="35" t="str">
        <f aca="false">IF($G476="","",IF($G476="EXTERNO","(Externo)",IFERROR(INDEX(ENT_NOME,MATCH($H476,ENT_ID,0)),"?")))</f>
        <v/>
      </c>
      <c r="AA476" s="35" t="str">
        <f aca="false">IF($I476="","",IF($I476="EXTERNO","(Externo)",IFERROR(INDEX(ENT_NOME,MATCH($J476,ENT_ID,0)),"?")))</f>
        <v/>
      </c>
      <c r="AB476" s="36" t="n">
        <f aca="false">IF($B476="",0,IF(AND($I476="CONTA",$G476&lt;&gt;"CONTA"),$F476,0))</f>
        <v>0</v>
      </c>
      <c r="AC476" s="36" t="n">
        <f aca="false">IF($B476="",0,IF(AND($G476="CONTA",$I476&lt;&gt;"CONTA"),$F476,0))</f>
        <v>0</v>
      </c>
      <c r="AD476" s="36" t="n">
        <f aca="false">IF($W476="RECEITA",$F476,0)</f>
        <v>0</v>
      </c>
      <c r="AE476" s="36" t="n">
        <f aca="false">IF($W476="DESPESA",$F476,0)</f>
        <v>0</v>
      </c>
      <c r="AF476" s="36" t="n">
        <f aca="false">IF($W476="RECEITA_FINANCEIRA",$F476,0)</f>
        <v>0</v>
      </c>
      <c r="AG476" s="36" t="n">
        <f aca="false">IF($B476="",0,IF($I476="CONTA",$F476,0)-IF($G476="CONTA",$F476,0))</f>
        <v>0</v>
      </c>
      <c r="AH476" s="36" t="n">
        <f aca="false">IF($B476="",0,IF($G476="CARTAO",$F476,0)-IF($I476="CARTAO",$F476,0))</f>
        <v>0</v>
      </c>
      <c r="AI476" s="36" t="n">
        <f aca="false">IF($B476="",0,IF($I476="INVESTIMENTO",$F476,0)-IF($G476="INVESTIMENTO",$F476,0))</f>
        <v>0</v>
      </c>
      <c r="AJ476" s="35" t="str">
        <f aca="false">IF($B476="","",IF(NOT(ISNUMBER($F476)),"ERRO: valor nao numerico",IF($F476&lt;=0,"ERRO: valor deve ser maior que zero",IF(COUNTIF(MAP_TIPO,$D476)=0,"ERRO: tipo de operacao nao cadastrado",IF(COUNTIF(LST_STATUS,$E476)=0,"ERRO: status invalido",IF(AND($G476="EXTERNO",$I476="EXTERNO"),"ERRO: origem e destino externos",IF(AND($G476&lt;&gt;"EXTERNO",COUNTIFS(ENT_ID,$H476,ENT_TIPO,$G476)=0),"ERRO: origem inexistente",IF(AND($I476&lt;&gt;"EXTERNO",COUNTIFS(ENT_ID,$J476,ENT_TIPO,$I476)=0),"ERRO: destino inexistente",IF(AND($K476&lt;&gt;"",COUNTIF(CAT_ID,$K476)=0),"ERRO: categoria inexistente",IF(AND($L476&lt;&gt;"",COUNTIF(SUB_ID,$L476)=0),"ERRO: subcategoria inexistente",IF(AND($L476&lt;&gt;"",$K476&lt;&gt;"",IFERROR(INDEX(SUB_CATID,MATCH($L476,SUB_ID,0)),"")&lt;&gt;$K476),"ERRO: subcategoria nao pertence a categoria",IF(AND($O476&lt;&gt;"",COUNTIF(P_ID,$O476)=0),"ERRO: parcela inexistente",IF(AND($N476&lt;&gt;"",COUNTIF(CM_ID,$N476)=0),"ERRO: compromisso inexistente","OK")))))))))))))</f>
        <v/>
      </c>
      <c r="AK476" s="35" t="str">
        <f aca="false">IF($B476="","",IF(AND($N476="",$O476="",$P476="",$Q476="",$R476=""),"","VINCULADO: "&amp;TRIM(IF($N476&lt;&gt;"",$N476&amp;" ","")&amp;IF($O476&lt;&gt;"",$O476&amp;" ","")&amp;IF($P476&lt;&gt;"",$P476&amp;" ","")&amp;IF($Q476&lt;&gt;"",$Q476&amp;" ","")&amp;IF($R476&lt;&gt;"",$R476,""))))</f>
        <v/>
      </c>
    </row>
    <row r="477" customFormat="false" ht="15" hidden="false" customHeight="false" outlineLevel="0" collapsed="false">
      <c r="A477" s="30" t="str">
        <f aca="false">IF($B477="","","LAN-"&amp;TEXT(ROW()-4,"000000"))</f>
        <v/>
      </c>
      <c r="B477" s="31"/>
      <c r="C477" s="32"/>
      <c r="D477" s="32"/>
      <c r="E477" s="32"/>
      <c r="F477" s="33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4" t="str">
        <f aca="false">IF($B477="","",YEAR($B477))</f>
        <v/>
      </c>
      <c r="U477" s="34" t="str">
        <f aca="false">IF($B477="","",MONTH($B477))</f>
        <v/>
      </c>
      <c r="V477" s="34" t="str">
        <f aca="false">IF($B477="","",YEAR($B477)*100+MONTH($B477))</f>
        <v/>
      </c>
      <c r="W477" s="35" t="str">
        <f aca="false">IF($D477="","",IFERROR(INDEX(MAP_CLASS,MATCH($D477,MAP_TIPO,0)),"TIPO INVALIDO"))</f>
        <v/>
      </c>
      <c r="X477" s="35" t="str">
        <f aca="false">IF($K477="","",IFERROR(INDEX(CAT_NOME,MATCH($K477,CAT_ID,0)),"?"))</f>
        <v/>
      </c>
      <c r="Y477" s="35" t="str">
        <f aca="false">IF($L477="","",IFERROR(INDEX(SUB_NOME,MATCH($L477,SUB_ID,0)),"?"))</f>
        <v/>
      </c>
      <c r="Z477" s="35" t="str">
        <f aca="false">IF($G477="","",IF($G477="EXTERNO","(Externo)",IFERROR(INDEX(ENT_NOME,MATCH($H477,ENT_ID,0)),"?")))</f>
        <v/>
      </c>
      <c r="AA477" s="35" t="str">
        <f aca="false">IF($I477="","",IF($I477="EXTERNO","(Externo)",IFERROR(INDEX(ENT_NOME,MATCH($J477,ENT_ID,0)),"?")))</f>
        <v/>
      </c>
      <c r="AB477" s="36" t="n">
        <f aca="false">IF($B477="",0,IF(AND($I477="CONTA",$G477&lt;&gt;"CONTA"),$F477,0))</f>
        <v>0</v>
      </c>
      <c r="AC477" s="36" t="n">
        <f aca="false">IF($B477="",0,IF(AND($G477="CONTA",$I477&lt;&gt;"CONTA"),$F477,0))</f>
        <v>0</v>
      </c>
      <c r="AD477" s="36" t="n">
        <f aca="false">IF($W477="RECEITA",$F477,0)</f>
        <v>0</v>
      </c>
      <c r="AE477" s="36" t="n">
        <f aca="false">IF($W477="DESPESA",$F477,0)</f>
        <v>0</v>
      </c>
      <c r="AF477" s="36" t="n">
        <f aca="false">IF($W477="RECEITA_FINANCEIRA",$F477,0)</f>
        <v>0</v>
      </c>
      <c r="AG477" s="36" t="n">
        <f aca="false">IF($B477="",0,IF($I477="CONTA",$F477,0)-IF($G477="CONTA",$F477,0))</f>
        <v>0</v>
      </c>
      <c r="AH477" s="36" t="n">
        <f aca="false">IF($B477="",0,IF($G477="CARTAO",$F477,0)-IF($I477="CARTAO",$F477,0))</f>
        <v>0</v>
      </c>
      <c r="AI477" s="36" t="n">
        <f aca="false">IF($B477="",0,IF($I477="INVESTIMENTO",$F477,0)-IF($G477="INVESTIMENTO",$F477,0))</f>
        <v>0</v>
      </c>
      <c r="AJ477" s="35" t="str">
        <f aca="false">IF($B477="","",IF(NOT(ISNUMBER($F477)),"ERRO: valor nao numerico",IF($F477&lt;=0,"ERRO: valor deve ser maior que zero",IF(COUNTIF(MAP_TIPO,$D477)=0,"ERRO: tipo de operacao nao cadastrado",IF(COUNTIF(LST_STATUS,$E477)=0,"ERRO: status invalido",IF(AND($G477="EXTERNO",$I477="EXTERNO"),"ERRO: origem e destino externos",IF(AND($G477&lt;&gt;"EXTERNO",COUNTIFS(ENT_ID,$H477,ENT_TIPO,$G477)=0),"ERRO: origem inexistente",IF(AND($I477&lt;&gt;"EXTERNO",COUNTIFS(ENT_ID,$J477,ENT_TIPO,$I477)=0),"ERRO: destino inexistente",IF(AND($K477&lt;&gt;"",COUNTIF(CAT_ID,$K477)=0),"ERRO: categoria inexistente",IF(AND($L477&lt;&gt;"",COUNTIF(SUB_ID,$L477)=0),"ERRO: subcategoria inexistente",IF(AND($L477&lt;&gt;"",$K477&lt;&gt;"",IFERROR(INDEX(SUB_CATID,MATCH($L477,SUB_ID,0)),"")&lt;&gt;$K477),"ERRO: subcategoria nao pertence a categoria",IF(AND($O477&lt;&gt;"",COUNTIF(P_ID,$O477)=0),"ERRO: parcela inexistente",IF(AND($N477&lt;&gt;"",COUNTIF(CM_ID,$N477)=0),"ERRO: compromisso inexistente","OK")))))))))))))</f>
        <v/>
      </c>
      <c r="AK477" s="35" t="str">
        <f aca="false">IF($B477="","",IF(AND($N477="",$O477="",$P477="",$Q477="",$R477=""),"","VINCULADO: "&amp;TRIM(IF($N477&lt;&gt;"",$N477&amp;" ","")&amp;IF($O477&lt;&gt;"",$O477&amp;" ","")&amp;IF($P477&lt;&gt;"",$P477&amp;" ","")&amp;IF($Q477&lt;&gt;"",$Q477&amp;" ","")&amp;IF($R477&lt;&gt;"",$R477,""))))</f>
        <v/>
      </c>
    </row>
    <row r="478" customFormat="false" ht="15" hidden="false" customHeight="false" outlineLevel="0" collapsed="false">
      <c r="A478" s="30" t="str">
        <f aca="false">IF($B478="","","LAN-"&amp;TEXT(ROW()-4,"000000"))</f>
        <v/>
      </c>
      <c r="B478" s="31"/>
      <c r="C478" s="32"/>
      <c r="D478" s="32"/>
      <c r="E478" s="32"/>
      <c r="F478" s="33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4" t="str">
        <f aca="false">IF($B478="","",YEAR($B478))</f>
        <v/>
      </c>
      <c r="U478" s="34" t="str">
        <f aca="false">IF($B478="","",MONTH($B478))</f>
        <v/>
      </c>
      <c r="V478" s="34" t="str">
        <f aca="false">IF($B478="","",YEAR($B478)*100+MONTH($B478))</f>
        <v/>
      </c>
      <c r="W478" s="35" t="str">
        <f aca="false">IF($D478="","",IFERROR(INDEX(MAP_CLASS,MATCH($D478,MAP_TIPO,0)),"TIPO INVALIDO"))</f>
        <v/>
      </c>
      <c r="X478" s="35" t="str">
        <f aca="false">IF($K478="","",IFERROR(INDEX(CAT_NOME,MATCH($K478,CAT_ID,0)),"?"))</f>
        <v/>
      </c>
      <c r="Y478" s="35" t="str">
        <f aca="false">IF($L478="","",IFERROR(INDEX(SUB_NOME,MATCH($L478,SUB_ID,0)),"?"))</f>
        <v/>
      </c>
      <c r="Z478" s="35" t="str">
        <f aca="false">IF($G478="","",IF($G478="EXTERNO","(Externo)",IFERROR(INDEX(ENT_NOME,MATCH($H478,ENT_ID,0)),"?")))</f>
        <v/>
      </c>
      <c r="AA478" s="35" t="str">
        <f aca="false">IF($I478="","",IF($I478="EXTERNO","(Externo)",IFERROR(INDEX(ENT_NOME,MATCH($J478,ENT_ID,0)),"?")))</f>
        <v/>
      </c>
      <c r="AB478" s="36" t="n">
        <f aca="false">IF($B478="",0,IF(AND($I478="CONTA",$G478&lt;&gt;"CONTA"),$F478,0))</f>
        <v>0</v>
      </c>
      <c r="AC478" s="36" t="n">
        <f aca="false">IF($B478="",0,IF(AND($G478="CONTA",$I478&lt;&gt;"CONTA"),$F478,0))</f>
        <v>0</v>
      </c>
      <c r="AD478" s="36" t="n">
        <f aca="false">IF($W478="RECEITA",$F478,0)</f>
        <v>0</v>
      </c>
      <c r="AE478" s="36" t="n">
        <f aca="false">IF($W478="DESPESA",$F478,0)</f>
        <v>0</v>
      </c>
      <c r="AF478" s="36" t="n">
        <f aca="false">IF($W478="RECEITA_FINANCEIRA",$F478,0)</f>
        <v>0</v>
      </c>
      <c r="AG478" s="36" t="n">
        <f aca="false">IF($B478="",0,IF($I478="CONTA",$F478,0)-IF($G478="CONTA",$F478,0))</f>
        <v>0</v>
      </c>
      <c r="AH478" s="36" t="n">
        <f aca="false">IF($B478="",0,IF($G478="CARTAO",$F478,0)-IF($I478="CARTAO",$F478,0))</f>
        <v>0</v>
      </c>
      <c r="AI478" s="36" t="n">
        <f aca="false">IF($B478="",0,IF($I478="INVESTIMENTO",$F478,0)-IF($G478="INVESTIMENTO",$F478,0))</f>
        <v>0</v>
      </c>
      <c r="AJ478" s="35" t="str">
        <f aca="false">IF($B478="","",IF(NOT(ISNUMBER($F478)),"ERRO: valor nao numerico",IF($F478&lt;=0,"ERRO: valor deve ser maior que zero",IF(COUNTIF(MAP_TIPO,$D478)=0,"ERRO: tipo de operacao nao cadastrado",IF(COUNTIF(LST_STATUS,$E478)=0,"ERRO: status invalido",IF(AND($G478="EXTERNO",$I478="EXTERNO"),"ERRO: origem e destino externos",IF(AND($G478&lt;&gt;"EXTERNO",COUNTIFS(ENT_ID,$H478,ENT_TIPO,$G478)=0),"ERRO: origem inexistente",IF(AND($I478&lt;&gt;"EXTERNO",COUNTIFS(ENT_ID,$J478,ENT_TIPO,$I478)=0),"ERRO: destino inexistente",IF(AND($K478&lt;&gt;"",COUNTIF(CAT_ID,$K478)=0),"ERRO: categoria inexistente",IF(AND($L478&lt;&gt;"",COUNTIF(SUB_ID,$L478)=0),"ERRO: subcategoria inexistente",IF(AND($L478&lt;&gt;"",$K478&lt;&gt;"",IFERROR(INDEX(SUB_CATID,MATCH($L478,SUB_ID,0)),"")&lt;&gt;$K478),"ERRO: subcategoria nao pertence a categoria",IF(AND($O478&lt;&gt;"",COUNTIF(P_ID,$O478)=0),"ERRO: parcela inexistente",IF(AND($N478&lt;&gt;"",COUNTIF(CM_ID,$N478)=0),"ERRO: compromisso inexistente","OK")))))))))))))</f>
        <v/>
      </c>
      <c r="AK478" s="35" t="str">
        <f aca="false">IF($B478="","",IF(AND($N478="",$O478="",$P478="",$Q478="",$R478=""),"","VINCULADO: "&amp;TRIM(IF($N478&lt;&gt;"",$N478&amp;" ","")&amp;IF($O478&lt;&gt;"",$O478&amp;" ","")&amp;IF($P478&lt;&gt;"",$P478&amp;" ","")&amp;IF($Q478&lt;&gt;"",$Q478&amp;" ","")&amp;IF($R478&lt;&gt;"",$R478,""))))</f>
        <v/>
      </c>
    </row>
    <row r="479" customFormat="false" ht="15" hidden="false" customHeight="false" outlineLevel="0" collapsed="false">
      <c r="A479" s="30" t="str">
        <f aca="false">IF($B479="","","LAN-"&amp;TEXT(ROW()-4,"000000"))</f>
        <v/>
      </c>
      <c r="B479" s="31"/>
      <c r="C479" s="32"/>
      <c r="D479" s="32"/>
      <c r="E479" s="32"/>
      <c r="F479" s="33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4" t="str">
        <f aca="false">IF($B479="","",YEAR($B479))</f>
        <v/>
      </c>
      <c r="U479" s="34" t="str">
        <f aca="false">IF($B479="","",MONTH($B479))</f>
        <v/>
      </c>
      <c r="V479" s="34" t="str">
        <f aca="false">IF($B479="","",YEAR($B479)*100+MONTH($B479))</f>
        <v/>
      </c>
      <c r="W479" s="35" t="str">
        <f aca="false">IF($D479="","",IFERROR(INDEX(MAP_CLASS,MATCH($D479,MAP_TIPO,0)),"TIPO INVALIDO"))</f>
        <v/>
      </c>
      <c r="X479" s="35" t="str">
        <f aca="false">IF($K479="","",IFERROR(INDEX(CAT_NOME,MATCH($K479,CAT_ID,0)),"?"))</f>
        <v/>
      </c>
      <c r="Y479" s="35" t="str">
        <f aca="false">IF($L479="","",IFERROR(INDEX(SUB_NOME,MATCH($L479,SUB_ID,0)),"?"))</f>
        <v/>
      </c>
      <c r="Z479" s="35" t="str">
        <f aca="false">IF($G479="","",IF($G479="EXTERNO","(Externo)",IFERROR(INDEX(ENT_NOME,MATCH($H479,ENT_ID,0)),"?")))</f>
        <v/>
      </c>
      <c r="AA479" s="35" t="str">
        <f aca="false">IF($I479="","",IF($I479="EXTERNO","(Externo)",IFERROR(INDEX(ENT_NOME,MATCH($J479,ENT_ID,0)),"?")))</f>
        <v/>
      </c>
      <c r="AB479" s="36" t="n">
        <f aca="false">IF($B479="",0,IF(AND($I479="CONTA",$G479&lt;&gt;"CONTA"),$F479,0))</f>
        <v>0</v>
      </c>
      <c r="AC479" s="36" t="n">
        <f aca="false">IF($B479="",0,IF(AND($G479="CONTA",$I479&lt;&gt;"CONTA"),$F479,0))</f>
        <v>0</v>
      </c>
      <c r="AD479" s="36" t="n">
        <f aca="false">IF($W479="RECEITA",$F479,0)</f>
        <v>0</v>
      </c>
      <c r="AE479" s="36" t="n">
        <f aca="false">IF($W479="DESPESA",$F479,0)</f>
        <v>0</v>
      </c>
      <c r="AF479" s="36" t="n">
        <f aca="false">IF($W479="RECEITA_FINANCEIRA",$F479,0)</f>
        <v>0</v>
      </c>
      <c r="AG479" s="36" t="n">
        <f aca="false">IF($B479="",0,IF($I479="CONTA",$F479,0)-IF($G479="CONTA",$F479,0))</f>
        <v>0</v>
      </c>
      <c r="AH479" s="36" t="n">
        <f aca="false">IF($B479="",0,IF($G479="CARTAO",$F479,0)-IF($I479="CARTAO",$F479,0))</f>
        <v>0</v>
      </c>
      <c r="AI479" s="36" t="n">
        <f aca="false">IF($B479="",0,IF($I479="INVESTIMENTO",$F479,0)-IF($G479="INVESTIMENTO",$F479,0))</f>
        <v>0</v>
      </c>
      <c r="AJ479" s="35" t="str">
        <f aca="false">IF($B479="","",IF(NOT(ISNUMBER($F479)),"ERRO: valor nao numerico",IF($F479&lt;=0,"ERRO: valor deve ser maior que zero",IF(COUNTIF(MAP_TIPO,$D479)=0,"ERRO: tipo de operacao nao cadastrado",IF(COUNTIF(LST_STATUS,$E479)=0,"ERRO: status invalido",IF(AND($G479="EXTERNO",$I479="EXTERNO"),"ERRO: origem e destino externos",IF(AND($G479&lt;&gt;"EXTERNO",COUNTIFS(ENT_ID,$H479,ENT_TIPO,$G479)=0),"ERRO: origem inexistente",IF(AND($I479&lt;&gt;"EXTERNO",COUNTIFS(ENT_ID,$J479,ENT_TIPO,$I479)=0),"ERRO: destino inexistente",IF(AND($K479&lt;&gt;"",COUNTIF(CAT_ID,$K479)=0),"ERRO: categoria inexistente",IF(AND($L479&lt;&gt;"",COUNTIF(SUB_ID,$L479)=0),"ERRO: subcategoria inexistente",IF(AND($L479&lt;&gt;"",$K479&lt;&gt;"",IFERROR(INDEX(SUB_CATID,MATCH($L479,SUB_ID,0)),"")&lt;&gt;$K479),"ERRO: subcategoria nao pertence a categoria",IF(AND($O479&lt;&gt;"",COUNTIF(P_ID,$O479)=0),"ERRO: parcela inexistente",IF(AND($N479&lt;&gt;"",COUNTIF(CM_ID,$N479)=0),"ERRO: compromisso inexistente","OK")))))))))))))</f>
        <v/>
      </c>
      <c r="AK479" s="35" t="str">
        <f aca="false">IF($B479="","",IF(AND($N479="",$O479="",$P479="",$Q479="",$R479=""),"","VINCULADO: "&amp;TRIM(IF($N479&lt;&gt;"",$N479&amp;" ","")&amp;IF($O479&lt;&gt;"",$O479&amp;" ","")&amp;IF($P479&lt;&gt;"",$P479&amp;" ","")&amp;IF($Q479&lt;&gt;"",$Q479&amp;" ","")&amp;IF($R479&lt;&gt;"",$R479,""))))</f>
        <v/>
      </c>
    </row>
    <row r="480" customFormat="false" ht="15" hidden="false" customHeight="false" outlineLevel="0" collapsed="false">
      <c r="A480" s="30" t="str">
        <f aca="false">IF($B480="","","LAN-"&amp;TEXT(ROW()-4,"000000"))</f>
        <v/>
      </c>
      <c r="B480" s="31"/>
      <c r="C480" s="32"/>
      <c r="D480" s="32"/>
      <c r="E480" s="32"/>
      <c r="F480" s="33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4" t="str">
        <f aca="false">IF($B480="","",YEAR($B480))</f>
        <v/>
      </c>
      <c r="U480" s="34" t="str">
        <f aca="false">IF($B480="","",MONTH($B480))</f>
        <v/>
      </c>
      <c r="V480" s="34" t="str">
        <f aca="false">IF($B480="","",YEAR($B480)*100+MONTH($B480))</f>
        <v/>
      </c>
      <c r="W480" s="35" t="str">
        <f aca="false">IF($D480="","",IFERROR(INDEX(MAP_CLASS,MATCH($D480,MAP_TIPO,0)),"TIPO INVALIDO"))</f>
        <v/>
      </c>
      <c r="X480" s="35" t="str">
        <f aca="false">IF($K480="","",IFERROR(INDEX(CAT_NOME,MATCH($K480,CAT_ID,0)),"?"))</f>
        <v/>
      </c>
      <c r="Y480" s="35" t="str">
        <f aca="false">IF($L480="","",IFERROR(INDEX(SUB_NOME,MATCH($L480,SUB_ID,0)),"?"))</f>
        <v/>
      </c>
      <c r="Z480" s="35" t="str">
        <f aca="false">IF($G480="","",IF($G480="EXTERNO","(Externo)",IFERROR(INDEX(ENT_NOME,MATCH($H480,ENT_ID,0)),"?")))</f>
        <v/>
      </c>
      <c r="AA480" s="35" t="str">
        <f aca="false">IF($I480="","",IF($I480="EXTERNO","(Externo)",IFERROR(INDEX(ENT_NOME,MATCH($J480,ENT_ID,0)),"?")))</f>
        <v/>
      </c>
      <c r="AB480" s="36" t="n">
        <f aca="false">IF($B480="",0,IF(AND($I480="CONTA",$G480&lt;&gt;"CONTA"),$F480,0))</f>
        <v>0</v>
      </c>
      <c r="AC480" s="36" t="n">
        <f aca="false">IF($B480="",0,IF(AND($G480="CONTA",$I480&lt;&gt;"CONTA"),$F480,0))</f>
        <v>0</v>
      </c>
      <c r="AD480" s="36" t="n">
        <f aca="false">IF($W480="RECEITA",$F480,0)</f>
        <v>0</v>
      </c>
      <c r="AE480" s="36" t="n">
        <f aca="false">IF($W480="DESPESA",$F480,0)</f>
        <v>0</v>
      </c>
      <c r="AF480" s="36" t="n">
        <f aca="false">IF($W480="RECEITA_FINANCEIRA",$F480,0)</f>
        <v>0</v>
      </c>
      <c r="AG480" s="36" t="n">
        <f aca="false">IF($B480="",0,IF($I480="CONTA",$F480,0)-IF($G480="CONTA",$F480,0))</f>
        <v>0</v>
      </c>
      <c r="AH480" s="36" t="n">
        <f aca="false">IF($B480="",0,IF($G480="CARTAO",$F480,0)-IF($I480="CARTAO",$F480,0))</f>
        <v>0</v>
      </c>
      <c r="AI480" s="36" t="n">
        <f aca="false">IF($B480="",0,IF($I480="INVESTIMENTO",$F480,0)-IF($G480="INVESTIMENTO",$F480,0))</f>
        <v>0</v>
      </c>
      <c r="AJ480" s="35" t="str">
        <f aca="false">IF($B480="","",IF(NOT(ISNUMBER($F480)),"ERRO: valor nao numerico",IF($F480&lt;=0,"ERRO: valor deve ser maior que zero",IF(COUNTIF(MAP_TIPO,$D480)=0,"ERRO: tipo de operacao nao cadastrado",IF(COUNTIF(LST_STATUS,$E480)=0,"ERRO: status invalido",IF(AND($G480="EXTERNO",$I480="EXTERNO"),"ERRO: origem e destino externos",IF(AND($G480&lt;&gt;"EXTERNO",COUNTIFS(ENT_ID,$H480,ENT_TIPO,$G480)=0),"ERRO: origem inexistente",IF(AND($I480&lt;&gt;"EXTERNO",COUNTIFS(ENT_ID,$J480,ENT_TIPO,$I480)=0),"ERRO: destino inexistente",IF(AND($K480&lt;&gt;"",COUNTIF(CAT_ID,$K480)=0),"ERRO: categoria inexistente",IF(AND($L480&lt;&gt;"",COUNTIF(SUB_ID,$L480)=0),"ERRO: subcategoria inexistente",IF(AND($L480&lt;&gt;"",$K480&lt;&gt;"",IFERROR(INDEX(SUB_CATID,MATCH($L480,SUB_ID,0)),"")&lt;&gt;$K480),"ERRO: subcategoria nao pertence a categoria",IF(AND($O480&lt;&gt;"",COUNTIF(P_ID,$O480)=0),"ERRO: parcela inexistente",IF(AND($N480&lt;&gt;"",COUNTIF(CM_ID,$N480)=0),"ERRO: compromisso inexistente","OK")))))))))))))</f>
        <v/>
      </c>
      <c r="AK480" s="35" t="str">
        <f aca="false">IF($B480="","",IF(AND($N480="",$O480="",$P480="",$Q480="",$R480=""),"","VINCULADO: "&amp;TRIM(IF($N480&lt;&gt;"",$N480&amp;" ","")&amp;IF($O480&lt;&gt;"",$O480&amp;" ","")&amp;IF($P480&lt;&gt;"",$P480&amp;" ","")&amp;IF($Q480&lt;&gt;"",$Q480&amp;" ","")&amp;IF($R480&lt;&gt;"",$R480,""))))</f>
        <v/>
      </c>
    </row>
    <row r="481" customFormat="false" ht="15" hidden="false" customHeight="false" outlineLevel="0" collapsed="false">
      <c r="A481" s="30" t="str">
        <f aca="false">IF($B481="","","LAN-"&amp;TEXT(ROW()-4,"000000"))</f>
        <v/>
      </c>
      <c r="B481" s="31"/>
      <c r="C481" s="32"/>
      <c r="D481" s="32"/>
      <c r="E481" s="32"/>
      <c r="F481" s="33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4" t="str">
        <f aca="false">IF($B481="","",YEAR($B481))</f>
        <v/>
      </c>
      <c r="U481" s="34" t="str">
        <f aca="false">IF($B481="","",MONTH($B481))</f>
        <v/>
      </c>
      <c r="V481" s="34" t="str">
        <f aca="false">IF($B481="","",YEAR($B481)*100+MONTH($B481))</f>
        <v/>
      </c>
      <c r="W481" s="35" t="str">
        <f aca="false">IF($D481="","",IFERROR(INDEX(MAP_CLASS,MATCH($D481,MAP_TIPO,0)),"TIPO INVALIDO"))</f>
        <v/>
      </c>
      <c r="X481" s="35" t="str">
        <f aca="false">IF($K481="","",IFERROR(INDEX(CAT_NOME,MATCH($K481,CAT_ID,0)),"?"))</f>
        <v/>
      </c>
      <c r="Y481" s="35" t="str">
        <f aca="false">IF($L481="","",IFERROR(INDEX(SUB_NOME,MATCH($L481,SUB_ID,0)),"?"))</f>
        <v/>
      </c>
      <c r="Z481" s="35" t="str">
        <f aca="false">IF($G481="","",IF($G481="EXTERNO","(Externo)",IFERROR(INDEX(ENT_NOME,MATCH($H481,ENT_ID,0)),"?")))</f>
        <v/>
      </c>
      <c r="AA481" s="35" t="str">
        <f aca="false">IF($I481="","",IF($I481="EXTERNO","(Externo)",IFERROR(INDEX(ENT_NOME,MATCH($J481,ENT_ID,0)),"?")))</f>
        <v/>
      </c>
      <c r="AB481" s="36" t="n">
        <f aca="false">IF($B481="",0,IF(AND($I481="CONTA",$G481&lt;&gt;"CONTA"),$F481,0))</f>
        <v>0</v>
      </c>
      <c r="AC481" s="36" t="n">
        <f aca="false">IF($B481="",0,IF(AND($G481="CONTA",$I481&lt;&gt;"CONTA"),$F481,0))</f>
        <v>0</v>
      </c>
      <c r="AD481" s="36" t="n">
        <f aca="false">IF($W481="RECEITA",$F481,0)</f>
        <v>0</v>
      </c>
      <c r="AE481" s="36" t="n">
        <f aca="false">IF($W481="DESPESA",$F481,0)</f>
        <v>0</v>
      </c>
      <c r="AF481" s="36" t="n">
        <f aca="false">IF($W481="RECEITA_FINANCEIRA",$F481,0)</f>
        <v>0</v>
      </c>
      <c r="AG481" s="36" t="n">
        <f aca="false">IF($B481="",0,IF($I481="CONTA",$F481,0)-IF($G481="CONTA",$F481,0))</f>
        <v>0</v>
      </c>
      <c r="AH481" s="36" t="n">
        <f aca="false">IF($B481="",0,IF($G481="CARTAO",$F481,0)-IF($I481="CARTAO",$F481,0))</f>
        <v>0</v>
      </c>
      <c r="AI481" s="36" t="n">
        <f aca="false">IF($B481="",0,IF($I481="INVESTIMENTO",$F481,0)-IF($G481="INVESTIMENTO",$F481,0))</f>
        <v>0</v>
      </c>
      <c r="AJ481" s="35" t="str">
        <f aca="false">IF($B481="","",IF(NOT(ISNUMBER($F481)),"ERRO: valor nao numerico",IF($F481&lt;=0,"ERRO: valor deve ser maior que zero",IF(COUNTIF(MAP_TIPO,$D481)=0,"ERRO: tipo de operacao nao cadastrado",IF(COUNTIF(LST_STATUS,$E481)=0,"ERRO: status invalido",IF(AND($G481="EXTERNO",$I481="EXTERNO"),"ERRO: origem e destino externos",IF(AND($G481&lt;&gt;"EXTERNO",COUNTIFS(ENT_ID,$H481,ENT_TIPO,$G481)=0),"ERRO: origem inexistente",IF(AND($I481&lt;&gt;"EXTERNO",COUNTIFS(ENT_ID,$J481,ENT_TIPO,$I481)=0),"ERRO: destino inexistente",IF(AND($K481&lt;&gt;"",COUNTIF(CAT_ID,$K481)=0),"ERRO: categoria inexistente",IF(AND($L481&lt;&gt;"",COUNTIF(SUB_ID,$L481)=0),"ERRO: subcategoria inexistente",IF(AND($L481&lt;&gt;"",$K481&lt;&gt;"",IFERROR(INDEX(SUB_CATID,MATCH($L481,SUB_ID,0)),"")&lt;&gt;$K481),"ERRO: subcategoria nao pertence a categoria",IF(AND($O481&lt;&gt;"",COUNTIF(P_ID,$O481)=0),"ERRO: parcela inexistente",IF(AND($N481&lt;&gt;"",COUNTIF(CM_ID,$N481)=0),"ERRO: compromisso inexistente","OK")))))))))))))</f>
        <v/>
      </c>
      <c r="AK481" s="35" t="str">
        <f aca="false">IF($B481="","",IF(AND($N481="",$O481="",$P481="",$Q481="",$R481=""),"","VINCULADO: "&amp;TRIM(IF($N481&lt;&gt;"",$N481&amp;" ","")&amp;IF($O481&lt;&gt;"",$O481&amp;" ","")&amp;IF($P481&lt;&gt;"",$P481&amp;" ","")&amp;IF($Q481&lt;&gt;"",$Q481&amp;" ","")&amp;IF($R481&lt;&gt;"",$R481,""))))</f>
        <v/>
      </c>
    </row>
    <row r="482" customFormat="false" ht="15" hidden="false" customHeight="false" outlineLevel="0" collapsed="false">
      <c r="A482" s="30" t="str">
        <f aca="false">IF($B482="","","LAN-"&amp;TEXT(ROW()-4,"000000"))</f>
        <v/>
      </c>
      <c r="B482" s="31"/>
      <c r="C482" s="32"/>
      <c r="D482" s="32"/>
      <c r="E482" s="32"/>
      <c r="F482" s="33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4" t="str">
        <f aca="false">IF($B482="","",YEAR($B482))</f>
        <v/>
      </c>
      <c r="U482" s="34" t="str">
        <f aca="false">IF($B482="","",MONTH($B482))</f>
        <v/>
      </c>
      <c r="V482" s="34" t="str">
        <f aca="false">IF($B482="","",YEAR($B482)*100+MONTH($B482))</f>
        <v/>
      </c>
      <c r="W482" s="35" t="str">
        <f aca="false">IF($D482="","",IFERROR(INDEX(MAP_CLASS,MATCH($D482,MAP_TIPO,0)),"TIPO INVALIDO"))</f>
        <v/>
      </c>
      <c r="X482" s="35" t="str">
        <f aca="false">IF($K482="","",IFERROR(INDEX(CAT_NOME,MATCH($K482,CAT_ID,0)),"?"))</f>
        <v/>
      </c>
      <c r="Y482" s="35" t="str">
        <f aca="false">IF($L482="","",IFERROR(INDEX(SUB_NOME,MATCH($L482,SUB_ID,0)),"?"))</f>
        <v/>
      </c>
      <c r="Z482" s="35" t="str">
        <f aca="false">IF($G482="","",IF($G482="EXTERNO","(Externo)",IFERROR(INDEX(ENT_NOME,MATCH($H482,ENT_ID,0)),"?")))</f>
        <v/>
      </c>
      <c r="AA482" s="35" t="str">
        <f aca="false">IF($I482="","",IF($I482="EXTERNO","(Externo)",IFERROR(INDEX(ENT_NOME,MATCH($J482,ENT_ID,0)),"?")))</f>
        <v/>
      </c>
      <c r="AB482" s="36" t="n">
        <f aca="false">IF($B482="",0,IF(AND($I482="CONTA",$G482&lt;&gt;"CONTA"),$F482,0))</f>
        <v>0</v>
      </c>
      <c r="AC482" s="36" t="n">
        <f aca="false">IF($B482="",0,IF(AND($G482="CONTA",$I482&lt;&gt;"CONTA"),$F482,0))</f>
        <v>0</v>
      </c>
      <c r="AD482" s="36" t="n">
        <f aca="false">IF($W482="RECEITA",$F482,0)</f>
        <v>0</v>
      </c>
      <c r="AE482" s="36" t="n">
        <f aca="false">IF($W482="DESPESA",$F482,0)</f>
        <v>0</v>
      </c>
      <c r="AF482" s="36" t="n">
        <f aca="false">IF($W482="RECEITA_FINANCEIRA",$F482,0)</f>
        <v>0</v>
      </c>
      <c r="AG482" s="36" t="n">
        <f aca="false">IF($B482="",0,IF($I482="CONTA",$F482,0)-IF($G482="CONTA",$F482,0))</f>
        <v>0</v>
      </c>
      <c r="AH482" s="36" t="n">
        <f aca="false">IF($B482="",0,IF($G482="CARTAO",$F482,0)-IF($I482="CARTAO",$F482,0))</f>
        <v>0</v>
      </c>
      <c r="AI482" s="36" t="n">
        <f aca="false">IF($B482="",0,IF($I482="INVESTIMENTO",$F482,0)-IF($G482="INVESTIMENTO",$F482,0))</f>
        <v>0</v>
      </c>
      <c r="AJ482" s="35" t="str">
        <f aca="false">IF($B482="","",IF(NOT(ISNUMBER($F482)),"ERRO: valor nao numerico",IF($F482&lt;=0,"ERRO: valor deve ser maior que zero",IF(COUNTIF(MAP_TIPO,$D482)=0,"ERRO: tipo de operacao nao cadastrado",IF(COUNTIF(LST_STATUS,$E482)=0,"ERRO: status invalido",IF(AND($G482="EXTERNO",$I482="EXTERNO"),"ERRO: origem e destino externos",IF(AND($G482&lt;&gt;"EXTERNO",COUNTIFS(ENT_ID,$H482,ENT_TIPO,$G482)=0),"ERRO: origem inexistente",IF(AND($I482&lt;&gt;"EXTERNO",COUNTIFS(ENT_ID,$J482,ENT_TIPO,$I482)=0),"ERRO: destino inexistente",IF(AND($K482&lt;&gt;"",COUNTIF(CAT_ID,$K482)=0),"ERRO: categoria inexistente",IF(AND($L482&lt;&gt;"",COUNTIF(SUB_ID,$L482)=0),"ERRO: subcategoria inexistente",IF(AND($L482&lt;&gt;"",$K482&lt;&gt;"",IFERROR(INDEX(SUB_CATID,MATCH($L482,SUB_ID,0)),"")&lt;&gt;$K482),"ERRO: subcategoria nao pertence a categoria",IF(AND($O482&lt;&gt;"",COUNTIF(P_ID,$O482)=0),"ERRO: parcela inexistente",IF(AND($N482&lt;&gt;"",COUNTIF(CM_ID,$N482)=0),"ERRO: compromisso inexistente","OK")))))))))))))</f>
        <v/>
      </c>
      <c r="AK482" s="35" t="str">
        <f aca="false">IF($B482="","",IF(AND($N482="",$O482="",$P482="",$Q482="",$R482=""),"","VINCULADO: "&amp;TRIM(IF($N482&lt;&gt;"",$N482&amp;" ","")&amp;IF($O482&lt;&gt;"",$O482&amp;" ","")&amp;IF($P482&lt;&gt;"",$P482&amp;" ","")&amp;IF($Q482&lt;&gt;"",$Q482&amp;" ","")&amp;IF($R482&lt;&gt;"",$R482,""))))</f>
        <v/>
      </c>
    </row>
    <row r="483" customFormat="false" ht="15" hidden="false" customHeight="false" outlineLevel="0" collapsed="false">
      <c r="A483" s="30" t="str">
        <f aca="false">IF($B483="","","LAN-"&amp;TEXT(ROW()-4,"000000"))</f>
        <v/>
      </c>
      <c r="B483" s="31"/>
      <c r="C483" s="32"/>
      <c r="D483" s="32"/>
      <c r="E483" s="32"/>
      <c r="F483" s="33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4" t="str">
        <f aca="false">IF($B483="","",YEAR($B483))</f>
        <v/>
      </c>
      <c r="U483" s="34" t="str">
        <f aca="false">IF($B483="","",MONTH($B483))</f>
        <v/>
      </c>
      <c r="V483" s="34" t="str">
        <f aca="false">IF($B483="","",YEAR($B483)*100+MONTH($B483))</f>
        <v/>
      </c>
      <c r="W483" s="35" t="str">
        <f aca="false">IF($D483="","",IFERROR(INDEX(MAP_CLASS,MATCH($D483,MAP_TIPO,0)),"TIPO INVALIDO"))</f>
        <v/>
      </c>
      <c r="X483" s="35" t="str">
        <f aca="false">IF($K483="","",IFERROR(INDEX(CAT_NOME,MATCH($K483,CAT_ID,0)),"?"))</f>
        <v/>
      </c>
      <c r="Y483" s="35" t="str">
        <f aca="false">IF($L483="","",IFERROR(INDEX(SUB_NOME,MATCH($L483,SUB_ID,0)),"?"))</f>
        <v/>
      </c>
      <c r="Z483" s="35" t="str">
        <f aca="false">IF($G483="","",IF($G483="EXTERNO","(Externo)",IFERROR(INDEX(ENT_NOME,MATCH($H483,ENT_ID,0)),"?")))</f>
        <v/>
      </c>
      <c r="AA483" s="35" t="str">
        <f aca="false">IF($I483="","",IF($I483="EXTERNO","(Externo)",IFERROR(INDEX(ENT_NOME,MATCH($J483,ENT_ID,0)),"?")))</f>
        <v/>
      </c>
      <c r="AB483" s="36" t="n">
        <f aca="false">IF($B483="",0,IF(AND($I483="CONTA",$G483&lt;&gt;"CONTA"),$F483,0))</f>
        <v>0</v>
      </c>
      <c r="AC483" s="36" t="n">
        <f aca="false">IF($B483="",0,IF(AND($G483="CONTA",$I483&lt;&gt;"CONTA"),$F483,0))</f>
        <v>0</v>
      </c>
      <c r="AD483" s="36" t="n">
        <f aca="false">IF($W483="RECEITA",$F483,0)</f>
        <v>0</v>
      </c>
      <c r="AE483" s="36" t="n">
        <f aca="false">IF($W483="DESPESA",$F483,0)</f>
        <v>0</v>
      </c>
      <c r="AF483" s="36" t="n">
        <f aca="false">IF($W483="RECEITA_FINANCEIRA",$F483,0)</f>
        <v>0</v>
      </c>
      <c r="AG483" s="36" t="n">
        <f aca="false">IF($B483="",0,IF($I483="CONTA",$F483,0)-IF($G483="CONTA",$F483,0))</f>
        <v>0</v>
      </c>
      <c r="AH483" s="36" t="n">
        <f aca="false">IF($B483="",0,IF($G483="CARTAO",$F483,0)-IF($I483="CARTAO",$F483,0))</f>
        <v>0</v>
      </c>
      <c r="AI483" s="36" t="n">
        <f aca="false">IF($B483="",0,IF($I483="INVESTIMENTO",$F483,0)-IF($G483="INVESTIMENTO",$F483,0))</f>
        <v>0</v>
      </c>
      <c r="AJ483" s="35" t="str">
        <f aca="false">IF($B483="","",IF(NOT(ISNUMBER($F483)),"ERRO: valor nao numerico",IF($F483&lt;=0,"ERRO: valor deve ser maior que zero",IF(COUNTIF(MAP_TIPO,$D483)=0,"ERRO: tipo de operacao nao cadastrado",IF(COUNTIF(LST_STATUS,$E483)=0,"ERRO: status invalido",IF(AND($G483="EXTERNO",$I483="EXTERNO"),"ERRO: origem e destino externos",IF(AND($G483&lt;&gt;"EXTERNO",COUNTIFS(ENT_ID,$H483,ENT_TIPO,$G483)=0),"ERRO: origem inexistente",IF(AND($I483&lt;&gt;"EXTERNO",COUNTIFS(ENT_ID,$J483,ENT_TIPO,$I483)=0),"ERRO: destino inexistente",IF(AND($K483&lt;&gt;"",COUNTIF(CAT_ID,$K483)=0),"ERRO: categoria inexistente",IF(AND($L483&lt;&gt;"",COUNTIF(SUB_ID,$L483)=0),"ERRO: subcategoria inexistente",IF(AND($L483&lt;&gt;"",$K483&lt;&gt;"",IFERROR(INDEX(SUB_CATID,MATCH($L483,SUB_ID,0)),"")&lt;&gt;$K483),"ERRO: subcategoria nao pertence a categoria",IF(AND($O483&lt;&gt;"",COUNTIF(P_ID,$O483)=0),"ERRO: parcela inexistente",IF(AND($N483&lt;&gt;"",COUNTIF(CM_ID,$N483)=0),"ERRO: compromisso inexistente","OK")))))))))))))</f>
        <v/>
      </c>
      <c r="AK483" s="35" t="str">
        <f aca="false">IF($B483="","",IF(AND($N483="",$O483="",$P483="",$Q483="",$R483=""),"","VINCULADO: "&amp;TRIM(IF($N483&lt;&gt;"",$N483&amp;" ","")&amp;IF($O483&lt;&gt;"",$O483&amp;" ","")&amp;IF($P483&lt;&gt;"",$P483&amp;" ","")&amp;IF($Q483&lt;&gt;"",$Q483&amp;" ","")&amp;IF($R483&lt;&gt;"",$R483,""))))</f>
        <v/>
      </c>
    </row>
    <row r="484" customFormat="false" ht="15" hidden="false" customHeight="false" outlineLevel="0" collapsed="false">
      <c r="A484" s="30" t="str">
        <f aca="false">IF($B484="","","LAN-"&amp;TEXT(ROW()-4,"000000"))</f>
        <v/>
      </c>
      <c r="B484" s="31"/>
      <c r="C484" s="32"/>
      <c r="D484" s="32"/>
      <c r="E484" s="32"/>
      <c r="F484" s="33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4" t="str">
        <f aca="false">IF($B484="","",YEAR($B484))</f>
        <v/>
      </c>
      <c r="U484" s="34" t="str">
        <f aca="false">IF($B484="","",MONTH($B484))</f>
        <v/>
      </c>
      <c r="V484" s="34" t="str">
        <f aca="false">IF($B484="","",YEAR($B484)*100+MONTH($B484))</f>
        <v/>
      </c>
      <c r="W484" s="35" t="str">
        <f aca="false">IF($D484="","",IFERROR(INDEX(MAP_CLASS,MATCH($D484,MAP_TIPO,0)),"TIPO INVALIDO"))</f>
        <v/>
      </c>
      <c r="X484" s="35" t="str">
        <f aca="false">IF($K484="","",IFERROR(INDEX(CAT_NOME,MATCH($K484,CAT_ID,0)),"?"))</f>
        <v/>
      </c>
      <c r="Y484" s="35" t="str">
        <f aca="false">IF($L484="","",IFERROR(INDEX(SUB_NOME,MATCH($L484,SUB_ID,0)),"?"))</f>
        <v/>
      </c>
      <c r="Z484" s="35" t="str">
        <f aca="false">IF($G484="","",IF($G484="EXTERNO","(Externo)",IFERROR(INDEX(ENT_NOME,MATCH($H484,ENT_ID,0)),"?")))</f>
        <v/>
      </c>
      <c r="AA484" s="35" t="str">
        <f aca="false">IF($I484="","",IF($I484="EXTERNO","(Externo)",IFERROR(INDEX(ENT_NOME,MATCH($J484,ENT_ID,0)),"?")))</f>
        <v/>
      </c>
      <c r="AB484" s="36" t="n">
        <f aca="false">IF($B484="",0,IF(AND($I484="CONTA",$G484&lt;&gt;"CONTA"),$F484,0))</f>
        <v>0</v>
      </c>
      <c r="AC484" s="36" t="n">
        <f aca="false">IF($B484="",0,IF(AND($G484="CONTA",$I484&lt;&gt;"CONTA"),$F484,0))</f>
        <v>0</v>
      </c>
      <c r="AD484" s="36" t="n">
        <f aca="false">IF($W484="RECEITA",$F484,0)</f>
        <v>0</v>
      </c>
      <c r="AE484" s="36" t="n">
        <f aca="false">IF($W484="DESPESA",$F484,0)</f>
        <v>0</v>
      </c>
      <c r="AF484" s="36" t="n">
        <f aca="false">IF($W484="RECEITA_FINANCEIRA",$F484,0)</f>
        <v>0</v>
      </c>
      <c r="AG484" s="36" t="n">
        <f aca="false">IF($B484="",0,IF($I484="CONTA",$F484,0)-IF($G484="CONTA",$F484,0))</f>
        <v>0</v>
      </c>
      <c r="AH484" s="36" t="n">
        <f aca="false">IF($B484="",0,IF($G484="CARTAO",$F484,0)-IF($I484="CARTAO",$F484,0))</f>
        <v>0</v>
      </c>
      <c r="AI484" s="36" t="n">
        <f aca="false">IF($B484="",0,IF($I484="INVESTIMENTO",$F484,0)-IF($G484="INVESTIMENTO",$F484,0))</f>
        <v>0</v>
      </c>
      <c r="AJ484" s="35" t="str">
        <f aca="false">IF($B484="","",IF(NOT(ISNUMBER($F484)),"ERRO: valor nao numerico",IF($F484&lt;=0,"ERRO: valor deve ser maior que zero",IF(COUNTIF(MAP_TIPO,$D484)=0,"ERRO: tipo de operacao nao cadastrado",IF(COUNTIF(LST_STATUS,$E484)=0,"ERRO: status invalido",IF(AND($G484="EXTERNO",$I484="EXTERNO"),"ERRO: origem e destino externos",IF(AND($G484&lt;&gt;"EXTERNO",COUNTIFS(ENT_ID,$H484,ENT_TIPO,$G484)=0),"ERRO: origem inexistente",IF(AND($I484&lt;&gt;"EXTERNO",COUNTIFS(ENT_ID,$J484,ENT_TIPO,$I484)=0),"ERRO: destino inexistente",IF(AND($K484&lt;&gt;"",COUNTIF(CAT_ID,$K484)=0),"ERRO: categoria inexistente",IF(AND($L484&lt;&gt;"",COUNTIF(SUB_ID,$L484)=0),"ERRO: subcategoria inexistente",IF(AND($L484&lt;&gt;"",$K484&lt;&gt;"",IFERROR(INDEX(SUB_CATID,MATCH($L484,SUB_ID,0)),"")&lt;&gt;$K484),"ERRO: subcategoria nao pertence a categoria",IF(AND($O484&lt;&gt;"",COUNTIF(P_ID,$O484)=0),"ERRO: parcela inexistente",IF(AND($N484&lt;&gt;"",COUNTIF(CM_ID,$N484)=0),"ERRO: compromisso inexistente","OK")))))))))))))</f>
        <v/>
      </c>
      <c r="AK484" s="35" t="str">
        <f aca="false">IF($B484="","",IF(AND($N484="",$O484="",$P484="",$Q484="",$R484=""),"","VINCULADO: "&amp;TRIM(IF($N484&lt;&gt;"",$N484&amp;" ","")&amp;IF($O484&lt;&gt;"",$O484&amp;" ","")&amp;IF($P484&lt;&gt;"",$P484&amp;" ","")&amp;IF($Q484&lt;&gt;"",$Q484&amp;" ","")&amp;IF($R484&lt;&gt;"",$R484,""))))</f>
        <v/>
      </c>
    </row>
    <row r="485" customFormat="false" ht="15" hidden="false" customHeight="false" outlineLevel="0" collapsed="false">
      <c r="A485" s="30" t="str">
        <f aca="false">IF($B485="","","LAN-"&amp;TEXT(ROW()-4,"000000"))</f>
        <v/>
      </c>
      <c r="B485" s="31"/>
      <c r="C485" s="32"/>
      <c r="D485" s="32"/>
      <c r="E485" s="32"/>
      <c r="F485" s="33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4" t="str">
        <f aca="false">IF($B485="","",YEAR($B485))</f>
        <v/>
      </c>
      <c r="U485" s="34" t="str">
        <f aca="false">IF($B485="","",MONTH($B485))</f>
        <v/>
      </c>
      <c r="V485" s="34" t="str">
        <f aca="false">IF($B485="","",YEAR($B485)*100+MONTH($B485))</f>
        <v/>
      </c>
      <c r="W485" s="35" t="str">
        <f aca="false">IF($D485="","",IFERROR(INDEX(MAP_CLASS,MATCH($D485,MAP_TIPO,0)),"TIPO INVALIDO"))</f>
        <v/>
      </c>
      <c r="X485" s="35" t="str">
        <f aca="false">IF($K485="","",IFERROR(INDEX(CAT_NOME,MATCH($K485,CAT_ID,0)),"?"))</f>
        <v/>
      </c>
      <c r="Y485" s="35" t="str">
        <f aca="false">IF($L485="","",IFERROR(INDEX(SUB_NOME,MATCH($L485,SUB_ID,0)),"?"))</f>
        <v/>
      </c>
      <c r="Z485" s="35" t="str">
        <f aca="false">IF($G485="","",IF($G485="EXTERNO","(Externo)",IFERROR(INDEX(ENT_NOME,MATCH($H485,ENT_ID,0)),"?")))</f>
        <v/>
      </c>
      <c r="AA485" s="35" t="str">
        <f aca="false">IF($I485="","",IF($I485="EXTERNO","(Externo)",IFERROR(INDEX(ENT_NOME,MATCH($J485,ENT_ID,0)),"?")))</f>
        <v/>
      </c>
      <c r="AB485" s="36" t="n">
        <f aca="false">IF($B485="",0,IF(AND($I485="CONTA",$G485&lt;&gt;"CONTA"),$F485,0))</f>
        <v>0</v>
      </c>
      <c r="AC485" s="36" t="n">
        <f aca="false">IF($B485="",0,IF(AND($G485="CONTA",$I485&lt;&gt;"CONTA"),$F485,0))</f>
        <v>0</v>
      </c>
      <c r="AD485" s="36" t="n">
        <f aca="false">IF($W485="RECEITA",$F485,0)</f>
        <v>0</v>
      </c>
      <c r="AE485" s="36" t="n">
        <f aca="false">IF($W485="DESPESA",$F485,0)</f>
        <v>0</v>
      </c>
      <c r="AF485" s="36" t="n">
        <f aca="false">IF($W485="RECEITA_FINANCEIRA",$F485,0)</f>
        <v>0</v>
      </c>
      <c r="AG485" s="36" t="n">
        <f aca="false">IF($B485="",0,IF($I485="CONTA",$F485,0)-IF($G485="CONTA",$F485,0))</f>
        <v>0</v>
      </c>
      <c r="AH485" s="36" t="n">
        <f aca="false">IF($B485="",0,IF($G485="CARTAO",$F485,0)-IF($I485="CARTAO",$F485,0))</f>
        <v>0</v>
      </c>
      <c r="AI485" s="36" t="n">
        <f aca="false">IF($B485="",0,IF($I485="INVESTIMENTO",$F485,0)-IF($G485="INVESTIMENTO",$F485,0))</f>
        <v>0</v>
      </c>
      <c r="AJ485" s="35" t="str">
        <f aca="false">IF($B485="","",IF(NOT(ISNUMBER($F485)),"ERRO: valor nao numerico",IF($F485&lt;=0,"ERRO: valor deve ser maior que zero",IF(COUNTIF(MAP_TIPO,$D485)=0,"ERRO: tipo de operacao nao cadastrado",IF(COUNTIF(LST_STATUS,$E485)=0,"ERRO: status invalido",IF(AND($G485="EXTERNO",$I485="EXTERNO"),"ERRO: origem e destino externos",IF(AND($G485&lt;&gt;"EXTERNO",COUNTIFS(ENT_ID,$H485,ENT_TIPO,$G485)=0),"ERRO: origem inexistente",IF(AND($I485&lt;&gt;"EXTERNO",COUNTIFS(ENT_ID,$J485,ENT_TIPO,$I485)=0),"ERRO: destino inexistente",IF(AND($K485&lt;&gt;"",COUNTIF(CAT_ID,$K485)=0),"ERRO: categoria inexistente",IF(AND($L485&lt;&gt;"",COUNTIF(SUB_ID,$L485)=0),"ERRO: subcategoria inexistente",IF(AND($L485&lt;&gt;"",$K485&lt;&gt;"",IFERROR(INDEX(SUB_CATID,MATCH($L485,SUB_ID,0)),"")&lt;&gt;$K485),"ERRO: subcategoria nao pertence a categoria",IF(AND($O485&lt;&gt;"",COUNTIF(P_ID,$O485)=0),"ERRO: parcela inexistente",IF(AND($N485&lt;&gt;"",COUNTIF(CM_ID,$N485)=0),"ERRO: compromisso inexistente","OK")))))))))))))</f>
        <v/>
      </c>
      <c r="AK485" s="35" t="str">
        <f aca="false">IF($B485="","",IF(AND($N485="",$O485="",$P485="",$Q485="",$R485=""),"","VINCULADO: "&amp;TRIM(IF($N485&lt;&gt;"",$N485&amp;" ","")&amp;IF($O485&lt;&gt;"",$O485&amp;" ","")&amp;IF($P485&lt;&gt;"",$P485&amp;" ","")&amp;IF($Q485&lt;&gt;"",$Q485&amp;" ","")&amp;IF($R485&lt;&gt;"",$R485,""))))</f>
        <v/>
      </c>
    </row>
    <row r="486" customFormat="false" ht="15" hidden="false" customHeight="false" outlineLevel="0" collapsed="false">
      <c r="A486" s="30" t="str">
        <f aca="false">IF($B486="","","LAN-"&amp;TEXT(ROW()-4,"000000"))</f>
        <v/>
      </c>
      <c r="B486" s="31"/>
      <c r="C486" s="32"/>
      <c r="D486" s="32"/>
      <c r="E486" s="32"/>
      <c r="F486" s="33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4" t="str">
        <f aca="false">IF($B486="","",YEAR($B486))</f>
        <v/>
      </c>
      <c r="U486" s="34" t="str">
        <f aca="false">IF($B486="","",MONTH($B486))</f>
        <v/>
      </c>
      <c r="V486" s="34" t="str">
        <f aca="false">IF($B486="","",YEAR($B486)*100+MONTH($B486))</f>
        <v/>
      </c>
      <c r="W486" s="35" t="str">
        <f aca="false">IF($D486="","",IFERROR(INDEX(MAP_CLASS,MATCH($D486,MAP_TIPO,0)),"TIPO INVALIDO"))</f>
        <v/>
      </c>
      <c r="X486" s="35" t="str">
        <f aca="false">IF($K486="","",IFERROR(INDEX(CAT_NOME,MATCH($K486,CAT_ID,0)),"?"))</f>
        <v/>
      </c>
      <c r="Y486" s="35" t="str">
        <f aca="false">IF($L486="","",IFERROR(INDEX(SUB_NOME,MATCH($L486,SUB_ID,0)),"?"))</f>
        <v/>
      </c>
      <c r="Z486" s="35" t="str">
        <f aca="false">IF($G486="","",IF($G486="EXTERNO","(Externo)",IFERROR(INDEX(ENT_NOME,MATCH($H486,ENT_ID,0)),"?")))</f>
        <v/>
      </c>
      <c r="AA486" s="35" t="str">
        <f aca="false">IF($I486="","",IF($I486="EXTERNO","(Externo)",IFERROR(INDEX(ENT_NOME,MATCH($J486,ENT_ID,0)),"?")))</f>
        <v/>
      </c>
      <c r="AB486" s="36" t="n">
        <f aca="false">IF($B486="",0,IF(AND($I486="CONTA",$G486&lt;&gt;"CONTA"),$F486,0))</f>
        <v>0</v>
      </c>
      <c r="AC486" s="36" t="n">
        <f aca="false">IF($B486="",0,IF(AND($G486="CONTA",$I486&lt;&gt;"CONTA"),$F486,0))</f>
        <v>0</v>
      </c>
      <c r="AD486" s="36" t="n">
        <f aca="false">IF($W486="RECEITA",$F486,0)</f>
        <v>0</v>
      </c>
      <c r="AE486" s="36" t="n">
        <f aca="false">IF($W486="DESPESA",$F486,0)</f>
        <v>0</v>
      </c>
      <c r="AF486" s="36" t="n">
        <f aca="false">IF($W486="RECEITA_FINANCEIRA",$F486,0)</f>
        <v>0</v>
      </c>
      <c r="AG486" s="36" t="n">
        <f aca="false">IF($B486="",0,IF($I486="CONTA",$F486,0)-IF($G486="CONTA",$F486,0))</f>
        <v>0</v>
      </c>
      <c r="AH486" s="36" t="n">
        <f aca="false">IF($B486="",0,IF($G486="CARTAO",$F486,0)-IF($I486="CARTAO",$F486,0))</f>
        <v>0</v>
      </c>
      <c r="AI486" s="36" t="n">
        <f aca="false">IF($B486="",0,IF($I486="INVESTIMENTO",$F486,0)-IF($G486="INVESTIMENTO",$F486,0))</f>
        <v>0</v>
      </c>
      <c r="AJ486" s="35" t="str">
        <f aca="false">IF($B486="","",IF(NOT(ISNUMBER($F486)),"ERRO: valor nao numerico",IF($F486&lt;=0,"ERRO: valor deve ser maior que zero",IF(COUNTIF(MAP_TIPO,$D486)=0,"ERRO: tipo de operacao nao cadastrado",IF(COUNTIF(LST_STATUS,$E486)=0,"ERRO: status invalido",IF(AND($G486="EXTERNO",$I486="EXTERNO"),"ERRO: origem e destino externos",IF(AND($G486&lt;&gt;"EXTERNO",COUNTIFS(ENT_ID,$H486,ENT_TIPO,$G486)=0),"ERRO: origem inexistente",IF(AND($I486&lt;&gt;"EXTERNO",COUNTIFS(ENT_ID,$J486,ENT_TIPO,$I486)=0),"ERRO: destino inexistente",IF(AND($K486&lt;&gt;"",COUNTIF(CAT_ID,$K486)=0),"ERRO: categoria inexistente",IF(AND($L486&lt;&gt;"",COUNTIF(SUB_ID,$L486)=0),"ERRO: subcategoria inexistente",IF(AND($L486&lt;&gt;"",$K486&lt;&gt;"",IFERROR(INDEX(SUB_CATID,MATCH($L486,SUB_ID,0)),"")&lt;&gt;$K486),"ERRO: subcategoria nao pertence a categoria",IF(AND($O486&lt;&gt;"",COUNTIF(P_ID,$O486)=0),"ERRO: parcela inexistente",IF(AND($N486&lt;&gt;"",COUNTIF(CM_ID,$N486)=0),"ERRO: compromisso inexistente","OK")))))))))))))</f>
        <v/>
      </c>
      <c r="AK486" s="35" t="str">
        <f aca="false">IF($B486="","",IF(AND($N486="",$O486="",$P486="",$Q486="",$R486=""),"","VINCULADO: "&amp;TRIM(IF($N486&lt;&gt;"",$N486&amp;" ","")&amp;IF($O486&lt;&gt;"",$O486&amp;" ","")&amp;IF($P486&lt;&gt;"",$P486&amp;" ","")&amp;IF($Q486&lt;&gt;"",$Q486&amp;" ","")&amp;IF($R486&lt;&gt;"",$R486,""))))</f>
        <v/>
      </c>
    </row>
    <row r="487" customFormat="false" ht="15" hidden="false" customHeight="false" outlineLevel="0" collapsed="false">
      <c r="A487" s="30" t="str">
        <f aca="false">IF($B487="","","LAN-"&amp;TEXT(ROW()-4,"000000"))</f>
        <v/>
      </c>
      <c r="B487" s="31"/>
      <c r="C487" s="32"/>
      <c r="D487" s="32"/>
      <c r="E487" s="32"/>
      <c r="F487" s="33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4" t="str">
        <f aca="false">IF($B487="","",YEAR($B487))</f>
        <v/>
      </c>
      <c r="U487" s="34" t="str">
        <f aca="false">IF($B487="","",MONTH($B487))</f>
        <v/>
      </c>
      <c r="V487" s="34" t="str">
        <f aca="false">IF($B487="","",YEAR($B487)*100+MONTH($B487))</f>
        <v/>
      </c>
      <c r="W487" s="35" t="str">
        <f aca="false">IF($D487="","",IFERROR(INDEX(MAP_CLASS,MATCH($D487,MAP_TIPO,0)),"TIPO INVALIDO"))</f>
        <v/>
      </c>
      <c r="X487" s="35" t="str">
        <f aca="false">IF($K487="","",IFERROR(INDEX(CAT_NOME,MATCH($K487,CAT_ID,0)),"?"))</f>
        <v/>
      </c>
      <c r="Y487" s="35" t="str">
        <f aca="false">IF($L487="","",IFERROR(INDEX(SUB_NOME,MATCH($L487,SUB_ID,0)),"?"))</f>
        <v/>
      </c>
      <c r="Z487" s="35" t="str">
        <f aca="false">IF($G487="","",IF($G487="EXTERNO","(Externo)",IFERROR(INDEX(ENT_NOME,MATCH($H487,ENT_ID,0)),"?")))</f>
        <v/>
      </c>
      <c r="AA487" s="35" t="str">
        <f aca="false">IF($I487="","",IF($I487="EXTERNO","(Externo)",IFERROR(INDEX(ENT_NOME,MATCH($J487,ENT_ID,0)),"?")))</f>
        <v/>
      </c>
      <c r="AB487" s="36" t="n">
        <f aca="false">IF($B487="",0,IF(AND($I487="CONTA",$G487&lt;&gt;"CONTA"),$F487,0))</f>
        <v>0</v>
      </c>
      <c r="AC487" s="36" t="n">
        <f aca="false">IF($B487="",0,IF(AND($G487="CONTA",$I487&lt;&gt;"CONTA"),$F487,0))</f>
        <v>0</v>
      </c>
      <c r="AD487" s="36" t="n">
        <f aca="false">IF($W487="RECEITA",$F487,0)</f>
        <v>0</v>
      </c>
      <c r="AE487" s="36" t="n">
        <f aca="false">IF($W487="DESPESA",$F487,0)</f>
        <v>0</v>
      </c>
      <c r="AF487" s="36" t="n">
        <f aca="false">IF($W487="RECEITA_FINANCEIRA",$F487,0)</f>
        <v>0</v>
      </c>
      <c r="AG487" s="36" t="n">
        <f aca="false">IF($B487="",0,IF($I487="CONTA",$F487,0)-IF($G487="CONTA",$F487,0))</f>
        <v>0</v>
      </c>
      <c r="AH487" s="36" t="n">
        <f aca="false">IF($B487="",0,IF($G487="CARTAO",$F487,0)-IF($I487="CARTAO",$F487,0))</f>
        <v>0</v>
      </c>
      <c r="AI487" s="36" t="n">
        <f aca="false">IF($B487="",0,IF($I487="INVESTIMENTO",$F487,0)-IF($G487="INVESTIMENTO",$F487,0))</f>
        <v>0</v>
      </c>
      <c r="AJ487" s="35" t="str">
        <f aca="false">IF($B487="","",IF(NOT(ISNUMBER($F487)),"ERRO: valor nao numerico",IF($F487&lt;=0,"ERRO: valor deve ser maior que zero",IF(COUNTIF(MAP_TIPO,$D487)=0,"ERRO: tipo de operacao nao cadastrado",IF(COUNTIF(LST_STATUS,$E487)=0,"ERRO: status invalido",IF(AND($G487="EXTERNO",$I487="EXTERNO"),"ERRO: origem e destino externos",IF(AND($G487&lt;&gt;"EXTERNO",COUNTIFS(ENT_ID,$H487,ENT_TIPO,$G487)=0),"ERRO: origem inexistente",IF(AND($I487&lt;&gt;"EXTERNO",COUNTIFS(ENT_ID,$J487,ENT_TIPO,$I487)=0),"ERRO: destino inexistente",IF(AND($K487&lt;&gt;"",COUNTIF(CAT_ID,$K487)=0),"ERRO: categoria inexistente",IF(AND($L487&lt;&gt;"",COUNTIF(SUB_ID,$L487)=0),"ERRO: subcategoria inexistente",IF(AND($L487&lt;&gt;"",$K487&lt;&gt;"",IFERROR(INDEX(SUB_CATID,MATCH($L487,SUB_ID,0)),"")&lt;&gt;$K487),"ERRO: subcategoria nao pertence a categoria",IF(AND($O487&lt;&gt;"",COUNTIF(P_ID,$O487)=0),"ERRO: parcela inexistente",IF(AND($N487&lt;&gt;"",COUNTIF(CM_ID,$N487)=0),"ERRO: compromisso inexistente","OK")))))))))))))</f>
        <v/>
      </c>
      <c r="AK487" s="35" t="str">
        <f aca="false">IF($B487="","",IF(AND($N487="",$O487="",$P487="",$Q487="",$R487=""),"","VINCULADO: "&amp;TRIM(IF($N487&lt;&gt;"",$N487&amp;" ","")&amp;IF($O487&lt;&gt;"",$O487&amp;" ","")&amp;IF($P487&lt;&gt;"",$P487&amp;" ","")&amp;IF($Q487&lt;&gt;"",$Q487&amp;" ","")&amp;IF($R487&lt;&gt;"",$R487,""))))</f>
        <v/>
      </c>
    </row>
    <row r="488" customFormat="false" ht="15" hidden="false" customHeight="false" outlineLevel="0" collapsed="false">
      <c r="A488" s="30" t="str">
        <f aca="false">IF($B488="","","LAN-"&amp;TEXT(ROW()-4,"000000"))</f>
        <v/>
      </c>
      <c r="B488" s="31"/>
      <c r="C488" s="32"/>
      <c r="D488" s="32"/>
      <c r="E488" s="32"/>
      <c r="F488" s="33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4" t="str">
        <f aca="false">IF($B488="","",YEAR($B488))</f>
        <v/>
      </c>
      <c r="U488" s="34" t="str">
        <f aca="false">IF($B488="","",MONTH($B488))</f>
        <v/>
      </c>
      <c r="V488" s="34" t="str">
        <f aca="false">IF($B488="","",YEAR($B488)*100+MONTH($B488))</f>
        <v/>
      </c>
      <c r="W488" s="35" t="str">
        <f aca="false">IF($D488="","",IFERROR(INDEX(MAP_CLASS,MATCH($D488,MAP_TIPO,0)),"TIPO INVALIDO"))</f>
        <v/>
      </c>
      <c r="X488" s="35" t="str">
        <f aca="false">IF($K488="","",IFERROR(INDEX(CAT_NOME,MATCH($K488,CAT_ID,0)),"?"))</f>
        <v/>
      </c>
      <c r="Y488" s="35" t="str">
        <f aca="false">IF($L488="","",IFERROR(INDEX(SUB_NOME,MATCH($L488,SUB_ID,0)),"?"))</f>
        <v/>
      </c>
      <c r="Z488" s="35" t="str">
        <f aca="false">IF($G488="","",IF($G488="EXTERNO","(Externo)",IFERROR(INDEX(ENT_NOME,MATCH($H488,ENT_ID,0)),"?")))</f>
        <v/>
      </c>
      <c r="AA488" s="35" t="str">
        <f aca="false">IF($I488="","",IF($I488="EXTERNO","(Externo)",IFERROR(INDEX(ENT_NOME,MATCH($J488,ENT_ID,0)),"?")))</f>
        <v/>
      </c>
      <c r="AB488" s="36" t="n">
        <f aca="false">IF($B488="",0,IF(AND($I488="CONTA",$G488&lt;&gt;"CONTA"),$F488,0))</f>
        <v>0</v>
      </c>
      <c r="AC488" s="36" t="n">
        <f aca="false">IF($B488="",0,IF(AND($G488="CONTA",$I488&lt;&gt;"CONTA"),$F488,0))</f>
        <v>0</v>
      </c>
      <c r="AD488" s="36" t="n">
        <f aca="false">IF($W488="RECEITA",$F488,0)</f>
        <v>0</v>
      </c>
      <c r="AE488" s="36" t="n">
        <f aca="false">IF($W488="DESPESA",$F488,0)</f>
        <v>0</v>
      </c>
      <c r="AF488" s="36" t="n">
        <f aca="false">IF($W488="RECEITA_FINANCEIRA",$F488,0)</f>
        <v>0</v>
      </c>
      <c r="AG488" s="36" t="n">
        <f aca="false">IF($B488="",0,IF($I488="CONTA",$F488,0)-IF($G488="CONTA",$F488,0))</f>
        <v>0</v>
      </c>
      <c r="AH488" s="36" t="n">
        <f aca="false">IF($B488="",0,IF($G488="CARTAO",$F488,0)-IF($I488="CARTAO",$F488,0))</f>
        <v>0</v>
      </c>
      <c r="AI488" s="36" t="n">
        <f aca="false">IF($B488="",0,IF($I488="INVESTIMENTO",$F488,0)-IF($G488="INVESTIMENTO",$F488,0))</f>
        <v>0</v>
      </c>
      <c r="AJ488" s="35" t="str">
        <f aca="false">IF($B488="","",IF(NOT(ISNUMBER($F488)),"ERRO: valor nao numerico",IF($F488&lt;=0,"ERRO: valor deve ser maior que zero",IF(COUNTIF(MAP_TIPO,$D488)=0,"ERRO: tipo de operacao nao cadastrado",IF(COUNTIF(LST_STATUS,$E488)=0,"ERRO: status invalido",IF(AND($G488="EXTERNO",$I488="EXTERNO"),"ERRO: origem e destino externos",IF(AND($G488&lt;&gt;"EXTERNO",COUNTIFS(ENT_ID,$H488,ENT_TIPO,$G488)=0),"ERRO: origem inexistente",IF(AND($I488&lt;&gt;"EXTERNO",COUNTIFS(ENT_ID,$J488,ENT_TIPO,$I488)=0),"ERRO: destino inexistente",IF(AND($K488&lt;&gt;"",COUNTIF(CAT_ID,$K488)=0),"ERRO: categoria inexistente",IF(AND($L488&lt;&gt;"",COUNTIF(SUB_ID,$L488)=0),"ERRO: subcategoria inexistente",IF(AND($L488&lt;&gt;"",$K488&lt;&gt;"",IFERROR(INDEX(SUB_CATID,MATCH($L488,SUB_ID,0)),"")&lt;&gt;$K488),"ERRO: subcategoria nao pertence a categoria",IF(AND($O488&lt;&gt;"",COUNTIF(P_ID,$O488)=0),"ERRO: parcela inexistente",IF(AND($N488&lt;&gt;"",COUNTIF(CM_ID,$N488)=0),"ERRO: compromisso inexistente","OK")))))))))))))</f>
        <v/>
      </c>
      <c r="AK488" s="35" t="str">
        <f aca="false">IF($B488="","",IF(AND($N488="",$O488="",$P488="",$Q488="",$R488=""),"","VINCULADO: "&amp;TRIM(IF($N488&lt;&gt;"",$N488&amp;" ","")&amp;IF($O488&lt;&gt;"",$O488&amp;" ","")&amp;IF($P488&lt;&gt;"",$P488&amp;" ","")&amp;IF($Q488&lt;&gt;"",$Q488&amp;" ","")&amp;IF($R488&lt;&gt;"",$R488,""))))</f>
        <v/>
      </c>
    </row>
    <row r="489" customFormat="false" ht="15" hidden="false" customHeight="false" outlineLevel="0" collapsed="false">
      <c r="A489" s="30" t="str">
        <f aca="false">IF($B489="","","LAN-"&amp;TEXT(ROW()-4,"000000"))</f>
        <v/>
      </c>
      <c r="B489" s="31"/>
      <c r="C489" s="32"/>
      <c r="D489" s="32"/>
      <c r="E489" s="32"/>
      <c r="F489" s="33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4" t="str">
        <f aca="false">IF($B489="","",YEAR($B489))</f>
        <v/>
      </c>
      <c r="U489" s="34" t="str">
        <f aca="false">IF($B489="","",MONTH($B489))</f>
        <v/>
      </c>
      <c r="V489" s="34" t="str">
        <f aca="false">IF($B489="","",YEAR($B489)*100+MONTH($B489))</f>
        <v/>
      </c>
      <c r="W489" s="35" t="str">
        <f aca="false">IF($D489="","",IFERROR(INDEX(MAP_CLASS,MATCH($D489,MAP_TIPO,0)),"TIPO INVALIDO"))</f>
        <v/>
      </c>
      <c r="X489" s="35" t="str">
        <f aca="false">IF($K489="","",IFERROR(INDEX(CAT_NOME,MATCH($K489,CAT_ID,0)),"?"))</f>
        <v/>
      </c>
      <c r="Y489" s="35" t="str">
        <f aca="false">IF($L489="","",IFERROR(INDEX(SUB_NOME,MATCH($L489,SUB_ID,0)),"?"))</f>
        <v/>
      </c>
      <c r="Z489" s="35" t="str">
        <f aca="false">IF($G489="","",IF($G489="EXTERNO","(Externo)",IFERROR(INDEX(ENT_NOME,MATCH($H489,ENT_ID,0)),"?")))</f>
        <v/>
      </c>
      <c r="AA489" s="35" t="str">
        <f aca="false">IF($I489="","",IF($I489="EXTERNO","(Externo)",IFERROR(INDEX(ENT_NOME,MATCH($J489,ENT_ID,0)),"?")))</f>
        <v/>
      </c>
      <c r="AB489" s="36" t="n">
        <f aca="false">IF($B489="",0,IF(AND($I489="CONTA",$G489&lt;&gt;"CONTA"),$F489,0))</f>
        <v>0</v>
      </c>
      <c r="AC489" s="36" t="n">
        <f aca="false">IF($B489="",0,IF(AND($G489="CONTA",$I489&lt;&gt;"CONTA"),$F489,0))</f>
        <v>0</v>
      </c>
      <c r="AD489" s="36" t="n">
        <f aca="false">IF($W489="RECEITA",$F489,0)</f>
        <v>0</v>
      </c>
      <c r="AE489" s="36" t="n">
        <f aca="false">IF($W489="DESPESA",$F489,0)</f>
        <v>0</v>
      </c>
      <c r="AF489" s="36" t="n">
        <f aca="false">IF($W489="RECEITA_FINANCEIRA",$F489,0)</f>
        <v>0</v>
      </c>
      <c r="AG489" s="36" t="n">
        <f aca="false">IF($B489="",0,IF($I489="CONTA",$F489,0)-IF($G489="CONTA",$F489,0))</f>
        <v>0</v>
      </c>
      <c r="AH489" s="36" t="n">
        <f aca="false">IF($B489="",0,IF($G489="CARTAO",$F489,0)-IF($I489="CARTAO",$F489,0))</f>
        <v>0</v>
      </c>
      <c r="AI489" s="36" t="n">
        <f aca="false">IF($B489="",0,IF($I489="INVESTIMENTO",$F489,0)-IF($G489="INVESTIMENTO",$F489,0))</f>
        <v>0</v>
      </c>
      <c r="AJ489" s="35" t="str">
        <f aca="false">IF($B489="","",IF(NOT(ISNUMBER($F489)),"ERRO: valor nao numerico",IF($F489&lt;=0,"ERRO: valor deve ser maior que zero",IF(COUNTIF(MAP_TIPO,$D489)=0,"ERRO: tipo de operacao nao cadastrado",IF(COUNTIF(LST_STATUS,$E489)=0,"ERRO: status invalido",IF(AND($G489="EXTERNO",$I489="EXTERNO"),"ERRO: origem e destino externos",IF(AND($G489&lt;&gt;"EXTERNO",COUNTIFS(ENT_ID,$H489,ENT_TIPO,$G489)=0),"ERRO: origem inexistente",IF(AND($I489&lt;&gt;"EXTERNO",COUNTIFS(ENT_ID,$J489,ENT_TIPO,$I489)=0),"ERRO: destino inexistente",IF(AND($K489&lt;&gt;"",COUNTIF(CAT_ID,$K489)=0),"ERRO: categoria inexistente",IF(AND($L489&lt;&gt;"",COUNTIF(SUB_ID,$L489)=0),"ERRO: subcategoria inexistente",IF(AND($L489&lt;&gt;"",$K489&lt;&gt;"",IFERROR(INDEX(SUB_CATID,MATCH($L489,SUB_ID,0)),"")&lt;&gt;$K489),"ERRO: subcategoria nao pertence a categoria",IF(AND($O489&lt;&gt;"",COUNTIF(P_ID,$O489)=0),"ERRO: parcela inexistente",IF(AND($N489&lt;&gt;"",COUNTIF(CM_ID,$N489)=0),"ERRO: compromisso inexistente","OK")))))))))))))</f>
        <v/>
      </c>
      <c r="AK489" s="35" t="str">
        <f aca="false">IF($B489="","",IF(AND($N489="",$O489="",$P489="",$Q489="",$R489=""),"","VINCULADO: "&amp;TRIM(IF($N489&lt;&gt;"",$N489&amp;" ","")&amp;IF($O489&lt;&gt;"",$O489&amp;" ","")&amp;IF($P489&lt;&gt;"",$P489&amp;" ","")&amp;IF($Q489&lt;&gt;"",$Q489&amp;" ","")&amp;IF($R489&lt;&gt;"",$R489,""))))</f>
        <v/>
      </c>
    </row>
    <row r="490" customFormat="false" ht="15" hidden="false" customHeight="false" outlineLevel="0" collapsed="false">
      <c r="A490" s="30" t="str">
        <f aca="false">IF($B490="","","LAN-"&amp;TEXT(ROW()-4,"000000"))</f>
        <v/>
      </c>
      <c r="B490" s="31"/>
      <c r="C490" s="32"/>
      <c r="D490" s="32"/>
      <c r="E490" s="32"/>
      <c r="F490" s="33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4" t="str">
        <f aca="false">IF($B490="","",YEAR($B490))</f>
        <v/>
      </c>
      <c r="U490" s="34" t="str">
        <f aca="false">IF($B490="","",MONTH($B490))</f>
        <v/>
      </c>
      <c r="V490" s="34" t="str">
        <f aca="false">IF($B490="","",YEAR($B490)*100+MONTH($B490))</f>
        <v/>
      </c>
      <c r="W490" s="35" t="str">
        <f aca="false">IF($D490="","",IFERROR(INDEX(MAP_CLASS,MATCH($D490,MAP_TIPO,0)),"TIPO INVALIDO"))</f>
        <v/>
      </c>
      <c r="X490" s="35" t="str">
        <f aca="false">IF($K490="","",IFERROR(INDEX(CAT_NOME,MATCH($K490,CAT_ID,0)),"?"))</f>
        <v/>
      </c>
      <c r="Y490" s="35" t="str">
        <f aca="false">IF($L490="","",IFERROR(INDEX(SUB_NOME,MATCH($L490,SUB_ID,0)),"?"))</f>
        <v/>
      </c>
      <c r="Z490" s="35" t="str">
        <f aca="false">IF($G490="","",IF($G490="EXTERNO","(Externo)",IFERROR(INDEX(ENT_NOME,MATCH($H490,ENT_ID,0)),"?")))</f>
        <v/>
      </c>
      <c r="AA490" s="35" t="str">
        <f aca="false">IF($I490="","",IF($I490="EXTERNO","(Externo)",IFERROR(INDEX(ENT_NOME,MATCH($J490,ENT_ID,0)),"?")))</f>
        <v/>
      </c>
      <c r="AB490" s="36" t="n">
        <f aca="false">IF($B490="",0,IF(AND($I490="CONTA",$G490&lt;&gt;"CONTA"),$F490,0))</f>
        <v>0</v>
      </c>
      <c r="AC490" s="36" t="n">
        <f aca="false">IF($B490="",0,IF(AND($G490="CONTA",$I490&lt;&gt;"CONTA"),$F490,0))</f>
        <v>0</v>
      </c>
      <c r="AD490" s="36" t="n">
        <f aca="false">IF($W490="RECEITA",$F490,0)</f>
        <v>0</v>
      </c>
      <c r="AE490" s="36" t="n">
        <f aca="false">IF($W490="DESPESA",$F490,0)</f>
        <v>0</v>
      </c>
      <c r="AF490" s="36" t="n">
        <f aca="false">IF($W490="RECEITA_FINANCEIRA",$F490,0)</f>
        <v>0</v>
      </c>
      <c r="AG490" s="36" t="n">
        <f aca="false">IF($B490="",0,IF($I490="CONTA",$F490,0)-IF($G490="CONTA",$F490,0))</f>
        <v>0</v>
      </c>
      <c r="AH490" s="36" t="n">
        <f aca="false">IF($B490="",0,IF($G490="CARTAO",$F490,0)-IF($I490="CARTAO",$F490,0))</f>
        <v>0</v>
      </c>
      <c r="AI490" s="36" t="n">
        <f aca="false">IF($B490="",0,IF($I490="INVESTIMENTO",$F490,0)-IF($G490="INVESTIMENTO",$F490,0))</f>
        <v>0</v>
      </c>
      <c r="AJ490" s="35" t="str">
        <f aca="false">IF($B490="","",IF(NOT(ISNUMBER($F490)),"ERRO: valor nao numerico",IF($F490&lt;=0,"ERRO: valor deve ser maior que zero",IF(COUNTIF(MAP_TIPO,$D490)=0,"ERRO: tipo de operacao nao cadastrado",IF(COUNTIF(LST_STATUS,$E490)=0,"ERRO: status invalido",IF(AND($G490="EXTERNO",$I490="EXTERNO"),"ERRO: origem e destino externos",IF(AND($G490&lt;&gt;"EXTERNO",COUNTIFS(ENT_ID,$H490,ENT_TIPO,$G490)=0),"ERRO: origem inexistente",IF(AND($I490&lt;&gt;"EXTERNO",COUNTIFS(ENT_ID,$J490,ENT_TIPO,$I490)=0),"ERRO: destino inexistente",IF(AND($K490&lt;&gt;"",COUNTIF(CAT_ID,$K490)=0),"ERRO: categoria inexistente",IF(AND($L490&lt;&gt;"",COUNTIF(SUB_ID,$L490)=0),"ERRO: subcategoria inexistente",IF(AND($L490&lt;&gt;"",$K490&lt;&gt;"",IFERROR(INDEX(SUB_CATID,MATCH($L490,SUB_ID,0)),"")&lt;&gt;$K490),"ERRO: subcategoria nao pertence a categoria",IF(AND($O490&lt;&gt;"",COUNTIF(P_ID,$O490)=0),"ERRO: parcela inexistente",IF(AND($N490&lt;&gt;"",COUNTIF(CM_ID,$N490)=0),"ERRO: compromisso inexistente","OK")))))))))))))</f>
        <v/>
      </c>
      <c r="AK490" s="35" t="str">
        <f aca="false">IF($B490="","",IF(AND($N490="",$O490="",$P490="",$Q490="",$R490=""),"","VINCULADO: "&amp;TRIM(IF($N490&lt;&gt;"",$N490&amp;" ","")&amp;IF($O490&lt;&gt;"",$O490&amp;" ","")&amp;IF($P490&lt;&gt;"",$P490&amp;" ","")&amp;IF($Q490&lt;&gt;"",$Q490&amp;" ","")&amp;IF($R490&lt;&gt;"",$R490,""))))</f>
        <v/>
      </c>
    </row>
    <row r="491" customFormat="false" ht="15" hidden="false" customHeight="false" outlineLevel="0" collapsed="false">
      <c r="A491" s="30" t="str">
        <f aca="false">IF($B491="","","LAN-"&amp;TEXT(ROW()-4,"000000"))</f>
        <v/>
      </c>
      <c r="B491" s="31"/>
      <c r="C491" s="32"/>
      <c r="D491" s="32"/>
      <c r="E491" s="32"/>
      <c r="F491" s="33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4" t="str">
        <f aca="false">IF($B491="","",YEAR($B491))</f>
        <v/>
      </c>
      <c r="U491" s="34" t="str">
        <f aca="false">IF($B491="","",MONTH($B491))</f>
        <v/>
      </c>
      <c r="V491" s="34" t="str">
        <f aca="false">IF($B491="","",YEAR($B491)*100+MONTH($B491))</f>
        <v/>
      </c>
      <c r="W491" s="35" t="str">
        <f aca="false">IF($D491="","",IFERROR(INDEX(MAP_CLASS,MATCH($D491,MAP_TIPO,0)),"TIPO INVALIDO"))</f>
        <v/>
      </c>
      <c r="X491" s="35" t="str">
        <f aca="false">IF($K491="","",IFERROR(INDEX(CAT_NOME,MATCH($K491,CAT_ID,0)),"?"))</f>
        <v/>
      </c>
      <c r="Y491" s="35" t="str">
        <f aca="false">IF($L491="","",IFERROR(INDEX(SUB_NOME,MATCH($L491,SUB_ID,0)),"?"))</f>
        <v/>
      </c>
      <c r="Z491" s="35" t="str">
        <f aca="false">IF($G491="","",IF($G491="EXTERNO","(Externo)",IFERROR(INDEX(ENT_NOME,MATCH($H491,ENT_ID,0)),"?")))</f>
        <v/>
      </c>
      <c r="AA491" s="35" t="str">
        <f aca="false">IF($I491="","",IF($I491="EXTERNO","(Externo)",IFERROR(INDEX(ENT_NOME,MATCH($J491,ENT_ID,0)),"?")))</f>
        <v/>
      </c>
      <c r="AB491" s="36" t="n">
        <f aca="false">IF($B491="",0,IF(AND($I491="CONTA",$G491&lt;&gt;"CONTA"),$F491,0))</f>
        <v>0</v>
      </c>
      <c r="AC491" s="36" t="n">
        <f aca="false">IF($B491="",0,IF(AND($G491="CONTA",$I491&lt;&gt;"CONTA"),$F491,0))</f>
        <v>0</v>
      </c>
      <c r="AD491" s="36" t="n">
        <f aca="false">IF($W491="RECEITA",$F491,0)</f>
        <v>0</v>
      </c>
      <c r="AE491" s="36" t="n">
        <f aca="false">IF($W491="DESPESA",$F491,0)</f>
        <v>0</v>
      </c>
      <c r="AF491" s="36" t="n">
        <f aca="false">IF($W491="RECEITA_FINANCEIRA",$F491,0)</f>
        <v>0</v>
      </c>
      <c r="AG491" s="36" t="n">
        <f aca="false">IF($B491="",0,IF($I491="CONTA",$F491,0)-IF($G491="CONTA",$F491,0))</f>
        <v>0</v>
      </c>
      <c r="AH491" s="36" t="n">
        <f aca="false">IF($B491="",0,IF($G491="CARTAO",$F491,0)-IF($I491="CARTAO",$F491,0))</f>
        <v>0</v>
      </c>
      <c r="AI491" s="36" t="n">
        <f aca="false">IF($B491="",0,IF($I491="INVESTIMENTO",$F491,0)-IF($G491="INVESTIMENTO",$F491,0))</f>
        <v>0</v>
      </c>
      <c r="AJ491" s="35" t="str">
        <f aca="false">IF($B491="","",IF(NOT(ISNUMBER($F491)),"ERRO: valor nao numerico",IF($F491&lt;=0,"ERRO: valor deve ser maior que zero",IF(COUNTIF(MAP_TIPO,$D491)=0,"ERRO: tipo de operacao nao cadastrado",IF(COUNTIF(LST_STATUS,$E491)=0,"ERRO: status invalido",IF(AND($G491="EXTERNO",$I491="EXTERNO"),"ERRO: origem e destino externos",IF(AND($G491&lt;&gt;"EXTERNO",COUNTIFS(ENT_ID,$H491,ENT_TIPO,$G491)=0),"ERRO: origem inexistente",IF(AND($I491&lt;&gt;"EXTERNO",COUNTIFS(ENT_ID,$J491,ENT_TIPO,$I491)=0),"ERRO: destino inexistente",IF(AND($K491&lt;&gt;"",COUNTIF(CAT_ID,$K491)=0),"ERRO: categoria inexistente",IF(AND($L491&lt;&gt;"",COUNTIF(SUB_ID,$L491)=0),"ERRO: subcategoria inexistente",IF(AND($L491&lt;&gt;"",$K491&lt;&gt;"",IFERROR(INDEX(SUB_CATID,MATCH($L491,SUB_ID,0)),"")&lt;&gt;$K491),"ERRO: subcategoria nao pertence a categoria",IF(AND($O491&lt;&gt;"",COUNTIF(P_ID,$O491)=0),"ERRO: parcela inexistente",IF(AND($N491&lt;&gt;"",COUNTIF(CM_ID,$N491)=0),"ERRO: compromisso inexistente","OK")))))))))))))</f>
        <v/>
      </c>
      <c r="AK491" s="35" t="str">
        <f aca="false">IF($B491="","",IF(AND($N491="",$O491="",$P491="",$Q491="",$R491=""),"","VINCULADO: "&amp;TRIM(IF($N491&lt;&gt;"",$N491&amp;" ","")&amp;IF($O491&lt;&gt;"",$O491&amp;" ","")&amp;IF($P491&lt;&gt;"",$P491&amp;" ","")&amp;IF($Q491&lt;&gt;"",$Q491&amp;" ","")&amp;IF($R491&lt;&gt;"",$R491,""))))</f>
        <v/>
      </c>
    </row>
    <row r="492" customFormat="false" ht="15" hidden="false" customHeight="false" outlineLevel="0" collapsed="false">
      <c r="A492" s="30" t="str">
        <f aca="false">IF($B492="","","LAN-"&amp;TEXT(ROW()-4,"000000"))</f>
        <v/>
      </c>
      <c r="B492" s="31"/>
      <c r="C492" s="32"/>
      <c r="D492" s="32"/>
      <c r="E492" s="32"/>
      <c r="F492" s="33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4" t="str">
        <f aca="false">IF($B492="","",YEAR($B492))</f>
        <v/>
      </c>
      <c r="U492" s="34" t="str">
        <f aca="false">IF($B492="","",MONTH($B492))</f>
        <v/>
      </c>
      <c r="V492" s="34" t="str">
        <f aca="false">IF($B492="","",YEAR($B492)*100+MONTH($B492))</f>
        <v/>
      </c>
      <c r="W492" s="35" t="str">
        <f aca="false">IF($D492="","",IFERROR(INDEX(MAP_CLASS,MATCH($D492,MAP_TIPO,0)),"TIPO INVALIDO"))</f>
        <v/>
      </c>
      <c r="X492" s="35" t="str">
        <f aca="false">IF($K492="","",IFERROR(INDEX(CAT_NOME,MATCH($K492,CAT_ID,0)),"?"))</f>
        <v/>
      </c>
      <c r="Y492" s="35" t="str">
        <f aca="false">IF($L492="","",IFERROR(INDEX(SUB_NOME,MATCH($L492,SUB_ID,0)),"?"))</f>
        <v/>
      </c>
      <c r="Z492" s="35" t="str">
        <f aca="false">IF($G492="","",IF($G492="EXTERNO","(Externo)",IFERROR(INDEX(ENT_NOME,MATCH($H492,ENT_ID,0)),"?")))</f>
        <v/>
      </c>
      <c r="AA492" s="35" t="str">
        <f aca="false">IF($I492="","",IF($I492="EXTERNO","(Externo)",IFERROR(INDEX(ENT_NOME,MATCH($J492,ENT_ID,0)),"?")))</f>
        <v/>
      </c>
      <c r="AB492" s="36" t="n">
        <f aca="false">IF($B492="",0,IF(AND($I492="CONTA",$G492&lt;&gt;"CONTA"),$F492,0))</f>
        <v>0</v>
      </c>
      <c r="AC492" s="36" t="n">
        <f aca="false">IF($B492="",0,IF(AND($G492="CONTA",$I492&lt;&gt;"CONTA"),$F492,0))</f>
        <v>0</v>
      </c>
      <c r="AD492" s="36" t="n">
        <f aca="false">IF($W492="RECEITA",$F492,0)</f>
        <v>0</v>
      </c>
      <c r="AE492" s="36" t="n">
        <f aca="false">IF($W492="DESPESA",$F492,0)</f>
        <v>0</v>
      </c>
      <c r="AF492" s="36" t="n">
        <f aca="false">IF($W492="RECEITA_FINANCEIRA",$F492,0)</f>
        <v>0</v>
      </c>
      <c r="AG492" s="36" t="n">
        <f aca="false">IF($B492="",0,IF($I492="CONTA",$F492,0)-IF($G492="CONTA",$F492,0))</f>
        <v>0</v>
      </c>
      <c r="AH492" s="36" t="n">
        <f aca="false">IF($B492="",0,IF($G492="CARTAO",$F492,0)-IF($I492="CARTAO",$F492,0))</f>
        <v>0</v>
      </c>
      <c r="AI492" s="36" t="n">
        <f aca="false">IF($B492="",0,IF($I492="INVESTIMENTO",$F492,0)-IF($G492="INVESTIMENTO",$F492,0))</f>
        <v>0</v>
      </c>
      <c r="AJ492" s="35" t="str">
        <f aca="false">IF($B492="","",IF(NOT(ISNUMBER($F492)),"ERRO: valor nao numerico",IF($F492&lt;=0,"ERRO: valor deve ser maior que zero",IF(COUNTIF(MAP_TIPO,$D492)=0,"ERRO: tipo de operacao nao cadastrado",IF(COUNTIF(LST_STATUS,$E492)=0,"ERRO: status invalido",IF(AND($G492="EXTERNO",$I492="EXTERNO"),"ERRO: origem e destino externos",IF(AND($G492&lt;&gt;"EXTERNO",COUNTIFS(ENT_ID,$H492,ENT_TIPO,$G492)=0),"ERRO: origem inexistente",IF(AND($I492&lt;&gt;"EXTERNO",COUNTIFS(ENT_ID,$J492,ENT_TIPO,$I492)=0),"ERRO: destino inexistente",IF(AND($K492&lt;&gt;"",COUNTIF(CAT_ID,$K492)=0),"ERRO: categoria inexistente",IF(AND($L492&lt;&gt;"",COUNTIF(SUB_ID,$L492)=0),"ERRO: subcategoria inexistente",IF(AND($L492&lt;&gt;"",$K492&lt;&gt;"",IFERROR(INDEX(SUB_CATID,MATCH($L492,SUB_ID,0)),"")&lt;&gt;$K492),"ERRO: subcategoria nao pertence a categoria",IF(AND($O492&lt;&gt;"",COUNTIF(P_ID,$O492)=0),"ERRO: parcela inexistente",IF(AND($N492&lt;&gt;"",COUNTIF(CM_ID,$N492)=0),"ERRO: compromisso inexistente","OK")))))))))))))</f>
        <v/>
      </c>
      <c r="AK492" s="35" t="str">
        <f aca="false">IF($B492="","",IF(AND($N492="",$O492="",$P492="",$Q492="",$R492=""),"","VINCULADO: "&amp;TRIM(IF($N492&lt;&gt;"",$N492&amp;" ","")&amp;IF($O492&lt;&gt;"",$O492&amp;" ","")&amp;IF($P492&lt;&gt;"",$P492&amp;" ","")&amp;IF($Q492&lt;&gt;"",$Q492&amp;" ","")&amp;IF($R492&lt;&gt;"",$R492,""))))</f>
        <v/>
      </c>
    </row>
    <row r="493" customFormat="false" ht="15" hidden="false" customHeight="false" outlineLevel="0" collapsed="false">
      <c r="A493" s="30" t="str">
        <f aca="false">IF($B493="","","LAN-"&amp;TEXT(ROW()-4,"000000"))</f>
        <v/>
      </c>
      <c r="B493" s="31"/>
      <c r="C493" s="32"/>
      <c r="D493" s="32"/>
      <c r="E493" s="32"/>
      <c r="F493" s="33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4" t="str">
        <f aca="false">IF($B493="","",YEAR($B493))</f>
        <v/>
      </c>
      <c r="U493" s="34" t="str">
        <f aca="false">IF($B493="","",MONTH($B493))</f>
        <v/>
      </c>
      <c r="V493" s="34" t="str">
        <f aca="false">IF($B493="","",YEAR($B493)*100+MONTH($B493))</f>
        <v/>
      </c>
      <c r="W493" s="35" t="str">
        <f aca="false">IF($D493="","",IFERROR(INDEX(MAP_CLASS,MATCH($D493,MAP_TIPO,0)),"TIPO INVALIDO"))</f>
        <v/>
      </c>
      <c r="X493" s="35" t="str">
        <f aca="false">IF($K493="","",IFERROR(INDEX(CAT_NOME,MATCH($K493,CAT_ID,0)),"?"))</f>
        <v/>
      </c>
      <c r="Y493" s="35" t="str">
        <f aca="false">IF($L493="","",IFERROR(INDEX(SUB_NOME,MATCH($L493,SUB_ID,0)),"?"))</f>
        <v/>
      </c>
      <c r="Z493" s="35" t="str">
        <f aca="false">IF($G493="","",IF($G493="EXTERNO","(Externo)",IFERROR(INDEX(ENT_NOME,MATCH($H493,ENT_ID,0)),"?")))</f>
        <v/>
      </c>
      <c r="AA493" s="35" t="str">
        <f aca="false">IF($I493="","",IF($I493="EXTERNO","(Externo)",IFERROR(INDEX(ENT_NOME,MATCH($J493,ENT_ID,0)),"?")))</f>
        <v/>
      </c>
      <c r="AB493" s="36" t="n">
        <f aca="false">IF($B493="",0,IF(AND($I493="CONTA",$G493&lt;&gt;"CONTA"),$F493,0))</f>
        <v>0</v>
      </c>
      <c r="AC493" s="36" t="n">
        <f aca="false">IF($B493="",0,IF(AND($G493="CONTA",$I493&lt;&gt;"CONTA"),$F493,0))</f>
        <v>0</v>
      </c>
      <c r="AD493" s="36" t="n">
        <f aca="false">IF($W493="RECEITA",$F493,0)</f>
        <v>0</v>
      </c>
      <c r="AE493" s="36" t="n">
        <f aca="false">IF($W493="DESPESA",$F493,0)</f>
        <v>0</v>
      </c>
      <c r="AF493" s="36" t="n">
        <f aca="false">IF($W493="RECEITA_FINANCEIRA",$F493,0)</f>
        <v>0</v>
      </c>
      <c r="AG493" s="36" t="n">
        <f aca="false">IF($B493="",0,IF($I493="CONTA",$F493,0)-IF($G493="CONTA",$F493,0))</f>
        <v>0</v>
      </c>
      <c r="AH493" s="36" t="n">
        <f aca="false">IF($B493="",0,IF($G493="CARTAO",$F493,0)-IF($I493="CARTAO",$F493,0))</f>
        <v>0</v>
      </c>
      <c r="AI493" s="36" t="n">
        <f aca="false">IF($B493="",0,IF($I493="INVESTIMENTO",$F493,0)-IF($G493="INVESTIMENTO",$F493,0))</f>
        <v>0</v>
      </c>
      <c r="AJ493" s="35" t="str">
        <f aca="false">IF($B493="","",IF(NOT(ISNUMBER($F493)),"ERRO: valor nao numerico",IF($F493&lt;=0,"ERRO: valor deve ser maior que zero",IF(COUNTIF(MAP_TIPO,$D493)=0,"ERRO: tipo de operacao nao cadastrado",IF(COUNTIF(LST_STATUS,$E493)=0,"ERRO: status invalido",IF(AND($G493="EXTERNO",$I493="EXTERNO"),"ERRO: origem e destino externos",IF(AND($G493&lt;&gt;"EXTERNO",COUNTIFS(ENT_ID,$H493,ENT_TIPO,$G493)=0),"ERRO: origem inexistente",IF(AND($I493&lt;&gt;"EXTERNO",COUNTIFS(ENT_ID,$J493,ENT_TIPO,$I493)=0),"ERRO: destino inexistente",IF(AND($K493&lt;&gt;"",COUNTIF(CAT_ID,$K493)=0),"ERRO: categoria inexistente",IF(AND($L493&lt;&gt;"",COUNTIF(SUB_ID,$L493)=0),"ERRO: subcategoria inexistente",IF(AND($L493&lt;&gt;"",$K493&lt;&gt;"",IFERROR(INDEX(SUB_CATID,MATCH($L493,SUB_ID,0)),"")&lt;&gt;$K493),"ERRO: subcategoria nao pertence a categoria",IF(AND($O493&lt;&gt;"",COUNTIF(P_ID,$O493)=0),"ERRO: parcela inexistente",IF(AND($N493&lt;&gt;"",COUNTIF(CM_ID,$N493)=0),"ERRO: compromisso inexistente","OK")))))))))))))</f>
        <v/>
      </c>
      <c r="AK493" s="35" t="str">
        <f aca="false">IF($B493="","",IF(AND($N493="",$O493="",$P493="",$Q493="",$R493=""),"","VINCULADO: "&amp;TRIM(IF($N493&lt;&gt;"",$N493&amp;" ","")&amp;IF($O493&lt;&gt;"",$O493&amp;" ","")&amp;IF($P493&lt;&gt;"",$P493&amp;" ","")&amp;IF($Q493&lt;&gt;"",$Q493&amp;" ","")&amp;IF($R493&lt;&gt;"",$R493,""))))</f>
        <v/>
      </c>
    </row>
    <row r="494" customFormat="false" ht="15" hidden="false" customHeight="false" outlineLevel="0" collapsed="false">
      <c r="A494" s="30" t="str">
        <f aca="false">IF($B494="","","LAN-"&amp;TEXT(ROW()-4,"000000"))</f>
        <v/>
      </c>
      <c r="B494" s="31"/>
      <c r="C494" s="32"/>
      <c r="D494" s="32"/>
      <c r="E494" s="32"/>
      <c r="F494" s="33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4" t="str">
        <f aca="false">IF($B494="","",YEAR($B494))</f>
        <v/>
      </c>
      <c r="U494" s="34" t="str">
        <f aca="false">IF($B494="","",MONTH($B494))</f>
        <v/>
      </c>
      <c r="V494" s="34" t="str">
        <f aca="false">IF($B494="","",YEAR($B494)*100+MONTH($B494))</f>
        <v/>
      </c>
      <c r="W494" s="35" t="str">
        <f aca="false">IF($D494="","",IFERROR(INDEX(MAP_CLASS,MATCH($D494,MAP_TIPO,0)),"TIPO INVALIDO"))</f>
        <v/>
      </c>
      <c r="X494" s="35" t="str">
        <f aca="false">IF($K494="","",IFERROR(INDEX(CAT_NOME,MATCH($K494,CAT_ID,0)),"?"))</f>
        <v/>
      </c>
      <c r="Y494" s="35" t="str">
        <f aca="false">IF($L494="","",IFERROR(INDEX(SUB_NOME,MATCH($L494,SUB_ID,0)),"?"))</f>
        <v/>
      </c>
      <c r="Z494" s="35" t="str">
        <f aca="false">IF($G494="","",IF($G494="EXTERNO","(Externo)",IFERROR(INDEX(ENT_NOME,MATCH($H494,ENT_ID,0)),"?")))</f>
        <v/>
      </c>
      <c r="AA494" s="35" t="str">
        <f aca="false">IF($I494="","",IF($I494="EXTERNO","(Externo)",IFERROR(INDEX(ENT_NOME,MATCH($J494,ENT_ID,0)),"?")))</f>
        <v/>
      </c>
      <c r="AB494" s="36" t="n">
        <f aca="false">IF($B494="",0,IF(AND($I494="CONTA",$G494&lt;&gt;"CONTA"),$F494,0))</f>
        <v>0</v>
      </c>
      <c r="AC494" s="36" t="n">
        <f aca="false">IF($B494="",0,IF(AND($G494="CONTA",$I494&lt;&gt;"CONTA"),$F494,0))</f>
        <v>0</v>
      </c>
      <c r="AD494" s="36" t="n">
        <f aca="false">IF($W494="RECEITA",$F494,0)</f>
        <v>0</v>
      </c>
      <c r="AE494" s="36" t="n">
        <f aca="false">IF($W494="DESPESA",$F494,0)</f>
        <v>0</v>
      </c>
      <c r="AF494" s="36" t="n">
        <f aca="false">IF($W494="RECEITA_FINANCEIRA",$F494,0)</f>
        <v>0</v>
      </c>
      <c r="AG494" s="36" t="n">
        <f aca="false">IF($B494="",0,IF($I494="CONTA",$F494,0)-IF($G494="CONTA",$F494,0))</f>
        <v>0</v>
      </c>
      <c r="AH494" s="36" t="n">
        <f aca="false">IF($B494="",0,IF($G494="CARTAO",$F494,0)-IF($I494="CARTAO",$F494,0))</f>
        <v>0</v>
      </c>
      <c r="AI494" s="36" t="n">
        <f aca="false">IF($B494="",0,IF($I494="INVESTIMENTO",$F494,0)-IF($G494="INVESTIMENTO",$F494,0))</f>
        <v>0</v>
      </c>
      <c r="AJ494" s="35" t="str">
        <f aca="false">IF($B494="","",IF(NOT(ISNUMBER($F494)),"ERRO: valor nao numerico",IF($F494&lt;=0,"ERRO: valor deve ser maior que zero",IF(COUNTIF(MAP_TIPO,$D494)=0,"ERRO: tipo de operacao nao cadastrado",IF(COUNTIF(LST_STATUS,$E494)=0,"ERRO: status invalido",IF(AND($G494="EXTERNO",$I494="EXTERNO"),"ERRO: origem e destino externos",IF(AND($G494&lt;&gt;"EXTERNO",COUNTIFS(ENT_ID,$H494,ENT_TIPO,$G494)=0),"ERRO: origem inexistente",IF(AND($I494&lt;&gt;"EXTERNO",COUNTIFS(ENT_ID,$J494,ENT_TIPO,$I494)=0),"ERRO: destino inexistente",IF(AND($K494&lt;&gt;"",COUNTIF(CAT_ID,$K494)=0),"ERRO: categoria inexistente",IF(AND($L494&lt;&gt;"",COUNTIF(SUB_ID,$L494)=0),"ERRO: subcategoria inexistente",IF(AND($L494&lt;&gt;"",$K494&lt;&gt;"",IFERROR(INDEX(SUB_CATID,MATCH($L494,SUB_ID,0)),"")&lt;&gt;$K494),"ERRO: subcategoria nao pertence a categoria",IF(AND($O494&lt;&gt;"",COUNTIF(P_ID,$O494)=0),"ERRO: parcela inexistente",IF(AND($N494&lt;&gt;"",COUNTIF(CM_ID,$N494)=0),"ERRO: compromisso inexistente","OK")))))))))))))</f>
        <v/>
      </c>
      <c r="AK494" s="35" t="str">
        <f aca="false">IF($B494="","",IF(AND($N494="",$O494="",$P494="",$Q494="",$R494=""),"","VINCULADO: "&amp;TRIM(IF($N494&lt;&gt;"",$N494&amp;" ","")&amp;IF($O494&lt;&gt;"",$O494&amp;" ","")&amp;IF($P494&lt;&gt;"",$P494&amp;" ","")&amp;IF($Q494&lt;&gt;"",$Q494&amp;" ","")&amp;IF($R494&lt;&gt;"",$R494,""))))</f>
        <v/>
      </c>
    </row>
    <row r="495" customFormat="false" ht="15" hidden="false" customHeight="false" outlineLevel="0" collapsed="false">
      <c r="A495" s="30" t="str">
        <f aca="false">IF($B495="","","LAN-"&amp;TEXT(ROW()-4,"000000"))</f>
        <v/>
      </c>
      <c r="B495" s="31"/>
      <c r="C495" s="32"/>
      <c r="D495" s="32"/>
      <c r="E495" s="32"/>
      <c r="F495" s="33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4" t="str">
        <f aca="false">IF($B495="","",YEAR($B495))</f>
        <v/>
      </c>
      <c r="U495" s="34" t="str">
        <f aca="false">IF($B495="","",MONTH($B495))</f>
        <v/>
      </c>
      <c r="V495" s="34" t="str">
        <f aca="false">IF($B495="","",YEAR($B495)*100+MONTH($B495))</f>
        <v/>
      </c>
      <c r="W495" s="35" t="str">
        <f aca="false">IF($D495="","",IFERROR(INDEX(MAP_CLASS,MATCH($D495,MAP_TIPO,0)),"TIPO INVALIDO"))</f>
        <v/>
      </c>
      <c r="X495" s="35" t="str">
        <f aca="false">IF($K495="","",IFERROR(INDEX(CAT_NOME,MATCH($K495,CAT_ID,0)),"?"))</f>
        <v/>
      </c>
      <c r="Y495" s="35" t="str">
        <f aca="false">IF($L495="","",IFERROR(INDEX(SUB_NOME,MATCH($L495,SUB_ID,0)),"?"))</f>
        <v/>
      </c>
      <c r="Z495" s="35" t="str">
        <f aca="false">IF($G495="","",IF($G495="EXTERNO","(Externo)",IFERROR(INDEX(ENT_NOME,MATCH($H495,ENT_ID,0)),"?")))</f>
        <v/>
      </c>
      <c r="AA495" s="35" t="str">
        <f aca="false">IF($I495="","",IF($I495="EXTERNO","(Externo)",IFERROR(INDEX(ENT_NOME,MATCH($J495,ENT_ID,0)),"?")))</f>
        <v/>
      </c>
      <c r="AB495" s="36" t="n">
        <f aca="false">IF($B495="",0,IF(AND($I495="CONTA",$G495&lt;&gt;"CONTA"),$F495,0))</f>
        <v>0</v>
      </c>
      <c r="AC495" s="36" t="n">
        <f aca="false">IF($B495="",0,IF(AND($G495="CONTA",$I495&lt;&gt;"CONTA"),$F495,0))</f>
        <v>0</v>
      </c>
      <c r="AD495" s="36" t="n">
        <f aca="false">IF($W495="RECEITA",$F495,0)</f>
        <v>0</v>
      </c>
      <c r="AE495" s="36" t="n">
        <f aca="false">IF($W495="DESPESA",$F495,0)</f>
        <v>0</v>
      </c>
      <c r="AF495" s="36" t="n">
        <f aca="false">IF($W495="RECEITA_FINANCEIRA",$F495,0)</f>
        <v>0</v>
      </c>
      <c r="AG495" s="36" t="n">
        <f aca="false">IF($B495="",0,IF($I495="CONTA",$F495,0)-IF($G495="CONTA",$F495,0))</f>
        <v>0</v>
      </c>
      <c r="AH495" s="36" t="n">
        <f aca="false">IF($B495="",0,IF($G495="CARTAO",$F495,0)-IF($I495="CARTAO",$F495,0))</f>
        <v>0</v>
      </c>
      <c r="AI495" s="36" t="n">
        <f aca="false">IF($B495="",0,IF($I495="INVESTIMENTO",$F495,0)-IF($G495="INVESTIMENTO",$F495,0))</f>
        <v>0</v>
      </c>
      <c r="AJ495" s="35" t="str">
        <f aca="false">IF($B495="","",IF(NOT(ISNUMBER($F495)),"ERRO: valor nao numerico",IF($F495&lt;=0,"ERRO: valor deve ser maior que zero",IF(COUNTIF(MAP_TIPO,$D495)=0,"ERRO: tipo de operacao nao cadastrado",IF(COUNTIF(LST_STATUS,$E495)=0,"ERRO: status invalido",IF(AND($G495="EXTERNO",$I495="EXTERNO"),"ERRO: origem e destino externos",IF(AND($G495&lt;&gt;"EXTERNO",COUNTIFS(ENT_ID,$H495,ENT_TIPO,$G495)=0),"ERRO: origem inexistente",IF(AND($I495&lt;&gt;"EXTERNO",COUNTIFS(ENT_ID,$J495,ENT_TIPO,$I495)=0),"ERRO: destino inexistente",IF(AND($K495&lt;&gt;"",COUNTIF(CAT_ID,$K495)=0),"ERRO: categoria inexistente",IF(AND($L495&lt;&gt;"",COUNTIF(SUB_ID,$L495)=0),"ERRO: subcategoria inexistente",IF(AND($L495&lt;&gt;"",$K495&lt;&gt;"",IFERROR(INDEX(SUB_CATID,MATCH($L495,SUB_ID,0)),"")&lt;&gt;$K495),"ERRO: subcategoria nao pertence a categoria",IF(AND($O495&lt;&gt;"",COUNTIF(P_ID,$O495)=0),"ERRO: parcela inexistente",IF(AND($N495&lt;&gt;"",COUNTIF(CM_ID,$N495)=0),"ERRO: compromisso inexistente","OK")))))))))))))</f>
        <v/>
      </c>
      <c r="AK495" s="35" t="str">
        <f aca="false">IF($B495="","",IF(AND($N495="",$O495="",$P495="",$Q495="",$R495=""),"","VINCULADO: "&amp;TRIM(IF($N495&lt;&gt;"",$N495&amp;" ","")&amp;IF($O495&lt;&gt;"",$O495&amp;" ","")&amp;IF($P495&lt;&gt;"",$P495&amp;" ","")&amp;IF($Q495&lt;&gt;"",$Q495&amp;" ","")&amp;IF($R495&lt;&gt;"",$R495,""))))</f>
        <v/>
      </c>
    </row>
    <row r="496" customFormat="false" ht="15" hidden="false" customHeight="false" outlineLevel="0" collapsed="false">
      <c r="A496" s="30" t="str">
        <f aca="false">IF($B496="","","LAN-"&amp;TEXT(ROW()-4,"000000"))</f>
        <v/>
      </c>
      <c r="B496" s="31"/>
      <c r="C496" s="32"/>
      <c r="D496" s="32"/>
      <c r="E496" s="32"/>
      <c r="F496" s="33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4" t="str">
        <f aca="false">IF($B496="","",YEAR($B496))</f>
        <v/>
      </c>
      <c r="U496" s="34" t="str">
        <f aca="false">IF($B496="","",MONTH($B496))</f>
        <v/>
      </c>
      <c r="V496" s="34" t="str">
        <f aca="false">IF($B496="","",YEAR($B496)*100+MONTH($B496))</f>
        <v/>
      </c>
      <c r="W496" s="35" t="str">
        <f aca="false">IF($D496="","",IFERROR(INDEX(MAP_CLASS,MATCH($D496,MAP_TIPO,0)),"TIPO INVALIDO"))</f>
        <v/>
      </c>
      <c r="X496" s="35" t="str">
        <f aca="false">IF($K496="","",IFERROR(INDEX(CAT_NOME,MATCH($K496,CAT_ID,0)),"?"))</f>
        <v/>
      </c>
      <c r="Y496" s="35" t="str">
        <f aca="false">IF($L496="","",IFERROR(INDEX(SUB_NOME,MATCH($L496,SUB_ID,0)),"?"))</f>
        <v/>
      </c>
      <c r="Z496" s="35" t="str">
        <f aca="false">IF($G496="","",IF($G496="EXTERNO","(Externo)",IFERROR(INDEX(ENT_NOME,MATCH($H496,ENT_ID,0)),"?")))</f>
        <v/>
      </c>
      <c r="AA496" s="35" t="str">
        <f aca="false">IF($I496="","",IF($I496="EXTERNO","(Externo)",IFERROR(INDEX(ENT_NOME,MATCH($J496,ENT_ID,0)),"?")))</f>
        <v/>
      </c>
      <c r="AB496" s="36" t="n">
        <f aca="false">IF($B496="",0,IF(AND($I496="CONTA",$G496&lt;&gt;"CONTA"),$F496,0))</f>
        <v>0</v>
      </c>
      <c r="AC496" s="36" t="n">
        <f aca="false">IF($B496="",0,IF(AND($G496="CONTA",$I496&lt;&gt;"CONTA"),$F496,0))</f>
        <v>0</v>
      </c>
      <c r="AD496" s="36" t="n">
        <f aca="false">IF($W496="RECEITA",$F496,0)</f>
        <v>0</v>
      </c>
      <c r="AE496" s="36" t="n">
        <f aca="false">IF($W496="DESPESA",$F496,0)</f>
        <v>0</v>
      </c>
      <c r="AF496" s="36" t="n">
        <f aca="false">IF($W496="RECEITA_FINANCEIRA",$F496,0)</f>
        <v>0</v>
      </c>
      <c r="AG496" s="36" t="n">
        <f aca="false">IF($B496="",0,IF($I496="CONTA",$F496,0)-IF($G496="CONTA",$F496,0))</f>
        <v>0</v>
      </c>
      <c r="AH496" s="36" t="n">
        <f aca="false">IF($B496="",0,IF($G496="CARTAO",$F496,0)-IF($I496="CARTAO",$F496,0))</f>
        <v>0</v>
      </c>
      <c r="AI496" s="36" t="n">
        <f aca="false">IF($B496="",0,IF($I496="INVESTIMENTO",$F496,0)-IF($G496="INVESTIMENTO",$F496,0))</f>
        <v>0</v>
      </c>
      <c r="AJ496" s="35" t="str">
        <f aca="false">IF($B496="","",IF(NOT(ISNUMBER($F496)),"ERRO: valor nao numerico",IF($F496&lt;=0,"ERRO: valor deve ser maior que zero",IF(COUNTIF(MAP_TIPO,$D496)=0,"ERRO: tipo de operacao nao cadastrado",IF(COUNTIF(LST_STATUS,$E496)=0,"ERRO: status invalido",IF(AND($G496="EXTERNO",$I496="EXTERNO"),"ERRO: origem e destino externos",IF(AND($G496&lt;&gt;"EXTERNO",COUNTIFS(ENT_ID,$H496,ENT_TIPO,$G496)=0),"ERRO: origem inexistente",IF(AND($I496&lt;&gt;"EXTERNO",COUNTIFS(ENT_ID,$J496,ENT_TIPO,$I496)=0),"ERRO: destino inexistente",IF(AND($K496&lt;&gt;"",COUNTIF(CAT_ID,$K496)=0),"ERRO: categoria inexistente",IF(AND($L496&lt;&gt;"",COUNTIF(SUB_ID,$L496)=0),"ERRO: subcategoria inexistente",IF(AND($L496&lt;&gt;"",$K496&lt;&gt;"",IFERROR(INDEX(SUB_CATID,MATCH($L496,SUB_ID,0)),"")&lt;&gt;$K496),"ERRO: subcategoria nao pertence a categoria",IF(AND($O496&lt;&gt;"",COUNTIF(P_ID,$O496)=0),"ERRO: parcela inexistente",IF(AND($N496&lt;&gt;"",COUNTIF(CM_ID,$N496)=0),"ERRO: compromisso inexistente","OK")))))))))))))</f>
        <v/>
      </c>
      <c r="AK496" s="35" t="str">
        <f aca="false">IF($B496="","",IF(AND($N496="",$O496="",$P496="",$Q496="",$R496=""),"","VINCULADO: "&amp;TRIM(IF($N496&lt;&gt;"",$N496&amp;" ","")&amp;IF($O496&lt;&gt;"",$O496&amp;" ","")&amp;IF($P496&lt;&gt;"",$P496&amp;" ","")&amp;IF($Q496&lt;&gt;"",$Q496&amp;" ","")&amp;IF($R496&lt;&gt;"",$R496,""))))</f>
        <v/>
      </c>
    </row>
    <row r="497" customFormat="false" ht="15" hidden="false" customHeight="false" outlineLevel="0" collapsed="false">
      <c r="A497" s="30" t="str">
        <f aca="false">IF($B497="","","LAN-"&amp;TEXT(ROW()-4,"000000"))</f>
        <v/>
      </c>
      <c r="B497" s="31"/>
      <c r="C497" s="32"/>
      <c r="D497" s="32"/>
      <c r="E497" s="32"/>
      <c r="F497" s="33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4" t="str">
        <f aca="false">IF($B497="","",YEAR($B497))</f>
        <v/>
      </c>
      <c r="U497" s="34" t="str">
        <f aca="false">IF($B497="","",MONTH($B497))</f>
        <v/>
      </c>
      <c r="V497" s="34" t="str">
        <f aca="false">IF($B497="","",YEAR($B497)*100+MONTH($B497))</f>
        <v/>
      </c>
      <c r="W497" s="35" t="str">
        <f aca="false">IF($D497="","",IFERROR(INDEX(MAP_CLASS,MATCH($D497,MAP_TIPO,0)),"TIPO INVALIDO"))</f>
        <v/>
      </c>
      <c r="X497" s="35" t="str">
        <f aca="false">IF($K497="","",IFERROR(INDEX(CAT_NOME,MATCH($K497,CAT_ID,0)),"?"))</f>
        <v/>
      </c>
      <c r="Y497" s="35" t="str">
        <f aca="false">IF($L497="","",IFERROR(INDEX(SUB_NOME,MATCH($L497,SUB_ID,0)),"?"))</f>
        <v/>
      </c>
      <c r="Z497" s="35" t="str">
        <f aca="false">IF($G497="","",IF($G497="EXTERNO","(Externo)",IFERROR(INDEX(ENT_NOME,MATCH($H497,ENT_ID,0)),"?")))</f>
        <v/>
      </c>
      <c r="AA497" s="35" t="str">
        <f aca="false">IF($I497="","",IF($I497="EXTERNO","(Externo)",IFERROR(INDEX(ENT_NOME,MATCH($J497,ENT_ID,0)),"?")))</f>
        <v/>
      </c>
      <c r="AB497" s="36" t="n">
        <f aca="false">IF($B497="",0,IF(AND($I497="CONTA",$G497&lt;&gt;"CONTA"),$F497,0))</f>
        <v>0</v>
      </c>
      <c r="AC497" s="36" t="n">
        <f aca="false">IF($B497="",0,IF(AND($G497="CONTA",$I497&lt;&gt;"CONTA"),$F497,0))</f>
        <v>0</v>
      </c>
      <c r="AD497" s="36" t="n">
        <f aca="false">IF($W497="RECEITA",$F497,0)</f>
        <v>0</v>
      </c>
      <c r="AE497" s="36" t="n">
        <f aca="false">IF($W497="DESPESA",$F497,0)</f>
        <v>0</v>
      </c>
      <c r="AF497" s="36" t="n">
        <f aca="false">IF($W497="RECEITA_FINANCEIRA",$F497,0)</f>
        <v>0</v>
      </c>
      <c r="AG497" s="36" t="n">
        <f aca="false">IF($B497="",0,IF($I497="CONTA",$F497,0)-IF($G497="CONTA",$F497,0))</f>
        <v>0</v>
      </c>
      <c r="AH497" s="36" t="n">
        <f aca="false">IF($B497="",0,IF($G497="CARTAO",$F497,0)-IF($I497="CARTAO",$F497,0))</f>
        <v>0</v>
      </c>
      <c r="AI497" s="36" t="n">
        <f aca="false">IF($B497="",0,IF($I497="INVESTIMENTO",$F497,0)-IF($G497="INVESTIMENTO",$F497,0))</f>
        <v>0</v>
      </c>
      <c r="AJ497" s="35" t="str">
        <f aca="false">IF($B497="","",IF(NOT(ISNUMBER($F497)),"ERRO: valor nao numerico",IF($F497&lt;=0,"ERRO: valor deve ser maior que zero",IF(COUNTIF(MAP_TIPO,$D497)=0,"ERRO: tipo de operacao nao cadastrado",IF(COUNTIF(LST_STATUS,$E497)=0,"ERRO: status invalido",IF(AND($G497="EXTERNO",$I497="EXTERNO"),"ERRO: origem e destino externos",IF(AND($G497&lt;&gt;"EXTERNO",COUNTIFS(ENT_ID,$H497,ENT_TIPO,$G497)=0),"ERRO: origem inexistente",IF(AND($I497&lt;&gt;"EXTERNO",COUNTIFS(ENT_ID,$J497,ENT_TIPO,$I497)=0),"ERRO: destino inexistente",IF(AND($K497&lt;&gt;"",COUNTIF(CAT_ID,$K497)=0),"ERRO: categoria inexistente",IF(AND($L497&lt;&gt;"",COUNTIF(SUB_ID,$L497)=0),"ERRO: subcategoria inexistente",IF(AND($L497&lt;&gt;"",$K497&lt;&gt;"",IFERROR(INDEX(SUB_CATID,MATCH($L497,SUB_ID,0)),"")&lt;&gt;$K497),"ERRO: subcategoria nao pertence a categoria",IF(AND($O497&lt;&gt;"",COUNTIF(P_ID,$O497)=0),"ERRO: parcela inexistente",IF(AND($N497&lt;&gt;"",COUNTIF(CM_ID,$N497)=0),"ERRO: compromisso inexistente","OK")))))))))))))</f>
        <v/>
      </c>
      <c r="AK497" s="35" t="str">
        <f aca="false">IF($B497="","",IF(AND($N497="",$O497="",$P497="",$Q497="",$R497=""),"","VINCULADO: "&amp;TRIM(IF($N497&lt;&gt;"",$N497&amp;" ","")&amp;IF($O497&lt;&gt;"",$O497&amp;" ","")&amp;IF($P497&lt;&gt;"",$P497&amp;" ","")&amp;IF($Q497&lt;&gt;"",$Q497&amp;" ","")&amp;IF($R497&lt;&gt;"",$R497,""))))</f>
        <v/>
      </c>
    </row>
    <row r="498" customFormat="false" ht="15" hidden="false" customHeight="false" outlineLevel="0" collapsed="false">
      <c r="A498" s="30" t="str">
        <f aca="false">IF($B498="","","LAN-"&amp;TEXT(ROW()-4,"000000"))</f>
        <v/>
      </c>
      <c r="B498" s="31"/>
      <c r="C498" s="32"/>
      <c r="D498" s="32"/>
      <c r="E498" s="32"/>
      <c r="F498" s="33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4" t="str">
        <f aca="false">IF($B498="","",YEAR($B498))</f>
        <v/>
      </c>
      <c r="U498" s="34" t="str">
        <f aca="false">IF($B498="","",MONTH($B498))</f>
        <v/>
      </c>
      <c r="V498" s="34" t="str">
        <f aca="false">IF($B498="","",YEAR($B498)*100+MONTH($B498))</f>
        <v/>
      </c>
      <c r="W498" s="35" t="str">
        <f aca="false">IF($D498="","",IFERROR(INDEX(MAP_CLASS,MATCH($D498,MAP_TIPO,0)),"TIPO INVALIDO"))</f>
        <v/>
      </c>
      <c r="X498" s="35" t="str">
        <f aca="false">IF($K498="","",IFERROR(INDEX(CAT_NOME,MATCH($K498,CAT_ID,0)),"?"))</f>
        <v/>
      </c>
      <c r="Y498" s="35" t="str">
        <f aca="false">IF($L498="","",IFERROR(INDEX(SUB_NOME,MATCH($L498,SUB_ID,0)),"?"))</f>
        <v/>
      </c>
      <c r="Z498" s="35" t="str">
        <f aca="false">IF($G498="","",IF($G498="EXTERNO","(Externo)",IFERROR(INDEX(ENT_NOME,MATCH($H498,ENT_ID,0)),"?")))</f>
        <v/>
      </c>
      <c r="AA498" s="35" t="str">
        <f aca="false">IF($I498="","",IF($I498="EXTERNO","(Externo)",IFERROR(INDEX(ENT_NOME,MATCH($J498,ENT_ID,0)),"?")))</f>
        <v/>
      </c>
      <c r="AB498" s="36" t="n">
        <f aca="false">IF($B498="",0,IF(AND($I498="CONTA",$G498&lt;&gt;"CONTA"),$F498,0))</f>
        <v>0</v>
      </c>
      <c r="AC498" s="36" t="n">
        <f aca="false">IF($B498="",0,IF(AND($G498="CONTA",$I498&lt;&gt;"CONTA"),$F498,0))</f>
        <v>0</v>
      </c>
      <c r="AD498" s="36" t="n">
        <f aca="false">IF($W498="RECEITA",$F498,0)</f>
        <v>0</v>
      </c>
      <c r="AE498" s="36" t="n">
        <f aca="false">IF($W498="DESPESA",$F498,0)</f>
        <v>0</v>
      </c>
      <c r="AF498" s="36" t="n">
        <f aca="false">IF($W498="RECEITA_FINANCEIRA",$F498,0)</f>
        <v>0</v>
      </c>
      <c r="AG498" s="36" t="n">
        <f aca="false">IF($B498="",0,IF($I498="CONTA",$F498,0)-IF($G498="CONTA",$F498,0))</f>
        <v>0</v>
      </c>
      <c r="AH498" s="36" t="n">
        <f aca="false">IF($B498="",0,IF($G498="CARTAO",$F498,0)-IF($I498="CARTAO",$F498,0))</f>
        <v>0</v>
      </c>
      <c r="AI498" s="36" t="n">
        <f aca="false">IF($B498="",0,IF($I498="INVESTIMENTO",$F498,0)-IF($G498="INVESTIMENTO",$F498,0))</f>
        <v>0</v>
      </c>
      <c r="AJ498" s="35" t="str">
        <f aca="false">IF($B498="","",IF(NOT(ISNUMBER($F498)),"ERRO: valor nao numerico",IF($F498&lt;=0,"ERRO: valor deve ser maior que zero",IF(COUNTIF(MAP_TIPO,$D498)=0,"ERRO: tipo de operacao nao cadastrado",IF(COUNTIF(LST_STATUS,$E498)=0,"ERRO: status invalido",IF(AND($G498="EXTERNO",$I498="EXTERNO"),"ERRO: origem e destino externos",IF(AND($G498&lt;&gt;"EXTERNO",COUNTIFS(ENT_ID,$H498,ENT_TIPO,$G498)=0),"ERRO: origem inexistente",IF(AND($I498&lt;&gt;"EXTERNO",COUNTIFS(ENT_ID,$J498,ENT_TIPO,$I498)=0),"ERRO: destino inexistente",IF(AND($K498&lt;&gt;"",COUNTIF(CAT_ID,$K498)=0),"ERRO: categoria inexistente",IF(AND($L498&lt;&gt;"",COUNTIF(SUB_ID,$L498)=0),"ERRO: subcategoria inexistente",IF(AND($L498&lt;&gt;"",$K498&lt;&gt;"",IFERROR(INDEX(SUB_CATID,MATCH($L498,SUB_ID,0)),"")&lt;&gt;$K498),"ERRO: subcategoria nao pertence a categoria",IF(AND($O498&lt;&gt;"",COUNTIF(P_ID,$O498)=0),"ERRO: parcela inexistente",IF(AND($N498&lt;&gt;"",COUNTIF(CM_ID,$N498)=0),"ERRO: compromisso inexistente","OK")))))))))))))</f>
        <v/>
      </c>
      <c r="AK498" s="35" t="str">
        <f aca="false">IF($B498="","",IF(AND($N498="",$O498="",$P498="",$Q498="",$R498=""),"","VINCULADO: "&amp;TRIM(IF($N498&lt;&gt;"",$N498&amp;" ","")&amp;IF($O498&lt;&gt;"",$O498&amp;" ","")&amp;IF($P498&lt;&gt;"",$P498&amp;" ","")&amp;IF($Q498&lt;&gt;"",$Q498&amp;" ","")&amp;IF($R498&lt;&gt;"",$R498,""))))</f>
        <v/>
      </c>
    </row>
    <row r="499" customFormat="false" ht="15" hidden="false" customHeight="false" outlineLevel="0" collapsed="false">
      <c r="A499" s="30" t="str">
        <f aca="false">IF($B499="","","LAN-"&amp;TEXT(ROW()-4,"000000"))</f>
        <v/>
      </c>
      <c r="B499" s="31"/>
      <c r="C499" s="32"/>
      <c r="D499" s="32"/>
      <c r="E499" s="32"/>
      <c r="F499" s="33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4" t="str">
        <f aca="false">IF($B499="","",YEAR($B499))</f>
        <v/>
      </c>
      <c r="U499" s="34" t="str">
        <f aca="false">IF($B499="","",MONTH($B499))</f>
        <v/>
      </c>
      <c r="V499" s="34" t="str">
        <f aca="false">IF($B499="","",YEAR($B499)*100+MONTH($B499))</f>
        <v/>
      </c>
      <c r="W499" s="35" t="str">
        <f aca="false">IF($D499="","",IFERROR(INDEX(MAP_CLASS,MATCH($D499,MAP_TIPO,0)),"TIPO INVALIDO"))</f>
        <v/>
      </c>
      <c r="X499" s="35" t="str">
        <f aca="false">IF($K499="","",IFERROR(INDEX(CAT_NOME,MATCH($K499,CAT_ID,0)),"?"))</f>
        <v/>
      </c>
      <c r="Y499" s="35" t="str">
        <f aca="false">IF($L499="","",IFERROR(INDEX(SUB_NOME,MATCH($L499,SUB_ID,0)),"?"))</f>
        <v/>
      </c>
      <c r="Z499" s="35" t="str">
        <f aca="false">IF($G499="","",IF($G499="EXTERNO","(Externo)",IFERROR(INDEX(ENT_NOME,MATCH($H499,ENT_ID,0)),"?")))</f>
        <v/>
      </c>
      <c r="AA499" s="35" t="str">
        <f aca="false">IF($I499="","",IF($I499="EXTERNO","(Externo)",IFERROR(INDEX(ENT_NOME,MATCH($J499,ENT_ID,0)),"?")))</f>
        <v/>
      </c>
      <c r="AB499" s="36" t="n">
        <f aca="false">IF($B499="",0,IF(AND($I499="CONTA",$G499&lt;&gt;"CONTA"),$F499,0))</f>
        <v>0</v>
      </c>
      <c r="AC499" s="36" t="n">
        <f aca="false">IF($B499="",0,IF(AND($G499="CONTA",$I499&lt;&gt;"CONTA"),$F499,0))</f>
        <v>0</v>
      </c>
      <c r="AD499" s="36" t="n">
        <f aca="false">IF($W499="RECEITA",$F499,0)</f>
        <v>0</v>
      </c>
      <c r="AE499" s="36" t="n">
        <f aca="false">IF($W499="DESPESA",$F499,0)</f>
        <v>0</v>
      </c>
      <c r="AF499" s="36" t="n">
        <f aca="false">IF($W499="RECEITA_FINANCEIRA",$F499,0)</f>
        <v>0</v>
      </c>
      <c r="AG499" s="36" t="n">
        <f aca="false">IF($B499="",0,IF($I499="CONTA",$F499,0)-IF($G499="CONTA",$F499,0))</f>
        <v>0</v>
      </c>
      <c r="AH499" s="36" t="n">
        <f aca="false">IF($B499="",0,IF($G499="CARTAO",$F499,0)-IF($I499="CARTAO",$F499,0))</f>
        <v>0</v>
      </c>
      <c r="AI499" s="36" t="n">
        <f aca="false">IF($B499="",0,IF($I499="INVESTIMENTO",$F499,0)-IF($G499="INVESTIMENTO",$F499,0))</f>
        <v>0</v>
      </c>
      <c r="AJ499" s="35" t="str">
        <f aca="false">IF($B499="","",IF(NOT(ISNUMBER($F499)),"ERRO: valor nao numerico",IF($F499&lt;=0,"ERRO: valor deve ser maior que zero",IF(COUNTIF(MAP_TIPO,$D499)=0,"ERRO: tipo de operacao nao cadastrado",IF(COUNTIF(LST_STATUS,$E499)=0,"ERRO: status invalido",IF(AND($G499="EXTERNO",$I499="EXTERNO"),"ERRO: origem e destino externos",IF(AND($G499&lt;&gt;"EXTERNO",COUNTIFS(ENT_ID,$H499,ENT_TIPO,$G499)=0),"ERRO: origem inexistente",IF(AND($I499&lt;&gt;"EXTERNO",COUNTIFS(ENT_ID,$J499,ENT_TIPO,$I499)=0),"ERRO: destino inexistente",IF(AND($K499&lt;&gt;"",COUNTIF(CAT_ID,$K499)=0),"ERRO: categoria inexistente",IF(AND($L499&lt;&gt;"",COUNTIF(SUB_ID,$L499)=0),"ERRO: subcategoria inexistente",IF(AND($L499&lt;&gt;"",$K499&lt;&gt;"",IFERROR(INDEX(SUB_CATID,MATCH($L499,SUB_ID,0)),"")&lt;&gt;$K499),"ERRO: subcategoria nao pertence a categoria",IF(AND($O499&lt;&gt;"",COUNTIF(P_ID,$O499)=0),"ERRO: parcela inexistente",IF(AND($N499&lt;&gt;"",COUNTIF(CM_ID,$N499)=0),"ERRO: compromisso inexistente","OK")))))))))))))</f>
        <v/>
      </c>
      <c r="AK499" s="35" t="str">
        <f aca="false">IF($B499="","",IF(AND($N499="",$O499="",$P499="",$Q499="",$R499=""),"","VINCULADO: "&amp;TRIM(IF($N499&lt;&gt;"",$N499&amp;" ","")&amp;IF($O499&lt;&gt;"",$O499&amp;" ","")&amp;IF($P499&lt;&gt;"",$P499&amp;" ","")&amp;IF($Q499&lt;&gt;"",$Q499&amp;" ","")&amp;IF($R499&lt;&gt;"",$R499,""))))</f>
        <v/>
      </c>
    </row>
    <row r="500" customFormat="false" ht="15" hidden="false" customHeight="false" outlineLevel="0" collapsed="false">
      <c r="A500" s="30" t="str">
        <f aca="false">IF($B500="","","LAN-"&amp;TEXT(ROW()-4,"000000"))</f>
        <v/>
      </c>
      <c r="B500" s="31"/>
      <c r="C500" s="32"/>
      <c r="D500" s="32"/>
      <c r="E500" s="32"/>
      <c r="F500" s="33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4" t="str">
        <f aca="false">IF($B500="","",YEAR($B500))</f>
        <v/>
      </c>
      <c r="U500" s="34" t="str">
        <f aca="false">IF($B500="","",MONTH($B500))</f>
        <v/>
      </c>
      <c r="V500" s="34" t="str">
        <f aca="false">IF($B500="","",YEAR($B500)*100+MONTH($B500))</f>
        <v/>
      </c>
      <c r="W500" s="35" t="str">
        <f aca="false">IF($D500="","",IFERROR(INDEX(MAP_CLASS,MATCH($D500,MAP_TIPO,0)),"TIPO INVALIDO"))</f>
        <v/>
      </c>
      <c r="X500" s="35" t="str">
        <f aca="false">IF($K500="","",IFERROR(INDEX(CAT_NOME,MATCH($K500,CAT_ID,0)),"?"))</f>
        <v/>
      </c>
      <c r="Y500" s="35" t="str">
        <f aca="false">IF($L500="","",IFERROR(INDEX(SUB_NOME,MATCH($L500,SUB_ID,0)),"?"))</f>
        <v/>
      </c>
      <c r="Z500" s="35" t="str">
        <f aca="false">IF($G500="","",IF($G500="EXTERNO","(Externo)",IFERROR(INDEX(ENT_NOME,MATCH($H500,ENT_ID,0)),"?")))</f>
        <v/>
      </c>
      <c r="AA500" s="35" t="str">
        <f aca="false">IF($I500="","",IF($I500="EXTERNO","(Externo)",IFERROR(INDEX(ENT_NOME,MATCH($J500,ENT_ID,0)),"?")))</f>
        <v/>
      </c>
      <c r="AB500" s="36" t="n">
        <f aca="false">IF($B500="",0,IF(AND($I500="CONTA",$G500&lt;&gt;"CONTA"),$F500,0))</f>
        <v>0</v>
      </c>
      <c r="AC500" s="36" t="n">
        <f aca="false">IF($B500="",0,IF(AND($G500="CONTA",$I500&lt;&gt;"CONTA"),$F500,0))</f>
        <v>0</v>
      </c>
      <c r="AD500" s="36" t="n">
        <f aca="false">IF($W500="RECEITA",$F500,0)</f>
        <v>0</v>
      </c>
      <c r="AE500" s="36" t="n">
        <f aca="false">IF($W500="DESPESA",$F500,0)</f>
        <v>0</v>
      </c>
      <c r="AF500" s="36" t="n">
        <f aca="false">IF($W500="RECEITA_FINANCEIRA",$F500,0)</f>
        <v>0</v>
      </c>
      <c r="AG500" s="36" t="n">
        <f aca="false">IF($B500="",0,IF($I500="CONTA",$F500,0)-IF($G500="CONTA",$F500,0))</f>
        <v>0</v>
      </c>
      <c r="AH500" s="36" t="n">
        <f aca="false">IF($B500="",0,IF($G500="CARTAO",$F500,0)-IF($I500="CARTAO",$F500,0))</f>
        <v>0</v>
      </c>
      <c r="AI500" s="36" t="n">
        <f aca="false">IF($B500="",0,IF($I500="INVESTIMENTO",$F500,0)-IF($G500="INVESTIMENTO",$F500,0))</f>
        <v>0</v>
      </c>
      <c r="AJ500" s="35" t="str">
        <f aca="false">IF($B500="","",IF(NOT(ISNUMBER($F500)),"ERRO: valor nao numerico",IF($F500&lt;=0,"ERRO: valor deve ser maior que zero",IF(COUNTIF(MAP_TIPO,$D500)=0,"ERRO: tipo de operacao nao cadastrado",IF(COUNTIF(LST_STATUS,$E500)=0,"ERRO: status invalido",IF(AND($G500="EXTERNO",$I500="EXTERNO"),"ERRO: origem e destino externos",IF(AND($G500&lt;&gt;"EXTERNO",COUNTIFS(ENT_ID,$H500,ENT_TIPO,$G500)=0),"ERRO: origem inexistente",IF(AND($I500&lt;&gt;"EXTERNO",COUNTIFS(ENT_ID,$J500,ENT_TIPO,$I500)=0),"ERRO: destino inexistente",IF(AND($K500&lt;&gt;"",COUNTIF(CAT_ID,$K500)=0),"ERRO: categoria inexistente",IF(AND($L500&lt;&gt;"",COUNTIF(SUB_ID,$L500)=0),"ERRO: subcategoria inexistente",IF(AND($L500&lt;&gt;"",$K500&lt;&gt;"",IFERROR(INDEX(SUB_CATID,MATCH($L500,SUB_ID,0)),"")&lt;&gt;$K500),"ERRO: subcategoria nao pertence a categoria",IF(AND($O500&lt;&gt;"",COUNTIF(P_ID,$O500)=0),"ERRO: parcela inexistente",IF(AND($N500&lt;&gt;"",COUNTIF(CM_ID,$N500)=0),"ERRO: compromisso inexistente","OK")))))))))))))</f>
        <v/>
      </c>
      <c r="AK500" s="35" t="str">
        <f aca="false">IF($B500="","",IF(AND($N500="",$O500="",$P500="",$Q500="",$R500=""),"","VINCULADO: "&amp;TRIM(IF($N500&lt;&gt;"",$N500&amp;" ","")&amp;IF($O500&lt;&gt;"",$O500&amp;" ","")&amp;IF($P500&lt;&gt;"",$P500&amp;" ","")&amp;IF($Q500&lt;&gt;"",$Q500&amp;" ","")&amp;IF($R500&lt;&gt;"",$R500,""))))</f>
        <v/>
      </c>
    </row>
    <row r="501" customFormat="false" ht="15" hidden="false" customHeight="false" outlineLevel="0" collapsed="false">
      <c r="A501" s="30" t="str">
        <f aca="false">IF($B501="","","LAN-"&amp;TEXT(ROW()-4,"000000"))</f>
        <v/>
      </c>
      <c r="B501" s="31"/>
      <c r="C501" s="32"/>
      <c r="D501" s="32"/>
      <c r="E501" s="32"/>
      <c r="F501" s="33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4" t="str">
        <f aca="false">IF($B501="","",YEAR($B501))</f>
        <v/>
      </c>
      <c r="U501" s="34" t="str">
        <f aca="false">IF($B501="","",MONTH($B501))</f>
        <v/>
      </c>
      <c r="V501" s="34" t="str">
        <f aca="false">IF($B501="","",YEAR($B501)*100+MONTH($B501))</f>
        <v/>
      </c>
      <c r="W501" s="35" t="str">
        <f aca="false">IF($D501="","",IFERROR(INDEX(MAP_CLASS,MATCH($D501,MAP_TIPO,0)),"TIPO INVALIDO"))</f>
        <v/>
      </c>
      <c r="X501" s="35" t="str">
        <f aca="false">IF($K501="","",IFERROR(INDEX(CAT_NOME,MATCH($K501,CAT_ID,0)),"?"))</f>
        <v/>
      </c>
      <c r="Y501" s="35" t="str">
        <f aca="false">IF($L501="","",IFERROR(INDEX(SUB_NOME,MATCH($L501,SUB_ID,0)),"?"))</f>
        <v/>
      </c>
      <c r="Z501" s="35" t="str">
        <f aca="false">IF($G501="","",IF($G501="EXTERNO","(Externo)",IFERROR(INDEX(ENT_NOME,MATCH($H501,ENT_ID,0)),"?")))</f>
        <v/>
      </c>
      <c r="AA501" s="35" t="str">
        <f aca="false">IF($I501="","",IF($I501="EXTERNO","(Externo)",IFERROR(INDEX(ENT_NOME,MATCH($J501,ENT_ID,0)),"?")))</f>
        <v/>
      </c>
      <c r="AB501" s="36" t="n">
        <f aca="false">IF($B501="",0,IF(AND($I501="CONTA",$G501&lt;&gt;"CONTA"),$F501,0))</f>
        <v>0</v>
      </c>
      <c r="AC501" s="36" t="n">
        <f aca="false">IF($B501="",0,IF(AND($G501="CONTA",$I501&lt;&gt;"CONTA"),$F501,0))</f>
        <v>0</v>
      </c>
      <c r="AD501" s="36" t="n">
        <f aca="false">IF($W501="RECEITA",$F501,0)</f>
        <v>0</v>
      </c>
      <c r="AE501" s="36" t="n">
        <f aca="false">IF($W501="DESPESA",$F501,0)</f>
        <v>0</v>
      </c>
      <c r="AF501" s="36" t="n">
        <f aca="false">IF($W501="RECEITA_FINANCEIRA",$F501,0)</f>
        <v>0</v>
      </c>
      <c r="AG501" s="36" t="n">
        <f aca="false">IF($B501="",0,IF($I501="CONTA",$F501,0)-IF($G501="CONTA",$F501,0))</f>
        <v>0</v>
      </c>
      <c r="AH501" s="36" t="n">
        <f aca="false">IF($B501="",0,IF($G501="CARTAO",$F501,0)-IF($I501="CARTAO",$F501,0))</f>
        <v>0</v>
      </c>
      <c r="AI501" s="36" t="n">
        <f aca="false">IF($B501="",0,IF($I501="INVESTIMENTO",$F501,0)-IF($G501="INVESTIMENTO",$F501,0))</f>
        <v>0</v>
      </c>
      <c r="AJ501" s="35" t="str">
        <f aca="false">IF($B501="","",IF(NOT(ISNUMBER($F501)),"ERRO: valor nao numerico",IF($F501&lt;=0,"ERRO: valor deve ser maior que zero",IF(COUNTIF(MAP_TIPO,$D501)=0,"ERRO: tipo de operacao nao cadastrado",IF(COUNTIF(LST_STATUS,$E501)=0,"ERRO: status invalido",IF(AND($G501="EXTERNO",$I501="EXTERNO"),"ERRO: origem e destino externos",IF(AND($G501&lt;&gt;"EXTERNO",COUNTIFS(ENT_ID,$H501,ENT_TIPO,$G501)=0),"ERRO: origem inexistente",IF(AND($I501&lt;&gt;"EXTERNO",COUNTIFS(ENT_ID,$J501,ENT_TIPO,$I501)=0),"ERRO: destino inexistente",IF(AND($K501&lt;&gt;"",COUNTIF(CAT_ID,$K501)=0),"ERRO: categoria inexistente",IF(AND($L501&lt;&gt;"",COUNTIF(SUB_ID,$L501)=0),"ERRO: subcategoria inexistente",IF(AND($L501&lt;&gt;"",$K501&lt;&gt;"",IFERROR(INDEX(SUB_CATID,MATCH($L501,SUB_ID,0)),"")&lt;&gt;$K501),"ERRO: subcategoria nao pertence a categoria",IF(AND($O501&lt;&gt;"",COUNTIF(P_ID,$O501)=0),"ERRO: parcela inexistente",IF(AND($N501&lt;&gt;"",COUNTIF(CM_ID,$N501)=0),"ERRO: compromisso inexistente","OK")))))))))))))</f>
        <v/>
      </c>
      <c r="AK501" s="35" t="str">
        <f aca="false">IF($B501="","",IF(AND($N501="",$O501="",$P501="",$Q501="",$R501=""),"","VINCULADO: "&amp;TRIM(IF($N501&lt;&gt;"",$N501&amp;" ","")&amp;IF($O501&lt;&gt;"",$O501&amp;" ","")&amp;IF($P501&lt;&gt;"",$P501&amp;" ","")&amp;IF($Q501&lt;&gt;"",$Q501&amp;" ","")&amp;IF($R501&lt;&gt;"",$R501,""))))</f>
        <v/>
      </c>
    </row>
    <row r="502" customFormat="false" ht="15" hidden="false" customHeight="false" outlineLevel="0" collapsed="false">
      <c r="A502" s="30" t="str">
        <f aca="false">IF($B502="","","LAN-"&amp;TEXT(ROW()-4,"000000"))</f>
        <v/>
      </c>
      <c r="B502" s="31"/>
      <c r="C502" s="32"/>
      <c r="D502" s="32"/>
      <c r="E502" s="32"/>
      <c r="F502" s="33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4" t="str">
        <f aca="false">IF($B502="","",YEAR($B502))</f>
        <v/>
      </c>
      <c r="U502" s="34" t="str">
        <f aca="false">IF($B502="","",MONTH($B502))</f>
        <v/>
      </c>
      <c r="V502" s="34" t="str">
        <f aca="false">IF($B502="","",YEAR($B502)*100+MONTH($B502))</f>
        <v/>
      </c>
      <c r="W502" s="35" t="str">
        <f aca="false">IF($D502="","",IFERROR(INDEX(MAP_CLASS,MATCH($D502,MAP_TIPO,0)),"TIPO INVALIDO"))</f>
        <v/>
      </c>
      <c r="X502" s="35" t="str">
        <f aca="false">IF($K502="","",IFERROR(INDEX(CAT_NOME,MATCH($K502,CAT_ID,0)),"?"))</f>
        <v/>
      </c>
      <c r="Y502" s="35" t="str">
        <f aca="false">IF($L502="","",IFERROR(INDEX(SUB_NOME,MATCH($L502,SUB_ID,0)),"?"))</f>
        <v/>
      </c>
      <c r="Z502" s="35" t="str">
        <f aca="false">IF($G502="","",IF($G502="EXTERNO","(Externo)",IFERROR(INDEX(ENT_NOME,MATCH($H502,ENT_ID,0)),"?")))</f>
        <v/>
      </c>
      <c r="AA502" s="35" t="str">
        <f aca="false">IF($I502="","",IF($I502="EXTERNO","(Externo)",IFERROR(INDEX(ENT_NOME,MATCH($J502,ENT_ID,0)),"?")))</f>
        <v/>
      </c>
      <c r="AB502" s="36" t="n">
        <f aca="false">IF($B502="",0,IF(AND($I502="CONTA",$G502&lt;&gt;"CONTA"),$F502,0))</f>
        <v>0</v>
      </c>
      <c r="AC502" s="36" t="n">
        <f aca="false">IF($B502="",0,IF(AND($G502="CONTA",$I502&lt;&gt;"CONTA"),$F502,0))</f>
        <v>0</v>
      </c>
      <c r="AD502" s="36" t="n">
        <f aca="false">IF($W502="RECEITA",$F502,0)</f>
        <v>0</v>
      </c>
      <c r="AE502" s="36" t="n">
        <f aca="false">IF($W502="DESPESA",$F502,0)</f>
        <v>0</v>
      </c>
      <c r="AF502" s="36" t="n">
        <f aca="false">IF($W502="RECEITA_FINANCEIRA",$F502,0)</f>
        <v>0</v>
      </c>
      <c r="AG502" s="36" t="n">
        <f aca="false">IF($B502="",0,IF($I502="CONTA",$F502,0)-IF($G502="CONTA",$F502,0))</f>
        <v>0</v>
      </c>
      <c r="AH502" s="36" t="n">
        <f aca="false">IF($B502="",0,IF($G502="CARTAO",$F502,0)-IF($I502="CARTAO",$F502,0))</f>
        <v>0</v>
      </c>
      <c r="AI502" s="36" t="n">
        <f aca="false">IF($B502="",0,IF($I502="INVESTIMENTO",$F502,0)-IF($G502="INVESTIMENTO",$F502,0))</f>
        <v>0</v>
      </c>
      <c r="AJ502" s="35" t="str">
        <f aca="false">IF($B502="","",IF(NOT(ISNUMBER($F502)),"ERRO: valor nao numerico",IF($F502&lt;=0,"ERRO: valor deve ser maior que zero",IF(COUNTIF(MAP_TIPO,$D502)=0,"ERRO: tipo de operacao nao cadastrado",IF(COUNTIF(LST_STATUS,$E502)=0,"ERRO: status invalido",IF(AND($G502="EXTERNO",$I502="EXTERNO"),"ERRO: origem e destino externos",IF(AND($G502&lt;&gt;"EXTERNO",COUNTIFS(ENT_ID,$H502,ENT_TIPO,$G502)=0),"ERRO: origem inexistente",IF(AND($I502&lt;&gt;"EXTERNO",COUNTIFS(ENT_ID,$J502,ENT_TIPO,$I502)=0),"ERRO: destino inexistente",IF(AND($K502&lt;&gt;"",COUNTIF(CAT_ID,$K502)=0),"ERRO: categoria inexistente",IF(AND($L502&lt;&gt;"",COUNTIF(SUB_ID,$L502)=0),"ERRO: subcategoria inexistente",IF(AND($L502&lt;&gt;"",$K502&lt;&gt;"",IFERROR(INDEX(SUB_CATID,MATCH($L502,SUB_ID,0)),"")&lt;&gt;$K502),"ERRO: subcategoria nao pertence a categoria",IF(AND($O502&lt;&gt;"",COUNTIF(P_ID,$O502)=0),"ERRO: parcela inexistente",IF(AND($N502&lt;&gt;"",COUNTIF(CM_ID,$N502)=0),"ERRO: compromisso inexistente","OK")))))))))))))</f>
        <v/>
      </c>
      <c r="AK502" s="35" t="str">
        <f aca="false">IF($B502="","",IF(AND($N502="",$O502="",$P502="",$Q502="",$R502=""),"","VINCULADO: "&amp;TRIM(IF($N502&lt;&gt;"",$N502&amp;" ","")&amp;IF($O502&lt;&gt;"",$O502&amp;" ","")&amp;IF($P502&lt;&gt;"",$P502&amp;" ","")&amp;IF($Q502&lt;&gt;"",$Q502&amp;" ","")&amp;IF($R502&lt;&gt;"",$R502,""))))</f>
        <v/>
      </c>
    </row>
    <row r="503" customFormat="false" ht="15" hidden="false" customHeight="false" outlineLevel="0" collapsed="false">
      <c r="A503" s="30" t="str">
        <f aca="false">IF($B503="","","LAN-"&amp;TEXT(ROW()-4,"000000"))</f>
        <v/>
      </c>
      <c r="B503" s="31"/>
      <c r="C503" s="32"/>
      <c r="D503" s="32"/>
      <c r="E503" s="32"/>
      <c r="F503" s="33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4" t="str">
        <f aca="false">IF($B503="","",YEAR($B503))</f>
        <v/>
      </c>
      <c r="U503" s="34" t="str">
        <f aca="false">IF($B503="","",MONTH($B503))</f>
        <v/>
      </c>
      <c r="V503" s="34" t="str">
        <f aca="false">IF($B503="","",YEAR($B503)*100+MONTH($B503))</f>
        <v/>
      </c>
      <c r="W503" s="35" t="str">
        <f aca="false">IF($D503="","",IFERROR(INDEX(MAP_CLASS,MATCH($D503,MAP_TIPO,0)),"TIPO INVALIDO"))</f>
        <v/>
      </c>
      <c r="X503" s="35" t="str">
        <f aca="false">IF($K503="","",IFERROR(INDEX(CAT_NOME,MATCH($K503,CAT_ID,0)),"?"))</f>
        <v/>
      </c>
      <c r="Y503" s="35" t="str">
        <f aca="false">IF($L503="","",IFERROR(INDEX(SUB_NOME,MATCH($L503,SUB_ID,0)),"?"))</f>
        <v/>
      </c>
      <c r="Z503" s="35" t="str">
        <f aca="false">IF($G503="","",IF($G503="EXTERNO","(Externo)",IFERROR(INDEX(ENT_NOME,MATCH($H503,ENT_ID,0)),"?")))</f>
        <v/>
      </c>
      <c r="AA503" s="35" t="str">
        <f aca="false">IF($I503="","",IF($I503="EXTERNO","(Externo)",IFERROR(INDEX(ENT_NOME,MATCH($J503,ENT_ID,0)),"?")))</f>
        <v/>
      </c>
      <c r="AB503" s="36" t="n">
        <f aca="false">IF($B503="",0,IF(AND($I503="CONTA",$G503&lt;&gt;"CONTA"),$F503,0))</f>
        <v>0</v>
      </c>
      <c r="AC503" s="36" t="n">
        <f aca="false">IF($B503="",0,IF(AND($G503="CONTA",$I503&lt;&gt;"CONTA"),$F503,0))</f>
        <v>0</v>
      </c>
      <c r="AD503" s="36" t="n">
        <f aca="false">IF($W503="RECEITA",$F503,0)</f>
        <v>0</v>
      </c>
      <c r="AE503" s="36" t="n">
        <f aca="false">IF($W503="DESPESA",$F503,0)</f>
        <v>0</v>
      </c>
      <c r="AF503" s="36" t="n">
        <f aca="false">IF($W503="RECEITA_FINANCEIRA",$F503,0)</f>
        <v>0</v>
      </c>
      <c r="AG503" s="36" t="n">
        <f aca="false">IF($B503="",0,IF($I503="CONTA",$F503,0)-IF($G503="CONTA",$F503,0))</f>
        <v>0</v>
      </c>
      <c r="AH503" s="36" t="n">
        <f aca="false">IF($B503="",0,IF($G503="CARTAO",$F503,0)-IF($I503="CARTAO",$F503,0))</f>
        <v>0</v>
      </c>
      <c r="AI503" s="36" t="n">
        <f aca="false">IF($B503="",0,IF($I503="INVESTIMENTO",$F503,0)-IF($G503="INVESTIMENTO",$F503,0))</f>
        <v>0</v>
      </c>
      <c r="AJ503" s="35" t="str">
        <f aca="false">IF($B503="","",IF(NOT(ISNUMBER($F503)),"ERRO: valor nao numerico",IF($F503&lt;=0,"ERRO: valor deve ser maior que zero",IF(COUNTIF(MAP_TIPO,$D503)=0,"ERRO: tipo de operacao nao cadastrado",IF(COUNTIF(LST_STATUS,$E503)=0,"ERRO: status invalido",IF(AND($G503="EXTERNO",$I503="EXTERNO"),"ERRO: origem e destino externos",IF(AND($G503&lt;&gt;"EXTERNO",COUNTIFS(ENT_ID,$H503,ENT_TIPO,$G503)=0),"ERRO: origem inexistente",IF(AND($I503&lt;&gt;"EXTERNO",COUNTIFS(ENT_ID,$J503,ENT_TIPO,$I503)=0),"ERRO: destino inexistente",IF(AND($K503&lt;&gt;"",COUNTIF(CAT_ID,$K503)=0),"ERRO: categoria inexistente",IF(AND($L503&lt;&gt;"",COUNTIF(SUB_ID,$L503)=0),"ERRO: subcategoria inexistente",IF(AND($L503&lt;&gt;"",$K503&lt;&gt;"",IFERROR(INDEX(SUB_CATID,MATCH($L503,SUB_ID,0)),"")&lt;&gt;$K503),"ERRO: subcategoria nao pertence a categoria",IF(AND($O503&lt;&gt;"",COUNTIF(P_ID,$O503)=0),"ERRO: parcela inexistente",IF(AND($N503&lt;&gt;"",COUNTIF(CM_ID,$N503)=0),"ERRO: compromisso inexistente","OK")))))))))))))</f>
        <v/>
      </c>
      <c r="AK503" s="35" t="str">
        <f aca="false">IF($B503="","",IF(AND($N503="",$O503="",$P503="",$Q503="",$R503=""),"","VINCULADO: "&amp;TRIM(IF($N503&lt;&gt;"",$N503&amp;" ","")&amp;IF($O503&lt;&gt;"",$O503&amp;" ","")&amp;IF($P503&lt;&gt;"",$P503&amp;" ","")&amp;IF($Q503&lt;&gt;"",$Q503&amp;" ","")&amp;IF($R503&lt;&gt;"",$R503,""))))</f>
        <v/>
      </c>
    </row>
    <row r="504" customFormat="false" ht="15" hidden="false" customHeight="false" outlineLevel="0" collapsed="false">
      <c r="A504" s="30" t="str">
        <f aca="false">IF($B504="","","LAN-"&amp;TEXT(ROW()-4,"000000"))</f>
        <v/>
      </c>
      <c r="B504" s="31"/>
      <c r="C504" s="32"/>
      <c r="D504" s="32"/>
      <c r="E504" s="32"/>
      <c r="F504" s="33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4" t="str">
        <f aca="false">IF($B504="","",YEAR($B504))</f>
        <v/>
      </c>
      <c r="U504" s="34" t="str">
        <f aca="false">IF($B504="","",MONTH($B504))</f>
        <v/>
      </c>
      <c r="V504" s="34" t="str">
        <f aca="false">IF($B504="","",YEAR($B504)*100+MONTH($B504))</f>
        <v/>
      </c>
      <c r="W504" s="35" t="str">
        <f aca="false">IF($D504="","",IFERROR(INDEX(MAP_CLASS,MATCH($D504,MAP_TIPO,0)),"TIPO INVALIDO"))</f>
        <v/>
      </c>
      <c r="X504" s="35" t="str">
        <f aca="false">IF($K504="","",IFERROR(INDEX(CAT_NOME,MATCH($K504,CAT_ID,0)),"?"))</f>
        <v/>
      </c>
      <c r="Y504" s="35" t="str">
        <f aca="false">IF($L504="","",IFERROR(INDEX(SUB_NOME,MATCH($L504,SUB_ID,0)),"?"))</f>
        <v/>
      </c>
      <c r="Z504" s="35" t="str">
        <f aca="false">IF($G504="","",IF($G504="EXTERNO","(Externo)",IFERROR(INDEX(ENT_NOME,MATCH($H504,ENT_ID,0)),"?")))</f>
        <v/>
      </c>
      <c r="AA504" s="35" t="str">
        <f aca="false">IF($I504="","",IF($I504="EXTERNO","(Externo)",IFERROR(INDEX(ENT_NOME,MATCH($J504,ENT_ID,0)),"?")))</f>
        <v/>
      </c>
      <c r="AB504" s="36" t="n">
        <f aca="false">IF($B504="",0,IF(AND($I504="CONTA",$G504&lt;&gt;"CONTA"),$F504,0))</f>
        <v>0</v>
      </c>
      <c r="AC504" s="36" t="n">
        <f aca="false">IF($B504="",0,IF(AND($G504="CONTA",$I504&lt;&gt;"CONTA"),$F504,0))</f>
        <v>0</v>
      </c>
      <c r="AD504" s="36" t="n">
        <f aca="false">IF($W504="RECEITA",$F504,0)</f>
        <v>0</v>
      </c>
      <c r="AE504" s="36" t="n">
        <f aca="false">IF($W504="DESPESA",$F504,0)</f>
        <v>0</v>
      </c>
      <c r="AF504" s="36" t="n">
        <f aca="false">IF($W504="RECEITA_FINANCEIRA",$F504,0)</f>
        <v>0</v>
      </c>
      <c r="AG504" s="36" t="n">
        <f aca="false">IF($B504="",0,IF($I504="CONTA",$F504,0)-IF($G504="CONTA",$F504,0))</f>
        <v>0</v>
      </c>
      <c r="AH504" s="36" t="n">
        <f aca="false">IF($B504="",0,IF($G504="CARTAO",$F504,0)-IF($I504="CARTAO",$F504,0))</f>
        <v>0</v>
      </c>
      <c r="AI504" s="36" t="n">
        <f aca="false">IF($B504="",0,IF($I504="INVESTIMENTO",$F504,0)-IF($G504="INVESTIMENTO",$F504,0))</f>
        <v>0</v>
      </c>
      <c r="AJ504" s="35" t="str">
        <f aca="false">IF($B504="","",IF(NOT(ISNUMBER($F504)),"ERRO: valor nao numerico",IF($F504&lt;=0,"ERRO: valor deve ser maior que zero",IF(COUNTIF(MAP_TIPO,$D504)=0,"ERRO: tipo de operacao nao cadastrado",IF(COUNTIF(LST_STATUS,$E504)=0,"ERRO: status invalido",IF(AND($G504="EXTERNO",$I504="EXTERNO"),"ERRO: origem e destino externos",IF(AND($G504&lt;&gt;"EXTERNO",COUNTIFS(ENT_ID,$H504,ENT_TIPO,$G504)=0),"ERRO: origem inexistente",IF(AND($I504&lt;&gt;"EXTERNO",COUNTIFS(ENT_ID,$J504,ENT_TIPO,$I504)=0),"ERRO: destino inexistente",IF(AND($K504&lt;&gt;"",COUNTIF(CAT_ID,$K504)=0),"ERRO: categoria inexistente",IF(AND($L504&lt;&gt;"",COUNTIF(SUB_ID,$L504)=0),"ERRO: subcategoria inexistente",IF(AND($L504&lt;&gt;"",$K504&lt;&gt;"",IFERROR(INDEX(SUB_CATID,MATCH($L504,SUB_ID,0)),"")&lt;&gt;$K504),"ERRO: subcategoria nao pertence a categoria",IF(AND($O504&lt;&gt;"",COUNTIF(P_ID,$O504)=0),"ERRO: parcela inexistente",IF(AND($N504&lt;&gt;"",COUNTIF(CM_ID,$N504)=0),"ERRO: compromisso inexistente","OK")))))))))))))</f>
        <v/>
      </c>
      <c r="AK504" s="35" t="str">
        <f aca="false">IF($B504="","",IF(AND($N504="",$O504="",$P504="",$Q504="",$R504=""),"","VINCULADO: "&amp;TRIM(IF($N504&lt;&gt;"",$N504&amp;" ","")&amp;IF($O504&lt;&gt;"",$O504&amp;" ","")&amp;IF($P504&lt;&gt;"",$P504&amp;" ","")&amp;IF($Q504&lt;&gt;"",$Q504&amp;" ","")&amp;IF($R504&lt;&gt;"",$R504,""))))</f>
        <v/>
      </c>
    </row>
    <row r="505" customFormat="false" ht="15" hidden="false" customHeight="false" outlineLevel="0" collapsed="false">
      <c r="A505" s="30" t="str">
        <f aca="false">IF($B505="","","LAN-"&amp;TEXT(ROW()-4,"000000"))</f>
        <v/>
      </c>
      <c r="B505" s="31"/>
      <c r="C505" s="32"/>
      <c r="D505" s="32"/>
      <c r="E505" s="32"/>
      <c r="F505" s="33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4" t="str">
        <f aca="false">IF($B505="","",YEAR($B505))</f>
        <v/>
      </c>
      <c r="U505" s="34" t="str">
        <f aca="false">IF($B505="","",MONTH($B505))</f>
        <v/>
      </c>
      <c r="V505" s="34" t="str">
        <f aca="false">IF($B505="","",YEAR($B505)*100+MONTH($B505))</f>
        <v/>
      </c>
      <c r="W505" s="35" t="str">
        <f aca="false">IF($D505="","",IFERROR(INDEX(MAP_CLASS,MATCH($D505,MAP_TIPO,0)),"TIPO INVALIDO"))</f>
        <v/>
      </c>
      <c r="X505" s="35" t="str">
        <f aca="false">IF($K505="","",IFERROR(INDEX(CAT_NOME,MATCH($K505,CAT_ID,0)),"?"))</f>
        <v/>
      </c>
      <c r="Y505" s="35" t="str">
        <f aca="false">IF($L505="","",IFERROR(INDEX(SUB_NOME,MATCH($L505,SUB_ID,0)),"?"))</f>
        <v/>
      </c>
      <c r="Z505" s="35" t="str">
        <f aca="false">IF($G505="","",IF($G505="EXTERNO","(Externo)",IFERROR(INDEX(ENT_NOME,MATCH($H505,ENT_ID,0)),"?")))</f>
        <v/>
      </c>
      <c r="AA505" s="35" t="str">
        <f aca="false">IF($I505="","",IF($I505="EXTERNO","(Externo)",IFERROR(INDEX(ENT_NOME,MATCH($J505,ENT_ID,0)),"?")))</f>
        <v/>
      </c>
      <c r="AB505" s="36" t="n">
        <f aca="false">IF($B505="",0,IF(AND($I505="CONTA",$G505&lt;&gt;"CONTA"),$F505,0))</f>
        <v>0</v>
      </c>
      <c r="AC505" s="36" t="n">
        <f aca="false">IF($B505="",0,IF(AND($G505="CONTA",$I505&lt;&gt;"CONTA"),$F505,0))</f>
        <v>0</v>
      </c>
      <c r="AD505" s="36" t="n">
        <f aca="false">IF($W505="RECEITA",$F505,0)</f>
        <v>0</v>
      </c>
      <c r="AE505" s="36" t="n">
        <f aca="false">IF($W505="DESPESA",$F505,0)</f>
        <v>0</v>
      </c>
      <c r="AF505" s="36" t="n">
        <f aca="false">IF($W505="RECEITA_FINANCEIRA",$F505,0)</f>
        <v>0</v>
      </c>
      <c r="AG505" s="36" t="n">
        <f aca="false">IF($B505="",0,IF($I505="CONTA",$F505,0)-IF($G505="CONTA",$F505,0))</f>
        <v>0</v>
      </c>
      <c r="AH505" s="36" t="n">
        <f aca="false">IF($B505="",0,IF($G505="CARTAO",$F505,0)-IF($I505="CARTAO",$F505,0))</f>
        <v>0</v>
      </c>
      <c r="AI505" s="36" t="n">
        <f aca="false">IF($B505="",0,IF($I505="INVESTIMENTO",$F505,0)-IF($G505="INVESTIMENTO",$F505,0))</f>
        <v>0</v>
      </c>
      <c r="AJ505" s="35" t="str">
        <f aca="false">IF($B505="","",IF(NOT(ISNUMBER($F505)),"ERRO: valor nao numerico",IF($F505&lt;=0,"ERRO: valor deve ser maior que zero",IF(COUNTIF(MAP_TIPO,$D505)=0,"ERRO: tipo de operacao nao cadastrado",IF(COUNTIF(LST_STATUS,$E505)=0,"ERRO: status invalido",IF(AND($G505="EXTERNO",$I505="EXTERNO"),"ERRO: origem e destino externos",IF(AND($G505&lt;&gt;"EXTERNO",COUNTIFS(ENT_ID,$H505,ENT_TIPO,$G505)=0),"ERRO: origem inexistente",IF(AND($I505&lt;&gt;"EXTERNO",COUNTIFS(ENT_ID,$J505,ENT_TIPO,$I505)=0),"ERRO: destino inexistente",IF(AND($K505&lt;&gt;"",COUNTIF(CAT_ID,$K505)=0),"ERRO: categoria inexistente",IF(AND($L505&lt;&gt;"",COUNTIF(SUB_ID,$L505)=0),"ERRO: subcategoria inexistente",IF(AND($L505&lt;&gt;"",$K505&lt;&gt;"",IFERROR(INDEX(SUB_CATID,MATCH($L505,SUB_ID,0)),"")&lt;&gt;$K505),"ERRO: subcategoria nao pertence a categoria",IF(AND($O505&lt;&gt;"",COUNTIF(P_ID,$O505)=0),"ERRO: parcela inexistente",IF(AND($N505&lt;&gt;"",COUNTIF(CM_ID,$N505)=0),"ERRO: compromisso inexistente","OK")))))))))))))</f>
        <v/>
      </c>
      <c r="AK505" s="35" t="str">
        <f aca="false">IF($B505="","",IF(AND($N505="",$O505="",$P505="",$Q505="",$R505=""),"","VINCULADO: "&amp;TRIM(IF($N505&lt;&gt;"",$N505&amp;" ","")&amp;IF($O505&lt;&gt;"",$O505&amp;" ","")&amp;IF($P505&lt;&gt;"",$P505&amp;" ","")&amp;IF($Q505&lt;&gt;"",$Q505&amp;" ","")&amp;IF($R505&lt;&gt;"",$R505,""))))</f>
        <v/>
      </c>
    </row>
    <row r="506" customFormat="false" ht="15" hidden="false" customHeight="false" outlineLevel="0" collapsed="false">
      <c r="A506" s="30" t="str">
        <f aca="false">IF($B506="","","LAN-"&amp;TEXT(ROW()-4,"000000"))</f>
        <v/>
      </c>
      <c r="B506" s="31"/>
      <c r="C506" s="32"/>
      <c r="D506" s="32"/>
      <c r="E506" s="32"/>
      <c r="F506" s="33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4" t="str">
        <f aca="false">IF($B506="","",YEAR($B506))</f>
        <v/>
      </c>
      <c r="U506" s="34" t="str">
        <f aca="false">IF($B506="","",MONTH($B506))</f>
        <v/>
      </c>
      <c r="V506" s="34" t="str">
        <f aca="false">IF($B506="","",YEAR($B506)*100+MONTH($B506))</f>
        <v/>
      </c>
      <c r="W506" s="35" t="str">
        <f aca="false">IF($D506="","",IFERROR(INDEX(MAP_CLASS,MATCH($D506,MAP_TIPO,0)),"TIPO INVALIDO"))</f>
        <v/>
      </c>
      <c r="X506" s="35" t="str">
        <f aca="false">IF($K506="","",IFERROR(INDEX(CAT_NOME,MATCH($K506,CAT_ID,0)),"?"))</f>
        <v/>
      </c>
      <c r="Y506" s="35" t="str">
        <f aca="false">IF($L506="","",IFERROR(INDEX(SUB_NOME,MATCH($L506,SUB_ID,0)),"?"))</f>
        <v/>
      </c>
      <c r="Z506" s="35" t="str">
        <f aca="false">IF($G506="","",IF($G506="EXTERNO","(Externo)",IFERROR(INDEX(ENT_NOME,MATCH($H506,ENT_ID,0)),"?")))</f>
        <v/>
      </c>
      <c r="AA506" s="35" t="str">
        <f aca="false">IF($I506="","",IF($I506="EXTERNO","(Externo)",IFERROR(INDEX(ENT_NOME,MATCH($J506,ENT_ID,0)),"?")))</f>
        <v/>
      </c>
      <c r="AB506" s="36" t="n">
        <f aca="false">IF($B506="",0,IF(AND($I506="CONTA",$G506&lt;&gt;"CONTA"),$F506,0))</f>
        <v>0</v>
      </c>
      <c r="AC506" s="36" t="n">
        <f aca="false">IF($B506="",0,IF(AND($G506="CONTA",$I506&lt;&gt;"CONTA"),$F506,0))</f>
        <v>0</v>
      </c>
      <c r="AD506" s="36" t="n">
        <f aca="false">IF($W506="RECEITA",$F506,0)</f>
        <v>0</v>
      </c>
      <c r="AE506" s="36" t="n">
        <f aca="false">IF($W506="DESPESA",$F506,0)</f>
        <v>0</v>
      </c>
      <c r="AF506" s="36" t="n">
        <f aca="false">IF($W506="RECEITA_FINANCEIRA",$F506,0)</f>
        <v>0</v>
      </c>
      <c r="AG506" s="36" t="n">
        <f aca="false">IF($B506="",0,IF($I506="CONTA",$F506,0)-IF($G506="CONTA",$F506,0))</f>
        <v>0</v>
      </c>
      <c r="AH506" s="36" t="n">
        <f aca="false">IF($B506="",0,IF($G506="CARTAO",$F506,0)-IF($I506="CARTAO",$F506,0))</f>
        <v>0</v>
      </c>
      <c r="AI506" s="36" t="n">
        <f aca="false">IF($B506="",0,IF($I506="INVESTIMENTO",$F506,0)-IF($G506="INVESTIMENTO",$F506,0))</f>
        <v>0</v>
      </c>
      <c r="AJ506" s="35" t="str">
        <f aca="false">IF($B506="","",IF(NOT(ISNUMBER($F506)),"ERRO: valor nao numerico",IF($F506&lt;=0,"ERRO: valor deve ser maior que zero",IF(COUNTIF(MAP_TIPO,$D506)=0,"ERRO: tipo de operacao nao cadastrado",IF(COUNTIF(LST_STATUS,$E506)=0,"ERRO: status invalido",IF(AND($G506="EXTERNO",$I506="EXTERNO"),"ERRO: origem e destino externos",IF(AND($G506&lt;&gt;"EXTERNO",COUNTIFS(ENT_ID,$H506,ENT_TIPO,$G506)=0),"ERRO: origem inexistente",IF(AND($I506&lt;&gt;"EXTERNO",COUNTIFS(ENT_ID,$J506,ENT_TIPO,$I506)=0),"ERRO: destino inexistente",IF(AND($K506&lt;&gt;"",COUNTIF(CAT_ID,$K506)=0),"ERRO: categoria inexistente",IF(AND($L506&lt;&gt;"",COUNTIF(SUB_ID,$L506)=0),"ERRO: subcategoria inexistente",IF(AND($L506&lt;&gt;"",$K506&lt;&gt;"",IFERROR(INDEX(SUB_CATID,MATCH($L506,SUB_ID,0)),"")&lt;&gt;$K506),"ERRO: subcategoria nao pertence a categoria",IF(AND($O506&lt;&gt;"",COUNTIF(P_ID,$O506)=0),"ERRO: parcela inexistente",IF(AND($N506&lt;&gt;"",COUNTIF(CM_ID,$N506)=0),"ERRO: compromisso inexistente","OK")))))))))))))</f>
        <v/>
      </c>
      <c r="AK506" s="35" t="str">
        <f aca="false">IF($B506="","",IF(AND($N506="",$O506="",$P506="",$Q506="",$R506=""),"","VINCULADO: "&amp;TRIM(IF($N506&lt;&gt;"",$N506&amp;" ","")&amp;IF($O506&lt;&gt;"",$O506&amp;" ","")&amp;IF($P506&lt;&gt;"",$P506&amp;" ","")&amp;IF($Q506&lt;&gt;"",$Q506&amp;" ","")&amp;IF($R506&lt;&gt;"",$R506,""))))</f>
        <v/>
      </c>
    </row>
    <row r="507" customFormat="false" ht="15" hidden="false" customHeight="false" outlineLevel="0" collapsed="false">
      <c r="A507" s="30" t="str">
        <f aca="false">IF($B507="","","LAN-"&amp;TEXT(ROW()-4,"000000"))</f>
        <v/>
      </c>
      <c r="B507" s="31"/>
      <c r="C507" s="32"/>
      <c r="D507" s="32"/>
      <c r="E507" s="32"/>
      <c r="F507" s="33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4" t="str">
        <f aca="false">IF($B507="","",YEAR($B507))</f>
        <v/>
      </c>
      <c r="U507" s="34" t="str">
        <f aca="false">IF($B507="","",MONTH($B507))</f>
        <v/>
      </c>
      <c r="V507" s="34" t="str">
        <f aca="false">IF($B507="","",YEAR($B507)*100+MONTH($B507))</f>
        <v/>
      </c>
      <c r="W507" s="35" t="str">
        <f aca="false">IF($D507="","",IFERROR(INDEX(MAP_CLASS,MATCH($D507,MAP_TIPO,0)),"TIPO INVALIDO"))</f>
        <v/>
      </c>
      <c r="X507" s="35" t="str">
        <f aca="false">IF($K507="","",IFERROR(INDEX(CAT_NOME,MATCH($K507,CAT_ID,0)),"?"))</f>
        <v/>
      </c>
      <c r="Y507" s="35" t="str">
        <f aca="false">IF($L507="","",IFERROR(INDEX(SUB_NOME,MATCH($L507,SUB_ID,0)),"?"))</f>
        <v/>
      </c>
      <c r="Z507" s="35" t="str">
        <f aca="false">IF($G507="","",IF($G507="EXTERNO","(Externo)",IFERROR(INDEX(ENT_NOME,MATCH($H507,ENT_ID,0)),"?")))</f>
        <v/>
      </c>
      <c r="AA507" s="35" t="str">
        <f aca="false">IF($I507="","",IF($I507="EXTERNO","(Externo)",IFERROR(INDEX(ENT_NOME,MATCH($J507,ENT_ID,0)),"?")))</f>
        <v/>
      </c>
      <c r="AB507" s="36" t="n">
        <f aca="false">IF($B507="",0,IF(AND($I507="CONTA",$G507&lt;&gt;"CONTA"),$F507,0))</f>
        <v>0</v>
      </c>
      <c r="AC507" s="36" t="n">
        <f aca="false">IF($B507="",0,IF(AND($G507="CONTA",$I507&lt;&gt;"CONTA"),$F507,0))</f>
        <v>0</v>
      </c>
      <c r="AD507" s="36" t="n">
        <f aca="false">IF($W507="RECEITA",$F507,0)</f>
        <v>0</v>
      </c>
      <c r="AE507" s="36" t="n">
        <f aca="false">IF($W507="DESPESA",$F507,0)</f>
        <v>0</v>
      </c>
      <c r="AF507" s="36" t="n">
        <f aca="false">IF($W507="RECEITA_FINANCEIRA",$F507,0)</f>
        <v>0</v>
      </c>
      <c r="AG507" s="36" t="n">
        <f aca="false">IF($B507="",0,IF($I507="CONTA",$F507,0)-IF($G507="CONTA",$F507,0))</f>
        <v>0</v>
      </c>
      <c r="AH507" s="36" t="n">
        <f aca="false">IF($B507="",0,IF($G507="CARTAO",$F507,0)-IF($I507="CARTAO",$F507,0))</f>
        <v>0</v>
      </c>
      <c r="AI507" s="36" t="n">
        <f aca="false">IF($B507="",0,IF($I507="INVESTIMENTO",$F507,0)-IF($G507="INVESTIMENTO",$F507,0))</f>
        <v>0</v>
      </c>
      <c r="AJ507" s="35" t="str">
        <f aca="false">IF($B507="","",IF(NOT(ISNUMBER($F507)),"ERRO: valor nao numerico",IF($F507&lt;=0,"ERRO: valor deve ser maior que zero",IF(COUNTIF(MAP_TIPO,$D507)=0,"ERRO: tipo de operacao nao cadastrado",IF(COUNTIF(LST_STATUS,$E507)=0,"ERRO: status invalido",IF(AND($G507="EXTERNO",$I507="EXTERNO"),"ERRO: origem e destino externos",IF(AND($G507&lt;&gt;"EXTERNO",COUNTIFS(ENT_ID,$H507,ENT_TIPO,$G507)=0),"ERRO: origem inexistente",IF(AND($I507&lt;&gt;"EXTERNO",COUNTIFS(ENT_ID,$J507,ENT_TIPO,$I507)=0),"ERRO: destino inexistente",IF(AND($K507&lt;&gt;"",COUNTIF(CAT_ID,$K507)=0),"ERRO: categoria inexistente",IF(AND($L507&lt;&gt;"",COUNTIF(SUB_ID,$L507)=0),"ERRO: subcategoria inexistente",IF(AND($L507&lt;&gt;"",$K507&lt;&gt;"",IFERROR(INDEX(SUB_CATID,MATCH($L507,SUB_ID,0)),"")&lt;&gt;$K507),"ERRO: subcategoria nao pertence a categoria",IF(AND($O507&lt;&gt;"",COUNTIF(P_ID,$O507)=0),"ERRO: parcela inexistente",IF(AND($N507&lt;&gt;"",COUNTIF(CM_ID,$N507)=0),"ERRO: compromisso inexistente","OK")))))))))))))</f>
        <v/>
      </c>
      <c r="AK507" s="35" t="str">
        <f aca="false">IF($B507="","",IF(AND($N507="",$O507="",$P507="",$Q507="",$R507=""),"","VINCULADO: "&amp;TRIM(IF($N507&lt;&gt;"",$N507&amp;" ","")&amp;IF($O507&lt;&gt;"",$O507&amp;" ","")&amp;IF($P507&lt;&gt;"",$P507&amp;" ","")&amp;IF($Q507&lt;&gt;"",$Q507&amp;" ","")&amp;IF($R507&lt;&gt;"",$R507,""))))</f>
        <v/>
      </c>
    </row>
    <row r="508" customFormat="false" ht="15" hidden="false" customHeight="false" outlineLevel="0" collapsed="false">
      <c r="A508" s="30" t="str">
        <f aca="false">IF($B508="","","LAN-"&amp;TEXT(ROW()-4,"000000"))</f>
        <v/>
      </c>
      <c r="B508" s="31"/>
      <c r="C508" s="32"/>
      <c r="D508" s="32"/>
      <c r="E508" s="32"/>
      <c r="F508" s="33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4" t="str">
        <f aca="false">IF($B508="","",YEAR($B508))</f>
        <v/>
      </c>
      <c r="U508" s="34" t="str">
        <f aca="false">IF($B508="","",MONTH($B508))</f>
        <v/>
      </c>
      <c r="V508" s="34" t="str">
        <f aca="false">IF($B508="","",YEAR($B508)*100+MONTH($B508))</f>
        <v/>
      </c>
      <c r="W508" s="35" t="str">
        <f aca="false">IF($D508="","",IFERROR(INDEX(MAP_CLASS,MATCH($D508,MAP_TIPO,0)),"TIPO INVALIDO"))</f>
        <v/>
      </c>
      <c r="X508" s="35" t="str">
        <f aca="false">IF($K508="","",IFERROR(INDEX(CAT_NOME,MATCH($K508,CAT_ID,0)),"?"))</f>
        <v/>
      </c>
      <c r="Y508" s="35" t="str">
        <f aca="false">IF($L508="","",IFERROR(INDEX(SUB_NOME,MATCH($L508,SUB_ID,0)),"?"))</f>
        <v/>
      </c>
      <c r="Z508" s="35" t="str">
        <f aca="false">IF($G508="","",IF($G508="EXTERNO","(Externo)",IFERROR(INDEX(ENT_NOME,MATCH($H508,ENT_ID,0)),"?")))</f>
        <v/>
      </c>
      <c r="AA508" s="35" t="str">
        <f aca="false">IF($I508="","",IF($I508="EXTERNO","(Externo)",IFERROR(INDEX(ENT_NOME,MATCH($J508,ENT_ID,0)),"?")))</f>
        <v/>
      </c>
      <c r="AB508" s="36" t="n">
        <f aca="false">IF($B508="",0,IF(AND($I508="CONTA",$G508&lt;&gt;"CONTA"),$F508,0))</f>
        <v>0</v>
      </c>
      <c r="AC508" s="36" t="n">
        <f aca="false">IF($B508="",0,IF(AND($G508="CONTA",$I508&lt;&gt;"CONTA"),$F508,0))</f>
        <v>0</v>
      </c>
      <c r="AD508" s="36" t="n">
        <f aca="false">IF($W508="RECEITA",$F508,0)</f>
        <v>0</v>
      </c>
      <c r="AE508" s="36" t="n">
        <f aca="false">IF($W508="DESPESA",$F508,0)</f>
        <v>0</v>
      </c>
      <c r="AF508" s="36" t="n">
        <f aca="false">IF($W508="RECEITA_FINANCEIRA",$F508,0)</f>
        <v>0</v>
      </c>
      <c r="AG508" s="36" t="n">
        <f aca="false">IF($B508="",0,IF($I508="CONTA",$F508,0)-IF($G508="CONTA",$F508,0))</f>
        <v>0</v>
      </c>
      <c r="AH508" s="36" t="n">
        <f aca="false">IF($B508="",0,IF($G508="CARTAO",$F508,0)-IF($I508="CARTAO",$F508,0))</f>
        <v>0</v>
      </c>
      <c r="AI508" s="36" t="n">
        <f aca="false">IF($B508="",0,IF($I508="INVESTIMENTO",$F508,0)-IF($G508="INVESTIMENTO",$F508,0))</f>
        <v>0</v>
      </c>
      <c r="AJ508" s="35" t="str">
        <f aca="false">IF($B508="","",IF(NOT(ISNUMBER($F508)),"ERRO: valor nao numerico",IF($F508&lt;=0,"ERRO: valor deve ser maior que zero",IF(COUNTIF(MAP_TIPO,$D508)=0,"ERRO: tipo de operacao nao cadastrado",IF(COUNTIF(LST_STATUS,$E508)=0,"ERRO: status invalido",IF(AND($G508="EXTERNO",$I508="EXTERNO"),"ERRO: origem e destino externos",IF(AND($G508&lt;&gt;"EXTERNO",COUNTIFS(ENT_ID,$H508,ENT_TIPO,$G508)=0),"ERRO: origem inexistente",IF(AND($I508&lt;&gt;"EXTERNO",COUNTIFS(ENT_ID,$J508,ENT_TIPO,$I508)=0),"ERRO: destino inexistente",IF(AND($K508&lt;&gt;"",COUNTIF(CAT_ID,$K508)=0),"ERRO: categoria inexistente",IF(AND($L508&lt;&gt;"",COUNTIF(SUB_ID,$L508)=0),"ERRO: subcategoria inexistente",IF(AND($L508&lt;&gt;"",$K508&lt;&gt;"",IFERROR(INDEX(SUB_CATID,MATCH($L508,SUB_ID,0)),"")&lt;&gt;$K508),"ERRO: subcategoria nao pertence a categoria",IF(AND($O508&lt;&gt;"",COUNTIF(P_ID,$O508)=0),"ERRO: parcela inexistente",IF(AND($N508&lt;&gt;"",COUNTIF(CM_ID,$N508)=0),"ERRO: compromisso inexistente","OK")))))))))))))</f>
        <v/>
      </c>
      <c r="AK508" s="35" t="str">
        <f aca="false">IF($B508="","",IF(AND($N508="",$O508="",$P508="",$Q508="",$R508=""),"","VINCULADO: "&amp;TRIM(IF($N508&lt;&gt;"",$N508&amp;" ","")&amp;IF($O508&lt;&gt;"",$O508&amp;" ","")&amp;IF($P508&lt;&gt;"",$P508&amp;" ","")&amp;IF($Q508&lt;&gt;"",$Q508&amp;" ","")&amp;IF($R508&lt;&gt;"",$R508,""))))</f>
        <v/>
      </c>
    </row>
    <row r="509" customFormat="false" ht="15" hidden="false" customHeight="false" outlineLevel="0" collapsed="false">
      <c r="A509" s="30" t="str">
        <f aca="false">IF($B509="","","LAN-"&amp;TEXT(ROW()-4,"000000"))</f>
        <v/>
      </c>
      <c r="B509" s="31"/>
      <c r="C509" s="32"/>
      <c r="D509" s="32"/>
      <c r="E509" s="32"/>
      <c r="F509" s="33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4" t="str">
        <f aca="false">IF($B509="","",YEAR($B509))</f>
        <v/>
      </c>
      <c r="U509" s="34" t="str">
        <f aca="false">IF($B509="","",MONTH($B509))</f>
        <v/>
      </c>
      <c r="V509" s="34" t="str">
        <f aca="false">IF($B509="","",YEAR($B509)*100+MONTH($B509))</f>
        <v/>
      </c>
      <c r="W509" s="35" t="str">
        <f aca="false">IF($D509="","",IFERROR(INDEX(MAP_CLASS,MATCH($D509,MAP_TIPO,0)),"TIPO INVALIDO"))</f>
        <v/>
      </c>
      <c r="X509" s="35" t="str">
        <f aca="false">IF($K509="","",IFERROR(INDEX(CAT_NOME,MATCH($K509,CAT_ID,0)),"?"))</f>
        <v/>
      </c>
      <c r="Y509" s="35" t="str">
        <f aca="false">IF($L509="","",IFERROR(INDEX(SUB_NOME,MATCH($L509,SUB_ID,0)),"?"))</f>
        <v/>
      </c>
      <c r="Z509" s="35" t="str">
        <f aca="false">IF($G509="","",IF($G509="EXTERNO","(Externo)",IFERROR(INDEX(ENT_NOME,MATCH($H509,ENT_ID,0)),"?")))</f>
        <v/>
      </c>
      <c r="AA509" s="35" t="str">
        <f aca="false">IF($I509="","",IF($I509="EXTERNO","(Externo)",IFERROR(INDEX(ENT_NOME,MATCH($J509,ENT_ID,0)),"?")))</f>
        <v/>
      </c>
      <c r="AB509" s="36" t="n">
        <f aca="false">IF($B509="",0,IF(AND($I509="CONTA",$G509&lt;&gt;"CONTA"),$F509,0))</f>
        <v>0</v>
      </c>
      <c r="AC509" s="36" t="n">
        <f aca="false">IF($B509="",0,IF(AND($G509="CONTA",$I509&lt;&gt;"CONTA"),$F509,0))</f>
        <v>0</v>
      </c>
      <c r="AD509" s="36" t="n">
        <f aca="false">IF($W509="RECEITA",$F509,0)</f>
        <v>0</v>
      </c>
      <c r="AE509" s="36" t="n">
        <f aca="false">IF($W509="DESPESA",$F509,0)</f>
        <v>0</v>
      </c>
      <c r="AF509" s="36" t="n">
        <f aca="false">IF($W509="RECEITA_FINANCEIRA",$F509,0)</f>
        <v>0</v>
      </c>
      <c r="AG509" s="36" t="n">
        <f aca="false">IF($B509="",0,IF($I509="CONTA",$F509,0)-IF($G509="CONTA",$F509,0))</f>
        <v>0</v>
      </c>
      <c r="AH509" s="36" t="n">
        <f aca="false">IF($B509="",0,IF($G509="CARTAO",$F509,0)-IF($I509="CARTAO",$F509,0))</f>
        <v>0</v>
      </c>
      <c r="AI509" s="36" t="n">
        <f aca="false">IF($B509="",0,IF($I509="INVESTIMENTO",$F509,0)-IF($G509="INVESTIMENTO",$F509,0))</f>
        <v>0</v>
      </c>
      <c r="AJ509" s="35" t="str">
        <f aca="false">IF($B509="","",IF(NOT(ISNUMBER($F509)),"ERRO: valor nao numerico",IF($F509&lt;=0,"ERRO: valor deve ser maior que zero",IF(COUNTIF(MAP_TIPO,$D509)=0,"ERRO: tipo de operacao nao cadastrado",IF(COUNTIF(LST_STATUS,$E509)=0,"ERRO: status invalido",IF(AND($G509="EXTERNO",$I509="EXTERNO"),"ERRO: origem e destino externos",IF(AND($G509&lt;&gt;"EXTERNO",COUNTIFS(ENT_ID,$H509,ENT_TIPO,$G509)=0),"ERRO: origem inexistente",IF(AND($I509&lt;&gt;"EXTERNO",COUNTIFS(ENT_ID,$J509,ENT_TIPO,$I509)=0),"ERRO: destino inexistente",IF(AND($K509&lt;&gt;"",COUNTIF(CAT_ID,$K509)=0),"ERRO: categoria inexistente",IF(AND($L509&lt;&gt;"",COUNTIF(SUB_ID,$L509)=0),"ERRO: subcategoria inexistente",IF(AND($L509&lt;&gt;"",$K509&lt;&gt;"",IFERROR(INDEX(SUB_CATID,MATCH($L509,SUB_ID,0)),"")&lt;&gt;$K509),"ERRO: subcategoria nao pertence a categoria",IF(AND($O509&lt;&gt;"",COUNTIF(P_ID,$O509)=0),"ERRO: parcela inexistente",IF(AND($N509&lt;&gt;"",COUNTIF(CM_ID,$N509)=0),"ERRO: compromisso inexistente","OK")))))))))))))</f>
        <v/>
      </c>
      <c r="AK509" s="35" t="str">
        <f aca="false">IF($B509="","",IF(AND($N509="",$O509="",$P509="",$Q509="",$R509=""),"","VINCULADO: "&amp;TRIM(IF($N509&lt;&gt;"",$N509&amp;" ","")&amp;IF($O509&lt;&gt;"",$O509&amp;" ","")&amp;IF($P509&lt;&gt;"",$P509&amp;" ","")&amp;IF($Q509&lt;&gt;"",$Q509&amp;" ","")&amp;IF($R509&lt;&gt;"",$R509,""))))</f>
        <v/>
      </c>
    </row>
    <row r="510" customFormat="false" ht="15" hidden="false" customHeight="false" outlineLevel="0" collapsed="false">
      <c r="A510" s="30" t="str">
        <f aca="false">IF($B510="","","LAN-"&amp;TEXT(ROW()-4,"000000"))</f>
        <v/>
      </c>
      <c r="B510" s="31"/>
      <c r="C510" s="32"/>
      <c r="D510" s="32"/>
      <c r="E510" s="32"/>
      <c r="F510" s="33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4" t="str">
        <f aca="false">IF($B510="","",YEAR($B510))</f>
        <v/>
      </c>
      <c r="U510" s="34" t="str">
        <f aca="false">IF($B510="","",MONTH($B510))</f>
        <v/>
      </c>
      <c r="V510" s="34" t="str">
        <f aca="false">IF($B510="","",YEAR($B510)*100+MONTH($B510))</f>
        <v/>
      </c>
      <c r="W510" s="35" t="str">
        <f aca="false">IF($D510="","",IFERROR(INDEX(MAP_CLASS,MATCH($D510,MAP_TIPO,0)),"TIPO INVALIDO"))</f>
        <v/>
      </c>
      <c r="X510" s="35" t="str">
        <f aca="false">IF($K510="","",IFERROR(INDEX(CAT_NOME,MATCH($K510,CAT_ID,0)),"?"))</f>
        <v/>
      </c>
      <c r="Y510" s="35" t="str">
        <f aca="false">IF($L510="","",IFERROR(INDEX(SUB_NOME,MATCH($L510,SUB_ID,0)),"?"))</f>
        <v/>
      </c>
      <c r="Z510" s="35" t="str">
        <f aca="false">IF($G510="","",IF($G510="EXTERNO","(Externo)",IFERROR(INDEX(ENT_NOME,MATCH($H510,ENT_ID,0)),"?")))</f>
        <v/>
      </c>
      <c r="AA510" s="35" t="str">
        <f aca="false">IF($I510="","",IF($I510="EXTERNO","(Externo)",IFERROR(INDEX(ENT_NOME,MATCH($J510,ENT_ID,0)),"?")))</f>
        <v/>
      </c>
      <c r="AB510" s="36" t="n">
        <f aca="false">IF($B510="",0,IF(AND($I510="CONTA",$G510&lt;&gt;"CONTA"),$F510,0))</f>
        <v>0</v>
      </c>
      <c r="AC510" s="36" t="n">
        <f aca="false">IF($B510="",0,IF(AND($G510="CONTA",$I510&lt;&gt;"CONTA"),$F510,0))</f>
        <v>0</v>
      </c>
      <c r="AD510" s="36" t="n">
        <f aca="false">IF($W510="RECEITA",$F510,0)</f>
        <v>0</v>
      </c>
      <c r="AE510" s="36" t="n">
        <f aca="false">IF($W510="DESPESA",$F510,0)</f>
        <v>0</v>
      </c>
      <c r="AF510" s="36" t="n">
        <f aca="false">IF($W510="RECEITA_FINANCEIRA",$F510,0)</f>
        <v>0</v>
      </c>
      <c r="AG510" s="36" t="n">
        <f aca="false">IF($B510="",0,IF($I510="CONTA",$F510,0)-IF($G510="CONTA",$F510,0))</f>
        <v>0</v>
      </c>
      <c r="AH510" s="36" t="n">
        <f aca="false">IF($B510="",0,IF($G510="CARTAO",$F510,0)-IF($I510="CARTAO",$F510,0))</f>
        <v>0</v>
      </c>
      <c r="AI510" s="36" t="n">
        <f aca="false">IF($B510="",0,IF($I510="INVESTIMENTO",$F510,0)-IF($G510="INVESTIMENTO",$F510,0))</f>
        <v>0</v>
      </c>
      <c r="AJ510" s="35" t="str">
        <f aca="false">IF($B510="","",IF(NOT(ISNUMBER($F510)),"ERRO: valor nao numerico",IF($F510&lt;=0,"ERRO: valor deve ser maior que zero",IF(COUNTIF(MAP_TIPO,$D510)=0,"ERRO: tipo de operacao nao cadastrado",IF(COUNTIF(LST_STATUS,$E510)=0,"ERRO: status invalido",IF(AND($G510="EXTERNO",$I510="EXTERNO"),"ERRO: origem e destino externos",IF(AND($G510&lt;&gt;"EXTERNO",COUNTIFS(ENT_ID,$H510,ENT_TIPO,$G510)=0),"ERRO: origem inexistente",IF(AND($I510&lt;&gt;"EXTERNO",COUNTIFS(ENT_ID,$J510,ENT_TIPO,$I510)=0),"ERRO: destino inexistente",IF(AND($K510&lt;&gt;"",COUNTIF(CAT_ID,$K510)=0),"ERRO: categoria inexistente",IF(AND($L510&lt;&gt;"",COUNTIF(SUB_ID,$L510)=0),"ERRO: subcategoria inexistente",IF(AND($L510&lt;&gt;"",$K510&lt;&gt;"",IFERROR(INDEX(SUB_CATID,MATCH($L510,SUB_ID,0)),"")&lt;&gt;$K510),"ERRO: subcategoria nao pertence a categoria",IF(AND($O510&lt;&gt;"",COUNTIF(P_ID,$O510)=0),"ERRO: parcela inexistente",IF(AND($N510&lt;&gt;"",COUNTIF(CM_ID,$N510)=0),"ERRO: compromisso inexistente","OK")))))))))))))</f>
        <v/>
      </c>
      <c r="AK510" s="35" t="str">
        <f aca="false">IF($B510="","",IF(AND($N510="",$O510="",$P510="",$Q510="",$R510=""),"","VINCULADO: "&amp;TRIM(IF($N510&lt;&gt;"",$N510&amp;" ","")&amp;IF($O510&lt;&gt;"",$O510&amp;" ","")&amp;IF($P510&lt;&gt;"",$P510&amp;" ","")&amp;IF($Q510&lt;&gt;"",$Q510&amp;" ","")&amp;IF($R510&lt;&gt;"",$R510,""))))</f>
        <v/>
      </c>
    </row>
    <row r="511" customFormat="false" ht="15" hidden="false" customHeight="false" outlineLevel="0" collapsed="false">
      <c r="A511" s="30" t="str">
        <f aca="false">IF($B511="","","LAN-"&amp;TEXT(ROW()-4,"000000"))</f>
        <v/>
      </c>
      <c r="B511" s="31"/>
      <c r="C511" s="32"/>
      <c r="D511" s="32"/>
      <c r="E511" s="32"/>
      <c r="F511" s="33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4" t="str">
        <f aca="false">IF($B511="","",YEAR($B511))</f>
        <v/>
      </c>
      <c r="U511" s="34" t="str">
        <f aca="false">IF($B511="","",MONTH($B511))</f>
        <v/>
      </c>
      <c r="V511" s="34" t="str">
        <f aca="false">IF($B511="","",YEAR($B511)*100+MONTH($B511))</f>
        <v/>
      </c>
      <c r="W511" s="35" t="str">
        <f aca="false">IF($D511="","",IFERROR(INDEX(MAP_CLASS,MATCH($D511,MAP_TIPO,0)),"TIPO INVALIDO"))</f>
        <v/>
      </c>
      <c r="X511" s="35" t="str">
        <f aca="false">IF($K511="","",IFERROR(INDEX(CAT_NOME,MATCH($K511,CAT_ID,0)),"?"))</f>
        <v/>
      </c>
      <c r="Y511" s="35" t="str">
        <f aca="false">IF($L511="","",IFERROR(INDEX(SUB_NOME,MATCH($L511,SUB_ID,0)),"?"))</f>
        <v/>
      </c>
      <c r="Z511" s="35" t="str">
        <f aca="false">IF($G511="","",IF($G511="EXTERNO","(Externo)",IFERROR(INDEX(ENT_NOME,MATCH($H511,ENT_ID,0)),"?")))</f>
        <v/>
      </c>
      <c r="AA511" s="35" t="str">
        <f aca="false">IF($I511="","",IF($I511="EXTERNO","(Externo)",IFERROR(INDEX(ENT_NOME,MATCH($J511,ENT_ID,0)),"?")))</f>
        <v/>
      </c>
      <c r="AB511" s="36" t="n">
        <f aca="false">IF($B511="",0,IF(AND($I511="CONTA",$G511&lt;&gt;"CONTA"),$F511,0))</f>
        <v>0</v>
      </c>
      <c r="AC511" s="36" t="n">
        <f aca="false">IF($B511="",0,IF(AND($G511="CONTA",$I511&lt;&gt;"CONTA"),$F511,0))</f>
        <v>0</v>
      </c>
      <c r="AD511" s="36" t="n">
        <f aca="false">IF($W511="RECEITA",$F511,0)</f>
        <v>0</v>
      </c>
      <c r="AE511" s="36" t="n">
        <f aca="false">IF($W511="DESPESA",$F511,0)</f>
        <v>0</v>
      </c>
      <c r="AF511" s="36" t="n">
        <f aca="false">IF($W511="RECEITA_FINANCEIRA",$F511,0)</f>
        <v>0</v>
      </c>
      <c r="AG511" s="36" t="n">
        <f aca="false">IF($B511="",0,IF($I511="CONTA",$F511,0)-IF($G511="CONTA",$F511,0))</f>
        <v>0</v>
      </c>
      <c r="AH511" s="36" t="n">
        <f aca="false">IF($B511="",0,IF($G511="CARTAO",$F511,0)-IF($I511="CARTAO",$F511,0))</f>
        <v>0</v>
      </c>
      <c r="AI511" s="36" t="n">
        <f aca="false">IF($B511="",0,IF($I511="INVESTIMENTO",$F511,0)-IF($G511="INVESTIMENTO",$F511,0))</f>
        <v>0</v>
      </c>
      <c r="AJ511" s="35" t="str">
        <f aca="false">IF($B511="","",IF(NOT(ISNUMBER($F511)),"ERRO: valor nao numerico",IF($F511&lt;=0,"ERRO: valor deve ser maior que zero",IF(COUNTIF(MAP_TIPO,$D511)=0,"ERRO: tipo de operacao nao cadastrado",IF(COUNTIF(LST_STATUS,$E511)=0,"ERRO: status invalido",IF(AND($G511="EXTERNO",$I511="EXTERNO"),"ERRO: origem e destino externos",IF(AND($G511&lt;&gt;"EXTERNO",COUNTIFS(ENT_ID,$H511,ENT_TIPO,$G511)=0),"ERRO: origem inexistente",IF(AND($I511&lt;&gt;"EXTERNO",COUNTIFS(ENT_ID,$J511,ENT_TIPO,$I511)=0),"ERRO: destino inexistente",IF(AND($K511&lt;&gt;"",COUNTIF(CAT_ID,$K511)=0),"ERRO: categoria inexistente",IF(AND($L511&lt;&gt;"",COUNTIF(SUB_ID,$L511)=0),"ERRO: subcategoria inexistente",IF(AND($L511&lt;&gt;"",$K511&lt;&gt;"",IFERROR(INDEX(SUB_CATID,MATCH($L511,SUB_ID,0)),"")&lt;&gt;$K511),"ERRO: subcategoria nao pertence a categoria",IF(AND($O511&lt;&gt;"",COUNTIF(P_ID,$O511)=0),"ERRO: parcela inexistente",IF(AND($N511&lt;&gt;"",COUNTIF(CM_ID,$N511)=0),"ERRO: compromisso inexistente","OK")))))))))))))</f>
        <v/>
      </c>
      <c r="AK511" s="35" t="str">
        <f aca="false">IF($B511="","",IF(AND($N511="",$O511="",$P511="",$Q511="",$R511=""),"","VINCULADO: "&amp;TRIM(IF($N511&lt;&gt;"",$N511&amp;" ","")&amp;IF($O511&lt;&gt;"",$O511&amp;" ","")&amp;IF($P511&lt;&gt;"",$P511&amp;" ","")&amp;IF($Q511&lt;&gt;"",$Q511&amp;" ","")&amp;IF($R511&lt;&gt;"",$R511,""))))</f>
        <v/>
      </c>
    </row>
    <row r="512" customFormat="false" ht="15" hidden="false" customHeight="false" outlineLevel="0" collapsed="false">
      <c r="A512" s="30" t="str">
        <f aca="false">IF($B512="","","LAN-"&amp;TEXT(ROW()-4,"000000"))</f>
        <v/>
      </c>
      <c r="B512" s="31"/>
      <c r="C512" s="32"/>
      <c r="D512" s="32"/>
      <c r="E512" s="32"/>
      <c r="F512" s="33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4" t="str">
        <f aca="false">IF($B512="","",YEAR($B512))</f>
        <v/>
      </c>
      <c r="U512" s="34" t="str">
        <f aca="false">IF($B512="","",MONTH($B512))</f>
        <v/>
      </c>
      <c r="V512" s="34" t="str">
        <f aca="false">IF($B512="","",YEAR($B512)*100+MONTH($B512))</f>
        <v/>
      </c>
      <c r="W512" s="35" t="str">
        <f aca="false">IF($D512="","",IFERROR(INDEX(MAP_CLASS,MATCH($D512,MAP_TIPO,0)),"TIPO INVALIDO"))</f>
        <v/>
      </c>
      <c r="X512" s="35" t="str">
        <f aca="false">IF($K512="","",IFERROR(INDEX(CAT_NOME,MATCH($K512,CAT_ID,0)),"?"))</f>
        <v/>
      </c>
      <c r="Y512" s="35" t="str">
        <f aca="false">IF($L512="","",IFERROR(INDEX(SUB_NOME,MATCH($L512,SUB_ID,0)),"?"))</f>
        <v/>
      </c>
      <c r="Z512" s="35" t="str">
        <f aca="false">IF($G512="","",IF($G512="EXTERNO","(Externo)",IFERROR(INDEX(ENT_NOME,MATCH($H512,ENT_ID,0)),"?")))</f>
        <v/>
      </c>
      <c r="AA512" s="35" t="str">
        <f aca="false">IF($I512="","",IF($I512="EXTERNO","(Externo)",IFERROR(INDEX(ENT_NOME,MATCH($J512,ENT_ID,0)),"?")))</f>
        <v/>
      </c>
      <c r="AB512" s="36" t="n">
        <f aca="false">IF($B512="",0,IF(AND($I512="CONTA",$G512&lt;&gt;"CONTA"),$F512,0))</f>
        <v>0</v>
      </c>
      <c r="AC512" s="36" t="n">
        <f aca="false">IF($B512="",0,IF(AND($G512="CONTA",$I512&lt;&gt;"CONTA"),$F512,0))</f>
        <v>0</v>
      </c>
      <c r="AD512" s="36" t="n">
        <f aca="false">IF($W512="RECEITA",$F512,0)</f>
        <v>0</v>
      </c>
      <c r="AE512" s="36" t="n">
        <f aca="false">IF($W512="DESPESA",$F512,0)</f>
        <v>0</v>
      </c>
      <c r="AF512" s="36" t="n">
        <f aca="false">IF($W512="RECEITA_FINANCEIRA",$F512,0)</f>
        <v>0</v>
      </c>
      <c r="AG512" s="36" t="n">
        <f aca="false">IF($B512="",0,IF($I512="CONTA",$F512,0)-IF($G512="CONTA",$F512,0))</f>
        <v>0</v>
      </c>
      <c r="AH512" s="36" t="n">
        <f aca="false">IF($B512="",0,IF($G512="CARTAO",$F512,0)-IF($I512="CARTAO",$F512,0))</f>
        <v>0</v>
      </c>
      <c r="AI512" s="36" t="n">
        <f aca="false">IF($B512="",0,IF($I512="INVESTIMENTO",$F512,0)-IF($G512="INVESTIMENTO",$F512,0))</f>
        <v>0</v>
      </c>
      <c r="AJ512" s="35" t="str">
        <f aca="false">IF($B512="","",IF(NOT(ISNUMBER($F512)),"ERRO: valor nao numerico",IF($F512&lt;=0,"ERRO: valor deve ser maior que zero",IF(COUNTIF(MAP_TIPO,$D512)=0,"ERRO: tipo de operacao nao cadastrado",IF(COUNTIF(LST_STATUS,$E512)=0,"ERRO: status invalido",IF(AND($G512="EXTERNO",$I512="EXTERNO"),"ERRO: origem e destino externos",IF(AND($G512&lt;&gt;"EXTERNO",COUNTIFS(ENT_ID,$H512,ENT_TIPO,$G512)=0),"ERRO: origem inexistente",IF(AND($I512&lt;&gt;"EXTERNO",COUNTIFS(ENT_ID,$J512,ENT_TIPO,$I512)=0),"ERRO: destino inexistente",IF(AND($K512&lt;&gt;"",COUNTIF(CAT_ID,$K512)=0),"ERRO: categoria inexistente",IF(AND($L512&lt;&gt;"",COUNTIF(SUB_ID,$L512)=0),"ERRO: subcategoria inexistente",IF(AND($L512&lt;&gt;"",$K512&lt;&gt;"",IFERROR(INDEX(SUB_CATID,MATCH($L512,SUB_ID,0)),"")&lt;&gt;$K512),"ERRO: subcategoria nao pertence a categoria",IF(AND($O512&lt;&gt;"",COUNTIF(P_ID,$O512)=0),"ERRO: parcela inexistente",IF(AND($N512&lt;&gt;"",COUNTIF(CM_ID,$N512)=0),"ERRO: compromisso inexistente","OK")))))))))))))</f>
        <v/>
      </c>
      <c r="AK512" s="35" t="str">
        <f aca="false">IF($B512="","",IF(AND($N512="",$O512="",$P512="",$Q512="",$R512=""),"","VINCULADO: "&amp;TRIM(IF($N512&lt;&gt;"",$N512&amp;" ","")&amp;IF($O512&lt;&gt;"",$O512&amp;" ","")&amp;IF($P512&lt;&gt;"",$P512&amp;" ","")&amp;IF($Q512&lt;&gt;"",$Q512&amp;" ","")&amp;IF($R512&lt;&gt;"",$R512,""))))</f>
        <v/>
      </c>
    </row>
    <row r="513" customFormat="false" ht="15" hidden="false" customHeight="false" outlineLevel="0" collapsed="false">
      <c r="A513" s="30" t="str">
        <f aca="false">IF($B513="","","LAN-"&amp;TEXT(ROW()-4,"000000"))</f>
        <v/>
      </c>
      <c r="B513" s="31"/>
      <c r="C513" s="32"/>
      <c r="D513" s="32"/>
      <c r="E513" s="32"/>
      <c r="F513" s="33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4" t="str">
        <f aca="false">IF($B513="","",YEAR($B513))</f>
        <v/>
      </c>
      <c r="U513" s="34" t="str">
        <f aca="false">IF($B513="","",MONTH($B513))</f>
        <v/>
      </c>
      <c r="V513" s="34" t="str">
        <f aca="false">IF($B513="","",YEAR($B513)*100+MONTH($B513))</f>
        <v/>
      </c>
      <c r="W513" s="35" t="str">
        <f aca="false">IF($D513="","",IFERROR(INDEX(MAP_CLASS,MATCH($D513,MAP_TIPO,0)),"TIPO INVALIDO"))</f>
        <v/>
      </c>
      <c r="X513" s="35" t="str">
        <f aca="false">IF($K513="","",IFERROR(INDEX(CAT_NOME,MATCH($K513,CAT_ID,0)),"?"))</f>
        <v/>
      </c>
      <c r="Y513" s="35" t="str">
        <f aca="false">IF($L513="","",IFERROR(INDEX(SUB_NOME,MATCH($L513,SUB_ID,0)),"?"))</f>
        <v/>
      </c>
      <c r="Z513" s="35" t="str">
        <f aca="false">IF($G513="","",IF($G513="EXTERNO","(Externo)",IFERROR(INDEX(ENT_NOME,MATCH($H513,ENT_ID,0)),"?")))</f>
        <v/>
      </c>
      <c r="AA513" s="35" t="str">
        <f aca="false">IF($I513="","",IF($I513="EXTERNO","(Externo)",IFERROR(INDEX(ENT_NOME,MATCH($J513,ENT_ID,0)),"?")))</f>
        <v/>
      </c>
      <c r="AB513" s="36" t="n">
        <f aca="false">IF($B513="",0,IF(AND($I513="CONTA",$G513&lt;&gt;"CONTA"),$F513,0))</f>
        <v>0</v>
      </c>
      <c r="AC513" s="36" t="n">
        <f aca="false">IF($B513="",0,IF(AND($G513="CONTA",$I513&lt;&gt;"CONTA"),$F513,0))</f>
        <v>0</v>
      </c>
      <c r="AD513" s="36" t="n">
        <f aca="false">IF($W513="RECEITA",$F513,0)</f>
        <v>0</v>
      </c>
      <c r="AE513" s="36" t="n">
        <f aca="false">IF($W513="DESPESA",$F513,0)</f>
        <v>0</v>
      </c>
      <c r="AF513" s="36" t="n">
        <f aca="false">IF($W513="RECEITA_FINANCEIRA",$F513,0)</f>
        <v>0</v>
      </c>
      <c r="AG513" s="36" t="n">
        <f aca="false">IF($B513="",0,IF($I513="CONTA",$F513,0)-IF($G513="CONTA",$F513,0))</f>
        <v>0</v>
      </c>
      <c r="AH513" s="36" t="n">
        <f aca="false">IF($B513="",0,IF($G513="CARTAO",$F513,0)-IF($I513="CARTAO",$F513,0))</f>
        <v>0</v>
      </c>
      <c r="AI513" s="36" t="n">
        <f aca="false">IF($B513="",0,IF($I513="INVESTIMENTO",$F513,0)-IF($G513="INVESTIMENTO",$F513,0))</f>
        <v>0</v>
      </c>
      <c r="AJ513" s="35" t="str">
        <f aca="false">IF($B513="","",IF(NOT(ISNUMBER($F513)),"ERRO: valor nao numerico",IF($F513&lt;=0,"ERRO: valor deve ser maior que zero",IF(COUNTIF(MAP_TIPO,$D513)=0,"ERRO: tipo de operacao nao cadastrado",IF(COUNTIF(LST_STATUS,$E513)=0,"ERRO: status invalido",IF(AND($G513="EXTERNO",$I513="EXTERNO"),"ERRO: origem e destino externos",IF(AND($G513&lt;&gt;"EXTERNO",COUNTIFS(ENT_ID,$H513,ENT_TIPO,$G513)=0),"ERRO: origem inexistente",IF(AND($I513&lt;&gt;"EXTERNO",COUNTIFS(ENT_ID,$J513,ENT_TIPO,$I513)=0),"ERRO: destino inexistente",IF(AND($K513&lt;&gt;"",COUNTIF(CAT_ID,$K513)=0),"ERRO: categoria inexistente",IF(AND($L513&lt;&gt;"",COUNTIF(SUB_ID,$L513)=0),"ERRO: subcategoria inexistente",IF(AND($L513&lt;&gt;"",$K513&lt;&gt;"",IFERROR(INDEX(SUB_CATID,MATCH($L513,SUB_ID,0)),"")&lt;&gt;$K513),"ERRO: subcategoria nao pertence a categoria",IF(AND($O513&lt;&gt;"",COUNTIF(P_ID,$O513)=0),"ERRO: parcela inexistente",IF(AND($N513&lt;&gt;"",COUNTIF(CM_ID,$N513)=0),"ERRO: compromisso inexistente","OK")))))))))))))</f>
        <v/>
      </c>
      <c r="AK513" s="35" t="str">
        <f aca="false">IF($B513="","",IF(AND($N513="",$O513="",$P513="",$Q513="",$R513=""),"","VINCULADO: "&amp;TRIM(IF($N513&lt;&gt;"",$N513&amp;" ","")&amp;IF($O513&lt;&gt;"",$O513&amp;" ","")&amp;IF($P513&lt;&gt;"",$P513&amp;" ","")&amp;IF($Q513&lt;&gt;"",$Q513&amp;" ","")&amp;IF($R513&lt;&gt;"",$R513,""))))</f>
        <v/>
      </c>
    </row>
    <row r="514" customFormat="false" ht="15" hidden="false" customHeight="false" outlineLevel="0" collapsed="false">
      <c r="A514" s="30" t="str">
        <f aca="false">IF($B514="","","LAN-"&amp;TEXT(ROW()-4,"000000"))</f>
        <v/>
      </c>
      <c r="B514" s="31"/>
      <c r="C514" s="32"/>
      <c r="D514" s="32"/>
      <c r="E514" s="32"/>
      <c r="F514" s="33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4" t="str">
        <f aca="false">IF($B514="","",YEAR($B514))</f>
        <v/>
      </c>
      <c r="U514" s="34" t="str">
        <f aca="false">IF($B514="","",MONTH($B514))</f>
        <v/>
      </c>
      <c r="V514" s="34" t="str">
        <f aca="false">IF($B514="","",YEAR($B514)*100+MONTH($B514))</f>
        <v/>
      </c>
      <c r="W514" s="35" t="str">
        <f aca="false">IF($D514="","",IFERROR(INDEX(MAP_CLASS,MATCH($D514,MAP_TIPO,0)),"TIPO INVALIDO"))</f>
        <v/>
      </c>
      <c r="X514" s="35" t="str">
        <f aca="false">IF($K514="","",IFERROR(INDEX(CAT_NOME,MATCH($K514,CAT_ID,0)),"?"))</f>
        <v/>
      </c>
      <c r="Y514" s="35" t="str">
        <f aca="false">IF($L514="","",IFERROR(INDEX(SUB_NOME,MATCH($L514,SUB_ID,0)),"?"))</f>
        <v/>
      </c>
      <c r="Z514" s="35" t="str">
        <f aca="false">IF($G514="","",IF($G514="EXTERNO","(Externo)",IFERROR(INDEX(ENT_NOME,MATCH($H514,ENT_ID,0)),"?")))</f>
        <v/>
      </c>
      <c r="AA514" s="35" t="str">
        <f aca="false">IF($I514="","",IF($I514="EXTERNO","(Externo)",IFERROR(INDEX(ENT_NOME,MATCH($J514,ENT_ID,0)),"?")))</f>
        <v/>
      </c>
      <c r="AB514" s="36" t="n">
        <f aca="false">IF($B514="",0,IF(AND($I514="CONTA",$G514&lt;&gt;"CONTA"),$F514,0))</f>
        <v>0</v>
      </c>
      <c r="AC514" s="36" t="n">
        <f aca="false">IF($B514="",0,IF(AND($G514="CONTA",$I514&lt;&gt;"CONTA"),$F514,0))</f>
        <v>0</v>
      </c>
      <c r="AD514" s="36" t="n">
        <f aca="false">IF($W514="RECEITA",$F514,0)</f>
        <v>0</v>
      </c>
      <c r="AE514" s="36" t="n">
        <f aca="false">IF($W514="DESPESA",$F514,0)</f>
        <v>0</v>
      </c>
      <c r="AF514" s="36" t="n">
        <f aca="false">IF($W514="RECEITA_FINANCEIRA",$F514,0)</f>
        <v>0</v>
      </c>
      <c r="AG514" s="36" t="n">
        <f aca="false">IF($B514="",0,IF($I514="CONTA",$F514,0)-IF($G514="CONTA",$F514,0))</f>
        <v>0</v>
      </c>
      <c r="AH514" s="36" t="n">
        <f aca="false">IF($B514="",0,IF($G514="CARTAO",$F514,0)-IF($I514="CARTAO",$F514,0))</f>
        <v>0</v>
      </c>
      <c r="AI514" s="36" t="n">
        <f aca="false">IF($B514="",0,IF($I514="INVESTIMENTO",$F514,0)-IF($G514="INVESTIMENTO",$F514,0))</f>
        <v>0</v>
      </c>
      <c r="AJ514" s="35" t="str">
        <f aca="false">IF($B514="","",IF(NOT(ISNUMBER($F514)),"ERRO: valor nao numerico",IF($F514&lt;=0,"ERRO: valor deve ser maior que zero",IF(COUNTIF(MAP_TIPO,$D514)=0,"ERRO: tipo de operacao nao cadastrado",IF(COUNTIF(LST_STATUS,$E514)=0,"ERRO: status invalido",IF(AND($G514="EXTERNO",$I514="EXTERNO"),"ERRO: origem e destino externos",IF(AND($G514&lt;&gt;"EXTERNO",COUNTIFS(ENT_ID,$H514,ENT_TIPO,$G514)=0),"ERRO: origem inexistente",IF(AND($I514&lt;&gt;"EXTERNO",COUNTIFS(ENT_ID,$J514,ENT_TIPO,$I514)=0),"ERRO: destino inexistente",IF(AND($K514&lt;&gt;"",COUNTIF(CAT_ID,$K514)=0),"ERRO: categoria inexistente",IF(AND($L514&lt;&gt;"",COUNTIF(SUB_ID,$L514)=0),"ERRO: subcategoria inexistente",IF(AND($L514&lt;&gt;"",$K514&lt;&gt;"",IFERROR(INDEX(SUB_CATID,MATCH($L514,SUB_ID,0)),"")&lt;&gt;$K514),"ERRO: subcategoria nao pertence a categoria",IF(AND($O514&lt;&gt;"",COUNTIF(P_ID,$O514)=0),"ERRO: parcela inexistente",IF(AND($N514&lt;&gt;"",COUNTIF(CM_ID,$N514)=0),"ERRO: compromisso inexistente","OK")))))))))))))</f>
        <v/>
      </c>
      <c r="AK514" s="35" t="str">
        <f aca="false">IF($B514="","",IF(AND($N514="",$O514="",$P514="",$Q514="",$R514=""),"","VINCULADO: "&amp;TRIM(IF($N514&lt;&gt;"",$N514&amp;" ","")&amp;IF($O514&lt;&gt;"",$O514&amp;" ","")&amp;IF($P514&lt;&gt;"",$P514&amp;" ","")&amp;IF($Q514&lt;&gt;"",$Q514&amp;" ","")&amp;IF($R514&lt;&gt;"",$R514,""))))</f>
        <v/>
      </c>
    </row>
    <row r="515" customFormat="false" ht="15" hidden="false" customHeight="false" outlineLevel="0" collapsed="false">
      <c r="A515" s="30" t="str">
        <f aca="false">IF($B515="","","LAN-"&amp;TEXT(ROW()-4,"000000"))</f>
        <v/>
      </c>
      <c r="B515" s="31"/>
      <c r="C515" s="32"/>
      <c r="D515" s="32"/>
      <c r="E515" s="32"/>
      <c r="F515" s="33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4" t="str">
        <f aca="false">IF($B515="","",YEAR($B515))</f>
        <v/>
      </c>
      <c r="U515" s="34" t="str">
        <f aca="false">IF($B515="","",MONTH($B515))</f>
        <v/>
      </c>
      <c r="V515" s="34" t="str">
        <f aca="false">IF($B515="","",YEAR($B515)*100+MONTH($B515))</f>
        <v/>
      </c>
      <c r="W515" s="35" t="str">
        <f aca="false">IF($D515="","",IFERROR(INDEX(MAP_CLASS,MATCH($D515,MAP_TIPO,0)),"TIPO INVALIDO"))</f>
        <v/>
      </c>
      <c r="X515" s="35" t="str">
        <f aca="false">IF($K515="","",IFERROR(INDEX(CAT_NOME,MATCH($K515,CAT_ID,0)),"?"))</f>
        <v/>
      </c>
      <c r="Y515" s="35" t="str">
        <f aca="false">IF($L515="","",IFERROR(INDEX(SUB_NOME,MATCH($L515,SUB_ID,0)),"?"))</f>
        <v/>
      </c>
      <c r="Z515" s="35" t="str">
        <f aca="false">IF($G515="","",IF($G515="EXTERNO","(Externo)",IFERROR(INDEX(ENT_NOME,MATCH($H515,ENT_ID,0)),"?")))</f>
        <v/>
      </c>
      <c r="AA515" s="35" t="str">
        <f aca="false">IF($I515="","",IF($I515="EXTERNO","(Externo)",IFERROR(INDEX(ENT_NOME,MATCH($J515,ENT_ID,0)),"?")))</f>
        <v/>
      </c>
      <c r="AB515" s="36" t="n">
        <f aca="false">IF($B515="",0,IF(AND($I515="CONTA",$G515&lt;&gt;"CONTA"),$F515,0))</f>
        <v>0</v>
      </c>
      <c r="AC515" s="36" t="n">
        <f aca="false">IF($B515="",0,IF(AND($G515="CONTA",$I515&lt;&gt;"CONTA"),$F515,0))</f>
        <v>0</v>
      </c>
      <c r="AD515" s="36" t="n">
        <f aca="false">IF($W515="RECEITA",$F515,0)</f>
        <v>0</v>
      </c>
      <c r="AE515" s="36" t="n">
        <f aca="false">IF($W515="DESPESA",$F515,0)</f>
        <v>0</v>
      </c>
      <c r="AF515" s="36" t="n">
        <f aca="false">IF($W515="RECEITA_FINANCEIRA",$F515,0)</f>
        <v>0</v>
      </c>
      <c r="AG515" s="36" t="n">
        <f aca="false">IF($B515="",0,IF($I515="CONTA",$F515,0)-IF($G515="CONTA",$F515,0))</f>
        <v>0</v>
      </c>
      <c r="AH515" s="36" t="n">
        <f aca="false">IF($B515="",0,IF($G515="CARTAO",$F515,0)-IF($I515="CARTAO",$F515,0))</f>
        <v>0</v>
      </c>
      <c r="AI515" s="36" t="n">
        <f aca="false">IF($B515="",0,IF($I515="INVESTIMENTO",$F515,0)-IF($G515="INVESTIMENTO",$F515,0))</f>
        <v>0</v>
      </c>
      <c r="AJ515" s="35" t="str">
        <f aca="false">IF($B515="","",IF(NOT(ISNUMBER($F515)),"ERRO: valor nao numerico",IF($F515&lt;=0,"ERRO: valor deve ser maior que zero",IF(COUNTIF(MAP_TIPO,$D515)=0,"ERRO: tipo de operacao nao cadastrado",IF(COUNTIF(LST_STATUS,$E515)=0,"ERRO: status invalido",IF(AND($G515="EXTERNO",$I515="EXTERNO"),"ERRO: origem e destino externos",IF(AND($G515&lt;&gt;"EXTERNO",COUNTIFS(ENT_ID,$H515,ENT_TIPO,$G515)=0),"ERRO: origem inexistente",IF(AND($I515&lt;&gt;"EXTERNO",COUNTIFS(ENT_ID,$J515,ENT_TIPO,$I515)=0),"ERRO: destino inexistente",IF(AND($K515&lt;&gt;"",COUNTIF(CAT_ID,$K515)=0),"ERRO: categoria inexistente",IF(AND($L515&lt;&gt;"",COUNTIF(SUB_ID,$L515)=0),"ERRO: subcategoria inexistente",IF(AND($L515&lt;&gt;"",$K515&lt;&gt;"",IFERROR(INDEX(SUB_CATID,MATCH($L515,SUB_ID,0)),"")&lt;&gt;$K515),"ERRO: subcategoria nao pertence a categoria",IF(AND($O515&lt;&gt;"",COUNTIF(P_ID,$O515)=0),"ERRO: parcela inexistente",IF(AND($N515&lt;&gt;"",COUNTIF(CM_ID,$N515)=0),"ERRO: compromisso inexistente","OK")))))))))))))</f>
        <v/>
      </c>
      <c r="AK515" s="35" t="str">
        <f aca="false">IF($B515="","",IF(AND($N515="",$O515="",$P515="",$Q515="",$R515=""),"","VINCULADO: "&amp;TRIM(IF($N515&lt;&gt;"",$N515&amp;" ","")&amp;IF($O515&lt;&gt;"",$O515&amp;" ","")&amp;IF($P515&lt;&gt;"",$P515&amp;" ","")&amp;IF($Q515&lt;&gt;"",$Q515&amp;" ","")&amp;IF($R515&lt;&gt;"",$R515,""))))</f>
        <v/>
      </c>
    </row>
    <row r="516" customFormat="false" ht="15" hidden="false" customHeight="false" outlineLevel="0" collapsed="false">
      <c r="A516" s="30" t="str">
        <f aca="false">IF($B516="","","LAN-"&amp;TEXT(ROW()-4,"000000"))</f>
        <v/>
      </c>
      <c r="B516" s="31"/>
      <c r="C516" s="32"/>
      <c r="D516" s="32"/>
      <c r="E516" s="32"/>
      <c r="F516" s="33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4" t="str">
        <f aca="false">IF($B516="","",YEAR($B516))</f>
        <v/>
      </c>
      <c r="U516" s="34" t="str">
        <f aca="false">IF($B516="","",MONTH($B516))</f>
        <v/>
      </c>
      <c r="V516" s="34" t="str">
        <f aca="false">IF($B516="","",YEAR($B516)*100+MONTH($B516))</f>
        <v/>
      </c>
      <c r="W516" s="35" t="str">
        <f aca="false">IF($D516="","",IFERROR(INDEX(MAP_CLASS,MATCH($D516,MAP_TIPO,0)),"TIPO INVALIDO"))</f>
        <v/>
      </c>
      <c r="X516" s="35" t="str">
        <f aca="false">IF($K516="","",IFERROR(INDEX(CAT_NOME,MATCH($K516,CAT_ID,0)),"?"))</f>
        <v/>
      </c>
      <c r="Y516" s="35" t="str">
        <f aca="false">IF($L516="","",IFERROR(INDEX(SUB_NOME,MATCH($L516,SUB_ID,0)),"?"))</f>
        <v/>
      </c>
      <c r="Z516" s="35" t="str">
        <f aca="false">IF($G516="","",IF($G516="EXTERNO","(Externo)",IFERROR(INDEX(ENT_NOME,MATCH($H516,ENT_ID,0)),"?")))</f>
        <v/>
      </c>
      <c r="AA516" s="35" t="str">
        <f aca="false">IF($I516="","",IF($I516="EXTERNO","(Externo)",IFERROR(INDEX(ENT_NOME,MATCH($J516,ENT_ID,0)),"?")))</f>
        <v/>
      </c>
      <c r="AB516" s="36" t="n">
        <f aca="false">IF($B516="",0,IF(AND($I516="CONTA",$G516&lt;&gt;"CONTA"),$F516,0))</f>
        <v>0</v>
      </c>
      <c r="AC516" s="36" t="n">
        <f aca="false">IF($B516="",0,IF(AND($G516="CONTA",$I516&lt;&gt;"CONTA"),$F516,0))</f>
        <v>0</v>
      </c>
      <c r="AD516" s="36" t="n">
        <f aca="false">IF($W516="RECEITA",$F516,0)</f>
        <v>0</v>
      </c>
      <c r="AE516" s="36" t="n">
        <f aca="false">IF($W516="DESPESA",$F516,0)</f>
        <v>0</v>
      </c>
      <c r="AF516" s="36" t="n">
        <f aca="false">IF($W516="RECEITA_FINANCEIRA",$F516,0)</f>
        <v>0</v>
      </c>
      <c r="AG516" s="36" t="n">
        <f aca="false">IF($B516="",0,IF($I516="CONTA",$F516,0)-IF($G516="CONTA",$F516,0))</f>
        <v>0</v>
      </c>
      <c r="AH516" s="36" t="n">
        <f aca="false">IF($B516="",0,IF($G516="CARTAO",$F516,0)-IF($I516="CARTAO",$F516,0))</f>
        <v>0</v>
      </c>
      <c r="AI516" s="36" t="n">
        <f aca="false">IF($B516="",0,IF($I516="INVESTIMENTO",$F516,0)-IF($G516="INVESTIMENTO",$F516,0))</f>
        <v>0</v>
      </c>
      <c r="AJ516" s="35" t="str">
        <f aca="false">IF($B516="","",IF(NOT(ISNUMBER($F516)),"ERRO: valor nao numerico",IF($F516&lt;=0,"ERRO: valor deve ser maior que zero",IF(COUNTIF(MAP_TIPO,$D516)=0,"ERRO: tipo de operacao nao cadastrado",IF(COUNTIF(LST_STATUS,$E516)=0,"ERRO: status invalido",IF(AND($G516="EXTERNO",$I516="EXTERNO"),"ERRO: origem e destino externos",IF(AND($G516&lt;&gt;"EXTERNO",COUNTIFS(ENT_ID,$H516,ENT_TIPO,$G516)=0),"ERRO: origem inexistente",IF(AND($I516&lt;&gt;"EXTERNO",COUNTIFS(ENT_ID,$J516,ENT_TIPO,$I516)=0),"ERRO: destino inexistente",IF(AND($K516&lt;&gt;"",COUNTIF(CAT_ID,$K516)=0),"ERRO: categoria inexistente",IF(AND($L516&lt;&gt;"",COUNTIF(SUB_ID,$L516)=0),"ERRO: subcategoria inexistente",IF(AND($L516&lt;&gt;"",$K516&lt;&gt;"",IFERROR(INDEX(SUB_CATID,MATCH($L516,SUB_ID,0)),"")&lt;&gt;$K516),"ERRO: subcategoria nao pertence a categoria",IF(AND($O516&lt;&gt;"",COUNTIF(P_ID,$O516)=0),"ERRO: parcela inexistente",IF(AND($N516&lt;&gt;"",COUNTIF(CM_ID,$N516)=0),"ERRO: compromisso inexistente","OK")))))))))))))</f>
        <v/>
      </c>
      <c r="AK516" s="35" t="str">
        <f aca="false">IF($B516="","",IF(AND($N516="",$O516="",$P516="",$Q516="",$R516=""),"","VINCULADO: "&amp;TRIM(IF($N516&lt;&gt;"",$N516&amp;" ","")&amp;IF($O516&lt;&gt;"",$O516&amp;" ","")&amp;IF($P516&lt;&gt;"",$P516&amp;" ","")&amp;IF($Q516&lt;&gt;"",$Q516&amp;" ","")&amp;IF($R516&lt;&gt;"",$R516,""))))</f>
        <v/>
      </c>
    </row>
    <row r="517" customFormat="false" ht="15" hidden="false" customHeight="false" outlineLevel="0" collapsed="false">
      <c r="A517" s="30" t="str">
        <f aca="false">IF($B517="","","LAN-"&amp;TEXT(ROW()-4,"000000"))</f>
        <v/>
      </c>
      <c r="B517" s="31"/>
      <c r="C517" s="32"/>
      <c r="D517" s="32"/>
      <c r="E517" s="32"/>
      <c r="F517" s="33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4" t="str">
        <f aca="false">IF($B517="","",YEAR($B517))</f>
        <v/>
      </c>
      <c r="U517" s="34" t="str">
        <f aca="false">IF($B517="","",MONTH($B517))</f>
        <v/>
      </c>
      <c r="V517" s="34" t="str">
        <f aca="false">IF($B517="","",YEAR($B517)*100+MONTH($B517))</f>
        <v/>
      </c>
      <c r="W517" s="35" t="str">
        <f aca="false">IF($D517="","",IFERROR(INDEX(MAP_CLASS,MATCH($D517,MAP_TIPO,0)),"TIPO INVALIDO"))</f>
        <v/>
      </c>
      <c r="X517" s="35" t="str">
        <f aca="false">IF($K517="","",IFERROR(INDEX(CAT_NOME,MATCH($K517,CAT_ID,0)),"?"))</f>
        <v/>
      </c>
      <c r="Y517" s="35" t="str">
        <f aca="false">IF($L517="","",IFERROR(INDEX(SUB_NOME,MATCH($L517,SUB_ID,0)),"?"))</f>
        <v/>
      </c>
      <c r="Z517" s="35" t="str">
        <f aca="false">IF($G517="","",IF($G517="EXTERNO","(Externo)",IFERROR(INDEX(ENT_NOME,MATCH($H517,ENT_ID,0)),"?")))</f>
        <v/>
      </c>
      <c r="AA517" s="35" t="str">
        <f aca="false">IF($I517="","",IF($I517="EXTERNO","(Externo)",IFERROR(INDEX(ENT_NOME,MATCH($J517,ENT_ID,0)),"?")))</f>
        <v/>
      </c>
      <c r="AB517" s="36" t="n">
        <f aca="false">IF($B517="",0,IF(AND($I517="CONTA",$G517&lt;&gt;"CONTA"),$F517,0))</f>
        <v>0</v>
      </c>
      <c r="AC517" s="36" t="n">
        <f aca="false">IF($B517="",0,IF(AND($G517="CONTA",$I517&lt;&gt;"CONTA"),$F517,0))</f>
        <v>0</v>
      </c>
      <c r="AD517" s="36" t="n">
        <f aca="false">IF($W517="RECEITA",$F517,0)</f>
        <v>0</v>
      </c>
      <c r="AE517" s="36" t="n">
        <f aca="false">IF($W517="DESPESA",$F517,0)</f>
        <v>0</v>
      </c>
      <c r="AF517" s="36" t="n">
        <f aca="false">IF($W517="RECEITA_FINANCEIRA",$F517,0)</f>
        <v>0</v>
      </c>
      <c r="AG517" s="36" t="n">
        <f aca="false">IF($B517="",0,IF($I517="CONTA",$F517,0)-IF($G517="CONTA",$F517,0))</f>
        <v>0</v>
      </c>
      <c r="AH517" s="36" t="n">
        <f aca="false">IF($B517="",0,IF($G517="CARTAO",$F517,0)-IF($I517="CARTAO",$F517,0))</f>
        <v>0</v>
      </c>
      <c r="AI517" s="36" t="n">
        <f aca="false">IF($B517="",0,IF($I517="INVESTIMENTO",$F517,0)-IF($G517="INVESTIMENTO",$F517,0))</f>
        <v>0</v>
      </c>
      <c r="AJ517" s="35" t="str">
        <f aca="false">IF($B517="","",IF(NOT(ISNUMBER($F517)),"ERRO: valor nao numerico",IF($F517&lt;=0,"ERRO: valor deve ser maior que zero",IF(COUNTIF(MAP_TIPO,$D517)=0,"ERRO: tipo de operacao nao cadastrado",IF(COUNTIF(LST_STATUS,$E517)=0,"ERRO: status invalido",IF(AND($G517="EXTERNO",$I517="EXTERNO"),"ERRO: origem e destino externos",IF(AND($G517&lt;&gt;"EXTERNO",COUNTIFS(ENT_ID,$H517,ENT_TIPO,$G517)=0),"ERRO: origem inexistente",IF(AND($I517&lt;&gt;"EXTERNO",COUNTIFS(ENT_ID,$J517,ENT_TIPO,$I517)=0),"ERRO: destino inexistente",IF(AND($K517&lt;&gt;"",COUNTIF(CAT_ID,$K517)=0),"ERRO: categoria inexistente",IF(AND($L517&lt;&gt;"",COUNTIF(SUB_ID,$L517)=0),"ERRO: subcategoria inexistente",IF(AND($L517&lt;&gt;"",$K517&lt;&gt;"",IFERROR(INDEX(SUB_CATID,MATCH($L517,SUB_ID,0)),"")&lt;&gt;$K517),"ERRO: subcategoria nao pertence a categoria",IF(AND($O517&lt;&gt;"",COUNTIF(P_ID,$O517)=0),"ERRO: parcela inexistente",IF(AND($N517&lt;&gt;"",COUNTIF(CM_ID,$N517)=0),"ERRO: compromisso inexistente","OK")))))))))))))</f>
        <v/>
      </c>
      <c r="AK517" s="35" t="str">
        <f aca="false">IF($B517="","",IF(AND($N517="",$O517="",$P517="",$Q517="",$R517=""),"","VINCULADO: "&amp;TRIM(IF($N517&lt;&gt;"",$N517&amp;" ","")&amp;IF($O517&lt;&gt;"",$O517&amp;" ","")&amp;IF($P517&lt;&gt;"",$P517&amp;" ","")&amp;IF($Q517&lt;&gt;"",$Q517&amp;" ","")&amp;IF($R517&lt;&gt;"",$R517,""))))</f>
        <v/>
      </c>
    </row>
    <row r="518" customFormat="false" ht="15" hidden="false" customHeight="false" outlineLevel="0" collapsed="false">
      <c r="A518" s="30" t="str">
        <f aca="false">IF($B518="","","LAN-"&amp;TEXT(ROW()-4,"000000"))</f>
        <v/>
      </c>
      <c r="B518" s="31"/>
      <c r="C518" s="32"/>
      <c r="D518" s="32"/>
      <c r="E518" s="32"/>
      <c r="F518" s="33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4" t="str">
        <f aca="false">IF($B518="","",YEAR($B518))</f>
        <v/>
      </c>
      <c r="U518" s="34" t="str">
        <f aca="false">IF($B518="","",MONTH($B518))</f>
        <v/>
      </c>
      <c r="V518" s="34" t="str">
        <f aca="false">IF($B518="","",YEAR($B518)*100+MONTH($B518))</f>
        <v/>
      </c>
      <c r="W518" s="35" t="str">
        <f aca="false">IF($D518="","",IFERROR(INDEX(MAP_CLASS,MATCH($D518,MAP_TIPO,0)),"TIPO INVALIDO"))</f>
        <v/>
      </c>
      <c r="X518" s="35" t="str">
        <f aca="false">IF($K518="","",IFERROR(INDEX(CAT_NOME,MATCH($K518,CAT_ID,0)),"?"))</f>
        <v/>
      </c>
      <c r="Y518" s="35" t="str">
        <f aca="false">IF($L518="","",IFERROR(INDEX(SUB_NOME,MATCH($L518,SUB_ID,0)),"?"))</f>
        <v/>
      </c>
      <c r="Z518" s="35" t="str">
        <f aca="false">IF($G518="","",IF($G518="EXTERNO","(Externo)",IFERROR(INDEX(ENT_NOME,MATCH($H518,ENT_ID,0)),"?")))</f>
        <v/>
      </c>
      <c r="AA518" s="35" t="str">
        <f aca="false">IF($I518="","",IF($I518="EXTERNO","(Externo)",IFERROR(INDEX(ENT_NOME,MATCH($J518,ENT_ID,0)),"?")))</f>
        <v/>
      </c>
      <c r="AB518" s="36" t="n">
        <f aca="false">IF($B518="",0,IF(AND($I518="CONTA",$G518&lt;&gt;"CONTA"),$F518,0))</f>
        <v>0</v>
      </c>
      <c r="AC518" s="36" t="n">
        <f aca="false">IF($B518="",0,IF(AND($G518="CONTA",$I518&lt;&gt;"CONTA"),$F518,0))</f>
        <v>0</v>
      </c>
      <c r="AD518" s="36" t="n">
        <f aca="false">IF($W518="RECEITA",$F518,0)</f>
        <v>0</v>
      </c>
      <c r="AE518" s="36" t="n">
        <f aca="false">IF($W518="DESPESA",$F518,0)</f>
        <v>0</v>
      </c>
      <c r="AF518" s="36" t="n">
        <f aca="false">IF($W518="RECEITA_FINANCEIRA",$F518,0)</f>
        <v>0</v>
      </c>
      <c r="AG518" s="36" t="n">
        <f aca="false">IF($B518="",0,IF($I518="CONTA",$F518,0)-IF($G518="CONTA",$F518,0))</f>
        <v>0</v>
      </c>
      <c r="AH518" s="36" t="n">
        <f aca="false">IF($B518="",0,IF($G518="CARTAO",$F518,0)-IF($I518="CARTAO",$F518,0))</f>
        <v>0</v>
      </c>
      <c r="AI518" s="36" t="n">
        <f aca="false">IF($B518="",0,IF($I518="INVESTIMENTO",$F518,0)-IF($G518="INVESTIMENTO",$F518,0))</f>
        <v>0</v>
      </c>
      <c r="AJ518" s="35" t="str">
        <f aca="false">IF($B518="","",IF(NOT(ISNUMBER($F518)),"ERRO: valor nao numerico",IF($F518&lt;=0,"ERRO: valor deve ser maior que zero",IF(COUNTIF(MAP_TIPO,$D518)=0,"ERRO: tipo de operacao nao cadastrado",IF(COUNTIF(LST_STATUS,$E518)=0,"ERRO: status invalido",IF(AND($G518="EXTERNO",$I518="EXTERNO"),"ERRO: origem e destino externos",IF(AND($G518&lt;&gt;"EXTERNO",COUNTIFS(ENT_ID,$H518,ENT_TIPO,$G518)=0),"ERRO: origem inexistente",IF(AND($I518&lt;&gt;"EXTERNO",COUNTIFS(ENT_ID,$J518,ENT_TIPO,$I518)=0),"ERRO: destino inexistente",IF(AND($K518&lt;&gt;"",COUNTIF(CAT_ID,$K518)=0),"ERRO: categoria inexistente",IF(AND($L518&lt;&gt;"",COUNTIF(SUB_ID,$L518)=0),"ERRO: subcategoria inexistente",IF(AND($L518&lt;&gt;"",$K518&lt;&gt;"",IFERROR(INDEX(SUB_CATID,MATCH($L518,SUB_ID,0)),"")&lt;&gt;$K518),"ERRO: subcategoria nao pertence a categoria",IF(AND($O518&lt;&gt;"",COUNTIF(P_ID,$O518)=0),"ERRO: parcela inexistente",IF(AND($N518&lt;&gt;"",COUNTIF(CM_ID,$N518)=0),"ERRO: compromisso inexistente","OK")))))))))))))</f>
        <v/>
      </c>
      <c r="AK518" s="35" t="str">
        <f aca="false">IF($B518="","",IF(AND($N518="",$O518="",$P518="",$Q518="",$R518=""),"","VINCULADO: "&amp;TRIM(IF($N518&lt;&gt;"",$N518&amp;" ","")&amp;IF($O518&lt;&gt;"",$O518&amp;" ","")&amp;IF($P518&lt;&gt;"",$P518&amp;" ","")&amp;IF($Q518&lt;&gt;"",$Q518&amp;" ","")&amp;IF($R518&lt;&gt;"",$R518,""))))</f>
        <v/>
      </c>
    </row>
    <row r="519" customFormat="false" ht="15" hidden="false" customHeight="false" outlineLevel="0" collapsed="false">
      <c r="A519" s="30" t="str">
        <f aca="false">IF($B519="","","LAN-"&amp;TEXT(ROW()-4,"000000"))</f>
        <v/>
      </c>
      <c r="B519" s="31"/>
      <c r="C519" s="32"/>
      <c r="D519" s="32"/>
      <c r="E519" s="32"/>
      <c r="F519" s="33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4" t="str">
        <f aca="false">IF($B519="","",YEAR($B519))</f>
        <v/>
      </c>
      <c r="U519" s="34" t="str">
        <f aca="false">IF($B519="","",MONTH($B519))</f>
        <v/>
      </c>
      <c r="V519" s="34" t="str">
        <f aca="false">IF($B519="","",YEAR($B519)*100+MONTH($B519))</f>
        <v/>
      </c>
      <c r="W519" s="35" t="str">
        <f aca="false">IF($D519="","",IFERROR(INDEX(MAP_CLASS,MATCH($D519,MAP_TIPO,0)),"TIPO INVALIDO"))</f>
        <v/>
      </c>
      <c r="X519" s="35" t="str">
        <f aca="false">IF($K519="","",IFERROR(INDEX(CAT_NOME,MATCH($K519,CAT_ID,0)),"?"))</f>
        <v/>
      </c>
      <c r="Y519" s="35" t="str">
        <f aca="false">IF($L519="","",IFERROR(INDEX(SUB_NOME,MATCH($L519,SUB_ID,0)),"?"))</f>
        <v/>
      </c>
      <c r="Z519" s="35" t="str">
        <f aca="false">IF($G519="","",IF($G519="EXTERNO","(Externo)",IFERROR(INDEX(ENT_NOME,MATCH($H519,ENT_ID,0)),"?")))</f>
        <v/>
      </c>
      <c r="AA519" s="35" t="str">
        <f aca="false">IF($I519="","",IF($I519="EXTERNO","(Externo)",IFERROR(INDEX(ENT_NOME,MATCH($J519,ENT_ID,0)),"?")))</f>
        <v/>
      </c>
      <c r="AB519" s="36" t="n">
        <f aca="false">IF($B519="",0,IF(AND($I519="CONTA",$G519&lt;&gt;"CONTA"),$F519,0))</f>
        <v>0</v>
      </c>
      <c r="AC519" s="36" t="n">
        <f aca="false">IF($B519="",0,IF(AND($G519="CONTA",$I519&lt;&gt;"CONTA"),$F519,0))</f>
        <v>0</v>
      </c>
      <c r="AD519" s="36" t="n">
        <f aca="false">IF($W519="RECEITA",$F519,0)</f>
        <v>0</v>
      </c>
      <c r="AE519" s="36" t="n">
        <f aca="false">IF($W519="DESPESA",$F519,0)</f>
        <v>0</v>
      </c>
      <c r="AF519" s="36" t="n">
        <f aca="false">IF($W519="RECEITA_FINANCEIRA",$F519,0)</f>
        <v>0</v>
      </c>
      <c r="AG519" s="36" t="n">
        <f aca="false">IF($B519="",0,IF($I519="CONTA",$F519,0)-IF($G519="CONTA",$F519,0))</f>
        <v>0</v>
      </c>
      <c r="AH519" s="36" t="n">
        <f aca="false">IF($B519="",0,IF($G519="CARTAO",$F519,0)-IF($I519="CARTAO",$F519,0))</f>
        <v>0</v>
      </c>
      <c r="AI519" s="36" t="n">
        <f aca="false">IF($B519="",0,IF($I519="INVESTIMENTO",$F519,0)-IF($G519="INVESTIMENTO",$F519,0))</f>
        <v>0</v>
      </c>
      <c r="AJ519" s="35" t="str">
        <f aca="false">IF($B519="","",IF(NOT(ISNUMBER($F519)),"ERRO: valor nao numerico",IF($F519&lt;=0,"ERRO: valor deve ser maior que zero",IF(COUNTIF(MAP_TIPO,$D519)=0,"ERRO: tipo de operacao nao cadastrado",IF(COUNTIF(LST_STATUS,$E519)=0,"ERRO: status invalido",IF(AND($G519="EXTERNO",$I519="EXTERNO"),"ERRO: origem e destino externos",IF(AND($G519&lt;&gt;"EXTERNO",COUNTIFS(ENT_ID,$H519,ENT_TIPO,$G519)=0),"ERRO: origem inexistente",IF(AND($I519&lt;&gt;"EXTERNO",COUNTIFS(ENT_ID,$J519,ENT_TIPO,$I519)=0),"ERRO: destino inexistente",IF(AND($K519&lt;&gt;"",COUNTIF(CAT_ID,$K519)=0),"ERRO: categoria inexistente",IF(AND($L519&lt;&gt;"",COUNTIF(SUB_ID,$L519)=0),"ERRO: subcategoria inexistente",IF(AND($L519&lt;&gt;"",$K519&lt;&gt;"",IFERROR(INDEX(SUB_CATID,MATCH($L519,SUB_ID,0)),"")&lt;&gt;$K519),"ERRO: subcategoria nao pertence a categoria",IF(AND($O519&lt;&gt;"",COUNTIF(P_ID,$O519)=0),"ERRO: parcela inexistente",IF(AND($N519&lt;&gt;"",COUNTIF(CM_ID,$N519)=0),"ERRO: compromisso inexistente","OK")))))))))))))</f>
        <v/>
      </c>
      <c r="AK519" s="35" t="str">
        <f aca="false">IF($B519="","",IF(AND($N519="",$O519="",$P519="",$Q519="",$R519=""),"","VINCULADO: "&amp;TRIM(IF($N519&lt;&gt;"",$N519&amp;" ","")&amp;IF($O519&lt;&gt;"",$O519&amp;" ","")&amp;IF($P519&lt;&gt;"",$P519&amp;" ","")&amp;IF($Q519&lt;&gt;"",$Q519&amp;" ","")&amp;IF($R519&lt;&gt;"",$R519,""))))</f>
        <v/>
      </c>
    </row>
    <row r="520" customFormat="false" ht="15" hidden="false" customHeight="false" outlineLevel="0" collapsed="false">
      <c r="A520" s="30" t="str">
        <f aca="false">IF($B520="","","LAN-"&amp;TEXT(ROW()-4,"000000"))</f>
        <v/>
      </c>
      <c r="B520" s="31"/>
      <c r="C520" s="32"/>
      <c r="D520" s="32"/>
      <c r="E520" s="32"/>
      <c r="F520" s="33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4" t="str">
        <f aca="false">IF($B520="","",YEAR($B520))</f>
        <v/>
      </c>
      <c r="U520" s="34" t="str">
        <f aca="false">IF($B520="","",MONTH($B520))</f>
        <v/>
      </c>
      <c r="V520" s="34" t="str">
        <f aca="false">IF($B520="","",YEAR($B520)*100+MONTH($B520))</f>
        <v/>
      </c>
      <c r="W520" s="35" t="str">
        <f aca="false">IF($D520="","",IFERROR(INDEX(MAP_CLASS,MATCH($D520,MAP_TIPO,0)),"TIPO INVALIDO"))</f>
        <v/>
      </c>
      <c r="X520" s="35" t="str">
        <f aca="false">IF($K520="","",IFERROR(INDEX(CAT_NOME,MATCH($K520,CAT_ID,0)),"?"))</f>
        <v/>
      </c>
      <c r="Y520" s="35" t="str">
        <f aca="false">IF($L520="","",IFERROR(INDEX(SUB_NOME,MATCH($L520,SUB_ID,0)),"?"))</f>
        <v/>
      </c>
      <c r="Z520" s="35" t="str">
        <f aca="false">IF($G520="","",IF($G520="EXTERNO","(Externo)",IFERROR(INDEX(ENT_NOME,MATCH($H520,ENT_ID,0)),"?")))</f>
        <v/>
      </c>
      <c r="AA520" s="35" t="str">
        <f aca="false">IF($I520="","",IF($I520="EXTERNO","(Externo)",IFERROR(INDEX(ENT_NOME,MATCH($J520,ENT_ID,0)),"?")))</f>
        <v/>
      </c>
      <c r="AB520" s="36" t="n">
        <f aca="false">IF($B520="",0,IF(AND($I520="CONTA",$G520&lt;&gt;"CONTA"),$F520,0))</f>
        <v>0</v>
      </c>
      <c r="AC520" s="36" t="n">
        <f aca="false">IF($B520="",0,IF(AND($G520="CONTA",$I520&lt;&gt;"CONTA"),$F520,0))</f>
        <v>0</v>
      </c>
      <c r="AD520" s="36" t="n">
        <f aca="false">IF($W520="RECEITA",$F520,0)</f>
        <v>0</v>
      </c>
      <c r="AE520" s="36" t="n">
        <f aca="false">IF($W520="DESPESA",$F520,0)</f>
        <v>0</v>
      </c>
      <c r="AF520" s="36" t="n">
        <f aca="false">IF($W520="RECEITA_FINANCEIRA",$F520,0)</f>
        <v>0</v>
      </c>
      <c r="AG520" s="36" t="n">
        <f aca="false">IF($B520="",0,IF($I520="CONTA",$F520,0)-IF($G520="CONTA",$F520,0))</f>
        <v>0</v>
      </c>
      <c r="AH520" s="36" t="n">
        <f aca="false">IF($B520="",0,IF($G520="CARTAO",$F520,0)-IF($I520="CARTAO",$F520,0))</f>
        <v>0</v>
      </c>
      <c r="AI520" s="36" t="n">
        <f aca="false">IF($B520="",0,IF($I520="INVESTIMENTO",$F520,0)-IF($G520="INVESTIMENTO",$F520,0))</f>
        <v>0</v>
      </c>
      <c r="AJ520" s="35" t="str">
        <f aca="false">IF($B520="","",IF(NOT(ISNUMBER($F520)),"ERRO: valor nao numerico",IF($F520&lt;=0,"ERRO: valor deve ser maior que zero",IF(COUNTIF(MAP_TIPO,$D520)=0,"ERRO: tipo de operacao nao cadastrado",IF(COUNTIF(LST_STATUS,$E520)=0,"ERRO: status invalido",IF(AND($G520="EXTERNO",$I520="EXTERNO"),"ERRO: origem e destino externos",IF(AND($G520&lt;&gt;"EXTERNO",COUNTIFS(ENT_ID,$H520,ENT_TIPO,$G520)=0),"ERRO: origem inexistente",IF(AND($I520&lt;&gt;"EXTERNO",COUNTIFS(ENT_ID,$J520,ENT_TIPO,$I520)=0),"ERRO: destino inexistente",IF(AND($K520&lt;&gt;"",COUNTIF(CAT_ID,$K520)=0),"ERRO: categoria inexistente",IF(AND($L520&lt;&gt;"",COUNTIF(SUB_ID,$L520)=0),"ERRO: subcategoria inexistente",IF(AND($L520&lt;&gt;"",$K520&lt;&gt;"",IFERROR(INDEX(SUB_CATID,MATCH($L520,SUB_ID,0)),"")&lt;&gt;$K520),"ERRO: subcategoria nao pertence a categoria",IF(AND($O520&lt;&gt;"",COUNTIF(P_ID,$O520)=0),"ERRO: parcela inexistente",IF(AND($N520&lt;&gt;"",COUNTIF(CM_ID,$N520)=0),"ERRO: compromisso inexistente","OK")))))))))))))</f>
        <v/>
      </c>
      <c r="AK520" s="35" t="str">
        <f aca="false">IF($B520="","",IF(AND($N520="",$O520="",$P520="",$Q520="",$R520=""),"","VINCULADO: "&amp;TRIM(IF($N520&lt;&gt;"",$N520&amp;" ","")&amp;IF($O520&lt;&gt;"",$O520&amp;" ","")&amp;IF($P520&lt;&gt;"",$P520&amp;" ","")&amp;IF($Q520&lt;&gt;"",$Q520&amp;" ","")&amp;IF($R520&lt;&gt;"",$R520,""))))</f>
        <v/>
      </c>
    </row>
    <row r="521" customFormat="false" ht="15" hidden="false" customHeight="false" outlineLevel="0" collapsed="false">
      <c r="A521" s="30" t="str">
        <f aca="false">IF($B521="","","LAN-"&amp;TEXT(ROW()-4,"000000"))</f>
        <v/>
      </c>
      <c r="B521" s="31"/>
      <c r="C521" s="32"/>
      <c r="D521" s="32"/>
      <c r="E521" s="32"/>
      <c r="F521" s="33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4" t="str">
        <f aca="false">IF($B521="","",YEAR($B521))</f>
        <v/>
      </c>
      <c r="U521" s="34" t="str">
        <f aca="false">IF($B521="","",MONTH($B521))</f>
        <v/>
      </c>
      <c r="V521" s="34" t="str">
        <f aca="false">IF($B521="","",YEAR($B521)*100+MONTH($B521))</f>
        <v/>
      </c>
      <c r="W521" s="35" t="str">
        <f aca="false">IF($D521="","",IFERROR(INDEX(MAP_CLASS,MATCH($D521,MAP_TIPO,0)),"TIPO INVALIDO"))</f>
        <v/>
      </c>
      <c r="X521" s="35" t="str">
        <f aca="false">IF($K521="","",IFERROR(INDEX(CAT_NOME,MATCH($K521,CAT_ID,0)),"?"))</f>
        <v/>
      </c>
      <c r="Y521" s="35" t="str">
        <f aca="false">IF($L521="","",IFERROR(INDEX(SUB_NOME,MATCH($L521,SUB_ID,0)),"?"))</f>
        <v/>
      </c>
      <c r="Z521" s="35" t="str">
        <f aca="false">IF($G521="","",IF($G521="EXTERNO","(Externo)",IFERROR(INDEX(ENT_NOME,MATCH($H521,ENT_ID,0)),"?")))</f>
        <v/>
      </c>
      <c r="AA521" s="35" t="str">
        <f aca="false">IF($I521="","",IF($I521="EXTERNO","(Externo)",IFERROR(INDEX(ENT_NOME,MATCH($J521,ENT_ID,0)),"?")))</f>
        <v/>
      </c>
      <c r="AB521" s="36" t="n">
        <f aca="false">IF($B521="",0,IF(AND($I521="CONTA",$G521&lt;&gt;"CONTA"),$F521,0))</f>
        <v>0</v>
      </c>
      <c r="AC521" s="36" t="n">
        <f aca="false">IF($B521="",0,IF(AND($G521="CONTA",$I521&lt;&gt;"CONTA"),$F521,0))</f>
        <v>0</v>
      </c>
      <c r="AD521" s="36" t="n">
        <f aca="false">IF($W521="RECEITA",$F521,0)</f>
        <v>0</v>
      </c>
      <c r="AE521" s="36" t="n">
        <f aca="false">IF($W521="DESPESA",$F521,0)</f>
        <v>0</v>
      </c>
      <c r="AF521" s="36" t="n">
        <f aca="false">IF($W521="RECEITA_FINANCEIRA",$F521,0)</f>
        <v>0</v>
      </c>
      <c r="AG521" s="36" t="n">
        <f aca="false">IF($B521="",0,IF($I521="CONTA",$F521,0)-IF($G521="CONTA",$F521,0))</f>
        <v>0</v>
      </c>
      <c r="AH521" s="36" t="n">
        <f aca="false">IF($B521="",0,IF($G521="CARTAO",$F521,0)-IF($I521="CARTAO",$F521,0))</f>
        <v>0</v>
      </c>
      <c r="AI521" s="36" t="n">
        <f aca="false">IF($B521="",0,IF($I521="INVESTIMENTO",$F521,0)-IF($G521="INVESTIMENTO",$F521,0))</f>
        <v>0</v>
      </c>
      <c r="AJ521" s="35" t="str">
        <f aca="false">IF($B521="","",IF(NOT(ISNUMBER($F521)),"ERRO: valor nao numerico",IF($F521&lt;=0,"ERRO: valor deve ser maior que zero",IF(COUNTIF(MAP_TIPO,$D521)=0,"ERRO: tipo de operacao nao cadastrado",IF(COUNTIF(LST_STATUS,$E521)=0,"ERRO: status invalido",IF(AND($G521="EXTERNO",$I521="EXTERNO"),"ERRO: origem e destino externos",IF(AND($G521&lt;&gt;"EXTERNO",COUNTIFS(ENT_ID,$H521,ENT_TIPO,$G521)=0),"ERRO: origem inexistente",IF(AND($I521&lt;&gt;"EXTERNO",COUNTIFS(ENT_ID,$J521,ENT_TIPO,$I521)=0),"ERRO: destino inexistente",IF(AND($K521&lt;&gt;"",COUNTIF(CAT_ID,$K521)=0),"ERRO: categoria inexistente",IF(AND($L521&lt;&gt;"",COUNTIF(SUB_ID,$L521)=0),"ERRO: subcategoria inexistente",IF(AND($L521&lt;&gt;"",$K521&lt;&gt;"",IFERROR(INDEX(SUB_CATID,MATCH($L521,SUB_ID,0)),"")&lt;&gt;$K521),"ERRO: subcategoria nao pertence a categoria",IF(AND($O521&lt;&gt;"",COUNTIF(P_ID,$O521)=0),"ERRO: parcela inexistente",IF(AND($N521&lt;&gt;"",COUNTIF(CM_ID,$N521)=0),"ERRO: compromisso inexistente","OK")))))))))))))</f>
        <v/>
      </c>
      <c r="AK521" s="35" t="str">
        <f aca="false">IF($B521="","",IF(AND($N521="",$O521="",$P521="",$Q521="",$R521=""),"","VINCULADO: "&amp;TRIM(IF($N521&lt;&gt;"",$N521&amp;" ","")&amp;IF($O521&lt;&gt;"",$O521&amp;" ","")&amp;IF($P521&lt;&gt;"",$P521&amp;" ","")&amp;IF($Q521&lt;&gt;"",$Q521&amp;" ","")&amp;IF($R521&lt;&gt;"",$R521,""))))</f>
        <v/>
      </c>
    </row>
    <row r="522" customFormat="false" ht="15" hidden="false" customHeight="false" outlineLevel="0" collapsed="false">
      <c r="A522" s="30" t="str">
        <f aca="false">IF($B522="","","LAN-"&amp;TEXT(ROW()-4,"000000"))</f>
        <v/>
      </c>
      <c r="B522" s="31"/>
      <c r="C522" s="32"/>
      <c r="D522" s="32"/>
      <c r="E522" s="32"/>
      <c r="F522" s="33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4" t="str">
        <f aca="false">IF($B522="","",YEAR($B522))</f>
        <v/>
      </c>
      <c r="U522" s="34" t="str">
        <f aca="false">IF($B522="","",MONTH($B522))</f>
        <v/>
      </c>
      <c r="V522" s="34" t="str">
        <f aca="false">IF($B522="","",YEAR($B522)*100+MONTH($B522))</f>
        <v/>
      </c>
      <c r="W522" s="35" t="str">
        <f aca="false">IF($D522="","",IFERROR(INDEX(MAP_CLASS,MATCH($D522,MAP_TIPO,0)),"TIPO INVALIDO"))</f>
        <v/>
      </c>
      <c r="X522" s="35" t="str">
        <f aca="false">IF($K522="","",IFERROR(INDEX(CAT_NOME,MATCH($K522,CAT_ID,0)),"?"))</f>
        <v/>
      </c>
      <c r="Y522" s="35" t="str">
        <f aca="false">IF($L522="","",IFERROR(INDEX(SUB_NOME,MATCH($L522,SUB_ID,0)),"?"))</f>
        <v/>
      </c>
      <c r="Z522" s="35" t="str">
        <f aca="false">IF($G522="","",IF($G522="EXTERNO","(Externo)",IFERROR(INDEX(ENT_NOME,MATCH($H522,ENT_ID,0)),"?")))</f>
        <v/>
      </c>
      <c r="AA522" s="35" t="str">
        <f aca="false">IF($I522="","",IF($I522="EXTERNO","(Externo)",IFERROR(INDEX(ENT_NOME,MATCH($J522,ENT_ID,0)),"?")))</f>
        <v/>
      </c>
      <c r="AB522" s="36" t="n">
        <f aca="false">IF($B522="",0,IF(AND($I522="CONTA",$G522&lt;&gt;"CONTA"),$F522,0))</f>
        <v>0</v>
      </c>
      <c r="AC522" s="36" t="n">
        <f aca="false">IF($B522="",0,IF(AND($G522="CONTA",$I522&lt;&gt;"CONTA"),$F522,0))</f>
        <v>0</v>
      </c>
      <c r="AD522" s="36" t="n">
        <f aca="false">IF($W522="RECEITA",$F522,0)</f>
        <v>0</v>
      </c>
      <c r="AE522" s="36" t="n">
        <f aca="false">IF($W522="DESPESA",$F522,0)</f>
        <v>0</v>
      </c>
      <c r="AF522" s="36" t="n">
        <f aca="false">IF($W522="RECEITA_FINANCEIRA",$F522,0)</f>
        <v>0</v>
      </c>
      <c r="AG522" s="36" t="n">
        <f aca="false">IF($B522="",0,IF($I522="CONTA",$F522,0)-IF($G522="CONTA",$F522,0))</f>
        <v>0</v>
      </c>
      <c r="AH522" s="36" t="n">
        <f aca="false">IF($B522="",0,IF($G522="CARTAO",$F522,0)-IF($I522="CARTAO",$F522,0))</f>
        <v>0</v>
      </c>
      <c r="AI522" s="36" t="n">
        <f aca="false">IF($B522="",0,IF($I522="INVESTIMENTO",$F522,0)-IF($G522="INVESTIMENTO",$F522,0))</f>
        <v>0</v>
      </c>
      <c r="AJ522" s="35" t="str">
        <f aca="false">IF($B522="","",IF(NOT(ISNUMBER($F522)),"ERRO: valor nao numerico",IF($F522&lt;=0,"ERRO: valor deve ser maior que zero",IF(COUNTIF(MAP_TIPO,$D522)=0,"ERRO: tipo de operacao nao cadastrado",IF(COUNTIF(LST_STATUS,$E522)=0,"ERRO: status invalido",IF(AND($G522="EXTERNO",$I522="EXTERNO"),"ERRO: origem e destino externos",IF(AND($G522&lt;&gt;"EXTERNO",COUNTIFS(ENT_ID,$H522,ENT_TIPO,$G522)=0),"ERRO: origem inexistente",IF(AND($I522&lt;&gt;"EXTERNO",COUNTIFS(ENT_ID,$J522,ENT_TIPO,$I522)=0),"ERRO: destino inexistente",IF(AND($K522&lt;&gt;"",COUNTIF(CAT_ID,$K522)=0),"ERRO: categoria inexistente",IF(AND($L522&lt;&gt;"",COUNTIF(SUB_ID,$L522)=0),"ERRO: subcategoria inexistente",IF(AND($L522&lt;&gt;"",$K522&lt;&gt;"",IFERROR(INDEX(SUB_CATID,MATCH($L522,SUB_ID,0)),"")&lt;&gt;$K522),"ERRO: subcategoria nao pertence a categoria",IF(AND($O522&lt;&gt;"",COUNTIF(P_ID,$O522)=0),"ERRO: parcela inexistente",IF(AND($N522&lt;&gt;"",COUNTIF(CM_ID,$N522)=0),"ERRO: compromisso inexistente","OK")))))))))))))</f>
        <v/>
      </c>
      <c r="AK522" s="35" t="str">
        <f aca="false">IF($B522="","",IF(AND($N522="",$O522="",$P522="",$Q522="",$R522=""),"","VINCULADO: "&amp;TRIM(IF($N522&lt;&gt;"",$N522&amp;" ","")&amp;IF($O522&lt;&gt;"",$O522&amp;" ","")&amp;IF($P522&lt;&gt;"",$P522&amp;" ","")&amp;IF($Q522&lt;&gt;"",$Q522&amp;" ","")&amp;IF($R522&lt;&gt;"",$R522,""))))</f>
        <v/>
      </c>
    </row>
    <row r="523" customFormat="false" ht="15" hidden="false" customHeight="false" outlineLevel="0" collapsed="false">
      <c r="A523" s="30" t="str">
        <f aca="false">IF($B523="","","LAN-"&amp;TEXT(ROW()-4,"000000"))</f>
        <v/>
      </c>
      <c r="B523" s="31"/>
      <c r="C523" s="32"/>
      <c r="D523" s="32"/>
      <c r="E523" s="32"/>
      <c r="F523" s="33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4" t="str">
        <f aca="false">IF($B523="","",YEAR($B523))</f>
        <v/>
      </c>
      <c r="U523" s="34" t="str">
        <f aca="false">IF($B523="","",MONTH($B523))</f>
        <v/>
      </c>
      <c r="V523" s="34" t="str">
        <f aca="false">IF($B523="","",YEAR($B523)*100+MONTH($B523))</f>
        <v/>
      </c>
      <c r="W523" s="35" t="str">
        <f aca="false">IF($D523="","",IFERROR(INDEX(MAP_CLASS,MATCH($D523,MAP_TIPO,0)),"TIPO INVALIDO"))</f>
        <v/>
      </c>
      <c r="X523" s="35" t="str">
        <f aca="false">IF($K523="","",IFERROR(INDEX(CAT_NOME,MATCH($K523,CAT_ID,0)),"?"))</f>
        <v/>
      </c>
      <c r="Y523" s="35" t="str">
        <f aca="false">IF($L523="","",IFERROR(INDEX(SUB_NOME,MATCH($L523,SUB_ID,0)),"?"))</f>
        <v/>
      </c>
      <c r="Z523" s="35" t="str">
        <f aca="false">IF($G523="","",IF($G523="EXTERNO","(Externo)",IFERROR(INDEX(ENT_NOME,MATCH($H523,ENT_ID,0)),"?")))</f>
        <v/>
      </c>
      <c r="AA523" s="35" t="str">
        <f aca="false">IF($I523="","",IF($I523="EXTERNO","(Externo)",IFERROR(INDEX(ENT_NOME,MATCH($J523,ENT_ID,0)),"?")))</f>
        <v/>
      </c>
      <c r="AB523" s="36" t="n">
        <f aca="false">IF($B523="",0,IF(AND($I523="CONTA",$G523&lt;&gt;"CONTA"),$F523,0))</f>
        <v>0</v>
      </c>
      <c r="AC523" s="36" t="n">
        <f aca="false">IF($B523="",0,IF(AND($G523="CONTA",$I523&lt;&gt;"CONTA"),$F523,0))</f>
        <v>0</v>
      </c>
      <c r="AD523" s="36" t="n">
        <f aca="false">IF($W523="RECEITA",$F523,0)</f>
        <v>0</v>
      </c>
      <c r="AE523" s="36" t="n">
        <f aca="false">IF($W523="DESPESA",$F523,0)</f>
        <v>0</v>
      </c>
      <c r="AF523" s="36" t="n">
        <f aca="false">IF($W523="RECEITA_FINANCEIRA",$F523,0)</f>
        <v>0</v>
      </c>
      <c r="AG523" s="36" t="n">
        <f aca="false">IF($B523="",0,IF($I523="CONTA",$F523,0)-IF($G523="CONTA",$F523,0))</f>
        <v>0</v>
      </c>
      <c r="AH523" s="36" t="n">
        <f aca="false">IF($B523="",0,IF($G523="CARTAO",$F523,0)-IF($I523="CARTAO",$F523,0))</f>
        <v>0</v>
      </c>
      <c r="AI523" s="36" t="n">
        <f aca="false">IF($B523="",0,IF($I523="INVESTIMENTO",$F523,0)-IF($G523="INVESTIMENTO",$F523,0))</f>
        <v>0</v>
      </c>
      <c r="AJ523" s="35" t="str">
        <f aca="false">IF($B523="","",IF(NOT(ISNUMBER($F523)),"ERRO: valor nao numerico",IF($F523&lt;=0,"ERRO: valor deve ser maior que zero",IF(COUNTIF(MAP_TIPO,$D523)=0,"ERRO: tipo de operacao nao cadastrado",IF(COUNTIF(LST_STATUS,$E523)=0,"ERRO: status invalido",IF(AND($G523="EXTERNO",$I523="EXTERNO"),"ERRO: origem e destino externos",IF(AND($G523&lt;&gt;"EXTERNO",COUNTIFS(ENT_ID,$H523,ENT_TIPO,$G523)=0),"ERRO: origem inexistente",IF(AND($I523&lt;&gt;"EXTERNO",COUNTIFS(ENT_ID,$J523,ENT_TIPO,$I523)=0),"ERRO: destino inexistente",IF(AND($K523&lt;&gt;"",COUNTIF(CAT_ID,$K523)=0),"ERRO: categoria inexistente",IF(AND($L523&lt;&gt;"",COUNTIF(SUB_ID,$L523)=0),"ERRO: subcategoria inexistente",IF(AND($L523&lt;&gt;"",$K523&lt;&gt;"",IFERROR(INDEX(SUB_CATID,MATCH($L523,SUB_ID,0)),"")&lt;&gt;$K523),"ERRO: subcategoria nao pertence a categoria",IF(AND($O523&lt;&gt;"",COUNTIF(P_ID,$O523)=0),"ERRO: parcela inexistente",IF(AND($N523&lt;&gt;"",COUNTIF(CM_ID,$N523)=0),"ERRO: compromisso inexistente","OK")))))))))))))</f>
        <v/>
      </c>
      <c r="AK523" s="35" t="str">
        <f aca="false">IF($B523="","",IF(AND($N523="",$O523="",$P523="",$Q523="",$R523=""),"","VINCULADO: "&amp;TRIM(IF($N523&lt;&gt;"",$N523&amp;" ","")&amp;IF($O523&lt;&gt;"",$O523&amp;" ","")&amp;IF($P523&lt;&gt;"",$P523&amp;" ","")&amp;IF($Q523&lt;&gt;"",$Q523&amp;" ","")&amp;IF($R523&lt;&gt;"",$R523,""))))</f>
        <v/>
      </c>
    </row>
    <row r="524" customFormat="false" ht="15" hidden="false" customHeight="false" outlineLevel="0" collapsed="false">
      <c r="A524" s="30" t="str">
        <f aca="false">IF($B524="","","LAN-"&amp;TEXT(ROW()-4,"000000"))</f>
        <v/>
      </c>
      <c r="B524" s="31"/>
      <c r="C524" s="32"/>
      <c r="D524" s="32"/>
      <c r="E524" s="32"/>
      <c r="F524" s="33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4" t="str">
        <f aca="false">IF($B524="","",YEAR($B524))</f>
        <v/>
      </c>
      <c r="U524" s="34" t="str">
        <f aca="false">IF($B524="","",MONTH($B524))</f>
        <v/>
      </c>
      <c r="V524" s="34" t="str">
        <f aca="false">IF($B524="","",YEAR($B524)*100+MONTH($B524))</f>
        <v/>
      </c>
      <c r="W524" s="35" t="str">
        <f aca="false">IF($D524="","",IFERROR(INDEX(MAP_CLASS,MATCH($D524,MAP_TIPO,0)),"TIPO INVALIDO"))</f>
        <v/>
      </c>
      <c r="X524" s="35" t="str">
        <f aca="false">IF($K524="","",IFERROR(INDEX(CAT_NOME,MATCH($K524,CAT_ID,0)),"?"))</f>
        <v/>
      </c>
      <c r="Y524" s="35" t="str">
        <f aca="false">IF($L524="","",IFERROR(INDEX(SUB_NOME,MATCH($L524,SUB_ID,0)),"?"))</f>
        <v/>
      </c>
      <c r="Z524" s="35" t="str">
        <f aca="false">IF($G524="","",IF($G524="EXTERNO","(Externo)",IFERROR(INDEX(ENT_NOME,MATCH($H524,ENT_ID,0)),"?")))</f>
        <v/>
      </c>
      <c r="AA524" s="35" t="str">
        <f aca="false">IF($I524="","",IF($I524="EXTERNO","(Externo)",IFERROR(INDEX(ENT_NOME,MATCH($J524,ENT_ID,0)),"?")))</f>
        <v/>
      </c>
      <c r="AB524" s="36" t="n">
        <f aca="false">IF($B524="",0,IF(AND($I524="CONTA",$G524&lt;&gt;"CONTA"),$F524,0))</f>
        <v>0</v>
      </c>
      <c r="AC524" s="36" t="n">
        <f aca="false">IF($B524="",0,IF(AND($G524="CONTA",$I524&lt;&gt;"CONTA"),$F524,0))</f>
        <v>0</v>
      </c>
      <c r="AD524" s="36" t="n">
        <f aca="false">IF($W524="RECEITA",$F524,0)</f>
        <v>0</v>
      </c>
      <c r="AE524" s="36" t="n">
        <f aca="false">IF($W524="DESPESA",$F524,0)</f>
        <v>0</v>
      </c>
      <c r="AF524" s="36" t="n">
        <f aca="false">IF($W524="RECEITA_FINANCEIRA",$F524,0)</f>
        <v>0</v>
      </c>
      <c r="AG524" s="36" t="n">
        <f aca="false">IF($B524="",0,IF($I524="CONTA",$F524,0)-IF($G524="CONTA",$F524,0))</f>
        <v>0</v>
      </c>
      <c r="AH524" s="36" t="n">
        <f aca="false">IF($B524="",0,IF($G524="CARTAO",$F524,0)-IF($I524="CARTAO",$F524,0))</f>
        <v>0</v>
      </c>
      <c r="AI524" s="36" t="n">
        <f aca="false">IF($B524="",0,IF($I524="INVESTIMENTO",$F524,0)-IF($G524="INVESTIMENTO",$F524,0))</f>
        <v>0</v>
      </c>
      <c r="AJ524" s="35" t="str">
        <f aca="false">IF($B524="","",IF(NOT(ISNUMBER($F524)),"ERRO: valor nao numerico",IF($F524&lt;=0,"ERRO: valor deve ser maior que zero",IF(COUNTIF(MAP_TIPO,$D524)=0,"ERRO: tipo de operacao nao cadastrado",IF(COUNTIF(LST_STATUS,$E524)=0,"ERRO: status invalido",IF(AND($G524="EXTERNO",$I524="EXTERNO"),"ERRO: origem e destino externos",IF(AND($G524&lt;&gt;"EXTERNO",COUNTIFS(ENT_ID,$H524,ENT_TIPO,$G524)=0),"ERRO: origem inexistente",IF(AND($I524&lt;&gt;"EXTERNO",COUNTIFS(ENT_ID,$J524,ENT_TIPO,$I524)=0),"ERRO: destino inexistente",IF(AND($K524&lt;&gt;"",COUNTIF(CAT_ID,$K524)=0),"ERRO: categoria inexistente",IF(AND($L524&lt;&gt;"",COUNTIF(SUB_ID,$L524)=0),"ERRO: subcategoria inexistente",IF(AND($L524&lt;&gt;"",$K524&lt;&gt;"",IFERROR(INDEX(SUB_CATID,MATCH($L524,SUB_ID,0)),"")&lt;&gt;$K524),"ERRO: subcategoria nao pertence a categoria",IF(AND($O524&lt;&gt;"",COUNTIF(P_ID,$O524)=0),"ERRO: parcela inexistente",IF(AND($N524&lt;&gt;"",COUNTIF(CM_ID,$N524)=0),"ERRO: compromisso inexistente","OK")))))))))))))</f>
        <v/>
      </c>
      <c r="AK524" s="35" t="str">
        <f aca="false">IF($B524="","",IF(AND($N524="",$O524="",$P524="",$Q524="",$R524=""),"","VINCULADO: "&amp;TRIM(IF($N524&lt;&gt;"",$N524&amp;" ","")&amp;IF($O524&lt;&gt;"",$O524&amp;" ","")&amp;IF($P524&lt;&gt;"",$P524&amp;" ","")&amp;IF($Q524&lt;&gt;"",$Q524&amp;" ","")&amp;IF($R524&lt;&gt;"",$R524,""))))</f>
        <v/>
      </c>
    </row>
    <row r="525" customFormat="false" ht="15" hidden="false" customHeight="false" outlineLevel="0" collapsed="false">
      <c r="A525" s="30" t="str">
        <f aca="false">IF($B525="","","LAN-"&amp;TEXT(ROW()-4,"000000"))</f>
        <v/>
      </c>
      <c r="B525" s="31"/>
      <c r="C525" s="32"/>
      <c r="D525" s="32"/>
      <c r="E525" s="32"/>
      <c r="F525" s="33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4" t="str">
        <f aca="false">IF($B525="","",YEAR($B525))</f>
        <v/>
      </c>
      <c r="U525" s="34" t="str">
        <f aca="false">IF($B525="","",MONTH($B525))</f>
        <v/>
      </c>
      <c r="V525" s="34" t="str">
        <f aca="false">IF($B525="","",YEAR($B525)*100+MONTH($B525))</f>
        <v/>
      </c>
      <c r="W525" s="35" t="str">
        <f aca="false">IF($D525="","",IFERROR(INDEX(MAP_CLASS,MATCH($D525,MAP_TIPO,0)),"TIPO INVALIDO"))</f>
        <v/>
      </c>
      <c r="X525" s="35" t="str">
        <f aca="false">IF($K525="","",IFERROR(INDEX(CAT_NOME,MATCH($K525,CAT_ID,0)),"?"))</f>
        <v/>
      </c>
      <c r="Y525" s="35" t="str">
        <f aca="false">IF($L525="","",IFERROR(INDEX(SUB_NOME,MATCH($L525,SUB_ID,0)),"?"))</f>
        <v/>
      </c>
      <c r="Z525" s="35" t="str">
        <f aca="false">IF($G525="","",IF($G525="EXTERNO","(Externo)",IFERROR(INDEX(ENT_NOME,MATCH($H525,ENT_ID,0)),"?")))</f>
        <v/>
      </c>
      <c r="AA525" s="35" t="str">
        <f aca="false">IF($I525="","",IF($I525="EXTERNO","(Externo)",IFERROR(INDEX(ENT_NOME,MATCH($J525,ENT_ID,0)),"?")))</f>
        <v/>
      </c>
      <c r="AB525" s="36" t="n">
        <f aca="false">IF($B525="",0,IF(AND($I525="CONTA",$G525&lt;&gt;"CONTA"),$F525,0))</f>
        <v>0</v>
      </c>
      <c r="AC525" s="36" t="n">
        <f aca="false">IF($B525="",0,IF(AND($G525="CONTA",$I525&lt;&gt;"CONTA"),$F525,0))</f>
        <v>0</v>
      </c>
      <c r="AD525" s="36" t="n">
        <f aca="false">IF($W525="RECEITA",$F525,0)</f>
        <v>0</v>
      </c>
      <c r="AE525" s="36" t="n">
        <f aca="false">IF($W525="DESPESA",$F525,0)</f>
        <v>0</v>
      </c>
      <c r="AF525" s="36" t="n">
        <f aca="false">IF($W525="RECEITA_FINANCEIRA",$F525,0)</f>
        <v>0</v>
      </c>
      <c r="AG525" s="36" t="n">
        <f aca="false">IF($B525="",0,IF($I525="CONTA",$F525,0)-IF($G525="CONTA",$F525,0))</f>
        <v>0</v>
      </c>
      <c r="AH525" s="36" t="n">
        <f aca="false">IF($B525="",0,IF($G525="CARTAO",$F525,0)-IF($I525="CARTAO",$F525,0))</f>
        <v>0</v>
      </c>
      <c r="AI525" s="36" t="n">
        <f aca="false">IF($B525="",0,IF($I525="INVESTIMENTO",$F525,0)-IF($G525="INVESTIMENTO",$F525,0))</f>
        <v>0</v>
      </c>
      <c r="AJ525" s="35" t="str">
        <f aca="false">IF($B525="","",IF(NOT(ISNUMBER($F525)),"ERRO: valor nao numerico",IF($F525&lt;=0,"ERRO: valor deve ser maior que zero",IF(COUNTIF(MAP_TIPO,$D525)=0,"ERRO: tipo de operacao nao cadastrado",IF(COUNTIF(LST_STATUS,$E525)=0,"ERRO: status invalido",IF(AND($G525="EXTERNO",$I525="EXTERNO"),"ERRO: origem e destino externos",IF(AND($G525&lt;&gt;"EXTERNO",COUNTIFS(ENT_ID,$H525,ENT_TIPO,$G525)=0),"ERRO: origem inexistente",IF(AND($I525&lt;&gt;"EXTERNO",COUNTIFS(ENT_ID,$J525,ENT_TIPO,$I525)=0),"ERRO: destino inexistente",IF(AND($K525&lt;&gt;"",COUNTIF(CAT_ID,$K525)=0),"ERRO: categoria inexistente",IF(AND($L525&lt;&gt;"",COUNTIF(SUB_ID,$L525)=0),"ERRO: subcategoria inexistente",IF(AND($L525&lt;&gt;"",$K525&lt;&gt;"",IFERROR(INDEX(SUB_CATID,MATCH($L525,SUB_ID,0)),"")&lt;&gt;$K525),"ERRO: subcategoria nao pertence a categoria",IF(AND($O525&lt;&gt;"",COUNTIF(P_ID,$O525)=0),"ERRO: parcela inexistente",IF(AND($N525&lt;&gt;"",COUNTIF(CM_ID,$N525)=0),"ERRO: compromisso inexistente","OK")))))))))))))</f>
        <v/>
      </c>
      <c r="AK525" s="35" t="str">
        <f aca="false">IF($B525="","",IF(AND($N525="",$O525="",$P525="",$Q525="",$R525=""),"","VINCULADO: "&amp;TRIM(IF($N525&lt;&gt;"",$N525&amp;" ","")&amp;IF($O525&lt;&gt;"",$O525&amp;" ","")&amp;IF($P525&lt;&gt;"",$P525&amp;" ","")&amp;IF($Q525&lt;&gt;"",$Q525&amp;" ","")&amp;IF($R525&lt;&gt;"",$R525,""))))</f>
        <v/>
      </c>
    </row>
    <row r="526" customFormat="false" ht="15" hidden="false" customHeight="false" outlineLevel="0" collapsed="false">
      <c r="A526" s="30" t="str">
        <f aca="false">IF($B526="","","LAN-"&amp;TEXT(ROW()-4,"000000"))</f>
        <v/>
      </c>
      <c r="B526" s="31"/>
      <c r="C526" s="32"/>
      <c r="D526" s="32"/>
      <c r="E526" s="32"/>
      <c r="F526" s="33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4" t="str">
        <f aca="false">IF($B526="","",YEAR($B526))</f>
        <v/>
      </c>
      <c r="U526" s="34" t="str">
        <f aca="false">IF($B526="","",MONTH($B526))</f>
        <v/>
      </c>
      <c r="V526" s="34" t="str">
        <f aca="false">IF($B526="","",YEAR($B526)*100+MONTH($B526))</f>
        <v/>
      </c>
      <c r="W526" s="35" t="str">
        <f aca="false">IF($D526="","",IFERROR(INDEX(MAP_CLASS,MATCH($D526,MAP_TIPO,0)),"TIPO INVALIDO"))</f>
        <v/>
      </c>
      <c r="X526" s="35" t="str">
        <f aca="false">IF($K526="","",IFERROR(INDEX(CAT_NOME,MATCH($K526,CAT_ID,0)),"?"))</f>
        <v/>
      </c>
      <c r="Y526" s="35" t="str">
        <f aca="false">IF($L526="","",IFERROR(INDEX(SUB_NOME,MATCH($L526,SUB_ID,0)),"?"))</f>
        <v/>
      </c>
      <c r="Z526" s="35" t="str">
        <f aca="false">IF($G526="","",IF($G526="EXTERNO","(Externo)",IFERROR(INDEX(ENT_NOME,MATCH($H526,ENT_ID,0)),"?")))</f>
        <v/>
      </c>
      <c r="AA526" s="35" t="str">
        <f aca="false">IF($I526="","",IF($I526="EXTERNO","(Externo)",IFERROR(INDEX(ENT_NOME,MATCH($J526,ENT_ID,0)),"?")))</f>
        <v/>
      </c>
      <c r="AB526" s="36" t="n">
        <f aca="false">IF($B526="",0,IF(AND($I526="CONTA",$G526&lt;&gt;"CONTA"),$F526,0))</f>
        <v>0</v>
      </c>
      <c r="AC526" s="36" t="n">
        <f aca="false">IF($B526="",0,IF(AND($G526="CONTA",$I526&lt;&gt;"CONTA"),$F526,0))</f>
        <v>0</v>
      </c>
      <c r="AD526" s="36" t="n">
        <f aca="false">IF($W526="RECEITA",$F526,0)</f>
        <v>0</v>
      </c>
      <c r="AE526" s="36" t="n">
        <f aca="false">IF($W526="DESPESA",$F526,0)</f>
        <v>0</v>
      </c>
      <c r="AF526" s="36" t="n">
        <f aca="false">IF($W526="RECEITA_FINANCEIRA",$F526,0)</f>
        <v>0</v>
      </c>
      <c r="AG526" s="36" t="n">
        <f aca="false">IF($B526="",0,IF($I526="CONTA",$F526,0)-IF($G526="CONTA",$F526,0))</f>
        <v>0</v>
      </c>
      <c r="AH526" s="36" t="n">
        <f aca="false">IF($B526="",0,IF($G526="CARTAO",$F526,0)-IF($I526="CARTAO",$F526,0))</f>
        <v>0</v>
      </c>
      <c r="AI526" s="36" t="n">
        <f aca="false">IF($B526="",0,IF($I526="INVESTIMENTO",$F526,0)-IF($G526="INVESTIMENTO",$F526,0))</f>
        <v>0</v>
      </c>
      <c r="AJ526" s="35" t="str">
        <f aca="false">IF($B526="","",IF(NOT(ISNUMBER($F526)),"ERRO: valor nao numerico",IF($F526&lt;=0,"ERRO: valor deve ser maior que zero",IF(COUNTIF(MAP_TIPO,$D526)=0,"ERRO: tipo de operacao nao cadastrado",IF(COUNTIF(LST_STATUS,$E526)=0,"ERRO: status invalido",IF(AND($G526="EXTERNO",$I526="EXTERNO"),"ERRO: origem e destino externos",IF(AND($G526&lt;&gt;"EXTERNO",COUNTIFS(ENT_ID,$H526,ENT_TIPO,$G526)=0),"ERRO: origem inexistente",IF(AND($I526&lt;&gt;"EXTERNO",COUNTIFS(ENT_ID,$J526,ENT_TIPO,$I526)=0),"ERRO: destino inexistente",IF(AND($K526&lt;&gt;"",COUNTIF(CAT_ID,$K526)=0),"ERRO: categoria inexistente",IF(AND($L526&lt;&gt;"",COUNTIF(SUB_ID,$L526)=0),"ERRO: subcategoria inexistente",IF(AND($L526&lt;&gt;"",$K526&lt;&gt;"",IFERROR(INDEX(SUB_CATID,MATCH($L526,SUB_ID,0)),"")&lt;&gt;$K526),"ERRO: subcategoria nao pertence a categoria",IF(AND($O526&lt;&gt;"",COUNTIF(P_ID,$O526)=0),"ERRO: parcela inexistente",IF(AND($N526&lt;&gt;"",COUNTIF(CM_ID,$N526)=0),"ERRO: compromisso inexistente","OK")))))))))))))</f>
        <v/>
      </c>
      <c r="AK526" s="35" t="str">
        <f aca="false">IF($B526="","",IF(AND($N526="",$O526="",$P526="",$Q526="",$R526=""),"","VINCULADO: "&amp;TRIM(IF($N526&lt;&gt;"",$N526&amp;" ","")&amp;IF($O526&lt;&gt;"",$O526&amp;" ","")&amp;IF($P526&lt;&gt;"",$P526&amp;" ","")&amp;IF($Q526&lt;&gt;"",$Q526&amp;" ","")&amp;IF($R526&lt;&gt;"",$R526,""))))</f>
        <v/>
      </c>
    </row>
    <row r="527" customFormat="false" ht="15" hidden="false" customHeight="false" outlineLevel="0" collapsed="false">
      <c r="A527" s="30" t="str">
        <f aca="false">IF($B527="","","LAN-"&amp;TEXT(ROW()-4,"000000"))</f>
        <v/>
      </c>
      <c r="B527" s="31"/>
      <c r="C527" s="32"/>
      <c r="D527" s="32"/>
      <c r="E527" s="32"/>
      <c r="F527" s="33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4" t="str">
        <f aca="false">IF($B527="","",YEAR($B527))</f>
        <v/>
      </c>
      <c r="U527" s="34" t="str">
        <f aca="false">IF($B527="","",MONTH($B527))</f>
        <v/>
      </c>
      <c r="V527" s="34" t="str">
        <f aca="false">IF($B527="","",YEAR($B527)*100+MONTH($B527))</f>
        <v/>
      </c>
      <c r="W527" s="35" t="str">
        <f aca="false">IF($D527="","",IFERROR(INDEX(MAP_CLASS,MATCH($D527,MAP_TIPO,0)),"TIPO INVALIDO"))</f>
        <v/>
      </c>
      <c r="X527" s="35" t="str">
        <f aca="false">IF($K527="","",IFERROR(INDEX(CAT_NOME,MATCH($K527,CAT_ID,0)),"?"))</f>
        <v/>
      </c>
      <c r="Y527" s="35" t="str">
        <f aca="false">IF($L527="","",IFERROR(INDEX(SUB_NOME,MATCH($L527,SUB_ID,0)),"?"))</f>
        <v/>
      </c>
      <c r="Z527" s="35" t="str">
        <f aca="false">IF($G527="","",IF($G527="EXTERNO","(Externo)",IFERROR(INDEX(ENT_NOME,MATCH($H527,ENT_ID,0)),"?")))</f>
        <v/>
      </c>
      <c r="AA527" s="35" t="str">
        <f aca="false">IF($I527="","",IF($I527="EXTERNO","(Externo)",IFERROR(INDEX(ENT_NOME,MATCH($J527,ENT_ID,0)),"?")))</f>
        <v/>
      </c>
      <c r="AB527" s="36" t="n">
        <f aca="false">IF($B527="",0,IF(AND($I527="CONTA",$G527&lt;&gt;"CONTA"),$F527,0))</f>
        <v>0</v>
      </c>
      <c r="AC527" s="36" t="n">
        <f aca="false">IF($B527="",0,IF(AND($G527="CONTA",$I527&lt;&gt;"CONTA"),$F527,0))</f>
        <v>0</v>
      </c>
      <c r="AD527" s="36" t="n">
        <f aca="false">IF($W527="RECEITA",$F527,0)</f>
        <v>0</v>
      </c>
      <c r="AE527" s="36" t="n">
        <f aca="false">IF($W527="DESPESA",$F527,0)</f>
        <v>0</v>
      </c>
      <c r="AF527" s="36" t="n">
        <f aca="false">IF($W527="RECEITA_FINANCEIRA",$F527,0)</f>
        <v>0</v>
      </c>
      <c r="AG527" s="36" t="n">
        <f aca="false">IF($B527="",0,IF($I527="CONTA",$F527,0)-IF($G527="CONTA",$F527,0))</f>
        <v>0</v>
      </c>
      <c r="AH527" s="36" t="n">
        <f aca="false">IF($B527="",0,IF($G527="CARTAO",$F527,0)-IF($I527="CARTAO",$F527,0))</f>
        <v>0</v>
      </c>
      <c r="AI527" s="36" t="n">
        <f aca="false">IF($B527="",0,IF($I527="INVESTIMENTO",$F527,0)-IF($G527="INVESTIMENTO",$F527,0))</f>
        <v>0</v>
      </c>
      <c r="AJ527" s="35" t="str">
        <f aca="false">IF($B527="","",IF(NOT(ISNUMBER($F527)),"ERRO: valor nao numerico",IF($F527&lt;=0,"ERRO: valor deve ser maior que zero",IF(COUNTIF(MAP_TIPO,$D527)=0,"ERRO: tipo de operacao nao cadastrado",IF(COUNTIF(LST_STATUS,$E527)=0,"ERRO: status invalido",IF(AND($G527="EXTERNO",$I527="EXTERNO"),"ERRO: origem e destino externos",IF(AND($G527&lt;&gt;"EXTERNO",COUNTIFS(ENT_ID,$H527,ENT_TIPO,$G527)=0),"ERRO: origem inexistente",IF(AND($I527&lt;&gt;"EXTERNO",COUNTIFS(ENT_ID,$J527,ENT_TIPO,$I527)=0),"ERRO: destino inexistente",IF(AND($K527&lt;&gt;"",COUNTIF(CAT_ID,$K527)=0),"ERRO: categoria inexistente",IF(AND($L527&lt;&gt;"",COUNTIF(SUB_ID,$L527)=0),"ERRO: subcategoria inexistente",IF(AND($L527&lt;&gt;"",$K527&lt;&gt;"",IFERROR(INDEX(SUB_CATID,MATCH($L527,SUB_ID,0)),"")&lt;&gt;$K527),"ERRO: subcategoria nao pertence a categoria",IF(AND($O527&lt;&gt;"",COUNTIF(P_ID,$O527)=0),"ERRO: parcela inexistente",IF(AND($N527&lt;&gt;"",COUNTIF(CM_ID,$N527)=0),"ERRO: compromisso inexistente","OK")))))))))))))</f>
        <v/>
      </c>
      <c r="AK527" s="35" t="str">
        <f aca="false">IF($B527="","",IF(AND($N527="",$O527="",$P527="",$Q527="",$R527=""),"","VINCULADO: "&amp;TRIM(IF($N527&lt;&gt;"",$N527&amp;" ","")&amp;IF($O527&lt;&gt;"",$O527&amp;" ","")&amp;IF($P527&lt;&gt;"",$P527&amp;" ","")&amp;IF($Q527&lt;&gt;"",$Q527&amp;" ","")&amp;IF($R527&lt;&gt;"",$R527,""))))</f>
        <v/>
      </c>
    </row>
    <row r="528" customFormat="false" ht="15" hidden="false" customHeight="false" outlineLevel="0" collapsed="false">
      <c r="A528" s="30" t="str">
        <f aca="false">IF($B528="","","LAN-"&amp;TEXT(ROW()-4,"000000"))</f>
        <v/>
      </c>
      <c r="B528" s="31"/>
      <c r="C528" s="32"/>
      <c r="D528" s="32"/>
      <c r="E528" s="32"/>
      <c r="F528" s="33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4" t="str">
        <f aca="false">IF($B528="","",YEAR($B528))</f>
        <v/>
      </c>
      <c r="U528" s="34" t="str">
        <f aca="false">IF($B528="","",MONTH($B528))</f>
        <v/>
      </c>
      <c r="V528" s="34" t="str">
        <f aca="false">IF($B528="","",YEAR($B528)*100+MONTH($B528))</f>
        <v/>
      </c>
      <c r="W528" s="35" t="str">
        <f aca="false">IF($D528="","",IFERROR(INDEX(MAP_CLASS,MATCH($D528,MAP_TIPO,0)),"TIPO INVALIDO"))</f>
        <v/>
      </c>
      <c r="X528" s="35" t="str">
        <f aca="false">IF($K528="","",IFERROR(INDEX(CAT_NOME,MATCH($K528,CAT_ID,0)),"?"))</f>
        <v/>
      </c>
      <c r="Y528" s="35" t="str">
        <f aca="false">IF($L528="","",IFERROR(INDEX(SUB_NOME,MATCH($L528,SUB_ID,0)),"?"))</f>
        <v/>
      </c>
      <c r="Z528" s="35" t="str">
        <f aca="false">IF($G528="","",IF($G528="EXTERNO","(Externo)",IFERROR(INDEX(ENT_NOME,MATCH($H528,ENT_ID,0)),"?")))</f>
        <v/>
      </c>
      <c r="AA528" s="35" t="str">
        <f aca="false">IF($I528="","",IF($I528="EXTERNO","(Externo)",IFERROR(INDEX(ENT_NOME,MATCH($J528,ENT_ID,0)),"?")))</f>
        <v/>
      </c>
      <c r="AB528" s="36" t="n">
        <f aca="false">IF($B528="",0,IF(AND($I528="CONTA",$G528&lt;&gt;"CONTA"),$F528,0))</f>
        <v>0</v>
      </c>
      <c r="AC528" s="36" t="n">
        <f aca="false">IF($B528="",0,IF(AND($G528="CONTA",$I528&lt;&gt;"CONTA"),$F528,0))</f>
        <v>0</v>
      </c>
      <c r="AD528" s="36" t="n">
        <f aca="false">IF($W528="RECEITA",$F528,0)</f>
        <v>0</v>
      </c>
      <c r="AE528" s="36" t="n">
        <f aca="false">IF($W528="DESPESA",$F528,0)</f>
        <v>0</v>
      </c>
      <c r="AF528" s="36" t="n">
        <f aca="false">IF($W528="RECEITA_FINANCEIRA",$F528,0)</f>
        <v>0</v>
      </c>
      <c r="AG528" s="36" t="n">
        <f aca="false">IF($B528="",0,IF($I528="CONTA",$F528,0)-IF($G528="CONTA",$F528,0))</f>
        <v>0</v>
      </c>
      <c r="AH528" s="36" t="n">
        <f aca="false">IF($B528="",0,IF($G528="CARTAO",$F528,0)-IF($I528="CARTAO",$F528,0))</f>
        <v>0</v>
      </c>
      <c r="AI528" s="36" t="n">
        <f aca="false">IF($B528="",0,IF($I528="INVESTIMENTO",$F528,0)-IF($G528="INVESTIMENTO",$F528,0))</f>
        <v>0</v>
      </c>
      <c r="AJ528" s="35" t="str">
        <f aca="false">IF($B528="","",IF(NOT(ISNUMBER($F528)),"ERRO: valor nao numerico",IF($F528&lt;=0,"ERRO: valor deve ser maior que zero",IF(COUNTIF(MAP_TIPO,$D528)=0,"ERRO: tipo de operacao nao cadastrado",IF(COUNTIF(LST_STATUS,$E528)=0,"ERRO: status invalido",IF(AND($G528="EXTERNO",$I528="EXTERNO"),"ERRO: origem e destino externos",IF(AND($G528&lt;&gt;"EXTERNO",COUNTIFS(ENT_ID,$H528,ENT_TIPO,$G528)=0),"ERRO: origem inexistente",IF(AND($I528&lt;&gt;"EXTERNO",COUNTIFS(ENT_ID,$J528,ENT_TIPO,$I528)=0),"ERRO: destino inexistente",IF(AND($K528&lt;&gt;"",COUNTIF(CAT_ID,$K528)=0),"ERRO: categoria inexistente",IF(AND($L528&lt;&gt;"",COUNTIF(SUB_ID,$L528)=0),"ERRO: subcategoria inexistente",IF(AND($L528&lt;&gt;"",$K528&lt;&gt;"",IFERROR(INDEX(SUB_CATID,MATCH($L528,SUB_ID,0)),"")&lt;&gt;$K528),"ERRO: subcategoria nao pertence a categoria",IF(AND($O528&lt;&gt;"",COUNTIF(P_ID,$O528)=0),"ERRO: parcela inexistente",IF(AND($N528&lt;&gt;"",COUNTIF(CM_ID,$N528)=0),"ERRO: compromisso inexistente","OK")))))))))))))</f>
        <v/>
      </c>
      <c r="AK528" s="35" t="str">
        <f aca="false">IF($B528="","",IF(AND($N528="",$O528="",$P528="",$Q528="",$R528=""),"","VINCULADO: "&amp;TRIM(IF($N528&lt;&gt;"",$N528&amp;" ","")&amp;IF($O528&lt;&gt;"",$O528&amp;" ","")&amp;IF($P528&lt;&gt;"",$P528&amp;" ","")&amp;IF($Q528&lt;&gt;"",$Q528&amp;" ","")&amp;IF($R528&lt;&gt;"",$R528,""))))</f>
        <v/>
      </c>
    </row>
    <row r="529" customFormat="false" ht="15" hidden="false" customHeight="false" outlineLevel="0" collapsed="false">
      <c r="A529" s="30" t="str">
        <f aca="false">IF($B529="","","LAN-"&amp;TEXT(ROW()-4,"000000"))</f>
        <v/>
      </c>
      <c r="B529" s="31"/>
      <c r="C529" s="32"/>
      <c r="D529" s="32"/>
      <c r="E529" s="32"/>
      <c r="F529" s="33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4" t="str">
        <f aca="false">IF($B529="","",YEAR($B529))</f>
        <v/>
      </c>
      <c r="U529" s="34" t="str">
        <f aca="false">IF($B529="","",MONTH($B529))</f>
        <v/>
      </c>
      <c r="V529" s="34" t="str">
        <f aca="false">IF($B529="","",YEAR($B529)*100+MONTH($B529))</f>
        <v/>
      </c>
      <c r="W529" s="35" t="str">
        <f aca="false">IF($D529="","",IFERROR(INDEX(MAP_CLASS,MATCH($D529,MAP_TIPO,0)),"TIPO INVALIDO"))</f>
        <v/>
      </c>
      <c r="X529" s="35" t="str">
        <f aca="false">IF($K529="","",IFERROR(INDEX(CAT_NOME,MATCH($K529,CAT_ID,0)),"?"))</f>
        <v/>
      </c>
      <c r="Y529" s="35" t="str">
        <f aca="false">IF($L529="","",IFERROR(INDEX(SUB_NOME,MATCH($L529,SUB_ID,0)),"?"))</f>
        <v/>
      </c>
      <c r="Z529" s="35" t="str">
        <f aca="false">IF($G529="","",IF($G529="EXTERNO","(Externo)",IFERROR(INDEX(ENT_NOME,MATCH($H529,ENT_ID,0)),"?")))</f>
        <v/>
      </c>
      <c r="AA529" s="35" t="str">
        <f aca="false">IF($I529="","",IF($I529="EXTERNO","(Externo)",IFERROR(INDEX(ENT_NOME,MATCH($J529,ENT_ID,0)),"?")))</f>
        <v/>
      </c>
      <c r="AB529" s="36" t="n">
        <f aca="false">IF($B529="",0,IF(AND($I529="CONTA",$G529&lt;&gt;"CONTA"),$F529,0))</f>
        <v>0</v>
      </c>
      <c r="AC529" s="36" t="n">
        <f aca="false">IF($B529="",0,IF(AND($G529="CONTA",$I529&lt;&gt;"CONTA"),$F529,0))</f>
        <v>0</v>
      </c>
      <c r="AD529" s="36" t="n">
        <f aca="false">IF($W529="RECEITA",$F529,0)</f>
        <v>0</v>
      </c>
      <c r="AE529" s="36" t="n">
        <f aca="false">IF($W529="DESPESA",$F529,0)</f>
        <v>0</v>
      </c>
      <c r="AF529" s="36" t="n">
        <f aca="false">IF($W529="RECEITA_FINANCEIRA",$F529,0)</f>
        <v>0</v>
      </c>
      <c r="AG529" s="36" t="n">
        <f aca="false">IF($B529="",0,IF($I529="CONTA",$F529,0)-IF($G529="CONTA",$F529,0))</f>
        <v>0</v>
      </c>
      <c r="AH529" s="36" t="n">
        <f aca="false">IF($B529="",0,IF($G529="CARTAO",$F529,0)-IF($I529="CARTAO",$F529,0))</f>
        <v>0</v>
      </c>
      <c r="AI529" s="36" t="n">
        <f aca="false">IF($B529="",0,IF($I529="INVESTIMENTO",$F529,0)-IF($G529="INVESTIMENTO",$F529,0))</f>
        <v>0</v>
      </c>
      <c r="AJ529" s="35" t="str">
        <f aca="false">IF($B529="","",IF(NOT(ISNUMBER($F529)),"ERRO: valor nao numerico",IF($F529&lt;=0,"ERRO: valor deve ser maior que zero",IF(COUNTIF(MAP_TIPO,$D529)=0,"ERRO: tipo de operacao nao cadastrado",IF(COUNTIF(LST_STATUS,$E529)=0,"ERRO: status invalido",IF(AND($G529="EXTERNO",$I529="EXTERNO"),"ERRO: origem e destino externos",IF(AND($G529&lt;&gt;"EXTERNO",COUNTIFS(ENT_ID,$H529,ENT_TIPO,$G529)=0),"ERRO: origem inexistente",IF(AND($I529&lt;&gt;"EXTERNO",COUNTIFS(ENT_ID,$J529,ENT_TIPO,$I529)=0),"ERRO: destino inexistente",IF(AND($K529&lt;&gt;"",COUNTIF(CAT_ID,$K529)=0),"ERRO: categoria inexistente",IF(AND($L529&lt;&gt;"",COUNTIF(SUB_ID,$L529)=0),"ERRO: subcategoria inexistente",IF(AND($L529&lt;&gt;"",$K529&lt;&gt;"",IFERROR(INDEX(SUB_CATID,MATCH($L529,SUB_ID,0)),"")&lt;&gt;$K529),"ERRO: subcategoria nao pertence a categoria",IF(AND($O529&lt;&gt;"",COUNTIF(P_ID,$O529)=0),"ERRO: parcela inexistente",IF(AND($N529&lt;&gt;"",COUNTIF(CM_ID,$N529)=0),"ERRO: compromisso inexistente","OK")))))))))))))</f>
        <v/>
      </c>
      <c r="AK529" s="35" t="str">
        <f aca="false">IF($B529="","",IF(AND($N529="",$O529="",$P529="",$Q529="",$R529=""),"","VINCULADO: "&amp;TRIM(IF($N529&lt;&gt;"",$N529&amp;" ","")&amp;IF($O529&lt;&gt;"",$O529&amp;" ","")&amp;IF($P529&lt;&gt;"",$P529&amp;" ","")&amp;IF($Q529&lt;&gt;"",$Q529&amp;" ","")&amp;IF($R529&lt;&gt;"",$R529,""))))</f>
        <v/>
      </c>
    </row>
    <row r="530" customFormat="false" ht="15" hidden="false" customHeight="false" outlineLevel="0" collapsed="false">
      <c r="A530" s="30" t="str">
        <f aca="false">IF($B530="","","LAN-"&amp;TEXT(ROW()-4,"000000"))</f>
        <v/>
      </c>
      <c r="B530" s="31"/>
      <c r="C530" s="32"/>
      <c r="D530" s="32"/>
      <c r="E530" s="32"/>
      <c r="F530" s="33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4" t="str">
        <f aca="false">IF($B530="","",YEAR($B530))</f>
        <v/>
      </c>
      <c r="U530" s="34" t="str">
        <f aca="false">IF($B530="","",MONTH($B530))</f>
        <v/>
      </c>
      <c r="V530" s="34" t="str">
        <f aca="false">IF($B530="","",YEAR($B530)*100+MONTH($B530))</f>
        <v/>
      </c>
      <c r="W530" s="35" t="str">
        <f aca="false">IF($D530="","",IFERROR(INDEX(MAP_CLASS,MATCH($D530,MAP_TIPO,0)),"TIPO INVALIDO"))</f>
        <v/>
      </c>
      <c r="X530" s="35" t="str">
        <f aca="false">IF($K530="","",IFERROR(INDEX(CAT_NOME,MATCH($K530,CAT_ID,0)),"?"))</f>
        <v/>
      </c>
      <c r="Y530" s="35" t="str">
        <f aca="false">IF($L530="","",IFERROR(INDEX(SUB_NOME,MATCH($L530,SUB_ID,0)),"?"))</f>
        <v/>
      </c>
      <c r="Z530" s="35" t="str">
        <f aca="false">IF($G530="","",IF($G530="EXTERNO","(Externo)",IFERROR(INDEX(ENT_NOME,MATCH($H530,ENT_ID,0)),"?")))</f>
        <v/>
      </c>
      <c r="AA530" s="35" t="str">
        <f aca="false">IF($I530="","",IF($I530="EXTERNO","(Externo)",IFERROR(INDEX(ENT_NOME,MATCH($J530,ENT_ID,0)),"?")))</f>
        <v/>
      </c>
      <c r="AB530" s="36" t="n">
        <f aca="false">IF($B530="",0,IF(AND($I530="CONTA",$G530&lt;&gt;"CONTA"),$F530,0))</f>
        <v>0</v>
      </c>
      <c r="AC530" s="36" t="n">
        <f aca="false">IF($B530="",0,IF(AND($G530="CONTA",$I530&lt;&gt;"CONTA"),$F530,0))</f>
        <v>0</v>
      </c>
      <c r="AD530" s="36" t="n">
        <f aca="false">IF($W530="RECEITA",$F530,0)</f>
        <v>0</v>
      </c>
      <c r="AE530" s="36" t="n">
        <f aca="false">IF($W530="DESPESA",$F530,0)</f>
        <v>0</v>
      </c>
      <c r="AF530" s="36" t="n">
        <f aca="false">IF($W530="RECEITA_FINANCEIRA",$F530,0)</f>
        <v>0</v>
      </c>
      <c r="AG530" s="36" t="n">
        <f aca="false">IF($B530="",0,IF($I530="CONTA",$F530,0)-IF($G530="CONTA",$F530,0))</f>
        <v>0</v>
      </c>
      <c r="AH530" s="36" t="n">
        <f aca="false">IF($B530="",0,IF($G530="CARTAO",$F530,0)-IF($I530="CARTAO",$F530,0))</f>
        <v>0</v>
      </c>
      <c r="AI530" s="36" t="n">
        <f aca="false">IF($B530="",0,IF($I530="INVESTIMENTO",$F530,0)-IF($G530="INVESTIMENTO",$F530,0))</f>
        <v>0</v>
      </c>
      <c r="AJ530" s="35" t="str">
        <f aca="false">IF($B530="","",IF(NOT(ISNUMBER($F530)),"ERRO: valor nao numerico",IF($F530&lt;=0,"ERRO: valor deve ser maior que zero",IF(COUNTIF(MAP_TIPO,$D530)=0,"ERRO: tipo de operacao nao cadastrado",IF(COUNTIF(LST_STATUS,$E530)=0,"ERRO: status invalido",IF(AND($G530="EXTERNO",$I530="EXTERNO"),"ERRO: origem e destino externos",IF(AND($G530&lt;&gt;"EXTERNO",COUNTIFS(ENT_ID,$H530,ENT_TIPO,$G530)=0),"ERRO: origem inexistente",IF(AND($I530&lt;&gt;"EXTERNO",COUNTIFS(ENT_ID,$J530,ENT_TIPO,$I530)=0),"ERRO: destino inexistente",IF(AND($K530&lt;&gt;"",COUNTIF(CAT_ID,$K530)=0),"ERRO: categoria inexistente",IF(AND($L530&lt;&gt;"",COUNTIF(SUB_ID,$L530)=0),"ERRO: subcategoria inexistente",IF(AND($L530&lt;&gt;"",$K530&lt;&gt;"",IFERROR(INDEX(SUB_CATID,MATCH($L530,SUB_ID,0)),"")&lt;&gt;$K530),"ERRO: subcategoria nao pertence a categoria",IF(AND($O530&lt;&gt;"",COUNTIF(P_ID,$O530)=0),"ERRO: parcela inexistente",IF(AND($N530&lt;&gt;"",COUNTIF(CM_ID,$N530)=0),"ERRO: compromisso inexistente","OK")))))))))))))</f>
        <v/>
      </c>
      <c r="AK530" s="35" t="str">
        <f aca="false">IF($B530="","",IF(AND($N530="",$O530="",$P530="",$Q530="",$R530=""),"","VINCULADO: "&amp;TRIM(IF($N530&lt;&gt;"",$N530&amp;" ","")&amp;IF($O530&lt;&gt;"",$O530&amp;" ","")&amp;IF($P530&lt;&gt;"",$P530&amp;" ","")&amp;IF($Q530&lt;&gt;"",$Q530&amp;" ","")&amp;IF($R530&lt;&gt;"",$R530,""))))</f>
        <v/>
      </c>
    </row>
    <row r="531" customFormat="false" ht="15" hidden="false" customHeight="false" outlineLevel="0" collapsed="false">
      <c r="A531" s="30" t="str">
        <f aca="false">IF($B531="","","LAN-"&amp;TEXT(ROW()-4,"000000"))</f>
        <v/>
      </c>
      <c r="B531" s="31"/>
      <c r="C531" s="32"/>
      <c r="D531" s="32"/>
      <c r="E531" s="32"/>
      <c r="F531" s="33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4" t="str">
        <f aca="false">IF($B531="","",YEAR($B531))</f>
        <v/>
      </c>
      <c r="U531" s="34" t="str">
        <f aca="false">IF($B531="","",MONTH($B531))</f>
        <v/>
      </c>
      <c r="V531" s="34" t="str">
        <f aca="false">IF($B531="","",YEAR($B531)*100+MONTH($B531))</f>
        <v/>
      </c>
      <c r="W531" s="35" t="str">
        <f aca="false">IF($D531="","",IFERROR(INDEX(MAP_CLASS,MATCH($D531,MAP_TIPO,0)),"TIPO INVALIDO"))</f>
        <v/>
      </c>
      <c r="X531" s="35" t="str">
        <f aca="false">IF($K531="","",IFERROR(INDEX(CAT_NOME,MATCH($K531,CAT_ID,0)),"?"))</f>
        <v/>
      </c>
      <c r="Y531" s="35" t="str">
        <f aca="false">IF($L531="","",IFERROR(INDEX(SUB_NOME,MATCH($L531,SUB_ID,0)),"?"))</f>
        <v/>
      </c>
      <c r="Z531" s="35" t="str">
        <f aca="false">IF($G531="","",IF($G531="EXTERNO","(Externo)",IFERROR(INDEX(ENT_NOME,MATCH($H531,ENT_ID,0)),"?")))</f>
        <v/>
      </c>
      <c r="AA531" s="35" t="str">
        <f aca="false">IF($I531="","",IF($I531="EXTERNO","(Externo)",IFERROR(INDEX(ENT_NOME,MATCH($J531,ENT_ID,0)),"?")))</f>
        <v/>
      </c>
      <c r="AB531" s="36" t="n">
        <f aca="false">IF($B531="",0,IF(AND($I531="CONTA",$G531&lt;&gt;"CONTA"),$F531,0))</f>
        <v>0</v>
      </c>
      <c r="AC531" s="36" t="n">
        <f aca="false">IF($B531="",0,IF(AND($G531="CONTA",$I531&lt;&gt;"CONTA"),$F531,0))</f>
        <v>0</v>
      </c>
      <c r="AD531" s="36" t="n">
        <f aca="false">IF($W531="RECEITA",$F531,0)</f>
        <v>0</v>
      </c>
      <c r="AE531" s="36" t="n">
        <f aca="false">IF($W531="DESPESA",$F531,0)</f>
        <v>0</v>
      </c>
      <c r="AF531" s="36" t="n">
        <f aca="false">IF($W531="RECEITA_FINANCEIRA",$F531,0)</f>
        <v>0</v>
      </c>
      <c r="AG531" s="36" t="n">
        <f aca="false">IF($B531="",0,IF($I531="CONTA",$F531,0)-IF($G531="CONTA",$F531,0))</f>
        <v>0</v>
      </c>
      <c r="AH531" s="36" t="n">
        <f aca="false">IF($B531="",0,IF($G531="CARTAO",$F531,0)-IF($I531="CARTAO",$F531,0))</f>
        <v>0</v>
      </c>
      <c r="AI531" s="36" t="n">
        <f aca="false">IF($B531="",0,IF($I531="INVESTIMENTO",$F531,0)-IF($G531="INVESTIMENTO",$F531,0))</f>
        <v>0</v>
      </c>
      <c r="AJ531" s="35" t="str">
        <f aca="false">IF($B531="","",IF(NOT(ISNUMBER($F531)),"ERRO: valor nao numerico",IF($F531&lt;=0,"ERRO: valor deve ser maior que zero",IF(COUNTIF(MAP_TIPO,$D531)=0,"ERRO: tipo de operacao nao cadastrado",IF(COUNTIF(LST_STATUS,$E531)=0,"ERRO: status invalido",IF(AND($G531="EXTERNO",$I531="EXTERNO"),"ERRO: origem e destino externos",IF(AND($G531&lt;&gt;"EXTERNO",COUNTIFS(ENT_ID,$H531,ENT_TIPO,$G531)=0),"ERRO: origem inexistente",IF(AND($I531&lt;&gt;"EXTERNO",COUNTIFS(ENT_ID,$J531,ENT_TIPO,$I531)=0),"ERRO: destino inexistente",IF(AND($K531&lt;&gt;"",COUNTIF(CAT_ID,$K531)=0),"ERRO: categoria inexistente",IF(AND($L531&lt;&gt;"",COUNTIF(SUB_ID,$L531)=0),"ERRO: subcategoria inexistente",IF(AND($L531&lt;&gt;"",$K531&lt;&gt;"",IFERROR(INDEX(SUB_CATID,MATCH($L531,SUB_ID,0)),"")&lt;&gt;$K531),"ERRO: subcategoria nao pertence a categoria",IF(AND($O531&lt;&gt;"",COUNTIF(P_ID,$O531)=0),"ERRO: parcela inexistente",IF(AND($N531&lt;&gt;"",COUNTIF(CM_ID,$N531)=0),"ERRO: compromisso inexistente","OK")))))))))))))</f>
        <v/>
      </c>
      <c r="AK531" s="35" t="str">
        <f aca="false">IF($B531="","",IF(AND($N531="",$O531="",$P531="",$Q531="",$R531=""),"","VINCULADO: "&amp;TRIM(IF($N531&lt;&gt;"",$N531&amp;" ","")&amp;IF($O531&lt;&gt;"",$O531&amp;" ","")&amp;IF($P531&lt;&gt;"",$P531&amp;" ","")&amp;IF($Q531&lt;&gt;"",$Q531&amp;" ","")&amp;IF($R531&lt;&gt;"",$R531,""))))</f>
        <v/>
      </c>
    </row>
    <row r="532" customFormat="false" ht="15" hidden="false" customHeight="false" outlineLevel="0" collapsed="false">
      <c r="A532" s="30" t="str">
        <f aca="false">IF($B532="","","LAN-"&amp;TEXT(ROW()-4,"000000"))</f>
        <v/>
      </c>
      <c r="B532" s="31"/>
      <c r="C532" s="32"/>
      <c r="D532" s="32"/>
      <c r="E532" s="32"/>
      <c r="F532" s="33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4" t="str">
        <f aca="false">IF($B532="","",YEAR($B532))</f>
        <v/>
      </c>
      <c r="U532" s="34" t="str">
        <f aca="false">IF($B532="","",MONTH($B532))</f>
        <v/>
      </c>
      <c r="V532" s="34" t="str">
        <f aca="false">IF($B532="","",YEAR($B532)*100+MONTH($B532))</f>
        <v/>
      </c>
      <c r="W532" s="35" t="str">
        <f aca="false">IF($D532="","",IFERROR(INDEX(MAP_CLASS,MATCH($D532,MAP_TIPO,0)),"TIPO INVALIDO"))</f>
        <v/>
      </c>
      <c r="X532" s="35" t="str">
        <f aca="false">IF($K532="","",IFERROR(INDEX(CAT_NOME,MATCH($K532,CAT_ID,0)),"?"))</f>
        <v/>
      </c>
      <c r="Y532" s="35" t="str">
        <f aca="false">IF($L532="","",IFERROR(INDEX(SUB_NOME,MATCH($L532,SUB_ID,0)),"?"))</f>
        <v/>
      </c>
      <c r="Z532" s="35" t="str">
        <f aca="false">IF($G532="","",IF($G532="EXTERNO","(Externo)",IFERROR(INDEX(ENT_NOME,MATCH($H532,ENT_ID,0)),"?")))</f>
        <v/>
      </c>
      <c r="AA532" s="35" t="str">
        <f aca="false">IF($I532="","",IF($I532="EXTERNO","(Externo)",IFERROR(INDEX(ENT_NOME,MATCH($J532,ENT_ID,0)),"?")))</f>
        <v/>
      </c>
      <c r="AB532" s="36" t="n">
        <f aca="false">IF($B532="",0,IF(AND($I532="CONTA",$G532&lt;&gt;"CONTA"),$F532,0))</f>
        <v>0</v>
      </c>
      <c r="AC532" s="36" t="n">
        <f aca="false">IF($B532="",0,IF(AND($G532="CONTA",$I532&lt;&gt;"CONTA"),$F532,0))</f>
        <v>0</v>
      </c>
      <c r="AD532" s="36" t="n">
        <f aca="false">IF($W532="RECEITA",$F532,0)</f>
        <v>0</v>
      </c>
      <c r="AE532" s="36" t="n">
        <f aca="false">IF($W532="DESPESA",$F532,0)</f>
        <v>0</v>
      </c>
      <c r="AF532" s="36" t="n">
        <f aca="false">IF($W532="RECEITA_FINANCEIRA",$F532,0)</f>
        <v>0</v>
      </c>
      <c r="AG532" s="36" t="n">
        <f aca="false">IF($B532="",0,IF($I532="CONTA",$F532,0)-IF($G532="CONTA",$F532,0))</f>
        <v>0</v>
      </c>
      <c r="AH532" s="36" t="n">
        <f aca="false">IF($B532="",0,IF($G532="CARTAO",$F532,0)-IF($I532="CARTAO",$F532,0))</f>
        <v>0</v>
      </c>
      <c r="AI532" s="36" t="n">
        <f aca="false">IF($B532="",0,IF($I532="INVESTIMENTO",$F532,0)-IF($G532="INVESTIMENTO",$F532,0))</f>
        <v>0</v>
      </c>
      <c r="AJ532" s="35" t="str">
        <f aca="false">IF($B532="","",IF(NOT(ISNUMBER($F532)),"ERRO: valor nao numerico",IF($F532&lt;=0,"ERRO: valor deve ser maior que zero",IF(COUNTIF(MAP_TIPO,$D532)=0,"ERRO: tipo de operacao nao cadastrado",IF(COUNTIF(LST_STATUS,$E532)=0,"ERRO: status invalido",IF(AND($G532="EXTERNO",$I532="EXTERNO"),"ERRO: origem e destino externos",IF(AND($G532&lt;&gt;"EXTERNO",COUNTIFS(ENT_ID,$H532,ENT_TIPO,$G532)=0),"ERRO: origem inexistente",IF(AND($I532&lt;&gt;"EXTERNO",COUNTIFS(ENT_ID,$J532,ENT_TIPO,$I532)=0),"ERRO: destino inexistente",IF(AND($K532&lt;&gt;"",COUNTIF(CAT_ID,$K532)=0),"ERRO: categoria inexistente",IF(AND($L532&lt;&gt;"",COUNTIF(SUB_ID,$L532)=0),"ERRO: subcategoria inexistente",IF(AND($L532&lt;&gt;"",$K532&lt;&gt;"",IFERROR(INDEX(SUB_CATID,MATCH($L532,SUB_ID,0)),"")&lt;&gt;$K532),"ERRO: subcategoria nao pertence a categoria",IF(AND($O532&lt;&gt;"",COUNTIF(P_ID,$O532)=0),"ERRO: parcela inexistente",IF(AND($N532&lt;&gt;"",COUNTIF(CM_ID,$N532)=0),"ERRO: compromisso inexistente","OK")))))))))))))</f>
        <v/>
      </c>
      <c r="AK532" s="35" t="str">
        <f aca="false">IF($B532="","",IF(AND($N532="",$O532="",$P532="",$Q532="",$R532=""),"","VINCULADO: "&amp;TRIM(IF($N532&lt;&gt;"",$N532&amp;" ","")&amp;IF($O532&lt;&gt;"",$O532&amp;" ","")&amp;IF($P532&lt;&gt;"",$P532&amp;" ","")&amp;IF($Q532&lt;&gt;"",$Q532&amp;" ","")&amp;IF($R532&lt;&gt;"",$R532,""))))</f>
        <v/>
      </c>
    </row>
    <row r="533" customFormat="false" ht="15" hidden="false" customHeight="false" outlineLevel="0" collapsed="false">
      <c r="A533" s="30" t="str">
        <f aca="false">IF($B533="","","LAN-"&amp;TEXT(ROW()-4,"000000"))</f>
        <v/>
      </c>
      <c r="B533" s="31"/>
      <c r="C533" s="32"/>
      <c r="D533" s="32"/>
      <c r="E533" s="32"/>
      <c r="F533" s="33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4" t="str">
        <f aca="false">IF($B533="","",YEAR($B533))</f>
        <v/>
      </c>
      <c r="U533" s="34" t="str">
        <f aca="false">IF($B533="","",MONTH($B533))</f>
        <v/>
      </c>
      <c r="V533" s="34" t="str">
        <f aca="false">IF($B533="","",YEAR($B533)*100+MONTH($B533))</f>
        <v/>
      </c>
      <c r="W533" s="35" t="str">
        <f aca="false">IF($D533="","",IFERROR(INDEX(MAP_CLASS,MATCH($D533,MAP_TIPO,0)),"TIPO INVALIDO"))</f>
        <v/>
      </c>
      <c r="X533" s="35" t="str">
        <f aca="false">IF($K533="","",IFERROR(INDEX(CAT_NOME,MATCH($K533,CAT_ID,0)),"?"))</f>
        <v/>
      </c>
      <c r="Y533" s="35" t="str">
        <f aca="false">IF($L533="","",IFERROR(INDEX(SUB_NOME,MATCH($L533,SUB_ID,0)),"?"))</f>
        <v/>
      </c>
      <c r="Z533" s="35" t="str">
        <f aca="false">IF($G533="","",IF($G533="EXTERNO","(Externo)",IFERROR(INDEX(ENT_NOME,MATCH($H533,ENT_ID,0)),"?")))</f>
        <v/>
      </c>
      <c r="AA533" s="35" t="str">
        <f aca="false">IF($I533="","",IF($I533="EXTERNO","(Externo)",IFERROR(INDEX(ENT_NOME,MATCH($J533,ENT_ID,0)),"?")))</f>
        <v/>
      </c>
      <c r="AB533" s="36" t="n">
        <f aca="false">IF($B533="",0,IF(AND($I533="CONTA",$G533&lt;&gt;"CONTA"),$F533,0))</f>
        <v>0</v>
      </c>
      <c r="AC533" s="36" t="n">
        <f aca="false">IF($B533="",0,IF(AND($G533="CONTA",$I533&lt;&gt;"CONTA"),$F533,0))</f>
        <v>0</v>
      </c>
      <c r="AD533" s="36" t="n">
        <f aca="false">IF($W533="RECEITA",$F533,0)</f>
        <v>0</v>
      </c>
      <c r="AE533" s="36" t="n">
        <f aca="false">IF($W533="DESPESA",$F533,0)</f>
        <v>0</v>
      </c>
      <c r="AF533" s="36" t="n">
        <f aca="false">IF($W533="RECEITA_FINANCEIRA",$F533,0)</f>
        <v>0</v>
      </c>
      <c r="AG533" s="36" t="n">
        <f aca="false">IF($B533="",0,IF($I533="CONTA",$F533,0)-IF($G533="CONTA",$F533,0))</f>
        <v>0</v>
      </c>
      <c r="AH533" s="36" t="n">
        <f aca="false">IF($B533="",0,IF($G533="CARTAO",$F533,0)-IF($I533="CARTAO",$F533,0))</f>
        <v>0</v>
      </c>
      <c r="AI533" s="36" t="n">
        <f aca="false">IF($B533="",0,IF($I533="INVESTIMENTO",$F533,0)-IF($G533="INVESTIMENTO",$F533,0))</f>
        <v>0</v>
      </c>
      <c r="AJ533" s="35" t="str">
        <f aca="false">IF($B533="","",IF(NOT(ISNUMBER($F533)),"ERRO: valor nao numerico",IF($F533&lt;=0,"ERRO: valor deve ser maior que zero",IF(COUNTIF(MAP_TIPO,$D533)=0,"ERRO: tipo de operacao nao cadastrado",IF(COUNTIF(LST_STATUS,$E533)=0,"ERRO: status invalido",IF(AND($G533="EXTERNO",$I533="EXTERNO"),"ERRO: origem e destino externos",IF(AND($G533&lt;&gt;"EXTERNO",COUNTIFS(ENT_ID,$H533,ENT_TIPO,$G533)=0),"ERRO: origem inexistente",IF(AND($I533&lt;&gt;"EXTERNO",COUNTIFS(ENT_ID,$J533,ENT_TIPO,$I533)=0),"ERRO: destino inexistente",IF(AND($K533&lt;&gt;"",COUNTIF(CAT_ID,$K533)=0),"ERRO: categoria inexistente",IF(AND($L533&lt;&gt;"",COUNTIF(SUB_ID,$L533)=0),"ERRO: subcategoria inexistente",IF(AND($L533&lt;&gt;"",$K533&lt;&gt;"",IFERROR(INDEX(SUB_CATID,MATCH($L533,SUB_ID,0)),"")&lt;&gt;$K533),"ERRO: subcategoria nao pertence a categoria",IF(AND($O533&lt;&gt;"",COUNTIF(P_ID,$O533)=0),"ERRO: parcela inexistente",IF(AND($N533&lt;&gt;"",COUNTIF(CM_ID,$N533)=0),"ERRO: compromisso inexistente","OK")))))))))))))</f>
        <v/>
      </c>
      <c r="AK533" s="35" t="str">
        <f aca="false">IF($B533="","",IF(AND($N533="",$O533="",$P533="",$Q533="",$R533=""),"","VINCULADO: "&amp;TRIM(IF($N533&lt;&gt;"",$N533&amp;" ","")&amp;IF($O533&lt;&gt;"",$O533&amp;" ","")&amp;IF($P533&lt;&gt;"",$P533&amp;" ","")&amp;IF($Q533&lt;&gt;"",$Q533&amp;" ","")&amp;IF($R533&lt;&gt;"",$R533,""))))</f>
        <v/>
      </c>
    </row>
    <row r="534" customFormat="false" ht="15" hidden="false" customHeight="false" outlineLevel="0" collapsed="false">
      <c r="A534" s="30" t="str">
        <f aca="false">IF($B534="","","LAN-"&amp;TEXT(ROW()-4,"000000"))</f>
        <v/>
      </c>
      <c r="B534" s="31"/>
      <c r="C534" s="32"/>
      <c r="D534" s="32"/>
      <c r="E534" s="32"/>
      <c r="F534" s="33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4" t="str">
        <f aca="false">IF($B534="","",YEAR($B534))</f>
        <v/>
      </c>
      <c r="U534" s="34" t="str">
        <f aca="false">IF($B534="","",MONTH($B534))</f>
        <v/>
      </c>
      <c r="V534" s="34" t="str">
        <f aca="false">IF($B534="","",YEAR($B534)*100+MONTH($B534))</f>
        <v/>
      </c>
      <c r="W534" s="35" t="str">
        <f aca="false">IF($D534="","",IFERROR(INDEX(MAP_CLASS,MATCH($D534,MAP_TIPO,0)),"TIPO INVALIDO"))</f>
        <v/>
      </c>
      <c r="X534" s="35" t="str">
        <f aca="false">IF($K534="","",IFERROR(INDEX(CAT_NOME,MATCH($K534,CAT_ID,0)),"?"))</f>
        <v/>
      </c>
      <c r="Y534" s="35" t="str">
        <f aca="false">IF($L534="","",IFERROR(INDEX(SUB_NOME,MATCH($L534,SUB_ID,0)),"?"))</f>
        <v/>
      </c>
      <c r="Z534" s="35" t="str">
        <f aca="false">IF($G534="","",IF($G534="EXTERNO","(Externo)",IFERROR(INDEX(ENT_NOME,MATCH($H534,ENT_ID,0)),"?")))</f>
        <v/>
      </c>
      <c r="AA534" s="35" t="str">
        <f aca="false">IF($I534="","",IF($I534="EXTERNO","(Externo)",IFERROR(INDEX(ENT_NOME,MATCH($J534,ENT_ID,0)),"?")))</f>
        <v/>
      </c>
      <c r="AB534" s="36" t="n">
        <f aca="false">IF($B534="",0,IF(AND($I534="CONTA",$G534&lt;&gt;"CONTA"),$F534,0))</f>
        <v>0</v>
      </c>
      <c r="AC534" s="36" t="n">
        <f aca="false">IF($B534="",0,IF(AND($G534="CONTA",$I534&lt;&gt;"CONTA"),$F534,0))</f>
        <v>0</v>
      </c>
      <c r="AD534" s="36" t="n">
        <f aca="false">IF($W534="RECEITA",$F534,0)</f>
        <v>0</v>
      </c>
      <c r="AE534" s="36" t="n">
        <f aca="false">IF($W534="DESPESA",$F534,0)</f>
        <v>0</v>
      </c>
      <c r="AF534" s="36" t="n">
        <f aca="false">IF($W534="RECEITA_FINANCEIRA",$F534,0)</f>
        <v>0</v>
      </c>
      <c r="AG534" s="36" t="n">
        <f aca="false">IF($B534="",0,IF($I534="CONTA",$F534,0)-IF($G534="CONTA",$F534,0))</f>
        <v>0</v>
      </c>
      <c r="AH534" s="36" t="n">
        <f aca="false">IF($B534="",0,IF($G534="CARTAO",$F534,0)-IF($I534="CARTAO",$F534,0))</f>
        <v>0</v>
      </c>
      <c r="AI534" s="36" t="n">
        <f aca="false">IF($B534="",0,IF($I534="INVESTIMENTO",$F534,0)-IF($G534="INVESTIMENTO",$F534,0))</f>
        <v>0</v>
      </c>
      <c r="AJ534" s="35" t="str">
        <f aca="false">IF($B534="","",IF(NOT(ISNUMBER($F534)),"ERRO: valor nao numerico",IF($F534&lt;=0,"ERRO: valor deve ser maior que zero",IF(COUNTIF(MAP_TIPO,$D534)=0,"ERRO: tipo de operacao nao cadastrado",IF(COUNTIF(LST_STATUS,$E534)=0,"ERRO: status invalido",IF(AND($G534="EXTERNO",$I534="EXTERNO"),"ERRO: origem e destino externos",IF(AND($G534&lt;&gt;"EXTERNO",COUNTIFS(ENT_ID,$H534,ENT_TIPO,$G534)=0),"ERRO: origem inexistente",IF(AND($I534&lt;&gt;"EXTERNO",COUNTIFS(ENT_ID,$J534,ENT_TIPO,$I534)=0),"ERRO: destino inexistente",IF(AND($K534&lt;&gt;"",COUNTIF(CAT_ID,$K534)=0),"ERRO: categoria inexistente",IF(AND($L534&lt;&gt;"",COUNTIF(SUB_ID,$L534)=0),"ERRO: subcategoria inexistente",IF(AND($L534&lt;&gt;"",$K534&lt;&gt;"",IFERROR(INDEX(SUB_CATID,MATCH($L534,SUB_ID,0)),"")&lt;&gt;$K534),"ERRO: subcategoria nao pertence a categoria",IF(AND($O534&lt;&gt;"",COUNTIF(P_ID,$O534)=0),"ERRO: parcela inexistente",IF(AND($N534&lt;&gt;"",COUNTIF(CM_ID,$N534)=0),"ERRO: compromisso inexistente","OK")))))))))))))</f>
        <v/>
      </c>
      <c r="AK534" s="35" t="str">
        <f aca="false">IF($B534="","",IF(AND($N534="",$O534="",$P534="",$Q534="",$R534=""),"","VINCULADO: "&amp;TRIM(IF($N534&lt;&gt;"",$N534&amp;" ","")&amp;IF($O534&lt;&gt;"",$O534&amp;" ","")&amp;IF($P534&lt;&gt;"",$P534&amp;" ","")&amp;IF($Q534&lt;&gt;"",$Q534&amp;" ","")&amp;IF($R534&lt;&gt;"",$R534,""))))</f>
        <v/>
      </c>
    </row>
    <row r="535" customFormat="false" ht="15" hidden="false" customHeight="false" outlineLevel="0" collapsed="false">
      <c r="A535" s="30" t="str">
        <f aca="false">IF($B535="","","LAN-"&amp;TEXT(ROW()-4,"000000"))</f>
        <v/>
      </c>
      <c r="B535" s="31"/>
      <c r="C535" s="32"/>
      <c r="D535" s="32"/>
      <c r="E535" s="32"/>
      <c r="F535" s="33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4" t="str">
        <f aca="false">IF($B535="","",YEAR($B535))</f>
        <v/>
      </c>
      <c r="U535" s="34" t="str">
        <f aca="false">IF($B535="","",MONTH($B535))</f>
        <v/>
      </c>
      <c r="V535" s="34" t="str">
        <f aca="false">IF($B535="","",YEAR($B535)*100+MONTH($B535))</f>
        <v/>
      </c>
      <c r="W535" s="35" t="str">
        <f aca="false">IF($D535="","",IFERROR(INDEX(MAP_CLASS,MATCH($D535,MAP_TIPO,0)),"TIPO INVALIDO"))</f>
        <v/>
      </c>
      <c r="X535" s="35" t="str">
        <f aca="false">IF($K535="","",IFERROR(INDEX(CAT_NOME,MATCH($K535,CAT_ID,0)),"?"))</f>
        <v/>
      </c>
      <c r="Y535" s="35" t="str">
        <f aca="false">IF($L535="","",IFERROR(INDEX(SUB_NOME,MATCH($L535,SUB_ID,0)),"?"))</f>
        <v/>
      </c>
      <c r="Z535" s="35" t="str">
        <f aca="false">IF($G535="","",IF($G535="EXTERNO","(Externo)",IFERROR(INDEX(ENT_NOME,MATCH($H535,ENT_ID,0)),"?")))</f>
        <v/>
      </c>
      <c r="AA535" s="35" t="str">
        <f aca="false">IF($I535="","",IF($I535="EXTERNO","(Externo)",IFERROR(INDEX(ENT_NOME,MATCH($J535,ENT_ID,0)),"?")))</f>
        <v/>
      </c>
      <c r="AB535" s="36" t="n">
        <f aca="false">IF($B535="",0,IF(AND($I535="CONTA",$G535&lt;&gt;"CONTA"),$F535,0))</f>
        <v>0</v>
      </c>
      <c r="AC535" s="36" t="n">
        <f aca="false">IF($B535="",0,IF(AND($G535="CONTA",$I535&lt;&gt;"CONTA"),$F535,0))</f>
        <v>0</v>
      </c>
      <c r="AD535" s="36" t="n">
        <f aca="false">IF($W535="RECEITA",$F535,0)</f>
        <v>0</v>
      </c>
      <c r="AE535" s="36" t="n">
        <f aca="false">IF($W535="DESPESA",$F535,0)</f>
        <v>0</v>
      </c>
      <c r="AF535" s="36" t="n">
        <f aca="false">IF($W535="RECEITA_FINANCEIRA",$F535,0)</f>
        <v>0</v>
      </c>
      <c r="AG535" s="36" t="n">
        <f aca="false">IF($B535="",0,IF($I535="CONTA",$F535,0)-IF($G535="CONTA",$F535,0))</f>
        <v>0</v>
      </c>
      <c r="AH535" s="36" t="n">
        <f aca="false">IF($B535="",0,IF($G535="CARTAO",$F535,0)-IF($I535="CARTAO",$F535,0))</f>
        <v>0</v>
      </c>
      <c r="AI535" s="36" t="n">
        <f aca="false">IF($B535="",0,IF($I535="INVESTIMENTO",$F535,0)-IF($G535="INVESTIMENTO",$F535,0))</f>
        <v>0</v>
      </c>
      <c r="AJ535" s="35" t="str">
        <f aca="false">IF($B535="","",IF(NOT(ISNUMBER($F535)),"ERRO: valor nao numerico",IF($F535&lt;=0,"ERRO: valor deve ser maior que zero",IF(COUNTIF(MAP_TIPO,$D535)=0,"ERRO: tipo de operacao nao cadastrado",IF(COUNTIF(LST_STATUS,$E535)=0,"ERRO: status invalido",IF(AND($G535="EXTERNO",$I535="EXTERNO"),"ERRO: origem e destino externos",IF(AND($G535&lt;&gt;"EXTERNO",COUNTIFS(ENT_ID,$H535,ENT_TIPO,$G535)=0),"ERRO: origem inexistente",IF(AND($I535&lt;&gt;"EXTERNO",COUNTIFS(ENT_ID,$J535,ENT_TIPO,$I535)=0),"ERRO: destino inexistente",IF(AND($K535&lt;&gt;"",COUNTIF(CAT_ID,$K535)=0),"ERRO: categoria inexistente",IF(AND($L535&lt;&gt;"",COUNTIF(SUB_ID,$L535)=0),"ERRO: subcategoria inexistente",IF(AND($L535&lt;&gt;"",$K535&lt;&gt;"",IFERROR(INDEX(SUB_CATID,MATCH($L535,SUB_ID,0)),"")&lt;&gt;$K535),"ERRO: subcategoria nao pertence a categoria",IF(AND($O535&lt;&gt;"",COUNTIF(P_ID,$O535)=0),"ERRO: parcela inexistente",IF(AND($N535&lt;&gt;"",COUNTIF(CM_ID,$N535)=0),"ERRO: compromisso inexistente","OK")))))))))))))</f>
        <v/>
      </c>
      <c r="AK535" s="35" t="str">
        <f aca="false">IF($B535="","",IF(AND($N535="",$O535="",$P535="",$Q535="",$R535=""),"","VINCULADO: "&amp;TRIM(IF($N535&lt;&gt;"",$N535&amp;" ","")&amp;IF($O535&lt;&gt;"",$O535&amp;" ","")&amp;IF($P535&lt;&gt;"",$P535&amp;" ","")&amp;IF($Q535&lt;&gt;"",$Q535&amp;" ","")&amp;IF($R535&lt;&gt;"",$R535,""))))</f>
        <v/>
      </c>
    </row>
    <row r="536" customFormat="false" ht="15" hidden="false" customHeight="false" outlineLevel="0" collapsed="false">
      <c r="A536" s="30" t="str">
        <f aca="false">IF($B536="","","LAN-"&amp;TEXT(ROW()-4,"000000"))</f>
        <v/>
      </c>
      <c r="B536" s="31"/>
      <c r="C536" s="32"/>
      <c r="D536" s="32"/>
      <c r="E536" s="32"/>
      <c r="F536" s="33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4" t="str">
        <f aca="false">IF($B536="","",YEAR($B536))</f>
        <v/>
      </c>
      <c r="U536" s="34" t="str">
        <f aca="false">IF($B536="","",MONTH($B536))</f>
        <v/>
      </c>
      <c r="V536" s="34" t="str">
        <f aca="false">IF($B536="","",YEAR($B536)*100+MONTH($B536))</f>
        <v/>
      </c>
      <c r="W536" s="35" t="str">
        <f aca="false">IF($D536="","",IFERROR(INDEX(MAP_CLASS,MATCH($D536,MAP_TIPO,0)),"TIPO INVALIDO"))</f>
        <v/>
      </c>
      <c r="X536" s="35" t="str">
        <f aca="false">IF($K536="","",IFERROR(INDEX(CAT_NOME,MATCH($K536,CAT_ID,0)),"?"))</f>
        <v/>
      </c>
      <c r="Y536" s="35" t="str">
        <f aca="false">IF($L536="","",IFERROR(INDEX(SUB_NOME,MATCH($L536,SUB_ID,0)),"?"))</f>
        <v/>
      </c>
      <c r="Z536" s="35" t="str">
        <f aca="false">IF($G536="","",IF($G536="EXTERNO","(Externo)",IFERROR(INDEX(ENT_NOME,MATCH($H536,ENT_ID,0)),"?")))</f>
        <v/>
      </c>
      <c r="AA536" s="35" t="str">
        <f aca="false">IF($I536="","",IF($I536="EXTERNO","(Externo)",IFERROR(INDEX(ENT_NOME,MATCH($J536,ENT_ID,0)),"?")))</f>
        <v/>
      </c>
      <c r="AB536" s="36" t="n">
        <f aca="false">IF($B536="",0,IF(AND($I536="CONTA",$G536&lt;&gt;"CONTA"),$F536,0))</f>
        <v>0</v>
      </c>
      <c r="AC536" s="36" t="n">
        <f aca="false">IF($B536="",0,IF(AND($G536="CONTA",$I536&lt;&gt;"CONTA"),$F536,0))</f>
        <v>0</v>
      </c>
      <c r="AD536" s="36" t="n">
        <f aca="false">IF($W536="RECEITA",$F536,0)</f>
        <v>0</v>
      </c>
      <c r="AE536" s="36" t="n">
        <f aca="false">IF($W536="DESPESA",$F536,0)</f>
        <v>0</v>
      </c>
      <c r="AF536" s="36" t="n">
        <f aca="false">IF($W536="RECEITA_FINANCEIRA",$F536,0)</f>
        <v>0</v>
      </c>
      <c r="AG536" s="36" t="n">
        <f aca="false">IF($B536="",0,IF($I536="CONTA",$F536,0)-IF($G536="CONTA",$F536,0))</f>
        <v>0</v>
      </c>
      <c r="AH536" s="36" t="n">
        <f aca="false">IF($B536="",0,IF($G536="CARTAO",$F536,0)-IF($I536="CARTAO",$F536,0))</f>
        <v>0</v>
      </c>
      <c r="AI536" s="36" t="n">
        <f aca="false">IF($B536="",0,IF($I536="INVESTIMENTO",$F536,0)-IF($G536="INVESTIMENTO",$F536,0))</f>
        <v>0</v>
      </c>
      <c r="AJ536" s="35" t="str">
        <f aca="false">IF($B536="","",IF(NOT(ISNUMBER($F536)),"ERRO: valor nao numerico",IF($F536&lt;=0,"ERRO: valor deve ser maior que zero",IF(COUNTIF(MAP_TIPO,$D536)=0,"ERRO: tipo de operacao nao cadastrado",IF(COUNTIF(LST_STATUS,$E536)=0,"ERRO: status invalido",IF(AND($G536="EXTERNO",$I536="EXTERNO"),"ERRO: origem e destino externos",IF(AND($G536&lt;&gt;"EXTERNO",COUNTIFS(ENT_ID,$H536,ENT_TIPO,$G536)=0),"ERRO: origem inexistente",IF(AND($I536&lt;&gt;"EXTERNO",COUNTIFS(ENT_ID,$J536,ENT_TIPO,$I536)=0),"ERRO: destino inexistente",IF(AND($K536&lt;&gt;"",COUNTIF(CAT_ID,$K536)=0),"ERRO: categoria inexistente",IF(AND($L536&lt;&gt;"",COUNTIF(SUB_ID,$L536)=0),"ERRO: subcategoria inexistente",IF(AND($L536&lt;&gt;"",$K536&lt;&gt;"",IFERROR(INDEX(SUB_CATID,MATCH($L536,SUB_ID,0)),"")&lt;&gt;$K536),"ERRO: subcategoria nao pertence a categoria",IF(AND($O536&lt;&gt;"",COUNTIF(P_ID,$O536)=0),"ERRO: parcela inexistente",IF(AND($N536&lt;&gt;"",COUNTIF(CM_ID,$N536)=0),"ERRO: compromisso inexistente","OK")))))))))))))</f>
        <v/>
      </c>
      <c r="AK536" s="35" t="str">
        <f aca="false">IF($B536="","",IF(AND($N536="",$O536="",$P536="",$Q536="",$R536=""),"","VINCULADO: "&amp;TRIM(IF($N536&lt;&gt;"",$N536&amp;" ","")&amp;IF($O536&lt;&gt;"",$O536&amp;" ","")&amp;IF($P536&lt;&gt;"",$P536&amp;" ","")&amp;IF($Q536&lt;&gt;"",$Q536&amp;" ","")&amp;IF($R536&lt;&gt;"",$R536,""))))</f>
        <v/>
      </c>
    </row>
    <row r="537" customFormat="false" ht="15" hidden="false" customHeight="false" outlineLevel="0" collapsed="false">
      <c r="A537" s="30" t="str">
        <f aca="false">IF($B537="","","LAN-"&amp;TEXT(ROW()-4,"000000"))</f>
        <v/>
      </c>
      <c r="B537" s="31"/>
      <c r="C537" s="32"/>
      <c r="D537" s="32"/>
      <c r="E537" s="32"/>
      <c r="F537" s="33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4" t="str">
        <f aca="false">IF($B537="","",YEAR($B537))</f>
        <v/>
      </c>
      <c r="U537" s="34" t="str">
        <f aca="false">IF($B537="","",MONTH($B537))</f>
        <v/>
      </c>
      <c r="V537" s="34" t="str">
        <f aca="false">IF($B537="","",YEAR($B537)*100+MONTH($B537))</f>
        <v/>
      </c>
      <c r="W537" s="35" t="str">
        <f aca="false">IF($D537="","",IFERROR(INDEX(MAP_CLASS,MATCH($D537,MAP_TIPO,0)),"TIPO INVALIDO"))</f>
        <v/>
      </c>
      <c r="X537" s="35" t="str">
        <f aca="false">IF($K537="","",IFERROR(INDEX(CAT_NOME,MATCH($K537,CAT_ID,0)),"?"))</f>
        <v/>
      </c>
      <c r="Y537" s="35" t="str">
        <f aca="false">IF($L537="","",IFERROR(INDEX(SUB_NOME,MATCH($L537,SUB_ID,0)),"?"))</f>
        <v/>
      </c>
      <c r="Z537" s="35" t="str">
        <f aca="false">IF($G537="","",IF($G537="EXTERNO","(Externo)",IFERROR(INDEX(ENT_NOME,MATCH($H537,ENT_ID,0)),"?")))</f>
        <v/>
      </c>
      <c r="AA537" s="35" t="str">
        <f aca="false">IF($I537="","",IF($I537="EXTERNO","(Externo)",IFERROR(INDEX(ENT_NOME,MATCH($J537,ENT_ID,0)),"?")))</f>
        <v/>
      </c>
      <c r="AB537" s="36" t="n">
        <f aca="false">IF($B537="",0,IF(AND($I537="CONTA",$G537&lt;&gt;"CONTA"),$F537,0))</f>
        <v>0</v>
      </c>
      <c r="AC537" s="36" t="n">
        <f aca="false">IF($B537="",0,IF(AND($G537="CONTA",$I537&lt;&gt;"CONTA"),$F537,0))</f>
        <v>0</v>
      </c>
      <c r="AD537" s="36" t="n">
        <f aca="false">IF($W537="RECEITA",$F537,0)</f>
        <v>0</v>
      </c>
      <c r="AE537" s="36" t="n">
        <f aca="false">IF($W537="DESPESA",$F537,0)</f>
        <v>0</v>
      </c>
      <c r="AF537" s="36" t="n">
        <f aca="false">IF($W537="RECEITA_FINANCEIRA",$F537,0)</f>
        <v>0</v>
      </c>
      <c r="AG537" s="36" t="n">
        <f aca="false">IF($B537="",0,IF($I537="CONTA",$F537,0)-IF($G537="CONTA",$F537,0))</f>
        <v>0</v>
      </c>
      <c r="AH537" s="36" t="n">
        <f aca="false">IF($B537="",0,IF($G537="CARTAO",$F537,0)-IF($I537="CARTAO",$F537,0))</f>
        <v>0</v>
      </c>
      <c r="AI537" s="36" t="n">
        <f aca="false">IF($B537="",0,IF($I537="INVESTIMENTO",$F537,0)-IF($G537="INVESTIMENTO",$F537,0))</f>
        <v>0</v>
      </c>
      <c r="AJ537" s="35" t="str">
        <f aca="false">IF($B537="","",IF(NOT(ISNUMBER($F537)),"ERRO: valor nao numerico",IF($F537&lt;=0,"ERRO: valor deve ser maior que zero",IF(COUNTIF(MAP_TIPO,$D537)=0,"ERRO: tipo de operacao nao cadastrado",IF(COUNTIF(LST_STATUS,$E537)=0,"ERRO: status invalido",IF(AND($G537="EXTERNO",$I537="EXTERNO"),"ERRO: origem e destino externos",IF(AND($G537&lt;&gt;"EXTERNO",COUNTIFS(ENT_ID,$H537,ENT_TIPO,$G537)=0),"ERRO: origem inexistente",IF(AND($I537&lt;&gt;"EXTERNO",COUNTIFS(ENT_ID,$J537,ENT_TIPO,$I537)=0),"ERRO: destino inexistente",IF(AND($K537&lt;&gt;"",COUNTIF(CAT_ID,$K537)=0),"ERRO: categoria inexistente",IF(AND($L537&lt;&gt;"",COUNTIF(SUB_ID,$L537)=0),"ERRO: subcategoria inexistente",IF(AND($L537&lt;&gt;"",$K537&lt;&gt;"",IFERROR(INDEX(SUB_CATID,MATCH($L537,SUB_ID,0)),"")&lt;&gt;$K537),"ERRO: subcategoria nao pertence a categoria",IF(AND($O537&lt;&gt;"",COUNTIF(P_ID,$O537)=0),"ERRO: parcela inexistente",IF(AND($N537&lt;&gt;"",COUNTIF(CM_ID,$N537)=0),"ERRO: compromisso inexistente","OK")))))))))))))</f>
        <v/>
      </c>
      <c r="AK537" s="35" t="str">
        <f aca="false">IF($B537="","",IF(AND($N537="",$O537="",$P537="",$Q537="",$R537=""),"","VINCULADO: "&amp;TRIM(IF($N537&lt;&gt;"",$N537&amp;" ","")&amp;IF($O537&lt;&gt;"",$O537&amp;" ","")&amp;IF($P537&lt;&gt;"",$P537&amp;" ","")&amp;IF($Q537&lt;&gt;"",$Q537&amp;" ","")&amp;IF($R537&lt;&gt;"",$R537,""))))</f>
        <v/>
      </c>
    </row>
    <row r="538" customFormat="false" ht="15" hidden="false" customHeight="false" outlineLevel="0" collapsed="false">
      <c r="A538" s="30" t="str">
        <f aca="false">IF($B538="","","LAN-"&amp;TEXT(ROW()-4,"000000"))</f>
        <v/>
      </c>
      <c r="B538" s="31"/>
      <c r="C538" s="32"/>
      <c r="D538" s="32"/>
      <c r="E538" s="32"/>
      <c r="F538" s="33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4" t="str">
        <f aca="false">IF($B538="","",YEAR($B538))</f>
        <v/>
      </c>
      <c r="U538" s="34" t="str">
        <f aca="false">IF($B538="","",MONTH($B538))</f>
        <v/>
      </c>
      <c r="V538" s="34" t="str">
        <f aca="false">IF($B538="","",YEAR($B538)*100+MONTH($B538))</f>
        <v/>
      </c>
      <c r="W538" s="35" t="str">
        <f aca="false">IF($D538="","",IFERROR(INDEX(MAP_CLASS,MATCH($D538,MAP_TIPO,0)),"TIPO INVALIDO"))</f>
        <v/>
      </c>
      <c r="X538" s="35" t="str">
        <f aca="false">IF($K538="","",IFERROR(INDEX(CAT_NOME,MATCH($K538,CAT_ID,0)),"?"))</f>
        <v/>
      </c>
      <c r="Y538" s="35" t="str">
        <f aca="false">IF($L538="","",IFERROR(INDEX(SUB_NOME,MATCH($L538,SUB_ID,0)),"?"))</f>
        <v/>
      </c>
      <c r="Z538" s="35" t="str">
        <f aca="false">IF($G538="","",IF($G538="EXTERNO","(Externo)",IFERROR(INDEX(ENT_NOME,MATCH($H538,ENT_ID,0)),"?")))</f>
        <v/>
      </c>
      <c r="AA538" s="35" t="str">
        <f aca="false">IF($I538="","",IF($I538="EXTERNO","(Externo)",IFERROR(INDEX(ENT_NOME,MATCH($J538,ENT_ID,0)),"?")))</f>
        <v/>
      </c>
      <c r="AB538" s="36" t="n">
        <f aca="false">IF($B538="",0,IF(AND($I538="CONTA",$G538&lt;&gt;"CONTA"),$F538,0))</f>
        <v>0</v>
      </c>
      <c r="AC538" s="36" t="n">
        <f aca="false">IF($B538="",0,IF(AND($G538="CONTA",$I538&lt;&gt;"CONTA"),$F538,0))</f>
        <v>0</v>
      </c>
      <c r="AD538" s="36" t="n">
        <f aca="false">IF($W538="RECEITA",$F538,0)</f>
        <v>0</v>
      </c>
      <c r="AE538" s="36" t="n">
        <f aca="false">IF($W538="DESPESA",$F538,0)</f>
        <v>0</v>
      </c>
      <c r="AF538" s="36" t="n">
        <f aca="false">IF($W538="RECEITA_FINANCEIRA",$F538,0)</f>
        <v>0</v>
      </c>
      <c r="AG538" s="36" t="n">
        <f aca="false">IF($B538="",0,IF($I538="CONTA",$F538,0)-IF($G538="CONTA",$F538,0))</f>
        <v>0</v>
      </c>
      <c r="AH538" s="36" t="n">
        <f aca="false">IF($B538="",0,IF($G538="CARTAO",$F538,0)-IF($I538="CARTAO",$F538,0))</f>
        <v>0</v>
      </c>
      <c r="AI538" s="36" t="n">
        <f aca="false">IF($B538="",0,IF($I538="INVESTIMENTO",$F538,0)-IF($G538="INVESTIMENTO",$F538,0))</f>
        <v>0</v>
      </c>
      <c r="AJ538" s="35" t="str">
        <f aca="false">IF($B538="","",IF(NOT(ISNUMBER($F538)),"ERRO: valor nao numerico",IF($F538&lt;=0,"ERRO: valor deve ser maior que zero",IF(COUNTIF(MAP_TIPO,$D538)=0,"ERRO: tipo de operacao nao cadastrado",IF(COUNTIF(LST_STATUS,$E538)=0,"ERRO: status invalido",IF(AND($G538="EXTERNO",$I538="EXTERNO"),"ERRO: origem e destino externos",IF(AND($G538&lt;&gt;"EXTERNO",COUNTIFS(ENT_ID,$H538,ENT_TIPO,$G538)=0),"ERRO: origem inexistente",IF(AND($I538&lt;&gt;"EXTERNO",COUNTIFS(ENT_ID,$J538,ENT_TIPO,$I538)=0),"ERRO: destino inexistente",IF(AND($K538&lt;&gt;"",COUNTIF(CAT_ID,$K538)=0),"ERRO: categoria inexistente",IF(AND($L538&lt;&gt;"",COUNTIF(SUB_ID,$L538)=0),"ERRO: subcategoria inexistente",IF(AND($L538&lt;&gt;"",$K538&lt;&gt;"",IFERROR(INDEX(SUB_CATID,MATCH($L538,SUB_ID,0)),"")&lt;&gt;$K538),"ERRO: subcategoria nao pertence a categoria",IF(AND($O538&lt;&gt;"",COUNTIF(P_ID,$O538)=0),"ERRO: parcela inexistente",IF(AND($N538&lt;&gt;"",COUNTIF(CM_ID,$N538)=0),"ERRO: compromisso inexistente","OK")))))))))))))</f>
        <v/>
      </c>
      <c r="AK538" s="35" t="str">
        <f aca="false">IF($B538="","",IF(AND($N538="",$O538="",$P538="",$Q538="",$R538=""),"","VINCULADO: "&amp;TRIM(IF($N538&lt;&gt;"",$N538&amp;" ","")&amp;IF($O538&lt;&gt;"",$O538&amp;" ","")&amp;IF($P538&lt;&gt;"",$P538&amp;" ","")&amp;IF($Q538&lt;&gt;"",$Q538&amp;" ","")&amp;IF($R538&lt;&gt;"",$R538,""))))</f>
        <v/>
      </c>
    </row>
    <row r="539" customFormat="false" ht="15" hidden="false" customHeight="false" outlineLevel="0" collapsed="false">
      <c r="A539" s="30" t="str">
        <f aca="false">IF($B539="","","LAN-"&amp;TEXT(ROW()-4,"000000"))</f>
        <v/>
      </c>
      <c r="B539" s="31"/>
      <c r="C539" s="32"/>
      <c r="D539" s="32"/>
      <c r="E539" s="32"/>
      <c r="F539" s="33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4" t="str">
        <f aca="false">IF($B539="","",YEAR($B539))</f>
        <v/>
      </c>
      <c r="U539" s="34" t="str">
        <f aca="false">IF($B539="","",MONTH($B539))</f>
        <v/>
      </c>
      <c r="V539" s="34" t="str">
        <f aca="false">IF($B539="","",YEAR($B539)*100+MONTH($B539))</f>
        <v/>
      </c>
      <c r="W539" s="35" t="str">
        <f aca="false">IF($D539="","",IFERROR(INDEX(MAP_CLASS,MATCH($D539,MAP_TIPO,0)),"TIPO INVALIDO"))</f>
        <v/>
      </c>
      <c r="X539" s="35" t="str">
        <f aca="false">IF($K539="","",IFERROR(INDEX(CAT_NOME,MATCH($K539,CAT_ID,0)),"?"))</f>
        <v/>
      </c>
      <c r="Y539" s="35" t="str">
        <f aca="false">IF($L539="","",IFERROR(INDEX(SUB_NOME,MATCH($L539,SUB_ID,0)),"?"))</f>
        <v/>
      </c>
      <c r="Z539" s="35" t="str">
        <f aca="false">IF($G539="","",IF($G539="EXTERNO","(Externo)",IFERROR(INDEX(ENT_NOME,MATCH($H539,ENT_ID,0)),"?")))</f>
        <v/>
      </c>
      <c r="AA539" s="35" t="str">
        <f aca="false">IF($I539="","",IF($I539="EXTERNO","(Externo)",IFERROR(INDEX(ENT_NOME,MATCH($J539,ENT_ID,0)),"?")))</f>
        <v/>
      </c>
      <c r="AB539" s="36" t="n">
        <f aca="false">IF($B539="",0,IF(AND($I539="CONTA",$G539&lt;&gt;"CONTA"),$F539,0))</f>
        <v>0</v>
      </c>
      <c r="AC539" s="36" t="n">
        <f aca="false">IF($B539="",0,IF(AND($G539="CONTA",$I539&lt;&gt;"CONTA"),$F539,0))</f>
        <v>0</v>
      </c>
      <c r="AD539" s="36" t="n">
        <f aca="false">IF($W539="RECEITA",$F539,0)</f>
        <v>0</v>
      </c>
      <c r="AE539" s="36" t="n">
        <f aca="false">IF($W539="DESPESA",$F539,0)</f>
        <v>0</v>
      </c>
      <c r="AF539" s="36" t="n">
        <f aca="false">IF($W539="RECEITA_FINANCEIRA",$F539,0)</f>
        <v>0</v>
      </c>
      <c r="AG539" s="36" t="n">
        <f aca="false">IF($B539="",0,IF($I539="CONTA",$F539,0)-IF($G539="CONTA",$F539,0))</f>
        <v>0</v>
      </c>
      <c r="AH539" s="36" t="n">
        <f aca="false">IF($B539="",0,IF($G539="CARTAO",$F539,0)-IF($I539="CARTAO",$F539,0))</f>
        <v>0</v>
      </c>
      <c r="AI539" s="36" t="n">
        <f aca="false">IF($B539="",0,IF($I539="INVESTIMENTO",$F539,0)-IF($G539="INVESTIMENTO",$F539,0))</f>
        <v>0</v>
      </c>
      <c r="AJ539" s="35" t="str">
        <f aca="false">IF($B539="","",IF(NOT(ISNUMBER($F539)),"ERRO: valor nao numerico",IF($F539&lt;=0,"ERRO: valor deve ser maior que zero",IF(COUNTIF(MAP_TIPO,$D539)=0,"ERRO: tipo de operacao nao cadastrado",IF(COUNTIF(LST_STATUS,$E539)=0,"ERRO: status invalido",IF(AND($G539="EXTERNO",$I539="EXTERNO"),"ERRO: origem e destino externos",IF(AND($G539&lt;&gt;"EXTERNO",COUNTIFS(ENT_ID,$H539,ENT_TIPO,$G539)=0),"ERRO: origem inexistente",IF(AND($I539&lt;&gt;"EXTERNO",COUNTIFS(ENT_ID,$J539,ENT_TIPO,$I539)=0),"ERRO: destino inexistente",IF(AND($K539&lt;&gt;"",COUNTIF(CAT_ID,$K539)=0),"ERRO: categoria inexistente",IF(AND($L539&lt;&gt;"",COUNTIF(SUB_ID,$L539)=0),"ERRO: subcategoria inexistente",IF(AND($L539&lt;&gt;"",$K539&lt;&gt;"",IFERROR(INDEX(SUB_CATID,MATCH($L539,SUB_ID,0)),"")&lt;&gt;$K539),"ERRO: subcategoria nao pertence a categoria",IF(AND($O539&lt;&gt;"",COUNTIF(P_ID,$O539)=0),"ERRO: parcela inexistente",IF(AND($N539&lt;&gt;"",COUNTIF(CM_ID,$N539)=0),"ERRO: compromisso inexistente","OK")))))))))))))</f>
        <v/>
      </c>
      <c r="AK539" s="35" t="str">
        <f aca="false">IF($B539="","",IF(AND($N539="",$O539="",$P539="",$Q539="",$R539=""),"","VINCULADO: "&amp;TRIM(IF($N539&lt;&gt;"",$N539&amp;" ","")&amp;IF($O539&lt;&gt;"",$O539&amp;" ","")&amp;IF($P539&lt;&gt;"",$P539&amp;" ","")&amp;IF($Q539&lt;&gt;"",$Q539&amp;" ","")&amp;IF($R539&lt;&gt;"",$R539,""))))</f>
        <v/>
      </c>
    </row>
    <row r="540" customFormat="false" ht="15" hidden="false" customHeight="false" outlineLevel="0" collapsed="false">
      <c r="A540" s="30" t="str">
        <f aca="false">IF($B540="","","LAN-"&amp;TEXT(ROW()-4,"000000"))</f>
        <v/>
      </c>
      <c r="B540" s="31"/>
      <c r="C540" s="32"/>
      <c r="D540" s="32"/>
      <c r="E540" s="32"/>
      <c r="F540" s="33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4" t="str">
        <f aca="false">IF($B540="","",YEAR($B540))</f>
        <v/>
      </c>
      <c r="U540" s="34" t="str">
        <f aca="false">IF($B540="","",MONTH($B540))</f>
        <v/>
      </c>
      <c r="V540" s="34" t="str">
        <f aca="false">IF($B540="","",YEAR($B540)*100+MONTH($B540))</f>
        <v/>
      </c>
      <c r="W540" s="35" t="str">
        <f aca="false">IF($D540="","",IFERROR(INDEX(MAP_CLASS,MATCH($D540,MAP_TIPO,0)),"TIPO INVALIDO"))</f>
        <v/>
      </c>
      <c r="X540" s="35" t="str">
        <f aca="false">IF($K540="","",IFERROR(INDEX(CAT_NOME,MATCH($K540,CAT_ID,0)),"?"))</f>
        <v/>
      </c>
      <c r="Y540" s="35" t="str">
        <f aca="false">IF($L540="","",IFERROR(INDEX(SUB_NOME,MATCH($L540,SUB_ID,0)),"?"))</f>
        <v/>
      </c>
      <c r="Z540" s="35" t="str">
        <f aca="false">IF($G540="","",IF($G540="EXTERNO","(Externo)",IFERROR(INDEX(ENT_NOME,MATCH($H540,ENT_ID,0)),"?")))</f>
        <v/>
      </c>
      <c r="AA540" s="35" t="str">
        <f aca="false">IF($I540="","",IF($I540="EXTERNO","(Externo)",IFERROR(INDEX(ENT_NOME,MATCH($J540,ENT_ID,0)),"?")))</f>
        <v/>
      </c>
      <c r="AB540" s="36" t="n">
        <f aca="false">IF($B540="",0,IF(AND($I540="CONTA",$G540&lt;&gt;"CONTA"),$F540,0))</f>
        <v>0</v>
      </c>
      <c r="AC540" s="36" t="n">
        <f aca="false">IF($B540="",0,IF(AND($G540="CONTA",$I540&lt;&gt;"CONTA"),$F540,0))</f>
        <v>0</v>
      </c>
      <c r="AD540" s="36" t="n">
        <f aca="false">IF($W540="RECEITA",$F540,0)</f>
        <v>0</v>
      </c>
      <c r="AE540" s="36" t="n">
        <f aca="false">IF($W540="DESPESA",$F540,0)</f>
        <v>0</v>
      </c>
      <c r="AF540" s="36" t="n">
        <f aca="false">IF($W540="RECEITA_FINANCEIRA",$F540,0)</f>
        <v>0</v>
      </c>
      <c r="AG540" s="36" t="n">
        <f aca="false">IF($B540="",0,IF($I540="CONTA",$F540,0)-IF($G540="CONTA",$F540,0))</f>
        <v>0</v>
      </c>
      <c r="AH540" s="36" t="n">
        <f aca="false">IF($B540="",0,IF($G540="CARTAO",$F540,0)-IF($I540="CARTAO",$F540,0))</f>
        <v>0</v>
      </c>
      <c r="AI540" s="36" t="n">
        <f aca="false">IF($B540="",0,IF($I540="INVESTIMENTO",$F540,0)-IF($G540="INVESTIMENTO",$F540,0))</f>
        <v>0</v>
      </c>
      <c r="AJ540" s="35" t="str">
        <f aca="false">IF($B540="","",IF(NOT(ISNUMBER($F540)),"ERRO: valor nao numerico",IF($F540&lt;=0,"ERRO: valor deve ser maior que zero",IF(COUNTIF(MAP_TIPO,$D540)=0,"ERRO: tipo de operacao nao cadastrado",IF(COUNTIF(LST_STATUS,$E540)=0,"ERRO: status invalido",IF(AND($G540="EXTERNO",$I540="EXTERNO"),"ERRO: origem e destino externos",IF(AND($G540&lt;&gt;"EXTERNO",COUNTIFS(ENT_ID,$H540,ENT_TIPO,$G540)=0),"ERRO: origem inexistente",IF(AND($I540&lt;&gt;"EXTERNO",COUNTIFS(ENT_ID,$J540,ENT_TIPO,$I540)=0),"ERRO: destino inexistente",IF(AND($K540&lt;&gt;"",COUNTIF(CAT_ID,$K540)=0),"ERRO: categoria inexistente",IF(AND($L540&lt;&gt;"",COUNTIF(SUB_ID,$L540)=0),"ERRO: subcategoria inexistente",IF(AND($L540&lt;&gt;"",$K540&lt;&gt;"",IFERROR(INDEX(SUB_CATID,MATCH($L540,SUB_ID,0)),"")&lt;&gt;$K540),"ERRO: subcategoria nao pertence a categoria",IF(AND($O540&lt;&gt;"",COUNTIF(P_ID,$O540)=0),"ERRO: parcela inexistente",IF(AND($N540&lt;&gt;"",COUNTIF(CM_ID,$N540)=0),"ERRO: compromisso inexistente","OK")))))))))))))</f>
        <v/>
      </c>
      <c r="AK540" s="35" t="str">
        <f aca="false">IF($B540="","",IF(AND($N540="",$O540="",$P540="",$Q540="",$R540=""),"","VINCULADO: "&amp;TRIM(IF($N540&lt;&gt;"",$N540&amp;" ","")&amp;IF($O540&lt;&gt;"",$O540&amp;" ","")&amp;IF($P540&lt;&gt;"",$P540&amp;" ","")&amp;IF($Q540&lt;&gt;"",$Q540&amp;" ","")&amp;IF($R540&lt;&gt;"",$R540,""))))</f>
        <v/>
      </c>
    </row>
    <row r="541" customFormat="false" ht="15" hidden="false" customHeight="false" outlineLevel="0" collapsed="false">
      <c r="A541" s="30" t="str">
        <f aca="false">IF($B541="","","LAN-"&amp;TEXT(ROW()-4,"000000"))</f>
        <v/>
      </c>
      <c r="B541" s="31"/>
      <c r="C541" s="32"/>
      <c r="D541" s="32"/>
      <c r="E541" s="32"/>
      <c r="F541" s="33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4" t="str">
        <f aca="false">IF($B541="","",YEAR($B541))</f>
        <v/>
      </c>
      <c r="U541" s="34" t="str">
        <f aca="false">IF($B541="","",MONTH($B541))</f>
        <v/>
      </c>
      <c r="V541" s="34" t="str">
        <f aca="false">IF($B541="","",YEAR($B541)*100+MONTH($B541))</f>
        <v/>
      </c>
      <c r="W541" s="35" t="str">
        <f aca="false">IF($D541="","",IFERROR(INDEX(MAP_CLASS,MATCH($D541,MAP_TIPO,0)),"TIPO INVALIDO"))</f>
        <v/>
      </c>
      <c r="X541" s="35" t="str">
        <f aca="false">IF($K541="","",IFERROR(INDEX(CAT_NOME,MATCH($K541,CAT_ID,0)),"?"))</f>
        <v/>
      </c>
      <c r="Y541" s="35" t="str">
        <f aca="false">IF($L541="","",IFERROR(INDEX(SUB_NOME,MATCH($L541,SUB_ID,0)),"?"))</f>
        <v/>
      </c>
      <c r="Z541" s="35" t="str">
        <f aca="false">IF($G541="","",IF($G541="EXTERNO","(Externo)",IFERROR(INDEX(ENT_NOME,MATCH($H541,ENT_ID,0)),"?")))</f>
        <v/>
      </c>
      <c r="AA541" s="35" t="str">
        <f aca="false">IF($I541="","",IF($I541="EXTERNO","(Externo)",IFERROR(INDEX(ENT_NOME,MATCH($J541,ENT_ID,0)),"?")))</f>
        <v/>
      </c>
      <c r="AB541" s="36" t="n">
        <f aca="false">IF($B541="",0,IF(AND($I541="CONTA",$G541&lt;&gt;"CONTA"),$F541,0))</f>
        <v>0</v>
      </c>
      <c r="AC541" s="36" t="n">
        <f aca="false">IF($B541="",0,IF(AND($G541="CONTA",$I541&lt;&gt;"CONTA"),$F541,0))</f>
        <v>0</v>
      </c>
      <c r="AD541" s="36" t="n">
        <f aca="false">IF($W541="RECEITA",$F541,0)</f>
        <v>0</v>
      </c>
      <c r="AE541" s="36" t="n">
        <f aca="false">IF($W541="DESPESA",$F541,0)</f>
        <v>0</v>
      </c>
      <c r="AF541" s="36" t="n">
        <f aca="false">IF($W541="RECEITA_FINANCEIRA",$F541,0)</f>
        <v>0</v>
      </c>
      <c r="AG541" s="36" t="n">
        <f aca="false">IF($B541="",0,IF($I541="CONTA",$F541,0)-IF($G541="CONTA",$F541,0))</f>
        <v>0</v>
      </c>
      <c r="AH541" s="36" t="n">
        <f aca="false">IF($B541="",0,IF($G541="CARTAO",$F541,0)-IF($I541="CARTAO",$F541,0))</f>
        <v>0</v>
      </c>
      <c r="AI541" s="36" t="n">
        <f aca="false">IF($B541="",0,IF($I541="INVESTIMENTO",$F541,0)-IF($G541="INVESTIMENTO",$F541,0))</f>
        <v>0</v>
      </c>
      <c r="AJ541" s="35" t="str">
        <f aca="false">IF($B541="","",IF(NOT(ISNUMBER($F541)),"ERRO: valor nao numerico",IF($F541&lt;=0,"ERRO: valor deve ser maior que zero",IF(COUNTIF(MAP_TIPO,$D541)=0,"ERRO: tipo de operacao nao cadastrado",IF(COUNTIF(LST_STATUS,$E541)=0,"ERRO: status invalido",IF(AND($G541="EXTERNO",$I541="EXTERNO"),"ERRO: origem e destino externos",IF(AND($G541&lt;&gt;"EXTERNO",COUNTIFS(ENT_ID,$H541,ENT_TIPO,$G541)=0),"ERRO: origem inexistente",IF(AND($I541&lt;&gt;"EXTERNO",COUNTIFS(ENT_ID,$J541,ENT_TIPO,$I541)=0),"ERRO: destino inexistente",IF(AND($K541&lt;&gt;"",COUNTIF(CAT_ID,$K541)=0),"ERRO: categoria inexistente",IF(AND($L541&lt;&gt;"",COUNTIF(SUB_ID,$L541)=0),"ERRO: subcategoria inexistente",IF(AND($L541&lt;&gt;"",$K541&lt;&gt;"",IFERROR(INDEX(SUB_CATID,MATCH($L541,SUB_ID,0)),"")&lt;&gt;$K541),"ERRO: subcategoria nao pertence a categoria",IF(AND($O541&lt;&gt;"",COUNTIF(P_ID,$O541)=0),"ERRO: parcela inexistente",IF(AND($N541&lt;&gt;"",COUNTIF(CM_ID,$N541)=0),"ERRO: compromisso inexistente","OK")))))))))))))</f>
        <v/>
      </c>
      <c r="AK541" s="35" t="str">
        <f aca="false">IF($B541="","",IF(AND($N541="",$O541="",$P541="",$Q541="",$R541=""),"","VINCULADO: "&amp;TRIM(IF($N541&lt;&gt;"",$N541&amp;" ","")&amp;IF($O541&lt;&gt;"",$O541&amp;" ","")&amp;IF($P541&lt;&gt;"",$P541&amp;" ","")&amp;IF($Q541&lt;&gt;"",$Q541&amp;" ","")&amp;IF($R541&lt;&gt;"",$R541,""))))</f>
        <v/>
      </c>
    </row>
    <row r="542" customFormat="false" ht="15" hidden="false" customHeight="false" outlineLevel="0" collapsed="false">
      <c r="A542" s="30" t="str">
        <f aca="false">IF($B542="","","LAN-"&amp;TEXT(ROW()-4,"000000"))</f>
        <v/>
      </c>
      <c r="B542" s="31"/>
      <c r="C542" s="32"/>
      <c r="D542" s="32"/>
      <c r="E542" s="32"/>
      <c r="F542" s="33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4" t="str">
        <f aca="false">IF($B542="","",YEAR($B542))</f>
        <v/>
      </c>
      <c r="U542" s="34" t="str">
        <f aca="false">IF($B542="","",MONTH($B542))</f>
        <v/>
      </c>
      <c r="V542" s="34" t="str">
        <f aca="false">IF($B542="","",YEAR($B542)*100+MONTH($B542))</f>
        <v/>
      </c>
      <c r="W542" s="35" t="str">
        <f aca="false">IF($D542="","",IFERROR(INDEX(MAP_CLASS,MATCH($D542,MAP_TIPO,0)),"TIPO INVALIDO"))</f>
        <v/>
      </c>
      <c r="X542" s="35" t="str">
        <f aca="false">IF($K542="","",IFERROR(INDEX(CAT_NOME,MATCH($K542,CAT_ID,0)),"?"))</f>
        <v/>
      </c>
      <c r="Y542" s="35" t="str">
        <f aca="false">IF($L542="","",IFERROR(INDEX(SUB_NOME,MATCH($L542,SUB_ID,0)),"?"))</f>
        <v/>
      </c>
      <c r="Z542" s="35" t="str">
        <f aca="false">IF($G542="","",IF($G542="EXTERNO","(Externo)",IFERROR(INDEX(ENT_NOME,MATCH($H542,ENT_ID,0)),"?")))</f>
        <v/>
      </c>
      <c r="AA542" s="35" t="str">
        <f aca="false">IF($I542="","",IF($I542="EXTERNO","(Externo)",IFERROR(INDEX(ENT_NOME,MATCH($J542,ENT_ID,0)),"?")))</f>
        <v/>
      </c>
      <c r="AB542" s="36" t="n">
        <f aca="false">IF($B542="",0,IF(AND($I542="CONTA",$G542&lt;&gt;"CONTA"),$F542,0))</f>
        <v>0</v>
      </c>
      <c r="AC542" s="36" t="n">
        <f aca="false">IF($B542="",0,IF(AND($G542="CONTA",$I542&lt;&gt;"CONTA"),$F542,0))</f>
        <v>0</v>
      </c>
      <c r="AD542" s="36" t="n">
        <f aca="false">IF($W542="RECEITA",$F542,0)</f>
        <v>0</v>
      </c>
      <c r="AE542" s="36" t="n">
        <f aca="false">IF($W542="DESPESA",$F542,0)</f>
        <v>0</v>
      </c>
      <c r="AF542" s="36" t="n">
        <f aca="false">IF($W542="RECEITA_FINANCEIRA",$F542,0)</f>
        <v>0</v>
      </c>
      <c r="AG542" s="36" t="n">
        <f aca="false">IF($B542="",0,IF($I542="CONTA",$F542,0)-IF($G542="CONTA",$F542,0))</f>
        <v>0</v>
      </c>
      <c r="AH542" s="36" t="n">
        <f aca="false">IF($B542="",0,IF($G542="CARTAO",$F542,0)-IF($I542="CARTAO",$F542,0))</f>
        <v>0</v>
      </c>
      <c r="AI542" s="36" t="n">
        <f aca="false">IF($B542="",0,IF($I542="INVESTIMENTO",$F542,0)-IF($G542="INVESTIMENTO",$F542,0))</f>
        <v>0</v>
      </c>
      <c r="AJ542" s="35" t="str">
        <f aca="false">IF($B542="","",IF(NOT(ISNUMBER($F542)),"ERRO: valor nao numerico",IF($F542&lt;=0,"ERRO: valor deve ser maior que zero",IF(COUNTIF(MAP_TIPO,$D542)=0,"ERRO: tipo de operacao nao cadastrado",IF(COUNTIF(LST_STATUS,$E542)=0,"ERRO: status invalido",IF(AND($G542="EXTERNO",$I542="EXTERNO"),"ERRO: origem e destino externos",IF(AND($G542&lt;&gt;"EXTERNO",COUNTIFS(ENT_ID,$H542,ENT_TIPO,$G542)=0),"ERRO: origem inexistente",IF(AND($I542&lt;&gt;"EXTERNO",COUNTIFS(ENT_ID,$J542,ENT_TIPO,$I542)=0),"ERRO: destino inexistente",IF(AND($K542&lt;&gt;"",COUNTIF(CAT_ID,$K542)=0),"ERRO: categoria inexistente",IF(AND($L542&lt;&gt;"",COUNTIF(SUB_ID,$L542)=0),"ERRO: subcategoria inexistente",IF(AND($L542&lt;&gt;"",$K542&lt;&gt;"",IFERROR(INDEX(SUB_CATID,MATCH($L542,SUB_ID,0)),"")&lt;&gt;$K542),"ERRO: subcategoria nao pertence a categoria",IF(AND($O542&lt;&gt;"",COUNTIF(P_ID,$O542)=0),"ERRO: parcela inexistente",IF(AND($N542&lt;&gt;"",COUNTIF(CM_ID,$N542)=0),"ERRO: compromisso inexistente","OK")))))))))))))</f>
        <v/>
      </c>
      <c r="AK542" s="35" t="str">
        <f aca="false">IF($B542="","",IF(AND($N542="",$O542="",$P542="",$Q542="",$R542=""),"","VINCULADO: "&amp;TRIM(IF($N542&lt;&gt;"",$N542&amp;" ","")&amp;IF($O542&lt;&gt;"",$O542&amp;" ","")&amp;IF($P542&lt;&gt;"",$P542&amp;" ","")&amp;IF($Q542&lt;&gt;"",$Q542&amp;" ","")&amp;IF($R542&lt;&gt;"",$R542,""))))</f>
        <v/>
      </c>
    </row>
    <row r="543" customFormat="false" ht="15" hidden="false" customHeight="false" outlineLevel="0" collapsed="false">
      <c r="A543" s="30" t="str">
        <f aca="false">IF($B543="","","LAN-"&amp;TEXT(ROW()-4,"000000"))</f>
        <v/>
      </c>
      <c r="B543" s="31"/>
      <c r="C543" s="32"/>
      <c r="D543" s="32"/>
      <c r="E543" s="32"/>
      <c r="F543" s="33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4" t="str">
        <f aca="false">IF($B543="","",YEAR($B543))</f>
        <v/>
      </c>
      <c r="U543" s="34" t="str">
        <f aca="false">IF($B543="","",MONTH($B543))</f>
        <v/>
      </c>
      <c r="V543" s="34" t="str">
        <f aca="false">IF($B543="","",YEAR($B543)*100+MONTH($B543))</f>
        <v/>
      </c>
      <c r="W543" s="35" t="str">
        <f aca="false">IF($D543="","",IFERROR(INDEX(MAP_CLASS,MATCH($D543,MAP_TIPO,0)),"TIPO INVALIDO"))</f>
        <v/>
      </c>
      <c r="X543" s="35" t="str">
        <f aca="false">IF($K543="","",IFERROR(INDEX(CAT_NOME,MATCH($K543,CAT_ID,0)),"?"))</f>
        <v/>
      </c>
      <c r="Y543" s="35" t="str">
        <f aca="false">IF($L543="","",IFERROR(INDEX(SUB_NOME,MATCH($L543,SUB_ID,0)),"?"))</f>
        <v/>
      </c>
      <c r="Z543" s="35" t="str">
        <f aca="false">IF($G543="","",IF($G543="EXTERNO","(Externo)",IFERROR(INDEX(ENT_NOME,MATCH($H543,ENT_ID,0)),"?")))</f>
        <v/>
      </c>
      <c r="AA543" s="35" t="str">
        <f aca="false">IF($I543="","",IF($I543="EXTERNO","(Externo)",IFERROR(INDEX(ENT_NOME,MATCH($J543,ENT_ID,0)),"?")))</f>
        <v/>
      </c>
      <c r="AB543" s="36" t="n">
        <f aca="false">IF($B543="",0,IF(AND($I543="CONTA",$G543&lt;&gt;"CONTA"),$F543,0))</f>
        <v>0</v>
      </c>
      <c r="AC543" s="36" t="n">
        <f aca="false">IF($B543="",0,IF(AND($G543="CONTA",$I543&lt;&gt;"CONTA"),$F543,0))</f>
        <v>0</v>
      </c>
      <c r="AD543" s="36" t="n">
        <f aca="false">IF($W543="RECEITA",$F543,0)</f>
        <v>0</v>
      </c>
      <c r="AE543" s="36" t="n">
        <f aca="false">IF($W543="DESPESA",$F543,0)</f>
        <v>0</v>
      </c>
      <c r="AF543" s="36" t="n">
        <f aca="false">IF($W543="RECEITA_FINANCEIRA",$F543,0)</f>
        <v>0</v>
      </c>
      <c r="AG543" s="36" t="n">
        <f aca="false">IF($B543="",0,IF($I543="CONTA",$F543,0)-IF($G543="CONTA",$F543,0))</f>
        <v>0</v>
      </c>
      <c r="AH543" s="36" t="n">
        <f aca="false">IF($B543="",0,IF($G543="CARTAO",$F543,0)-IF($I543="CARTAO",$F543,0))</f>
        <v>0</v>
      </c>
      <c r="AI543" s="36" t="n">
        <f aca="false">IF($B543="",0,IF($I543="INVESTIMENTO",$F543,0)-IF($G543="INVESTIMENTO",$F543,0))</f>
        <v>0</v>
      </c>
      <c r="AJ543" s="35" t="str">
        <f aca="false">IF($B543="","",IF(NOT(ISNUMBER($F543)),"ERRO: valor nao numerico",IF($F543&lt;=0,"ERRO: valor deve ser maior que zero",IF(COUNTIF(MAP_TIPO,$D543)=0,"ERRO: tipo de operacao nao cadastrado",IF(COUNTIF(LST_STATUS,$E543)=0,"ERRO: status invalido",IF(AND($G543="EXTERNO",$I543="EXTERNO"),"ERRO: origem e destino externos",IF(AND($G543&lt;&gt;"EXTERNO",COUNTIFS(ENT_ID,$H543,ENT_TIPO,$G543)=0),"ERRO: origem inexistente",IF(AND($I543&lt;&gt;"EXTERNO",COUNTIFS(ENT_ID,$J543,ENT_TIPO,$I543)=0),"ERRO: destino inexistente",IF(AND($K543&lt;&gt;"",COUNTIF(CAT_ID,$K543)=0),"ERRO: categoria inexistente",IF(AND($L543&lt;&gt;"",COUNTIF(SUB_ID,$L543)=0),"ERRO: subcategoria inexistente",IF(AND($L543&lt;&gt;"",$K543&lt;&gt;"",IFERROR(INDEX(SUB_CATID,MATCH($L543,SUB_ID,0)),"")&lt;&gt;$K543),"ERRO: subcategoria nao pertence a categoria",IF(AND($O543&lt;&gt;"",COUNTIF(P_ID,$O543)=0),"ERRO: parcela inexistente",IF(AND($N543&lt;&gt;"",COUNTIF(CM_ID,$N543)=0),"ERRO: compromisso inexistente","OK")))))))))))))</f>
        <v/>
      </c>
      <c r="AK543" s="35" t="str">
        <f aca="false">IF($B543="","",IF(AND($N543="",$O543="",$P543="",$Q543="",$R543=""),"","VINCULADO: "&amp;TRIM(IF($N543&lt;&gt;"",$N543&amp;" ","")&amp;IF($O543&lt;&gt;"",$O543&amp;" ","")&amp;IF($P543&lt;&gt;"",$P543&amp;" ","")&amp;IF($Q543&lt;&gt;"",$Q543&amp;" ","")&amp;IF($R543&lt;&gt;"",$R543,""))))</f>
        <v/>
      </c>
    </row>
    <row r="544" customFormat="false" ht="15" hidden="false" customHeight="false" outlineLevel="0" collapsed="false">
      <c r="A544" s="30" t="str">
        <f aca="false">IF($B544="","","LAN-"&amp;TEXT(ROW()-4,"000000"))</f>
        <v/>
      </c>
      <c r="B544" s="31"/>
      <c r="C544" s="32"/>
      <c r="D544" s="32"/>
      <c r="E544" s="32"/>
      <c r="F544" s="33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4" t="str">
        <f aca="false">IF($B544="","",YEAR($B544))</f>
        <v/>
      </c>
      <c r="U544" s="34" t="str">
        <f aca="false">IF($B544="","",MONTH($B544))</f>
        <v/>
      </c>
      <c r="V544" s="34" t="str">
        <f aca="false">IF($B544="","",YEAR($B544)*100+MONTH($B544))</f>
        <v/>
      </c>
      <c r="W544" s="35" t="str">
        <f aca="false">IF($D544="","",IFERROR(INDEX(MAP_CLASS,MATCH($D544,MAP_TIPO,0)),"TIPO INVALIDO"))</f>
        <v/>
      </c>
      <c r="X544" s="35" t="str">
        <f aca="false">IF($K544="","",IFERROR(INDEX(CAT_NOME,MATCH($K544,CAT_ID,0)),"?"))</f>
        <v/>
      </c>
      <c r="Y544" s="35" t="str">
        <f aca="false">IF($L544="","",IFERROR(INDEX(SUB_NOME,MATCH($L544,SUB_ID,0)),"?"))</f>
        <v/>
      </c>
      <c r="Z544" s="35" t="str">
        <f aca="false">IF($G544="","",IF($G544="EXTERNO","(Externo)",IFERROR(INDEX(ENT_NOME,MATCH($H544,ENT_ID,0)),"?")))</f>
        <v/>
      </c>
      <c r="AA544" s="35" t="str">
        <f aca="false">IF($I544="","",IF($I544="EXTERNO","(Externo)",IFERROR(INDEX(ENT_NOME,MATCH($J544,ENT_ID,0)),"?")))</f>
        <v/>
      </c>
      <c r="AB544" s="36" t="n">
        <f aca="false">IF($B544="",0,IF(AND($I544="CONTA",$G544&lt;&gt;"CONTA"),$F544,0))</f>
        <v>0</v>
      </c>
      <c r="AC544" s="36" t="n">
        <f aca="false">IF($B544="",0,IF(AND($G544="CONTA",$I544&lt;&gt;"CONTA"),$F544,0))</f>
        <v>0</v>
      </c>
      <c r="AD544" s="36" t="n">
        <f aca="false">IF($W544="RECEITA",$F544,0)</f>
        <v>0</v>
      </c>
      <c r="AE544" s="36" t="n">
        <f aca="false">IF($W544="DESPESA",$F544,0)</f>
        <v>0</v>
      </c>
      <c r="AF544" s="36" t="n">
        <f aca="false">IF($W544="RECEITA_FINANCEIRA",$F544,0)</f>
        <v>0</v>
      </c>
      <c r="AG544" s="36" t="n">
        <f aca="false">IF($B544="",0,IF($I544="CONTA",$F544,0)-IF($G544="CONTA",$F544,0))</f>
        <v>0</v>
      </c>
      <c r="AH544" s="36" t="n">
        <f aca="false">IF($B544="",0,IF($G544="CARTAO",$F544,0)-IF($I544="CARTAO",$F544,0))</f>
        <v>0</v>
      </c>
      <c r="AI544" s="36" t="n">
        <f aca="false">IF($B544="",0,IF($I544="INVESTIMENTO",$F544,0)-IF($G544="INVESTIMENTO",$F544,0))</f>
        <v>0</v>
      </c>
      <c r="AJ544" s="35" t="str">
        <f aca="false">IF($B544="","",IF(NOT(ISNUMBER($F544)),"ERRO: valor nao numerico",IF($F544&lt;=0,"ERRO: valor deve ser maior que zero",IF(COUNTIF(MAP_TIPO,$D544)=0,"ERRO: tipo de operacao nao cadastrado",IF(COUNTIF(LST_STATUS,$E544)=0,"ERRO: status invalido",IF(AND($G544="EXTERNO",$I544="EXTERNO"),"ERRO: origem e destino externos",IF(AND($G544&lt;&gt;"EXTERNO",COUNTIFS(ENT_ID,$H544,ENT_TIPO,$G544)=0),"ERRO: origem inexistente",IF(AND($I544&lt;&gt;"EXTERNO",COUNTIFS(ENT_ID,$J544,ENT_TIPO,$I544)=0),"ERRO: destino inexistente",IF(AND($K544&lt;&gt;"",COUNTIF(CAT_ID,$K544)=0),"ERRO: categoria inexistente",IF(AND($L544&lt;&gt;"",COUNTIF(SUB_ID,$L544)=0),"ERRO: subcategoria inexistente",IF(AND($L544&lt;&gt;"",$K544&lt;&gt;"",IFERROR(INDEX(SUB_CATID,MATCH($L544,SUB_ID,0)),"")&lt;&gt;$K544),"ERRO: subcategoria nao pertence a categoria",IF(AND($O544&lt;&gt;"",COUNTIF(P_ID,$O544)=0),"ERRO: parcela inexistente",IF(AND($N544&lt;&gt;"",COUNTIF(CM_ID,$N544)=0),"ERRO: compromisso inexistente","OK")))))))))))))</f>
        <v/>
      </c>
      <c r="AK544" s="35" t="str">
        <f aca="false">IF($B544="","",IF(AND($N544="",$O544="",$P544="",$Q544="",$R544=""),"","VINCULADO: "&amp;TRIM(IF($N544&lt;&gt;"",$N544&amp;" ","")&amp;IF($O544&lt;&gt;"",$O544&amp;" ","")&amp;IF($P544&lt;&gt;"",$P544&amp;" ","")&amp;IF($Q544&lt;&gt;"",$Q544&amp;" ","")&amp;IF($R544&lt;&gt;"",$R544,""))))</f>
        <v/>
      </c>
    </row>
    <row r="545" customFormat="false" ht="15" hidden="false" customHeight="false" outlineLevel="0" collapsed="false">
      <c r="A545" s="30" t="str">
        <f aca="false">IF($B545="","","LAN-"&amp;TEXT(ROW()-4,"000000"))</f>
        <v/>
      </c>
      <c r="B545" s="31"/>
      <c r="C545" s="32"/>
      <c r="D545" s="32"/>
      <c r="E545" s="32"/>
      <c r="F545" s="33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4" t="str">
        <f aca="false">IF($B545="","",YEAR($B545))</f>
        <v/>
      </c>
      <c r="U545" s="34" t="str">
        <f aca="false">IF($B545="","",MONTH($B545))</f>
        <v/>
      </c>
      <c r="V545" s="34" t="str">
        <f aca="false">IF($B545="","",YEAR($B545)*100+MONTH($B545))</f>
        <v/>
      </c>
      <c r="W545" s="35" t="str">
        <f aca="false">IF($D545="","",IFERROR(INDEX(MAP_CLASS,MATCH($D545,MAP_TIPO,0)),"TIPO INVALIDO"))</f>
        <v/>
      </c>
      <c r="X545" s="35" t="str">
        <f aca="false">IF($K545="","",IFERROR(INDEX(CAT_NOME,MATCH($K545,CAT_ID,0)),"?"))</f>
        <v/>
      </c>
      <c r="Y545" s="35" t="str">
        <f aca="false">IF($L545="","",IFERROR(INDEX(SUB_NOME,MATCH($L545,SUB_ID,0)),"?"))</f>
        <v/>
      </c>
      <c r="Z545" s="35" t="str">
        <f aca="false">IF($G545="","",IF($G545="EXTERNO","(Externo)",IFERROR(INDEX(ENT_NOME,MATCH($H545,ENT_ID,0)),"?")))</f>
        <v/>
      </c>
      <c r="AA545" s="35" t="str">
        <f aca="false">IF($I545="","",IF($I545="EXTERNO","(Externo)",IFERROR(INDEX(ENT_NOME,MATCH($J545,ENT_ID,0)),"?")))</f>
        <v/>
      </c>
      <c r="AB545" s="36" t="n">
        <f aca="false">IF($B545="",0,IF(AND($I545="CONTA",$G545&lt;&gt;"CONTA"),$F545,0))</f>
        <v>0</v>
      </c>
      <c r="AC545" s="36" t="n">
        <f aca="false">IF($B545="",0,IF(AND($G545="CONTA",$I545&lt;&gt;"CONTA"),$F545,0))</f>
        <v>0</v>
      </c>
      <c r="AD545" s="36" t="n">
        <f aca="false">IF($W545="RECEITA",$F545,0)</f>
        <v>0</v>
      </c>
      <c r="AE545" s="36" t="n">
        <f aca="false">IF($W545="DESPESA",$F545,0)</f>
        <v>0</v>
      </c>
      <c r="AF545" s="36" t="n">
        <f aca="false">IF($W545="RECEITA_FINANCEIRA",$F545,0)</f>
        <v>0</v>
      </c>
      <c r="AG545" s="36" t="n">
        <f aca="false">IF($B545="",0,IF($I545="CONTA",$F545,0)-IF($G545="CONTA",$F545,0))</f>
        <v>0</v>
      </c>
      <c r="AH545" s="36" t="n">
        <f aca="false">IF($B545="",0,IF($G545="CARTAO",$F545,0)-IF($I545="CARTAO",$F545,0))</f>
        <v>0</v>
      </c>
      <c r="AI545" s="36" t="n">
        <f aca="false">IF($B545="",0,IF($I545="INVESTIMENTO",$F545,0)-IF($G545="INVESTIMENTO",$F545,0))</f>
        <v>0</v>
      </c>
      <c r="AJ545" s="35" t="str">
        <f aca="false">IF($B545="","",IF(NOT(ISNUMBER($F545)),"ERRO: valor nao numerico",IF($F545&lt;=0,"ERRO: valor deve ser maior que zero",IF(COUNTIF(MAP_TIPO,$D545)=0,"ERRO: tipo de operacao nao cadastrado",IF(COUNTIF(LST_STATUS,$E545)=0,"ERRO: status invalido",IF(AND($G545="EXTERNO",$I545="EXTERNO"),"ERRO: origem e destino externos",IF(AND($G545&lt;&gt;"EXTERNO",COUNTIFS(ENT_ID,$H545,ENT_TIPO,$G545)=0),"ERRO: origem inexistente",IF(AND($I545&lt;&gt;"EXTERNO",COUNTIFS(ENT_ID,$J545,ENT_TIPO,$I545)=0),"ERRO: destino inexistente",IF(AND($K545&lt;&gt;"",COUNTIF(CAT_ID,$K545)=0),"ERRO: categoria inexistente",IF(AND($L545&lt;&gt;"",COUNTIF(SUB_ID,$L545)=0),"ERRO: subcategoria inexistente",IF(AND($L545&lt;&gt;"",$K545&lt;&gt;"",IFERROR(INDEX(SUB_CATID,MATCH($L545,SUB_ID,0)),"")&lt;&gt;$K545),"ERRO: subcategoria nao pertence a categoria",IF(AND($O545&lt;&gt;"",COUNTIF(P_ID,$O545)=0),"ERRO: parcela inexistente",IF(AND($N545&lt;&gt;"",COUNTIF(CM_ID,$N545)=0),"ERRO: compromisso inexistente","OK")))))))))))))</f>
        <v/>
      </c>
      <c r="AK545" s="35" t="str">
        <f aca="false">IF($B545="","",IF(AND($N545="",$O545="",$P545="",$Q545="",$R545=""),"","VINCULADO: "&amp;TRIM(IF($N545&lt;&gt;"",$N545&amp;" ","")&amp;IF($O545&lt;&gt;"",$O545&amp;" ","")&amp;IF($P545&lt;&gt;"",$P545&amp;" ","")&amp;IF($Q545&lt;&gt;"",$Q545&amp;" ","")&amp;IF($R545&lt;&gt;"",$R545,""))))</f>
        <v/>
      </c>
    </row>
    <row r="546" customFormat="false" ht="15" hidden="false" customHeight="false" outlineLevel="0" collapsed="false">
      <c r="A546" s="30" t="str">
        <f aca="false">IF($B546="","","LAN-"&amp;TEXT(ROW()-4,"000000"))</f>
        <v/>
      </c>
      <c r="B546" s="31"/>
      <c r="C546" s="32"/>
      <c r="D546" s="32"/>
      <c r="E546" s="32"/>
      <c r="F546" s="33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4" t="str">
        <f aca="false">IF($B546="","",YEAR($B546))</f>
        <v/>
      </c>
      <c r="U546" s="34" t="str">
        <f aca="false">IF($B546="","",MONTH($B546))</f>
        <v/>
      </c>
      <c r="V546" s="34" t="str">
        <f aca="false">IF($B546="","",YEAR($B546)*100+MONTH($B546))</f>
        <v/>
      </c>
      <c r="W546" s="35" t="str">
        <f aca="false">IF($D546="","",IFERROR(INDEX(MAP_CLASS,MATCH($D546,MAP_TIPO,0)),"TIPO INVALIDO"))</f>
        <v/>
      </c>
      <c r="X546" s="35" t="str">
        <f aca="false">IF($K546="","",IFERROR(INDEX(CAT_NOME,MATCH($K546,CAT_ID,0)),"?"))</f>
        <v/>
      </c>
      <c r="Y546" s="35" t="str">
        <f aca="false">IF($L546="","",IFERROR(INDEX(SUB_NOME,MATCH($L546,SUB_ID,0)),"?"))</f>
        <v/>
      </c>
      <c r="Z546" s="35" t="str">
        <f aca="false">IF($G546="","",IF($G546="EXTERNO","(Externo)",IFERROR(INDEX(ENT_NOME,MATCH($H546,ENT_ID,0)),"?")))</f>
        <v/>
      </c>
      <c r="AA546" s="35" t="str">
        <f aca="false">IF($I546="","",IF($I546="EXTERNO","(Externo)",IFERROR(INDEX(ENT_NOME,MATCH($J546,ENT_ID,0)),"?")))</f>
        <v/>
      </c>
      <c r="AB546" s="36" t="n">
        <f aca="false">IF($B546="",0,IF(AND($I546="CONTA",$G546&lt;&gt;"CONTA"),$F546,0))</f>
        <v>0</v>
      </c>
      <c r="AC546" s="36" t="n">
        <f aca="false">IF($B546="",0,IF(AND($G546="CONTA",$I546&lt;&gt;"CONTA"),$F546,0))</f>
        <v>0</v>
      </c>
      <c r="AD546" s="36" t="n">
        <f aca="false">IF($W546="RECEITA",$F546,0)</f>
        <v>0</v>
      </c>
      <c r="AE546" s="36" t="n">
        <f aca="false">IF($W546="DESPESA",$F546,0)</f>
        <v>0</v>
      </c>
      <c r="AF546" s="36" t="n">
        <f aca="false">IF($W546="RECEITA_FINANCEIRA",$F546,0)</f>
        <v>0</v>
      </c>
      <c r="AG546" s="36" t="n">
        <f aca="false">IF($B546="",0,IF($I546="CONTA",$F546,0)-IF($G546="CONTA",$F546,0))</f>
        <v>0</v>
      </c>
      <c r="AH546" s="36" t="n">
        <f aca="false">IF($B546="",0,IF($G546="CARTAO",$F546,0)-IF($I546="CARTAO",$F546,0))</f>
        <v>0</v>
      </c>
      <c r="AI546" s="36" t="n">
        <f aca="false">IF($B546="",0,IF($I546="INVESTIMENTO",$F546,0)-IF($G546="INVESTIMENTO",$F546,0))</f>
        <v>0</v>
      </c>
      <c r="AJ546" s="35" t="str">
        <f aca="false">IF($B546="","",IF(NOT(ISNUMBER($F546)),"ERRO: valor nao numerico",IF($F546&lt;=0,"ERRO: valor deve ser maior que zero",IF(COUNTIF(MAP_TIPO,$D546)=0,"ERRO: tipo de operacao nao cadastrado",IF(COUNTIF(LST_STATUS,$E546)=0,"ERRO: status invalido",IF(AND($G546="EXTERNO",$I546="EXTERNO"),"ERRO: origem e destino externos",IF(AND($G546&lt;&gt;"EXTERNO",COUNTIFS(ENT_ID,$H546,ENT_TIPO,$G546)=0),"ERRO: origem inexistente",IF(AND($I546&lt;&gt;"EXTERNO",COUNTIFS(ENT_ID,$J546,ENT_TIPO,$I546)=0),"ERRO: destino inexistente",IF(AND($K546&lt;&gt;"",COUNTIF(CAT_ID,$K546)=0),"ERRO: categoria inexistente",IF(AND($L546&lt;&gt;"",COUNTIF(SUB_ID,$L546)=0),"ERRO: subcategoria inexistente",IF(AND($L546&lt;&gt;"",$K546&lt;&gt;"",IFERROR(INDEX(SUB_CATID,MATCH($L546,SUB_ID,0)),"")&lt;&gt;$K546),"ERRO: subcategoria nao pertence a categoria",IF(AND($O546&lt;&gt;"",COUNTIF(P_ID,$O546)=0),"ERRO: parcela inexistente",IF(AND($N546&lt;&gt;"",COUNTIF(CM_ID,$N546)=0),"ERRO: compromisso inexistente","OK")))))))))))))</f>
        <v/>
      </c>
      <c r="AK546" s="35" t="str">
        <f aca="false">IF($B546="","",IF(AND($N546="",$O546="",$P546="",$Q546="",$R546=""),"","VINCULADO: "&amp;TRIM(IF($N546&lt;&gt;"",$N546&amp;" ","")&amp;IF($O546&lt;&gt;"",$O546&amp;" ","")&amp;IF($P546&lt;&gt;"",$P546&amp;" ","")&amp;IF($Q546&lt;&gt;"",$Q546&amp;" ","")&amp;IF($R546&lt;&gt;"",$R546,""))))</f>
        <v/>
      </c>
    </row>
    <row r="547" customFormat="false" ht="15" hidden="false" customHeight="false" outlineLevel="0" collapsed="false">
      <c r="A547" s="30" t="str">
        <f aca="false">IF($B547="","","LAN-"&amp;TEXT(ROW()-4,"000000"))</f>
        <v/>
      </c>
      <c r="B547" s="31"/>
      <c r="C547" s="32"/>
      <c r="D547" s="32"/>
      <c r="E547" s="32"/>
      <c r="F547" s="33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4" t="str">
        <f aca="false">IF($B547="","",YEAR($B547))</f>
        <v/>
      </c>
      <c r="U547" s="34" t="str">
        <f aca="false">IF($B547="","",MONTH($B547))</f>
        <v/>
      </c>
      <c r="V547" s="34" t="str">
        <f aca="false">IF($B547="","",YEAR($B547)*100+MONTH($B547))</f>
        <v/>
      </c>
      <c r="W547" s="35" t="str">
        <f aca="false">IF($D547="","",IFERROR(INDEX(MAP_CLASS,MATCH($D547,MAP_TIPO,0)),"TIPO INVALIDO"))</f>
        <v/>
      </c>
      <c r="X547" s="35" t="str">
        <f aca="false">IF($K547="","",IFERROR(INDEX(CAT_NOME,MATCH($K547,CAT_ID,0)),"?"))</f>
        <v/>
      </c>
      <c r="Y547" s="35" t="str">
        <f aca="false">IF($L547="","",IFERROR(INDEX(SUB_NOME,MATCH($L547,SUB_ID,0)),"?"))</f>
        <v/>
      </c>
      <c r="Z547" s="35" t="str">
        <f aca="false">IF($G547="","",IF($G547="EXTERNO","(Externo)",IFERROR(INDEX(ENT_NOME,MATCH($H547,ENT_ID,0)),"?")))</f>
        <v/>
      </c>
      <c r="AA547" s="35" t="str">
        <f aca="false">IF($I547="","",IF($I547="EXTERNO","(Externo)",IFERROR(INDEX(ENT_NOME,MATCH($J547,ENT_ID,0)),"?")))</f>
        <v/>
      </c>
      <c r="AB547" s="36" t="n">
        <f aca="false">IF($B547="",0,IF(AND($I547="CONTA",$G547&lt;&gt;"CONTA"),$F547,0))</f>
        <v>0</v>
      </c>
      <c r="AC547" s="36" t="n">
        <f aca="false">IF($B547="",0,IF(AND($G547="CONTA",$I547&lt;&gt;"CONTA"),$F547,0))</f>
        <v>0</v>
      </c>
      <c r="AD547" s="36" t="n">
        <f aca="false">IF($W547="RECEITA",$F547,0)</f>
        <v>0</v>
      </c>
      <c r="AE547" s="36" t="n">
        <f aca="false">IF($W547="DESPESA",$F547,0)</f>
        <v>0</v>
      </c>
      <c r="AF547" s="36" t="n">
        <f aca="false">IF($W547="RECEITA_FINANCEIRA",$F547,0)</f>
        <v>0</v>
      </c>
      <c r="AG547" s="36" t="n">
        <f aca="false">IF($B547="",0,IF($I547="CONTA",$F547,0)-IF($G547="CONTA",$F547,0))</f>
        <v>0</v>
      </c>
      <c r="AH547" s="36" t="n">
        <f aca="false">IF($B547="",0,IF($G547="CARTAO",$F547,0)-IF($I547="CARTAO",$F547,0))</f>
        <v>0</v>
      </c>
      <c r="AI547" s="36" t="n">
        <f aca="false">IF($B547="",0,IF($I547="INVESTIMENTO",$F547,0)-IF($G547="INVESTIMENTO",$F547,0))</f>
        <v>0</v>
      </c>
      <c r="AJ547" s="35" t="str">
        <f aca="false">IF($B547="","",IF(NOT(ISNUMBER($F547)),"ERRO: valor nao numerico",IF($F547&lt;=0,"ERRO: valor deve ser maior que zero",IF(COUNTIF(MAP_TIPO,$D547)=0,"ERRO: tipo de operacao nao cadastrado",IF(COUNTIF(LST_STATUS,$E547)=0,"ERRO: status invalido",IF(AND($G547="EXTERNO",$I547="EXTERNO"),"ERRO: origem e destino externos",IF(AND($G547&lt;&gt;"EXTERNO",COUNTIFS(ENT_ID,$H547,ENT_TIPO,$G547)=0),"ERRO: origem inexistente",IF(AND($I547&lt;&gt;"EXTERNO",COUNTIFS(ENT_ID,$J547,ENT_TIPO,$I547)=0),"ERRO: destino inexistente",IF(AND($K547&lt;&gt;"",COUNTIF(CAT_ID,$K547)=0),"ERRO: categoria inexistente",IF(AND($L547&lt;&gt;"",COUNTIF(SUB_ID,$L547)=0),"ERRO: subcategoria inexistente",IF(AND($L547&lt;&gt;"",$K547&lt;&gt;"",IFERROR(INDEX(SUB_CATID,MATCH($L547,SUB_ID,0)),"")&lt;&gt;$K547),"ERRO: subcategoria nao pertence a categoria",IF(AND($O547&lt;&gt;"",COUNTIF(P_ID,$O547)=0),"ERRO: parcela inexistente",IF(AND($N547&lt;&gt;"",COUNTIF(CM_ID,$N547)=0),"ERRO: compromisso inexistente","OK")))))))))))))</f>
        <v/>
      </c>
      <c r="AK547" s="35" t="str">
        <f aca="false">IF($B547="","",IF(AND($N547="",$O547="",$P547="",$Q547="",$R547=""),"","VINCULADO: "&amp;TRIM(IF($N547&lt;&gt;"",$N547&amp;" ","")&amp;IF($O547&lt;&gt;"",$O547&amp;" ","")&amp;IF($P547&lt;&gt;"",$P547&amp;" ","")&amp;IF($Q547&lt;&gt;"",$Q547&amp;" ","")&amp;IF($R547&lt;&gt;"",$R547,""))))</f>
        <v/>
      </c>
    </row>
    <row r="548" customFormat="false" ht="15" hidden="false" customHeight="false" outlineLevel="0" collapsed="false">
      <c r="A548" s="30" t="str">
        <f aca="false">IF($B548="","","LAN-"&amp;TEXT(ROW()-4,"000000"))</f>
        <v/>
      </c>
      <c r="B548" s="31"/>
      <c r="C548" s="32"/>
      <c r="D548" s="32"/>
      <c r="E548" s="32"/>
      <c r="F548" s="33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4" t="str">
        <f aca="false">IF($B548="","",YEAR($B548))</f>
        <v/>
      </c>
      <c r="U548" s="34" t="str">
        <f aca="false">IF($B548="","",MONTH($B548))</f>
        <v/>
      </c>
      <c r="V548" s="34" t="str">
        <f aca="false">IF($B548="","",YEAR($B548)*100+MONTH($B548))</f>
        <v/>
      </c>
      <c r="W548" s="35" t="str">
        <f aca="false">IF($D548="","",IFERROR(INDEX(MAP_CLASS,MATCH($D548,MAP_TIPO,0)),"TIPO INVALIDO"))</f>
        <v/>
      </c>
      <c r="X548" s="35" t="str">
        <f aca="false">IF($K548="","",IFERROR(INDEX(CAT_NOME,MATCH($K548,CAT_ID,0)),"?"))</f>
        <v/>
      </c>
      <c r="Y548" s="35" t="str">
        <f aca="false">IF($L548="","",IFERROR(INDEX(SUB_NOME,MATCH($L548,SUB_ID,0)),"?"))</f>
        <v/>
      </c>
      <c r="Z548" s="35" t="str">
        <f aca="false">IF($G548="","",IF($G548="EXTERNO","(Externo)",IFERROR(INDEX(ENT_NOME,MATCH($H548,ENT_ID,0)),"?")))</f>
        <v/>
      </c>
      <c r="AA548" s="35" t="str">
        <f aca="false">IF($I548="","",IF($I548="EXTERNO","(Externo)",IFERROR(INDEX(ENT_NOME,MATCH($J548,ENT_ID,0)),"?")))</f>
        <v/>
      </c>
      <c r="AB548" s="36" t="n">
        <f aca="false">IF($B548="",0,IF(AND($I548="CONTA",$G548&lt;&gt;"CONTA"),$F548,0))</f>
        <v>0</v>
      </c>
      <c r="AC548" s="36" t="n">
        <f aca="false">IF($B548="",0,IF(AND($G548="CONTA",$I548&lt;&gt;"CONTA"),$F548,0))</f>
        <v>0</v>
      </c>
      <c r="AD548" s="36" t="n">
        <f aca="false">IF($W548="RECEITA",$F548,0)</f>
        <v>0</v>
      </c>
      <c r="AE548" s="36" t="n">
        <f aca="false">IF($W548="DESPESA",$F548,0)</f>
        <v>0</v>
      </c>
      <c r="AF548" s="36" t="n">
        <f aca="false">IF($W548="RECEITA_FINANCEIRA",$F548,0)</f>
        <v>0</v>
      </c>
      <c r="AG548" s="36" t="n">
        <f aca="false">IF($B548="",0,IF($I548="CONTA",$F548,0)-IF($G548="CONTA",$F548,0))</f>
        <v>0</v>
      </c>
      <c r="AH548" s="36" t="n">
        <f aca="false">IF($B548="",0,IF($G548="CARTAO",$F548,0)-IF($I548="CARTAO",$F548,0))</f>
        <v>0</v>
      </c>
      <c r="AI548" s="36" t="n">
        <f aca="false">IF($B548="",0,IF($I548="INVESTIMENTO",$F548,0)-IF($G548="INVESTIMENTO",$F548,0))</f>
        <v>0</v>
      </c>
      <c r="AJ548" s="35" t="str">
        <f aca="false">IF($B548="","",IF(NOT(ISNUMBER($F548)),"ERRO: valor nao numerico",IF($F548&lt;=0,"ERRO: valor deve ser maior que zero",IF(COUNTIF(MAP_TIPO,$D548)=0,"ERRO: tipo de operacao nao cadastrado",IF(COUNTIF(LST_STATUS,$E548)=0,"ERRO: status invalido",IF(AND($G548="EXTERNO",$I548="EXTERNO"),"ERRO: origem e destino externos",IF(AND($G548&lt;&gt;"EXTERNO",COUNTIFS(ENT_ID,$H548,ENT_TIPO,$G548)=0),"ERRO: origem inexistente",IF(AND($I548&lt;&gt;"EXTERNO",COUNTIFS(ENT_ID,$J548,ENT_TIPO,$I548)=0),"ERRO: destino inexistente",IF(AND($K548&lt;&gt;"",COUNTIF(CAT_ID,$K548)=0),"ERRO: categoria inexistente",IF(AND($L548&lt;&gt;"",COUNTIF(SUB_ID,$L548)=0),"ERRO: subcategoria inexistente",IF(AND($L548&lt;&gt;"",$K548&lt;&gt;"",IFERROR(INDEX(SUB_CATID,MATCH($L548,SUB_ID,0)),"")&lt;&gt;$K548),"ERRO: subcategoria nao pertence a categoria",IF(AND($O548&lt;&gt;"",COUNTIF(P_ID,$O548)=0),"ERRO: parcela inexistente",IF(AND($N548&lt;&gt;"",COUNTIF(CM_ID,$N548)=0),"ERRO: compromisso inexistente","OK")))))))))))))</f>
        <v/>
      </c>
      <c r="AK548" s="35" t="str">
        <f aca="false">IF($B548="","",IF(AND($N548="",$O548="",$P548="",$Q548="",$R548=""),"","VINCULADO: "&amp;TRIM(IF($N548&lt;&gt;"",$N548&amp;" ","")&amp;IF($O548&lt;&gt;"",$O548&amp;" ","")&amp;IF($P548&lt;&gt;"",$P548&amp;" ","")&amp;IF($Q548&lt;&gt;"",$Q548&amp;" ","")&amp;IF($R548&lt;&gt;"",$R548,""))))</f>
        <v/>
      </c>
    </row>
    <row r="549" customFormat="false" ht="15" hidden="false" customHeight="false" outlineLevel="0" collapsed="false">
      <c r="A549" s="30" t="str">
        <f aca="false">IF($B549="","","LAN-"&amp;TEXT(ROW()-4,"000000"))</f>
        <v/>
      </c>
      <c r="B549" s="31"/>
      <c r="C549" s="32"/>
      <c r="D549" s="32"/>
      <c r="E549" s="32"/>
      <c r="F549" s="33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4" t="str">
        <f aca="false">IF($B549="","",YEAR($B549))</f>
        <v/>
      </c>
      <c r="U549" s="34" t="str">
        <f aca="false">IF($B549="","",MONTH($B549))</f>
        <v/>
      </c>
      <c r="V549" s="34" t="str">
        <f aca="false">IF($B549="","",YEAR($B549)*100+MONTH($B549))</f>
        <v/>
      </c>
      <c r="W549" s="35" t="str">
        <f aca="false">IF($D549="","",IFERROR(INDEX(MAP_CLASS,MATCH($D549,MAP_TIPO,0)),"TIPO INVALIDO"))</f>
        <v/>
      </c>
      <c r="X549" s="35" t="str">
        <f aca="false">IF($K549="","",IFERROR(INDEX(CAT_NOME,MATCH($K549,CAT_ID,0)),"?"))</f>
        <v/>
      </c>
      <c r="Y549" s="35" t="str">
        <f aca="false">IF($L549="","",IFERROR(INDEX(SUB_NOME,MATCH($L549,SUB_ID,0)),"?"))</f>
        <v/>
      </c>
      <c r="Z549" s="35" t="str">
        <f aca="false">IF($G549="","",IF($G549="EXTERNO","(Externo)",IFERROR(INDEX(ENT_NOME,MATCH($H549,ENT_ID,0)),"?")))</f>
        <v/>
      </c>
      <c r="AA549" s="35" t="str">
        <f aca="false">IF($I549="","",IF($I549="EXTERNO","(Externo)",IFERROR(INDEX(ENT_NOME,MATCH($J549,ENT_ID,0)),"?")))</f>
        <v/>
      </c>
      <c r="AB549" s="36" t="n">
        <f aca="false">IF($B549="",0,IF(AND($I549="CONTA",$G549&lt;&gt;"CONTA"),$F549,0))</f>
        <v>0</v>
      </c>
      <c r="AC549" s="36" t="n">
        <f aca="false">IF($B549="",0,IF(AND($G549="CONTA",$I549&lt;&gt;"CONTA"),$F549,0))</f>
        <v>0</v>
      </c>
      <c r="AD549" s="36" t="n">
        <f aca="false">IF($W549="RECEITA",$F549,0)</f>
        <v>0</v>
      </c>
      <c r="AE549" s="36" t="n">
        <f aca="false">IF($W549="DESPESA",$F549,0)</f>
        <v>0</v>
      </c>
      <c r="AF549" s="36" t="n">
        <f aca="false">IF($W549="RECEITA_FINANCEIRA",$F549,0)</f>
        <v>0</v>
      </c>
      <c r="AG549" s="36" t="n">
        <f aca="false">IF($B549="",0,IF($I549="CONTA",$F549,0)-IF($G549="CONTA",$F549,0))</f>
        <v>0</v>
      </c>
      <c r="AH549" s="36" t="n">
        <f aca="false">IF($B549="",0,IF($G549="CARTAO",$F549,0)-IF($I549="CARTAO",$F549,0))</f>
        <v>0</v>
      </c>
      <c r="AI549" s="36" t="n">
        <f aca="false">IF($B549="",0,IF($I549="INVESTIMENTO",$F549,0)-IF($G549="INVESTIMENTO",$F549,0))</f>
        <v>0</v>
      </c>
      <c r="AJ549" s="35" t="str">
        <f aca="false">IF($B549="","",IF(NOT(ISNUMBER($F549)),"ERRO: valor nao numerico",IF($F549&lt;=0,"ERRO: valor deve ser maior que zero",IF(COUNTIF(MAP_TIPO,$D549)=0,"ERRO: tipo de operacao nao cadastrado",IF(COUNTIF(LST_STATUS,$E549)=0,"ERRO: status invalido",IF(AND($G549="EXTERNO",$I549="EXTERNO"),"ERRO: origem e destino externos",IF(AND($G549&lt;&gt;"EXTERNO",COUNTIFS(ENT_ID,$H549,ENT_TIPO,$G549)=0),"ERRO: origem inexistente",IF(AND($I549&lt;&gt;"EXTERNO",COUNTIFS(ENT_ID,$J549,ENT_TIPO,$I549)=0),"ERRO: destino inexistente",IF(AND($K549&lt;&gt;"",COUNTIF(CAT_ID,$K549)=0),"ERRO: categoria inexistente",IF(AND($L549&lt;&gt;"",COUNTIF(SUB_ID,$L549)=0),"ERRO: subcategoria inexistente",IF(AND($L549&lt;&gt;"",$K549&lt;&gt;"",IFERROR(INDEX(SUB_CATID,MATCH($L549,SUB_ID,0)),"")&lt;&gt;$K549),"ERRO: subcategoria nao pertence a categoria",IF(AND($O549&lt;&gt;"",COUNTIF(P_ID,$O549)=0),"ERRO: parcela inexistente",IF(AND($N549&lt;&gt;"",COUNTIF(CM_ID,$N549)=0),"ERRO: compromisso inexistente","OK")))))))))))))</f>
        <v/>
      </c>
      <c r="AK549" s="35" t="str">
        <f aca="false">IF($B549="","",IF(AND($N549="",$O549="",$P549="",$Q549="",$R549=""),"","VINCULADO: "&amp;TRIM(IF($N549&lt;&gt;"",$N549&amp;" ","")&amp;IF($O549&lt;&gt;"",$O549&amp;" ","")&amp;IF($P549&lt;&gt;"",$P549&amp;" ","")&amp;IF($Q549&lt;&gt;"",$Q549&amp;" ","")&amp;IF($R549&lt;&gt;"",$R549,""))))</f>
        <v/>
      </c>
    </row>
    <row r="550" customFormat="false" ht="15" hidden="false" customHeight="false" outlineLevel="0" collapsed="false">
      <c r="A550" s="30" t="str">
        <f aca="false">IF($B550="","","LAN-"&amp;TEXT(ROW()-4,"000000"))</f>
        <v/>
      </c>
      <c r="B550" s="31"/>
      <c r="C550" s="32"/>
      <c r="D550" s="32"/>
      <c r="E550" s="32"/>
      <c r="F550" s="33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4" t="str">
        <f aca="false">IF($B550="","",YEAR($B550))</f>
        <v/>
      </c>
      <c r="U550" s="34" t="str">
        <f aca="false">IF($B550="","",MONTH($B550))</f>
        <v/>
      </c>
      <c r="V550" s="34" t="str">
        <f aca="false">IF($B550="","",YEAR($B550)*100+MONTH($B550))</f>
        <v/>
      </c>
      <c r="W550" s="35" t="str">
        <f aca="false">IF($D550="","",IFERROR(INDEX(MAP_CLASS,MATCH($D550,MAP_TIPO,0)),"TIPO INVALIDO"))</f>
        <v/>
      </c>
      <c r="X550" s="35" t="str">
        <f aca="false">IF($K550="","",IFERROR(INDEX(CAT_NOME,MATCH($K550,CAT_ID,0)),"?"))</f>
        <v/>
      </c>
      <c r="Y550" s="35" t="str">
        <f aca="false">IF($L550="","",IFERROR(INDEX(SUB_NOME,MATCH($L550,SUB_ID,0)),"?"))</f>
        <v/>
      </c>
      <c r="Z550" s="35" t="str">
        <f aca="false">IF($G550="","",IF($G550="EXTERNO","(Externo)",IFERROR(INDEX(ENT_NOME,MATCH($H550,ENT_ID,0)),"?")))</f>
        <v/>
      </c>
      <c r="AA550" s="35" t="str">
        <f aca="false">IF($I550="","",IF($I550="EXTERNO","(Externo)",IFERROR(INDEX(ENT_NOME,MATCH($J550,ENT_ID,0)),"?")))</f>
        <v/>
      </c>
      <c r="AB550" s="36" t="n">
        <f aca="false">IF($B550="",0,IF(AND($I550="CONTA",$G550&lt;&gt;"CONTA"),$F550,0))</f>
        <v>0</v>
      </c>
      <c r="AC550" s="36" t="n">
        <f aca="false">IF($B550="",0,IF(AND($G550="CONTA",$I550&lt;&gt;"CONTA"),$F550,0))</f>
        <v>0</v>
      </c>
      <c r="AD550" s="36" t="n">
        <f aca="false">IF($W550="RECEITA",$F550,0)</f>
        <v>0</v>
      </c>
      <c r="AE550" s="36" t="n">
        <f aca="false">IF($W550="DESPESA",$F550,0)</f>
        <v>0</v>
      </c>
      <c r="AF550" s="36" t="n">
        <f aca="false">IF($W550="RECEITA_FINANCEIRA",$F550,0)</f>
        <v>0</v>
      </c>
      <c r="AG550" s="36" t="n">
        <f aca="false">IF($B550="",0,IF($I550="CONTA",$F550,0)-IF($G550="CONTA",$F550,0))</f>
        <v>0</v>
      </c>
      <c r="AH550" s="36" t="n">
        <f aca="false">IF($B550="",0,IF($G550="CARTAO",$F550,0)-IF($I550="CARTAO",$F550,0))</f>
        <v>0</v>
      </c>
      <c r="AI550" s="36" t="n">
        <f aca="false">IF($B550="",0,IF($I550="INVESTIMENTO",$F550,0)-IF($G550="INVESTIMENTO",$F550,0))</f>
        <v>0</v>
      </c>
      <c r="AJ550" s="35" t="str">
        <f aca="false">IF($B550="","",IF(NOT(ISNUMBER($F550)),"ERRO: valor nao numerico",IF($F550&lt;=0,"ERRO: valor deve ser maior que zero",IF(COUNTIF(MAP_TIPO,$D550)=0,"ERRO: tipo de operacao nao cadastrado",IF(COUNTIF(LST_STATUS,$E550)=0,"ERRO: status invalido",IF(AND($G550="EXTERNO",$I550="EXTERNO"),"ERRO: origem e destino externos",IF(AND($G550&lt;&gt;"EXTERNO",COUNTIFS(ENT_ID,$H550,ENT_TIPO,$G550)=0),"ERRO: origem inexistente",IF(AND($I550&lt;&gt;"EXTERNO",COUNTIFS(ENT_ID,$J550,ENT_TIPO,$I550)=0),"ERRO: destino inexistente",IF(AND($K550&lt;&gt;"",COUNTIF(CAT_ID,$K550)=0),"ERRO: categoria inexistente",IF(AND($L550&lt;&gt;"",COUNTIF(SUB_ID,$L550)=0),"ERRO: subcategoria inexistente",IF(AND($L550&lt;&gt;"",$K550&lt;&gt;"",IFERROR(INDEX(SUB_CATID,MATCH($L550,SUB_ID,0)),"")&lt;&gt;$K550),"ERRO: subcategoria nao pertence a categoria",IF(AND($O550&lt;&gt;"",COUNTIF(P_ID,$O550)=0),"ERRO: parcela inexistente",IF(AND($N550&lt;&gt;"",COUNTIF(CM_ID,$N550)=0),"ERRO: compromisso inexistente","OK")))))))))))))</f>
        <v/>
      </c>
      <c r="AK550" s="35" t="str">
        <f aca="false">IF($B550="","",IF(AND($N550="",$O550="",$P550="",$Q550="",$R550=""),"","VINCULADO: "&amp;TRIM(IF($N550&lt;&gt;"",$N550&amp;" ","")&amp;IF($O550&lt;&gt;"",$O550&amp;" ","")&amp;IF($P550&lt;&gt;"",$P550&amp;" ","")&amp;IF($Q550&lt;&gt;"",$Q550&amp;" ","")&amp;IF($R550&lt;&gt;"",$R550,""))))</f>
        <v/>
      </c>
    </row>
    <row r="551" customFormat="false" ht="15" hidden="false" customHeight="false" outlineLevel="0" collapsed="false">
      <c r="A551" s="30" t="str">
        <f aca="false">IF($B551="","","LAN-"&amp;TEXT(ROW()-4,"000000"))</f>
        <v/>
      </c>
      <c r="B551" s="31"/>
      <c r="C551" s="32"/>
      <c r="D551" s="32"/>
      <c r="E551" s="32"/>
      <c r="F551" s="33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4" t="str">
        <f aca="false">IF($B551="","",YEAR($B551))</f>
        <v/>
      </c>
      <c r="U551" s="34" t="str">
        <f aca="false">IF($B551="","",MONTH($B551))</f>
        <v/>
      </c>
      <c r="V551" s="34" t="str">
        <f aca="false">IF($B551="","",YEAR($B551)*100+MONTH($B551))</f>
        <v/>
      </c>
      <c r="W551" s="35" t="str">
        <f aca="false">IF($D551="","",IFERROR(INDEX(MAP_CLASS,MATCH($D551,MAP_TIPO,0)),"TIPO INVALIDO"))</f>
        <v/>
      </c>
      <c r="X551" s="35" t="str">
        <f aca="false">IF($K551="","",IFERROR(INDEX(CAT_NOME,MATCH($K551,CAT_ID,0)),"?"))</f>
        <v/>
      </c>
      <c r="Y551" s="35" t="str">
        <f aca="false">IF($L551="","",IFERROR(INDEX(SUB_NOME,MATCH($L551,SUB_ID,0)),"?"))</f>
        <v/>
      </c>
      <c r="Z551" s="35" t="str">
        <f aca="false">IF($G551="","",IF($G551="EXTERNO","(Externo)",IFERROR(INDEX(ENT_NOME,MATCH($H551,ENT_ID,0)),"?")))</f>
        <v/>
      </c>
      <c r="AA551" s="35" t="str">
        <f aca="false">IF($I551="","",IF($I551="EXTERNO","(Externo)",IFERROR(INDEX(ENT_NOME,MATCH($J551,ENT_ID,0)),"?")))</f>
        <v/>
      </c>
      <c r="AB551" s="36" t="n">
        <f aca="false">IF($B551="",0,IF(AND($I551="CONTA",$G551&lt;&gt;"CONTA"),$F551,0))</f>
        <v>0</v>
      </c>
      <c r="AC551" s="36" t="n">
        <f aca="false">IF($B551="",0,IF(AND($G551="CONTA",$I551&lt;&gt;"CONTA"),$F551,0))</f>
        <v>0</v>
      </c>
      <c r="AD551" s="36" t="n">
        <f aca="false">IF($W551="RECEITA",$F551,0)</f>
        <v>0</v>
      </c>
      <c r="AE551" s="36" t="n">
        <f aca="false">IF($W551="DESPESA",$F551,0)</f>
        <v>0</v>
      </c>
      <c r="AF551" s="36" t="n">
        <f aca="false">IF($W551="RECEITA_FINANCEIRA",$F551,0)</f>
        <v>0</v>
      </c>
      <c r="AG551" s="36" t="n">
        <f aca="false">IF($B551="",0,IF($I551="CONTA",$F551,0)-IF($G551="CONTA",$F551,0))</f>
        <v>0</v>
      </c>
      <c r="AH551" s="36" t="n">
        <f aca="false">IF($B551="",0,IF($G551="CARTAO",$F551,0)-IF($I551="CARTAO",$F551,0))</f>
        <v>0</v>
      </c>
      <c r="AI551" s="36" t="n">
        <f aca="false">IF($B551="",0,IF($I551="INVESTIMENTO",$F551,0)-IF($G551="INVESTIMENTO",$F551,0))</f>
        <v>0</v>
      </c>
      <c r="AJ551" s="35" t="str">
        <f aca="false">IF($B551="","",IF(NOT(ISNUMBER($F551)),"ERRO: valor nao numerico",IF($F551&lt;=0,"ERRO: valor deve ser maior que zero",IF(COUNTIF(MAP_TIPO,$D551)=0,"ERRO: tipo de operacao nao cadastrado",IF(COUNTIF(LST_STATUS,$E551)=0,"ERRO: status invalido",IF(AND($G551="EXTERNO",$I551="EXTERNO"),"ERRO: origem e destino externos",IF(AND($G551&lt;&gt;"EXTERNO",COUNTIFS(ENT_ID,$H551,ENT_TIPO,$G551)=0),"ERRO: origem inexistente",IF(AND($I551&lt;&gt;"EXTERNO",COUNTIFS(ENT_ID,$J551,ENT_TIPO,$I551)=0),"ERRO: destino inexistente",IF(AND($K551&lt;&gt;"",COUNTIF(CAT_ID,$K551)=0),"ERRO: categoria inexistente",IF(AND($L551&lt;&gt;"",COUNTIF(SUB_ID,$L551)=0),"ERRO: subcategoria inexistente",IF(AND($L551&lt;&gt;"",$K551&lt;&gt;"",IFERROR(INDEX(SUB_CATID,MATCH($L551,SUB_ID,0)),"")&lt;&gt;$K551),"ERRO: subcategoria nao pertence a categoria",IF(AND($O551&lt;&gt;"",COUNTIF(P_ID,$O551)=0),"ERRO: parcela inexistente",IF(AND($N551&lt;&gt;"",COUNTIF(CM_ID,$N551)=0),"ERRO: compromisso inexistente","OK")))))))))))))</f>
        <v/>
      </c>
      <c r="AK551" s="35" t="str">
        <f aca="false">IF($B551="","",IF(AND($N551="",$O551="",$P551="",$Q551="",$R551=""),"","VINCULADO: "&amp;TRIM(IF($N551&lt;&gt;"",$N551&amp;" ","")&amp;IF($O551&lt;&gt;"",$O551&amp;" ","")&amp;IF($P551&lt;&gt;"",$P551&amp;" ","")&amp;IF($Q551&lt;&gt;"",$Q551&amp;" ","")&amp;IF($R551&lt;&gt;"",$R551,""))))</f>
        <v/>
      </c>
    </row>
    <row r="552" customFormat="false" ht="15" hidden="false" customHeight="false" outlineLevel="0" collapsed="false">
      <c r="A552" s="30" t="str">
        <f aca="false">IF($B552="","","LAN-"&amp;TEXT(ROW()-4,"000000"))</f>
        <v/>
      </c>
      <c r="B552" s="31"/>
      <c r="C552" s="32"/>
      <c r="D552" s="32"/>
      <c r="E552" s="32"/>
      <c r="F552" s="33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4" t="str">
        <f aca="false">IF($B552="","",YEAR($B552))</f>
        <v/>
      </c>
      <c r="U552" s="34" t="str">
        <f aca="false">IF($B552="","",MONTH($B552))</f>
        <v/>
      </c>
      <c r="V552" s="34" t="str">
        <f aca="false">IF($B552="","",YEAR($B552)*100+MONTH($B552))</f>
        <v/>
      </c>
      <c r="W552" s="35" t="str">
        <f aca="false">IF($D552="","",IFERROR(INDEX(MAP_CLASS,MATCH($D552,MAP_TIPO,0)),"TIPO INVALIDO"))</f>
        <v/>
      </c>
      <c r="X552" s="35" t="str">
        <f aca="false">IF($K552="","",IFERROR(INDEX(CAT_NOME,MATCH($K552,CAT_ID,0)),"?"))</f>
        <v/>
      </c>
      <c r="Y552" s="35" t="str">
        <f aca="false">IF($L552="","",IFERROR(INDEX(SUB_NOME,MATCH($L552,SUB_ID,0)),"?"))</f>
        <v/>
      </c>
      <c r="Z552" s="35" t="str">
        <f aca="false">IF($G552="","",IF($G552="EXTERNO","(Externo)",IFERROR(INDEX(ENT_NOME,MATCH($H552,ENT_ID,0)),"?")))</f>
        <v/>
      </c>
      <c r="AA552" s="35" t="str">
        <f aca="false">IF($I552="","",IF($I552="EXTERNO","(Externo)",IFERROR(INDEX(ENT_NOME,MATCH($J552,ENT_ID,0)),"?")))</f>
        <v/>
      </c>
      <c r="AB552" s="36" t="n">
        <f aca="false">IF($B552="",0,IF(AND($I552="CONTA",$G552&lt;&gt;"CONTA"),$F552,0))</f>
        <v>0</v>
      </c>
      <c r="AC552" s="36" t="n">
        <f aca="false">IF($B552="",0,IF(AND($G552="CONTA",$I552&lt;&gt;"CONTA"),$F552,0))</f>
        <v>0</v>
      </c>
      <c r="AD552" s="36" t="n">
        <f aca="false">IF($W552="RECEITA",$F552,0)</f>
        <v>0</v>
      </c>
      <c r="AE552" s="36" t="n">
        <f aca="false">IF($W552="DESPESA",$F552,0)</f>
        <v>0</v>
      </c>
      <c r="AF552" s="36" t="n">
        <f aca="false">IF($W552="RECEITA_FINANCEIRA",$F552,0)</f>
        <v>0</v>
      </c>
      <c r="AG552" s="36" t="n">
        <f aca="false">IF($B552="",0,IF($I552="CONTA",$F552,0)-IF($G552="CONTA",$F552,0))</f>
        <v>0</v>
      </c>
      <c r="AH552" s="36" t="n">
        <f aca="false">IF($B552="",0,IF($G552="CARTAO",$F552,0)-IF($I552="CARTAO",$F552,0))</f>
        <v>0</v>
      </c>
      <c r="AI552" s="36" t="n">
        <f aca="false">IF($B552="",0,IF($I552="INVESTIMENTO",$F552,0)-IF($G552="INVESTIMENTO",$F552,0))</f>
        <v>0</v>
      </c>
      <c r="AJ552" s="35" t="str">
        <f aca="false">IF($B552="","",IF(NOT(ISNUMBER($F552)),"ERRO: valor nao numerico",IF($F552&lt;=0,"ERRO: valor deve ser maior que zero",IF(COUNTIF(MAP_TIPO,$D552)=0,"ERRO: tipo de operacao nao cadastrado",IF(COUNTIF(LST_STATUS,$E552)=0,"ERRO: status invalido",IF(AND($G552="EXTERNO",$I552="EXTERNO"),"ERRO: origem e destino externos",IF(AND($G552&lt;&gt;"EXTERNO",COUNTIFS(ENT_ID,$H552,ENT_TIPO,$G552)=0),"ERRO: origem inexistente",IF(AND($I552&lt;&gt;"EXTERNO",COUNTIFS(ENT_ID,$J552,ENT_TIPO,$I552)=0),"ERRO: destino inexistente",IF(AND($K552&lt;&gt;"",COUNTIF(CAT_ID,$K552)=0),"ERRO: categoria inexistente",IF(AND($L552&lt;&gt;"",COUNTIF(SUB_ID,$L552)=0),"ERRO: subcategoria inexistente",IF(AND($L552&lt;&gt;"",$K552&lt;&gt;"",IFERROR(INDEX(SUB_CATID,MATCH($L552,SUB_ID,0)),"")&lt;&gt;$K552),"ERRO: subcategoria nao pertence a categoria",IF(AND($O552&lt;&gt;"",COUNTIF(P_ID,$O552)=0),"ERRO: parcela inexistente",IF(AND($N552&lt;&gt;"",COUNTIF(CM_ID,$N552)=0),"ERRO: compromisso inexistente","OK")))))))))))))</f>
        <v/>
      </c>
      <c r="AK552" s="35" t="str">
        <f aca="false">IF($B552="","",IF(AND($N552="",$O552="",$P552="",$Q552="",$R552=""),"","VINCULADO: "&amp;TRIM(IF($N552&lt;&gt;"",$N552&amp;" ","")&amp;IF($O552&lt;&gt;"",$O552&amp;" ","")&amp;IF($P552&lt;&gt;"",$P552&amp;" ","")&amp;IF($Q552&lt;&gt;"",$Q552&amp;" ","")&amp;IF($R552&lt;&gt;"",$R552,""))))</f>
        <v/>
      </c>
    </row>
    <row r="553" customFormat="false" ht="15" hidden="false" customHeight="false" outlineLevel="0" collapsed="false">
      <c r="A553" s="30" t="str">
        <f aca="false">IF($B553="","","LAN-"&amp;TEXT(ROW()-4,"000000"))</f>
        <v/>
      </c>
      <c r="B553" s="31"/>
      <c r="C553" s="32"/>
      <c r="D553" s="32"/>
      <c r="E553" s="32"/>
      <c r="F553" s="33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4" t="str">
        <f aca="false">IF($B553="","",YEAR($B553))</f>
        <v/>
      </c>
      <c r="U553" s="34" t="str">
        <f aca="false">IF($B553="","",MONTH($B553))</f>
        <v/>
      </c>
      <c r="V553" s="34" t="str">
        <f aca="false">IF($B553="","",YEAR($B553)*100+MONTH($B553))</f>
        <v/>
      </c>
      <c r="W553" s="35" t="str">
        <f aca="false">IF($D553="","",IFERROR(INDEX(MAP_CLASS,MATCH($D553,MAP_TIPO,0)),"TIPO INVALIDO"))</f>
        <v/>
      </c>
      <c r="X553" s="35" t="str">
        <f aca="false">IF($K553="","",IFERROR(INDEX(CAT_NOME,MATCH($K553,CAT_ID,0)),"?"))</f>
        <v/>
      </c>
      <c r="Y553" s="35" t="str">
        <f aca="false">IF($L553="","",IFERROR(INDEX(SUB_NOME,MATCH($L553,SUB_ID,0)),"?"))</f>
        <v/>
      </c>
      <c r="Z553" s="35" t="str">
        <f aca="false">IF($G553="","",IF($G553="EXTERNO","(Externo)",IFERROR(INDEX(ENT_NOME,MATCH($H553,ENT_ID,0)),"?")))</f>
        <v/>
      </c>
      <c r="AA553" s="35" t="str">
        <f aca="false">IF($I553="","",IF($I553="EXTERNO","(Externo)",IFERROR(INDEX(ENT_NOME,MATCH($J553,ENT_ID,0)),"?")))</f>
        <v/>
      </c>
      <c r="AB553" s="36" t="n">
        <f aca="false">IF($B553="",0,IF(AND($I553="CONTA",$G553&lt;&gt;"CONTA"),$F553,0))</f>
        <v>0</v>
      </c>
      <c r="AC553" s="36" t="n">
        <f aca="false">IF($B553="",0,IF(AND($G553="CONTA",$I553&lt;&gt;"CONTA"),$F553,0))</f>
        <v>0</v>
      </c>
      <c r="AD553" s="36" t="n">
        <f aca="false">IF($W553="RECEITA",$F553,0)</f>
        <v>0</v>
      </c>
      <c r="AE553" s="36" t="n">
        <f aca="false">IF($W553="DESPESA",$F553,0)</f>
        <v>0</v>
      </c>
      <c r="AF553" s="36" t="n">
        <f aca="false">IF($W553="RECEITA_FINANCEIRA",$F553,0)</f>
        <v>0</v>
      </c>
      <c r="AG553" s="36" t="n">
        <f aca="false">IF($B553="",0,IF($I553="CONTA",$F553,0)-IF($G553="CONTA",$F553,0))</f>
        <v>0</v>
      </c>
      <c r="AH553" s="36" t="n">
        <f aca="false">IF($B553="",0,IF($G553="CARTAO",$F553,0)-IF($I553="CARTAO",$F553,0))</f>
        <v>0</v>
      </c>
      <c r="AI553" s="36" t="n">
        <f aca="false">IF($B553="",0,IF($I553="INVESTIMENTO",$F553,0)-IF($G553="INVESTIMENTO",$F553,0))</f>
        <v>0</v>
      </c>
      <c r="AJ553" s="35" t="str">
        <f aca="false">IF($B553="","",IF(NOT(ISNUMBER($F553)),"ERRO: valor nao numerico",IF($F553&lt;=0,"ERRO: valor deve ser maior que zero",IF(COUNTIF(MAP_TIPO,$D553)=0,"ERRO: tipo de operacao nao cadastrado",IF(COUNTIF(LST_STATUS,$E553)=0,"ERRO: status invalido",IF(AND($G553="EXTERNO",$I553="EXTERNO"),"ERRO: origem e destino externos",IF(AND($G553&lt;&gt;"EXTERNO",COUNTIFS(ENT_ID,$H553,ENT_TIPO,$G553)=0),"ERRO: origem inexistente",IF(AND($I553&lt;&gt;"EXTERNO",COUNTIFS(ENT_ID,$J553,ENT_TIPO,$I553)=0),"ERRO: destino inexistente",IF(AND($K553&lt;&gt;"",COUNTIF(CAT_ID,$K553)=0),"ERRO: categoria inexistente",IF(AND($L553&lt;&gt;"",COUNTIF(SUB_ID,$L553)=0),"ERRO: subcategoria inexistente",IF(AND($L553&lt;&gt;"",$K553&lt;&gt;"",IFERROR(INDEX(SUB_CATID,MATCH($L553,SUB_ID,0)),"")&lt;&gt;$K553),"ERRO: subcategoria nao pertence a categoria",IF(AND($O553&lt;&gt;"",COUNTIF(P_ID,$O553)=0),"ERRO: parcela inexistente",IF(AND($N553&lt;&gt;"",COUNTIF(CM_ID,$N553)=0),"ERRO: compromisso inexistente","OK")))))))))))))</f>
        <v/>
      </c>
      <c r="AK553" s="35" t="str">
        <f aca="false">IF($B553="","",IF(AND($N553="",$O553="",$P553="",$Q553="",$R553=""),"","VINCULADO: "&amp;TRIM(IF($N553&lt;&gt;"",$N553&amp;" ","")&amp;IF($O553&lt;&gt;"",$O553&amp;" ","")&amp;IF($P553&lt;&gt;"",$P553&amp;" ","")&amp;IF($Q553&lt;&gt;"",$Q553&amp;" ","")&amp;IF($R553&lt;&gt;"",$R553,""))))</f>
        <v/>
      </c>
    </row>
    <row r="554" customFormat="false" ht="15" hidden="false" customHeight="false" outlineLevel="0" collapsed="false">
      <c r="A554" s="30" t="str">
        <f aca="false">IF($B554="","","LAN-"&amp;TEXT(ROW()-4,"000000"))</f>
        <v/>
      </c>
      <c r="B554" s="31"/>
      <c r="C554" s="32"/>
      <c r="D554" s="32"/>
      <c r="E554" s="32"/>
      <c r="F554" s="33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4" t="str">
        <f aca="false">IF($B554="","",YEAR($B554))</f>
        <v/>
      </c>
      <c r="U554" s="34" t="str">
        <f aca="false">IF($B554="","",MONTH($B554))</f>
        <v/>
      </c>
      <c r="V554" s="34" t="str">
        <f aca="false">IF($B554="","",YEAR($B554)*100+MONTH($B554))</f>
        <v/>
      </c>
      <c r="W554" s="35" t="str">
        <f aca="false">IF($D554="","",IFERROR(INDEX(MAP_CLASS,MATCH($D554,MAP_TIPO,0)),"TIPO INVALIDO"))</f>
        <v/>
      </c>
      <c r="X554" s="35" t="str">
        <f aca="false">IF($K554="","",IFERROR(INDEX(CAT_NOME,MATCH($K554,CAT_ID,0)),"?"))</f>
        <v/>
      </c>
      <c r="Y554" s="35" t="str">
        <f aca="false">IF($L554="","",IFERROR(INDEX(SUB_NOME,MATCH($L554,SUB_ID,0)),"?"))</f>
        <v/>
      </c>
      <c r="Z554" s="35" t="str">
        <f aca="false">IF($G554="","",IF($G554="EXTERNO","(Externo)",IFERROR(INDEX(ENT_NOME,MATCH($H554,ENT_ID,0)),"?")))</f>
        <v/>
      </c>
      <c r="AA554" s="35" t="str">
        <f aca="false">IF($I554="","",IF($I554="EXTERNO","(Externo)",IFERROR(INDEX(ENT_NOME,MATCH($J554,ENT_ID,0)),"?")))</f>
        <v/>
      </c>
      <c r="AB554" s="36" t="n">
        <f aca="false">IF($B554="",0,IF(AND($I554="CONTA",$G554&lt;&gt;"CONTA"),$F554,0))</f>
        <v>0</v>
      </c>
      <c r="AC554" s="36" t="n">
        <f aca="false">IF($B554="",0,IF(AND($G554="CONTA",$I554&lt;&gt;"CONTA"),$F554,0))</f>
        <v>0</v>
      </c>
      <c r="AD554" s="36" t="n">
        <f aca="false">IF($W554="RECEITA",$F554,0)</f>
        <v>0</v>
      </c>
      <c r="AE554" s="36" t="n">
        <f aca="false">IF($W554="DESPESA",$F554,0)</f>
        <v>0</v>
      </c>
      <c r="AF554" s="36" t="n">
        <f aca="false">IF($W554="RECEITA_FINANCEIRA",$F554,0)</f>
        <v>0</v>
      </c>
      <c r="AG554" s="36" t="n">
        <f aca="false">IF($B554="",0,IF($I554="CONTA",$F554,0)-IF($G554="CONTA",$F554,0))</f>
        <v>0</v>
      </c>
      <c r="AH554" s="36" t="n">
        <f aca="false">IF($B554="",0,IF($G554="CARTAO",$F554,0)-IF($I554="CARTAO",$F554,0))</f>
        <v>0</v>
      </c>
      <c r="AI554" s="36" t="n">
        <f aca="false">IF($B554="",0,IF($I554="INVESTIMENTO",$F554,0)-IF($G554="INVESTIMENTO",$F554,0))</f>
        <v>0</v>
      </c>
      <c r="AJ554" s="35" t="str">
        <f aca="false">IF($B554="","",IF(NOT(ISNUMBER($F554)),"ERRO: valor nao numerico",IF($F554&lt;=0,"ERRO: valor deve ser maior que zero",IF(COUNTIF(MAP_TIPO,$D554)=0,"ERRO: tipo de operacao nao cadastrado",IF(COUNTIF(LST_STATUS,$E554)=0,"ERRO: status invalido",IF(AND($G554="EXTERNO",$I554="EXTERNO"),"ERRO: origem e destino externos",IF(AND($G554&lt;&gt;"EXTERNO",COUNTIFS(ENT_ID,$H554,ENT_TIPO,$G554)=0),"ERRO: origem inexistente",IF(AND($I554&lt;&gt;"EXTERNO",COUNTIFS(ENT_ID,$J554,ENT_TIPO,$I554)=0),"ERRO: destino inexistente",IF(AND($K554&lt;&gt;"",COUNTIF(CAT_ID,$K554)=0),"ERRO: categoria inexistente",IF(AND($L554&lt;&gt;"",COUNTIF(SUB_ID,$L554)=0),"ERRO: subcategoria inexistente",IF(AND($L554&lt;&gt;"",$K554&lt;&gt;"",IFERROR(INDEX(SUB_CATID,MATCH($L554,SUB_ID,0)),"")&lt;&gt;$K554),"ERRO: subcategoria nao pertence a categoria",IF(AND($O554&lt;&gt;"",COUNTIF(P_ID,$O554)=0),"ERRO: parcela inexistente",IF(AND($N554&lt;&gt;"",COUNTIF(CM_ID,$N554)=0),"ERRO: compromisso inexistente","OK")))))))))))))</f>
        <v/>
      </c>
      <c r="AK554" s="35" t="str">
        <f aca="false">IF($B554="","",IF(AND($N554="",$O554="",$P554="",$Q554="",$R554=""),"","VINCULADO: "&amp;TRIM(IF($N554&lt;&gt;"",$N554&amp;" ","")&amp;IF($O554&lt;&gt;"",$O554&amp;" ","")&amp;IF($P554&lt;&gt;"",$P554&amp;" ","")&amp;IF($Q554&lt;&gt;"",$Q554&amp;" ","")&amp;IF($R554&lt;&gt;"",$R554,""))))</f>
        <v/>
      </c>
    </row>
    <row r="555" customFormat="false" ht="15" hidden="false" customHeight="false" outlineLevel="0" collapsed="false">
      <c r="A555" s="30" t="str">
        <f aca="false">IF($B555="","","LAN-"&amp;TEXT(ROW()-4,"000000"))</f>
        <v/>
      </c>
      <c r="B555" s="31"/>
      <c r="C555" s="32"/>
      <c r="D555" s="32"/>
      <c r="E555" s="32"/>
      <c r="F555" s="33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4" t="str">
        <f aca="false">IF($B555="","",YEAR($B555))</f>
        <v/>
      </c>
      <c r="U555" s="34" t="str">
        <f aca="false">IF($B555="","",MONTH($B555))</f>
        <v/>
      </c>
      <c r="V555" s="34" t="str">
        <f aca="false">IF($B555="","",YEAR($B555)*100+MONTH($B555))</f>
        <v/>
      </c>
      <c r="W555" s="35" t="str">
        <f aca="false">IF($D555="","",IFERROR(INDEX(MAP_CLASS,MATCH($D555,MAP_TIPO,0)),"TIPO INVALIDO"))</f>
        <v/>
      </c>
      <c r="X555" s="35" t="str">
        <f aca="false">IF($K555="","",IFERROR(INDEX(CAT_NOME,MATCH($K555,CAT_ID,0)),"?"))</f>
        <v/>
      </c>
      <c r="Y555" s="35" t="str">
        <f aca="false">IF($L555="","",IFERROR(INDEX(SUB_NOME,MATCH($L555,SUB_ID,0)),"?"))</f>
        <v/>
      </c>
      <c r="Z555" s="35" t="str">
        <f aca="false">IF($G555="","",IF($G555="EXTERNO","(Externo)",IFERROR(INDEX(ENT_NOME,MATCH($H555,ENT_ID,0)),"?")))</f>
        <v/>
      </c>
      <c r="AA555" s="35" t="str">
        <f aca="false">IF($I555="","",IF($I555="EXTERNO","(Externo)",IFERROR(INDEX(ENT_NOME,MATCH($J555,ENT_ID,0)),"?")))</f>
        <v/>
      </c>
      <c r="AB555" s="36" t="n">
        <f aca="false">IF($B555="",0,IF(AND($I555="CONTA",$G555&lt;&gt;"CONTA"),$F555,0))</f>
        <v>0</v>
      </c>
      <c r="AC555" s="36" t="n">
        <f aca="false">IF($B555="",0,IF(AND($G555="CONTA",$I555&lt;&gt;"CONTA"),$F555,0))</f>
        <v>0</v>
      </c>
      <c r="AD555" s="36" t="n">
        <f aca="false">IF($W555="RECEITA",$F555,0)</f>
        <v>0</v>
      </c>
      <c r="AE555" s="36" t="n">
        <f aca="false">IF($W555="DESPESA",$F555,0)</f>
        <v>0</v>
      </c>
      <c r="AF555" s="36" t="n">
        <f aca="false">IF($W555="RECEITA_FINANCEIRA",$F555,0)</f>
        <v>0</v>
      </c>
      <c r="AG555" s="36" t="n">
        <f aca="false">IF($B555="",0,IF($I555="CONTA",$F555,0)-IF($G555="CONTA",$F555,0))</f>
        <v>0</v>
      </c>
      <c r="AH555" s="36" t="n">
        <f aca="false">IF($B555="",0,IF($G555="CARTAO",$F555,0)-IF($I555="CARTAO",$F555,0))</f>
        <v>0</v>
      </c>
      <c r="AI555" s="36" t="n">
        <f aca="false">IF($B555="",0,IF($I555="INVESTIMENTO",$F555,0)-IF($G555="INVESTIMENTO",$F555,0))</f>
        <v>0</v>
      </c>
      <c r="AJ555" s="35" t="str">
        <f aca="false">IF($B555="","",IF(NOT(ISNUMBER($F555)),"ERRO: valor nao numerico",IF($F555&lt;=0,"ERRO: valor deve ser maior que zero",IF(COUNTIF(MAP_TIPO,$D555)=0,"ERRO: tipo de operacao nao cadastrado",IF(COUNTIF(LST_STATUS,$E555)=0,"ERRO: status invalido",IF(AND($G555="EXTERNO",$I555="EXTERNO"),"ERRO: origem e destino externos",IF(AND($G555&lt;&gt;"EXTERNO",COUNTIFS(ENT_ID,$H555,ENT_TIPO,$G555)=0),"ERRO: origem inexistente",IF(AND($I555&lt;&gt;"EXTERNO",COUNTIFS(ENT_ID,$J555,ENT_TIPO,$I555)=0),"ERRO: destino inexistente",IF(AND($K555&lt;&gt;"",COUNTIF(CAT_ID,$K555)=0),"ERRO: categoria inexistente",IF(AND($L555&lt;&gt;"",COUNTIF(SUB_ID,$L555)=0),"ERRO: subcategoria inexistente",IF(AND($L555&lt;&gt;"",$K555&lt;&gt;"",IFERROR(INDEX(SUB_CATID,MATCH($L555,SUB_ID,0)),"")&lt;&gt;$K555),"ERRO: subcategoria nao pertence a categoria",IF(AND($O555&lt;&gt;"",COUNTIF(P_ID,$O555)=0),"ERRO: parcela inexistente",IF(AND($N555&lt;&gt;"",COUNTIF(CM_ID,$N555)=0),"ERRO: compromisso inexistente","OK")))))))))))))</f>
        <v/>
      </c>
      <c r="AK555" s="35" t="str">
        <f aca="false">IF($B555="","",IF(AND($N555="",$O555="",$P555="",$Q555="",$R555=""),"","VINCULADO: "&amp;TRIM(IF($N555&lt;&gt;"",$N555&amp;" ","")&amp;IF($O555&lt;&gt;"",$O555&amp;" ","")&amp;IF($P555&lt;&gt;"",$P555&amp;" ","")&amp;IF($Q555&lt;&gt;"",$Q555&amp;" ","")&amp;IF($R555&lt;&gt;"",$R555,""))))</f>
        <v/>
      </c>
    </row>
    <row r="556" customFormat="false" ht="15" hidden="false" customHeight="false" outlineLevel="0" collapsed="false">
      <c r="A556" s="30" t="str">
        <f aca="false">IF($B556="","","LAN-"&amp;TEXT(ROW()-4,"000000"))</f>
        <v/>
      </c>
      <c r="B556" s="31"/>
      <c r="C556" s="32"/>
      <c r="D556" s="32"/>
      <c r="E556" s="32"/>
      <c r="F556" s="33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4" t="str">
        <f aca="false">IF($B556="","",YEAR($B556))</f>
        <v/>
      </c>
      <c r="U556" s="34" t="str">
        <f aca="false">IF($B556="","",MONTH($B556))</f>
        <v/>
      </c>
      <c r="V556" s="34" t="str">
        <f aca="false">IF($B556="","",YEAR($B556)*100+MONTH($B556))</f>
        <v/>
      </c>
      <c r="W556" s="35" t="str">
        <f aca="false">IF($D556="","",IFERROR(INDEX(MAP_CLASS,MATCH($D556,MAP_TIPO,0)),"TIPO INVALIDO"))</f>
        <v/>
      </c>
      <c r="X556" s="35" t="str">
        <f aca="false">IF($K556="","",IFERROR(INDEX(CAT_NOME,MATCH($K556,CAT_ID,0)),"?"))</f>
        <v/>
      </c>
      <c r="Y556" s="35" t="str">
        <f aca="false">IF($L556="","",IFERROR(INDEX(SUB_NOME,MATCH($L556,SUB_ID,0)),"?"))</f>
        <v/>
      </c>
      <c r="Z556" s="35" t="str">
        <f aca="false">IF($G556="","",IF($G556="EXTERNO","(Externo)",IFERROR(INDEX(ENT_NOME,MATCH($H556,ENT_ID,0)),"?")))</f>
        <v/>
      </c>
      <c r="AA556" s="35" t="str">
        <f aca="false">IF($I556="","",IF($I556="EXTERNO","(Externo)",IFERROR(INDEX(ENT_NOME,MATCH($J556,ENT_ID,0)),"?")))</f>
        <v/>
      </c>
      <c r="AB556" s="36" t="n">
        <f aca="false">IF($B556="",0,IF(AND($I556="CONTA",$G556&lt;&gt;"CONTA"),$F556,0))</f>
        <v>0</v>
      </c>
      <c r="AC556" s="36" t="n">
        <f aca="false">IF($B556="",0,IF(AND($G556="CONTA",$I556&lt;&gt;"CONTA"),$F556,0))</f>
        <v>0</v>
      </c>
      <c r="AD556" s="36" t="n">
        <f aca="false">IF($W556="RECEITA",$F556,0)</f>
        <v>0</v>
      </c>
      <c r="AE556" s="36" t="n">
        <f aca="false">IF($W556="DESPESA",$F556,0)</f>
        <v>0</v>
      </c>
      <c r="AF556" s="36" t="n">
        <f aca="false">IF($W556="RECEITA_FINANCEIRA",$F556,0)</f>
        <v>0</v>
      </c>
      <c r="AG556" s="36" t="n">
        <f aca="false">IF($B556="",0,IF($I556="CONTA",$F556,0)-IF($G556="CONTA",$F556,0))</f>
        <v>0</v>
      </c>
      <c r="AH556" s="36" t="n">
        <f aca="false">IF($B556="",0,IF($G556="CARTAO",$F556,0)-IF($I556="CARTAO",$F556,0))</f>
        <v>0</v>
      </c>
      <c r="AI556" s="36" t="n">
        <f aca="false">IF($B556="",0,IF($I556="INVESTIMENTO",$F556,0)-IF($G556="INVESTIMENTO",$F556,0))</f>
        <v>0</v>
      </c>
      <c r="AJ556" s="35" t="str">
        <f aca="false">IF($B556="","",IF(NOT(ISNUMBER($F556)),"ERRO: valor nao numerico",IF($F556&lt;=0,"ERRO: valor deve ser maior que zero",IF(COUNTIF(MAP_TIPO,$D556)=0,"ERRO: tipo de operacao nao cadastrado",IF(COUNTIF(LST_STATUS,$E556)=0,"ERRO: status invalido",IF(AND($G556="EXTERNO",$I556="EXTERNO"),"ERRO: origem e destino externos",IF(AND($G556&lt;&gt;"EXTERNO",COUNTIFS(ENT_ID,$H556,ENT_TIPO,$G556)=0),"ERRO: origem inexistente",IF(AND($I556&lt;&gt;"EXTERNO",COUNTIFS(ENT_ID,$J556,ENT_TIPO,$I556)=0),"ERRO: destino inexistente",IF(AND($K556&lt;&gt;"",COUNTIF(CAT_ID,$K556)=0),"ERRO: categoria inexistente",IF(AND($L556&lt;&gt;"",COUNTIF(SUB_ID,$L556)=0),"ERRO: subcategoria inexistente",IF(AND($L556&lt;&gt;"",$K556&lt;&gt;"",IFERROR(INDEX(SUB_CATID,MATCH($L556,SUB_ID,0)),"")&lt;&gt;$K556),"ERRO: subcategoria nao pertence a categoria",IF(AND($O556&lt;&gt;"",COUNTIF(P_ID,$O556)=0),"ERRO: parcela inexistente",IF(AND($N556&lt;&gt;"",COUNTIF(CM_ID,$N556)=0),"ERRO: compromisso inexistente","OK")))))))))))))</f>
        <v/>
      </c>
      <c r="AK556" s="35" t="str">
        <f aca="false">IF($B556="","",IF(AND($N556="",$O556="",$P556="",$Q556="",$R556=""),"","VINCULADO: "&amp;TRIM(IF($N556&lt;&gt;"",$N556&amp;" ","")&amp;IF($O556&lt;&gt;"",$O556&amp;" ","")&amp;IF($P556&lt;&gt;"",$P556&amp;" ","")&amp;IF($Q556&lt;&gt;"",$Q556&amp;" ","")&amp;IF($R556&lt;&gt;"",$R556,""))))</f>
        <v/>
      </c>
    </row>
    <row r="557" customFormat="false" ht="15" hidden="false" customHeight="false" outlineLevel="0" collapsed="false">
      <c r="A557" s="30" t="str">
        <f aca="false">IF($B557="","","LAN-"&amp;TEXT(ROW()-4,"000000"))</f>
        <v/>
      </c>
      <c r="B557" s="31"/>
      <c r="C557" s="32"/>
      <c r="D557" s="32"/>
      <c r="E557" s="32"/>
      <c r="F557" s="33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4" t="str">
        <f aca="false">IF($B557="","",YEAR($B557))</f>
        <v/>
      </c>
      <c r="U557" s="34" t="str">
        <f aca="false">IF($B557="","",MONTH($B557))</f>
        <v/>
      </c>
      <c r="V557" s="34" t="str">
        <f aca="false">IF($B557="","",YEAR($B557)*100+MONTH($B557))</f>
        <v/>
      </c>
      <c r="W557" s="35" t="str">
        <f aca="false">IF($D557="","",IFERROR(INDEX(MAP_CLASS,MATCH($D557,MAP_TIPO,0)),"TIPO INVALIDO"))</f>
        <v/>
      </c>
      <c r="X557" s="35" t="str">
        <f aca="false">IF($K557="","",IFERROR(INDEX(CAT_NOME,MATCH($K557,CAT_ID,0)),"?"))</f>
        <v/>
      </c>
      <c r="Y557" s="35" t="str">
        <f aca="false">IF($L557="","",IFERROR(INDEX(SUB_NOME,MATCH($L557,SUB_ID,0)),"?"))</f>
        <v/>
      </c>
      <c r="Z557" s="35" t="str">
        <f aca="false">IF($G557="","",IF($G557="EXTERNO","(Externo)",IFERROR(INDEX(ENT_NOME,MATCH($H557,ENT_ID,0)),"?")))</f>
        <v/>
      </c>
      <c r="AA557" s="35" t="str">
        <f aca="false">IF($I557="","",IF($I557="EXTERNO","(Externo)",IFERROR(INDEX(ENT_NOME,MATCH($J557,ENT_ID,0)),"?")))</f>
        <v/>
      </c>
      <c r="AB557" s="36" t="n">
        <f aca="false">IF($B557="",0,IF(AND($I557="CONTA",$G557&lt;&gt;"CONTA"),$F557,0))</f>
        <v>0</v>
      </c>
      <c r="AC557" s="36" t="n">
        <f aca="false">IF($B557="",0,IF(AND($G557="CONTA",$I557&lt;&gt;"CONTA"),$F557,0))</f>
        <v>0</v>
      </c>
      <c r="AD557" s="36" t="n">
        <f aca="false">IF($W557="RECEITA",$F557,0)</f>
        <v>0</v>
      </c>
      <c r="AE557" s="36" t="n">
        <f aca="false">IF($W557="DESPESA",$F557,0)</f>
        <v>0</v>
      </c>
      <c r="AF557" s="36" t="n">
        <f aca="false">IF($W557="RECEITA_FINANCEIRA",$F557,0)</f>
        <v>0</v>
      </c>
      <c r="AG557" s="36" t="n">
        <f aca="false">IF($B557="",0,IF($I557="CONTA",$F557,0)-IF($G557="CONTA",$F557,0))</f>
        <v>0</v>
      </c>
      <c r="AH557" s="36" t="n">
        <f aca="false">IF($B557="",0,IF($G557="CARTAO",$F557,0)-IF($I557="CARTAO",$F557,0))</f>
        <v>0</v>
      </c>
      <c r="AI557" s="36" t="n">
        <f aca="false">IF($B557="",0,IF($I557="INVESTIMENTO",$F557,0)-IF($G557="INVESTIMENTO",$F557,0))</f>
        <v>0</v>
      </c>
      <c r="AJ557" s="35" t="str">
        <f aca="false">IF($B557="","",IF(NOT(ISNUMBER($F557)),"ERRO: valor nao numerico",IF($F557&lt;=0,"ERRO: valor deve ser maior que zero",IF(COUNTIF(MAP_TIPO,$D557)=0,"ERRO: tipo de operacao nao cadastrado",IF(COUNTIF(LST_STATUS,$E557)=0,"ERRO: status invalido",IF(AND($G557="EXTERNO",$I557="EXTERNO"),"ERRO: origem e destino externos",IF(AND($G557&lt;&gt;"EXTERNO",COUNTIFS(ENT_ID,$H557,ENT_TIPO,$G557)=0),"ERRO: origem inexistente",IF(AND($I557&lt;&gt;"EXTERNO",COUNTIFS(ENT_ID,$J557,ENT_TIPO,$I557)=0),"ERRO: destino inexistente",IF(AND($K557&lt;&gt;"",COUNTIF(CAT_ID,$K557)=0),"ERRO: categoria inexistente",IF(AND($L557&lt;&gt;"",COUNTIF(SUB_ID,$L557)=0),"ERRO: subcategoria inexistente",IF(AND($L557&lt;&gt;"",$K557&lt;&gt;"",IFERROR(INDEX(SUB_CATID,MATCH($L557,SUB_ID,0)),"")&lt;&gt;$K557),"ERRO: subcategoria nao pertence a categoria",IF(AND($O557&lt;&gt;"",COUNTIF(P_ID,$O557)=0),"ERRO: parcela inexistente",IF(AND($N557&lt;&gt;"",COUNTIF(CM_ID,$N557)=0),"ERRO: compromisso inexistente","OK")))))))))))))</f>
        <v/>
      </c>
      <c r="AK557" s="35" t="str">
        <f aca="false">IF($B557="","",IF(AND($N557="",$O557="",$P557="",$Q557="",$R557=""),"","VINCULADO: "&amp;TRIM(IF($N557&lt;&gt;"",$N557&amp;" ","")&amp;IF($O557&lt;&gt;"",$O557&amp;" ","")&amp;IF($P557&lt;&gt;"",$P557&amp;" ","")&amp;IF($Q557&lt;&gt;"",$Q557&amp;" ","")&amp;IF($R557&lt;&gt;"",$R557,""))))</f>
        <v/>
      </c>
    </row>
    <row r="558" customFormat="false" ht="15" hidden="false" customHeight="false" outlineLevel="0" collapsed="false">
      <c r="A558" s="30" t="str">
        <f aca="false">IF($B558="","","LAN-"&amp;TEXT(ROW()-4,"000000"))</f>
        <v/>
      </c>
      <c r="B558" s="31"/>
      <c r="C558" s="32"/>
      <c r="D558" s="32"/>
      <c r="E558" s="32"/>
      <c r="F558" s="33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4" t="str">
        <f aca="false">IF($B558="","",YEAR($B558))</f>
        <v/>
      </c>
      <c r="U558" s="34" t="str">
        <f aca="false">IF($B558="","",MONTH($B558))</f>
        <v/>
      </c>
      <c r="V558" s="34" t="str">
        <f aca="false">IF($B558="","",YEAR($B558)*100+MONTH($B558))</f>
        <v/>
      </c>
      <c r="W558" s="35" t="str">
        <f aca="false">IF($D558="","",IFERROR(INDEX(MAP_CLASS,MATCH($D558,MAP_TIPO,0)),"TIPO INVALIDO"))</f>
        <v/>
      </c>
      <c r="X558" s="35" t="str">
        <f aca="false">IF($K558="","",IFERROR(INDEX(CAT_NOME,MATCH($K558,CAT_ID,0)),"?"))</f>
        <v/>
      </c>
      <c r="Y558" s="35" t="str">
        <f aca="false">IF($L558="","",IFERROR(INDEX(SUB_NOME,MATCH($L558,SUB_ID,0)),"?"))</f>
        <v/>
      </c>
      <c r="Z558" s="35" t="str">
        <f aca="false">IF($G558="","",IF($G558="EXTERNO","(Externo)",IFERROR(INDEX(ENT_NOME,MATCH($H558,ENT_ID,0)),"?")))</f>
        <v/>
      </c>
      <c r="AA558" s="35" t="str">
        <f aca="false">IF($I558="","",IF($I558="EXTERNO","(Externo)",IFERROR(INDEX(ENT_NOME,MATCH($J558,ENT_ID,0)),"?")))</f>
        <v/>
      </c>
      <c r="AB558" s="36" t="n">
        <f aca="false">IF($B558="",0,IF(AND($I558="CONTA",$G558&lt;&gt;"CONTA"),$F558,0))</f>
        <v>0</v>
      </c>
      <c r="AC558" s="36" t="n">
        <f aca="false">IF($B558="",0,IF(AND($G558="CONTA",$I558&lt;&gt;"CONTA"),$F558,0))</f>
        <v>0</v>
      </c>
      <c r="AD558" s="36" t="n">
        <f aca="false">IF($W558="RECEITA",$F558,0)</f>
        <v>0</v>
      </c>
      <c r="AE558" s="36" t="n">
        <f aca="false">IF($W558="DESPESA",$F558,0)</f>
        <v>0</v>
      </c>
      <c r="AF558" s="36" t="n">
        <f aca="false">IF($W558="RECEITA_FINANCEIRA",$F558,0)</f>
        <v>0</v>
      </c>
      <c r="AG558" s="36" t="n">
        <f aca="false">IF($B558="",0,IF($I558="CONTA",$F558,0)-IF($G558="CONTA",$F558,0))</f>
        <v>0</v>
      </c>
      <c r="AH558" s="36" t="n">
        <f aca="false">IF($B558="",0,IF($G558="CARTAO",$F558,0)-IF($I558="CARTAO",$F558,0))</f>
        <v>0</v>
      </c>
      <c r="AI558" s="36" t="n">
        <f aca="false">IF($B558="",0,IF($I558="INVESTIMENTO",$F558,0)-IF($G558="INVESTIMENTO",$F558,0))</f>
        <v>0</v>
      </c>
      <c r="AJ558" s="35" t="str">
        <f aca="false">IF($B558="","",IF(NOT(ISNUMBER($F558)),"ERRO: valor nao numerico",IF($F558&lt;=0,"ERRO: valor deve ser maior que zero",IF(COUNTIF(MAP_TIPO,$D558)=0,"ERRO: tipo de operacao nao cadastrado",IF(COUNTIF(LST_STATUS,$E558)=0,"ERRO: status invalido",IF(AND($G558="EXTERNO",$I558="EXTERNO"),"ERRO: origem e destino externos",IF(AND($G558&lt;&gt;"EXTERNO",COUNTIFS(ENT_ID,$H558,ENT_TIPO,$G558)=0),"ERRO: origem inexistente",IF(AND($I558&lt;&gt;"EXTERNO",COUNTIFS(ENT_ID,$J558,ENT_TIPO,$I558)=0),"ERRO: destino inexistente",IF(AND($K558&lt;&gt;"",COUNTIF(CAT_ID,$K558)=0),"ERRO: categoria inexistente",IF(AND($L558&lt;&gt;"",COUNTIF(SUB_ID,$L558)=0),"ERRO: subcategoria inexistente",IF(AND($L558&lt;&gt;"",$K558&lt;&gt;"",IFERROR(INDEX(SUB_CATID,MATCH($L558,SUB_ID,0)),"")&lt;&gt;$K558),"ERRO: subcategoria nao pertence a categoria",IF(AND($O558&lt;&gt;"",COUNTIF(P_ID,$O558)=0),"ERRO: parcela inexistente",IF(AND($N558&lt;&gt;"",COUNTIF(CM_ID,$N558)=0),"ERRO: compromisso inexistente","OK")))))))))))))</f>
        <v/>
      </c>
      <c r="AK558" s="35" t="str">
        <f aca="false">IF($B558="","",IF(AND($N558="",$O558="",$P558="",$Q558="",$R558=""),"","VINCULADO: "&amp;TRIM(IF($N558&lt;&gt;"",$N558&amp;" ","")&amp;IF($O558&lt;&gt;"",$O558&amp;" ","")&amp;IF($P558&lt;&gt;"",$P558&amp;" ","")&amp;IF($Q558&lt;&gt;"",$Q558&amp;" ","")&amp;IF($R558&lt;&gt;"",$R558,""))))</f>
        <v/>
      </c>
    </row>
    <row r="559" customFormat="false" ht="15" hidden="false" customHeight="false" outlineLevel="0" collapsed="false">
      <c r="A559" s="30" t="str">
        <f aca="false">IF($B559="","","LAN-"&amp;TEXT(ROW()-4,"000000"))</f>
        <v/>
      </c>
      <c r="B559" s="31"/>
      <c r="C559" s="32"/>
      <c r="D559" s="32"/>
      <c r="E559" s="32"/>
      <c r="F559" s="33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4" t="str">
        <f aca="false">IF($B559="","",YEAR($B559))</f>
        <v/>
      </c>
      <c r="U559" s="34" t="str">
        <f aca="false">IF($B559="","",MONTH($B559))</f>
        <v/>
      </c>
      <c r="V559" s="34" t="str">
        <f aca="false">IF($B559="","",YEAR($B559)*100+MONTH($B559))</f>
        <v/>
      </c>
      <c r="W559" s="35" t="str">
        <f aca="false">IF($D559="","",IFERROR(INDEX(MAP_CLASS,MATCH($D559,MAP_TIPO,0)),"TIPO INVALIDO"))</f>
        <v/>
      </c>
      <c r="X559" s="35" t="str">
        <f aca="false">IF($K559="","",IFERROR(INDEX(CAT_NOME,MATCH($K559,CAT_ID,0)),"?"))</f>
        <v/>
      </c>
      <c r="Y559" s="35" t="str">
        <f aca="false">IF($L559="","",IFERROR(INDEX(SUB_NOME,MATCH($L559,SUB_ID,0)),"?"))</f>
        <v/>
      </c>
      <c r="Z559" s="35" t="str">
        <f aca="false">IF($G559="","",IF($G559="EXTERNO","(Externo)",IFERROR(INDEX(ENT_NOME,MATCH($H559,ENT_ID,0)),"?")))</f>
        <v/>
      </c>
      <c r="AA559" s="35" t="str">
        <f aca="false">IF($I559="","",IF($I559="EXTERNO","(Externo)",IFERROR(INDEX(ENT_NOME,MATCH($J559,ENT_ID,0)),"?")))</f>
        <v/>
      </c>
      <c r="AB559" s="36" t="n">
        <f aca="false">IF($B559="",0,IF(AND($I559="CONTA",$G559&lt;&gt;"CONTA"),$F559,0))</f>
        <v>0</v>
      </c>
      <c r="AC559" s="36" t="n">
        <f aca="false">IF($B559="",0,IF(AND($G559="CONTA",$I559&lt;&gt;"CONTA"),$F559,0))</f>
        <v>0</v>
      </c>
      <c r="AD559" s="36" t="n">
        <f aca="false">IF($W559="RECEITA",$F559,0)</f>
        <v>0</v>
      </c>
      <c r="AE559" s="36" t="n">
        <f aca="false">IF($W559="DESPESA",$F559,0)</f>
        <v>0</v>
      </c>
      <c r="AF559" s="36" t="n">
        <f aca="false">IF($W559="RECEITA_FINANCEIRA",$F559,0)</f>
        <v>0</v>
      </c>
      <c r="AG559" s="36" t="n">
        <f aca="false">IF($B559="",0,IF($I559="CONTA",$F559,0)-IF($G559="CONTA",$F559,0))</f>
        <v>0</v>
      </c>
      <c r="AH559" s="36" t="n">
        <f aca="false">IF($B559="",0,IF($G559="CARTAO",$F559,0)-IF($I559="CARTAO",$F559,0))</f>
        <v>0</v>
      </c>
      <c r="AI559" s="36" t="n">
        <f aca="false">IF($B559="",0,IF($I559="INVESTIMENTO",$F559,0)-IF($G559="INVESTIMENTO",$F559,0))</f>
        <v>0</v>
      </c>
      <c r="AJ559" s="35" t="str">
        <f aca="false">IF($B559="","",IF(NOT(ISNUMBER($F559)),"ERRO: valor nao numerico",IF($F559&lt;=0,"ERRO: valor deve ser maior que zero",IF(COUNTIF(MAP_TIPO,$D559)=0,"ERRO: tipo de operacao nao cadastrado",IF(COUNTIF(LST_STATUS,$E559)=0,"ERRO: status invalido",IF(AND($G559="EXTERNO",$I559="EXTERNO"),"ERRO: origem e destino externos",IF(AND($G559&lt;&gt;"EXTERNO",COUNTIFS(ENT_ID,$H559,ENT_TIPO,$G559)=0),"ERRO: origem inexistente",IF(AND($I559&lt;&gt;"EXTERNO",COUNTIFS(ENT_ID,$J559,ENT_TIPO,$I559)=0),"ERRO: destino inexistente",IF(AND($K559&lt;&gt;"",COUNTIF(CAT_ID,$K559)=0),"ERRO: categoria inexistente",IF(AND($L559&lt;&gt;"",COUNTIF(SUB_ID,$L559)=0),"ERRO: subcategoria inexistente",IF(AND($L559&lt;&gt;"",$K559&lt;&gt;"",IFERROR(INDEX(SUB_CATID,MATCH($L559,SUB_ID,0)),"")&lt;&gt;$K559),"ERRO: subcategoria nao pertence a categoria",IF(AND($O559&lt;&gt;"",COUNTIF(P_ID,$O559)=0),"ERRO: parcela inexistente",IF(AND($N559&lt;&gt;"",COUNTIF(CM_ID,$N559)=0),"ERRO: compromisso inexistente","OK")))))))))))))</f>
        <v/>
      </c>
      <c r="AK559" s="35" t="str">
        <f aca="false">IF($B559="","",IF(AND($N559="",$O559="",$P559="",$Q559="",$R559=""),"","VINCULADO: "&amp;TRIM(IF($N559&lt;&gt;"",$N559&amp;" ","")&amp;IF($O559&lt;&gt;"",$O559&amp;" ","")&amp;IF($P559&lt;&gt;"",$P559&amp;" ","")&amp;IF($Q559&lt;&gt;"",$Q559&amp;" ","")&amp;IF($R559&lt;&gt;"",$R559,""))))</f>
        <v/>
      </c>
    </row>
    <row r="560" customFormat="false" ht="15" hidden="false" customHeight="false" outlineLevel="0" collapsed="false">
      <c r="A560" s="30" t="str">
        <f aca="false">IF($B560="","","LAN-"&amp;TEXT(ROW()-4,"000000"))</f>
        <v/>
      </c>
      <c r="B560" s="31"/>
      <c r="C560" s="32"/>
      <c r="D560" s="32"/>
      <c r="E560" s="32"/>
      <c r="F560" s="33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4" t="str">
        <f aca="false">IF($B560="","",YEAR($B560))</f>
        <v/>
      </c>
      <c r="U560" s="34" t="str">
        <f aca="false">IF($B560="","",MONTH($B560))</f>
        <v/>
      </c>
      <c r="V560" s="34" t="str">
        <f aca="false">IF($B560="","",YEAR($B560)*100+MONTH($B560))</f>
        <v/>
      </c>
      <c r="W560" s="35" t="str">
        <f aca="false">IF($D560="","",IFERROR(INDEX(MAP_CLASS,MATCH($D560,MAP_TIPO,0)),"TIPO INVALIDO"))</f>
        <v/>
      </c>
      <c r="X560" s="35" t="str">
        <f aca="false">IF($K560="","",IFERROR(INDEX(CAT_NOME,MATCH($K560,CAT_ID,0)),"?"))</f>
        <v/>
      </c>
      <c r="Y560" s="35" t="str">
        <f aca="false">IF($L560="","",IFERROR(INDEX(SUB_NOME,MATCH($L560,SUB_ID,0)),"?"))</f>
        <v/>
      </c>
      <c r="Z560" s="35" t="str">
        <f aca="false">IF($G560="","",IF($G560="EXTERNO","(Externo)",IFERROR(INDEX(ENT_NOME,MATCH($H560,ENT_ID,0)),"?")))</f>
        <v/>
      </c>
      <c r="AA560" s="35" t="str">
        <f aca="false">IF($I560="","",IF($I560="EXTERNO","(Externo)",IFERROR(INDEX(ENT_NOME,MATCH($J560,ENT_ID,0)),"?")))</f>
        <v/>
      </c>
      <c r="AB560" s="36" t="n">
        <f aca="false">IF($B560="",0,IF(AND($I560="CONTA",$G560&lt;&gt;"CONTA"),$F560,0))</f>
        <v>0</v>
      </c>
      <c r="AC560" s="36" t="n">
        <f aca="false">IF($B560="",0,IF(AND($G560="CONTA",$I560&lt;&gt;"CONTA"),$F560,0))</f>
        <v>0</v>
      </c>
      <c r="AD560" s="36" t="n">
        <f aca="false">IF($W560="RECEITA",$F560,0)</f>
        <v>0</v>
      </c>
      <c r="AE560" s="36" t="n">
        <f aca="false">IF($W560="DESPESA",$F560,0)</f>
        <v>0</v>
      </c>
      <c r="AF560" s="36" t="n">
        <f aca="false">IF($W560="RECEITA_FINANCEIRA",$F560,0)</f>
        <v>0</v>
      </c>
      <c r="AG560" s="36" t="n">
        <f aca="false">IF($B560="",0,IF($I560="CONTA",$F560,0)-IF($G560="CONTA",$F560,0))</f>
        <v>0</v>
      </c>
      <c r="AH560" s="36" t="n">
        <f aca="false">IF($B560="",0,IF($G560="CARTAO",$F560,0)-IF($I560="CARTAO",$F560,0))</f>
        <v>0</v>
      </c>
      <c r="AI560" s="36" t="n">
        <f aca="false">IF($B560="",0,IF($I560="INVESTIMENTO",$F560,0)-IF($G560="INVESTIMENTO",$F560,0))</f>
        <v>0</v>
      </c>
      <c r="AJ560" s="35" t="str">
        <f aca="false">IF($B560="","",IF(NOT(ISNUMBER($F560)),"ERRO: valor nao numerico",IF($F560&lt;=0,"ERRO: valor deve ser maior que zero",IF(COUNTIF(MAP_TIPO,$D560)=0,"ERRO: tipo de operacao nao cadastrado",IF(COUNTIF(LST_STATUS,$E560)=0,"ERRO: status invalido",IF(AND($G560="EXTERNO",$I560="EXTERNO"),"ERRO: origem e destino externos",IF(AND($G560&lt;&gt;"EXTERNO",COUNTIFS(ENT_ID,$H560,ENT_TIPO,$G560)=0),"ERRO: origem inexistente",IF(AND($I560&lt;&gt;"EXTERNO",COUNTIFS(ENT_ID,$J560,ENT_TIPO,$I560)=0),"ERRO: destino inexistente",IF(AND($K560&lt;&gt;"",COUNTIF(CAT_ID,$K560)=0),"ERRO: categoria inexistente",IF(AND($L560&lt;&gt;"",COUNTIF(SUB_ID,$L560)=0),"ERRO: subcategoria inexistente",IF(AND($L560&lt;&gt;"",$K560&lt;&gt;"",IFERROR(INDEX(SUB_CATID,MATCH($L560,SUB_ID,0)),"")&lt;&gt;$K560),"ERRO: subcategoria nao pertence a categoria",IF(AND($O560&lt;&gt;"",COUNTIF(P_ID,$O560)=0),"ERRO: parcela inexistente",IF(AND($N560&lt;&gt;"",COUNTIF(CM_ID,$N560)=0),"ERRO: compromisso inexistente","OK")))))))))))))</f>
        <v/>
      </c>
      <c r="AK560" s="35" t="str">
        <f aca="false">IF($B560="","",IF(AND($N560="",$O560="",$P560="",$Q560="",$R560=""),"","VINCULADO: "&amp;TRIM(IF($N560&lt;&gt;"",$N560&amp;" ","")&amp;IF($O560&lt;&gt;"",$O560&amp;" ","")&amp;IF($P560&lt;&gt;"",$P560&amp;" ","")&amp;IF($Q560&lt;&gt;"",$Q560&amp;" ","")&amp;IF($R560&lt;&gt;"",$R560,""))))</f>
        <v/>
      </c>
    </row>
    <row r="561" customFormat="false" ht="15" hidden="false" customHeight="false" outlineLevel="0" collapsed="false">
      <c r="A561" s="30" t="str">
        <f aca="false">IF($B561="","","LAN-"&amp;TEXT(ROW()-4,"000000"))</f>
        <v/>
      </c>
      <c r="B561" s="31"/>
      <c r="C561" s="32"/>
      <c r="D561" s="32"/>
      <c r="E561" s="32"/>
      <c r="F561" s="33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4" t="str">
        <f aca="false">IF($B561="","",YEAR($B561))</f>
        <v/>
      </c>
      <c r="U561" s="34" t="str">
        <f aca="false">IF($B561="","",MONTH($B561))</f>
        <v/>
      </c>
      <c r="V561" s="34" t="str">
        <f aca="false">IF($B561="","",YEAR($B561)*100+MONTH($B561))</f>
        <v/>
      </c>
      <c r="W561" s="35" t="str">
        <f aca="false">IF($D561="","",IFERROR(INDEX(MAP_CLASS,MATCH($D561,MAP_TIPO,0)),"TIPO INVALIDO"))</f>
        <v/>
      </c>
      <c r="X561" s="35" t="str">
        <f aca="false">IF($K561="","",IFERROR(INDEX(CAT_NOME,MATCH($K561,CAT_ID,0)),"?"))</f>
        <v/>
      </c>
      <c r="Y561" s="35" t="str">
        <f aca="false">IF($L561="","",IFERROR(INDEX(SUB_NOME,MATCH($L561,SUB_ID,0)),"?"))</f>
        <v/>
      </c>
      <c r="Z561" s="35" t="str">
        <f aca="false">IF($G561="","",IF($G561="EXTERNO","(Externo)",IFERROR(INDEX(ENT_NOME,MATCH($H561,ENT_ID,0)),"?")))</f>
        <v/>
      </c>
      <c r="AA561" s="35" t="str">
        <f aca="false">IF($I561="","",IF($I561="EXTERNO","(Externo)",IFERROR(INDEX(ENT_NOME,MATCH($J561,ENT_ID,0)),"?")))</f>
        <v/>
      </c>
      <c r="AB561" s="36" t="n">
        <f aca="false">IF($B561="",0,IF(AND($I561="CONTA",$G561&lt;&gt;"CONTA"),$F561,0))</f>
        <v>0</v>
      </c>
      <c r="AC561" s="36" t="n">
        <f aca="false">IF($B561="",0,IF(AND($G561="CONTA",$I561&lt;&gt;"CONTA"),$F561,0))</f>
        <v>0</v>
      </c>
      <c r="AD561" s="36" t="n">
        <f aca="false">IF($W561="RECEITA",$F561,0)</f>
        <v>0</v>
      </c>
      <c r="AE561" s="36" t="n">
        <f aca="false">IF($W561="DESPESA",$F561,0)</f>
        <v>0</v>
      </c>
      <c r="AF561" s="36" t="n">
        <f aca="false">IF($W561="RECEITA_FINANCEIRA",$F561,0)</f>
        <v>0</v>
      </c>
      <c r="AG561" s="36" t="n">
        <f aca="false">IF($B561="",0,IF($I561="CONTA",$F561,0)-IF($G561="CONTA",$F561,0))</f>
        <v>0</v>
      </c>
      <c r="AH561" s="36" t="n">
        <f aca="false">IF($B561="",0,IF($G561="CARTAO",$F561,0)-IF($I561="CARTAO",$F561,0))</f>
        <v>0</v>
      </c>
      <c r="AI561" s="36" t="n">
        <f aca="false">IF($B561="",0,IF($I561="INVESTIMENTO",$F561,0)-IF($G561="INVESTIMENTO",$F561,0))</f>
        <v>0</v>
      </c>
      <c r="AJ561" s="35" t="str">
        <f aca="false">IF($B561="","",IF(NOT(ISNUMBER($F561)),"ERRO: valor nao numerico",IF($F561&lt;=0,"ERRO: valor deve ser maior que zero",IF(COUNTIF(MAP_TIPO,$D561)=0,"ERRO: tipo de operacao nao cadastrado",IF(COUNTIF(LST_STATUS,$E561)=0,"ERRO: status invalido",IF(AND($G561="EXTERNO",$I561="EXTERNO"),"ERRO: origem e destino externos",IF(AND($G561&lt;&gt;"EXTERNO",COUNTIFS(ENT_ID,$H561,ENT_TIPO,$G561)=0),"ERRO: origem inexistente",IF(AND($I561&lt;&gt;"EXTERNO",COUNTIFS(ENT_ID,$J561,ENT_TIPO,$I561)=0),"ERRO: destino inexistente",IF(AND($K561&lt;&gt;"",COUNTIF(CAT_ID,$K561)=0),"ERRO: categoria inexistente",IF(AND($L561&lt;&gt;"",COUNTIF(SUB_ID,$L561)=0),"ERRO: subcategoria inexistente",IF(AND($L561&lt;&gt;"",$K561&lt;&gt;"",IFERROR(INDEX(SUB_CATID,MATCH($L561,SUB_ID,0)),"")&lt;&gt;$K561),"ERRO: subcategoria nao pertence a categoria",IF(AND($O561&lt;&gt;"",COUNTIF(P_ID,$O561)=0),"ERRO: parcela inexistente",IF(AND($N561&lt;&gt;"",COUNTIF(CM_ID,$N561)=0),"ERRO: compromisso inexistente","OK")))))))))))))</f>
        <v/>
      </c>
      <c r="AK561" s="35" t="str">
        <f aca="false">IF($B561="","",IF(AND($N561="",$O561="",$P561="",$Q561="",$R561=""),"","VINCULADO: "&amp;TRIM(IF($N561&lt;&gt;"",$N561&amp;" ","")&amp;IF($O561&lt;&gt;"",$O561&amp;" ","")&amp;IF($P561&lt;&gt;"",$P561&amp;" ","")&amp;IF($Q561&lt;&gt;"",$Q561&amp;" ","")&amp;IF($R561&lt;&gt;"",$R561,""))))</f>
        <v/>
      </c>
    </row>
    <row r="562" customFormat="false" ht="15" hidden="false" customHeight="false" outlineLevel="0" collapsed="false">
      <c r="A562" s="30" t="str">
        <f aca="false">IF($B562="","","LAN-"&amp;TEXT(ROW()-4,"000000"))</f>
        <v/>
      </c>
      <c r="B562" s="31"/>
      <c r="C562" s="32"/>
      <c r="D562" s="32"/>
      <c r="E562" s="32"/>
      <c r="F562" s="33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4" t="str">
        <f aca="false">IF($B562="","",YEAR($B562))</f>
        <v/>
      </c>
      <c r="U562" s="34" t="str">
        <f aca="false">IF($B562="","",MONTH($B562))</f>
        <v/>
      </c>
      <c r="V562" s="34" t="str">
        <f aca="false">IF($B562="","",YEAR($B562)*100+MONTH($B562))</f>
        <v/>
      </c>
      <c r="W562" s="35" t="str">
        <f aca="false">IF($D562="","",IFERROR(INDEX(MAP_CLASS,MATCH($D562,MAP_TIPO,0)),"TIPO INVALIDO"))</f>
        <v/>
      </c>
      <c r="X562" s="35" t="str">
        <f aca="false">IF($K562="","",IFERROR(INDEX(CAT_NOME,MATCH($K562,CAT_ID,0)),"?"))</f>
        <v/>
      </c>
      <c r="Y562" s="35" t="str">
        <f aca="false">IF($L562="","",IFERROR(INDEX(SUB_NOME,MATCH($L562,SUB_ID,0)),"?"))</f>
        <v/>
      </c>
      <c r="Z562" s="35" t="str">
        <f aca="false">IF($G562="","",IF($G562="EXTERNO","(Externo)",IFERROR(INDEX(ENT_NOME,MATCH($H562,ENT_ID,0)),"?")))</f>
        <v/>
      </c>
      <c r="AA562" s="35" t="str">
        <f aca="false">IF($I562="","",IF($I562="EXTERNO","(Externo)",IFERROR(INDEX(ENT_NOME,MATCH($J562,ENT_ID,0)),"?")))</f>
        <v/>
      </c>
      <c r="AB562" s="36" t="n">
        <f aca="false">IF($B562="",0,IF(AND($I562="CONTA",$G562&lt;&gt;"CONTA"),$F562,0))</f>
        <v>0</v>
      </c>
      <c r="AC562" s="36" t="n">
        <f aca="false">IF($B562="",0,IF(AND($G562="CONTA",$I562&lt;&gt;"CONTA"),$F562,0))</f>
        <v>0</v>
      </c>
      <c r="AD562" s="36" t="n">
        <f aca="false">IF($W562="RECEITA",$F562,0)</f>
        <v>0</v>
      </c>
      <c r="AE562" s="36" t="n">
        <f aca="false">IF($W562="DESPESA",$F562,0)</f>
        <v>0</v>
      </c>
      <c r="AF562" s="36" t="n">
        <f aca="false">IF($W562="RECEITA_FINANCEIRA",$F562,0)</f>
        <v>0</v>
      </c>
      <c r="AG562" s="36" t="n">
        <f aca="false">IF($B562="",0,IF($I562="CONTA",$F562,0)-IF($G562="CONTA",$F562,0))</f>
        <v>0</v>
      </c>
      <c r="AH562" s="36" t="n">
        <f aca="false">IF($B562="",0,IF($G562="CARTAO",$F562,0)-IF($I562="CARTAO",$F562,0))</f>
        <v>0</v>
      </c>
      <c r="AI562" s="36" t="n">
        <f aca="false">IF($B562="",0,IF($I562="INVESTIMENTO",$F562,0)-IF($G562="INVESTIMENTO",$F562,0))</f>
        <v>0</v>
      </c>
      <c r="AJ562" s="35" t="str">
        <f aca="false">IF($B562="","",IF(NOT(ISNUMBER($F562)),"ERRO: valor nao numerico",IF($F562&lt;=0,"ERRO: valor deve ser maior que zero",IF(COUNTIF(MAP_TIPO,$D562)=0,"ERRO: tipo de operacao nao cadastrado",IF(COUNTIF(LST_STATUS,$E562)=0,"ERRO: status invalido",IF(AND($G562="EXTERNO",$I562="EXTERNO"),"ERRO: origem e destino externos",IF(AND($G562&lt;&gt;"EXTERNO",COUNTIFS(ENT_ID,$H562,ENT_TIPO,$G562)=0),"ERRO: origem inexistente",IF(AND($I562&lt;&gt;"EXTERNO",COUNTIFS(ENT_ID,$J562,ENT_TIPO,$I562)=0),"ERRO: destino inexistente",IF(AND($K562&lt;&gt;"",COUNTIF(CAT_ID,$K562)=0),"ERRO: categoria inexistente",IF(AND($L562&lt;&gt;"",COUNTIF(SUB_ID,$L562)=0),"ERRO: subcategoria inexistente",IF(AND($L562&lt;&gt;"",$K562&lt;&gt;"",IFERROR(INDEX(SUB_CATID,MATCH($L562,SUB_ID,0)),"")&lt;&gt;$K562),"ERRO: subcategoria nao pertence a categoria",IF(AND($O562&lt;&gt;"",COUNTIF(P_ID,$O562)=0),"ERRO: parcela inexistente",IF(AND($N562&lt;&gt;"",COUNTIF(CM_ID,$N562)=0),"ERRO: compromisso inexistente","OK")))))))))))))</f>
        <v/>
      </c>
      <c r="AK562" s="35" t="str">
        <f aca="false">IF($B562="","",IF(AND($N562="",$O562="",$P562="",$Q562="",$R562=""),"","VINCULADO: "&amp;TRIM(IF($N562&lt;&gt;"",$N562&amp;" ","")&amp;IF($O562&lt;&gt;"",$O562&amp;" ","")&amp;IF($P562&lt;&gt;"",$P562&amp;" ","")&amp;IF($Q562&lt;&gt;"",$Q562&amp;" ","")&amp;IF($R562&lt;&gt;"",$R562,""))))</f>
        <v/>
      </c>
    </row>
    <row r="563" customFormat="false" ht="15" hidden="false" customHeight="false" outlineLevel="0" collapsed="false">
      <c r="A563" s="30" t="str">
        <f aca="false">IF($B563="","","LAN-"&amp;TEXT(ROW()-4,"000000"))</f>
        <v/>
      </c>
      <c r="B563" s="31"/>
      <c r="C563" s="32"/>
      <c r="D563" s="32"/>
      <c r="E563" s="32"/>
      <c r="F563" s="33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4" t="str">
        <f aca="false">IF($B563="","",YEAR($B563))</f>
        <v/>
      </c>
      <c r="U563" s="34" t="str">
        <f aca="false">IF($B563="","",MONTH($B563))</f>
        <v/>
      </c>
      <c r="V563" s="34" t="str">
        <f aca="false">IF($B563="","",YEAR($B563)*100+MONTH($B563))</f>
        <v/>
      </c>
      <c r="W563" s="35" t="str">
        <f aca="false">IF($D563="","",IFERROR(INDEX(MAP_CLASS,MATCH($D563,MAP_TIPO,0)),"TIPO INVALIDO"))</f>
        <v/>
      </c>
      <c r="X563" s="35" t="str">
        <f aca="false">IF($K563="","",IFERROR(INDEX(CAT_NOME,MATCH($K563,CAT_ID,0)),"?"))</f>
        <v/>
      </c>
      <c r="Y563" s="35" t="str">
        <f aca="false">IF($L563="","",IFERROR(INDEX(SUB_NOME,MATCH($L563,SUB_ID,0)),"?"))</f>
        <v/>
      </c>
      <c r="Z563" s="35" t="str">
        <f aca="false">IF($G563="","",IF($G563="EXTERNO","(Externo)",IFERROR(INDEX(ENT_NOME,MATCH($H563,ENT_ID,0)),"?")))</f>
        <v/>
      </c>
      <c r="AA563" s="35" t="str">
        <f aca="false">IF($I563="","",IF($I563="EXTERNO","(Externo)",IFERROR(INDEX(ENT_NOME,MATCH($J563,ENT_ID,0)),"?")))</f>
        <v/>
      </c>
      <c r="AB563" s="36" t="n">
        <f aca="false">IF($B563="",0,IF(AND($I563="CONTA",$G563&lt;&gt;"CONTA"),$F563,0))</f>
        <v>0</v>
      </c>
      <c r="AC563" s="36" t="n">
        <f aca="false">IF($B563="",0,IF(AND($G563="CONTA",$I563&lt;&gt;"CONTA"),$F563,0))</f>
        <v>0</v>
      </c>
      <c r="AD563" s="36" t="n">
        <f aca="false">IF($W563="RECEITA",$F563,0)</f>
        <v>0</v>
      </c>
      <c r="AE563" s="36" t="n">
        <f aca="false">IF($W563="DESPESA",$F563,0)</f>
        <v>0</v>
      </c>
      <c r="AF563" s="36" t="n">
        <f aca="false">IF($W563="RECEITA_FINANCEIRA",$F563,0)</f>
        <v>0</v>
      </c>
      <c r="AG563" s="36" t="n">
        <f aca="false">IF($B563="",0,IF($I563="CONTA",$F563,0)-IF($G563="CONTA",$F563,0))</f>
        <v>0</v>
      </c>
      <c r="AH563" s="36" t="n">
        <f aca="false">IF($B563="",0,IF($G563="CARTAO",$F563,0)-IF($I563="CARTAO",$F563,0))</f>
        <v>0</v>
      </c>
      <c r="AI563" s="36" t="n">
        <f aca="false">IF($B563="",0,IF($I563="INVESTIMENTO",$F563,0)-IF($G563="INVESTIMENTO",$F563,0))</f>
        <v>0</v>
      </c>
      <c r="AJ563" s="35" t="str">
        <f aca="false">IF($B563="","",IF(NOT(ISNUMBER($F563)),"ERRO: valor nao numerico",IF($F563&lt;=0,"ERRO: valor deve ser maior que zero",IF(COUNTIF(MAP_TIPO,$D563)=0,"ERRO: tipo de operacao nao cadastrado",IF(COUNTIF(LST_STATUS,$E563)=0,"ERRO: status invalido",IF(AND($G563="EXTERNO",$I563="EXTERNO"),"ERRO: origem e destino externos",IF(AND($G563&lt;&gt;"EXTERNO",COUNTIFS(ENT_ID,$H563,ENT_TIPO,$G563)=0),"ERRO: origem inexistente",IF(AND($I563&lt;&gt;"EXTERNO",COUNTIFS(ENT_ID,$J563,ENT_TIPO,$I563)=0),"ERRO: destino inexistente",IF(AND($K563&lt;&gt;"",COUNTIF(CAT_ID,$K563)=0),"ERRO: categoria inexistente",IF(AND($L563&lt;&gt;"",COUNTIF(SUB_ID,$L563)=0),"ERRO: subcategoria inexistente",IF(AND($L563&lt;&gt;"",$K563&lt;&gt;"",IFERROR(INDEX(SUB_CATID,MATCH($L563,SUB_ID,0)),"")&lt;&gt;$K563),"ERRO: subcategoria nao pertence a categoria",IF(AND($O563&lt;&gt;"",COUNTIF(P_ID,$O563)=0),"ERRO: parcela inexistente",IF(AND($N563&lt;&gt;"",COUNTIF(CM_ID,$N563)=0),"ERRO: compromisso inexistente","OK")))))))))))))</f>
        <v/>
      </c>
      <c r="AK563" s="35" t="str">
        <f aca="false">IF($B563="","",IF(AND($N563="",$O563="",$P563="",$Q563="",$R563=""),"","VINCULADO: "&amp;TRIM(IF($N563&lt;&gt;"",$N563&amp;" ","")&amp;IF($O563&lt;&gt;"",$O563&amp;" ","")&amp;IF($P563&lt;&gt;"",$P563&amp;" ","")&amp;IF($Q563&lt;&gt;"",$Q563&amp;" ","")&amp;IF($R563&lt;&gt;"",$R563,""))))</f>
        <v/>
      </c>
    </row>
    <row r="564" customFormat="false" ht="15" hidden="false" customHeight="false" outlineLevel="0" collapsed="false">
      <c r="A564" s="30" t="str">
        <f aca="false">IF($B564="","","LAN-"&amp;TEXT(ROW()-4,"000000"))</f>
        <v/>
      </c>
      <c r="B564" s="31"/>
      <c r="C564" s="32"/>
      <c r="D564" s="32"/>
      <c r="E564" s="32"/>
      <c r="F564" s="33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4" t="str">
        <f aca="false">IF($B564="","",YEAR($B564))</f>
        <v/>
      </c>
      <c r="U564" s="34" t="str">
        <f aca="false">IF($B564="","",MONTH($B564))</f>
        <v/>
      </c>
      <c r="V564" s="34" t="str">
        <f aca="false">IF($B564="","",YEAR($B564)*100+MONTH($B564))</f>
        <v/>
      </c>
      <c r="W564" s="35" t="str">
        <f aca="false">IF($D564="","",IFERROR(INDEX(MAP_CLASS,MATCH($D564,MAP_TIPO,0)),"TIPO INVALIDO"))</f>
        <v/>
      </c>
      <c r="X564" s="35" t="str">
        <f aca="false">IF($K564="","",IFERROR(INDEX(CAT_NOME,MATCH($K564,CAT_ID,0)),"?"))</f>
        <v/>
      </c>
      <c r="Y564" s="35" t="str">
        <f aca="false">IF($L564="","",IFERROR(INDEX(SUB_NOME,MATCH($L564,SUB_ID,0)),"?"))</f>
        <v/>
      </c>
      <c r="Z564" s="35" t="str">
        <f aca="false">IF($G564="","",IF($G564="EXTERNO","(Externo)",IFERROR(INDEX(ENT_NOME,MATCH($H564,ENT_ID,0)),"?")))</f>
        <v/>
      </c>
      <c r="AA564" s="35" t="str">
        <f aca="false">IF($I564="","",IF($I564="EXTERNO","(Externo)",IFERROR(INDEX(ENT_NOME,MATCH($J564,ENT_ID,0)),"?")))</f>
        <v/>
      </c>
      <c r="AB564" s="36" t="n">
        <f aca="false">IF($B564="",0,IF(AND($I564="CONTA",$G564&lt;&gt;"CONTA"),$F564,0))</f>
        <v>0</v>
      </c>
      <c r="AC564" s="36" t="n">
        <f aca="false">IF($B564="",0,IF(AND($G564="CONTA",$I564&lt;&gt;"CONTA"),$F564,0))</f>
        <v>0</v>
      </c>
      <c r="AD564" s="36" t="n">
        <f aca="false">IF($W564="RECEITA",$F564,0)</f>
        <v>0</v>
      </c>
      <c r="AE564" s="36" t="n">
        <f aca="false">IF($W564="DESPESA",$F564,0)</f>
        <v>0</v>
      </c>
      <c r="AF564" s="36" t="n">
        <f aca="false">IF($W564="RECEITA_FINANCEIRA",$F564,0)</f>
        <v>0</v>
      </c>
      <c r="AG564" s="36" t="n">
        <f aca="false">IF($B564="",0,IF($I564="CONTA",$F564,0)-IF($G564="CONTA",$F564,0))</f>
        <v>0</v>
      </c>
      <c r="AH564" s="36" t="n">
        <f aca="false">IF($B564="",0,IF($G564="CARTAO",$F564,0)-IF($I564="CARTAO",$F564,0))</f>
        <v>0</v>
      </c>
      <c r="AI564" s="36" t="n">
        <f aca="false">IF($B564="",0,IF($I564="INVESTIMENTO",$F564,0)-IF($G564="INVESTIMENTO",$F564,0))</f>
        <v>0</v>
      </c>
      <c r="AJ564" s="35" t="str">
        <f aca="false">IF($B564="","",IF(NOT(ISNUMBER($F564)),"ERRO: valor nao numerico",IF($F564&lt;=0,"ERRO: valor deve ser maior que zero",IF(COUNTIF(MAP_TIPO,$D564)=0,"ERRO: tipo de operacao nao cadastrado",IF(COUNTIF(LST_STATUS,$E564)=0,"ERRO: status invalido",IF(AND($G564="EXTERNO",$I564="EXTERNO"),"ERRO: origem e destino externos",IF(AND($G564&lt;&gt;"EXTERNO",COUNTIFS(ENT_ID,$H564,ENT_TIPO,$G564)=0),"ERRO: origem inexistente",IF(AND($I564&lt;&gt;"EXTERNO",COUNTIFS(ENT_ID,$J564,ENT_TIPO,$I564)=0),"ERRO: destino inexistente",IF(AND($K564&lt;&gt;"",COUNTIF(CAT_ID,$K564)=0),"ERRO: categoria inexistente",IF(AND($L564&lt;&gt;"",COUNTIF(SUB_ID,$L564)=0),"ERRO: subcategoria inexistente",IF(AND($L564&lt;&gt;"",$K564&lt;&gt;"",IFERROR(INDEX(SUB_CATID,MATCH($L564,SUB_ID,0)),"")&lt;&gt;$K564),"ERRO: subcategoria nao pertence a categoria",IF(AND($O564&lt;&gt;"",COUNTIF(P_ID,$O564)=0),"ERRO: parcela inexistente",IF(AND($N564&lt;&gt;"",COUNTIF(CM_ID,$N564)=0),"ERRO: compromisso inexistente","OK")))))))))))))</f>
        <v/>
      </c>
      <c r="AK564" s="35" t="str">
        <f aca="false">IF($B564="","",IF(AND($N564="",$O564="",$P564="",$Q564="",$R564=""),"","VINCULADO: "&amp;TRIM(IF($N564&lt;&gt;"",$N564&amp;" ","")&amp;IF($O564&lt;&gt;"",$O564&amp;" ","")&amp;IF($P564&lt;&gt;"",$P564&amp;" ","")&amp;IF($Q564&lt;&gt;"",$Q564&amp;" ","")&amp;IF($R564&lt;&gt;"",$R564,""))))</f>
        <v/>
      </c>
    </row>
    <row r="565" customFormat="false" ht="15" hidden="false" customHeight="false" outlineLevel="0" collapsed="false">
      <c r="A565" s="30" t="str">
        <f aca="false">IF($B565="","","LAN-"&amp;TEXT(ROW()-4,"000000"))</f>
        <v/>
      </c>
      <c r="B565" s="31"/>
      <c r="C565" s="32"/>
      <c r="D565" s="32"/>
      <c r="E565" s="32"/>
      <c r="F565" s="33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4" t="str">
        <f aca="false">IF($B565="","",YEAR($B565))</f>
        <v/>
      </c>
      <c r="U565" s="34" t="str">
        <f aca="false">IF($B565="","",MONTH($B565))</f>
        <v/>
      </c>
      <c r="V565" s="34" t="str">
        <f aca="false">IF($B565="","",YEAR($B565)*100+MONTH($B565))</f>
        <v/>
      </c>
      <c r="W565" s="35" t="str">
        <f aca="false">IF($D565="","",IFERROR(INDEX(MAP_CLASS,MATCH($D565,MAP_TIPO,0)),"TIPO INVALIDO"))</f>
        <v/>
      </c>
      <c r="X565" s="35" t="str">
        <f aca="false">IF($K565="","",IFERROR(INDEX(CAT_NOME,MATCH($K565,CAT_ID,0)),"?"))</f>
        <v/>
      </c>
      <c r="Y565" s="35" t="str">
        <f aca="false">IF($L565="","",IFERROR(INDEX(SUB_NOME,MATCH($L565,SUB_ID,0)),"?"))</f>
        <v/>
      </c>
      <c r="Z565" s="35" t="str">
        <f aca="false">IF($G565="","",IF($G565="EXTERNO","(Externo)",IFERROR(INDEX(ENT_NOME,MATCH($H565,ENT_ID,0)),"?")))</f>
        <v/>
      </c>
      <c r="AA565" s="35" t="str">
        <f aca="false">IF($I565="","",IF($I565="EXTERNO","(Externo)",IFERROR(INDEX(ENT_NOME,MATCH($J565,ENT_ID,0)),"?")))</f>
        <v/>
      </c>
      <c r="AB565" s="36" t="n">
        <f aca="false">IF($B565="",0,IF(AND($I565="CONTA",$G565&lt;&gt;"CONTA"),$F565,0))</f>
        <v>0</v>
      </c>
      <c r="AC565" s="36" t="n">
        <f aca="false">IF($B565="",0,IF(AND($G565="CONTA",$I565&lt;&gt;"CONTA"),$F565,0))</f>
        <v>0</v>
      </c>
      <c r="AD565" s="36" t="n">
        <f aca="false">IF($W565="RECEITA",$F565,0)</f>
        <v>0</v>
      </c>
      <c r="AE565" s="36" t="n">
        <f aca="false">IF($W565="DESPESA",$F565,0)</f>
        <v>0</v>
      </c>
      <c r="AF565" s="36" t="n">
        <f aca="false">IF($W565="RECEITA_FINANCEIRA",$F565,0)</f>
        <v>0</v>
      </c>
      <c r="AG565" s="36" t="n">
        <f aca="false">IF($B565="",0,IF($I565="CONTA",$F565,0)-IF($G565="CONTA",$F565,0))</f>
        <v>0</v>
      </c>
      <c r="AH565" s="36" t="n">
        <f aca="false">IF($B565="",0,IF($G565="CARTAO",$F565,0)-IF($I565="CARTAO",$F565,0))</f>
        <v>0</v>
      </c>
      <c r="AI565" s="36" t="n">
        <f aca="false">IF($B565="",0,IF($I565="INVESTIMENTO",$F565,0)-IF($G565="INVESTIMENTO",$F565,0))</f>
        <v>0</v>
      </c>
      <c r="AJ565" s="35" t="str">
        <f aca="false">IF($B565="","",IF(NOT(ISNUMBER($F565)),"ERRO: valor nao numerico",IF($F565&lt;=0,"ERRO: valor deve ser maior que zero",IF(COUNTIF(MAP_TIPO,$D565)=0,"ERRO: tipo de operacao nao cadastrado",IF(COUNTIF(LST_STATUS,$E565)=0,"ERRO: status invalido",IF(AND($G565="EXTERNO",$I565="EXTERNO"),"ERRO: origem e destino externos",IF(AND($G565&lt;&gt;"EXTERNO",COUNTIFS(ENT_ID,$H565,ENT_TIPO,$G565)=0),"ERRO: origem inexistente",IF(AND($I565&lt;&gt;"EXTERNO",COUNTIFS(ENT_ID,$J565,ENT_TIPO,$I565)=0),"ERRO: destino inexistente",IF(AND($K565&lt;&gt;"",COUNTIF(CAT_ID,$K565)=0),"ERRO: categoria inexistente",IF(AND($L565&lt;&gt;"",COUNTIF(SUB_ID,$L565)=0),"ERRO: subcategoria inexistente",IF(AND($L565&lt;&gt;"",$K565&lt;&gt;"",IFERROR(INDEX(SUB_CATID,MATCH($L565,SUB_ID,0)),"")&lt;&gt;$K565),"ERRO: subcategoria nao pertence a categoria",IF(AND($O565&lt;&gt;"",COUNTIF(P_ID,$O565)=0),"ERRO: parcela inexistente",IF(AND($N565&lt;&gt;"",COUNTIF(CM_ID,$N565)=0),"ERRO: compromisso inexistente","OK")))))))))))))</f>
        <v/>
      </c>
      <c r="AK565" s="35" t="str">
        <f aca="false">IF($B565="","",IF(AND($N565="",$O565="",$P565="",$Q565="",$R565=""),"","VINCULADO: "&amp;TRIM(IF($N565&lt;&gt;"",$N565&amp;" ","")&amp;IF($O565&lt;&gt;"",$O565&amp;" ","")&amp;IF($P565&lt;&gt;"",$P565&amp;" ","")&amp;IF($Q565&lt;&gt;"",$Q565&amp;" ","")&amp;IF($R565&lt;&gt;"",$R565,""))))</f>
        <v/>
      </c>
    </row>
    <row r="566" customFormat="false" ht="15" hidden="false" customHeight="false" outlineLevel="0" collapsed="false">
      <c r="A566" s="30" t="str">
        <f aca="false">IF($B566="","","LAN-"&amp;TEXT(ROW()-4,"000000"))</f>
        <v/>
      </c>
      <c r="B566" s="31"/>
      <c r="C566" s="32"/>
      <c r="D566" s="32"/>
      <c r="E566" s="32"/>
      <c r="F566" s="33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4" t="str">
        <f aca="false">IF($B566="","",YEAR($B566))</f>
        <v/>
      </c>
      <c r="U566" s="34" t="str">
        <f aca="false">IF($B566="","",MONTH($B566))</f>
        <v/>
      </c>
      <c r="V566" s="34" t="str">
        <f aca="false">IF($B566="","",YEAR($B566)*100+MONTH($B566))</f>
        <v/>
      </c>
      <c r="W566" s="35" t="str">
        <f aca="false">IF($D566="","",IFERROR(INDEX(MAP_CLASS,MATCH($D566,MAP_TIPO,0)),"TIPO INVALIDO"))</f>
        <v/>
      </c>
      <c r="X566" s="35" t="str">
        <f aca="false">IF($K566="","",IFERROR(INDEX(CAT_NOME,MATCH($K566,CAT_ID,0)),"?"))</f>
        <v/>
      </c>
      <c r="Y566" s="35" t="str">
        <f aca="false">IF($L566="","",IFERROR(INDEX(SUB_NOME,MATCH($L566,SUB_ID,0)),"?"))</f>
        <v/>
      </c>
      <c r="Z566" s="35" t="str">
        <f aca="false">IF($G566="","",IF($G566="EXTERNO","(Externo)",IFERROR(INDEX(ENT_NOME,MATCH($H566,ENT_ID,0)),"?")))</f>
        <v/>
      </c>
      <c r="AA566" s="35" t="str">
        <f aca="false">IF($I566="","",IF($I566="EXTERNO","(Externo)",IFERROR(INDEX(ENT_NOME,MATCH($J566,ENT_ID,0)),"?")))</f>
        <v/>
      </c>
      <c r="AB566" s="36" t="n">
        <f aca="false">IF($B566="",0,IF(AND($I566="CONTA",$G566&lt;&gt;"CONTA"),$F566,0))</f>
        <v>0</v>
      </c>
      <c r="AC566" s="36" t="n">
        <f aca="false">IF($B566="",0,IF(AND($G566="CONTA",$I566&lt;&gt;"CONTA"),$F566,0))</f>
        <v>0</v>
      </c>
      <c r="AD566" s="36" t="n">
        <f aca="false">IF($W566="RECEITA",$F566,0)</f>
        <v>0</v>
      </c>
      <c r="AE566" s="36" t="n">
        <f aca="false">IF($W566="DESPESA",$F566,0)</f>
        <v>0</v>
      </c>
      <c r="AF566" s="36" t="n">
        <f aca="false">IF($W566="RECEITA_FINANCEIRA",$F566,0)</f>
        <v>0</v>
      </c>
      <c r="AG566" s="36" t="n">
        <f aca="false">IF($B566="",0,IF($I566="CONTA",$F566,0)-IF($G566="CONTA",$F566,0))</f>
        <v>0</v>
      </c>
      <c r="AH566" s="36" t="n">
        <f aca="false">IF($B566="",0,IF($G566="CARTAO",$F566,0)-IF($I566="CARTAO",$F566,0))</f>
        <v>0</v>
      </c>
      <c r="AI566" s="36" t="n">
        <f aca="false">IF($B566="",0,IF($I566="INVESTIMENTO",$F566,0)-IF($G566="INVESTIMENTO",$F566,0))</f>
        <v>0</v>
      </c>
      <c r="AJ566" s="35" t="str">
        <f aca="false">IF($B566="","",IF(NOT(ISNUMBER($F566)),"ERRO: valor nao numerico",IF($F566&lt;=0,"ERRO: valor deve ser maior que zero",IF(COUNTIF(MAP_TIPO,$D566)=0,"ERRO: tipo de operacao nao cadastrado",IF(COUNTIF(LST_STATUS,$E566)=0,"ERRO: status invalido",IF(AND($G566="EXTERNO",$I566="EXTERNO"),"ERRO: origem e destino externos",IF(AND($G566&lt;&gt;"EXTERNO",COUNTIFS(ENT_ID,$H566,ENT_TIPO,$G566)=0),"ERRO: origem inexistente",IF(AND($I566&lt;&gt;"EXTERNO",COUNTIFS(ENT_ID,$J566,ENT_TIPO,$I566)=0),"ERRO: destino inexistente",IF(AND($K566&lt;&gt;"",COUNTIF(CAT_ID,$K566)=0),"ERRO: categoria inexistente",IF(AND($L566&lt;&gt;"",COUNTIF(SUB_ID,$L566)=0),"ERRO: subcategoria inexistente",IF(AND($L566&lt;&gt;"",$K566&lt;&gt;"",IFERROR(INDEX(SUB_CATID,MATCH($L566,SUB_ID,0)),"")&lt;&gt;$K566),"ERRO: subcategoria nao pertence a categoria",IF(AND($O566&lt;&gt;"",COUNTIF(P_ID,$O566)=0),"ERRO: parcela inexistente",IF(AND($N566&lt;&gt;"",COUNTIF(CM_ID,$N566)=0),"ERRO: compromisso inexistente","OK")))))))))))))</f>
        <v/>
      </c>
      <c r="AK566" s="35" t="str">
        <f aca="false">IF($B566="","",IF(AND($N566="",$O566="",$P566="",$Q566="",$R566=""),"","VINCULADO: "&amp;TRIM(IF($N566&lt;&gt;"",$N566&amp;" ","")&amp;IF($O566&lt;&gt;"",$O566&amp;" ","")&amp;IF($P566&lt;&gt;"",$P566&amp;" ","")&amp;IF($Q566&lt;&gt;"",$Q566&amp;" ","")&amp;IF($R566&lt;&gt;"",$R566,""))))</f>
        <v/>
      </c>
    </row>
    <row r="567" customFormat="false" ht="15" hidden="false" customHeight="false" outlineLevel="0" collapsed="false">
      <c r="A567" s="30" t="str">
        <f aca="false">IF($B567="","","LAN-"&amp;TEXT(ROW()-4,"000000"))</f>
        <v/>
      </c>
      <c r="B567" s="31"/>
      <c r="C567" s="32"/>
      <c r="D567" s="32"/>
      <c r="E567" s="32"/>
      <c r="F567" s="33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4" t="str">
        <f aca="false">IF($B567="","",YEAR($B567))</f>
        <v/>
      </c>
      <c r="U567" s="34" t="str">
        <f aca="false">IF($B567="","",MONTH($B567))</f>
        <v/>
      </c>
      <c r="V567" s="34" t="str">
        <f aca="false">IF($B567="","",YEAR($B567)*100+MONTH($B567))</f>
        <v/>
      </c>
      <c r="W567" s="35" t="str">
        <f aca="false">IF($D567="","",IFERROR(INDEX(MAP_CLASS,MATCH($D567,MAP_TIPO,0)),"TIPO INVALIDO"))</f>
        <v/>
      </c>
      <c r="X567" s="35" t="str">
        <f aca="false">IF($K567="","",IFERROR(INDEX(CAT_NOME,MATCH($K567,CAT_ID,0)),"?"))</f>
        <v/>
      </c>
      <c r="Y567" s="35" t="str">
        <f aca="false">IF($L567="","",IFERROR(INDEX(SUB_NOME,MATCH($L567,SUB_ID,0)),"?"))</f>
        <v/>
      </c>
      <c r="Z567" s="35" t="str">
        <f aca="false">IF($G567="","",IF($G567="EXTERNO","(Externo)",IFERROR(INDEX(ENT_NOME,MATCH($H567,ENT_ID,0)),"?")))</f>
        <v/>
      </c>
      <c r="AA567" s="35" t="str">
        <f aca="false">IF($I567="","",IF($I567="EXTERNO","(Externo)",IFERROR(INDEX(ENT_NOME,MATCH($J567,ENT_ID,0)),"?")))</f>
        <v/>
      </c>
      <c r="AB567" s="36" t="n">
        <f aca="false">IF($B567="",0,IF(AND($I567="CONTA",$G567&lt;&gt;"CONTA"),$F567,0))</f>
        <v>0</v>
      </c>
      <c r="AC567" s="36" t="n">
        <f aca="false">IF($B567="",0,IF(AND($G567="CONTA",$I567&lt;&gt;"CONTA"),$F567,0))</f>
        <v>0</v>
      </c>
      <c r="AD567" s="36" t="n">
        <f aca="false">IF($W567="RECEITA",$F567,0)</f>
        <v>0</v>
      </c>
      <c r="AE567" s="36" t="n">
        <f aca="false">IF($W567="DESPESA",$F567,0)</f>
        <v>0</v>
      </c>
      <c r="AF567" s="36" t="n">
        <f aca="false">IF($W567="RECEITA_FINANCEIRA",$F567,0)</f>
        <v>0</v>
      </c>
      <c r="AG567" s="36" t="n">
        <f aca="false">IF($B567="",0,IF($I567="CONTA",$F567,0)-IF($G567="CONTA",$F567,0))</f>
        <v>0</v>
      </c>
      <c r="AH567" s="36" t="n">
        <f aca="false">IF($B567="",0,IF($G567="CARTAO",$F567,0)-IF($I567="CARTAO",$F567,0))</f>
        <v>0</v>
      </c>
      <c r="AI567" s="36" t="n">
        <f aca="false">IF($B567="",0,IF($I567="INVESTIMENTO",$F567,0)-IF($G567="INVESTIMENTO",$F567,0))</f>
        <v>0</v>
      </c>
      <c r="AJ567" s="35" t="str">
        <f aca="false">IF($B567="","",IF(NOT(ISNUMBER($F567)),"ERRO: valor nao numerico",IF($F567&lt;=0,"ERRO: valor deve ser maior que zero",IF(COUNTIF(MAP_TIPO,$D567)=0,"ERRO: tipo de operacao nao cadastrado",IF(COUNTIF(LST_STATUS,$E567)=0,"ERRO: status invalido",IF(AND($G567="EXTERNO",$I567="EXTERNO"),"ERRO: origem e destino externos",IF(AND($G567&lt;&gt;"EXTERNO",COUNTIFS(ENT_ID,$H567,ENT_TIPO,$G567)=0),"ERRO: origem inexistente",IF(AND($I567&lt;&gt;"EXTERNO",COUNTIFS(ENT_ID,$J567,ENT_TIPO,$I567)=0),"ERRO: destino inexistente",IF(AND($K567&lt;&gt;"",COUNTIF(CAT_ID,$K567)=0),"ERRO: categoria inexistente",IF(AND($L567&lt;&gt;"",COUNTIF(SUB_ID,$L567)=0),"ERRO: subcategoria inexistente",IF(AND($L567&lt;&gt;"",$K567&lt;&gt;"",IFERROR(INDEX(SUB_CATID,MATCH($L567,SUB_ID,0)),"")&lt;&gt;$K567),"ERRO: subcategoria nao pertence a categoria",IF(AND($O567&lt;&gt;"",COUNTIF(P_ID,$O567)=0),"ERRO: parcela inexistente",IF(AND($N567&lt;&gt;"",COUNTIF(CM_ID,$N567)=0),"ERRO: compromisso inexistente","OK")))))))))))))</f>
        <v/>
      </c>
      <c r="AK567" s="35" t="str">
        <f aca="false">IF($B567="","",IF(AND($N567="",$O567="",$P567="",$Q567="",$R567=""),"","VINCULADO: "&amp;TRIM(IF($N567&lt;&gt;"",$N567&amp;" ","")&amp;IF($O567&lt;&gt;"",$O567&amp;" ","")&amp;IF($P567&lt;&gt;"",$P567&amp;" ","")&amp;IF($Q567&lt;&gt;"",$Q567&amp;" ","")&amp;IF($R567&lt;&gt;"",$R567,""))))</f>
        <v/>
      </c>
    </row>
    <row r="568" customFormat="false" ht="15" hidden="false" customHeight="false" outlineLevel="0" collapsed="false">
      <c r="A568" s="30" t="str">
        <f aca="false">IF($B568="","","LAN-"&amp;TEXT(ROW()-4,"000000"))</f>
        <v/>
      </c>
      <c r="B568" s="31"/>
      <c r="C568" s="32"/>
      <c r="D568" s="32"/>
      <c r="E568" s="32"/>
      <c r="F568" s="33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4" t="str">
        <f aca="false">IF($B568="","",YEAR($B568))</f>
        <v/>
      </c>
      <c r="U568" s="34" t="str">
        <f aca="false">IF($B568="","",MONTH($B568))</f>
        <v/>
      </c>
      <c r="V568" s="34" t="str">
        <f aca="false">IF($B568="","",YEAR($B568)*100+MONTH($B568))</f>
        <v/>
      </c>
      <c r="W568" s="35" t="str">
        <f aca="false">IF($D568="","",IFERROR(INDEX(MAP_CLASS,MATCH($D568,MAP_TIPO,0)),"TIPO INVALIDO"))</f>
        <v/>
      </c>
      <c r="X568" s="35" t="str">
        <f aca="false">IF($K568="","",IFERROR(INDEX(CAT_NOME,MATCH($K568,CAT_ID,0)),"?"))</f>
        <v/>
      </c>
      <c r="Y568" s="35" t="str">
        <f aca="false">IF($L568="","",IFERROR(INDEX(SUB_NOME,MATCH($L568,SUB_ID,0)),"?"))</f>
        <v/>
      </c>
      <c r="Z568" s="35" t="str">
        <f aca="false">IF($G568="","",IF($G568="EXTERNO","(Externo)",IFERROR(INDEX(ENT_NOME,MATCH($H568,ENT_ID,0)),"?")))</f>
        <v/>
      </c>
      <c r="AA568" s="35" t="str">
        <f aca="false">IF($I568="","",IF($I568="EXTERNO","(Externo)",IFERROR(INDEX(ENT_NOME,MATCH($J568,ENT_ID,0)),"?")))</f>
        <v/>
      </c>
      <c r="AB568" s="36" t="n">
        <f aca="false">IF($B568="",0,IF(AND($I568="CONTA",$G568&lt;&gt;"CONTA"),$F568,0))</f>
        <v>0</v>
      </c>
      <c r="AC568" s="36" t="n">
        <f aca="false">IF($B568="",0,IF(AND($G568="CONTA",$I568&lt;&gt;"CONTA"),$F568,0))</f>
        <v>0</v>
      </c>
      <c r="AD568" s="36" t="n">
        <f aca="false">IF($W568="RECEITA",$F568,0)</f>
        <v>0</v>
      </c>
      <c r="AE568" s="36" t="n">
        <f aca="false">IF($W568="DESPESA",$F568,0)</f>
        <v>0</v>
      </c>
      <c r="AF568" s="36" t="n">
        <f aca="false">IF($W568="RECEITA_FINANCEIRA",$F568,0)</f>
        <v>0</v>
      </c>
      <c r="AG568" s="36" t="n">
        <f aca="false">IF($B568="",0,IF($I568="CONTA",$F568,0)-IF($G568="CONTA",$F568,0))</f>
        <v>0</v>
      </c>
      <c r="AH568" s="36" t="n">
        <f aca="false">IF($B568="",0,IF($G568="CARTAO",$F568,0)-IF($I568="CARTAO",$F568,0))</f>
        <v>0</v>
      </c>
      <c r="AI568" s="36" t="n">
        <f aca="false">IF($B568="",0,IF($I568="INVESTIMENTO",$F568,0)-IF($G568="INVESTIMENTO",$F568,0))</f>
        <v>0</v>
      </c>
      <c r="AJ568" s="35" t="str">
        <f aca="false">IF($B568="","",IF(NOT(ISNUMBER($F568)),"ERRO: valor nao numerico",IF($F568&lt;=0,"ERRO: valor deve ser maior que zero",IF(COUNTIF(MAP_TIPO,$D568)=0,"ERRO: tipo de operacao nao cadastrado",IF(COUNTIF(LST_STATUS,$E568)=0,"ERRO: status invalido",IF(AND($G568="EXTERNO",$I568="EXTERNO"),"ERRO: origem e destino externos",IF(AND($G568&lt;&gt;"EXTERNO",COUNTIFS(ENT_ID,$H568,ENT_TIPO,$G568)=0),"ERRO: origem inexistente",IF(AND($I568&lt;&gt;"EXTERNO",COUNTIFS(ENT_ID,$J568,ENT_TIPO,$I568)=0),"ERRO: destino inexistente",IF(AND($K568&lt;&gt;"",COUNTIF(CAT_ID,$K568)=0),"ERRO: categoria inexistente",IF(AND($L568&lt;&gt;"",COUNTIF(SUB_ID,$L568)=0),"ERRO: subcategoria inexistente",IF(AND($L568&lt;&gt;"",$K568&lt;&gt;"",IFERROR(INDEX(SUB_CATID,MATCH($L568,SUB_ID,0)),"")&lt;&gt;$K568),"ERRO: subcategoria nao pertence a categoria",IF(AND($O568&lt;&gt;"",COUNTIF(P_ID,$O568)=0),"ERRO: parcela inexistente",IF(AND($N568&lt;&gt;"",COUNTIF(CM_ID,$N568)=0),"ERRO: compromisso inexistente","OK")))))))))))))</f>
        <v/>
      </c>
      <c r="AK568" s="35" t="str">
        <f aca="false">IF($B568="","",IF(AND($N568="",$O568="",$P568="",$Q568="",$R568=""),"","VINCULADO: "&amp;TRIM(IF($N568&lt;&gt;"",$N568&amp;" ","")&amp;IF($O568&lt;&gt;"",$O568&amp;" ","")&amp;IF($P568&lt;&gt;"",$P568&amp;" ","")&amp;IF($Q568&lt;&gt;"",$Q568&amp;" ","")&amp;IF($R568&lt;&gt;"",$R568,""))))</f>
        <v/>
      </c>
    </row>
    <row r="569" customFormat="false" ht="15" hidden="false" customHeight="false" outlineLevel="0" collapsed="false">
      <c r="A569" s="30" t="str">
        <f aca="false">IF($B569="","","LAN-"&amp;TEXT(ROW()-4,"000000"))</f>
        <v/>
      </c>
      <c r="B569" s="31"/>
      <c r="C569" s="32"/>
      <c r="D569" s="32"/>
      <c r="E569" s="32"/>
      <c r="F569" s="33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4" t="str">
        <f aca="false">IF($B569="","",YEAR($B569))</f>
        <v/>
      </c>
      <c r="U569" s="34" t="str">
        <f aca="false">IF($B569="","",MONTH($B569))</f>
        <v/>
      </c>
      <c r="V569" s="34" t="str">
        <f aca="false">IF($B569="","",YEAR($B569)*100+MONTH($B569))</f>
        <v/>
      </c>
      <c r="W569" s="35" t="str">
        <f aca="false">IF($D569="","",IFERROR(INDEX(MAP_CLASS,MATCH($D569,MAP_TIPO,0)),"TIPO INVALIDO"))</f>
        <v/>
      </c>
      <c r="X569" s="35" t="str">
        <f aca="false">IF($K569="","",IFERROR(INDEX(CAT_NOME,MATCH($K569,CAT_ID,0)),"?"))</f>
        <v/>
      </c>
      <c r="Y569" s="35" t="str">
        <f aca="false">IF($L569="","",IFERROR(INDEX(SUB_NOME,MATCH($L569,SUB_ID,0)),"?"))</f>
        <v/>
      </c>
      <c r="Z569" s="35" t="str">
        <f aca="false">IF($G569="","",IF($G569="EXTERNO","(Externo)",IFERROR(INDEX(ENT_NOME,MATCH($H569,ENT_ID,0)),"?")))</f>
        <v/>
      </c>
      <c r="AA569" s="35" t="str">
        <f aca="false">IF($I569="","",IF($I569="EXTERNO","(Externo)",IFERROR(INDEX(ENT_NOME,MATCH($J569,ENT_ID,0)),"?")))</f>
        <v/>
      </c>
      <c r="AB569" s="36" t="n">
        <f aca="false">IF($B569="",0,IF(AND($I569="CONTA",$G569&lt;&gt;"CONTA"),$F569,0))</f>
        <v>0</v>
      </c>
      <c r="AC569" s="36" t="n">
        <f aca="false">IF($B569="",0,IF(AND($G569="CONTA",$I569&lt;&gt;"CONTA"),$F569,0))</f>
        <v>0</v>
      </c>
      <c r="AD569" s="36" t="n">
        <f aca="false">IF($W569="RECEITA",$F569,0)</f>
        <v>0</v>
      </c>
      <c r="AE569" s="36" t="n">
        <f aca="false">IF($W569="DESPESA",$F569,0)</f>
        <v>0</v>
      </c>
      <c r="AF569" s="36" t="n">
        <f aca="false">IF($W569="RECEITA_FINANCEIRA",$F569,0)</f>
        <v>0</v>
      </c>
      <c r="AG569" s="36" t="n">
        <f aca="false">IF($B569="",0,IF($I569="CONTA",$F569,0)-IF($G569="CONTA",$F569,0))</f>
        <v>0</v>
      </c>
      <c r="AH569" s="36" t="n">
        <f aca="false">IF($B569="",0,IF($G569="CARTAO",$F569,0)-IF($I569="CARTAO",$F569,0))</f>
        <v>0</v>
      </c>
      <c r="AI569" s="36" t="n">
        <f aca="false">IF($B569="",0,IF($I569="INVESTIMENTO",$F569,0)-IF($G569="INVESTIMENTO",$F569,0))</f>
        <v>0</v>
      </c>
      <c r="AJ569" s="35" t="str">
        <f aca="false">IF($B569="","",IF(NOT(ISNUMBER($F569)),"ERRO: valor nao numerico",IF($F569&lt;=0,"ERRO: valor deve ser maior que zero",IF(COUNTIF(MAP_TIPO,$D569)=0,"ERRO: tipo de operacao nao cadastrado",IF(COUNTIF(LST_STATUS,$E569)=0,"ERRO: status invalido",IF(AND($G569="EXTERNO",$I569="EXTERNO"),"ERRO: origem e destino externos",IF(AND($G569&lt;&gt;"EXTERNO",COUNTIFS(ENT_ID,$H569,ENT_TIPO,$G569)=0),"ERRO: origem inexistente",IF(AND($I569&lt;&gt;"EXTERNO",COUNTIFS(ENT_ID,$J569,ENT_TIPO,$I569)=0),"ERRO: destino inexistente",IF(AND($K569&lt;&gt;"",COUNTIF(CAT_ID,$K569)=0),"ERRO: categoria inexistente",IF(AND($L569&lt;&gt;"",COUNTIF(SUB_ID,$L569)=0),"ERRO: subcategoria inexistente",IF(AND($L569&lt;&gt;"",$K569&lt;&gt;"",IFERROR(INDEX(SUB_CATID,MATCH($L569,SUB_ID,0)),"")&lt;&gt;$K569),"ERRO: subcategoria nao pertence a categoria",IF(AND($O569&lt;&gt;"",COUNTIF(P_ID,$O569)=0),"ERRO: parcela inexistente",IF(AND($N569&lt;&gt;"",COUNTIF(CM_ID,$N569)=0),"ERRO: compromisso inexistente","OK")))))))))))))</f>
        <v/>
      </c>
      <c r="AK569" s="35" t="str">
        <f aca="false">IF($B569="","",IF(AND($N569="",$O569="",$P569="",$Q569="",$R569=""),"","VINCULADO: "&amp;TRIM(IF($N569&lt;&gt;"",$N569&amp;" ","")&amp;IF($O569&lt;&gt;"",$O569&amp;" ","")&amp;IF($P569&lt;&gt;"",$P569&amp;" ","")&amp;IF($Q569&lt;&gt;"",$Q569&amp;" ","")&amp;IF($R569&lt;&gt;"",$R569,""))))</f>
        <v/>
      </c>
    </row>
    <row r="570" customFormat="false" ht="15" hidden="false" customHeight="false" outlineLevel="0" collapsed="false">
      <c r="A570" s="30" t="str">
        <f aca="false">IF($B570="","","LAN-"&amp;TEXT(ROW()-4,"000000"))</f>
        <v/>
      </c>
      <c r="B570" s="31"/>
      <c r="C570" s="32"/>
      <c r="D570" s="32"/>
      <c r="E570" s="32"/>
      <c r="F570" s="33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4" t="str">
        <f aca="false">IF($B570="","",YEAR($B570))</f>
        <v/>
      </c>
      <c r="U570" s="34" t="str">
        <f aca="false">IF($B570="","",MONTH($B570))</f>
        <v/>
      </c>
      <c r="V570" s="34" t="str">
        <f aca="false">IF($B570="","",YEAR($B570)*100+MONTH($B570))</f>
        <v/>
      </c>
      <c r="W570" s="35" t="str">
        <f aca="false">IF($D570="","",IFERROR(INDEX(MAP_CLASS,MATCH($D570,MAP_TIPO,0)),"TIPO INVALIDO"))</f>
        <v/>
      </c>
      <c r="X570" s="35" t="str">
        <f aca="false">IF($K570="","",IFERROR(INDEX(CAT_NOME,MATCH($K570,CAT_ID,0)),"?"))</f>
        <v/>
      </c>
      <c r="Y570" s="35" t="str">
        <f aca="false">IF($L570="","",IFERROR(INDEX(SUB_NOME,MATCH($L570,SUB_ID,0)),"?"))</f>
        <v/>
      </c>
      <c r="Z570" s="35" t="str">
        <f aca="false">IF($G570="","",IF($G570="EXTERNO","(Externo)",IFERROR(INDEX(ENT_NOME,MATCH($H570,ENT_ID,0)),"?")))</f>
        <v/>
      </c>
      <c r="AA570" s="35" t="str">
        <f aca="false">IF($I570="","",IF($I570="EXTERNO","(Externo)",IFERROR(INDEX(ENT_NOME,MATCH($J570,ENT_ID,0)),"?")))</f>
        <v/>
      </c>
      <c r="AB570" s="36" t="n">
        <f aca="false">IF($B570="",0,IF(AND($I570="CONTA",$G570&lt;&gt;"CONTA"),$F570,0))</f>
        <v>0</v>
      </c>
      <c r="AC570" s="36" t="n">
        <f aca="false">IF($B570="",0,IF(AND($G570="CONTA",$I570&lt;&gt;"CONTA"),$F570,0))</f>
        <v>0</v>
      </c>
      <c r="AD570" s="36" t="n">
        <f aca="false">IF($W570="RECEITA",$F570,0)</f>
        <v>0</v>
      </c>
      <c r="AE570" s="36" t="n">
        <f aca="false">IF($W570="DESPESA",$F570,0)</f>
        <v>0</v>
      </c>
      <c r="AF570" s="36" t="n">
        <f aca="false">IF($W570="RECEITA_FINANCEIRA",$F570,0)</f>
        <v>0</v>
      </c>
      <c r="AG570" s="36" t="n">
        <f aca="false">IF($B570="",0,IF($I570="CONTA",$F570,0)-IF($G570="CONTA",$F570,0))</f>
        <v>0</v>
      </c>
      <c r="AH570" s="36" t="n">
        <f aca="false">IF($B570="",0,IF($G570="CARTAO",$F570,0)-IF($I570="CARTAO",$F570,0))</f>
        <v>0</v>
      </c>
      <c r="AI570" s="36" t="n">
        <f aca="false">IF($B570="",0,IF($I570="INVESTIMENTO",$F570,0)-IF($G570="INVESTIMENTO",$F570,0))</f>
        <v>0</v>
      </c>
      <c r="AJ570" s="35" t="str">
        <f aca="false">IF($B570="","",IF(NOT(ISNUMBER($F570)),"ERRO: valor nao numerico",IF($F570&lt;=0,"ERRO: valor deve ser maior que zero",IF(COUNTIF(MAP_TIPO,$D570)=0,"ERRO: tipo de operacao nao cadastrado",IF(COUNTIF(LST_STATUS,$E570)=0,"ERRO: status invalido",IF(AND($G570="EXTERNO",$I570="EXTERNO"),"ERRO: origem e destino externos",IF(AND($G570&lt;&gt;"EXTERNO",COUNTIFS(ENT_ID,$H570,ENT_TIPO,$G570)=0),"ERRO: origem inexistente",IF(AND($I570&lt;&gt;"EXTERNO",COUNTIFS(ENT_ID,$J570,ENT_TIPO,$I570)=0),"ERRO: destino inexistente",IF(AND($K570&lt;&gt;"",COUNTIF(CAT_ID,$K570)=0),"ERRO: categoria inexistente",IF(AND($L570&lt;&gt;"",COUNTIF(SUB_ID,$L570)=0),"ERRO: subcategoria inexistente",IF(AND($L570&lt;&gt;"",$K570&lt;&gt;"",IFERROR(INDEX(SUB_CATID,MATCH($L570,SUB_ID,0)),"")&lt;&gt;$K570),"ERRO: subcategoria nao pertence a categoria",IF(AND($O570&lt;&gt;"",COUNTIF(P_ID,$O570)=0),"ERRO: parcela inexistente",IF(AND($N570&lt;&gt;"",COUNTIF(CM_ID,$N570)=0),"ERRO: compromisso inexistente","OK")))))))))))))</f>
        <v/>
      </c>
      <c r="AK570" s="35" t="str">
        <f aca="false">IF($B570="","",IF(AND($N570="",$O570="",$P570="",$Q570="",$R570=""),"","VINCULADO: "&amp;TRIM(IF($N570&lt;&gt;"",$N570&amp;" ","")&amp;IF($O570&lt;&gt;"",$O570&amp;" ","")&amp;IF($P570&lt;&gt;"",$P570&amp;" ","")&amp;IF($Q570&lt;&gt;"",$Q570&amp;" ","")&amp;IF($R570&lt;&gt;"",$R570,""))))</f>
        <v/>
      </c>
    </row>
    <row r="571" customFormat="false" ht="15" hidden="false" customHeight="false" outlineLevel="0" collapsed="false">
      <c r="A571" s="30" t="str">
        <f aca="false">IF($B571="","","LAN-"&amp;TEXT(ROW()-4,"000000"))</f>
        <v/>
      </c>
      <c r="B571" s="31"/>
      <c r="C571" s="32"/>
      <c r="D571" s="32"/>
      <c r="E571" s="32"/>
      <c r="F571" s="33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4" t="str">
        <f aca="false">IF($B571="","",YEAR($B571))</f>
        <v/>
      </c>
      <c r="U571" s="34" t="str">
        <f aca="false">IF($B571="","",MONTH($B571))</f>
        <v/>
      </c>
      <c r="V571" s="34" t="str">
        <f aca="false">IF($B571="","",YEAR($B571)*100+MONTH($B571))</f>
        <v/>
      </c>
      <c r="W571" s="35" t="str">
        <f aca="false">IF($D571="","",IFERROR(INDEX(MAP_CLASS,MATCH($D571,MAP_TIPO,0)),"TIPO INVALIDO"))</f>
        <v/>
      </c>
      <c r="X571" s="35" t="str">
        <f aca="false">IF($K571="","",IFERROR(INDEX(CAT_NOME,MATCH($K571,CAT_ID,0)),"?"))</f>
        <v/>
      </c>
      <c r="Y571" s="35" t="str">
        <f aca="false">IF($L571="","",IFERROR(INDEX(SUB_NOME,MATCH($L571,SUB_ID,0)),"?"))</f>
        <v/>
      </c>
      <c r="Z571" s="35" t="str">
        <f aca="false">IF($G571="","",IF($G571="EXTERNO","(Externo)",IFERROR(INDEX(ENT_NOME,MATCH($H571,ENT_ID,0)),"?")))</f>
        <v/>
      </c>
      <c r="AA571" s="35" t="str">
        <f aca="false">IF($I571="","",IF($I571="EXTERNO","(Externo)",IFERROR(INDEX(ENT_NOME,MATCH($J571,ENT_ID,0)),"?")))</f>
        <v/>
      </c>
      <c r="AB571" s="36" t="n">
        <f aca="false">IF($B571="",0,IF(AND($I571="CONTA",$G571&lt;&gt;"CONTA"),$F571,0))</f>
        <v>0</v>
      </c>
      <c r="AC571" s="36" t="n">
        <f aca="false">IF($B571="",0,IF(AND($G571="CONTA",$I571&lt;&gt;"CONTA"),$F571,0))</f>
        <v>0</v>
      </c>
      <c r="AD571" s="36" t="n">
        <f aca="false">IF($W571="RECEITA",$F571,0)</f>
        <v>0</v>
      </c>
      <c r="AE571" s="36" t="n">
        <f aca="false">IF($W571="DESPESA",$F571,0)</f>
        <v>0</v>
      </c>
      <c r="AF571" s="36" t="n">
        <f aca="false">IF($W571="RECEITA_FINANCEIRA",$F571,0)</f>
        <v>0</v>
      </c>
      <c r="AG571" s="36" t="n">
        <f aca="false">IF($B571="",0,IF($I571="CONTA",$F571,0)-IF($G571="CONTA",$F571,0))</f>
        <v>0</v>
      </c>
      <c r="AH571" s="36" t="n">
        <f aca="false">IF($B571="",0,IF($G571="CARTAO",$F571,0)-IF($I571="CARTAO",$F571,0))</f>
        <v>0</v>
      </c>
      <c r="AI571" s="36" t="n">
        <f aca="false">IF($B571="",0,IF($I571="INVESTIMENTO",$F571,0)-IF($G571="INVESTIMENTO",$F571,0))</f>
        <v>0</v>
      </c>
      <c r="AJ571" s="35" t="str">
        <f aca="false">IF($B571="","",IF(NOT(ISNUMBER($F571)),"ERRO: valor nao numerico",IF($F571&lt;=0,"ERRO: valor deve ser maior que zero",IF(COUNTIF(MAP_TIPO,$D571)=0,"ERRO: tipo de operacao nao cadastrado",IF(COUNTIF(LST_STATUS,$E571)=0,"ERRO: status invalido",IF(AND($G571="EXTERNO",$I571="EXTERNO"),"ERRO: origem e destino externos",IF(AND($G571&lt;&gt;"EXTERNO",COUNTIFS(ENT_ID,$H571,ENT_TIPO,$G571)=0),"ERRO: origem inexistente",IF(AND($I571&lt;&gt;"EXTERNO",COUNTIFS(ENT_ID,$J571,ENT_TIPO,$I571)=0),"ERRO: destino inexistente",IF(AND($K571&lt;&gt;"",COUNTIF(CAT_ID,$K571)=0),"ERRO: categoria inexistente",IF(AND($L571&lt;&gt;"",COUNTIF(SUB_ID,$L571)=0),"ERRO: subcategoria inexistente",IF(AND($L571&lt;&gt;"",$K571&lt;&gt;"",IFERROR(INDEX(SUB_CATID,MATCH($L571,SUB_ID,0)),"")&lt;&gt;$K571),"ERRO: subcategoria nao pertence a categoria",IF(AND($O571&lt;&gt;"",COUNTIF(P_ID,$O571)=0),"ERRO: parcela inexistente",IF(AND($N571&lt;&gt;"",COUNTIF(CM_ID,$N571)=0),"ERRO: compromisso inexistente","OK")))))))))))))</f>
        <v/>
      </c>
      <c r="AK571" s="35" t="str">
        <f aca="false">IF($B571="","",IF(AND($N571="",$O571="",$P571="",$Q571="",$R571=""),"","VINCULADO: "&amp;TRIM(IF($N571&lt;&gt;"",$N571&amp;" ","")&amp;IF($O571&lt;&gt;"",$O571&amp;" ","")&amp;IF($P571&lt;&gt;"",$P571&amp;" ","")&amp;IF($Q571&lt;&gt;"",$Q571&amp;" ","")&amp;IF($R571&lt;&gt;"",$R571,""))))</f>
        <v/>
      </c>
    </row>
    <row r="572" customFormat="false" ht="15" hidden="false" customHeight="false" outlineLevel="0" collapsed="false">
      <c r="A572" s="30" t="str">
        <f aca="false">IF($B572="","","LAN-"&amp;TEXT(ROW()-4,"000000"))</f>
        <v/>
      </c>
      <c r="B572" s="31"/>
      <c r="C572" s="32"/>
      <c r="D572" s="32"/>
      <c r="E572" s="32"/>
      <c r="F572" s="33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4" t="str">
        <f aca="false">IF($B572="","",YEAR($B572))</f>
        <v/>
      </c>
      <c r="U572" s="34" t="str">
        <f aca="false">IF($B572="","",MONTH($B572))</f>
        <v/>
      </c>
      <c r="V572" s="34" t="str">
        <f aca="false">IF($B572="","",YEAR($B572)*100+MONTH($B572))</f>
        <v/>
      </c>
      <c r="W572" s="35" t="str">
        <f aca="false">IF($D572="","",IFERROR(INDEX(MAP_CLASS,MATCH($D572,MAP_TIPO,0)),"TIPO INVALIDO"))</f>
        <v/>
      </c>
      <c r="X572" s="35" t="str">
        <f aca="false">IF($K572="","",IFERROR(INDEX(CAT_NOME,MATCH($K572,CAT_ID,0)),"?"))</f>
        <v/>
      </c>
      <c r="Y572" s="35" t="str">
        <f aca="false">IF($L572="","",IFERROR(INDEX(SUB_NOME,MATCH($L572,SUB_ID,0)),"?"))</f>
        <v/>
      </c>
      <c r="Z572" s="35" t="str">
        <f aca="false">IF($G572="","",IF($G572="EXTERNO","(Externo)",IFERROR(INDEX(ENT_NOME,MATCH($H572,ENT_ID,0)),"?")))</f>
        <v/>
      </c>
      <c r="AA572" s="35" t="str">
        <f aca="false">IF($I572="","",IF($I572="EXTERNO","(Externo)",IFERROR(INDEX(ENT_NOME,MATCH($J572,ENT_ID,0)),"?")))</f>
        <v/>
      </c>
      <c r="AB572" s="36" t="n">
        <f aca="false">IF($B572="",0,IF(AND($I572="CONTA",$G572&lt;&gt;"CONTA"),$F572,0))</f>
        <v>0</v>
      </c>
      <c r="AC572" s="36" t="n">
        <f aca="false">IF($B572="",0,IF(AND($G572="CONTA",$I572&lt;&gt;"CONTA"),$F572,0))</f>
        <v>0</v>
      </c>
      <c r="AD572" s="36" t="n">
        <f aca="false">IF($W572="RECEITA",$F572,0)</f>
        <v>0</v>
      </c>
      <c r="AE572" s="36" t="n">
        <f aca="false">IF($W572="DESPESA",$F572,0)</f>
        <v>0</v>
      </c>
      <c r="AF572" s="36" t="n">
        <f aca="false">IF($W572="RECEITA_FINANCEIRA",$F572,0)</f>
        <v>0</v>
      </c>
      <c r="AG572" s="36" t="n">
        <f aca="false">IF($B572="",0,IF($I572="CONTA",$F572,0)-IF($G572="CONTA",$F572,0))</f>
        <v>0</v>
      </c>
      <c r="AH572" s="36" t="n">
        <f aca="false">IF($B572="",0,IF($G572="CARTAO",$F572,0)-IF($I572="CARTAO",$F572,0))</f>
        <v>0</v>
      </c>
      <c r="AI572" s="36" t="n">
        <f aca="false">IF($B572="",0,IF($I572="INVESTIMENTO",$F572,0)-IF($G572="INVESTIMENTO",$F572,0))</f>
        <v>0</v>
      </c>
      <c r="AJ572" s="35" t="str">
        <f aca="false">IF($B572="","",IF(NOT(ISNUMBER($F572)),"ERRO: valor nao numerico",IF($F572&lt;=0,"ERRO: valor deve ser maior que zero",IF(COUNTIF(MAP_TIPO,$D572)=0,"ERRO: tipo de operacao nao cadastrado",IF(COUNTIF(LST_STATUS,$E572)=0,"ERRO: status invalido",IF(AND($G572="EXTERNO",$I572="EXTERNO"),"ERRO: origem e destino externos",IF(AND($G572&lt;&gt;"EXTERNO",COUNTIFS(ENT_ID,$H572,ENT_TIPO,$G572)=0),"ERRO: origem inexistente",IF(AND($I572&lt;&gt;"EXTERNO",COUNTIFS(ENT_ID,$J572,ENT_TIPO,$I572)=0),"ERRO: destino inexistente",IF(AND($K572&lt;&gt;"",COUNTIF(CAT_ID,$K572)=0),"ERRO: categoria inexistente",IF(AND($L572&lt;&gt;"",COUNTIF(SUB_ID,$L572)=0),"ERRO: subcategoria inexistente",IF(AND($L572&lt;&gt;"",$K572&lt;&gt;"",IFERROR(INDEX(SUB_CATID,MATCH($L572,SUB_ID,0)),"")&lt;&gt;$K572),"ERRO: subcategoria nao pertence a categoria",IF(AND($O572&lt;&gt;"",COUNTIF(P_ID,$O572)=0),"ERRO: parcela inexistente",IF(AND($N572&lt;&gt;"",COUNTIF(CM_ID,$N572)=0),"ERRO: compromisso inexistente","OK")))))))))))))</f>
        <v/>
      </c>
      <c r="AK572" s="35" t="str">
        <f aca="false">IF($B572="","",IF(AND($N572="",$O572="",$P572="",$Q572="",$R572=""),"","VINCULADO: "&amp;TRIM(IF($N572&lt;&gt;"",$N572&amp;" ","")&amp;IF($O572&lt;&gt;"",$O572&amp;" ","")&amp;IF($P572&lt;&gt;"",$P572&amp;" ","")&amp;IF($Q572&lt;&gt;"",$Q572&amp;" ","")&amp;IF($R572&lt;&gt;"",$R572,""))))</f>
        <v/>
      </c>
    </row>
    <row r="573" customFormat="false" ht="15" hidden="false" customHeight="false" outlineLevel="0" collapsed="false">
      <c r="A573" s="30" t="str">
        <f aca="false">IF($B573="","","LAN-"&amp;TEXT(ROW()-4,"000000"))</f>
        <v/>
      </c>
      <c r="B573" s="31"/>
      <c r="C573" s="32"/>
      <c r="D573" s="32"/>
      <c r="E573" s="32"/>
      <c r="F573" s="33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4" t="str">
        <f aca="false">IF($B573="","",YEAR($B573))</f>
        <v/>
      </c>
      <c r="U573" s="34" t="str">
        <f aca="false">IF($B573="","",MONTH($B573))</f>
        <v/>
      </c>
      <c r="V573" s="34" t="str">
        <f aca="false">IF($B573="","",YEAR($B573)*100+MONTH($B573))</f>
        <v/>
      </c>
      <c r="W573" s="35" t="str">
        <f aca="false">IF($D573="","",IFERROR(INDEX(MAP_CLASS,MATCH($D573,MAP_TIPO,0)),"TIPO INVALIDO"))</f>
        <v/>
      </c>
      <c r="X573" s="35" t="str">
        <f aca="false">IF($K573="","",IFERROR(INDEX(CAT_NOME,MATCH($K573,CAT_ID,0)),"?"))</f>
        <v/>
      </c>
      <c r="Y573" s="35" t="str">
        <f aca="false">IF($L573="","",IFERROR(INDEX(SUB_NOME,MATCH($L573,SUB_ID,0)),"?"))</f>
        <v/>
      </c>
      <c r="Z573" s="35" t="str">
        <f aca="false">IF($G573="","",IF($G573="EXTERNO","(Externo)",IFERROR(INDEX(ENT_NOME,MATCH($H573,ENT_ID,0)),"?")))</f>
        <v/>
      </c>
      <c r="AA573" s="35" t="str">
        <f aca="false">IF($I573="","",IF($I573="EXTERNO","(Externo)",IFERROR(INDEX(ENT_NOME,MATCH($J573,ENT_ID,0)),"?")))</f>
        <v/>
      </c>
      <c r="AB573" s="36" t="n">
        <f aca="false">IF($B573="",0,IF(AND($I573="CONTA",$G573&lt;&gt;"CONTA"),$F573,0))</f>
        <v>0</v>
      </c>
      <c r="AC573" s="36" t="n">
        <f aca="false">IF($B573="",0,IF(AND($G573="CONTA",$I573&lt;&gt;"CONTA"),$F573,0))</f>
        <v>0</v>
      </c>
      <c r="AD573" s="36" t="n">
        <f aca="false">IF($W573="RECEITA",$F573,0)</f>
        <v>0</v>
      </c>
      <c r="AE573" s="36" t="n">
        <f aca="false">IF($W573="DESPESA",$F573,0)</f>
        <v>0</v>
      </c>
      <c r="AF573" s="36" t="n">
        <f aca="false">IF($W573="RECEITA_FINANCEIRA",$F573,0)</f>
        <v>0</v>
      </c>
      <c r="AG573" s="36" t="n">
        <f aca="false">IF($B573="",0,IF($I573="CONTA",$F573,0)-IF($G573="CONTA",$F573,0))</f>
        <v>0</v>
      </c>
      <c r="AH573" s="36" t="n">
        <f aca="false">IF($B573="",0,IF($G573="CARTAO",$F573,0)-IF($I573="CARTAO",$F573,0))</f>
        <v>0</v>
      </c>
      <c r="AI573" s="36" t="n">
        <f aca="false">IF($B573="",0,IF($I573="INVESTIMENTO",$F573,0)-IF($G573="INVESTIMENTO",$F573,0))</f>
        <v>0</v>
      </c>
      <c r="AJ573" s="35" t="str">
        <f aca="false">IF($B573="","",IF(NOT(ISNUMBER($F573)),"ERRO: valor nao numerico",IF($F573&lt;=0,"ERRO: valor deve ser maior que zero",IF(COUNTIF(MAP_TIPO,$D573)=0,"ERRO: tipo de operacao nao cadastrado",IF(COUNTIF(LST_STATUS,$E573)=0,"ERRO: status invalido",IF(AND($G573="EXTERNO",$I573="EXTERNO"),"ERRO: origem e destino externos",IF(AND($G573&lt;&gt;"EXTERNO",COUNTIFS(ENT_ID,$H573,ENT_TIPO,$G573)=0),"ERRO: origem inexistente",IF(AND($I573&lt;&gt;"EXTERNO",COUNTIFS(ENT_ID,$J573,ENT_TIPO,$I573)=0),"ERRO: destino inexistente",IF(AND($K573&lt;&gt;"",COUNTIF(CAT_ID,$K573)=0),"ERRO: categoria inexistente",IF(AND($L573&lt;&gt;"",COUNTIF(SUB_ID,$L573)=0),"ERRO: subcategoria inexistente",IF(AND($L573&lt;&gt;"",$K573&lt;&gt;"",IFERROR(INDEX(SUB_CATID,MATCH($L573,SUB_ID,0)),"")&lt;&gt;$K573),"ERRO: subcategoria nao pertence a categoria",IF(AND($O573&lt;&gt;"",COUNTIF(P_ID,$O573)=0),"ERRO: parcela inexistente",IF(AND($N573&lt;&gt;"",COUNTIF(CM_ID,$N573)=0),"ERRO: compromisso inexistente","OK")))))))))))))</f>
        <v/>
      </c>
      <c r="AK573" s="35" t="str">
        <f aca="false">IF($B573="","",IF(AND($N573="",$O573="",$P573="",$Q573="",$R573=""),"","VINCULADO: "&amp;TRIM(IF($N573&lt;&gt;"",$N573&amp;" ","")&amp;IF($O573&lt;&gt;"",$O573&amp;" ","")&amp;IF($P573&lt;&gt;"",$P573&amp;" ","")&amp;IF($Q573&lt;&gt;"",$Q573&amp;" ","")&amp;IF($R573&lt;&gt;"",$R573,""))))</f>
        <v/>
      </c>
    </row>
    <row r="574" customFormat="false" ht="15" hidden="false" customHeight="false" outlineLevel="0" collapsed="false">
      <c r="A574" s="30" t="str">
        <f aca="false">IF($B574="","","LAN-"&amp;TEXT(ROW()-4,"000000"))</f>
        <v/>
      </c>
      <c r="B574" s="31"/>
      <c r="C574" s="32"/>
      <c r="D574" s="32"/>
      <c r="E574" s="32"/>
      <c r="F574" s="33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4" t="str">
        <f aca="false">IF($B574="","",YEAR($B574))</f>
        <v/>
      </c>
      <c r="U574" s="34" t="str">
        <f aca="false">IF($B574="","",MONTH($B574))</f>
        <v/>
      </c>
      <c r="V574" s="34" t="str">
        <f aca="false">IF($B574="","",YEAR($B574)*100+MONTH($B574))</f>
        <v/>
      </c>
      <c r="W574" s="35" t="str">
        <f aca="false">IF($D574="","",IFERROR(INDEX(MAP_CLASS,MATCH($D574,MAP_TIPO,0)),"TIPO INVALIDO"))</f>
        <v/>
      </c>
      <c r="X574" s="35" t="str">
        <f aca="false">IF($K574="","",IFERROR(INDEX(CAT_NOME,MATCH($K574,CAT_ID,0)),"?"))</f>
        <v/>
      </c>
      <c r="Y574" s="35" t="str">
        <f aca="false">IF($L574="","",IFERROR(INDEX(SUB_NOME,MATCH($L574,SUB_ID,0)),"?"))</f>
        <v/>
      </c>
      <c r="Z574" s="35" t="str">
        <f aca="false">IF($G574="","",IF($G574="EXTERNO","(Externo)",IFERROR(INDEX(ENT_NOME,MATCH($H574,ENT_ID,0)),"?")))</f>
        <v/>
      </c>
      <c r="AA574" s="35" t="str">
        <f aca="false">IF($I574="","",IF($I574="EXTERNO","(Externo)",IFERROR(INDEX(ENT_NOME,MATCH($J574,ENT_ID,0)),"?")))</f>
        <v/>
      </c>
      <c r="AB574" s="36" t="n">
        <f aca="false">IF($B574="",0,IF(AND($I574="CONTA",$G574&lt;&gt;"CONTA"),$F574,0))</f>
        <v>0</v>
      </c>
      <c r="AC574" s="36" t="n">
        <f aca="false">IF($B574="",0,IF(AND($G574="CONTA",$I574&lt;&gt;"CONTA"),$F574,0))</f>
        <v>0</v>
      </c>
      <c r="AD574" s="36" t="n">
        <f aca="false">IF($W574="RECEITA",$F574,0)</f>
        <v>0</v>
      </c>
      <c r="AE574" s="36" t="n">
        <f aca="false">IF($W574="DESPESA",$F574,0)</f>
        <v>0</v>
      </c>
      <c r="AF574" s="36" t="n">
        <f aca="false">IF($W574="RECEITA_FINANCEIRA",$F574,0)</f>
        <v>0</v>
      </c>
      <c r="AG574" s="36" t="n">
        <f aca="false">IF($B574="",0,IF($I574="CONTA",$F574,0)-IF($G574="CONTA",$F574,0))</f>
        <v>0</v>
      </c>
      <c r="AH574" s="36" t="n">
        <f aca="false">IF($B574="",0,IF($G574="CARTAO",$F574,0)-IF($I574="CARTAO",$F574,0))</f>
        <v>0</v>
      </c>
      <c r="AI574" s="36" t="n">
        <f aca="false">IF($B574="",0,IF($I574="INVESTIMENTO",$F574,0)-IF($G574="INVESTIMENTO",$F574,0))</f>
        <v>0</v>
      </c>
      <c r="AJ574" s="35" t="str">
        <f aca="false">IF($B574="","",IF(NOT(ISNUMBER($F574)),"ERRO: valor nao numerico",IF($F574&lt;=0,"ERRO: valor deve ser maior que zero",IF(COUNTIF(MAP_TIPO,$D574)=0,"ERRO: tipo de operacao nao cadastrado",IF(COUNTIF(LST_STATUS,$E574)=0,"ERRO: status invalido",IF(AND($G574="EXTERNO",$I574="EXTERNO"),"ERRO: origem e destino externos",IF(AND($G574&lt;&gt;"EXTERNO",COUNTIFS(ENT_ID,$H574,ENT_TIPO,$G574)=0),"ERRO: origem inexistente",IF(AND($I574&lt;&gt;"EXTERNO",COUNTIFS(ENT_ID,$J574,ENT_TIPO,$I574)=0),"ERRO: destino inexistente",IF(AND($K574&lt;&gt;"",COUNTIF(CAT_ID,$K574)=0),"ERRO: categoria inexistente",IF(AND($L574&lt;&gt;"",COUNTIF(SUB_ID,$L574)=0),"ERRO: subcategoria inexistente",IF(AND($L574&lt;&gt;"",$K574&lt;&gt;"",IFERROR(INDEX(SUB_CATID,MATCH($L574,SUB_ID,0)),"")&lt;&gt;$K574),"ERRO: subcategoria nao pertence a categoria",IF(AND($O574&lt;&gt;"",COUNTIF(P_ID,$O574)=0),"ERRO: parcela inexistente",IF(AND($N574&lt;&gt;"",COUNTIF(CM_ID,$N574)=0),"ERRO: compromisso inexistente","OK")))))))))))))</f>
        <v/>
      </c>
      <c r="AK574" s="35" t="str">
        <f aca="false">IF($B574="","",IF(AND($N574="",$O574="",$P574="",$Q574="",$R574=""),"","VINCULADO: "&amp;TRIM(IF($N574&lt;&gt;"",$N574&amp;" ","")&amp;IF($O574&lt;&gt;"",$O574&amp;" ","")&amp;IF($P574&lt;&gt;"",$P574&amp;" ","")&amp;IF($Q574&lt;&gt;"",$Q574&amp;" ","")&amp;IF($R574&lt;&gt;"",$R574,""))))</f>
        <v/>
      </c>
    </row>
    <row r="575" customFormat="false" ht="15" hidden="false" customHeight="false" outlineLevel="0" collapsed="false">
      <c r="A575" s="30" t="str">
        <f aca="false">IF($B575="","","LAN-"&amp;TEXT(ROW()-4,"000000"))</f>
        <v/>
      </c>
      <c r="B575" s="31"/>
      <c r="C575" s="32"/>
      <c r="D575" s="32"/>
      <c r="E575" s="32"/>
      <c r="F575" s="33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4" t="str">
        <f aca="false">IF($B575="","",YEAR($B575))</f>
        <v/>
      </c>
      <c r="U575" s="34" t="str">
        <f aca="false">IF($B575="","",MONTH($B575))</f>
        <v/>
      </c>
      <c r="V575" s="34" t="str">
        <f aca="false">IF($B575="","",YEAR($B575)*100+MONTH($B575))</f>
        <v/>
      </c>
      <c r="W575" s="35" t="str">
        <f aca="false">IF($D575="","",IFERROR(INDEX(MAP_CLASS,MATCH($D575,MAP_TIPO,0)),"TIPO INVALIDO"))</f>
        <v/>
      </c>
      <c r="X575" s="35" t="str">
        <f aca="false">IF($K575="","",IFERROR(INDEX(CAT_NOME,MATCH($K575,CAT_ID,0)),"?"))</f>
        <v/>
      </c>
      <c r="Y575" s="35" t="str">
        <f aca="false">IF($L575="","",IFERROR(INDEX(SUB_NOME,MATCH($L575,SUB_ID,0)),"?"))</f>
        <v/>
      </c>
      <c r="Z575" s="35" t="str">
        <f aca="false">IF($G575="","",IF($G575="EXTERNO","(Externo)",IFERROR(INDEX(ENT_NOME,MATCH($H575,ENT_ID,0)),"?")))</f>
        <v/>
      </c>
      <c r="AA575" s="35" t="str">
        <f aca="false">IF($I575="","",IF($I575="EXTERNO","(Externo)",IFERROR(INDEX(ENT_NOME,MATCH($J575,ENT_ID,0)),"?")))</f>
        <v/>
      </c>
      <c r="AB575" s="36" t="n">
        <f aca="false">IF($B575="",0,IF(AND($I575="CONTA",$G575&lt;&gt;"CONTA"),$F575,0))</f>
        <v>0</v>
      </c>
      <c r="AC575" s="36" t="n">
        <f aca="false">IF($B575="",0,IF(AND($G575="CONTA",$I575&lt;&gt;"CONTA"),$F575,0))</f>
        <v>0</v>
      </c>
      <c r="AD575" s="36" t="n">
        <f aca="false">IF($W575="RECEITA",$F575,0)</f>
        <v>0</v>
      </c>
      <c r="AE575" s="36" t="n">
        <f aca="false">IF($W575="DESPESA",$F575,0)</f>
        <v>0</v>
      </c>
      <c r="AF575" s="36" t="n">
        <f aca="false">IF($W575="RECEITA_FINANCEIRA",$F575,0)</f>
        <v>0</v>
      </c>
      <c r="AG575" s="36" t="n">
        <f aca="false">IF($B575="",0,IF($I575="CONTA",$F575,0)-IF($G575="CONTA",$F575,0))</f>
        <v>0</v>
      </c>
      <c r="AH575" s="36" t="n">
        <f aca="false">IF($B575="",0,IF($G575="CARTAO",$F575,0)-IF($I575="CARTAO",$F575,0))</f>
        <v>0</v>
      </c>
      <c r="AI575" s="36" t="n">
        <f aca="false">IF($B575="",0,IF($I575="INVESTIMENTO",$F575,0)-IF($G575="INVESTIMENTO",$F575,0))</f>
        <v>0</v>
      </c>
      <c r="AJ575" s="35" t="str">
        <f aca="false">IF($B575="","",IF(NOT(ISNUMBER($F575)),"ERRO: valor nao numerico",IF($F575&lt;=0,"ERRO: valor deve ser maior que zero",IF(COUNTIF(MAP_TIPO,$D575)=0,"ERRO: tipo de operacao nao cadastrado",IF(COUNTIF(LST_STATUS,$E575)=0,"ERRO: status invalido",IF(AND($G575="EXTERNO",$I575="EXTERNO"),"ERRO: origem e destino externos",IF(AND($G575&lt;&gt;"EXTERNO",COUNTIFS(ENT_ID,$H575,ENT_TIPO,$G575)=0),"ERRO: origem inexistente",IF(AND($I575&lt;&gt;"EXTERNO",COUNTIFS(ENT_ID,$J575,ENT_TIPO,$I575)=0),"ERRO: destino inexistente",IF(AND($K575&lt;&gt;"",COUNTIF(CAT_ID,$K575)=0),"ERRO: categoria inexistente",IF(AND($L575&lt;&gt;"",COUNTIF(SUB_ID,$L575)=0),"ERRO: subcategoria inexistente",IF(AND($L575&lt;&gt;"",$K575&lt;&gt;"",IFERROR(INDEX(SUB_CATID,MATCH($L575,SUB_ID,0)),"")&lt;&gt;$K575),"ERRO: subcategoria nao pertence a categoria",IF(AND($O575&lt;&gt;"",COUNTIF(P_ID,$O575)=0),"ERRO: parcela inexistente",IF(AND($N575&lt;&gt;"",COUNTIF(CM_ID,$N575)=0),"ERRO: compromisso inexistente","OK")))))))))))))</f>
        <v/>
      </c>
      <c r="AK575" s="35" t="str">
        <f aca="false">IF($B575="","",IF(AND($N575="",$O575="",$P575="",$Q575="",$R575=""),"","VINCULADO: "&amp;TRIM(IF($N575&lt;&gt;"",$N575&amp;" ","")&amp;IF($O575&lt;&gt;"",$O575&amp;" ","")&amp;IF($P575&lt;&gt;"",$P575&amp;" ","")&amp;IF($Q575&lt;&gt;"",$Q575&amp;" ","")&amp;IF($R575&lt;&gt;"",$R575,""))))</f>
        <v/>
      </c>
    </row>
    <row r="576" customFormat="false" ht="15" hidden="false" customHeight="false" outlineLevel="0" collapsed="false">
      <c r="A576" s="30" t="str">
        <f aca="false">IF($B576="","","LAN-"&amp;TEXT(ROW()-4,"000000"))</f>
        <v/>
      </c>
      <c r="B576" s="31"/>
      <c r="C576" s="32"/>
      <c r="D576" s="32"/>
      <c r="E576" s="32"/>
      <c r="F576" s="33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4" t="str">
        <f aca="false">IF($B576="","",YEAR($B576))</f>
        <v/>
      </c>
      <c r="U576" s="34" t="str">
        <f aca="false">IF($B576="","",MONTH($B576))</f>
        <v/>
      </c>
      <c r="V576" s="34" t="str">
        <f aca="false">IF($B576="","",YEAR($B576)*100+MONTH($B576))</f>
        <v/>
      </c>
      <c r="W576" s="35" t="str">
        <f aca="false">IF($D576="","",IFERROR(INDEX(MAP_CLASS,MATCH($D576,MAP_TIPO,0)),"TIPO INVALIDO"))</f>
        <v/>
      </c>
      <c r="X576" s="35" t="str">
        <f aca="false">IF($K576="","",IFERROR(INDEX(CAT_NOME,MATCH($K576,CAT_ID,0)),"?"))</f>
        <v/>
      </c>
      <c r="Y576" s="35" t="str">
        <f aca="false">IF($L576="","",IFERROR(INDEX(SUB_NOME,MATCH($L576,SUB_ID,0)),"?"))</f>
        <v/>
      </c>
      <c r="Z576" s="35" t="str">
        <f aca="false">IF($G576="","",IF($G576="EXTERNO","(Externo)",IFERROR(INDEX(ENT_NOME,MATCH($H576,ENT_ID,0)),"?")))</f>
        <v/>
      </c>
      <c r="AA576" s="35" t="str">
        <f aca="false">IF($I576="","",IF($I576="EXTERNO","(Externo)",IFERROR(INDEX(ENT_NOME,MATCH($J576,ENT_ID,0)),"?")))</f>
        <v/>
      </c>
      <c r="AB576" s="36" t="n">
        <f aca="false">IF($B576="",0,IF(AND($I576="CONTA",$G576&lt;&gt;"CONTA"),$F576,0))</f>
        <v>0</v>
      </c>
      <c r="AC576" s="36" t="n">
        <f aca="false">IF($B576="",0,IF(AND($G576="CONTA",$I576&lt;&gt;"CONTA"),$F576,0))</f>
        <v>0</v>
      </c>
      <c r="AD576" s="36" t="n">
        <f aca="false">IF($W576="RECEITA",$F576,0)</f>
        <v>0</v>
      </c>
      <c r="AE576" s="36" t="n">
        <f aca="false">IF($W576="DESPESA",$F576,0)</f>
        <v>0</v>
      </c>
      <c r="AF576" s="36" t="n">
        <f aca="false">IF($W576="RECEITA_FINANCEIRA",$F576,0)</f>
        <v>0</v>
      </c>
      <c r="AG576" s="36" t="n">
        <f aca="false">IF($B576="",0,IF($I576="CONTA",$F576,0)-IF($G576="CONTA",$F576,0))</f>
        <v>0</v>
      </c>
      <c r="AH576" s="36" t="n">
        <f aca="false">IF($B576="",0,IF($G576="CARTAO",$F576,0)-IF($I576="CARTAO",$F576,0))</f>
        <v>0</v>
      </c>
      <c r="AI576" s="36" t="n">
        <f aca="false">IF($B576="",0,IF($I576="INVESTIMENTO",$F576,0)-IF($G576="INVESTIMENTO",$F576,0))</f>
        <v>0</v>
      </c>
      <c r="AJ576" s="35" t="str">
        <f aca="false">IF($B576="","",IF(NOT(ISNUMBER($F576)),"ERRO: valor nao numerico",IF($F576&lt;=0,"ERRO: valor deve ser maior que zero",IF(COUNTIF(MAP_TIPO,$D576)=0,"ERRO: tipo de operacao nao cadastrado",IF(COUNTIF(LST_STATUS,$E576)=0,"ERRO: status invalido",IF(AND($G576="EXTERNO",$I576="EXTERNO"),"ERRO: origem e destino externos",IF(AND($G576&lt;&gt;"EXTERNO",COUNTIFS(ENT_ID,$H576,ENT_TIPO,$G576)=0),"ERRO: origem inexistente",IF(AND($I576&lt;&gt;"EXTERNO",COUNTIFS(ENT_ID,$J576,ENT_TIPO,$I576)=0),"ERRO: destino inexistente",IF(AND($K576&lt;&gt;"",COUNTIF(CAT_ID,$K576)=0),"ERRO: categoria inexistente",IF(AND($L576&lt;&gt;"",COUNTIF(SUB_ID,$L576)=0),"ERRO: subcategoria inexistente",IF(AND($L576&lt;&gt;"",$K576&lt;&gt;"",IFERROR(INDEX(SUB_CATID,MATCH($L576,SUB_ID,0)),"")&lt;&gt;$K576),"ERRO: subcategoria nao pertence a categoria",IF(AND($O576&lt;&gt;"",COUNTIF(P_ID,$O576)=0),"ERRO: parcela inexistente",IF(AND($N576&lt;&gt;"",COUNTIF(CM_ID,$N576)=0),"ERRO: compromisso inexistente","OK")))))))))))))</f>
        <v/>
      </c>
      <c r="AK576" s="35" t="str">
        <f aca="false">IF($B576="","",IF(AND($N576="",$O576="",$P576="",$Q576="",$R576=""),"","VINCULADO: "&amp;TRIM(IF($N576&lt;&gt;"",$N576&amp;" ","")&amp;IF($O576&lt;&gt;"",$O576&amp;" ","")&amp;IF($P576&lt;&gt;"",$P576&amp;" ","")&amp;IF($Q576&lt;&gt;"",$Q576&amp;" ","")&amp;IF($R576&lt;&gt;"",$R576,""))))</f>
        <v/>
      </c>
    </row>
    <row r="577" customFormat="false" ht="15" hidden="false" customHeight="false" outlineLevel="0" collapsed="false">
      <c r="A577" s="30" t="str">
        <f aca="false">IF($B577="","","LAN-"&amp;TEXT(ROW()-4,"000000"))</f>
        <v/>
      </c>
      <c r="B577" s="31"/>
      <c r="C577" s="32"/>
      <c r="D577" s="32"/>
      <c r="E577" s="32"/>
      <c r="F577" s="33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4" t="str">
        <f aca="false">IF($B577="","",YEAR($B577))</f>
        <v/>
      </c>
      <c r="U577" s="34" t="str">
        <f aca="false">IF($B577="","",MONTH($B577))</f>
        <v/>
      </c>
      <c r="V577" s="34" t="str">
        <f aca="false">IF($B577="","",YEAR($B577)*100+MONTH($B577))</f>
        <v/>
      </c>
      <c r="W577" s="35" t="str">
        <f aca="false">IF($D577="","",IFERROR(INDEX(MAP_CLASS,MATCH($D577,MAP_TIPO,0)),"TIPO INVALIDO"))</f>
        <v/>
      </c>
      <c r="X577" s="35" t="str">
        <f aca="false">IF($K577="","",IFERROR(INDEX(CAT_NOME,MATCH($K577,CAT_ID,0)),"?"))</f>
        <v/>
      </c>
      <c r="Y577" s="35" t="str">
        <f aca="false">IF($L577="","",IFERROR(INDEX(SUB_NOME,MATCH($L577,SUB_ID,0)),"?"))</f>
        <v/>
      </c>
      <c r="Z577" s="35" t="str">
        <f aca="false">IF($G577="","",IF($G577="EXTERNO","(Externo)",IFERROR(INDEX(ENT_NOME,MATCH($H577,ENT_ID,0)),"?")))</f>
        <v/>
      </c>
      <c r="AA577" s="35" t="str">
        <f aca="false">IF($I577="","",IF($I577="EXTERNO","(Externo)",IFERROR(INDEX(ENT_NOME,MATCH($J577,ENT_ID,0)),"?")))</f>
        <v/>
      </c>
      <c r="AB577" s="36" t="n">
        <f aca="false">IF($B577="",0,IF(AND($I577="CONTA",$G577&lt;&gt;"CONTA"),$F577,0))</f>
        <v>0</v>
      </c>
      <c r="AC577" s="36" t="n">
        <f aca="false">IF($B577="",0,IF(AND($G577="CONTA",$I577&lt;&gt;"CONTA"),$F577,0))</f>
        <v>0</v>
      </c>
      <c r="AD577" s="36" t="n">
        <f aca="false">IF($W577="RECEITA",$F577,0)</f>
        <v>0</v>
      </c>
      <c r="AE577" s="36" t="n">
        <f aca="false">IF($W577="DESPESA",$F577,0)</f>
        <v>0</v>
      </c>
      <c r="AF577" s="36" t="n">
        <f aca="false">IF($W577="RECEITA_FINANCEIRA",$F577,0)</f>
        <v>0</v>
      </c>
      <c r="AG577" s="36" t="n">
        <f aca="false">IF($B577="",0,IF($I577="CONTA",$F577,0)-IF($G577="CONTA",$F577,0))</f>
        <v>0</v>
      </c>
      <c r="AH577" s="36" t="n">
        <f aca="false">IF($B577="",0,IF($G577="CARTAO",$F577,0)-IF($I577="CARTAO",$F577,0))</f>
        <v>0</v>
      </c>
      <c r="AI577" s="36" t="n">
        <f aca="false">IF($B577="",0,IF($I577="INVESTIMENTO",$F577,0)-IF($G577="INVESTIMENTO",$F577,0))</f>
        <v>0</v>
      </c>
      <c r="AJ577" s="35" t="str">
        <f aca="false">IF($B577="","",IF(NOT(ISNUMBER($F577)),"ERRO: valor nao numerico",IF($F577&lt;=0,"ERRO: valor deve ser maior que zero",IF(COUNTIF(MAP_TIPO,$D577)=0,"ERRO: tipo de operacao nao cadastrado",IF(COUNTIF(LST_STATUS,$E577)=0,"ERRO: status invalido",IF(AND($G577="EXTERNO",$I577="EXTERNO"),"ERRO: origem e destino externos",IF(AND($G577&lt;&gt;"EXTERNO",COUNTIFS(ENT_ID,$H577,ENT_TIPO,$G577)=0),"ERRO: origem inexistente",IF(AND($I577&lt;&gt;"EXTERNO",COUNTIFS(ENT_ID,$J577,ENT_TIPO,$I577)=0),"ERRO: destino inexistente",IF(AND($K577&lt;&gt;"",COUNTIF(CAT_ID,$K577)=0),"ERRO: categoria inexistente",IF(AND($L577&lt;&gt;"",COUNTIF(SUB_ID,$L577)=0),"ERRO: subcategoria inexistente",IF(AND($L577&lt;&gt;"",$K577&lt;&gt;"",IFERROR(INDEX(SUB_CATID,MATCH($L577,SUB_ID,0)),"")&lt;&gt;$K577),"ERRO: subcategoria nao pertence a categoria",IF(AND($O577&lt;&gt;"",COUNTIF(P_ID,$O577)=0),"ERRO: parcela inexistente",IF(AND($N577&lt;&gt;"",COUNTIF(CM_ID,$N577)=0),"ERRO: compromisso inexistente","OK")))))))))))))</f>
        <v/>
      </c>
      <c r="AK577" s="35" t="str">
        <f aca="false">IF($B577="","",IF(AND($N577="",$O577="",$P577="",$Q577="",$R577=""),"","VINCULADO: "&amp;TRIM(IF($N577&lt;&gt;"",$N577&amp;" ","")&amp;IF($O577&lt;&gt;"",$O577&amp;" ","")&amp;IF($P577&lt;&gt;"",$P577&amp;" ","")&amp;IF($Q577&lt;&gt;"",$Q577&amp;" ","")&amp;IF($R577&lt;&gt;"",$R577,""))))</f>
        <v/>
      </c>
    </row>
    <row r="578" customFormat="false" ht="15" hidden="false" customHeight="false" outlineLevel="0" collapsed="false">
      <c r="A578" s="30" t="str">
        <f aca="false">IF($B578="","","LAN-"&amp;TEXT(ROW()-4,"000000"))</f>
        <v/>
      </c>
      <c r="B578" s="31"/>
      <c r="C578" s="32"/>
      <c r="D578" s="32"/>
      <c r="E578" s="32"/>
      <c r="F578" s="33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4" t="str">
        <f aca="false">IF($B578="","",YEAR($B578))</f>
        <v/>
      </c>
      <c r="U578" s="34" t="str">
        <f aca="false">IF($B578="","",MONTH($B578))</f>
        <v/>
      </c>
      <c r="V578" s="34" t="str">
        <f aca="false">IF($B578="","",YEAR($B578)*100+MONTH($B578))</f>
        <v/>
      </c>
      <c r="W578" s="35" t="str">
        <f aca="false">IF($D578="","",IFERROR(INDEX(MAP_CLASS,MATCH($D578,MAP_TIPO,0)),"TIPO INVALIDO"))</f>
        <v/>
      </c>
      <c r="X578" s="35" t="str">
        <f aca="false">IF($K578="","",IFERROR(INDEX(CAT_NOME,MATCH($K578,CAT_ID,0)),"?"))</f>
        <v/>
      </c>
      <c r="Y578" s="35" t="str">
        <f aca="false">IF($L578="","",IFERROR(INDEX(SUB_NOME,MATCH($L578,SUB_ID,0)),"?"))</f>
        <v/>
      </c>
      <c r="Z578" s="35" t="str">
        <f aca="false">IF($G578="","",IF($G578="EXTERNO","(Externo)",IFERROR(INDEX(ENT_NOME,MATCH($H578,ENT_ID,0)),"?")))</f>
        <v/>
      </c>
      <c r="AA578" s="35" t="str">
        <f aca="false">IF($I578="","",IF($I578="EXTERNO","(Externo)",IFERROR(INDEX(ENT_NOME,MATCH($J578,ENT_ID,0)),"?")))</f>
        <v/>
      </c>
      <c r="AB578" s="36" t="n">
        <f aca="false">IF($B578="",0,IF(AND($I578="CONTA",$G578&lt;&gt;"CONTA"),$F578,0))</f>
        <v>0</v>
      </c>
      <c r="AC578" s="36" t="n">
        <f aca="false">IF($B578="",0,IF(AND($G578="CONTA",$I578&lt;&gt;"CONTA"),$F578,0))</f>
        <v>0</v>
      </c>
      <c r="AD578" s="36" t="n">
        <f aca="false">IF($W578="RECEITA",$F578,0)</f>
        <v>0</v>
      </c>
      <c r="AE578" s="36" t="n">
        <f aca="false">IF($W578="DESPESA",$F578,0)</f>
        <v>0</v>
      </c>
      <c r="AF578" s="36" t="n">
        <f aca="false">IF($W578="RECEITA_FINANCEIRA",$F578,0)</f>
        <v>0</v>
      </c>
      <c r="AG578" s="36" t="n">
        <f aca="false">IF($B578="",0,IF($I578="CONTA",$F578,0)-IF($G578="CONTA",$F578,0))</f>
        <v>0</v>
      </c>
      <c r="AH578" s="36" t="n">
        <f aca="false">IF($B578="",0,IF($G578="CARTAO",$F578,0)-IF($I578="CARTAO",$F578,0))</f>
        <v>0</v>
      </c>
      <c r="AI578" s="36" t="n">
        <f aca="false">IF($B578="",0,IF($I578="INVESTIMENTO",$F578,0)-IF($G578="INVESTIMENTO",$F578,0))</f>
        <v>0</v>
      </c>
      <c r="AJ578" s="35" t="str">
        <f aca="false">IF($B578="","",IF(NOT(ISNUMBER($F578)),"ERRO: valor nao numerico",IF($F578&lt;=0,"ERRO: valor deve ser maior que zero",IF(COUNTIF(MAP_TIPO,$D578)=0,"ERRO: tipo de operacao nao cadastrado",IF(COUNTIF(LST_STATUS,$E578)=0,"ERRO: status invalido",IF(AND($G578="EXTERNO",$I578="EXTERNO"),"ERRO: origem e destino externos",IF(AND($G578&lt;&gt;"EXTERNO",COUNTIFS(ENT_ID,$H578,ENT_TIPO,$G578)=0),"ERRO: origem inexistente",IF(AND($I578&lt;&gt;"EXTERNO",COUNTIFS(ENT_ID,$J578,ENT_TIPO,$I578)=0),"ERRO: destino inexistente",IF(AND($K578&lt;&gt;"",COUNTIF(CAT_ID,$K578)=0),"ERRO: categoria inexistente",IF(AND($L578&lt;&gt;"",COUNTIF(SUB_ID,$L578)=0),"ERRO: subcategoria inexistente",IF(AND($L578&lt;&gt;"",$K578&lt;&gt;"",IFERROR(INDEX(SUB_CATID,MATCH($L578,SUB_ID,0)),"")&lt;&gt;$K578),"ERRO: subcategoria nao pertence a categoria",IF(AND($O578&lt;&gt;"",COUNTIF(P_ID,$O578)=0),"ERRO: parcela inexistente",IF(AND($N578&lt;&gt;"",COUNTIF(CM_ID,$N578)=0),"ERRO: compromisso inexistente","OK")))))))))))))</f>
        <v/>
      </c>
      <c r="AK578" s="35" t="str">
        <f aca="false">IF($B578="","",IF(AND($N578="",$O578="",$P578="",$Q578="",$R578=""),"","VINCULADO: "&amp;TRIM(IF($N578&lt;&gt;"",$N578&amp;" ","")&amp;IF($O578&lt;&gt;"",$O578&amp;" ","")&amp;IF($P578&lt;&gt;"",$P578&amp;" ","")&amp;IF($Q578&lt;&gt;"",$Q578&amp;" ","")&amp;IF($R578&lt;&gt;"",$R578,""))))</f>
        <v/>
      </c>
    </row>
    <row r="579" customFormat="false" ht="15" hidden="false" customHeight="false" outlineLevel="0" collapsed="false">
      <c r="A579" s="30" t="str">
        <f aca="false">IF($B579="","","LAN-"&amp;TEXT(ROW()-4,"000000"))</f>
        <v/>
      </c>
      <c r="B579" s="31"/>
      <c r="C579" s="32"/>
      <c r="D579" s="32"/>
      <c r="E579" s="32"/>
      <c r="F579" s="33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4" t="str">
        <f aca="false">IF($B579="","",YEAR($B579))</f>
        <v/>
      </c>
      <c r="U579" s="34" t="str">
        <f aca="false">IF($B579="","",MONTH($B579))</f>
        <v/>
      </c>
      <c r="V579" s="34" t="str">
        <f aca="false">IF($B579="","",YEAR($B579)*100+MONTH($B579))</f>
        <v/>
      </c>
      <c r="W579" s="35" t="str">
        <f aca="false">IF($D579="","",IFERROR(INDEX(MAP_CLASS,MATCH($D579,MAP_TIPO,0)),"TIPO INVALIDO"))</f>
        <v/>
      </c>
      <c r="X579" s="35" t="str">
        <f aca="false">IF($K579="","",IFERROR(INDEX(CAT_NOME,MATCH($K579,CAT_ID,0)),"?"))</f>
        <v/>
      </c>
      <c r="Y579" s="35" t="str">
        <f aca="false">IF($L579="","",IFERROR(INDEX(SUB_NOME,MATCH($L579,SUB_ID,0)),"?"))</f>
        <v/>
      </c>
      <c r="Z579" s="35" t="str">
        <f aca="false">IF($G579="","",IF($G579="EXTERNO","(Externo)",IFERROR(INDEX(ENT_NOME,MATCH($H579,ENT_ID,0)),"?")))</f>
        <v/>
      </c>
      <c r="AA579" s="35" t="str">
        <f aca="false">IF($I579="","",IF($I579="EXTERNO","(Externo)",IFERROR(INDEX(ENT_NOME,MATCH($J579,ENT_ID,0)),"?")))</f>
        <v/>
      </c>
      <c r="AB579" s="36" t="n">
        <f aca="false">IF($B579="",0,IF(AND($I579="CONTA",$G579&lt;&gt;"CONTA"),$F579,0))</f>
        <v>0</v>
      </c>
      <c r="AC579" s="36" t="n">
        <f aca="false">IF($B579="",0,IF(AND($G579="CONTA",$I579&lt;&gt;"CONTA"),$F579,0))</f>
        <v>0</v>
      </c>
      <c r="AD579" s="36" t="n">
        <f aca="false">IF($W579="RECEITA",$F579,0)</f>
        <v>0</v>
      </c>
      <c r="AE579" s="36" t="n">
        <f aca="false">IF($W579="DESPESA",$F579,0)</f>
        <v>0</v>
      </c>
      <c r="AF579" s="36" t="n">
        <f aca="false">IF($W579="RECEITA_FINANCEIRA",$F579,0)</f>
        <v>0</v>
      </c>
      <c r="AG579" s="36" t="n">
        <f aca="false">IF($B579="",0,IF($I579="CONTA",$F579,0)-IF($G579="CONTA",$F579,0))</f>
        <v>0</v>
      </c>
      <c r="AH579" s="36" t="n">
        <f aca="false">IF($B579="",0,IF($G579="CARTAO",$F579,0)-IF($I579="CARTAO",$F579,0))</f>
        <v>0</v>
      </c>
      <c r="AI579" s="36" t="n">
        <f aca="false">IF($B579="",0,IF($I579="INVESTIMENTO",$F579,0)-IF($G579="INVESTIMENTO",$F579,0))</f>
        <v>0</v>
      </c>
      <c r="AJ579" s="35" t="str">
        <f aca="false">IF($B579="","",IF(NOT(ISNUMBER($F579)),"ERRO: valor nao numerico",IF($F579&lt;=0,"ERRO: valor deve ser maior que zero",IF(COUNTIF(MAP_TIPO,$D579)=0,"ERRO: tipo de operacao nao cadastrado",IF(COUNTIF(LST_STATUS,$E579)=0,"ERRO: status invalido",IF(AND($G579="EXTERNO",$I579="EXTERNO"),"ERRO: origem e destino externos",IF(AND($G579&lt;&gt;"EXTERNO",COUNTIFS(ENT_ID,$H579,ENT_TIPO,$G579)=0),"ERRO: origem inexistente",IF(AND($I579&lt;&gt;"EXTERNO",COUNTIFS(ENT_ID,$J579,ENT_TIPO,$I579)=0),"ERRO: destino inexistente",IF(AND($K579&lt;&gt;"",COUNTIF(CAT_ID,$K579)=0),"ERRO: categoria inexistente",IF(AND($L579&lt;&gt;"",COUNTIF(SUB_ID,$L579)=0),"ERRO: subcategoria inexistente",IF(AND($L579&lt;&gt;"",$K579&lt;&gt;"",IFERROR(INDEX(SUB_CATID,MATCH($L579,SUB_ID,0)),"")&lt;&gt;$K579),"ERRO: subcategoria nao pertence a categoria",IF(AND($O579&lt;&gt;"",COUNTIF(P_ID,$O579)=0),"ERRO: parcela inexistente",IF(AND($N579&lt;&gt;"",COUNTIF(CM_ID,$N579)=0),"ERRO: compromisso inexistente","OK")))))))))))))</f>
        <v/>
      </c>
      <c r="AK579" s="35" t="str">
        <f aca="false">IF($B579="","",IF(AND($N579="",$O579="",$P579="",$Q579="",$R579=""),"","VINCULADO: "&amp;TRIM(IF($N579&lt;&gt;"",$N579&amp;" ","")&amp;IF($O579&lt;&gt;"",$O579&amp;" ","")&amp;IF($P579&lt;&gt;"",$P579&amp;" ","")&amp;IF($Q579&lt;&gt;"",$Q579&amp;" ","")&amp;IF($R579&lt;&gt;"",$R579,""))))</f>
        <v/>
      </c>
    </row>
    <row r="580" customFormat="false" ht="15" hidden="false" customHeight="false" outlineLevel="0" collapsed="false">
      <c r="A580" s="30" t="str">
        <f aca="false">IF($B580="","","LAN-"&amp;TEXT(ROW()-4,"000000"))</f>
        <v/>
      </c>
      <c r="B580" s="31"/>
      <c r="C580" s="32"/>
      <c r="D580" s="32"/>
      <c r="E580" s="32"/>
      <c r="F580" s="33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4" t="str">
        <f aca="false">IF($B580="","",YEAR($B580))</f>
        <v/>
      </c>
      <c r="U580" s="34" t="str">
        <f aca="false">IF($B580="","",MONTH($B580))</f>
        <v/>
      </c>
      <c r="V580" s="34" t="str">
        <f aca="false">IF($B580="","",YEAR($B580)*100+MONTH($B580))</f>
        <v/>
      </c>
      <c r="W580" s="35" t="str">
        <f aca="false">IF($D580="","",IFERROR(INDEX(MAP_CLASS,MATCH($D580,MAP_TIPO,0)),"TIPO INVALIDO"))</f>
        <v/>
      </c>
      <c r="X580" s="35" t="str">
        <f aca="false">IF($K580="","",IFERROR(INDEX(CAT_NOME,MATCH($K580,CAT_ID,0)),"?"))</f>
        <v/>
      </c>
      <c r="Y580" s="35" t="str">
        <f aca="false">IF($L580="","",IFERROR(INDEX(SUB_NOME,MATCH($L580,SUB_ID,0)),"?"))</f>
        <v/>
      </c>
      <c r="Z580" s="35" t="str">
        <f aca="false">IF($G580="","",IF($G580="EXTERNO","(Externo)",IFERROR(INDEX(ENT_NOME,MATCH($H580,ENT_ID,0)),"?")))</f>
        <v/>
      </c>
      <c r="AA580" s="35" t="str">
        <f aca="false">IF($I580="","",IF($I580="EXTERNO","(Externo)",IFERROR(INDEX(ENT_NOME,MATCH($J580,ENT_ID,0)),"?")))</f>
        <v/>
      </c>
      <c r="AB580" s="36" t="n">
        <f aca="false">IF($B580="",0,IF(AND($I580="CONTA",$G580&lt;&gt;"CONTA"),$F580,0))</f>
        <v>0</v>
      </c>
      <c r="AC580" s="36" t="n">
        <f aca="false">IF($B580="",0,IF(AND($G580="CONTA",$I580&lt;&gt;"CONTA"),$F580,0))</f>
        <v>0</v>
      </c>
      <c r="AD580" s="36" t="n">
        <f aca="false">IF($W580="RECEITA",$F580,0)</f>
        <v>0</v>
      </c>
      <c r="AE580" s="36" t="n">
        <f aca="false">IF($W580="DESPESA",$F580,0)</f>
        <v>0</v>
      </c>
      <c r="AF580" s="36" t="n">
        <f aca="false">IF($W580="RECEITA_FINANCEIRA",$F580,0)</f>
        <v>0</v>
      </c>
      <c r="AG580" s="36" t="n">
        <f aca="false">IF($B580="",0,IF($I580="CONTA",$F580,0)-IF($G580="CONTA",$F580,0))</f>
        <v>0</v>
      </c>
      <c r="AH580" s="36" t="n">
        <f aca="false">IF($B580="",0,IF($G580="CARTAO",$F580,0)-IF($I580="CARTAO",$F580,0))</f>
        <v>0</v>
      </c>
      <c r="AI580" s="36" t="n">
        <f aca="false">IF($B580="",0,IF($I580="INVESTIMENTO",$F580,0)-IF($G580="INVESTIMENTO",$F580,0))</f>
        <v>0</v>
      </c>
      <c r="AJ580" s="35" t="str">
        <f aca="false">IF($B580="","",IF(NOT(ISNUMBER($F580)),"ERRO: valor nao numerico",IF($F580&lt;=0,"ERRO: valor deve ser maior que zero",IF(COUNTIF(MAP_TIPO,$D580)=0,"ERRO: tipo de operacao nao cadastrado",IF(COUNTIF(LST_STATUS,$E580)=0,"ERRO: status invalido",IF(AND($G580="EXTERNO",$I580="EXTERNO"),"ERRO: origem e destino externos",IF(AND($G580&lt;&gt;"EXTERNO",COUNTIFS(ENT_ID,$H580,ENT_TIPO,$G580)=0),"ERRO: origem inexistente",IF(AND($I580&lt;&gt;"EXTERNO",COUNTIFS(ENT_ID,$J580,ENT_TIPO,$I580)=0),"ERRO: destino inexistente",IF(AND($K580&lt;&gt;"",COUNTIF(CAT_ID,$K580)=0),"ERRO: categoria inexistente",IF(AND($L580&lt;&gt;"",COUNTIF(SUB_ID,$L580)=0),"ERRO: subcategoria inexistente",IF(AND($L580&lt;&gt;"",$K580&lt;&gt;"",IFERROR(INDEX(SUB_CATID,MATCH($L580,SUB_ID,0)),"")&lt;&gt;$K580),"ERRO: subcategoria nao pertence a categoria",IF(AND($O580&lt;&gt;"",COUNTIF(P_ID,$O580)=0),"ERRO: parcela inexistente",IF(AND($N580&lt;&gt;"",COUNTIF(CM_ID,$N580)=0),"ERRO: compromisso inexistente","OK")))))))))))))</f>
        <v/>
      </c>
      <c r="AK580" s="35" t="str">
        <f aca="false">IF($B580="","",IF(AND($N580="",$O580="",$P580="",$Q580="",$R580=""),"","VINCULADO: "&amp;TRIM(IF($N580&lt;&gt;"",$N580&amp;" ","")&amp;IF($O580&lt;&gt;"",$O580&amp;" ","")&amp;IF($P580&lt;&gt;"",$P580&amp;" ","")&amp;IF($Q580&lt;&gt;"",$Q580&amp;" ","")&amp;IF($R580&lt;&gt;"",$R580,""))))</f>
        <v/>
      </c>
    </row>
    <row r="581" customFormat="false" ht="15" hidden="false" customHeight="false" outlineLevel="0" collapsed="false">
      <c r="A581" s="30" t="str">
        <f aca="false">IF($B581="","","LAN-"&amp;TEXT(ROW()-4,"000000"))</f>
        <v/>
      </c>
      <c r="B581" s="31"/>
      <c r="C581" s="32"/>
      <c r="D581" s="32"/>
      <c r="E581" s="32"/>
      <c r="F581" s="33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4" t="str">
        <f aca="false">IF($B581="","",YEAR($B581))</f>
        <v/>
      </c>
      <c r="U581" s="34" t="str">
        <f aca="false">IF($B581="","",MONTH($B581))</f>
        <v/>
      </c>
      <c r="V581" s="34" t="str">
        <f aca="false">IF($B581="","",YEAR($B581)*100+MONTH($B581))</f>
        <v/>
      </c>
      <c r="W581" s="35" t="str">
        <f aca="false">IF($D581="","",IFERROR(INDEX(MAP_CLASS,MATCH($D581,MAP_TIPO,0)),"TIPO INVALIDO"))</f>
        <v/>
      </c>
      <c r="X581" s="35" t="str">
        <f aca="false">IF($K581="","",IFERROR(INDEX(CAT_NOME,MATCH($K581,CAT_ID,0)),"?"))</f>
        <v/>
      </c>
      <c r="Y581" s="35" t="str">
        <f aca="false">IF($L581="","",IFERROR(INDEX(SUB_NOME,MATCH($L581,SUB_ID,0)),"?"))</f>
        <v/>
      </c>
      <c r="Z581" s="35" t="str">
        <f aca="false">IF($G581="","",IF($G581="EXTERNO","(Externo)",IFERROR(INDEX(ENT_NOME,MATCH($H581,ENT_ID,0)),"?")))</f>
        <v/>
      </c>
      <c r="AA581" s="35" t="str">
        <f aca="false">IF($I581="","",IF($I581="EXTERNO","(Externo)",IFERROR(INDEX(ENT_NOME,MATCH($J581,ENT_ID,0)),"?")))</f>
        <v/>
      </c>
      <c r="AB581" s="36" t="n">
        <f aca="false">IF($B581="",0,IF(AND($I581="CONTA",$G581&lt;&gt;"CONTA"),$F581,0))</f>
        <v>0</v>
      </c>
      <c r="AC581" s="36" t="n">
        <f aca="false">IF($B581="",0,IF(AND($G581="CONTA",$I581&lt;&gt;"CONTA"),$F581,0))</f>
        <v>0</v>
      </c>
      <c r="AD581" s="36" t="n">
        <f aca="false">IF($W581="RECEITA",$F581,0)</f>
        <v>0</v>
      </c>
      <c r="AE581" s="36" t="n">
        <f aca="false">IF($W581="DESPESA",$F581,0)</f>
        <v>0</v>
      </c>
      <c r="AF581" s="36" t="n">
        <f aca="false">IF($W581="RECEITA_FINANCEIRA",$F581,0)</f>
        <v>0</v>
      </c>
      <c r="AG581" s="36" t="n">
        <f aca="false">IF($B581="",0,IF($I581="CONTA",$F581,0)-IF($G581="CONTA",$F581,0))</f>
        <v>0</v>
      </c>
      <c r="AH581" s="36" t="n">
        <f aca="false">IF($B581="",0,IF($G581="CARTAO",$F581,0)-IF($I581="CARTAO",$F581,0))</f>
        <v>0</v>
      </c>
      <c r="AI581" s="36" t="n">
        <f aca="false">IF($B581="",0,IF($I581="INVESTIMENTO",$F581,0)-IF($G581="INVESTIMENTO",$F581,0))</f>
        <v>0</v>
      </c>
      <c r="AJ581" s="35" t="str">
        <f aca="false">IF($B581="","",IF(NOT(ISNUMBER($F581)),"ERRO: valor nao numerico",IF($F581&lt;=0,"ERRO: valor deve ser maior que zero",IF(COUNTIF(MAP_TIPO,$D581)=0,"ERRO: tipo de operacao nao cadastrado",IF(COUNTIF(LST_STATUS,$E581)=0,"ERRO: status invalido",IF(AND($G581="EXTERNO",$I581="EXTERNO"),"ERRO: origem e destino externos",IF(AND($G581&lt;&gt;"EXTERNO",COUNTIFS(ENT_ID,$H581,ENT_TIPO,$G581)=0),"ERRO: origem inexistente",IF(AND($I581&lt;&gt;"EXTERNO",COUNTIFS(ENT_ID,$J581,ENT_TIPO,$I581)=0),"ERRO: destino inexistente",IF(AND($K581&lt;&gt;"",COUNTIF(CAT_ID,$K581)=0),"ERRO: categoria inexistente",IF(AND($L581&lt;&gt;"",COUNTIF(SUB_ID,$L581)=0),"ERRO: subcategoria inexistente",IF(AND($L581&lt;&gt;"",$K581&lt;&gt;"",IFERROR(INDEX(SUB_CATID,MATCH($L581,SUB_ID,0)),"")&lt;&gt;$K581),"ERRO: subcategoria nao pertence a categoria",IF(AND($O581&lt;&gt;"",COUNTIF(P_ID,$O581)=0),"ERRO: parcela inexistente",IF(AND($N581&lt;&gt;"",COUNTIF(CM_ID,$N581)=0),"ERRO: compromisso inexistente","OK")))))))))))))</f>
        <v/>
      </c>
      <c r="AK581" s="35" t="str">
        <f aca="false">IF($B581="","",IF(AND($N581="",$O581="",$P581="",$Q581="",$R581=""),"","VINCULADO: "&amp;TRIM(IF($N581&lt;&gt;"",$N581&amp;" ","")&amp;IF($O581&lt;&gt;"",$O581&amp;" ","")&amp;IF($P581&lt;&gt;"",$P581&amp;" ","")&amp;IF($Q581&lt;&gt;"",$Q581&amp;" ","")&amp;IF($R581&lt;&gt;"",$R581,""))))</f>
        <v/>
      </c>
    </row>
    <row r="582" customFormat="false" ht="15" hidden="false" customHeight="false" outlineLevel="0" collapsed="false">
      <c r="A582" s="30" t="str">
        <f aca="false">IF($B582="","","LAN-"&amp;TEXT(ROW()-4,"000000"))</f>
        <v/>
      </c>
      <c r="B582" s="31"/>
      <c r="C582" s="32"/>
      <c r="D582" s="32"/>
      <c r="E582" s="32"/>
      <c r="F582" s="33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4" t="str">
        <f aca="false">IF($B582="","",YEAR($B582))</f>
        <v/>
      </c>
      <c r="U582" s="34" t="str">
        <f aca="false">IF($B582="","",MONTH($B582))</f>
        <v/>
      </c>
      <c r="V582" s="34" t="str">
        <f aca="false">IF($B582="","",YEAR($B582)*100+MONTH($B582))</f>
        <v/>
      </c>
      <c r="W582" s="35" t="str">
        <f aca="false">IF($D582="","",IFERROR(INDEX(MAP_CLASS,MATCH($D582,MAP_TIPO,0)),"TIPO INVALIDO"))</f>
        <v/>
      </c>
      <c r="X582" s="35" t="str">
        <f aca="false">IF($K582="","",IFERROR(INDEX(CAT_NOME,MATCH($K582,CAT_ID,0)),"?"))</f>
        <v/>
      </c>
      <c r="Y582" s="35" t="str">
        <f aca="false">IF($L582="","",IFERROR(INDEX(SUB_NOME,MATCH($L582,SUB_ID,0)),"?"))</f>
        <v/>
      </c>
      <c r="Z582" s="35" t="str">
        <f aca="false">IF($G582="","",IF($G582="EXTERNO","(Externo)",IFERROR(INDEX(ENT_NOME,MATCH($H582,ENT_ID,0)),"?")))</f>
        <v/>
      </c>
      <c r="AA582" s="35" t="str">
        <f aca="false">IF($I582="","",IF($I582="EXTERNO","(Externo)",IFERROR(INDEX(ENT_NOME,MATCH($J582,ENT_ID,0)),"?")))</f>
        <v/>
      </c>
      <c r="AB582" s="36" t="n">
        <f aca="false">IF($B582="",0,IF(AND($I582="CONTA",$G582&lt;&gt;"CONTA"),$F582,0))</f>
        <v>0</v>
      </c>
      <c r="AC582" s="36" t="n">
        <f aca="false">IF($B582="",0,IF(AND($G582="CONTA",$I582&lt;&gt;"CONTA"),$F582,0))</f>
        <v>0</v>
      </c>
      <c r="AD582" s="36" t="n">
        <f aca="false">IF($W582="RECEITA",$F582,0)</f>
        <v>0</v>
      </c>
      <c r="AE582" s="36" t="n">
        <f aca="false">IF($W582="DESPESA",$F582,0)</f>
        <v>0</v>
      </c>
      <c r="AF582" s="36" t="n">
        <f aca="false">IF($W582="RECEITA_FINANCEIRA",$F582,0)</f>
        <v>0</v>
      </c>
      <c r="AG582" s="36" t="n">
        <f aca="false">IF($B582="",0,IF($I582="CONTA",$F582,0)-IF($G582="CONTA",$F582,0))</f>
        <v>0</v>
      </c>
      <c r="AH582" s="36" t="n">
        <f aca="false">IF($B582="",0,IF($G582="CARTAO",$F582,0)-IF($I582="CARTAO",$F582,0))</f>
        <v>0</v>
      </c>
      <c r="AI582" s="36" t="n">
        <f aca="false">IF($B582="",0,IF($I582="INVESTIMENTO",$F582,0)-IF($G582="INVESTIMENTO",$F582,0))</f>
        <v>0</v>
      </c>
      <c r="AJ582" s="35" t="str">
        <f aca="false">IF($B582="","",IF(NOT(ISNUMBER($F582)),"ERRO: valor nao numerico",IF($F582&lt;=0,"ERRO: valor deve ser maior que zero",IF(COUNTIF(MAP_TIPO,$D582)=0,"ERRO: tipo de operacao nao cadastrado",IF(COUNTIF(LST_STATUS,$E582)=0,"ERRO: status invalido",IF(AND($G582="EXTERNO",$I582="EXTERNO"),"ERRO: origem e destino externos",IF(AND($G582&lt;&gt;"EXTERNO",COUNTIFS(ENT_ID,$H582,ENT_TIPO,$G582)=0),"ERRO: origem inexistente",IF(AND($I582&lt;&gt;"EXTERNO",COUNTIFS(ENT_ID,$J582,ENT_TIPO,$I582)=0),"ERRO: destino inexistente",IF(AND($K582&lt;&gt;"",COUNTIF(CAT_ID,$K582)=0),"ERRO: categoria inexistente",IF(AND($L582&lt;&gt;"",COUNTIF(SUB_ID,$L582)=0),"ERRO: subcategoria inexistente",IF(AND($L582&lt;&gt;"",$K582&lt;&gt;"",IFERROR(INDEX(SUB_CATID,MATCH($L582,SUB_ID,0)),"")&lt;&gt;$K582),"ERRO: subcategoria nao pertence a categoria",IF(AND($O582&lt;&gt;"",COUNTIF(P_ID,$O582)=0),"ERRO: parcela inexistente",IF(AND($N582&lt;&gt;"",COUNTIF(CM_ID,$N582)=0),"ERRO: compromisso inexistente","OK")))))))))))))</f>
        <v/>
      </c>
      <c r="AK582" s="35" t="str">
        <f aca="false">IF($B582="","",IF(AND($N582="",$O582="",$P582="",$Q582="",$R582=""),"","VINCULADO: "&amp;TRIM(IF($N582&lt;&gt;"",$N582&amp;" ","")&amp;IF($O582&lt;&gt;"",$O582&amp;" ","")&amp;IF($P582&lt;&gt;"",$P582&amp;" ","")&amp;IF($Q582&lt;&gt;"",$Q582&amp;" ","")&amp;IF($R582&lt;&gt;"",$R582,""))))</f>
        <v/>
      </c>
    </row>
    <row r="583" customFormat="false" ht="15" hidden="false" customHeight="false" outlineLevel="0" collapsed="false">
      <c r="A583" s="30" t="str">
        <f aca="false">IF($B583="","","LAN-"&amp;TEXT(ROW()-4,"000000"))</f>
        <v/>
      </c>
      <c r="B583" s="31"/>
      <c r="C583" s="32"/>
      <c r="D583" s="32"/>
      <c r="E583" s="32"/>
      <c r="F583" s="33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4" t="str">
        <f aca="false">IF($B583="","",YEAR($B583))</f>
        <v/>
      </c>
      <c r="U583" s="34" t="str">
        <f aca="false">IF($B583="","",MONTH($B583))</f>
        <v/>
      </c>
      <c r="V583" s="34" t="str">
        <f aca="false">IF($B583="","",YEAR($B583)*100+MONTH($B583))</f>
        <v/>
      </c>
      <c r="W583" s="35" t="str">
        <f aca="false">IF($D583="","",IFERROR(INDEX(MAP_CLASS,MATCH($D583,MAP_TIPO,0)),"TIPO INVALIDO"))</f>
        <v/>
      </c>
      <c r="X583" s="35" t="str">
        <f aca="false">IF($K583="","",IFERROR(INDEX(CAT_NOME,MATCH($K583,CAT_ID,0)),"?"))</f>
        <v/>
      </c>
      <c r="Y583" s="35" t="str">
        <f aca="false">IF($L583="","",IFERROR(INDEX(SUB_NOME,MATCH($L583,SUB_ID,0)),"?"))</f>
        <v/>
      </c>
      <c r="Z583" s="35" t="str">
        <f aca="false">IF($G583="","",IF($G583="EXTERNO","(Externo)",IFERROR(INDEX(ENT_NOME,MATCH($H583,ENT_ID,0)),"?")))</f>
        <v/>
      </c>
      <c r="AA583" s="35" t="str">
        <f aca="false">IF($I583="","",IF($I583="EXTERNO","(Externo)",IFERROR(INDEX(ENT_NOME,MATCH($J583,ENT_ID,0)),"?")))</f>
        <v/>
      </c>
      <c r="AB583" s="36" t="n">
        <f aca="false">IF($B583="",0,IF(AND($I583="CONTA",$G583&lt;&gt;"CONTA"),$F583,0))</f>
        <v>0</v>
      </c>
      <c r="AC583" s="36" t="n">
        <f aca="false">IF($B583="",0,IF(AND($G583="CONTA",$I583&lt;&gt;"CONTA"),$F583,0))</f>
        <v>0</v>
      </c>
      <c r="AD583" s="36" t="n">
        <f aca="false">IF($W583="RECEITA",$F583,0)</f>
        <v>0</v>
      </c>
      <c r="AE583" s="36" t="n">
        <f aca="false">IF($W583="DESPESA",$F583,0)</f>
        <v>0</v>
      </c>
      <c r="AF583" s="36" t="n">
        <f aca="false">IF($W583="RECEITA_FINANCEIRA",$F583,0)</f>
        <v>0</v>
      </c>
      <c r="AG583" s="36" t="n">
        <f aca="false">IF($B583="",0,IF($I583="CONTA",$F583,0)-IF($G583="CONTA",$F583,0))</f>
        <v>0</v>
      </c>
      <c r="AH583" s="36" t="n">
        <f aca="false">IF($B583="",0,IF($G583="CARTAO",$F583,0)-IF($I583="CARTAO",$F583,0))</f>
        <v>0</v>
      </c>
      <c r="AI583" s="36" t="n">
        <f aca="false">IF($B583="",0,IF($I583="INVESTIMENTO",$F583,0)-IF($G583="INVESTIMENTO",$F583,0))</f>
        <v>0</v>
      </c>
      <c r="AJ583" s="35" t="str">
        <f aca="false">IF($B583="","",IF(NOT(ISNUMBER($F583)),"ERRO: valor nao numerico",IF($F583&lt;=0,"ERRO: valor deve ser maior que zero",IF(COUNTIF(MAP_TIPO,$D583)=0,"ERRO: tipo de operacao nao cadastrado",IF(COUNTIF(LST_STATUS,$E583)=0,"ERRO: status invalido",IF(AND($G583="EXTERNO",$I583="EXTERNO"),"ERRO: origem e destino externos",IF(AND($G583&lt;&gt;"EXTERNO",COUNTIFS(ENT_ID,$H583,ENT_TIPO,$G583)=0),"ERRO: origem inexistente",IF(AND($I583&lt;&gt;"EXTERNO",COUNTIFS(ENT_ID,$J583,ENT_TIPO,$I583)=0),"ERRO: destino inexistente",IF(AND($K583&lt;&gt;"",COUNTIF(CAT_ID,$K583)=0),"ERRO: categoria inexistente",IF(AND($L583&lt;&gt;"",COUNTIF(SUB_ID,$L583)=0),"ERRO: subcategoria inexistente",IF(AND($L583&lt;&gt;"",$K583&lt;&gt;"",IFERROR(INDEX(SUB_CATID,MATCH($L583,SUB_ID,0)),"")&lt;&gt;$K583),"ERRO: subcategoria nao pertence a categoria",IF(AND($O583&lt;&gt;"",COUNTIF(P_ID,$O583)=0),"ERRO: parcela inexistente",IF(AND($N583&lt;&gt;"",COUNTIF(CM_ID,$N583)=0),"ERRO: compromisso inexistente","OK")))))))))))))</f>
        <v/>
      </c>
      <c r="AK583" s="35" t="str">
        <f aca="false">IF($B583="","",IF(AND($N583="",$O583="",$P583="",$Q583="",$R583=""),"","VINCULADO: "&amp;TRIM(IF($N583&lt;&gt;"",$N583&amp;" ","")&amp;IF($O583&lt;&gt;"",$O583&amp;" ","")&amp;IF($P583&lt;&gt;"",$P583&amp;" ","")&amp;IF($Q583&lt;&gt;"",$Q583&amp;" ","")&amp;IF($R583&lt;&gt;"",$R583,""))))</f>
        <v/>
      </c>
    </row>
    <row r="584" customFormat="false" ht="15" hidden="false" customHeight="false" outlineLevel="0" collapsed="false">
      <c r="A584" s="30" t="str">
        <f aca="false">IF($B584="","","LAN-"&amp;TEXT(ROW()-4,"000000"))</f>
        <v/>
      </c>
      <c r="B584" s="31"/>
      <c r="C584" s="32"/>
      <c r="D584" s="32"/>
      <c r="E584" s="32"/>
      <c r="F584" s="33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4" t="str">
        <f aca="false">IF($B584="","",YEAR($B584))</f>
        <v/>
      </c>
      <c r="U584" s="34" t="str">
        <f aca="false">IF($B584="","",MONTH($B584))</f>
        <v/>
      </c>
      <c r="V584" s="34" t="str">
        <f aca="false">IF($B584="","",YEAR($B584)*100+MONTH($B584))</f>
        <v/>
      </c>
      <c r="W584" s="35" t="str">
        <f aca="false">IF($D584="","",IFERROR(INDEX(MAP_CLASS,MATCH($D584,MAP_TIPO,0)),"TIPO INVALIDO"))</f>
        <v/>
      </c>
      <c r="X584" s="35" t="str">
        <f aca="false">IF($K584="","",IFERROR(INDEX(CAT_NOME,MATCH($K584,CAT_ID,0)),"?"))</f>
        <v/>
      </c>
      <c r="Y584" s="35" t="str">
        <f aca="false">IF($L584="","",IFERROR(INDEX(SUB_NOME,MATCH($L584,SUB_ID,0)),"?"))</f>
        <v/>
      </c>
      <c r="Z584" s="35" t="str">
        <f aca="false">IF($G584="","",IF($G584="EXTERNO","(Externo)",IFERROR(INDEX(ENT_NOME,MATCH($H584,ENT_ID,0)),"?")))</f>
        <v/>
      </c>
      <c r="AA584" s="35" t="str">
        <f aca="false">IF($I584="","",IF($I584="EXTERNO","(Externo)",IFERROR(INDEX(ENT_NOME,MATCH($J584,ENT_ID,0)),"?")))</f>
        <v/>
      </c>
      <c r="AB584" s="36" t="n">
        <f aca="false">IF($B584="",0,IF(AND($I584="CONTA",$G584&lt;&gt;"CONTA"),$F584,0))</f>
        <v>0</v>
      </c>
      <c r="AC584" s="36" t="n">
        <f aca="false">IF($B584="",0,IF(AND($G584="CONTA",$I584&lt;&gt;"CONTA"),$F584,0))</f>
        <v>0</v>
      </c>
      <c r="AD584" s="36" t="n">
        <f aca="false">IF($W584="RECEITA",$F584,0)</f>
        <v>0</v>
      </c>
      <c r="AE584" s="36" t="n">
        <f aca="false">IF($W584="DESPESA",$F584,0)</f>
        <v>0</v>
      </c>
      <c r="AF584" s="36" t="n">
        <f aca="false">IF($W584="RECEITA_FINANCEIRA",$F584,0)</f>
        <v>0</v>
      </c>
      <c r="AG584" s="36" t="n">
        <f aca="false">IF($B584="",0,IF($I584="CONTA",$F584,0)-IF($G584="CONTA",$F584,0))</f>
        <v>0</v>
      </c>
      <c r="AH584" s="36" t="n">
        <f aca="false">IF($B584="",0,IF($G584="CARTAO",$F584,0)-IF($I584="CARTAO",$F584,0))</f>
        <v>0</v>
      </c>
      <c r="AI584" s="36" t="n">
        <f aca="false">IF($B584="",0,IF($I584="INVESTIMENTO",$F584,0)-IF($G584="INVESTIMENTO",$F584,0))</f>
        <v>0</v>
      </c>
      <c r="AJ584" s="35" t="str">
        <f aca="false">IF($B584="","",IF(NOT(ISNUMBER($F584)),"ERRO: valor nao numerico",IF($F584&lt;=0,"ERRO: valor deve ser maior que zero",IF(COUNTIF(MAP_TIPO,$D584)=0,"ERRO: tipo de operacao nao cadastrado",IF(COUNTIF(LST_STATUS,$E584)=0,"ERRO: status invalido",IF(AND($G584="EXTERNO",$I584="EXTERNO"),"ERRO: origem e destino externos",IF(AND($G584&lt;&gt;"EXTERNO",COUNTIFS(ENT_ID,$H584,ENT_TIPO,$G584)=0),"ERRO: origem inexistente",IF(AND($I584&lt;&gt;"EXTERNO",COUNTIFS(ENT_ID,$J584,ENT_TIPO,$I584)=0),"ERRO: destino inexistente",IF(AND($K584&lt;&gt;"",COUNTIF(CAT_ID,$K584)=0),"ERRO: categoria inexistente",IF(AND($L584&lt;&gt;"",COUNTIF(SUB_ID,$L584)=0),"ERRO: subcategoria inexistente",IF(AND($L584&lt;&gt;"",$K584&lt;&gt;"",IFERROR(INDEX(SUB_CATID,MATCH($L584,SUB_ID,0)),"")&lt;&gt;$K584),"ERRO: subcategoria nao pertence a categoria",IF(AND($O584&lt;&gt;"",COUNTIF(P_ID,$O584)=0),"ERRO: parcela inexistente",IF(AND($N584&lt;&gt;"",COUNTIF(CM_ID,$N584)=0),"ERRO: compromisso inexistente","OK")))))))))))))</f>
        <v/>
      </c>
      <c r="AK584" s="35" t="str">
        <f aca="false">IF($B584="","",IF(AND($N584="",$O584="",$P584="",$Q584="",$R584=""),"","VINCULADO: "&amp;TRIM(IF($N584&lt;&gt;"",$N584&amp;" ","")&amp;IF($O584&lt;&gt;"",$O584&amp;" ","")&amp;IF($P584&lt;&gt;"",$P584&amp;" ","")&amp;IF($Q584&lt;&gt;"",$Q584&amp;" ","")&amp;IF($R584&lt;&gt;"",$R584,""))))</f>
        <v/>
      </c>
    </row>
    <row r="585" customFormat="false" ht="15" hidden="false" customHeight="false" outlineLevel="0" collapsed="false">
      <c r="A585" s="30" t="str">
        <f aca="false">IF($B585="","","LAN-"&amp;TEXT(ROW()-4,"000000"))</f>
        <v/>
      </c>
      <c r="B585" s="31"/>
      <c r="C585" s="32"/>
      <c r="D585" s="32"/>
      <c r="E585" s="32"/>
      <c r="F585" s="33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4" t="str">
        <f aca="false">IF($B585="","",YEAR($B585))</f>
        <v/>
      </c>
      <c r="U585" s="34" t="str">
        <f aca="false">IF($B585="","",MONTH($B585))</f>
        <v/>
      </c>
      <c r="V585" s="34" t="str">
        <f aca="false">IF($B585="","",YEAR($B585)*100+MONTH($B585))</f>
        <v/>
      </c>
      <c r="W585" s="35" t="str">
        <f aca="false">IF($D585="","",IFERROR(INDEX(MAP_CLASS,MATCH($D585,MAP_TIPO,0)),"TIPO INVALIDO"))</f>
        <v/>
      </c>
      <c r="X585" s="35" t="str">
        <f aca="false">IF($K585="","",IFERROR(INDEX(CAT_NOME,MATCH($K585,CAT_ID,0)),"?"))</f>
        <v/>
      </c>
      <c r="Y585" s="35" t="str">
        <f aca="false">IF($L585="","",IFERROR(INDEX(SUB_NOME,MATCH($L585,SUB_ID,0)),"?"))</f>
        <v/>
      </c>
      <c r="Z585" s="35" t="str">
        <f aca="false">IF($G585="","",IF($G585="EXTERNO","(Externo)",IFERROR(INDEX(ENT_NOME,MATCH($H585,ENT_ID,0)),"?")))</f>
        <v/>
      </c>
      <c r="AA585" s="35" t="str">
        <f aca="false">IF($I585="","",IF($I585="EXTERNO","(Externo)",IFERROR(INDEX(ENT_NOME,MATCH($J585,ENT_ID,0)),"?")))</f>
        <v/>
      </c>
      <c r="AB585" s="36" t="n">
        <f aca="false">IF($B585="",0,IF(AND($I585="CONTA",$G585&lt;&gt;"CONTA"),$F585,0))</f>
        <v>0</v>
      </c>
      <c r="AC585" s="36" t="n">
        <f aca="false">IF($B585="",0,IF(AND($G585="CONTA",$I585&lt;&gt;"CONTA"),$F585,0))</f>
        <v>0</v>
      </c>
      <c r="AD585" s="36" t="n">
        <f aca="false">IF($W585="RECEITA",$F585,0)</f>
        <v>0</v>
      </c>
      <c r="AE585" s="36" t="n">
        <f aca="false">IF($W585="DESPESA",$F585,0)</f>
        <v>0</v>
      </c>
      <c r="AF585" s="36" t="n">
        <f aca="false">IF($W585="RECEITA_FINANCEIRA",$F585,0)</f>
        <v>0</v>
      </c>
      <c r="AG585" s="36" t="n">
        <f aca="false">IF($B585="",0,IF($I585="CONTA",$F585,0)-IF($G585="CONTA",$F585,0))</f>
        <v>0</v>
      </c>
      <c r="AH585" s="36" t="n">
        <f aca="false">IF($B585="",0,IF($G585="CARTAO",$F585,0)-IF($I585="CARTAO",$F585,0))</f>
        <v>0</v>
      </c>
      <c r="AI585" s="36" t="n">
        <f aca="false">IF($B585="",0,IF($I585="INVESTIMENTO",$F585,0)-IF($G585="INVESTIMENTO",$F585,0))</f>
        <v>0</v>
      </c>
      <c r="AJ585" s="35" t="str">
        <f aca="false">IF($B585="","",IF(NOT(ISNUMBER($F585)),"ERRO: valor nao numerico",IF($F585&lt;=0,"ERRO: valor deve ser maior que zero",IF(COUNTIF(MAP_TIPO,$D585)=0,"ERRO: tipo de operacao nao cadastrado",IF(COUNTIF(LST_STATUS,$E585)=0,"ERRO: status invalido",IF(AND($G585="EXTERNO",$I585="EXTERNO"),"ERRO: origem e destino externos",IF(AND($G585&lt;&gt;"EXTERNO",COUNTIFS(ENT_ID,$H585,ENT_TIPO,$G585)=0),"ERRO: origem inexistente",IF(AND($I585&lt;&gt;"EXTERNO",COUNTIFS(ENT_ID,$J585,ENT_TIPO,$I585)=0),"ERRO: destino inexistente",IF(AND($K585&lt;&gt;"",COUNTIF(CAT_ID,$K585)=0),"ERRO: categoria inexistente",IF(AND($L585&lt;&gt;"",COUNTIF(SUB_ID,$L585)=0),"ERRO: subcategoria inexistente",IF(AND($L585&lt;&gt;"",$K585&lt;&gt;"",IFERROR(INDEX(SUB_CATID,MATCH($L585,SUB_ID,0)),"")&lt;&gt;$K585),"ERRO: subcategoria nao pertence a categoria",IF(AND($O585&lt;&gt;"",COUNTIF(P_ID,$O585)=0),"ERRO: parcela inexistente",IF(AND($N585&lt;&gt;"",COUNTIF(CM_ID,$N585)=0),"ERRO: compromisso inexistente","OK")))))))))))))</f>
        <v/>
      </c>
      <c r="AK585" s="35" t="str">
        <f aca="false">IF($B585="","",IF(AND($N585="",$O585="",$P585="",$Q585="",$R585=""),"","VINCULADO: "&amp;TRIM(IF($N585&lt;&gt;"",$N585&amp;" ","")&amp;IF($O585&lt;&gt;"",$O585&amp;" ","")&amp;IF($P585&lt;&gt;"",$P585&amp;" ","")&amp;IF($Q585&lt;&gt;"",$Q585&amp;" ","")&amp;IF($R585&lt;&gt;"",$R585,""))))</f>
        <v/>
      </c>
    </row>
    <row r="586" customFormat="false" ht="15" hidden="false" customHeight="false" outlineLevel="0" collapsed="false">
      <c r="A586" s="30" t="str">
        <f aca="false">IF($B586="","","LAN-"&amp;TEXT(ROW()-4,"000000"))</f>
        <v/>
      </c>
      <c r="B586" s="31"/>
      <c r="C586" s="32"/>
      <c r="D586" s="32"/>
      <c r="E586" s="32"/>
      <c r="F586" s="33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4" t="str">
        <f aca="false">IF($B586="","",YEAR($B586))</f>
        <v/>
      </c>
      <c r="U586" s="34" t="str">
        <f aca="false">IF($B586="","",MONTH($B586))</f>
        <v/>
      </c>
      <c r="V586" s="34" t="str">
        <f aca="false">IF($B586="","",YEAR($B586)*100+MONTH($B586))</f>
        <v/>
      </c>
      <c r="W586" s="35" t="str">
        <f aca="false">IF($D586="","",IFERROR(INDEX(MAP_CLASS,MATCH($D586,MAP_TIPO,0)),"TIPO INVALIDO"))</f>
        <v/>
      </c>
      <c r="X586" s="35" t="str">
        <f aca="false">IF($K586="","",IFERROR(INDEX(CAT_NOME,MATCH($K586,CAT_ID,0)),"?"))</f>
        <v/>
      </c>
      <c r="Y586" s="35" t="str">
        <f aca="false">IF($L586="","",IFERROR(INDEX(SUB_NOME,MATCH($L586,SUB_ID,0)),"?"))</f>
        <v/>
      </c>
      <c r="Z586" s="35" t="str">
        <f aca="false">IF($G586="","",IF($G586="EXTERNO","(Externo)",IFERROR(INDEX(ENT_NOME,MATCH($H586,ENT_ID,0)),"?")))</f>
        <v/>
      </c>
      <c r="AA586" s="35" t="str">
        <f aca="false">IF($I586="","",IF($I586="EXTERNO","(Externo)",IFERROR(INDEX(ENT_NOME,MATCH($J586,ENT_ID,0)),"?")))</f>
        <v/>
      </c>
      <c r="AB586" s="36" t="n">
        <f aca="false">IF($B586="",0,IF(AND($I586="CONTA",$G586&lt;&gt;"CONTA"),$F586,0))</f>
        <v>0</v>
      </c>
      <c r="AC586" s="36" t="n">
        <f aca="false">IF($B586="",0,IF(AND($G586="CONTA",$I586&lt;&gt;"CONTA"),$F586,0))</f>
        <v>0</v>
      </c>
      <c r="AD586" s="36" t="n">
        <f aca="false">IF($W586="RECEITA",$F586,0)</f>
        <v>0</v>
      </c>
      <c r="AE586" s="36" t="n">
        <f aca="false">IF($W586="DESPESA",$F586,0)</f>
        <v>0</v>
      </c>
      <c r="AF586" s="36" t="n">
        <f aca="false">IF($W586="RECEITA_FINANCEIRA",$F586,0)</f>
        <v>0</v>
      </c>
      <c r="AG586" s="36" t="n">
        <f aca="false">IF($B586="",0,IF($I586="CONTA",$F586,0)-IF($G586="CONTA",$F586,0))</f>
        <v>0</v>
      </c>
      <c r="AH586" s="36" t="n">
        <f aca="false">IF($B586="",0,IF($G586="CARTAO",$F586,0)-IF($I586="CARTAO",$F586,0))</f>
        <v>0</v>
      </c>
      <c r="AI586" s="36" t="n">
        <f aca="false">IF($B586="",0,IF($I586="INVESTIMENTO",$F586,0)-IF($G586="INVESTIMENTO",$F586,0))</f>
        <v>0</v>
      </c>
      <c r="AJ586" s="35" t="str">
        <f aca="false">IF($B586="","",IF(NOT(ISNUMBER($F586)),"ERRO: valor nao numerico",IF($F586&lt;=0,"ERRO: valor deve ser maior que zero",IF(COUNTIF(MAP_TIPO,$D586)=0,"ERRO: tipo de operacao nao cadastrado",IF(COUNTIF(LST_STATUS,$E586)=0,"ERRO: status invalido",IF(AND($G586="EXTERNO",$I586="EXTERNO"),"ERRO: origem e destino externos",IF(AND($G586&lt;&gt;"EXTERNO",COUNTIFS(ENT_ID,$H586,ENT_TIPO,$G586)=0),"ERRO: origem inexistente",IF(AND($I586&lt;&gt;"EXTERNO",COUNTIFS(ENT_ID,$J586,ENT_TIPO,$I586)=0),"ERRO: destino inexistente",IF(AND($K586&lt;&gt;"",COUNTIF(CAT_ID,$K586)=0),"ERRO: categoria inexistente",IF(AND($L586&lt;&gt;"",COUNTIF(SUB_ID,$L586)=0),"ERRO: subcategoria inexistente",IF(AND($L586&lt;&gt;"",$K586&lt;&gt;"",IFERROR(INDEX(SUB_CATID,MATCH($L586,SUB_ID,0)),"")&lt;&gt;$K586),"ERRO: subcategoria nao pertence a categoria",IF(AND($O586&lt;&gt;"",COUNTIF(P_ID,$O586)=0),"ERRO: parcela inexistente",IF(AND($N586&lt;&gt;"",COUNTIF(CM_ID,$N586)=0),"ERRO: compromisso inexistente","OK")))))))))))))</f>
        <v/>
      </c>
      <c r="AK586" s="35" t="str">
        <f aca="false">IF($B586="","",IF(AND($N586="",$O586="",$P586="",$Q586="",$R586=""),"","VINCULADO: "&amp;TRIM(IF($N586&lt;&gt;"",$N586&amp;" ","")&amp;IF($O586&lt;&gt;"",$O586&amp;" ","")&amp;IF($P586&lt;&gt;"",$P586&amp;" ","")&amp;IF($Q586&lt;&gt;"",$Q586&amp;" ","")&amp;IF($R586&lt;&gt;"",$R586,""))))</f>
        <v/>
      </c>
    </row>
    <row r="587" customFormat="false" ht="15" hidden="false" customHeight="false" outlineLevel="0" collapsed="false">
      <c r="A587" s="30" t="str">
        <f aca="false">IF($B587="","","LAN-"&amp;TEXT(ROW()-4,"000000"))</f>
        <v/>
      </c>
      <c r="B587" s="31"/>
      <c r="C587" s="32"/>
      <c r="D587" s="32"/>
      <c r="E587" s="32"/>
      <c r="F587" s="33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4" t="str">
        <f aca="false">IF($B587="","",YEAR($B587))</f>
        <v/>
      </c>
      <c r="U587" s="34" t="str">
        <f aca="false">IF($B587="","",MONTH($B587))</f>
        <v/>
      </c>
      <c r="V587" s="34" t="str">
        <f aca="false">IF($B587="","",YEAR($B587)*100+MONTH($B587))</f>
        <v/>
      </c>
      <c r="W587" s="35" t="str">
        <f aca="false">IF($D587="","",IFERROR(INDEX(MAP_CLASS,MATCH($D587,MAP_TIPO,0)),"TIPO INVALIDO"))</f>
        <v/>
      </c>
      <c r="X587" s="35" t="str">
        <f aca="false">IF($K587="","",IFERROR(INDEX(CAT_NOME,MATCH($K587,CAT_ID,0)),"?"))</f>
        <v/>
      </c>
      <c r="Y587" s="35" t="str">
        <f aca="false">IF($L587="","",IFERROR(INDEX(SUB_NOME,MATCH($L587,SUB_ID,0)),"?"))</f>
        <v/>
      </c>
      <c r="Z587" s="35" t="str">
        <f aca="false">IF($G587="","",IF($G587="EXTERNO","(Externo)",IFERROR(INDEX(ENT_NOME,MATCH($H587,ENT_ID,0)),"?")))</f>
        <v/>
      </c>
      <c r="AA587" s="35" t="str">
        <f aca="false">IF($I587="","",IF($I587="EXTERNO","(Externo)",IFERROR(INDEX(ENT_NOME,MATCH($J587,ENT_ID,0)),"?")))</f>
        <v/>
      </c>
      <c r="AB587" s="36" t="n">
        <f aca="false">IF($B587="",0,IF(AND($I587="CONTA",$G587&lt;&gt;"CONTA"),$F587,0))</f>
        <v>0</v>
      </c>
      <c r="AC587" s="36" t="n">
        <f aca="false">IF($B587="",0,IF(AND($G587="CONTA",$I587&lt;&gt;"CONTA"),$F587,0))</f>
        <v>0</v>
      </c>
      <c r="AD587" s="36" t="n">
        <f aca="false">IF($W587="RECEITA",$F587,0)</f>
        <v>0</v>
      </c>
      <c r="AE587" s="36" t="n">
        <f aca="false">IF($W587="DESPESA",$F587,0)</f>
        <v>0</v>
      </c>
      <c r="AF587" s="36" t="n">
        <f aca="false">IF($W587="RECEITA_FINANCEIRA",$F587,0)</f>
        <v>0</v>
      </c>
      <c r="AG587" s="36" t="n">
        <f aca="false">IF($B587="",0,IF($I587="CONTA",$F587,0)-IF($G587="CONTA",$F587,0))</f>
        <v>0</v>
      </c>
      <c r="AH587" s="36" t="n">
        <f aca="false">IF($B587="",0,IF($G587="CARTAO",$F587,0)-IF($I587="CARTAO",$F587,0))</f>
        <v>0</v>
      </c>
      <c r="AI587" s="36" t="n">
        <f aca="false">IF($B587="",0,IF($I587="INVESTIMENTO",$F587,0)-IF($G587="INVESTIMENTO",$F587,0))</f>
        <v>0</v>
      </c>
      <c r="AJ587" s="35" t="str">
        <f aca="false">IF($B587="","",IF(NOT(ISNUMBER($F587)),"ERRO: valor nao numerico",IF($F587&lt;=0,"ERRO: valor deve ser maior que zero",IF(COUNTIF(MAP_TIPO,$D587)=0,"ERRO: tipo de operacao nao cadastrado",IF(COUNTIF(LST_STATUS,$E587)=0,"ERRO: status invalido",IF(AND($G587="EXTERNO",$I587="EXTERNO"),"ERRO: origem e destino externos",IF(AND($G587&lt;&gt;"EXTERNO",COUNTIFS(ENT_ID,$H587,ENT_TIPO,$G587)=0),"ERRO: origem inexistente",IF(AND($I587&lt;&gt;"EXTERNO",COUNTIFS(ENT_ID,$J587,ENT_TIPO,$I587)=0),"ERRO: destino inexistente",IF(AND($K587&lt;&gt;"",COUNTIF(CAT_ID,$K587)=0),"ERRO: categoria inexistente",IF(AND($L587&lt;&gt;"",COUNTIF(SUB_ID,$L587)=0),"ERRO: subcategoria inexistente",IF(AND($L587&lt;&gt;"",$K587&lt;&gt;"",IFERROR(INDEX(SUB_CATID,MATCH($L587,SUB_ID,0)),"")&lt;&gt;$K587),"ERRO: subcategoria nao pertence a categoria",IF(AND($O587&lt;&gt;"",COUNTIF(P_ID,$O587)=0),"ERRO: parcela inexistente",IF(AND($N587&lt;&gt;"",COUNTIF(CM_ID,$N587)=0),"ERRO: compromisso inexistente","OK")))))))))))))</f>
        <v/>
      </c>
      <c r="AK587" s="35" t="str">
        <f aca="false">IF($B587="","",IF(AND($N587="",$O587="",$P587="",$Q587="",$R587=""),"","VINCULADO: "&amp;TRIM(IF($N587&lt;&gt;"",$N587&amp;" ","")&amp;IF($O587&lt;&gt;"",$O587&amp;" ","")&amp;IF($P587&lt;&gt;"",$P587&amp;" ","")&amp;IF($Q587&lt;&gt;"",$Q587&amp;" ","")&amp;IF($R587&lt;&gt;"",$R587,""))))</f>
        <v/>
      </c>
    </row>
    <row r="588" customFormat="false" ht="15" hidden="false" customHeight="false" outlineLevel="0" collapsed="false">
      <c r="A588" s="30" t="str">
        <f aca="false">IF($B588="","","LAN-"&amp;TEXT(ROW()-4,"000000"))</f>
        <v/>
      </c>
      <c r="B588" s="31"/>
      <c r="C588" s="32"/>
      <c r="D588" s="32"/>
      <c r="E588" s="32"/>
      <c r="F588" s="33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4" t="str">
        <f aca="false">IF($B588="","",YEAR($B588))</f>
        <v/>
      </c>
      <c r="U588" s="34" t="str">
        <f aca="false">IF($B588="","",MONTH($B588))</f>
        <v/>
      </c>
      <c r="V588" s="34" t="str">
        <f aca="false">IF($B588="","",YEAR($B588)*100+MONTH($B588))</f>
        <v/>
      </c>
      <c r="W588" s="35" t="str">
        <f aca="false">IF($D588="","",IFERROR(INDEX(MAP_CLASS,MATCH($D588,MAP_TIPO,0)),"TIPO INVALIDO"))</f>
        <v/>
      </c>
      <c r="X588" s="35" t="str">
        <f aca="false">IF($K588="","",IFERROR(INDEX(CAT_NOME,MATCH($K588,CAT_ID,0)),"?"))</f>
        <v/>
      </c>
      <c r="Y588" s="35" t="str">
        <f aca="false">IF($L588="","",IFERROR(INDEX(SUB_NOME,MATCH($L588,SUB_ID,0)),"?"))</f>
        <v/>
      </c>
      <c r="Z588" s="35" t="str">
        <f aca="false">IF($G588="","",IF($G588="EXTERNO","(Externo)",IFERROR(INDEX(ENT_NOME,MATCH($H588,ENT_ID,0)),"?")))</f>
        <v/>
      </c>
      <c r="AA588" s="35" t="str">
        <f aca="false">IF($I588="","",IF($I588="EXTERNO","(Externo)",IFERROR(INDEX(ENT_NOME,MATCH($J588,ENT_ID,0)),"?")))</f>
        <v/>
      </c>
      <c r="AB588" s="36" t="n">
        <f aca="false">IF($B588="",0,IF(AND($I588="CONTA",$G588&lt;&gt;"CONTA"),$F588,0))</f>
        <v>0</v>
      </c>
      <c r="AC588" s="36" t="n">
        <f aca="false">IF($B588="",0,IF(AND($G588="CONTA",$I588&lt;&gt;"CONTA"),$F588,0))</f>
        <v>0</v>
      </c>
      <c r="AD588" s="36" t="n">
        <f aca="false">IF($W588="RECEITA",$F588,0)</f>
        <v>0</v>
      </c>
      <c r="AE588" s="36" t="n">
        <f aca="false">IF($W588="DESPESA",$F588,0)</f>
        <v>0</v>
      </c>
      <c r="AF588" s="36" t="n">
        <f aca="false">IF($W588="RECEITA_FINANCEIRA",$F588,0)</f>
        <v>0</v>
      </c>
      <c r="AG588" s="36" t="n">
        <f aca="false">IF($B588="",0,IF($I588="CONTA",$F588,0)-IF($G588="CONTA",$F588,0))</f>
        <v>0</v>
      </c>
      <c r="AH588" s="36" t="n">
        <f aca="false">IF($B588="",0,IF($G588="CARTAO",$F588,0)-IF($I588="CARTAO",$F588,0))</f>
        <v>0</v>
      </c>
      <c r="AI588" s="36" t="n">
        <f aca="false">IF($B588="",0,IF($I588="INVESTIMENTO",$F588,0)-IF($G588="INVESTIMENTO",$F588,0))</f>
        <v>0</v>
      </c>
      <c r="AJ588" s="35" t="str">
        <f aca="false">IF($B588="","",IF(NOT(ISNUMBER($F588)),"ERRO: valor nao numerico",IF($F588&lt;=0,"ERRO: valor deve ser maior que zero",IF(COUNTIF(MAP_TIPO,$D588)=0,"ERRO: tipo de operacao nao cadastrado",IF(COUNTIF(LST_STATUS,$E588)=0,"ERRO: status invalido",IF(AND($G588="EXTERNO",$I588="EXTERNO"),"ERRO: origem e destino externos",IF(AND($G588&lt;&gt;"EXTERNO",COUNTIFS(ENT_ID,$H588,ENT_TIPO,$G588)=0),"ERRO: origem inexistente",IF(AND($I588&lt;&gt;"EXTERNO",COUNTIFS(ENT_ID,$J588,ENT_TIPO,$I588)=0),"ERRO: destino inexistente",IF(AND($K588&lt;&gt;"",COUNTIF(CAT_ID,$K588)=0),"ERRO: categoria inexistente",IF(AND($L588&lt;&gt;"",COUNTIF(SUB_ID,$L588)=0),"ERRO: subcategoria inexistente",IF(AND($L588&lt;&gt;"",$K588&lt;&gt;"",IFERROR(INDEX(SUB_CATID,MATCH($L588,SUB_ID,0)),"")&lt;&gt;$K588),"ERRO: subcategoria nao pertence a categoria",IF(AND($O588&lt;&gt;"",COUNTIF(P_ID,$O588)=0),"ERRO: parcela inexistente",IF(AND($N588&lt;&gt;"",COUNTIF(CM_ID,$N588)=0),"ERRO: compromisso inexistente","OK")))))))))))))</f>
        <v/>
      </c>
      <c r="AK588" s="35" t="str">
        <f aca="false">IF($B588="","",IF(AND($N588="",$O588="",$P588="",$Q588="",$R588=""),"","VINCULADO: "&amp;TRIM(IF($N588&lt;&gt;"",$N588&amp;" ","")&amp;IF($O588&lt;&gt;"",$O588&amp;" ","")&amp;IF($P588&lt;&gt;"",$P588&amp;" ","")&amp;IF($Q588&lt;&gt;"",$Q588&amp;" ","")&amp;IF($R588&lt;&gt;"",$R588,""))))</f>
        <v/>
      </c>
    </row>
    <row r="589" customFormat="false" ht="15" hidden="false" customHeight="false" outlineLevel="0" collapsed="false">
      <c r="A589" s="30" t="str">
        <f aca="false">IF($B589="","","LAN-"&amp;TEXT(ROW()-4,"000000"))</f>
        <v/>
      </c>
      <c r="B589" s="31"/>
      <c r="C589" s="32"/>
      <c r="D589" s="32"/>
      <c r="E589" s="32"/>
      <c r="F589" s="33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4" t="str">
        <f aca="false">IF($B589="","",YEAR($B589))</f>
        <v/>
      </c>
      <c r="U589" s="34" t="str">
        <f aca="false">IF($B589="","",MONTH($B589))</f>
        <v/>
      </c>
      <c r="V589" s="34" t="str">
        <f aca="false">IF($B589="","",YEAR($B589)*100+MONTH($B589))</f>
        <v/>
      </c>
      <c r="W589" s="35" t="str">
        <f aca="false">IF($D589="","",IFERROR(INDEX(MAP_CLASS,MATCH($D589,MAP_TIPO,0)),"TIPO INVALIDO"))</f>
        <v/>
      </c>
      <c r="X589" s="35" t="str">
        <f aca="false">IF($K589="","",IFERROR(INDEX(CAT_NOME,MATCH($K589,CAT_ID,0)),"?"))</f>
        <v/>
      </c>
      <c r="Y589" s="35" t="str">
        <f aca="false">IF($L589="","",IFERROR(INDEX(SUB_NOME,MATCH($L589,SUB_ID,0)),"?"))</f>
        <v/>
      </c>
      <c r="Z589" s="35" t="str">
        <f aca="false">IF($G589="","",IF($G589="EXTERNO","(Externo)",IFERROR(INDEX(ENT_NOME,MATCH($H589,ENT_ID,0)),"?")))</f>
        <v/>
      </c>
      <c r="AA589" s="35" t="str">
        <f aca="false">IF($I589="","",IF($I589="EXTERNO","(Externo)",IFERROR(INDEX(ENT_NOME,MATCH($J589,ENT_ID,0)),"?")))</f>
        <v/>
      </c>
      <c r="AB589" s="36" t="n">
        <f aca="false">IF($B589="",0,IF(AND($I589="CONTA",$G589&lt;&gt;"CONTA"),$F589,0))</f>
        <v>0</v>
      </c>
      <c r="AC589" s="36" t="n">
        <f aca="false">IF($B589="",0,IF(AND($G589="CONTA",$I589&lt;&gt;"CONTA"),$F589,0))</f>
        <v>0</v>
      </c>
      <c r="AD589" s="36" t="n">
        <f aca="false">IF($W589="RECEITA",$F589,0)</f>
        <v>0</v>
      </c>
      <c r="AE589" s="36" t="n">
        <f aca="false">IF($W589="DESPESA",$F589,0)</f>
        <v>0</v>
      </c>
      <c r="AF589" s="36" t="n">
        <f aca="false">IF($W589="RECEITA_FINANCEIRA",$F589,0)</f>
        <v>0</v>
      </c>
      <c r="AG589" s="36" t="n">
        <f aca="false">IF($B589="",0,IF($I589="CONTA",$F589,0)-IF($G589="CONTA",$F589,0))</f>
        <v>0</v>
      </c>
      <c r="AH589" s="36" t="n">
        <f aca="false">IF($B589="",0,IF($G589="CARTAO",$F589,0)-IF($I589="CARTAO",$F589,0))</f>
        <v>0</v>
      </c>
      <c r="AI589" s="36" t="n">
        <f aca="false">IF($B589="",0,IF($I589="INVESTIMENTO",$F589,0)-IF($G589="INVESTIMENTO",$F589,0))</f>
        <v>0</v>
      </c>
      <c r="AJ589" s="35" t="str">
        <f aca="false">IF($B589="","",IF(NOT(ISNUMBER($F589)),"ERRO: valor nao numerico",IF($F589&lt;=0,"ERRO: valor deve ser maior que zero",IF(COUNTIF(MAP_TIPO,$D589)=0,"ERRO: tipo de operacao nao cadastrado",IF(COUNTIF(LST_STATUS,$E589)=0,"ERRO: status invalido",IF(AND($G589="EXTERNO",$I589="EXTERNO"),"ERRO: origem e destino externos",IF(AND($G589&lt;&gt;"EXTERNO",COUNTIFS(ENT_ID,$H589,ENT_TIPO,$G589)=0),"ERRO: origem inexistente",IF(AND($I589&lt;&gt;"EXTERNO",COUNTIFS(ENT_ID,$J589,ENT_TIPO,$I589)=0),"ERRO: destino inexistente",IF(AND($K589&lt;&gt;"",COUNTIF(CAT_ID,$K589)=0),"ERRO: categoria inexistente",IF(AND($L589&lt;&gt;"",COUNTIF(SUB_ID,$L589)=0),"ERRO: subcategoria inexistente",IF(AND($L589&lt;&gt;"",$K589&lt;&gt;"",IFERROR(INDEX(SUB_CATID,MATCH($L589,SUB_ID,0)),"")&lt;&gt;$K589),"ERRO: subcategoria nao pertence a categoria",IF(AND($O589&lt;&gt;"",COUNTIF(P_ID,$O589)=0),"ERRO: parcela inexistente",IF(AND($N589&lt;&gt;"",COUNTIF(CM_ID,$N589)=0),"ERRO: compromisso inexistente","OK")))))))))))))</f>
        <v/>
      </c>
      <c r="AK589" s="35" t="str">
        <f aca="false">IF($B589="","",IF(AND($N589="",$O589="",$P589="",$Q589="",$R589=""),"","VINCULADO: "&amp;TRIM(IF($N589&lt;&gt;"",$N589&amp;" ","")&amp;IF($O589&lt;&gt;"",$O589&amp;" ","")&amp;IF($P589&lt;&gt;"",$P589&amp;" ","")&amp;IF($Q589&lt;&gt;"",$Q589&amp;" ","")&amp;IF($R589&lt;&gt;"",$R589,""))))</f>
        <v/>
      </c>
    </row>
    <row r="590" customFormat="false" ht="15" hidden="false" customHeight="false" outlineLevel="0" collapsed="false">
      <c r="A590" s="30" t="str">
        <f aca="false">IF($B590="","","LAN-"&amp;TEXT(ROW()-4,"000000"))</f>
        <v/>
      </c>
      <c r="B590" s="31"/>
      <c r="C590" s="32"/>
      <c r="D590" s="32"/>
      <c r="E590" s="32"/>
      <c r="F590" s="33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4" t="str">
        <f aca="false">IF($B590="","",YEAR($B590))</f>
        <v/>
      </c>
      <c r="U590" s="34" t="str">
        <f aca="false">IF($B590="","",MONTH($B590))</f>
        <v/>
      </c>
      <c r="V590" s="34" t="str">
        <f aca="false">IF($B590="","",YEAR($B590)*100+MONTH($B590))</f>
        <v/>
      </c>
      <c r="W590" s="35" t="str">
        <f aca="false">IF($D590="","",IFERROR(INDEX(MAP_CLASS,MATCH($D590,MAP_TIPO,0)),"TIPO INVALIDO"))</f>
        <v/>
      </c>
      <c r="X590" s="35" t="str">
        <f aca="false">IF($K590="","",IFERROR(INDEX(CAT_NOME,MATCH($K590,CAT_ID,0)),"?"))</f>
        <v/>
      </c>
      <c r="Y590" s="35" t="str">
        <f aca="false">IF($L590="","",IFERROR(INDEX(SUB_NOME,MATCH($L590,SUB_ID,0)),"?"))</f>
        <v/>
      </c>
      <c r="Z590" s="35" t="str">
        <f aca="false">IF($G590="","",IF($G590="EXTERNO","(Externo)",IFERROR(INDEX(ENT_NOME,MATCH($H590,ENT_ID,0)),"?")))</f>
        <v/>
      </c>
      <c r="AA590" s="35" t="str">
        <f aca="false">IF($I590="","",IF($I590="EXTERNO","(Externo)",IFERROR(INDEX(ENT_NOME,MATCH($J590,ENT_ID,0)),"?")))</f>
        <v/>
      </c>
      <c r="AB590" s="36" t="n">
        <f aca="false">IF($B590="",0,IF(AND($I590="CONTA",$G590&lt;&gt;"CONTA"),$F590,0))</f>
        <v>0</v>
      </c>
      <c r="AC590" s="36" t="n">
        <f aca="false">IF($B590="",0,IF(AND($G590="CONTA",$I590&lt;&gt;"CONTA"),$F590,0))</f>
        <v>0</v>
      </c>
      <c r="AD590" s="36" t="n">
        <f aca="false">IF($W590="RECEITA",$F590,0)</f>
        <v>0</v>
      </c>
      <c r="AE590" s="36" t="n">
        <f aca="false">IF($W590="DESPESA",$F590,0)</f>
        <v>0</v>
      </c>
      <c r="AF590" s="36" t="n">
        <f aca="false">IF($W590="RECEITA_FINANCEIRA",$F590,0)</f>
        <v>0</v>
      </c>
      <c r="AG590" s="36" t="n">
        <f aca="false">IF($B590="",0,IF($I590="CONTA",$F590,0)-IF($G590="CONTA",$F590,0))</f>
        <v>0</v>
      </c>
      <c r="AH590" s="36" t="n">
        <f aca="false">IF($B590="",0,IF($G590="CARTAO",$F590,0)-IF($I590="CARTAO",$F590,0))</f>
        <v>0</v>
      </c>
      <c r="AI590" s="36" t="n">
        <f aca="false">IF($B590="",0,IF($I590="INVESTIMENTO",$F590,0)-IF($G590="INVESTIMENTO",$F590,0))</f>
        <v>0</v>
      </c>
      <c r="AJ590" s="35" t="str">
        <f aca="false">IF($B590="","",IF(NOT(ISNUMBER($F590)),"ERRO: valor nao numerico",IF($F590&lt;=0,"ERRO: valor deve ser maior que zero",IF(COUNTIF(MAP_TIPO,$D590)=0,"ERRO: tipo de operacao nao cadastrado",IF(COUNTIF(LST_STATUS,$E590)=0,"ERRO: status invalido",IF(AND($G590="EXTERNO",$I590="EXTERNO"),"ERRO: origem e destino externos",IF(AND($G590&lt;&gt;"EXTERNO",COUNTIFS(ENT_ID,$H590,ENT_TIPO,$G590)=0),"ERRO: origem inexistente",IF(AND($I590&lt;&gt;"EXTERNO",COUNTIFS(ENT_ID,$J590,ENT_TIPO,$I590)=0),"ERRO: destino inexistente",IF(AND($K590&lt;&gt;"",COUNTIF(CAT_ID,$K590)=0),"ERRO: categoria inexistente",IF(AND($L590&lt;&gt;"",COUNTIF(SUB_ID,$L590)=0),"ERRO: subcategoria inexistente",IF(AND($L590&lt;&gt;"",$K590&lt;&gt;"",IFERROR(INDEX(SUB_CATID,MATCH($L590,SUB_ID,0)),"")&lt;&gt;$K590),"ERRO: subcategoria nao pertence a categoria",IF(AND($O590&lt;&gt;"",COUNTIF(P_ID,$O590)=0),"ERRO: parcela inexistente",IF(AND($N590&lt;&gt;"",COUNTIF(CM_ID,$N590)=0),"ERRO: compromisso inexistente","OK")))))))))))))</f>
        <v/>
      </c>
      <c r="AK590" s="35" t="str">
        <f aca="false">IF($B590="","",IF(AND($N590="",$O590="",$P590="",$Q590="",$R590=""),"","VINCULADO: "&amp;TRIM(IF($N590&lt;&gt;"",$N590&amp;" ","")&amp;IF($O590&lt;&gt;"",$O590&amp;" ","")&amp;IF($P590&lt;&gt;"",$P590&amp;" ","")&amp;IF($Q590&lt;&gt;"",$Q590&amp;" ","")&amp;IF($R590&lt;&gt;"",$R590,""))))</f>
        <v/>
      </c>
    </row>
    <row r="591" customFormat="false" ht="15" hidden="false" customHeight="false" outlineLevel="0" collapsed="false">
      <c r="A591" s="30" t="str">
        <f aca="false">IF($B591="","","LAN-"&amp;TEXT(ROW()-4,"000000"))</f>
        <v/>
      </c>
      <c r="B591" s="31"/>
      <c r="C591" s="32"/>
      <c r="D591" s="32"/>
      <c r="E591" s="32"/>
      <c r="F591" s="33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4" t="str">
        <f aca="false">IF($B591="","",YEAR($B591))</f>
        <v/>
      </c>
      <c r="U591" s="34" t="str">
        <f aca="false">IF($B591="","",MONTH($B591))</f>
        <v/>
      </c>
      <c r="V591" s="34" t="str">
        <f aca="false">IF($B591="","",YEAR($B591)*100+MONTH($B591))</f>
        <v/>
      </c>
      <c r="W591" s="35" t="str">
        <f aca="false">IF($D591="","",IFERROR(INDEX(MAP_CLASS,MATCH($D591,MAP_TIPO,0)),"TIPO INVALIDO"))</f>
        <v/>
      </c>
      <c r="X591" s="35" t="str">
        <f aca="false">IF($K591="","",IFERROR(INDEX(CAT_NOME,MATCH($K591,CAT_ID,0)),"?"))</f>
        <v/>
      </c>
      <c r="Y591" s="35" t="str">
        <f aca="false">IF($L591="","",IFERROR(INDEX(SUB_NOME,MATCH($L591,SUB_ID,0)),"?"))</f>
        <v/>
      </c>
      <c r="Z591" s="35" t="str">
        <f aca="false">IF($G591="","",IF($G591="EXTERNO","(Externo)",IFERROR(INDEX(ENT_NOME,MATCH($H591,ENT_ID,0)),"?")))</f>
        <v/>
      </c>
      <c r="AA591" s="35" t="str">
        <f aca="false">IF($I591="","",IF($I591="EXTERNO","(Externo)",IFERROR(INDEX(ENT_NOME,MATCH($J591,ENT_ID,0)),"?")))</f>
        <v/>
      </c>
      <c r="AB591" s="36" t="n">
        <f aca="false">IF($B591="",0,IF(AND($I591="CONTA",$G591&lt;&gt;"CONTA"),$F591,0))</f>
        <v>0</v>
      </c>
      <c r="AC591" s="36" t="n">
        <f aca="false">IF($B591="",0,IF(AND($G591="CONTA",$I591&lt;&gt;"CONTA"),$F591,0))</f>
        <v>0</v>
      </c>
      <c r="AD591" s="36" t="n">
        <f aca="false">IF($W591="RECEITA",$F591,0)</f>
        <v>0</v>
      </c>
      <c r="AE591" s="36" t="n">
        <f aca="false">IF($W591="DESPESA",$F591,0)</f>
        <v>0</v>
      </c>
      <c r="AF591" s="36" t="n">
        <f aca="false">IF($W591="RECEITA_FINANCEIRA",$F591,0)</f>
        <v>0</v>
      </c>
      <c r="AG591" s="36" t="n">
        <f aca="false">IF($B591="",0,IF($I591="CONTA",$F591,0)-IF($G591="CONTA",$F591,0))</f>
        <v>0</v>
      </c>
      <c r="AH591" s="36" t="n">
        <f aca="false">IF($B591="",0,IF($G591="CARTAO",$F591,0)-IF($I591="CARTAO",$F591,0))</f>
        <v>0</v>
      </c>
      <c r="AI591" s="36" t="n">
        <f aca="false">IF($B591="",0,IF($I591="INVESTIMENTO",$F591,0)-IF($G591="INVESTIMENTO",$F591,0))</f>
        <v>0</v>
      </c>
      <c r="AJ591" s="35" t="str">
        <f aca="false">IF($B591="","",IF(NOT(ISNUMBER($F591)),"ERRO: valor nao numerico",IF($F591&lt;=0,"ERRO: valor deve ser maior que zero",IF(COUNTIF(MAP_TIPO,$D591)=0,"ERRO: tipo de operacao nao cadastrado",IF(COUNTIF(LST_STATUS,$E591)=0,"ERRO: status invalido",IF(AND($G591="EXTERNO",$I591="EXTERNO"),"ERRO: origem e destino externos",IF(AND($G591&lt;&gt;"EXTERNO",COUNTIFS(ENT_ID,$H591,ENT_TIPO,$G591)=0),"ERRO: origem inexistente",IF(AND($I591&lt;&gt;"EXTERNO",COUNTIFS(ENT_ID,$J591,ENT_TIPO,$I591)=0),"ERRO: destino inexistente",IF(AND($K591&lt;&gt;"",COUNTIF(CAT_ID,$K591)=0),"ERRO: categoria inexistente",IF(AND($L591&lt;&gt;"",COUNTIF(SUB_ID,$L591)=0),"ERRO: subcategoria inexistente",IF(AND($L591&lt;&gt;"",$K591&lt;&gt;"",IFERROR(INDEX(SUB_CATID,MATCH($L591,SUB_ID,0)),"")&lt;&gt;$K591),"ERRO: subcategoria nao pertence a categoria",IF(AND($O591&lt;&gt;"",COUNTIF(P_ID,$O591)=0),"ERRO: parcela inexistente",IF(AND($N591&lt;&gt;"",COUNTIF(CM_ID,$N591)=0),"ERRO: compromisso inexistente","OK")))))))))))))</f>
        <v/>
      </c>
      <c r="AK591" s="35" t="str">
        <f aca="false">IF($B591="","",IF(AND($N591="",$O591="",$P591="",$Q591="",$R591=""),"","VINCULADO: "&amp;TRIM(IF($N591&lt;&gt;"",$N591&amp;" ","")&amp;IF($O591&lt;&gt;"",$O591&amp;" ","")&amp;IF($P591&lt;&gt;"",$P591&amp;" ","")&amp;IF($Q591&lt;&gt;"",$Q591&amp;" ","")&amp;IF($R591&lt;&gt;"",$R591,""))))</f>
        <v/>
      </c>
    </row>
    <row r="592" customFormat="false" ht="15" hidden="false" customHeight="false" outlineLevel="0" collapsed="false">
      <c r="A592" s="30" t="str">
        <f aca="false">IF($B592="","","LAN-"&amp;TEXT(ROW()-4,"000000"))</f>
        <v/>
      </c>
      <c r="B592" s="31"/>
      <c r="C592" s="32"/>
      <c r="D592" s="32"/>
      <c r="E592" s="32"/>
      <c r="F592" s="33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4" t="str">
        <f aca="false">IF($B592="","",YEAR($B592))</f>
        <v/>
      </c>
      <c r="U592" s="34" t="str">
        <f aca="false">IF($B592="","",MONTH($B592))</f>
        <v/>
      </c>
      <c r="V592" s="34" t="str">
        <f aca="false">IF($B592="","",YEAR($B592)*100+MONTH($B592))</f>
        <v/>
      </c>
      <c r="W592" s="35" t="str">
        <f aca="false">IF($D592="","",IFERROR(INDEX(MAP_CLASS,MATCH($D592,MAP_TIPO,0)),"TIPO INVALIDO"))</f>
        <v/>
      </c>
      <c r="X592" s="35" t="str">
        <f aca="false">IF($K592="","",IFERROR(INDEX(CAT_NOME,MATCH($K592,CAT_ID,0)),"?"))</f>
        <v/>
      </c>
      <c r="Y592" s="35" t="str">
        <f aca="false">IF($L592="","",IFERROR(INDEX(SUB_NOME,MATCH($L592,SUB_ID,0)),"?"))</f>
        <v/>
      </c>
      <c r="Z592" s="35" t="str">
        <f aca="false">IF($G592="","",IF($G592="EXTERNO","(Externo)",IFERROR(INDEX(ENT_NOME,MATCH($H592,ENT_ID,0)),"?")))</f>
        <v/>
      </c>
      <c r="AA592" s="35" t="str">
        <f aca="false">IF($I592="","",IF($I592="EXTERNO","(Externo)",IFERROR(INDEX(ENT_NOME,MATCH($J592,ENT_ID,0)),"?")))</f>
        <v/>
      </c>
      <c r="AB592" s="36" t="n">
        <f aca="false">IF($B592="",0,IF(AND($I592="CONTA",$G592&lt;&gt;"CONTA"),$F592,0))</f>
        <v>0</v>
      </c>
      <c r="AC592" s="36" t="n">
        <f aca="false">IF($B592="",0,IF(AND($G592="CONTA",$I592&lt;&gt;"CONTA"),$F592,0))</f>
        <v>0</v>
      </c>
      <c r="AD592" s="36" t="n">
        <f aca="false">IF($W592="RECEITA",$F592,0)</f>
        <v>0</v>
      </c>
      <c r="AE592" s="36" t="n">
        <f aca="false">IF($W592="DESPESA",$F592,0)</f>
        <v>0</v>
      </c>
      <c r="AF592" s="36" t="n">
        <f aca="false">IF($W592="RECEITA_FINANCEIRA",$F592,0)</f>
        <v>0</v>
      </c>
      <c r="AG592" s="36" t="n">
        <f aca="false">IF($B592="",0,IF($I592="CONTA",$F592,0)-IF($G592="CONTA",$F592,0))</f>
        <v>0</v>
      </c>
      <c r="AH592" s="36" t="n">
        <f aca="false">IF($B592="",0,IF($G592="CARTAO",$F592,0)-IF($I592="CARTAO",$F592,0))</f>
        <v>0</v>
      </c>
      <c r="AI592" s="36" t="n">
        <f aca="false">IF($B592="",0,IF($I592="INVESTIMENTO",$F592,0)-IF($G592="INVESTIMENTO",$F592,0))</f>
        <v>0</v>
      </c>
      <c r="AJ592" s="35" t="str">
        <f aca="false">IF($B592="","",IF(NOT(ISNUMBER($F592)),"ERRO: valor nao numerico",IF($F592&lt;=0,"ERRO: valor deve ser maior que zero",IF(COUNTIF(MAP_TIPO,$D592)=0,"ERRO: tipo de operacao nao cadastrado",IF(COUNTIF(LST_STATUS,$E592)=0,"ERRO: status invalido",IF(AND($G592="EXTERNO",$I592="EXTERNO"),"ERRO: origem e destino externos",IF(AND($G592&lt;&gt;"EXTERNO",COUNTIFS(ENT_ID,$H592,ENT_TIPO,$G592)=0),"ERRO: origem inexistente",IF(AND($I592&lt;&gt;"EXTERNO",COUNTIFS(ENT_ID,$J592,ENT_TIPO,$I592)=0),"ERRO: destino inexistente",IF(AND($K592&lt;&gt;"",COUNTIF(CAT_ID,$K592)=0),"ERRO: categoria inexistente",IF(AND($L592&lt;&gt;"",COUNTIF(SUB_ID,$L592)=0),"ERRO: subcategoria inexistente",IF(AND($L592&lt;&gt;"",$K592&lt;&gt;"",IFERROR(INDEX(SUB_CATID,MATCH($L592,SUB_ID,0)),"")&lt;&gt;$K592),"ERRO: subcategoria nao pertence a categoria",IF(AND($O592&lt;&gt;"",COUNTIF(P_ID,$O592)=0),"ERRO: parcela inexistente",IF(AND($N592&lt;&gt;"",COUNTIF(CM_ID,$N592)=0),"ERRO: compromisso inexistente","OK")))))))))))))</f>
        <v/>
      </c>
      <c r="AK592" s="35" t="str">
        <f aca="false">IF($B592="","",IF(AND($N592="",$O592="",$P592="",$Q592="",$R592=""),"","VINCULADO: "&amp;TRIM(IF($N592&lt;&gt;"",$N592&amp;" ","")&amp;IF($O592&lt;&gt;"",$O592&amp;" ","")&amp;IF($P592&lt;&gt;"",$P592&amp;" ","")&amp;IF($Q592&lt;&gt;"",$Q592&amp;" ","")&amp;IF($R592&lt;&gt;"",$R592,""))))</f>
        <v/>
      </c>
    </row>
    <row r="593" customFormat="false" ht="15" hidden="false" customHeight="false" outlineLevel="0" collapsed="false">
      <c r="A593" s="30" t="str">
        <f aca="false">IF($B593="","","LAN-"&amp;TEXT(ROW()-4,"000000"))</f>
        <v/>
      </c>
      <c r="B593" s="31"/>
      <c r="C593" s="32"/>
      <c r="D593" s="32"/>
      <c r="E593" s="32"/>
      <c r="F593" s="33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4" t="str">
        <f aca="false">IF($B593="","",YEAR($B593))</f>
        <v/>
      </c>
      <c r="U593" s="34" t="str">
        <f aca="false">IF($B593="","",MONTH($B593))</f>
        <v/>
      </c>
      <c r="V593" s="34" t="str">
        <f aca="false">IF($B593="","",YEAR($B593)*100+MONTH($B593))</f>
        <v/>
      </c>
      <c r="W593" s="35" t="str">
        <f aca="false">IF($D593="","",IFERROR(INDEX(MAP_CLASS,MATCH($D593,MAP_TIPO,0)),"TIPO INVALIDO"))</f>
        <v/>
      </c>
      <c r="X593" s="35" t="str">
        <f aca="false">IF($K593="","",IFERROR(INDEX(CAT_NOME,MATCH($K593,CAT_ID,0)),"?"))</f>
        <v/>
      </c>
      <c r="Y593" s="35" t="str">
        <f aca="false">IF($L593="","",IFERROR(INDEX(SUB_NOME,MATCH($L593,SUB_ID,0)),"?"))</f>
        <v/>
      </c>
      <c r="Z593" s="35" t="str">
        <f aca="false">IF($G593="","",IF($G593="EXTERNO","(Externo)",IFERROR(INDEX(ENT_NOME,MATCH($H593,ENT_ID,0)),"?")))</f>
        <v/>
      </c>
      <c r="AA593" s="35" t="str">
        <f aca="false">IF($I593="","",IF($I593="EXTERNO","(Externo)",IFERROR(INDEX(ENT_NOME,MATCH($J593,ENT_ID,0)),"?")))</f>
        <v/>
      </c>
      <c r="AB593" s="36" t="n">
        <f aca="false">IF($B593="",0,IF(AND($I593="CONTA",$G593&lt;&gt;"CONTA"),$F593,0))</f>
        <v>0</v>
      </c>
      <c r="AC593" s="36" t="n">
        <f aca="false">IF($B593="",0,IF(AND($G593="CONTA",$I593&lt;&gt;"CONTA"),$F593,0))</f>
        <v>0</v>
      </c>
      <c r="AD593" s="36" t="n">
        <f aca="false">IF($W593="RECEITA",$F593,0)</f>
        <v>0</v>
      </c>
      <c r="AE593" s="36" t="n">
        <f aca="false">IF($W593="DESPESA",$F593,0)</f>
        <v>0</v>
      </c>
      <c r="AF593" s="36" t="n">
        <f aca="false">IF($W593="RECEITA_FINANCEIRA",$F593,0)</f>
        <v>0</v>
      </c>
      <c r="AG593" s="36" t="n">
        <f aca="false">IF($B593="",0,IF($I593="CONTA",$F593,0)-IF($G593="CONTA",$F593,0))</f>
        <v>0</v>
      </c>
      <c r="AH593" s="36" t="n">
        <f aca="false">IF($B593="",0,IF($G593="CARTAO",$F593,0)-IF($I593="CARTAO",$F593,0))</f>
        <v>0</v>
      </c>
      <c r="AI593" s="36" t="n">
        <f aca="false">IF($B593="",0,IF($I593="INVESTIMENTO",$F593,0)-IF($G593="INVESTIMENTO",$F593,0))</f>
        <v>0</v>
      </c>
      <c r="AJ593" s="35" t="str">
        <f aca="false">IF($B593="","",IF(NOT(ISNUMBER($F593)),"ERRO: valor nao numerico",IF($F593&lt;=0,"ERRO: valor deve ser maior que zero",IF(COUNTIF(MAP_TIPO,$D593)=0,"ERRO: tipo de operacao nao cadastrado",IF(COUNTIF(LST_STATUS,$E593)=0,"ERRO: status invalido",IF(AND($G593="EXTERNO",$I593="EXTERNO"),"ERRO: origem e destino externos",IF(AND($G593&lt;&gt;"EXTERNO",COUNTIFS(ENT_ID,$H593,ENT_TIPO,$G593)=0),"ERRO: origem inexistente",IF(AND($I593&lt;&gt;"EXTERNO",COUNTIFS(ENT_ID,$J593,ENT_TIPO,$I593)=0),"ERRO: destino inexistente",IF(AND($K593&lt;&gt;"",COUNTIF(CAT_ID,$K593)=0),"ERRO: categoria inexistente",IF(AND($L593&lt;&gt;"",COUNTIF(SUB_ID,$L593)=0),"ERRO: subcategoria inexistente",IF(AND($L593&lt;&gt;"",$K593&lt;&gt;"",IFERROR(INDEX(SUB_CATID,MATCH($L593,SUB_ID,0)),"")&lt;&gt;$K593),"ERRO: subcategoria nao pertence a categoria",IF(AND($O593&lt;&gt;"",COUNTIF(P_ID,$O593)=0),"ERRO: parcela inexistente",IF(AND($N593&lt;&gt;"",COUNTIF(CM_ID,$N593)=0),"ERRO: compromisso inexistente","OK")))))))))))))</f>
        <v/>
      </c>
      <c r="AK593" s="35" t="str">
        <f aca="false">IF($B593="","",IF(AND($N593="",$O593="",$P593="",$Q593="",$R593=""),"","VINCULADO: "&amp;TRIM(IF($N593&lt;&gt;"",$N593&amp;" ","")&amp;IF($O593&lt;&gt;"",$O593&amp;" ","")&amp;IF($P593&lt;&gt;"",$P593&amp;" ","")&amp;IF($Q593&lt;&gt;"",$Q593&amp;" ","")&amp;IF($R593&lt;&gt;"",$R593,""))))</f>
        <v/>
      </c>
    </row>
    <row r="594" customFormat="false" ht="15" hidden="false" customHeight="false" outlineLevel="0" collapsed="false">
      <c r="A594" s="30" t="str">
        <f aca="false">IF($B594="","","LAN-"&amp;TEXT(ROW()-4,"000000"))</f>
        <v/>
      </c>
      <c r="B594" s="31"/>
      <c r="C594" s="32"/>
      <c r="D594" s="32"/>
      <c r="E594" s="32"/>
      <c r="F594" s="33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4" t="str">
        <f aca="false">IF($B594="","",YEAR($B594))</f>
        <v/>
      </c>
      <c r="U594" s="34" t="str">
        <f aca="false">IF($B594="","",MONTH($B594))</f>
        <v/>
      </c>
      <c r="V594" s="34" t="str">
        <f aca="false">IF($B594="","",YEAR($B594)*100+MONTH($B594))</f>
        <v/>
      </c>
      <c r="W594" s="35" t="str">
        <f aca="false">IF($D594="","",IFERROR(INDEX(MAP_CLASS,MATCH($D594,MAP_TIPO,0)),"TIPO INVALIDO"))</f>
        <v/>
      </c>
      <c r="X594" s="35" t="str">
        <f aca="false">IF($K594="","",IFERROR(INDEX(CAT_NOME,MATCH($K594,CAT_ID,0)),"?"))</f>
        <v/>
      </c>
      <c r="Y594" s="35" t="str">
        <f aca="false">IF($L594="","",IFERROR(INDEX(SUB_NOME,MATCH($L594,SUB_ID,0)),"?"))</f>
        <v/>
      </c>
      <c r="Z594" s="35" t="str">
        <f aca="false">IF($G594="","",IF($G594="EXTERNO","(Externo)",IFERROR(INDEX(ENT_NOME,MATCH($H594,ENT_ID,0)),"?")))</f>
        <v/>
      </c>
      <c r="AA594" s="35" t="str">
        <f aca="false">IF($I594="","",IF($I594="EXTERNO","(Externo)",IFERROR(INDEX(ENT_NOME,MATCH($J594,ENT_ID,0)),"?")))</f>
        <v/>
      </c>
      <c r="AB594" s="36" t="n">
        <f aca="false">IF($B594="",0,IF(AND($I594="CONTA",$G594&lt;&gt;"CONTA"),$F594,0))</f>
        <v>0</v>
      </c>
      <c r="AC594" s="36" t="n">
        <f aca="false">IF($B594="",0,IF(AND($G594="CONTA",$I594&lt;&gt;"CONTA"),$F594,0))</f>
        <v>0</v>
      </c>
      <c r="AD594" s="36" t="n">
        <f aca="false">IF($W594="RECEITA",$F594,0)</f>
        <v>0</v>
      </c>
      <c r="AE594" s="36" t="n">
        <f aca="false">IF($W594="DESPESA",$F594,0)</f>
        <v>0</v>
      </c>
      <c r="AF594" s="36" t="n">
        <f aca="false">IF($W594="RECEITA_FINANCEIRA",$F594,0)</f>
        <v>0</v>
      </c>
      <c r="AG594" s="36" t="n">
        <f aca="false">IF($B594="",0,IF($I594="CONTA",$F594,0)-IF($G594="CONTA",$F594,0))</f>
        <v>0</v>
      </c>
      <c r="AH594" s="36" t="n">
        <f aca="false">IF($B594="",0,IF($G594="CARTAO",$F594,0)-IF($I594="CARTAO",$F594,0))</f>
        <v>0</v>
      </c>
      <c r="AI594" s="36" t="n">
        <f aca="false">IF($B594="",0,IF($I594="INVESTIMENTO",$F594,0)-IF($G594="INVESTIMENTO",$F594,0))</f>
        <v>0</v>
      </c>
      <c r="AJ594" s="35" t="str">
        <f aca="false">IF($B594="","",IF(NOT(ISNUMBER($F594)),"ERRO: valor nao numerico",IF($F594&lt;=0,"ERRO: valor deve ser maior que zero",IF(COUNTIF(MAP_TIPO,$D594)=0,"ERRO: tipo de operacao nao cadastrado",IF(COUNTIF(LST_STATUS,$E594)=0,"ERRO: status invalido",IF(AND($G594="EXTERNO",$I594="EXTERNO"),"ERRO: origem e destino externos",IF(AND($G594&lt;&gt;"EXTERNO",COUNTIFS(ENT_ID,$H594,ENT_TIPO,$G594)=0),"ERRO: origem inexistente",IF(AND($I594&lt;&gt;"EXTERNO",COUNTIFS(ENT_ID,$J594,ENT_TIPO,$I594)=0),"ERRO: destino inexistente",IF(AND($K594&lt;&gt;"",COUNTIF(CAT_ID,$K594)=0),"ERRO: categoria inexistente",IF(AND($L594&lt;&gt;"",COUNTIF(SUB_ID,$L594)=0),"ERRO: subcategoria inexistente",IF(AND($L594&lt;&gt;"",$K594&lt;&gt;"",IFERROR(INDEX(SUB_CATID,MATCH($L594,SUB_ID,0)),"")&lt;&gt;$K594),"ERRO: subcategoria nao pertence a categoria",IF(AND($O594&lt;&gt;"",COUNTIF(P_ID,$O594)=0),"ERRO: parcela inexistente",IF(AND($N594&lt;&gt;"",COUNTIF(CM_ID,$N594)=0),"ERRO: compromisso inexistente","OK")))))))))))))</f>
        <v/>
      </c>
      <c r="AK594" s="35" t="str">
        <f aca="false">IF($B594="","",IF(AND($N594="",$O594="",$P594="",$Q594="",$R594=""),"","VINCULADO: "&amp;TRIM(IF($N594&lt;&gt;"",$N594&amp;" ","")&amp;IF($O594&lt;&gt;"",$O594&amp;" ","")&amp;IF($P594&lt;&gt;"",$P594&amp;" ","")&amp;IF($Q594&lt;&gt;"",$Q594&amp;" ","")&amp;IF($R594&lt;&gt;"",$R594,""))))</f>
        <v/>
      </c>
    </row>
    <row r="595" customFormat="false" ht="15" hidden="false" customHeight="false" outlineLevel="0" collapsed="false">
      <c r="A595" s="30" t="str">
        <f aca="false">IF($B595="","","LAN-"&amp;TEXT(ROW()-4,"000000"))</f>
        <v/>
      </c>
      <c r="B595" s="31"/>
      <c r="C595" s="32"/>
      <c r="D595" s="32"/>
      <c r="E595" s="32"/>
      <c r="F595" s="33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4" t="str">
        <f aca="false">IF($B595="","",YEAR($B595))</f>
        <v/>
      </c>
      <c r="U595" s="34" t="str">
        <f aca="false">IF($B595="","",MONTH($B595))</f>
        <v/>
      </c>
      <c r="V595" s="34" t="str">
        <f aca="false">IF($B595="","",YEAR($B595)*100+MONTH($B595))</f>
        <v/>
      </c>
      <c r="W595" s="35" t="str">
        <f aca="false">IF($D595="","",IFERROR(INDEX(MAP_CLASS,MATCH($D595,MAP_TIPO,0)),"TIPO INVALIDO"))</f>
        <v/>
      </c>
      <c r="X595" s="35" t="str">
        <f aca="false">IF($K595="","",IFERROR(INDEX(CAT_NOME,MATCH($K595,CAT_ID,0)),"?"))</f>
        <v/>
      </c>
      <c r="Y595" s="35" t="str">
        <f aca="false">IF($L595="","",IFERROR(INDEX(SUB_NOME,MATCH($L595,SUB_ID,0)),"?"))</f>
        <v/>
      </c>
      <c r="Z595" s="35" t="str">
        <f aca="false">IF($G595="","",IF($G595="EXTERNO","(Externo)",IFERROR(INDEX(ENT_NOME,MATCH($H595,ENT_ID,0)),"?")))</f>
        <v/>
      </c>
      <c r="AA595" s="35" t="str">
        <f aca="false">IF($I595="","",IF($I595="EXTERNO","(Externo)",IFERROR(INDEX(ENT_NOME,MATCH($J595,ENT_ID,0)),"?")))</f>
        <v/>
      </c>
      <c r="AB595" s="36" t="n">
        <f aca="false">IF($B595="",0,IF(AND($I595="CONTA",$G595&lt;&gt;"CONTA"),$F595,0))</f>
        <v>0</v>
      </c>
      <c r="AC595" s="36" t="n">
        <f aca="false">IF($B595="",0,IF(AND($G595="CONTA",$I595&lt;&gt;"CONTA"),$F595,0))</f>
        <v>0</v>
      </c>
      <c r="AD595" s="36" t="n">
        <f aca="false">IF($W595="RECEITA",$F595,0)</f>
        <v>0</v>
      </c>
      <c r="AE595" s="36" t="n">
        <f aca="false">IF($W595="DESPESA",$F595,0)</f>
        <v>0</v>
      </c>
      <c r="AF595" s="36" t="n">
        <f aca="false">IF($W595="RECEITA_FINANCEIRA",$F595,0)</f>
        <v>0</v>
      </c>
      <c r="AG595" s="36" t="n">
        <f aca="false">IF($B595="",0,IF($I595="CONTA",$F595,0)-IF($G595="CONTA",$F595,0))</f>
        <v>0</v>
      </c>
      <c r="AH595" s="36" t="n">
        <f aca="false">IF($B595="",0,IF($G595="CARTAO",$F595,0)-IF($I595="CARTAO",$F595,0))</f>
        <v>0</v>
      </c>
      <c r="AI595" s="36" t="n">
        <f aca="false">IF($B595="",0,IF($I595="INVESTIMENTO",$F595,0)-IF($G595="INVESTIMENTO",$F595,0))</f>
        <v>0</v>
      </c>
      <c r="AJ595" s="35" t="str">
        <f aca="false">IF($B595="","",IF(NOT(ISNUMBER($F595)),"ERRO: valor nao numerico",IF($F595&lt;=0,"ERRO: valor deve ser maior que zero",IF(COUNTIF(MAP_TIPO,$D595)=0,"ERRO: tipo de operacao nao cadastrado",IF(COUNTIF(LST_STATUS,$E595)=0,"ERRO: status invalido",IF(AND($G595="EXTERNO",$I595="EXTERNO"),"ERRO: origem e destino externos",IF(AND($G595&lt;&gt;"EXTERNO",COUNTIFS(ENT_ID,$H595,ENT_TIPO,$G595)=0),"ERRO: origem inexistente",IF(AND($I595&lt;&gt;"EXTERNO",COUNTIFS(ENT_ID,$J595,ENT_TIPO,$I595)=0),"ERRO: destino inexistente",IF(AND($K595&lt;&gt;"",COUNTIF(CAT_ID,$K595)=0),"ERRO: categoria inexistente",IF(AND($L595&lt;&gt;"",COUNTIF(SUB_ID,$L595)=0),"ERRO: subcategoria inexistente",IF(AND($L595&lt;&gt;"",$K595&lt;&gt;"",IFERROR(INDEX(SUB_CATID,MATCH($L595,SUB_ID,0)),"")&lt;&gt;$K595),"ERRO: subcategoria nao pertence a categoria",IF(AND($O595&lt;&gt;"",COUNTIF(P_ID,$O595)=0),"ERRO: parcela inexistente",IF(AND($N595&lt;&gt;"",COUNTIF(CM_ID,$N595)=0),"ERRO: compromisso inexistente","OK")))))))))))))</f>
        <v/>
      </c>
      <c r="AK595" s="35" t="str">
        <f aca="false">IF($B595="","",IF(AND($N595="",$O595="",$P595="",$Q595="",$R595=""),"","VINCULADO: "&amp;TRIM(IF($N595&lt;&gt;"",$N595&amp;" ","")&amp;IF($O595&lt;&gt;"",$O595&amp;" ","")&amp;IF($P595&lt;&gt;"",$P595&amp;" ","")&amp;IF($Q595&lt;&gt;"",$Q595&amp;" ","")&amp;IF($R595&lt;&gt;"",$R595,""))))</f>
        <v/>
      </c>
    </row>
    <row r="596" customFormat="false" ht="15" hidden="false" customHeight="false" outlineLevel="0" collapsed="false">
      <c r="A596" s="30" t="str">
        <f aca="false">IF($B596="","","LAN-"&amp;TEXT(ROW()-4,"000000"))</f>
        <v/>
      </c>
      <c r="B596" s="31"/>
      <c r="C596" s="32"/>
      <c r="D596" s="32"/>
      <c r="E596" s="32"/>
      <c r="F596" s="33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4" t="str">
        <f aca="false">IF($B596="","",YEAR($B596))</f>
        <v/>
      </c>
      <c r="U596" s="34" t="str">
        <f aca="false">IF($B596="","",MONTH($B596))</f>
        <v/>
      </c>
      <c r="V596" s="34" t="str">
        <f aca="false">IF($B596="","",YEAR($B596)*100+MONTH($B596))</f>
        <v/>
      </c>
      <c r="W596" s="35" t="str">
        <f aca="false">IF($D596="","",IFERROR(INDEX(MAP_CLASS,MATCH($D596,MAP_TIPO,0)),"TIPO INVALIDO"))</f>
        <v/>
      </c>
      <c r="X596" s="35" t="str">
        <f aca="false">IF($K596="","",IFERROR(INDEX(CAT_NOME,MATCH($K596,CAT_ID,0)),"?"))</f>
        <v/>
      </c>
      <c r="Y596" s="35" t="str">
        <f aca="false">IF($L596="","",IFERROR(INDEX(SUB_NOME,MATCH($L596,SUB_ID,0)),"?"))</f>
        <v/>
      </c>
      <c r="Z596" s="35" t="str">
        <f aca="false">IF($G596="","",IF($G596="EXTERNO","(Externo)",IFERROR(INDEX(ENT_NOME,MATCH($H596,ENT_ID,0)),"?")))</f>
        <v/>
      </c>
      <c r="AA596" s="35" t="str">
        <f aca="false">IF($I596="","",IF($I596="EXTERNO","(Externo)",IFERROR(INDEX(ENT_NOME,MATCH($J596,ENT_ID,0)),"?")))</f>
        <v/>
      </c>
      <c r="AB596" s="36" t="n">
        <f aca="false">IF($B596="",0,IF(AND($I596="CONTA",$G596&lt;&gt;"CONTA"),$F596,0))</f>
        <v>0</v>
      </c>
      <c r="AC596" s="36" t="n">
        <f aca="false">IF($B596="",0,IF(AND($G596="CONTA",$I596&lt;&gt;"CONTA"),$F596,0))</f>
        <v>0</v>
      </c>
      <c r="AD596" s="36" t="n">
        <f aca="false">IF($W596="RECEITA",$F596,0)</f>
        <v>0</v>
      </c>
      <c r="AE596" s="36" t="n">
        <f aca="false">IF($W596="DESPESA",$F596,0)</f>
        <v>0</v>
      </c>
      <c r="AF596" s="36" t="n">
        <f aca="false">IF($W596="RECEITA_FINANCEIRA",$F596,0)</f>
        <v>0</v>
      </c>
      <c r="AG596" s="36" t="n">
        <f aca="false">IF($B596="",0,IF($I596="CONTA",$F596,0)-IF($G596="CONTA",$F596,0))</f>
        <v>0</v>
      </c>
      <c r="AH596" s="36" t="n">
        <f aca="false">IF($B596="",0,IF($G596="CARTAO",$F596,0)-IF($I596="CARTAO",$F596,0))</f>
        <v>0</v>
      </c>
      <c r="AI596" s="36" t="n">
        <f aca="false">IF($B596="",0,IF($I596="INVESTIMENTO",$F596,0)-IF($G596="INVESTIMENTO",$F596,0))</f>
        <v>0</v>
      </c>
      <c r="AJ596" s="35" t="str">
        <f aca="false">IF($B596="","",IF(NOT(ISNUMBER($F596)),"ERRO: valor nao numerico",IF($F596&lt;=0,"ERRO: valor deve ser maior que zero",IF(COUNTIF(MAP_TIPO,$D596)=0,"ERRO: tipo de operacao nao cadastrado",IF(COUNTIF(LST_STATUS,$E596)=0,"ERRO: status invalido",IF(AND($G596="EXTERNO",$I596="EXTERNO"),"ERRO: origem e destino externos",IF(AND($G596&lt;&gt;"EXTERNO",COUNTIFS(ENT_ID,$H596,ENT_TIPO,$G596)=0),"ERRO: origem inexistente",IF(AND($I596&lt;&gt;"EXTERNO",COUNTIFS(ENT_ID,$J596,ENT_TIPO,$I596)=0),"ERRO: destino inexistente",IF(AND($K596&lt;&gt;"",COUNTIF(CAT_ID,$K596)=0),"ERRO: categoria inexistente",IF(AND($L596&lt;&gt;"",COUNTIF(SUB_ID,$L596)=0),"ERRO: subcategoria inexistente",IF(AND($L596&lt;&gt;"",$K596&lt;&gt;"",IFERROR(INDEX(SUB_CATID,MATCH($L596,SUB_ID,0)),"")&lt;&gt;$K596),"ERRO: subcategoria nao pertence a categoria",IF(AND($O596&lt;&gt;"",COUNTIF(P_ID,$O596)=0),"ERRO: parcela inexistente",IF(AND($N596&lt;&gt;"",COUNTIF(CM_ID,$N596)=0),"ERRO: compromisso inexistente","OK")))))))))))))</f>
        <v/>
      </c>
      <c r="AK596" s="35" t="str">
        <f aca="false">IF($B596="","",IF(AND($N596="",$O596="",$P596="",$Q596="",$R596=""),"","VINCULADO: "&amp;TRIM(IF($N596&lt;&gt;"",$N596&amp;" ","")&amp;IF($O596&lt;&gt;"",$O596&amp;" ","")&amp;IF($P596&lt;&gt;"",$P596&amp;" ","")&amp;IF($Q596&lt;&gt;"",$Q596&amp;" ","")&amp;IF($R596&lt;&gt;"",$R596,""))))</f>
        <v/>
      </c>
    </row>
    <row r="597" customFormat="false" ht="15" hidden="false" customHeight="false" outlineLevel="0" collapsed="false">
      <c r="A597" s="30" t="str">
        <f aca="false">IF($B597="","","LAN-"&amp;TEXT(ROW()-4,"000000"))</f>
        <v/>
      </c>
      <c r="B597" s="31"/>
      <c r="C597" s="32"/>
      <c r="D597" s="32"/>
      <c r="E597" s="32"/>
      <c r="F597" s="33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4" t="str">
        <f aca="false">IF($B597="","",YEAR($B597))</f>
        <v/>
      </c>
      <c r="U597" s="34" t="str">
        <f aca="false">IF($B597="","",MONTH($B597))</f>
        <v/>
      </c>
      <c r="V597" s="34" t="str">
        <f aca="false">IF($B597="","",YEAR($B597)*100+MONTH($B597))</f>
        <v/>
      </c>
      <c r="W597" s="35" t="str">
        <f aca="false">IF($D597="","",IFERROR(INDEX(MAP_CLASS,MATCH($D597,MAP_TIPO,0)),"TIPO INVALIDO"))</f>
        <v/>
      </c>
      <c r="X597" s="35" t="str">
        <f aca="false">IF($K597="","",IFERROR(INDEX(CAT_NOME,MATCH($K597,CAT_ID,0)),"?"))</f>
        <v/>
      </c>
      <c r="Y597" s="35" t="str">
        <f aca="false">IF($L597="","",IFERROR(INDEX(SUB_NOME,MATCH($L597,SUB_ID,0)),"?"))</f>
        <v/>
      </c>
      <c r="Z597" s="35" t="str">
        <f aca="false">IF($G597="","",IF($G597="EXTERNO","(Externo)",IFERROR(INDEX(ENT_NOME,MATCH($H597,ENT_ID,0)),"?")))</f>
        <v/>
      </c>
      <c r="AA597" s="35" t="str">
        <f aca="false">IF($I597="","",IF($I597="EXTERNO","(Externo)",IFERROR(INDEX(ENT_NOME,MATCH($J597,ENT_ID,0)),"?")))</f>
        <v/>
      </c>
      <c r="AB597" s="36" t="n">
        <f aca="false">IF($B597="",0,IF(AND($I597="CONTA",$G597&lt;&gt;"CONTA"),$F597,0))</f>
        <v>0</v>
      </c>
      <c r="AC597" s="36" t="n">
        <f aca="false">IF($B597="",0,IF(AND($G597="CONTA",$I597&lt;&gt;"CONTA"),$F597,0))</f>
        <v>0</v>
      </c>
      <c r="AD597" s="36" t="n">
        <f aca="false">IF($W597="RECEITA",$F597,0)</f>
        <v>0</v>
      </c>
      <c r="AE597" s="36" t="n">
        <f aca="false">IF($W597="DESPESA",$F597,0)</f>
        <v>0</v>
      </c>
      <c r="AF597" s="36" t="n">
        <f aca="false">IF($W597="RECEITA_FINANCEIRA",$F597,0)</f>
        <v>0</v>
      </c>
      <c r="AG597" s="36" t="n">
        <f aca="false">IF($B597="",0,IF($I597="CONTA",$F597,0)-IF($G597="CONTA",$F597,0))</f>
        <v>0</v>
      </c>
      <c r="AH597" s="36" t="n">
        <f aca="false">IF($B597="",0,IF($G597="CARTAO",$F597,0)-IF($I597="CARTAO",$F597,0))</f>
        <v>0</v>
      </c>
      <c r="AI597" s="36" t="n">
        <f aca="false">IF($B597="",0,IF($I597="INVESTIMENTO",$F597,0)-IF($G597="INVESTIMENTO",$F597,0))</f>
        <v>0</v>
      </c>
      <c r="AJ597" s="35" t="str">
        <f aca="false">IF($B597="","",IF(NOT(ISNUMBER($F597)),"ERRO: valor nao numerico",IF($F597&lt;=0,"ERRO: valor deve ser maior que zero",IF(COUNTIF(MAP_TIPO,$D597)=0,"ERRO: tipo de operacao nao cadastrado",IF(COUNTIF(LST_STATUS,$E597)=0,"ERRO: status invalido",IF(AND($G597="EXTERNO",$I597="EXTERNO"),"ERRO: origem e destino externos",IF(AND($G597&lt;&gt;"EXTERNO",COUNTIFS(ENT_ID,$H597,ENT_TIPO,$G597)=0),"ERRO: origem inexistente",IF(AND($I597&lt;&gt;"EXTERNO",COUNTIFS(ENT_ID,$J597,ENT_TIPO,$I597)=0),"ERRO: destino inexistente",IF(AND($K597&lt;&gt;"",COUNTIF(CAT_ID,$K597)=0),"ERRO: categoria inexistente",IF(AND($L597&lt;&gt;"",COUNTIF(SUB_ID,$L597)=0),"ERRO: subcategoria inexistente",IF(AND($L597&lt;&gt;"",$K597&lt;&gt;"",IFERROR(INDEX(SUB_CATID,MATCH($L597,SUB_ID,0)),"")&lt;&gt;$K597),"ERRO: subcategoria nao pertence a categoria",IF(AND($O597&lt;&gt;"",COUNTIF(P_ID,$O597)=0),"ERRO: parcela inexistente",IF(AND($N597&lt;&gt;"",COUNTIF(CM_ID,$N597)=0),"ERRO: compromisso inexistente","OK")))))))))))))</f>
        <v/>
      </c>
      <c r="AK597" s="35" t="str">
        <f aca="false">IF($B597="","",IF(AND($N597="",$O597="",$P597="",$Q597="",$R597=""),"","VINCULADO: "&amp;TRIM(IF($N597&lt;&gt;"",$N597&amp;" ","")&amp;IF($O597&lt;&gt;"",$O597&amp;" ","")&amp;IF($P597&lt;&gt;"",$P597&amp;" ","")&amp;IF($Q597&lt;&gt;"",$Q597&amp;" ","")&amp;IF($R597&lt;&gt;"",$R597,""))))</f>
        <v/>
      </c>
    </row>
    <row r="598" customFormat="false" ht="15" hidden="false" customHeight="false" outlineLevel="0" collapsed="false">
      <c r="A598" s="30" t="str">
        <f aca="false">IF($B598="","","LAN-"&amp;TEXT(ROW()-4,"000000"))</f>
        <v/>
      </c>
      <c r="B598" s="31"/>
      <c r="C598" s="32"/>
      <c r="D598" s="32"/>
      <c r="E598" s="32"/>
      <c r="F598" s="33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4" t="str">
        <f aca="false">IF($B598="","",YEAR($B598))</f>
        <v/>
      </c>
      <c r="U598" s="34" t="str">
        <f aca="false">IF($B598="","",MONTH($B598))</f>
        <v/>
      </c>
      <c r="V598" s="34" t="str">
        <f aca="false">IF($B598="","",YEAR($B598)*100+MONTH($B598))</f>
        <v/>
      </c>
      <c r="W598" s="35" t="str">
        <f aca="false">IF($D598="","",IFERROR(INDEX(MAP_CLASS,MATCH($D598,MAP_TIPO,0)),"TIPO INVALIDO"))</f>
        <v/>
      </c>
      <c r="X598" s="35" t="str">
        <f aca="false">IF($K598="","",IFERROR(INDEX(CAT_NOME,MATCH($K598,CAT_ID,0)),"?"))</f>
        <v/>
      </c>
      <c r="Y598" s="35" t="str">
        <f aca="false">IF($L598="","",IFERROR(INDEX(SUB_NOME,MATCH($L598,SUB_ID,0)),"?"))</f>
        <v/>
      </c>
      <c r="Z598" s="35" t="str">
        <f aca="false">IF($G598="","",IF($G598="EXTERNO","(Externo)",IFERROR(INDEX(ENT_NOME,MATCH($H598,ENT_ID,0)),"?")))</f>
        <v/>
      </c>
      <c r="AA598" s="35" t="str">
        <f aca="false">IF($I598="","",IF($I598="EXTERNO","(Externo)",IFERROR(INDEX(ENT_NOME,MATCH($J598,ENT_ID,0)),"?")))</f>
        <v/>
      </c>
      <c r="AB598" s="36" t="n">
        <f aca="false">IF($B598="",0,IF(AND($I598="CONTA",$G598&lt;&gt;"CONTA"),$F598,0))</f>
        <v>0</v>
      </c>
      <c r="AC598" s="36" t="n">
        <f aca="false">IF($B598="",0,IF(AND($G598="CONTA",$I598&lt;&gt;"CONTA"),$F598,0))</f>
        <v>0</v>
      </c>
      <c r="AD598" s="36" t="n">
        <f aca="false">IF($W598="RECEITA",$F598,0)</f>
        <v>0</v>
      </c>
      <c r="AE598" s="36" t="n">
        <f aca="false">IF($W598="DESPESA",$F598,0)</f>
        <v>0</v>
      </c>
      <c r="AF598" s="36" t="n">
        <f aca="false">IF($W598="RECEITA_FINANCEIRA",$F598,0)</f>
        <v>0</v>
      </c>
      <c r="AG598" s="36" t="n">
        <f aca="false">IF($B598="",0,IF($I598="CONTA",$F598,0)-IF($G598="CONTA",$F598,0))</f>
        <v>0</v>
      </c>
      <c r="AH598" s="36" t="n">
        <f aca="false">IF($B598="",0,IF($G598="CARTAO",$F598,0)-IF($I598="CARTAO",$F598,0))</f>
        <v>0</v>
      </c>
      <c r="AI598" s="36" t="n">
        <f aca="false">IF($B598="",0,IF($I598="INVESTIMENTO",$F598,0)-IF($G598="INVESTIMENTO",$F598,0))</f>
        <v>0</v>
      </c>
      <c r="AJ598" s="35" t="str">
        <f aca="false">IF($B598="","",IF(NOT(ISNUMBER($F598)),"ERRO: valor nao numerico",IF($F598&lt;=0,"ERRO: valor deve ser maior que zero",IF(COUNTIF(MAP_TIPO,$D598)=0,"ERRO: tipo de operacao nao cadastrado",IF(COUNTIF(LST_STATUS,$E598)=0,"ERRO: status invalido",IF(AND($G598="EXTERNO",$I598="EXTERNO"),"ERRO: origem e destino externos",IF(AND($G598&lt;&gt;"EXTERNO",COUNTIFS(ENT_ID,$H598,ENT_TIPO,$G598)=0),"ERRO: origem inexistente",IF(AND($I598&lt;&gt;"EXTERNO",COUNTIFS(ENT_ID,$J598,ENT_TIPO,$I598)=0),"ERRO: destino inexistente",IF(AND($K598&lt;&gt;"",COUNTIF(CAT_ID,$K598)=0),"ERRO: categoria inexistente",IF(AND($L598&lt;&gt;"",COUNTIF(SUB_ID,$L598)=0),"ERRO: subcategoria inexistente",IF(AND($L598&lt;&gt;"",$K598&lt;&gt;"",IFERROR(INDEX(SUB_CATID,MATCH($L598,SUB_ID,0)),"")&lt;&gt;$K598),"ERRO: subcategoria nao pertence a categoria",IF(AND($O598&lt;&gt;"",COUNTIF(P_ID,$O598)=0),"ERRO: parcela inexistente",IF(AND($N598&lt;&gt;"",COUNTIF(CM_ID,$N598)=0),"ERRO: compromisso inexistente","OK")))))))))))))</f>
        <v/>
      </c>
      <c r="AK598" s="35" t="str">
        <f aca="false">IF($B598="","",IF(AND($N598="",$O598="",$P598="",$Q598="",$R598=""),"","VINCULADO: "&amp;TRIM(IF($N598&lt;&gt;"",$N598&amp;" ","")&amp;IF($O598&lt;&gt;"",$O598&amp;" ","")&amp;IF($P598&lt;&gt;"",$P598&amp;" ","")&amp;IF($Q598&lt;&gt;"",$Q598&amp;" ","")&amp;IF($R598&lt;&gt;"",$R598,""))))</f>
        <v/>
      </c>
    </row>
    <row r="599" customFormat="false" ht="15" hidden="false" customHeight="false" outlineLevel="0" collapsed="false">
      <c r="A599" s="30" t="str">
        <f aca="false">IF($B599="","","LAN-"&amp;TEXT(ROW()-4,"000000"))</f>
        <v/>
      </c>
      <c r="B599" s="31"/>
      <c r="C599" s="32"/>
      <c r="D599" s="32"/>
      <c r="E599" s="32"/>
      <c r="F599" s="33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4" t="str">
        <f aca="false">IF($B599="","",YEAR($B599))</f>
        <v/>
      </c>
      <c r="U599" s="34" t="str">
        <f aca="false">IF($B599="","",MONTH($B599))</f>
        <v/>
      </c>
      <c r="V599" s="34" t="str">
        <f aca="false">IF($B599="","",YEAR($B599)*100+MONTH($B599))</f>
        <v/>
      </c>
      <c r="W599" s="35" t="str">
        <f aca="false">IF($D599="","",IFERROR(INDEX(MAP_CLASS,MATCH($D599,MAP_TIPO,0)),"TIPO INVALIDO"))</f>
        <v/>
      </c>
      <c r="X599" s="35" t="str">
        <f aca="false">IF($K599="","",IFERROR(INDEX(CAT_NOME,MATCH($K599,CAT_ID,0)),"?"))</f>
        <v/>
      </c>
      <c r="Y599" s="35" t="str">
        <f aca="false">IF($L599="","",IFERROR(INDEX(SUB_NOME,MATCH($L599,SUB_ID,0)),"?"))</f>
        <v/>
      </c>
      <c r="Z599" s="35" t="str">
        <f aca="false">IF($G599="","",IF($G599="EXTERNO","(Externo)",IFERROR(INDEX(ENT_NOME,MATCH($H599,ENT_ID,0)),"?")))</f>
        <v/>
      </c>
      <c r="AA599" s="35" t="str">
        <f aca="false">IF($I599="","",IF($I599="EXTERNO","(Externo)",IFERROR(INDEX(ENT_NOME,MATCH($J599,ENT_ID,0)),"?")))</f>
        <v/>
      </c>
      <c r="AB599" s="36" t="n">
        <f aca="false">IF($B599="",0,IF(AND($I599="CONTA",$G599&lt;&gt;"CONTA"),$F599,0))</f>
        <v>0</v>
      </c>
      <c r="AC599" s="36" t="n">
        <f aca="false">IF($B599="",0,IF(AND($G599="CONTA",$I599&lt;&gt;"CONTA"),$F599,0))</f>
        <v>0</v>
      </c>
      <c r="AD599" s="36" t="n">
        <f aca="false">IF($W599="RECEITA",$F599,0)</f>
        <v>0</v>
      </c>
      <c r="AE599" s="36" t="n">
        <f aca="false">IF($W599="DESPESA",$F599,0)</f>
        <v>0</v>
      </c>
      <c r="AF599" s="36" t="n">
        <f aca="false">IF($W599="RECEITA_FINANCEIRA",$F599,0)</f>
        <v>0</v>
      </c>
      <c r="AG599" s="36" t="n">
        <f aca="false">IF($B599="",0,IF($I599="CONTA",$F599,0)-IF($G599="CONTA",$F599,0))</f>
        <v>0</v>
      </c>
      <c r="AH599" s="36" t="n">
        <f aca="false">IF($B599="",0,IF($G599="CARTAO",$F599,0)-IF($I599="CARTAO",$F599,0))</f>
        <v>0</v>
      </c>
      <c r="AI599" s="36" t="n">
        <f aca="false">IF($B599="",0,IF($I599="INVESTIMENTO",$F599,0)-IF($G599="INVESTIMENTO",$F599,0))</f>
        <v>0</v>
      </c>
      <c r="AJ599" s="35" t="str">
        <f aca="false">IF($B599="","",IF(NOT(ISNUMBER($F599)),"ERRO: valor nao numerico",IF($F599&lt;=0,"ERRO: valor deve ser maior que zero",IF(COUNTIF(MAP_TIPO,$D599)=0,"ERRO: tipo de operacao nao cadastrado",IF(COUNTIF(LST_STATUS,$E599)=0,"ERRO: status invalido",IF(AND($G599="EXTERNO",$I599="EXTERNO"),"ERRO: origem e destino externos",IF(AND($G599&lt;&gt;"EXTERNO",COUNTIFS(ENT_ID,$H599,ENT_TIPO,$G599)=0),"ERRO: origem inexistente",IF(AND($I599&lt;&gt;"EXTERNO",COUNTIFS(ENT_ID,$J599,ENT_TIPO,$I599)=0),"ERRO: destino inexistente",IF(AND($K599&lt;&gt;"",COUNTIF(CAT_ID,$K599)=0),"ERRO: categoria inexistente",IF(AND($L599&lt;&gt;"",COUNTIF(SUB_ID,$L599)=0),"ERRO: subcategoria inexistente",IF(AND($L599&lt;&gt;"",$K599&lt;&gt;"",IFERROR(INDEX(SUB_CATID,MATCH($L599,SUB_ID,0)),"")&lt;&gt;$K599),"ERRO: subcategoria nao pertence a categoria",IF(AND($O599&lt;&gt;"",COUNTIF(P_ID,$O599)=0),"ERRO: parcela inexistente",IF(AND($N599&lt;&gt;"",COUNTIF(CM_ID,$N599)=0),"ERRO: compromisso inexistente","OK")))))))))))))</f>
        <v/>
      </c>
      <c r="AK599" s="35" t="str">
        <f aca="false">IF($B599="","",IF(AND($N599="",$O599="",$P599="",$Q599="",$R599=""),"","VINCULADO: "&amp;TRIM(IF($N599&lt;&gt;"",$N599&amp;" ","")&amp;IF($O599&lt;&gt;"",$O599&amp;" ","")&amp;IF($P599&lt;&gt;"",$P599&amp;" ","")&amp;IF($Q599&lt;&gt;"",$Q599&amp;" ","")&amp;IF($R599&lt;&gt;"",$R599,""))))</f>
        <v/>
      </c>
    </row>
    <row r="600" customFormat="false" ht="15" hidden="false" customHeight="false" outlineLevel="0" collapsed="false">
      <c r="A600" s="30" t="str">
        <f aca="false">IF($B600="","","LAN-"&amp;TEXT(ROW()-4,"000000"))</f>
        <v/>
      </c>
      <c r="B600" s="31"/>
      <c r="C600" s="32"/>
      <c r="D600" s="32"/>
      <c r="E600" s="32"/>
      <c r="F600" s="33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4" t="str">
        <f aca="false">IF($B600="","",YEAR($B600))</f>
        <v/>
      </c>
      <c r="U600" s="34" t="str">
        <f aca="false">IF($B600="","",MONTH($B600))</f>
        <v/>
      </c>
      <c r="V600" s="34" t="str">
        <f aca="false">IF($B600="","",YEAR($B600)*100+MONTH($B600))</f>
        <v/>
      </c>
      <c r="W600" s="35" t="str">
        <f aca="false">IF($D600="","",IFERROR(INDEX(MAP_CLASS,MATCH($D600,MAP_TIPO,0)),"TIPO INVALIDO"))</f>
        <v/>
      </c>
      <c r="X600" s="35" t="str">
        <f aca="false">IF($K600="","",IFERROR(INDEX(CAT_NOME,MATCH($K600,CAT_ID,0)),"?"))</f>
        <v/>
      </c>
      <c r="Y600" s="35" t="str">
        <f aca="false">IF($L600="","",IFERROR(INDEX(SUB_NOME,MATCH($L600,SUB_ID,0)),"?"))</f>
        <v/>
      </c>
      <c r="Z600" s="35" t="str">
        <f aca="false">IF($G600="","",IF($G600="EXTERNO","(Externo)",IFERROR(INDEX(ENT_NOME,MATCH($H600,ENT_ID,0)),"?")))</f>
        <v/>
      </c>
      <c r="AA600" s="35" t="str">
        <f aca="false">IF($I600="","",IF($I600="EXTERNO","(Externo)",IFERROR(INDEX(ENT_NOME,MATCH($J600,ENT_ID,0)),"?")))</f>
        <v/>
      </c>
      <c r="AB600" s="36" t="n">
        <f aca="false">IF($B600="",0,IF(AND($I600="CONTA",$G600&lt;&gt;"CONTA"),$F600,0))</f>
        <v>0</v>
      </c>
      <c r="AC600" s="36" t="n">
        <f aca="false">IF($B600="",0,IF(AND($G600="CONTA",$I600&lt;&gt;"CONTA"),$F600,0))</f>
        <v>0</v>
      </c>
      <c r="AD600" s="36" t="n">
        <f aca="false">IF($W600="RECEITA",$F600,0)</f>
        <v>0</v>
      </c>
      <c r="AE600" s="36" t="n">
        <f aca="false">IF($W600="DESPESA",$F600,0)</f>
        <v>0</v>
      </c>
      <c r="AF600" s="36" t="n">
        <f aca="false">IF($W600="RECEITA_FINANCEIRA",$F600,0)</f>
        <v>0</v>
      </c>
      <c r="AG600" s="36" t="n">
        <f aca="false">IF($B600="",0,IF($I600="CONTA",$F600,0)-IF($G600="CONTA",$F600,0))</f>
        <v>0</v>
      </c>
      <c r="AH600" s="36" t="n">
        <f aca="false">IF($B600="",0,IF($G600="CARTAO",$F600,0)-IF($I600="CARTAO",$F600,0))</f>
        <v>0</v>
      </c>
      <c r="AI600" s="36" t="n">
        <f aca="false">IF($B600="",0,IF($I600="INVESTIMENTO",$F600,0)-IF($G600="INVESTIMENTO",$F600,0))</f>
        <v>0</v>
      </c>
      <c r="AJ600" s="35" t="str">
        <f aca="false">IF($B600="","",IF(NOT(ISNUMBER($F600)),"ERRO: valor nao numerico",IF($F600&lt;=0,"ERRO: valor deve ser maior que zero",IF(COUNTIF(MAP_TIPO,$D600)=0,"ERRO: tipo de operacao nao cadastrado",IF(COUNTIF(LST_STATUS,$E600)=0,"ERRO: status invalido",IF(AND($G600="EXTERNO",$I600="EXTERNO"),"ERRO: origem e destino externos",IF(AND($G600&lt;&gt;"EXTERNO",COUNTIFS(ENT_ID,$H600,ENT_TIPO,$G600)=0),"ERRO: origem inexistente",IF(AND($I600&lt;&gt;"EXTERNO",COUNTIFS(ENT_ID,$J600,ENT_TIPO,$I600)=0),"ERRO: destino inexistente",IF(AND($K600&lt;&gt;"",COUNTIF(CAT_ID,$K600)=0),"ERRO: categoria inexistente",IF(AND($L600&lt;&gt;"",COUNTIF(SUB_ID,$L600)=0),"ERRO: subcategoria inexistente",IF(AND($L600&lt;&gt;"",$K600&lt;&gt;"",IFERROR(INDEX(SUB_CATID,MATCH($L600,SUB_ID,0)),"")&lt;&gt;$K600),"ERRO: subcategoria nao pertence a categoria",IF(AND($O600&lt;&gt;"",COUNTIF(P_ID,$O600)=0),"ERRO: parcela inexistente",IF(AND($N600&lt;&gt;"",COUNTIF(CM_ID,$N600)=0),"ERRO: compromisso inexistente","OK")))))))))))))</f>
        <v/>
      </c>
      <c r="AK600" s="35" t="str">
        <f aca="false">IF($B600="","",IF(AND($N600="",$O600="",$P600="",$Q600="",$R600=""),"","VINCULADO: "&amp;TRIM(IF($N600&lt;&gt;"",$N600&amp;" ","")&amp;IF($O600&lt;&gt;"",$O600&amp;" ","")&amp;IF($P600&lt;&gt;"",$P600&amp;" ","")&amp;IF($Q600&lt;&gt;"",$Q600&amp;" ","")&amp;IF($R600&lt;&gt;"",$R600,""))))</f>
        <v/>
      </c>
    </row>
    <row r="601" customFormat="false" ht="15" hidden="false" customHeight="false" outlineLevel="0" collapsed="false">
      <c r="A601" s="30" t="str">
        <f aca="false">IF($B601="","","LAN-"&amp;TEXT(ROW()-4,"000000"))</f>
        <v/>
      </c>
      <c r="B601" s="31"/>
      <c r="C601" s="32"/>
      <c r="D601" s="32"/>
      <c r="E601" s="32"/>
      <c r="F601" s="33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4" t="str">
        <f aca="false">IF($B601="","",YEAR($B601))</f>
        <v/>
      </c>
      <c r="U601" s="34" t="str">
        <f aca="false">IF($B601="","",MONTH($B601))</f>
        <v/>
      </c>
      <c r="V601" s="34" t="str">
        <f aca="false">IF($B601="","",YEAR($B601)*100+MONTH($B601))</f>
        <v/>
      </c>
      <c r="W601" s="35" t="str">
        <f aca="false">IF($D601="","",IFERROR(INDEX(MAP_CLASS,MATCH($D601,MAP_TIPO,0)),"TIPO INVALIDO"))</f>
        <v/>
      </c>
      <c r="X601" s="35" t="str">
        <f aca="false">IF($K601="","",IFERROR(INDEX(CAT_NOME,MATCH($K601,CAT_ID,0)),"?"))</f>
        <v/>
      </c>
      <c r="Y601" s="35" t="str">
        <f aca="false">IF($L601="","",IFERROR(INDEX(SUB_NOME,MATCH($L601,SUB_ID,0)),"?"))</f>
        <v/>
      </c>
      <c r="Z601" s="35" t="str">
        <f aca="false">IF($G601="","",IF($G601="EXTERNO","(Externo)",IFERROR(INDEX(ENT_NOME,MATCH($H601,ENT_ID,0)),"?")))</f>
        <v/>
      </c>
      <c r="AA601" s="35" t="str">
        <f aca="false">IF($I601="","",IF($I601="EXTERNO","(Externo)",IFERROR(INDEX(ENT_NOME,MATCH($J601,ENT_ID,0)),"?")))</f>
        <v/>
      </c>
      <c r="AB601" s="36" t="n">
        <f aca="false">IF($B601="",0,IF(AND($I601="CONTA",$G601&lt;&gt;"CONTA"),$F601,0))</f>
        <v>0</v>
      </c>
      <c r="AC601" s="36" t="n">
        <f aca="false">IF($B601="",0,IF(AND($G601="CONTA",$I601&lt;&gt;"CONTA"),$F601,0))</f>
        <v>0</v>
      </c>
      <c r="AD601" s="36" t="n">
        <f aca="false">IF($W601="RECEITA",$F601,0)</f>
        <v>0</v>
      </c>
      <c r="AE601" s="36" t="n">
        <f aca="false">IF($W601="DESPESA",$F601,0)</f>
        <v>0</v>
      </c>
      <c r="AF601" s="36" t="n">
        <f aca="false">IF($W601="RECEITA_FINANCEIRA",$F601,0)</f>
        <v>0</v>
      </c>
      <c r="AG601" s="36" t="n">
        <f aca="false">IF($B601="",0,IF($I601="CONTA",$F601,0)-IF($G601="CONTA",$F601,0))</f>
        <v>0</v>
      </c>
      <c r="AH601" s="36" t="n">
        <f aca="false">IF($B601="",0,IF($G601="CARTAO",$F601,0)-IF($I601="CARTAO",$F601,0))</f>
        <v>0</v>
      </c>
      <c r="AI601" s="36" t="n">
        <f aca="false">IF($B601="",0,IF($I601="INVESTIMENTO",$F601,0)-IF($G601="INVESTIMENTO",$F601,0))</f>
        <v>0</v>
      </c>
      <c r="AJ601" s="35" t="str">
        <f aca="false">IF($B601="","",IF(NOT(ISNUMBER($F601)),"ERRO: valor nao numerico",IF($F601&lt;=0,"ERRO: valor deve ser maior que zero",IF(COUNTIF(MAP_TIPO,$D601)=0,"ERRO: tipo de operacao nao cadastrado",IF(COUNTIF(LST_STATUS,$E601)=0,"ERRO: status invalido",IF(AND($G601="EXTERNO",$I601="EXTERNO"),"ERRO: origem e destino externos",IF(AND($G601&lt;&gt;"EXTERNO",COUNTIFS(ENT_ID,$H601,ENT_TIPO,$G601)=0),"ERRO: origem inexistente",IF(AND($I601&lt;&gt;"EXTERNO",COUNTIFS(ENT_ID,$J601,ENT_TIPO,$I601)=0),"ERRO: destino inexistente",IF(AND($K601&lt;&gt;"",COUNTIF(CAT_ID,$K601)=0),"ERRO: categoria inexistente",IF(AND($L601&lt;&gt;"",COUNTIF(SUB_ID,$L601)=0),"ERRO: subcategoria inexistente",IF(AND($L601&lt;&gt;"",$K601&lt;&gt;"",IFERROR(INDEX(SUB_CATID,MATCH($L601,SUB_ID,0)),"")&lt;&gt;$K601),"ERRO: subcategoria nao pertence a categoria",IF(AND($O601&lt;&gt;"",COUNTIF(P_ID,$O601)=0),"ERRO: parcela inexistente",IF(AND($N601&lt;&gt;"",COUNTIF(CM_ID,$N601)=0),"ERRO: compromisso inexistente","OK")))))))))))))</f>
        <v/>
      </c>
      <c r="AK601" s="35" t="str">
        <f aca="false">IF($B601="","",IF(AND($N601="",$O601="",$P601="",$Q601="",$R601=""),"","VINCULADO: "&amp;TRIM(IF($N601&lt;&gt;"",$N601&amp;" ","")&amp;IF($O601&lt;&gt;"",$O601&amp;" ","")&amp;IF($P601&lt;&gt;"",$P601&amp;" ","")&amp;IF($Q601&lt;&gt;"",$Q601&amp;" ","")&amp;IF($R601&lt;&gt;"",$R601,""))))</f>
        <v/>
      </c>
    </row>
    <row r="602" customFormat="false" ht="15" hidden="false" customHeight="false" outlineLevel="0" collapsed="false">
      <c r="A602" s="30" t="str">
        <f aca="false">IF($B602="","","LAN-"&amp;TEXT(ROW()-4,"000000"))</f>
        <v/>
      </c>
      <c r="B602" s="31"/>
      <c r="C602" s="32"/>
      <c r="D602" s="32"/>
      <c r="E602" s="32"/>
      <c r="F602" s="33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4" t="str">
        <f aca="false">IF($B602="","",YEAR($B602))</f>
        <v/>
      </c>
      <c r="U602" s="34" t="str">
        <f aca="false">IF($B602="","",MONTH($B602))</f>
        <v/>
      </c>
      <c r="V602" s="34" t="str">
        <f aca="false">IF($B602="","",YEAR($B602)*100+MONTH($B602))</f>
        <v/>
      </c>
      <c r="W602" s="35" t="str">
        <f aca="false">IF($D602="","",IFERROR(INDEX(MAP_CLASS,MATCH($D602,MAP_TIPO,0)),"TIPO INVALIDO"))</f>
        <v/>
      </c>
      <c r="X602" s="35" t="str">
        <f aca="false">IF($K602="","",IFERROR(INDEX(CAT_NOME,MATCH($K602,CAT_ID,0)),"?"))</f>
        <v/>
      </c>
      <c r="Y602" s="35" t="str">
        <f aca="false">IF($L602="","",IFERROR(INDEX(SUB_NOME,MATCH($L602,SUB_ID,0)),"?"))</f>
        <v/>
      </c>
      <c r="Z602" s="35" t="str">
        <f aca="false">IF($G602="","",IF($G602="EXTERNO","(Externo)",IFERROR(INDEX(ENT_NOME,MATCH($H602,ENT_ID,0)),"?")))</f>
        <v/>
      </c>
      <c r="AA602" s="35" t="str">
        <f aca="false">IF($I602="","",IF($I602="EXTERNO","(Externo)",IFERROR(INDEX(ENT_NOME,MATCH($J602,ENT_ID,0)),"?")))</f>
        <v/>
      </c>
      <c r="AB602" s="36" t="n">
        <f aca="false">IF($B602="",0,IF(AND($I602="CONTA",$G602&lt;&gt;"CONTA"),$F602,0))</f>
        <v>0</v>
      </c>
      <c r="AC602" s="36" t="n">
        <f aca="false">IF($B602="",0,IF(AND($G602="CONTA",$I602&lt;&gt;"CONTA"),$F602,0))</f>
        <v>0</v>
      </c>
      <c r="AD602" s="36" t="n">
        <f aca="false">IF($W602="RECEITA",$F602,0)</f>
        <v>0</v>
      </c>
      <c r="AE602" s="36" t="n">
        <f aca="false">IF($W602="DESPESA",$F602,0)</f>
        <v>0</v>
      </c>
      <c r="AF602" s="36" t="n">
        <f aca="false">IF($W602="RECEITA_FINANCEIRA",$F602,0)</f>
        <v>0</v>
      </c>
      <c r="AG602" s="36" t="n">
        <f aca="false">IF($B602="",0,IF($I602="CONTA",$F602,0)-IF($G602="CONTA",$F602,0))</f>
        <v>0</v>
      </c>
      <c r="AH602" s="36" t="n">
        <f aca="false">IF($B602="",0,IF($G602="CARTAO",$F602,0)-IF($I602="CARTAO",$F602,0))</f>
        <v>0</v>
      </c>
      <c r="AI602" s="36" t="n">
        <f aca="false">IF($B602="",0,IF($I602="INVESTIMENTO",$F602,0)-IF($G602="INVESTIMENTO",$F602,0))</f>
        <v>0</v>
      </c>
      <c r="AJ602" s="35" t="str">
        <f aca="false">IF($B602="","",IF(NOT(ISNUMBER($F602)),"ERRO: valor nao numerico",IF($F602&lt;=0,"ERRO: valor deve ser maior que zero",IF(COUNTIF(MAP_TIPO,$D602)=0,"ERRO: tipo de operacao nao cadastrado",IF(COUNTIF(LST_STATUS,$E602)=0,"ERRO: status invalido",IF(AND($G602="EXTERNO",$I602="EXTERNO"),"ERRO: origem e destino externos",IF(AND($G602&lt;&gt;"EXTERNO",COUNTIFS(ENT_ID,$H602,ENT_TIPO,$G602)=0),"ERRO: origem inexistente",IF(AND($I602&lt;&gt;"EXTERNO",COUNTIFS(ENT_ID,$J602,ENT_TIPO,$I602)=0),"ERRO: destino inexistente",IF(AND($K602&lt;&gt;"",COUNTIF(CAT_ID,$K602)=0),"ERRO: categoria inexistente",IF(AND($L602&lt;&gt;"",COUNTIF(SUB_ID,$L602)=0),"ERRO: subcategoria inexistente",IF(AND($L602&lt;&gt;"",$K602&lt;&gt;"",IFERROR(INDEX(SUB_CATID,MATCH($L602,SUB_ID,0)),"")&lt;&gt;$K602),"ERRO: subcategoria nao pertence a categoria",IF(AND($O602&lt;&gt;"",COUNTIF(P_ID,$O602)=0),"ERRO: parcela inexistente",IF(AND($N602&lt;&gt;"",COUNTIF(CM_ID,$N602)=0),"ERRO: compromisso inexistente","OK")))))))))))))</f>
        <v/>
      </c>
      <c r="AK602" s="35" t="str">
        <f aca="false">IF($B602="","",IF(AND($N602="",$O602="",$P602="",$Q602="",$R602=""),"","VINCULADO: "&amp;TRIM(IF($N602&lt;&gt;"",$N602&amp;" ","")&amp;IF($O602&lt;&gt;"",$O602&amp;" ","")&amp;IF($P602&lt;&gt;"",$P602&amp;" ","")&amp;IF($Q602&lt;&gt;"",$Q602&amp;" ","")&amp;IF($R602&lt;&gt;"",$R602,""))))</f>
        <v/>
      </c>
    </row>
    <row r="603" customFormat="false" ht="15" hidden="false" customHeight="false" outlineLevel="0" collapsed="false">
      <c r="A603" s="30" t="str">
        <f aca="false">IF($B603="","","LAN-"&amp;TEXT(ROW()-4,"000000"))</f>
        <v/>
      </c>
      <c r="B603" s="31"/>
      <c r="C603" s="32"/>
      <c r="D603" s="32"/>
      <c r="E603" s="32"/>
      <c r="F603" s="33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4" t="str">
        <f aca="false">IF($B603="","",YEAR($B603))</f>
        <v/>
      </c>
      <c r="U603" s="34" t="str">
        <f aca="false">IF($B603="","",MONTH($B603))</f>
        <v/>
      </c>
      <c r="V603" s="34" t="str">
        <f aca="false">IF($B603="","",YEAR($B603)*100+MONTH($B603))</f>
        <v/>
      </c>
      <c r="W603" s="35" t="str">
        <f aca="false">IF($D603="","",IFERROR(INDEX(MAP_CLASS,MATCH($D603,MAP_TIPO,0)),"TIPO INVALIDO"))</f>
        <v/>
      </c>
      <c r="X603" s="35" t="str">
        <f aca="false">IF($K603="","",IFERROR(INDEX(CAT_NOME,MATCH($K603,CAT_ID,0)),"?"))</f>
        <v/>
      </c>
      <c r="Y603" s="35" t="str">
        <f aca="false">IF($L603="","",IFERROR(INDEX(SUB_NOME,MATCH($L603,SUB_ID,0)),"?"))</f>
        <v/>
      </c>
      <c r="Z603" s="35" t="str">
        <f aca="false">IF($G603="","",IF($G603="EXTERNO","(Externo)",IFERROR(INDEX(ENT_NOME,MATCH($H603,ENT_ID,0)),"?")))</f>
        <v/>
      </c>
      <c r="AA603" s="35" t="str">
        <f aca="false">IF($I603="","",IF($I603="EXTERNO","(Externo)",IFERROR(INDEX(ENT_NOME,MATCH($J603,ENT_ID,0)),"?")))</f>
        <v/>
      </c>
      <c r="AB603" s="36" t="n">
        <f aca="false">IF($B603="",0,IF(AND($I603="CONTA",$G603&lt;&gt;"CONTA"),$F603,0))</f>
        <v>0</v>
      </c>
      <c r="AC603" s="36" t="n">
        <f aca="false">IF($B603="",0,IF(AND($G603="CONTA",$I603&lt;&gt;"CONTA"),$F603,0))</f>
        <v>0</v>
      </c>
      <c r="AD603" s="36" t="n">
        <f aca="false">IF($W603="RECEITA",$F603,0)</f>
        <v>0</v>
      </c>
      <c r="AE603" s="36" t="n">
        <f aca="false">IF($W603="DESPESA",$F603,0)</f>
        <v>0</v>
      </c>
      <c r="AF603" s="36" t="n">
        <f aca="false">IF($W603="RECEITA_FINANCEIRA",$F603,0)</f>
        <v>0</v>
      </c>
      <c r="AG603" s="36" t="n">
        <f aca="false">IF($B603="",0,IF($I603="CONTA",$F603,0)-IF($G603="CONTA",$F603,0))</f>
        <v>0</v>
      </c>
      <c r="AH603" s="36" t="n">
        <f aca="false">IF($B603="",0,IF($G603="CARTAO",$F603,0)-IF($I603="CARTAO",$F603,0))</f>
        <v>0</v>
      </c>
      <c r="AI603" s="36" t="n">
        <f aca="false">IF($B603="",0,IF($I603="INVESTIMENTO",$F603,0)-IF($G603="INVESTIMENTO",$F603,0))</f>
        <v>0</v>
      </c>
      <c r="AJ603" s="35" t="str">
        <f aca="false">IF($B603="","",IF(NOT(ISNUMBER($F603)),"ERRO: valor nao numerico",IF($F603&lt;=0,"ERRO: valor deve ser maior que zero",IF(COUNTIF(MAP_TIPO,$D603)=0,"ERRO: tipo de operacao nao cadastrado",IF(COUNTIF(LST_STATUS,$E603)=0,"ERRO: status invalido",IF(AND($G603="EXTERNO",$I603="EXTERNO"),"ERRO: origem e destino externos",IF(AND($G603&lt;&gt;"EXTERNO",COUNTIFS(ENT_ID,$H603,ENT_TIPO,$G603)=0),"ERRO: origem inexistente",IF(AND($I603&lt;&gt;"EXTERNO",COUNTIFS(ENT_ID,$J603,ENT_TIPO,$I603)=0),"ERRO: destino inexistente",IF(AND($K603&lt;&gt;"",COUNTIF(CAT_ID,$K603)=0),"ERRO: categoria inexistente",IF(AND($L603&lt;&gt;"",COUNTIF(SUB_ID,$L603)=0),"ERRO: subcategoria inexistente",IF(AND($L603&lt;&gt;"",$K603&lt;&gt;"",IFERROR(INDEX(SUB_CATID,MATCH($L603,SUB_ID,0)),"")&lt;&gt;$K603),"ERRO: subcategoria nao pertence a categoria",IF(AND($O603&lt;&gt;"",COUNTIF(P_ID,$O603)=0),"ERRO: parcela inexistente",IF(AND($N603&lt;&gt;"",COUNTIF(CM_ID,$N603)=0),"ERRO: compromisso inexistente","OK")))))))))))))</f>
        <v/>
      </c>
      <c r="AK603" s="35" t="str">
        <f aca="false">IF($B603="","",IF(AND($N603="",$O603="",$P603="",$Q603="",$R603=""),"","VINCULADO: "&amp;TRIM(IF($N603&lt;&gt;"",$N603&amp;" ","")&amp;IF($O603&lt;&gt;"",$O603&amp;" ","")&amp;IF($P603&lt;&gt;"",$P603&amp;" ","")&amp;IF($Q603&lt;&gt;"",$Q603&amp;" ","")&amp;IF($R603&lt;&gt;"",$R603,""))))</f>
        <v/>
      </c>
    </row>
    <row r="604" customFormat="false" ht="15" hidden="false" customHeight="false" outlineLevel="0" collapsed="false">
      <c r="A604" s="30" t="str">
        <f aca="false">IF($B604="","","LAN-"&amp;TEXT(ROW()-4,"000000"))</f>
        <v/>
      </c>
      <c r="B604" s="31"/>
      <c r="C604" s="32"/>
      <c r="D604" s="32"/>
      <c r="E604" s="32"/>
      <c r="F604" s="33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4" t="str">
        <f aca="false">IF($B604="","",YEAR($B604))</f>
        <v/>
      </c>
      <c r="U604" s="34" t="str">
        <f aca="false">IF($B604="","",MONTH($B604))</f>
        <v/>
      </c>
      <c r="V604" s="34" t="str">
        <f aca="false">IF($B604="","",YEAR($B604)*100+MONTH($B604))</f>
        <v/>
      </c>
      <c r="W604" s="35" t="str">
        <f aca="false">IF($D604="","",IFERROR(INDEX(MAP_CLASS,MATCH($D604,MAP_TIPO,0)),"TIPO INVALIDO"))</f>
        <v/>
      </c>
      <c r="X604" s="35" t="str">
        <f aca="false">IF($K604="","",IFERROR(INDEX(CAT_NOME,MATCH($K604,CAT_ID,0)),"?"))</f>
        <v/>
      </c>
      <c r="Y604" s="35" t="str">
        <f aca="false">IF($L604="","",IFERROR(INDEX(SUB_NOME,MATCH($L604,SUB_ID,0)),"?"))</f>
        <v/>
      </c>
      <c r="Z604" s="35" t="str">
        <f aca="false">IF($G604="","",IF($G604="EXTERNO","(Externo)",IFERROR(INDEX(ENT_NOME,MATCH($H604,ENT_ID,0)),"?")))</f>
        <v/>
      </c>
      <c r="AA604" s="35" t="str">
        <f aca="false">IF($I604="","",IF($I604="EXTERNO","(Externo)",IFERROR(INDEX(ENT_NOME,MATCH($J604,ENT_ID,0)),"?")))</f>
        <v/>
      </c>
      <c r="AB604" s="36" t="n">
        <f aca="false">IF($B604="",0,IF(AND($I604="CONTA",$G604&lt;&gt;"CONTA"),$F604,0))</f>
        <v>0</v>
      </c>
      <c r="AC604" s="36" t="n">
        <f aca="false">IF($B604="",0,IF(AND($G604="CONTA",$I604&lt;&gt;"CONTA"),$F604,0))</f>
        <v>0</v>
      </c>
      <c r="AD604" s="36" t="n">
        <f aca="false">IF($W604="RECEITA",$F604,0)</f>
        <v>0</v>
      </c>
      <c r="AE604" s="36" t="n">
        <f aca="false">IF($W604="DESPESA",$F604,0)</f>
        <v>0</v>
      </c>
      <c r="AF604" s="36" t="n">
        <f aca="false">IF($W604="RECEITA_FINANCEIRA",$F604,0)</f>
        <v>0</v>
      </c>
      <c r="AG604" s="36" t="n">
        <f aca="false">IF($B604="",0,IF($I604="CONTA",$F604,0)-IF($G604="CONTA",$F604,0))</f>
        <v>0</v>
      </c>
      <c r="AH604" s="36" t="n">
        <f aca="false">IF($B604="",0,IF($G604="CARTAO",$F604,0)-IF($I604="CARTAO",$F604,0))</f>
        <v>0</v>
      </c>
      <c r="AI604" s="36" t="n">
        <f aca="false">IF($B604="",0,IF($I604="INVESTIMENTO",$F604,0)-IF($G604="INVESTIMENTO",$F604,0))</f>
        <v>0</v>
      </c>
      <c r="AJ604" s="35" t="str">
        <f aca="false">IF($B604="","",IF(NOT(ISNUMBER($F604)),"ERRO: valor nao numerico",IF($F604&lt;=0,"ERRO: valor deve ser maior que zero",IF(COUNTIF(MAP_TIPO,$D604)=0,"ERRO: tipo de operacao nao cadastrado",IF(COUNTIF(LST_STATUS,$E604)=0,"ERRO: status invalido",IF(AND($G604="EXTERNO",$I604="EXTERNO"),"ERRO: origem e destino externos",IF(AND($G604&lt;&gt;"EXTERNO",COUNTIFS(ENT_ID,$H604,ENT_TIPO,$G604)=0),"ERRO: origem inexistente",IF(AND($I604&lt;&gt;"EXTERNO",COUNTIFS(ENT_ID,$J604,ENT_TIPO,$I604)=0),"ERRO: destino inexistente",IF(AND($K604&lt;&gt;"",COUNTIF(CAT_ID,$K604)=0),"ERRO: categoria inexistente",IF(AND($L604&lt;&gt;"",COUNTIF(SUB_ID,$L604)=0),"ERRO: subcategoria inexistente",IF(AND($L604&lt;&gt;"",$K604&lt;&gt;"",IFERROR(INDEX(SUB_CATID,MATCH($L604,SUB_ID,0)),"")&lt;&gt;$K604),"ERRO: subcategoria nao pertence a categoria",IF(AND($O604&lt;&gt;"",COUNTIF(P_ID,$O604)=0),"ERRO: parcela inexistente",IF(AND($N604&lt;&gt;"",COUNTIF(CM_ID,$N604)=0),"ERRO: compromisso inexistente","OK")))))))))))))</f>
        <v/>
      </c>
      <c r="AK604" s="35" t="str">
        <f aca="false">IF($B604="","",IF(AND($N604="",$O604="",$P604="",$Q604="",$R604=""),"","VINCULADO: "&amp;TRIM(IF($N604&lt;&gt;"",$N604&amp;" ","")&amp;IF($O604&lt;&gt;"",$O604&amp;" ","")&amp;IF($P604&lt;&gt;"",$P604&amp;" ","")&amp;IF($Q604&lt;&gt;"",$Q604&amp;" ","")&amp;IF($R604&lt;&gt;"",$R604,""))))</f>
        <v/>
      </c>
    </row>
    <row r="605" customFormat="false" ht="15" hidden="false" customHeight="false" outlineLevel="0" collapsed="false">
      <c r="A605" s="30" t="str">
        <f aca="false">IF($B605="","","LAN-"&amp;TEXT(ROW()-4,"000000"))</f>
        <v/>
      </c>
      <c r="B605" s="31"/>
      <c r="C605" s="32"/>
      <c r="D605" s="32"/>
      <c r="E605" s="32"/>
      <c r="F605" s="33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4" t="str">
        <f aca="false">IF($B605="","",YEAR($B605))</f>
        <v/>
      </c>
      <c r="U605" s="34" t="str">
        <f aca="false">IF($B605="","",MONTH($B605))</f>
        <v/>
      </c>
      <c r="V605" s="34" t="str">
        <f aca="false">IF($B605="","",YEAR($B605)*100+MONTH($B605))</f>
        <v/>
      </c>
      <c r="W605" s="35" t="str">
        <f aca="false">IF($D605="","",IFERROR(INDEX(MAP_CLASS,MATCH($D605,MAP_TIPO,0)),"TIPO INVALIDO"))</f>
        <v/>
      </c>
      <c r="X605" s="35" t="str">
        <f aca="false">IF($K605="","",IFERROR(INDEX(CAT_NOME,MATCH($K605,CAT_ID,0)),"?"))</f>
        <v/>
      </c>
      <c r="Y605" s="35" t="str">
        <f aca="false">IF($L605="","",IFERROR(INDEX(SUB_NOME,MATCH($L605,SUB_ID,0)),"?"))</f>
        <v/>
      </c>
      <c r="Z605" s="35" t="str">
        <f aca="false">IF($G605="","",IF($G605="EXTERNO","(Externo)",IFERROR(INDEX(ENT_NOME,MATCH($H605,ENT_ID,0)),"?")))</f>
        <v/>
      </c>
      <c r="AA605" s="35" t="str">
        <f aca="false">IF($I605="","",IF($I605="EXTERNO","(Externo)",IFERROR(INDEX(ENT_NOME,MATCH($J605,ENT_ID,0)),"?")))</f>
        <v/>
      </c>
      <c r="AB605" s="36" t="n">
        <f aca="false">IF($B605="",0,IF(AND($I605="CONTA",$G605&lt;&gt;"CONTA"),$F605,0))</f>
        <v>0</v>
      </c>
      <c r="AC605" s="36" t="n">
        <f aca="false">IF($B605="",0,IF(AND($G605="CONTA",$I605&lt;&gt;"CONTA"),$F605,0))</f>
        <v>0</v>
      </c>
      <c r="AD605" s="36" t="n">
        <f aca="false">IF($W605="RECEITA",$F605,0)</f>
        <v>0</v>
      </c>
      <c r="AE605" s="36" t="n">
        <f aca="false">IF($W605="DESPESA",$F605,0)</f>
        <v>0</v>
      </c>
      <c r="AF605" s="36" t="n">
        <f aca="false">IF($W605="RECEITA_FINANCEIRA",$F605,0)</f>
        <v>0</v>
      </c>
      <c r="AG605" s="36" t="n">
        <f aca="false">IF($B605="",0,IF($I605="CONTA",$F605,0)-IF($G605="CONTA",$F605,0))</f>
        <v>0</v>
      </c>
      <c r="AH605" s="36" t="n">
        <f aca="false">IF($B605="",0,IF($G605="CARTAO",$F605,0)-IF($I605="CARTAO",$F605,0))</f>
        <v>0</v>
      </c>
      <c r="AI605" s="36" t="n">
        <f aca="false">IF($B605="",0,IF($I605="INVESTIMENTO",$F605,0)-IF($G605="INVESTIMENTO",$F605,0))</f>
        <v>0</v>
      </c>
      <c r="AJ605" s="35" t="str">
        <f aca="false">IF($B605="","",IF(NOT(ISNUMBER($F605)),"ERRO: valor nao numerico",IF($F605&lt;=0,"ERRO: valor deve ser maior que zero",IF(COUNTIF(MAP_TIPO,$D605)=0,"ERRO: tipo de operacao nao cadastrado",IF(COUNTIF(LST_STATUS,$E605)=0,"ERRO: status invalido",IF(AND($G605="EXTERNO",$I605="EXTERNO"),"ERRO: origem e destino externos",IF(AND($G605&lt;&gt;"EXTERNO",COUNTIFS(ENT_ID,$H605,ENT_TIPO,$G605)=0),"ERRO: origem inexistente",IF(AND($I605&lt;&gt;"EXTERNO",COUNTIFS(ENT_ID,$J605,ENT_TIPO,$I605)=0),"ERRO: destino inexistente",IF(AND($K605&lt;&gt;"",COUNTIF(CAT_ID,$K605)=0),"ERRO: categoria inexistente",IF(AND($L605&lt;&gt;"",COUNTIF(SUB_ID,$L605)=0),"ERRO: subcategoria inexistente",IF(AND($L605&lt;&gt;"",$K605&lt;&gt;"",IFERROR(INDEX(SUB_CATID,MATCH($L605,SUB_ID,0)),"")&lt;&gt;$K605),"ERRO: subcategoria nao pertence a categoria",IF(AND($O605&lt;&gt;"",COUNTIF(P_ID,$O605)=0),"ERRO: parcela inexistente",IF(AND($N605&lt;&gt;"",COUNTIF(CM_ID,$N605)=0),"ERRO: compromisso inexistente","OK")))))))))))))</f>
        <v/>
      </c>
      <c r="AK605" s="35" t="str">
        <f aca="false">IF($B605="","",IF(AND($N605="",$O605="",$P605="",$Q605="",$R605=""),"","VINCULADO: "&amp;TRIM(IF($N605&lt;&gt;"",$N605&amp;" ","")&amp;IF($O605&lt;&gt;"",$O605&amp;" ","")&amp;IF($P605&lt;&gt;"",$P605&amp;" ","")&amp;IF($Q605&lt;&gt;"",$Q605&amp;" ","")&amp;IF($R605&lt;&gt;"",$R605,""))))</f>
        <v/>
      </c>
    </row>
    <row r="606" customFormat="false" ht="15" hidden="false" customHeight="false" outlineLevel="0" collapsed="false">
      <c r="A606" s="30" t="str">
        <f aca="false">IF($B606="","","LAN-"&amp;TEXT(ROW()-4,"000000"))</f>
        <v/>
      </c>
      <c r="B606" s="31"/>
      <c r="C606" s="32"/>
      <c r="D606" s="32"/>
      <c r="E606" s="32"/>
      <c r="F606" s="33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4" t="str">
        <f aca="false">IF($B606="","",YEAR($B606))</f>
        <v/>
      </c>
      <c r="U606" s="34" t="str">
        <f aca="false">IF($B606="","",MONTH($B606))</f>
        <v/>
      </c>
      <c r="V606" s="34" t="str">
        <f aca="false">IF($B606="","",YEAR($B606)*100+MONTH($B606))</f>
        <v/>
      </c>
      <c r="W606" s="35" t="str">
        <f aca="false">IF($D606="","",IFERROR(INDEX(MAP_CLASS,MATCH($D606,MAP_TIPO,0)),"TIPO INVALIDO"))</f>
        <v/>
      </c>
      <c r="X606" s="35" t="str">
        <f aca="false">IF($K606="","",IFERROR(INDEX(CAT_NOME,MATCH($K606,CAT_ID,0)),"?"))</f>
        <v/>
      </c>
      <c r="Y606" s="35" t="str">
        <f aca="false">IF($L606="","",IFERROR(INDEX(SUB_NOME,MATCH($L606,SUB_ID,0)),"?"))</f>
        <v/>
      </c>
      <c r="Z606" s="35" t="str">
        <f aca="false">IF($G606="","",IF($G606="EXTERNO","(Externo)",IFERROR(INDEX(ENT_NOME,MATCH($H606,ENT_ID,0)),"?")))</f>
        <v/>
      </c>
      <c r="AA606" s="35" t="str">
        <f aca="false">IF($I606="","",IF($I606="EXTERNO","(Externo)",IFERROR(INDEX(ENT_NOME,MATCH($J606,ENT_ID,0)),"?")))</f>
        <v/>
      </c>
      <c r="AB606" s="36" t="n">
        <f aca="false">IF($B606="",0,IF(AND($I606="CONTA",$G606&lt;&gt;"CONTA"),$F606,0))</f>
        <v>0</v>
      </c>
      <c r="AC606" s="36" t="n">
        <f aca="false">IF($B606="",0,IF(AND($G606="CONTA",$I606&lt;&gt;"CONTA"),$F606,0))</f>
        <v>0</v>
      </c>
      <c r="AD606" s="36" t="n">
        <f aca="false">IF($W606="RECEITA",$F606,0)</f>
        <v>0</v>
      </c>
      <c r="AE606" s="36" t="n">
        <f aca="false">IF($W606="DESPESA",$F606,0)</f>
        <v>0</v>
      </c>
      <c r="AF606" s="36" t="n">
        <f aca="false">IF($W606="RECEITA_FINANCEIRA",$F606,0)</f>
        <v>0</v>
      </c>
      <c r="AG606" s="36" t="n">
        <f aca="false">IF($B606="",0,IF($I606="CONTA",$F606,0)-IF($G606="CONTA",$F606,0))</f>
        <v>0</v>
      </c>
      <c r="AH606" s="36" t="n">
        <f aca="false">IF($B606="",0,IF($G606="CARTAO",$F606,0)-IF($I606="CARTAO",$F606,0))</f>
        <v>0</v>
      </c>
      <c r="AI606" s="36" t="n">
        <f aca="false">IF($B606="",0,IF($I606="INVESTIMENTO",$F606,0)-IF($G606="INVESTIMENTO",$F606,0))</f>
        <v>0</v>
      </c>
      <c r="AJ606" s="35" t="str">
        <f aca="false">IF($B606="","",IF(NOT(ISNUMBER($F606)),"ERRO: valor nao numerico",IF($F606&lt;=0,"ERRO: valor deve ser maior que zero",IF(COUNTIF(MAP_TIPO,$D606)=0,"ERRO: tipo de operacao nao cadastrado",IF(COUNTIF(LST_STATUS,$E606)=0,"ERRO: status invalido",IF(AND($G606="EXTERNO",$I606="EXTERNO"),"ERRO: origem e destino externos",IF(AND($G606&lt;&gt;"EXTERNO",COUNTIFS(ENT_ID,$H606,ENT_TIPO,$G606)=0),"ERRO: origem inexistente",IF(AND($I606&lt;&gt;"EXTERNO",COUNTIFS(ENT_ID,$J606,ENT_TIPO,$I606)=0),"ERRO: destino inexistente",IF(AND($K606&lt;&gt;"",COUNTIF(CAT_ID,$K606)=0),"ERRO: categoria inexistente",IF(AND($L606&lt;&gt;"",COUNTIF(SUB_ID,$L606)=0),"ERRO: subcategoria inexistente",IF(AND($L606&lt;&gt;"",$K606&lt;&gt;"",IFERROR(INDEX(SUB_CATID,MATCH($L606,SUB_ID,0)),"")&lt;&gt;$K606),"ERRO: subcategoria nao pertence a categoria",IF(AND($O606&lt;&gt;"",COUNTIF(P_ID,$O606)=0),"ERRO: parcela inexistente",IF(AND($N606&lt;&gt;"",COUNTIF(CM_ID,$N606)=0),"ERRO: compromisso inexistente","OK")))))))))))))</f>
        <v/>
      </c>
      <c r="AK606" s="35" t="str">
        <f aca="false">IF($B606="","",IF(AND($N606="",$O606="",$P606="",$Q606="",$R606=""),"","VINCULADO: "&amp;TRIM(IF($N606&lt;&gt;"",$N606&amp;" ","")&amp;IF($O606&lt;&gt;"",$O606&amp;" ","")&amp;IF($P606&lt;&gt;"",$P606&amp;" ","")&amp;IF($Q606&lt;&gt;"",$Q606&amp;" ","")&amp;IF($R606&lt;&gt;"",$R606,""))))</f>
        <v/>
      </c>
    </row>
    <row r="607" customFormat="false" ht="15" hidden="false" customHeight="false" outlineLevel="0" collapsed="false">
      <c r="A607" s="30" t="str">
        <f aca="false">IF($B607="","","LAN-"&amp;TEXT(ROW()-4,"000000"))</f>
        <v/>
      </c>
      <c r="B607" s="31"/>
      <c r="C607" s="32"/>
      <c r="D607" s="32"/>
      <c r="E607" s="32"/>
      <c r="F607" s="33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4" t="str">
        <f aca="false">IF($B607="","",YEAR($B607))</f>
        <v/>
      </c>
      <c r="U607" s="34" t="str">
        <f aca="false">IF($B607="","",MONTH($B607))</f>
        <v/>
      </c>
      <c r="V607" s="34" t="str">
        <f aca="false">IF($B607="","",YEAR($B607)*100+MONTH($B607))</f>
        <v/>
      </c>
      <c r="W607" s="35" t="str">
        <f aca="false">IF($D607="","",IFERROR(INDEX(MAP_CLASS,MATCH($D607,MAP_TIPO,0)),"TIPO INVALIDO"))</f>
        <v/>
      </c>
      <c r="X607" s="35" t="str">
        <f aca="false">IF($K607="","",IFERROR(INDEX(CAT_NOME,MATCH($K607,CAT_ID,0)),"?"))</f>
        <v/>
      </c>
      <c r="Y607" s="35" t="str">
        <f aca="false">IF($L607="","",IFERROR(INDEX(SUB_NOME,MATCH($L607,SUB_ID,0)),"?"))</f>
        <v/>
      </c>
      <c r="Z607" s="35" t="str">
        <f aca="false">IF($G607="","",IF($G607="EXTERNO","(Externo)",IFERROR(INDEX(ENT_NOME,MATCH($H607,ENT_ID,0)),"?")))</f>
        <v/>
      </c>
      <c r="AA607" s="35" t="str">
        <f aca="false">IF($I607="","",IF($I607="EXTERNO","(Externo)",IFERROR(INDEX(ENT_NOME,MATCH($J607,ENT_ID,0)),"?")))</f>
        <v/>
      </c>
      <c r="AB607" s="36" t="n">
        <f aca="false">IF($B607="",0,IF(AND($I607="CONTA",$G607&lt;&gt;"CONTA"),$F607,0))</f>
        <v>0</v>
      </c>
      <c r="AC607" s="36" t="n">
        <f aca="false">IF($B607="",0,IF(AND($G607="CONTA",$I607&lt;&gt;"CONTA"),$F607,0))</f>
        <v>0</v>
      </c>
      <c r="AD607" s="36" t="n">
        <f aca="false">IF($W607="RECEITA",$F607,0)</f>
        <v>0</v>
      </c>
      <c r="AE607" s="36" t="n">
        <f aca="false">IF($W607="DESPESA",$F607,0)</f>
        <v>0</v>
      </c>
      <c r="AF607" s="36" t="n">
        <f aca="false">IF($W607="RECEITA_FINANCEIRA",$F607,0)</f>
        <v>0</v>
      </c>
      <c r="AG607" s="36" t="n">
        <f aca="false">IF($B607="",0,IF($I607="CONTA",$F607,0)-IF($G607="CONTA",$F607,0))</f>
        <v>0</v>
      </c>
      <c r="AH607" s="36" t="n">
        <f aca="false">IF($B607="",0,IF($G607="CARTAO",$F607,0)-IF($I607="CARTAO",$F607,0))</f>
        <v>0</v>
      </c>
      <c r="AI607" s="36" t="n">
        <f aca="false">IF($B607="",0,IF($I607="INVESTIMENTO",$F607,0)-IF($G607="INVESTIMENTO",$F607,0))</f>
        <v>0</v>
      </c>
      <c r="AJ607" s="35" t="str">
        <f aca="false">IF($B607="","",IF(NOT(ISNUMBER($F607)),"ERRO: valor nao numerico",IF($F607&lt;=0,"ERRO: valor deve ser maior que zero",IF(COUNTIF(MAP_TIPO,$D607)=0,"ERRO: tipo de operacao nao cadastrado",IF(COUNTIF(LST_STATUS,$E607)=0,"ERRO: status invalido",IF(AND($G607="EXTERNO",$I607="EXTERNO"),"ERRO: origem e destino externos",IF(AND($G607&lt;&gt;"EXTERNO",COUNTIFS(ENT_ID,$H607,ENT_TIPO,$G607)=0),"ERRO: origem inexistente",IF(AND($I607&lt;&gt;"EXTERNO",COUNTIFS(ENT_ID,$J607,ENT_TIPO,$I607)=0),"ERRO: destino inexistente",IF(AND($K607&lt;&gt;"",COUNTIF(CAT_ID,$K607)=0),"ERRO: categoria inexistente",IF(AND($L607&lt;&gt;"",COUNTIF(SUB_ID,$L607)=0),"ERRO: subcategoria inexistente",IF(AND($L607&lt;&gt;"",$K607&lt;&gt;"",IFERROR(INDEX(SUB_CATID,MATCH($L607,SUB_ID,0)),"")&lt;&gt;$K607),"ERRO: subcategoria nao pertence a categoria",IF(AND($O607&lt;&gt;"",COUNTIF(P_ID,$O607)=0),"ERRO: parcela inexistente",IF(AND($N607&lt;&gt;"",COUNTIF(CM_ID,$N607)=0),"ERRO: compromisso inexistente","OK")))))))))))))</f>
        <v/>
      </c>
      <c r="AK607" s="35" t="str">
        <f aca="false">IF($B607="","",IF(AND($N607="",$O607="",$P607="",$Q607="",$R607=""),"","VINCULADO: "&amp;TRIM(IF($N607&lt;&gt;"",$N607&amp;" ","")&amp;IF($O607&lt;&gt;"",$O607&amp;" ","")&amp;IF($P607&lt;&gt;"",$P607&amp;" ","")&amp;IF($Q607&lt;&gt;"",$Q607&amp;" ","")&amp;IF($R607&lt;&gt;"",$R607,""))))</f>
        <v/>
      </c>
    </row>
    <row r="608" customFormat="false" ht="15" hidden="false" customHeight="false" outlineLevel="0" collapsed="false">
      <c r="A608" s="30" t="str">
        <f aca="false">IF($B608="","","LAN-"&amp;TEXT(ROW()-4,"000000"))</f>
        <v/>
      </c>
      <c r="B608" s="31"/>
      <c r="C608" s="32"/>
      <c r="D608" s="32"/>
      <c r="E608" s="32"/>
      <c r="F608" s="33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4" t="str">
        <f aca="false">IF($B608="","",YEAR($B608))</f>
        <v/>
      </c>
      <c r="U608" s="34" t="str">
        <f aca="false">IF($B608="","",MONTH($B608))</f>
        <v/>
      </c>
      <c r="V608" s="34" t="str">
        <f aca="false">IF($B608="","",YEAR($B608)*100+MONTH($B608))</f>
        <v/>
      </c>
      <c r="W608" s="35" t="str">
        <f aca="false">IF($D608="","",IFERROR(INDEX(MAP_CLASS,MATCH($D608,MAP_TIPO,0)),"TIPO INVALIDO"))</f>
        <v/>
      </c>
      <c r="X608" s="35" t="str">
        <f aca="false">IF($K608="","",IFERROR(INDEX(CAT_NOME,MATCH($K608,CAT_ID,0)),"?"))</f>
        <v/>
      </c>
      <c r="Y608" s="35" t="str">
        <f aca="false">IF($L608="","",IFERROR(INDEX(SUB_NOME,MATCH($L608,SUB_ID,0)),"?"))</f>
        <v/>
      </c>
      <c r="Z608" s="35" t="str">
        <f aca="false">IF($G608="","",IF($G608="EXTERNO","(Externo)",IFERROR(INDEX(ENT_NOME,MATCH($H608,ENT_ID,0)),"?")))</f>
        <v/>
      </c>
      <c r="AA608" s="35" t="str">
        <f aca="false">IF($I608="","",IF($I608="EXTERNO","(Externo)",IFERROR(INDEX(ENT_NOME,MATCH($J608,ENT_ID,0)),"?")))</f>
        <v/>
      </c>
      <c r="AB608" s="36" t="n">
        <f aca="false">IF($B608="",0,IF(AND($I608="CONTA",$G608&lt;&gt;"CONTA"),$F608,0))</f>
        <v>0</v>
      </c>
      <c r="AC608" s="36" t="n">
        <f aca="false">IF($B608="",0,IF(AND($G608="CONTA",$I608&lt;&gt;"CONTA"),$F608,0))</f>
        <v>0</v>
      </c>
      <c r="AD608" s="36" t="n">
        <f aca="false">IF($W608="RECEITA",$F608,0)</f>
        <v>0</v>
      </c>
      <c r="AE608" s="36" t="n">
        <f aca="false">IF($W608="DESPESA",$F608,0)</f>
        <v>0</v>
      </c>
      <c r="AF608" s="36" t="n">
        <f aca="false">IF($W608="RECEITA_FINANCEIRA",$F608,0)</f>
        <v>0</v>
      </c>
      <c r="AG608" s="36" t="n">
        <f aca="false">IF($B608="",0,IF($I608="CONTA",$F608,0)-IF($G608="CONTA",$F608,0))</f>
        <v>0</v>
      </c>
      <c r="AH608" s="36" t="n">
        <f aca="false">IF($B608="",0,IF($G608="CARTAO",$F608,0)-IF($I608="CARTAO",$F608,0))</f>
        <v>0</v>
      </c>
      <c r="AI608" s="36" t="n">
        <f aca="false">IF($B608="",0,IF($I608="INVESTIMENTO",$F608,0)-IF($G608="INVESTIMENTO",$F608,0))</f>
        <v>0</v>
      </c>
      <c r="AJ608" s="35" t="str">
        <f aca="false">IF($B608="","",IF(NOT(ISNUMBER($F608)),"ERRO: valor nao numerico",IF($F608&lt;=0,"ERRO: valor deve ser maior que zero",IF(COUNTIF(MAP_TIPO,$D608)=0,"ERRO: tipo de operacao nao cadastrado",IF(COUNTIF(LST_STATUS,$E608)=0,"ERRO: status invalido",IF(AND($G608="EXTERNO",$I608="EXTERNO"),"ERRO: origem e destino externos",IF(AND($G608&lt;&gt;"EXTERNO",COUNTIFS(ENT_ID,$H608,ENT_TIPO,$G608)=0),"ERRO: origem inexistente",IF(AND($I608&lt;&gt;"EXTERNO",COUNTIFS(ENT_ID,$J608,ENT_TIPO,$I608)=0),"ERRO: destino inexistente",IF(AND($K608&lt;&gt;"",COUNTIF(CAT_ID,$K608)=0),"ERRO: categoria inexistente",IF(AND($L608&lt;&gt;"",COUNTIF(SUB_ID,$L608)=0),"ERRO: subcategoria inexistente",IF(AND($L608&lt;&gt;"",$K608&lt;&gt;"",IFERROR(INDEX(SUB_CATID,MATCH($L608,SUB_ID,0)),"")&lt;&gt;$K608),"ERRO: subcategoria nao pertence a categoria",IF(AND($O608&lt;&gt;"",COUNTIF(P_ID,$O608)=0),"ERRO: parcela inexistente",IF(AND($N608&lt;&gt;"",COUNTIF(CM_ID,$N608)=0),"ERRO: compromisso inexistente","OK")))))))))))))</f>
        <v/>
      </c>
      <c r="AK608" s="35" t="str">
        <f aca="false">IF($B608="","",IF(AND($N608="",$O608="",$P608="",$Q608="",$R608=""),"","VINCULADO: "&amp;TRIM(IF($N608&lt;&gt;"",$N608&amp;" ","")&amp;IF($O608&lt;&gt;"",$O608&amp;" ","")&amp;IF($P608&lt;&gt;"",$P608&amp;" ","")&amp;IF($Q608&lt;&gt;"",$Q608&amp;" ","")&amp;IF($R608&lt;&gt;"",$R608,""))))</f>
        <v/>
      </c>
    </row>
    <row r="609" customFormat="false" ht="15" hidden="false" customHeight="false" outlineLevel="0" collapsed="false">
      <c r="A609" s="30" t="str">
        <f aca="false">IF($B609="","","LAN-"&amp;TEXT(ROW()-4,"000000"))</f>
        <v/>
      </c>
      <c r="B609" s="31"/>
      <c r="C609" s="32"/>
      <c r="D609" s="32"/>
      <c r="E609" s="32"/>
      <c r="F609" s="33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4" t="str">
        <f aca="false">IF($B609="","",YEAR($B609))</f>
        <v/>
      </c>
      <c r="U609" s="34" t="str">
        <f aca="false">IF($B609="","",MONTH($B609))</f>
        <v/>
      </c>
      <c r="V609" s="34" t="str">
        <f aca="false">IF($B609="","",YEAR($B609)*100+MONTH($B609))</f>
        <v/>
      </c>
      <c r="W609" s="35" t="str">
        <f aca="false">IF($D609="","",IFERROR(INDEX(MAP_CLASS,MATCH($D609,MAP_TIPO,0)),"TIPO INVALIDO"))</f>
        <v/>
      </c>
      <c r="X609" s="35" t="str">
        <f aca="false">IF($K609="","",IFERROR(INDEX(CAT_NOME,MATCH($K609,CAT_ID,0)),"?"))</f>
        <v/>
      </c>
      <c r="Y609" s="35" t="str">
        <f aca="false">IF($L609="","",IFERROR(INDEX(SUB_NOME,MATCH($L609,SUB_ID,0)),"?"))</f>
        <v/>
      </c>
      <c r="Z609" s="35" t="str">
        <f aca="false">IF($G609="","",IF($G609="EXTERNO","(Externo)",IFERROR(INDEX(ENT_NOME,MATCH($H609,ENT_ID,0)),"?")))</f>
        <v/>
      </c>
      <c r="AA609" s="35" t="str">
        <f aca="false">IF($I609="","",IF($I609="EXTERNO","(Externo)",IFERROR(INDEX(ENT_NOME,MATCH($J609,ENT_ID,0)),"?")))</f>
        <v/>
      </c>
      <c r="AB609" s="36" t="n">
        <f aca="false">IF($B609="",0,IF(AND($I609="CONTA",$G609&lt;&gt;"CONTA"),$F609,0))</f>
        <v>0</v>
      </c>
      <c r="AC609" s="36" t="n">
        <f aca="false">IF($B609="",0,IF(AND($G609="CONTA",$I609&lt;&gt;"CONTA"),$F609,0))</f>
        <v>0</v>
      </c>
      <c r="AD609" s="36" t="n">
        <f aca="false">IF($W609="RECEITA",$F609,0)</f>
        <v>0</v>
      </c>
      <c r="AE609" s="36" t="n">
        <f aca="false">IF($W609="DESPESA",$F609,0)</f>
        <v>0</v>
      </c>
      <c r="AF609" s="36" t="n">
        <f aca="false">IF($W609="RECEITA_FINANCEIRA",$F609,0)</f>
        <v>0</v>
      </c>
      <c r="AG609" s="36" t="n">
        <f aca="false">IF($B609="",0,IF($I609="CONTA",$F609,0)-IF($G609="CONTA",$F609,0))</f>
        <v>0</v>
      </c>
      <c r="AH609" s="36" t="n">
        <f aca="false">IF($B609="",0,IF($G609="CARTAO",$F609,0)-IF($I609="CARTAO",$F609,0))</f>
        <v>0</v>
      </c>
      <c r="AI609" s="36" t="n">
        <f aca="false">IF($B609="",0,IF($I609="INVESTIMENTO",$F609,0)-IF($G609="INVESTIMENTO",$F609,0))</f>
        <v>0</v>
      </c>
      <c r="AJ609" s="35" t="str">
        <f aca="false">IF($B609="","",IF(NOT(ISNUMBER($F609)),"ERRO: valor nao numerico",IF($F609&lt;=0,"ERRO: valor deve ser maior que zero",IF(COUNTIF(MAP_TIPO,$D609)=0,"ERRO: tipo de operacao nao cadastrado",IF(COUNTIF(LST_STATUS,$E609)=0,"ERRO: status invalido",IF(AND($G609="EXTERNO",$I609="EXTERNO"),"ERRO: origem e destino externos",IF(AND($G609&lt;&gt;"EXTERNO",COUNTIFS(ENT_ID,$H609,ENT_TIPO,$G609)=0),"ERRO: origem inexistente",IF(AND($I609&lt;&gt;"EXTERNO",COUNTIFS(ENT_ID,$J609,ENT_TIPO,$I609)=0),"ERRO: destino inexistente",IF(AND($K609&lt;&gt;"",COUNTIF(CAT_ID,$K609)=0),"ERRO: categoria inexistente",IF(AND($L609&lt;&gt;"",COUNTIF(SUB_ID,$L609)=0),"ERRO: subcategoria inexistente",IF(AND($L609&lt;&gt;"",$K609&lt;&gt;"",IFERROR(INDEX(SUB_CATID,MATCH($L609,SUB_ID,0)),"")&lt;&gt;$K609),"ERRO: subcategoria nao pertence a categoria",IF(AND($O609&lt;&gt;"",COUNTIF(P_ID,$O609)=0),"ERRO: parcela inexistente",IF(AND($N609&lt;&gt;"",COUNTIF(CM_ID,$N609)=0),"ERRO: compromisso inexistente","OK")))))))))))))</f>
        <v/>
      </c>
      <c r="AK609" s="35" t="str">
        <f aca="false">IF($B609="","",IF(AND($N609="",$O609="",$P609="",$Q609="",$R609=""),"","VINCULADO: "&amp;TRIM(IF($N609&lt;&gt;"",$N609&amp;" ","")&amp;IF($O609&lt;&gt;"",$O609&amp;" ","")&amp;IF($P609&lt;&gt;"",$P609&amp;" ","")&amp;IF($Q609&lt;&gt;"",$Q609&amp;" ","")&amp;IF($R609&lt;&gt;"",$R609,""))))</f>
        <v/>
      </c>
    </row>
    <row r="610" customFormat="false" ht="15" hidden="false" customHeight="false" outlineLevel="0" collapsed="false">
      <c r="A610" s="30" t="str">
        <f aca="false">IF($B610="","","LAN-"&amp;TEXT(ROW()-4,"000000"))</f>
        <v/>
      </c>
      <c r="B610" s="31"/>
      <c r="C610" s="32"/>
      <c r="D610" s="32"/>
      <c r="E610" s="32"/>
      <c r="F610" s="33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4" t="str">
        <f aca="false">IF($B610="","",YEAR($B610))</f>
        <v/>
      </c>
      <c r="U610" s="34" t="str">
        <f aca="false">IF($B610="","",MONTH($B610))</f>
        <v/>
      </c>
      <c r="V610" s="34" t="str">
        <f aca="false">IF($B610="","",YEAR($B610)*100+MONTH($B610))</f>
        <v/>
      </c>
      <c r="W610" s="35" t="str">
        <f aca="false">IF($D610="","",IFERROR(INDEX(MAP_CLASS,MATCH($D610,MAP_TIPO,0)),"TIPO INVALIDO"))</f>
        <v/>
      </c>
      <c r="X610" s="35" t="str">
        <f aca="false">IF($K610="","",IFERROR(INDEX(CAT_NOME,MATCH($K610,CAT_ID,0)),"?"))</f>
        <v/>
      </c>
      <c r="Y610" s="35" t="str">
        <f aca="false">IF($L610="","",IFERROR(INDEX(SUB_NOME,MATCH($L610,SUB_ID,0)),"?"))</f>
        <v/>
      </c>
      <c r="Z610" s="35" t="str">
        <f aca="false">IF($G610="","",IF($G610="EXTERNO","(Externo)",IFERROR(INDEX(ENT_NOME,MATCH($H610,ENT_ID,0)),"?")))</f>
        <v/>
      </c>
      <c r="AA610" s="35" t="str">
        <f aca="false">IF($I610="","",IF($I610="EXTERNO","(Externo)",IFERROR(INDEX(ENT_NOME,MATCH($J610,ENT_ID,0)),"?")))</f>
        <v/>
      </c>
      <c r="AB610" s="36" t="n">
        <f aca="false">IF($B610="",0,IF(AND($I610="CONTA",$G610&lt;&gt;"CONTA"),$F610,0))</f>
        <v>0</v>
      </c>
      <c r="AC610" s="36" t="n">
        <f aca="false">IF($B610="",0,IF(AND($G610="CONTA",$I610&lt;&gt;"CONTA"),$F610,0))</f>
        <v>0</v>
      </c>
      <c r="AD610" s="36" t="n">
        <f aca="false">IF($W610="RECEITA",$F610,0)</f>
        <v>0</v>
      </c>
      <c r="AE610" s="36" t="n">
        <f aca="false">IF($W610="DESPESA",$F610,0)</f>
        <v>0</v>
      </c>
      <c r="AF610" s="36" t="n">
        <f aca="false">IF($W610="RECEITA_FINANCEIRA",$F610,0)</f>
        <v>0</v>
      </c>
      <c r="AG610" s="36" t="n">
        <f aca="false">IF($B610="",0,IF($I610="CONTA",$F610,0)-IF($G610="CONTA",$F610,0))</f>
        <v>0</v>
      </c>
      <c r="AH610" s="36" t="n">
        <f aca="false">IF($B610="",0,IF($G610="CARTAO",$F610,0)-IF($I610="CARTAO",$F610,0))</f>
        <v>0</v>
      </c>
      <c r="AI610" s="36" t="n">
        <f aca="false">IF($B610="",0,IF($I610="INVESTIMENTO",$F610,0)-IF($G610="INVESTIMENTO",$F610,0))</f>
        <v>0</v>
      </c>
      <c r="AJ610" s="35" t="str">
        <f aca="false">IF($B610="","",IF(NOT(ISNUMBER($F610)),"ERRO: valor nao numerico",IF($F610&lt;=0,"ERRO: valor deve ser maior que zero",IF(COUNTIF(MAP_TIPO,$D610)=0,"ERRO: tipo de operacao nao cadastrado",IF(COUNTIF(LST_STATUS,$E610)=0,"ERRO: status invalido",IF(AND($G610="EXTERNO",$I610="EXTERNO"),"ERRO: origem e destino externos",IF(AND($G610&lt;&gt;"EXTERNO",COUNTIFS(ENT_ID,$H610,ENT_TIPO,$G610)=0),"ERRO: origem inexistente",IF(AND($I610&lt;&gt;"EXTERNO",COUNTIFS(ENT_ID,$J610,ENT_TIPO,$I610)=0),"ERRO: destino inexistente",IF(AND($K610&lt;&gt;"",COUNTIF(CAT_ID,$K610)=0),"ERRO: categoria inexistente",IF(AND($L610&lt;&gt;"",COUNTIF(SUB_ID,$L610)=0),"ERRO: subcategoria inexistente",IF(AND($L610&lt;&gt;"",$K610&lt;&gt;"",IFERROR(INDEX(SUB_CATID,MATCH($L610,SUB_ID,0)),"")&lt;&gt;$K610),"ERRO: subcategoria nao pertence a categoria",IF(AND($O610&lt;&gt;"",COUNTIF(P_ID,$O610)=0),"ERRO: parcela inexistente",IF(AND($N610&lt;&gt;"",COUNTIF(CM_ID,$N610)=0),"ERRO: compromisso inexistente","OK")))))))))))))</f>
        <v/>
      </c>
      <c r="AK610" s="35" t="str">
        <f aca="false">IF($B610="","",IF(AND($N610="",$O610="",$P610="",$Q610="",$R610=""),"","VINCULADO: "&amp;TRIM(IF($N610&lt;&gt;"",$N610&amp;" ","")&amp;IF($O610&lt;&gt;"",$O610&amp;" ","")&amp;IF($P610&lt;&gt;"",$P610&amp;" ","")&amp;IF($Q610&lt;&gt;"",$Q610&amp;" ","")&amp;IF($R610&lt;&gt;"",$R610,""))))</f>
        <v/>
      </c>
    </row>
    <row r="611" customFormat="false" ht="15" hidden="false" customHeight="false" outlineLevel="0" collapsed="false">
      <c r="A611" s="30" t="str">
        <f aca="false">IF($B611="","","LAN-"&amp;TEXT(ROW()-4,"000000"))</f>
        <v/>
      </c>
      <c r="B611" s="31"/>
      <c r="C611" s="32"/>
      <c r="D611" s="32"/>
      <c r="E611" s="32"/>
      <c r="F611" s="33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4" t="str">
        <f aca="false">IF($B611="","",YEAR($B611))</f>
        <v/>
      </c>
      <c r="U611" s="34" t="str">
        <f aca="false">IF($B611="","",MONTH($B611))</f>
        <v/>
      </c>
      <c r="V611" s="34" t="str">
        <f aca="false">IF($B611="","",YEAR($B611)*100+MONTH($B611))</f>
        <v/>
      </c>
      <c r="W611" s="35" t="str">
        <f aca="false">IF($D611="","",IFERROR(INDEX(MAP_CLASS,MATCH($D611,MAP_TIPO,0)),"TIPO INVALIDO"))</f>
        <v/>
      </c>
      <c r="X611" s="35" t="str">
        <f aca="false">IF($K611="","",IFERROR(INDEX(CAT_NOME,MATCH($K611,CAT_ID,0)),"?"))</f>
        <v/>
      </c>
      <c r="Y611" s="35" t="str">
        <f aca="false">IF($L611="","",IFERROR(INDEX(SUB_NOME,MATCH($L611,SUB_ID,0)),"?"))</f>
        <v/>
      </c>
      <c r="Z611" s="35" t="str">
        <f aca="false">IF($G611="","",IF($G611="EXTERNO","(Externo)",IFERROR(INDEX(ENT_NOME,MATCH($H611,ENT_ID,0)),"?")))</f>
        <v/>
      </c>
      <c r="AA611" s="35" t="str">
        <f aca="false">IF($I611="","",IF($I611="EXTERNO","(Externo)",IFERROR(INDEX(ENT_NOME,MATCH($J611,ENT_ID,0)),"?")))</f>
        <v/>
      </c>
      <c r="AB611" s="36" t="n">
        <f aca="false">IF($B611="",0,IF(AND($I611="CONTA",$G611&lt;&gt;"CONTA"),$F611,0))</f>
        <v>0</v>
      </c>
      <c r="AC611" s="36" t="n">
        <f aca="false">IF($B611="",0,IF(AND($G611="CONTA",$I611&lt;&gt;"CONTA"),$F611,0))</f>
        <v>0</v>
      </c>
      <c r="AD611" s="36" t="n">
        <f aca="false">IF($W611="RECEITA",$F611,0)</f>
        <v>0</v>
      </c>
      <c r="AE611" s="36" t="n">
        <f aca="false">IF($W611="DESPESA",$F611,0)</f>
        <v>0</v>
      </c>
      <c r="AF611" s="36" t="n">
        <f aca="false">IF($W611="RECEITA_FINANCEIRA",$F611,0)</f>
        <v>0</v>
      </c>
      <c r="AG611" s="36" t="n">
        <f aca="false">IF($B611="",0,IF($I611="CONTA",$F611,0)-IF($G611="CONTA",$F611,0))</f>
        <v>0</v>
      </c>
      <c r="AH611" s="36" t="n">
        <f aca="false">IF($B611="",0,IF($G611="CARTAO",$F611,0)-IF($I611="CARTAO",$F611,0))</f>
        <v>0</v>
      </c>
      <c r="AI611" s="36" t="n">
        <f aca="false">IF($B611="",0,IF($I611="INVESTIMENTO",$F611,0)-IF($G611="INVESTIMENTO",$F611,0))</f>
        <v>0</v>
      </c>
      <c r="AJ611" s="35" t="str">
        <f aca="false">IF($B611="","",IF(NOT(ISNUMBER($F611)),"ERRO: valor nao numerico",IF($F611&lt;=0,"ERRO: valor deve ser maior que zero",IF(COUNTIF(MAP_TIPO,$D611)=0,"ERRO: tipo de operacao nao cadastrado",IF(COUNTIF(LST_STATUS,$E611)=0,"ERRO: status invalido",IF(AND($G611="EXTERNO",$I611="EXTERNO"),"ERRO: origem e destino externos",IF(AND($G611&lt;&gt;"EXTERNO",COUNTIFS(ENT_ID,$H611,ENT_TIPO,$G611)=0),"ERRO: origem inexistente",IF(AND($I611&lt;&gt;"EXTERNO",COUNTIFS(ENT_ID,$J611,ENT_TIPO,$I611)=0),"ERRO: destino inexistente",IF(AND($K611&lt;&gt;"",COUNTIF(CAT_ID,$K611)=0),"ERRO: categoria inexistente",IF(AND($L611&lt;&gt;"",COUNTIF(SUB_ID,$L611)=0),"ERRO: subcategoria inexistente",IF(AND($L611&lt;&gt;"",$K611&lt;&gt;"",IFERROR(INDEX(SUB_CATID,MATCH($L611,SUB_ID,0)),"")&lt;&gt;$K611),"ERRO: subcategoria nao pertence a categoria",IF(AND($O611&lt;&gt;"",COUNTIF(P_ID,$O611)=0),"ERRO: parcela inexistente",IF(AND($N611&lt;&gt;"",COUNTIF(CM_ID,$N611)=0),"ERRO: compromisso inexistente","OK")))))))))))))</f>
        <v/>
      </c>
      <c r="AK611" s="35" t="str">
        <f aca="false">IF($B611="","",IF(AND($N611="",$O611="",$P611="",$Q611="",$R611=""),"","VINCULADO: "&amp;TRIM(IF($N611&lt;&gt;"",$N611&amp;" ","")&amp;IF($O611&lt;&gt;"",$O611&amp;" ","")&amp;IF($P611&lt;&gt;"",$P611&amp;" ","")&amp;IF($Q611&lt;&gt;"",$Q611&amp;" ","")&amp;IF($R611&lt;&gt;"",$R611,""))))</f>
        <v/>
      </c>
    </row>
    <row r="612" customFormat="false" ht="15" hidden="false" customHeight="false" outlineLevel="0" collapsed="false">
      <c r="A612" s="30" t="str">
        <f aca="false">IF($B612="","","LAN-"&amp;TEXT(ROW()-4,"000000"))</f>
        <v/>
      </c>
      <c r="B612" s="31"/>
      <c r="C612" s="32"/>
      <c r="D612" s="32"/>
      <c r="E612" s="32"/>
      <c r="F612" s="33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4" t="str">
        <f aca="false">IF($B612="","",YEAR($B612))</f>
        <v/>
      </c>
      <c r="U612" s="34" t="str">
        <f aca="false">IF($B612="","",MONTH($B612))</f>
        <v/>
      </c>
      <c r="V612" s="34" t="str">
        <f aca="false">IF($B612="","",YEAR($B612)*100+MONTH($B612))</f>
        <v/>
      </c>
      <c r="W612" s="35" t="str">
        <f aca="false">IF($D612="","",IFERROR(INDEX(MAP_CLASS,MATCH($D612,MAP_TIPO,0)),"TIPO INVALIDO"))</f>
        <v/>
      </c>
      <c r="X612" s="35" t="str">
        <f aca="false">IF($K612="","",IFERROR(INDEX(CAT_NOME,MATCH($K612,CAT_ID,0)),"?"))</f>
        <v/>
      </c>
      <c r="Y612" s="35" t="str">
        <f aca="false">IF($L612="","",IFERROR(INDEX(SUB_NOME,MATCH($L612,SUB_ID,0)),"?"))</f>
        <v/>
      </c>
      <c r="Z612" s="35" t="str">
        <f aca="false">IF($G612="","",IF($G612="EXTERNO","(Externo)",IFERROR(INDEX(ENT_NOME,MATCH($H612,ENT_ID,0)),"?")))</f>
        <v/>
      </c>
      <c r="AA612" s="35" t="str">
        <f aca="false">IF($I612="","",IF($I612="EXTERNO","(Externo)",IFERROR(INDEX(ENT_NOME,MATCH($J612,ENT_ID,0)),"?")))</f>
        <v/>
      </c>
      <c r="AB612" s="36" t="n">
        <f aca="false">IF($B612="",0,IF(AND($I612="CONTA",$G612&lt;&gt;"CONTA"),$F612,0))</f>
        <v>0</v>
      </c>
      <c r="AC612" s="36" t="n">
        <f aca="false">IF($B612="",0,IF(AND($G612="CONTA",$I612&lt;&gt;"CONTA"),$F612,0))</f>
        <v>0</v>
      </c>
      <c r="AD612" s="36" t="n">
        <f aca="false">IF($W612="RECEITA",$F612,0)</f>
        <v>0</v>
      </c>
      <c r="AE612" s="36" t="n">
        <f aca="false">IF($W612="DESPESA",$F612,0)</f>
        <v>0</v>
      </c>
      <c r="AF612" s="36" t="n">
        <f aca="false">IF($W612="RECEITA_FINANCEIRA",$F612,0)</f>
        <v>0</v>
      </c>
      <c r="AG612" s="36" t="n">
        <f aca="false">IF($B612="",0,IF($I612="CONTA",$F612,0)-IF($G612="CONTA",$F612,0))</f>
        <v>0</v>
      </c>
      <c r="AH612" s="36" t="n">
        <f aca="false">IF($B612="",0,IF($G612="CARTAO",$F612,0)-IF($I612="CARTAO",$F612,0))</f>
        <v>0</v>
      </c>
      <c r="AI612" s="36" t="n">
        <f aca="false">IF($B612="",0,IF($I612="INVESTIMENTO",$F612,0)-IF($G612="INVESTIMENTO",$F612,0))</f>
        <v>0</v>
      </c>
      <c r="AJ612" s="35" t="str">
        <f aca="false">IF($B612="","",IF(NOT(ISNUMBER($F612)),"ERRO: valor nao numerico",IF($F612&lt;=0,"ERRO: valor deve ser maior que zero",IF(COUNTIF(MAP_TIPO,$D612)=0,"ERRO: tipo de operacao nao cadastrado",IF(COUNTIF(LST_STATUS,$E612)=0,"ERRO: status invalido",IF(AND($G612="EXTERNO",$I612="EXTERNO"),"ERRO: origem e destino externos",IF(AND($G612&lt;&gt;"EXTERNO",COUNTIFS(ENT_ID,$H612,ENT_TIPO,$G612)=0),"ERRO: origem inexistente",IF(AND($I612&lt;&gt;"EXTERNO",COUNTIFS(ENT_ID,$J612,ENT_TIPO,$I612)=0),"ERRO: destino inexistente",IF(AND($K612&lt;&gt;"",COUNTIF(CAT_ID,$K612)=0),"ERRO: categoria inexistente",IF(AND($L612&lt;&gt;"",COUNTIF(SUB_ID,$L612)=0),"ERRO: subcategoria inexistente",IF(AND($L612&lt;&gt;"",$K612&lt;&gt;"",IFERROR(INDEX(SUB_CATID,MATCH($L612,SUB_ID,0)),"")&lt;&gt;$K612),"ERRO: subcategoria nao pertence a categoria",IF(AND($O612&lt;&gt;"",COUNTIF(P_ID,$O612)=0),"ERRO: parcela inexistente",IF(AND($N612&lt;&gt;"",COUNTIF(CM_ID,$N612)=0),"ERRO: compromisso inexistente","OK")))))))))))))</f>
        <v/>
      </c>
      <c r="AK612" s="35" t="str">
        <f aca="false">IF($B612="","",IF(AND($N612="",$O612="",$P612="",$Q612="",$R612=""),"","VINCULADO: "&amp;TRIM(IF($N612&lt;&gt;"",$N612&amp;" ","")&amp;IF($O612&lt;&gt;"",$O612&amp;" ","")&amp;IF($P612&lt;&gt;"",$P612&amp;" ","")&amp;IF($Q612&lt;&gt;"",$Q612&amp;" ","")&amp;IF($R612&lt;&gt;"",$R612,""))))</f>
        <v/>
      </c>
    </row>
    <row r="613" customFormat="false" ht="15" hidden="false" customHeight="false" outlineLevel="0" collapsed="false">
      <c r="A613" s="30" t="str">
        <f aca="false">IF($B613="","","LAN-"&amp;TEXT(ROW()-4,"000000"))</f>
        <v/>
      </c>
      <c r="B613" s="31"/>
      <c r="C613" s="32"/>
      <c r="D613" s="32"/>
      <c r="E613" s="32"/>
      <c r="F613" s="33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4" t="str">
        <f aca="false">IF($B613="","",YEAR($B613))</f>
        <v/>
      </c>
      <c r="U613" s="34" t="str">
        <f aca="false">IF($B613="","",MONTH($B613))</f>
        <v/>
      </c>
      <c r="V613" s="34" t="str">
        <f aca="false">IF($B613="","",YEAR($B613)*100+MONTH($B613))</f>
        <v/>
      </c>
      <c r="W613" s="35" t="str">
        <f aca="false">IF($D613="","",IFERROR(INDEX(MAP_CLASS,MATCH($D613,MAP_TIPO,0)),"TIPO INVALIDO"))</f>
        <v/>
      </c>
      <c r="X613" s="35" t="str">
        <f aca="false">IF($K613="","",IFERROR(INDEX(CAT_NOME,MATCH($K613,CAT_ID,0)),"?"))</f>
        <v/>
      </c>
      <c r="Y613" s="35" t="str">
        <f aca="false">IF($L613="","",IFERROR(INDEX(SUB_NOME,MATCH($L613,SUB_ID,0)),"?"))</f>
        <v/>
      </c>
      <c r="Z613" s="35" t="str">
        <f aca="false">IF($G613="","",IF($G613="EXTERNO","(Externo)",IFERROR(INDEX(ENT_NOME,MATCH($H613,ENT_ID,0)),"?")))</f>
        <v/>
      </c>
      <c r="AA613" s="35" t="str">
        <f aca="false">IF($I613="","",IF($I613="EXTERNO","(Externo)",IFERROR(INDEX(ENT_NOME,MATCH($J613,ENT_ID,0)),"?")))</f>
        <v/>
      </c>
      <c r="AB613" s="36" t="n">
        <f aca="false">IF($B613="",0,IF(AND($I613="CONTA",$G613&lt;&gt;"CONTA"),$F613,0))</f>
        <v>0</v>
      </c>
      <c r="AC613" s="36" t="n">
        <f aca="false">IF($B613="",0,IF(AND($G613="CONTA",$I613&lt;&gt;"CONTA"),$F613,0))</f>
        <v>0</v>
      </c>
      <c r="AD613" s="36" t="n">
        <f aca="false">IF($W613="RECEITA",$F613,0)</f>
        <v>0</v>
      </c>
      <c r="AE613" s="36" t="n">
        <f aca="false">IF($W613="DESPESA",$F613,0)</f>
        <v>0</v>
      </c>
      <c r="AF613" s="36" t="n">
        <f aca="false">IF($W613="RECEITA_FINANCEIRA",$F613,0)</f>
        <v>0</v>
      </c>
      <c r="AG613" s="36" t="n">
        <f aca="false">IF($B613="",0,IF($I613="CONTA",$F613,0)-IF($G613="CONTA",$F613,0))</f>
        <v>0</v>
      </c>
      <c r="AH613" s="36" t="n">
        <f aca="false">IF($B613="",0,IF($G613="CARTAO",$F613,0)-IF($I613="CARTAO",$F613,0))</f>
        <v>0</v>
      </c>
      <c r="AI613" s="36" t="n">
        <f aca="false">IF($B613="",0,IF($I613="INVESTIMENTO",$F613,0)-IF($G613="INVESTIMENTO",$F613,0))</f>
        <v>0</v>
      </c>
      <c r="AJ613" s="35" t="str">
        <f aca="false">IF($B613="","",IF(NOT(ISNUMBER($F613)),"ERRO: valor nao numerico",IF($F613&lt;=0,"ERRO: valor deve ser maior que zero",IF(COUNTIF(MAP_TIPO,$D613)=0,"ERRO: tipo de operacao nao cadastrado",IF(COUNTIF(LST_STATUS,$E613)=0,"ERRO: status invalido",IF(AND($G613="EXTERNO",$I613="EXTERNO"),"ERRO: origem e destino externos",IF(AND($G613&lt;&gt;"EXTERNO",COUNTIFS(ENT_ID,$H613,ENT_TIPO,$G613)=0),"ERRO: origem inexistente",IF(AND($I613&lt;&gt;"EXTERNO",COUNTIFS(ENT_ID,$J613,ENT_TIPO,$I613)=0),"ERRO: destino inexistente",IF(AND($K613&lt;&gt;"",COUNTIF(CAT_ID,$K613)=0),"ERRO: categoria inexistente",IF(AND($L613&lt;&gt;"",COUNTIF(SUB_ID,$L613)=0),"ERRO: subcategoria inexistente",IF(AND($L613&lt;&gt;"",$K613&lt;&gt;"",IFERROR(INDEX(SUB_CATID,MATCH($L613,SUB_ID,0)),"")&lt;&gt;$K613),"ERRO: subcategoria nao pertence a categoria",IF(AND($O613&lt;&gt;"",COUNTIF(P_ID,$O613)=0),"ERRO: parcela inexistente",IF(AND($N613&lt;&gt;"",COUNTIF(CM_ID,$N613)=0),"ERRO: compromisso inexistente","OK")))))))))))))</f>
        <v/>
      </c>
      <c r="AK613" s="35" t="str">
        <f aca="false">IF($B613="","",IF(AND($N613="",$O613="",$P613="",$Q613="",$R613=""),"","VINCULADO: "&amp;TRIM(IF($N613&lt;&gt;"",$N613&amp;" ","")&amp;IF($O613&lt;&gt;"",$O613&amp;" ","")&amp;IF($P613&lt;&gt;"",$P613&amp;" ","")&amp;IF($Q613&lt;&gt;"",$Q613&amp;" ","")&amp;IF($R613&lt;&gt;"",$R613,""))))</f>
        <v/>
      </c>
    </row>
    <row r="614" customFormat="false" ht="15" hidden="false" customHeight="false" outlineLevel="0" collapsed="false">
      <c r="A614" s="30" t="str">
        <f aca="false">IF($B614="","","LAN-"&amp;TEXT(ROW()-4,"000000"))</f>
        <v/>
      </c>
      <c r="B614" s="31"/>
      <c r="C614" s="32"/>
      <c r="D614" s="32"/>
      <c r="E614" s="32"/>
      <c r="F614" s="33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4" t="str">
        <f aca="false">IF($B614="","",YEAR($B614))</f>
        <v/>
      </c>
      <c r="U614" s="34" t="str">
        <f aca="false">IF($B614="","",MONTH($B614))</f>
        <v/>
      </c>
      <c r="V614" s="34" t="str">
        <f aca="false">IF($B614="","",YEAR($B614)*100+MONTH($B614))</f>
        <v/>
      </c>
      <c r="W614" s="35" t="str">
        <f aca="false">IF($D614="","",IFERROR(INDEX(MAP_CLASS,MATCH($D614,MAP_TIPO,0)),"TIPO INVALIDO"))</f>
        <v/>
      </c>
      <c r="X614" s="35" t="str">
        <f aca="false">IF($K614="","",IFERROR(INDEX(CAT_NOME,MATCH($K614,CAT_ID,0)),"?"))</f>
        <v/>
      </c>
      <c r="Y614" s="35" t="str">
        <f aca="false">IF($L614="","",IFERROR(INDEX(SUB_NOME,MATCH($L614,SUB_ID,0)),"?"))</f>
        <v/>
      </c>
      <c r="Z614" s="35" t="str">
        <f aca="false">IF($G614="","",IF($G614="EXTERNO","(Externo)",IFERROR(INDEX(ENT_NOME,MATCH($H614,ENT_ID,0)),"?")))</f>
        <v/>
      </c>
      <c r="AA614" s="35" t="str">
        <f aca="false">IF($I614="","",IF($I614="EXTERNO","(Externo)",IFERROR(INDEX(ENT_NOME,MATCH($J614,ENT_ID,0)),"?")))</f>
        <v/>
      </c>
      <c r="AB614" s="36" t="n">
        <f aca="false">IF($B614="",0,IF(AND($I614="CONTA",$G614&lt;&gt;"CONTA"),$F614,0))</f>
        <v>0</v>
      </c>
      <c r="AC614" s="36" t="n">
        <f aca="false">IF($B614="",0,IF(AND($G614="CONTA",$I614&lt;&gt;"CONTA"),$F614,0))</f>
        <v>0</v>
      </c>
      <c r="AD614" s="36" t="n">
        <f aca="false">IF($W614="RECEITA",$F614,0)</f>
        <v>0</v>
      </c>
      <c r="AE614" s="36" t="n">
        <f aca="false">IF($W614="DESPESA",$F614,0)</f>
        <v>0</v>
      </c>
      <c r="AF614" s="36" t="n">
        <f aca="false">IF($W614="RECEITA_FINANCEIRA",$F614,0)</f>
        <v>0</v>
      </c>
      <c r="AG614" s="36" t="n">
        <f aca="false">IF($B614="",0,IF($I614="CONTA",$F614,0)-IF($G614="CONTA",$F614,0))</f>
        <v>0</v>
      </c>
      <c r="AH614" s="36" t="n">
        <f aca="false">IF($B614="",0,IF($G614="CARTAO",$F614,0)-IF($I614="CARTAO",$F614,0))</f>
        <v>0</v>
      </c>
      <c r="AI614" s="36" t="n">
        <f aca="false">IF($B614="",0,IF($I614="INVESTIMENTO",$F614,0)-IF($G614="INVESTIMENTO",$F614,0))</f>
        <v>0</v>
      </c>
      <c r="AJ614" s="35" t="str">
        <f aca="false">IF($B614="","",IF(NOT(ISNUMBER($F614)),"ERRO: valor nao numerico",IF($F614&lt;=0,"ERRO: valor deve ser maior que zero",IF(COUNTIF(MAP_TIPO,$D614)=0,"ERRO: tipo de operacao nao cadastrado",IF(COUNTIF(LST_STATUS,$E614)=0,"ERRO: status invalido",IF(AND($G614="EXTERNO",$I614="EXTERNO"),"ERRO: origem e destino externos",IF(AND($G614&lt;&gt;"EXTERNO",COUNTIFS(ENT_ID,$H614,ENT_TIPO,$G614)=0),"ERRO: origem inexistente",IF(AND($I614&lt;&gt;"EXTERNO",COUNTIFS(ENT_ID,$J614,ENT_TIPO,$I614)=0),"ERRO: destino inexistente",IF(AND($K614&lt;&gt;"",COUNTIF(CAT_ID,$K614)=0),"ERRO: categoria inexistente",IF(AND($L614&lt;&gt;"",COUNTIF(SUB_ID,$L614)=0),"ERRO: subcategoria inexistente",IF(AND($L614&lt;&gt;"",$K614&lt;&gt;"",IFERROR(INDEX(SUB_CATID,MATCH($L614,SUB_ID,0)),"")&lt;&gt;$K614),"ERRO: subcategoria nao pertence a categoria",IF(AND($O614&lt;&gt;"",COUNTIF(P_ID,$O614)=0),"ERRO: parcela inexistente",IF(AND($N614&lt;&gt;"",COUNTIF(CM_ID,$N614)=0),"ERRO: compromisso inexistente","OK")))))))))))))</f>
        <v/>
      </c>
      <c r="AK614" s="35" t="str">
        <f aca="false">IF($B614="","",IF(AND($N614="",$O614="",$P614="",$Q614="",$R614=""),"","VINCULADO: "&amp;TRIM(IF($N614&lt;&gt;"",$N614&amp;" ","")&amp;IF($O614&lt;&gt;"",$O614&amp;" ","")&amp;IF($P614&lt;&gt;"",$P614&amp;" ","")&amp;IF($Q614&lt;&gt;"",$Q614&amp;" ","")&amp;IF($R614&lt;&gt;"",$R614,""))))</f>
        <v/>
      </c>
    </row>
    <row r="615" customFormat="false" ht="15" hidden="false" customHeight="false" outlineLevel="0" collapsed="false">
      <c r="A615" s="30" t="str">
        <f aca="false">IF($B615="","","LAN-"&amp;TEXT(ROW()-4,"000000"))</f>
        <v/>
      </c>
      <c r="B615" s="31"/>
      <c r="C615" s="32"/>
      <c r="D615" s="32"/>
      <c r="E615" s="32"/>
      <c r="F615" s="33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4" t="str">
        <f aca="false">IF($B615="","",YEAR($B615))</f>
        <v/>
      </c>
      <c r="U615" s="34" t="str">
        <f aca="false">IF($B615="","",MONTH($B615))</f>
        <v/>
      </c>
      <c r="V615" s="34" t="str">
        <f aca="false">IF($B615="","",YEAR($B615)*100+MONTH($B615))</f>
        <v/>
      </c>
      <c r="W615" s="35" t="str">
        <f aca="false">IF($D615="","",IFERROR(INDEX(MAP_CLASS,MATCH($D615,MAP_TIPO,0)),"TIPO INVALIDO"))</f>
        <v/>
      </c>
      <c r="X615" s="35" t="str">
        <f aca="false">IF($K615="","",IFERROR(INDEX(CAT_NOME,MATCH($K615,CAT_ID,0)),"?"))</f>
        <v/>
      </c>
      <c r="Y615" s="35" t="str">
        <f aca="false">IF($L615="","",IFERROR(INDEX(SUB_NOME,MATCH($L615,SUB_ID,0)),"?"))</f>
        <v/>
      </c>
      <c r="Z615" s="35" t="str">
        <f aca="false">IF($G615="","",IF($G615="EXTERNO","(Externo)",IFERROR(INDEX(ENT_NOME,MATCH($H615,ENT_ID,0)),"?")))</f>
        <v/>
      </c>
      <c r="AA615" s="35" t="str">
        <f aca="false">IF($I615="","",IF($I615="EXTERNO","(Externo)",IFERROR(INDEX(ENT_NOME,MATCH($J615,ENT_ID,0)),"?")))</f>
        <v/>
      </c>
      <c r="AB615" s="36" t="n">
        <f aca="false">IF($B615="",0,IF(AND($I615="CONTA",$G615&lt;&gt;"CONTA"),$F615,0))</f>
        <v>0</v>
      </c>
      <c r="AC615" s="36" t="n">
        <f aca="false">IF($B615="",0,IF(AND($G615="CONTA",$I615&lt;&gt;"CONTA"),$F615,0))</f>
        <v>0</v>
      </c>
      <c r="AD615" s="36" t="n">
        <f aca="false">IF($W615="RECEITA",$F615,0)</f>
        <v>0</v>
      </c>
      <c r="AE615" s="36" t="n">
        <f aca="false">IF($W615="DESPESA",$F615,0)</f>
        <v>0</v>
      </c>
      <c r="AF615" s="36" t="n">
        <f aca="false">IF($W615="RECEITA_FINANCEIRA",$F615,0)</f>
        <v>0</v>
      </c>
      <c r="AG615" s="36" t="n">
        <f aca="false">IF($B615="",0,IF($I615="CONTA",$F615,0)-IF($G615="CONTA",$F615,0))</f>
        <v>0</v>
      </c>
      <c r="AH615" s="36" t="n">
        <f aca="false">IF($B615="",0,IF($G615="CARTAO",$F615,0)-IF($I615="CARTAO",$F615,0))</f>
        <v>0</v>
      </c>
      <c r="AI615" s="36" t="n">
        <f aca="false">IF($B615="",0,IF($I615="INVESTIMENTO",$F615,0)-IF($G615="INVESTIMENTO",$F615,0))</f>
        <v>0</v>
      </c>
      <c r="AJ615" s="35" t="str">
        <f aca="false">IF($B615="","",IF(NOT(ISNUMBER($F615)),"ERRO: valor nao numerico",IF($F615&lt;=0,"ERRO: valor deve ser maior que zero",IF(COUNTIF(MAP_TIPO,$D615)=0,"ERRO: tipo de operacao nao cadastrado",IF(COUNTIF(LST_STATUS,$E615)=0,"ERRO: status invalido",IF(AND($G615="EXTERNO",$I615="EXTERNO"),"ERRO: origem e destino externos",IF(AND($G615&lt;&gt;"EXTERNO",COUNTIFS(ENT_ID,$H615,ENT_TIPO,$G615)=0),"ERRO: origem inexistente",IF(AND($I615&lt;&gt;"EXTERNO",COUNTIFS(ENT_ID,$J615,ENT_TIPO,$I615)=0),"ERRO: destino inexistente",IF(AND($K615&lt;&gt;"",COUNTIF(CAT_ID,$K615)=0),"ERRO: categoria inexistente",IF(AND($L615&lt;&gt;"",COUNTIF(SUB_ID,$L615)=0),"ERRO: subcategoria inexistente",IF(AND($L615&lt;&gt;"",$K615&lt;&gt;"",IFERROR(INDEX(SUB_CATID,MATCH($L615,SUB_ID,0)),"")&lt;&gt;$K615),"ERRO: subcategoria nao pertence a categoria",IF(AND($O615&lt;&gt;"",COUNTIF(P_ID,$O615)=0),"ERRO: parcela inexistente",IF(AND($N615&lt;&gt;"",COUNTIF(CM_ID,$N615)=0),"ERRO: compromisso inexistente","OK")))))))))))))</f>
        <v/>
      </c>
      <c r="AK615" s="35" t="str">
        <f aca="false">IF($B615="","",IF(AND($N615="",$O615="",$P615="",$Q615="",$R615=""),"","VINCULADO: "&amp;TRIM(IF($N615&lt;&gt;"",$N615&amp;" ","")&amp;IF($O615&lt;&gt;"",$O615&amp;" ","")&amp;IF($P615&lt;&gt;"",$P615&amp;" ","")&amp;IF($Q615&lt;&gt;"",$Q615&amp;" ","")&amp;IF($R615&lt;&gt;"",$R615,""))))</f>
        <v/>
      </c>
    </row>
    <row r="616" customFormat="false" ht="15" hidden="false" customHeight="false" outlineLevel="0" collapsed="false">
      <c r="A616" s="30" t="str">
        <f aca="false">IF($B616="","","LAN-"&amp;TEXT(ROW()-4,"000000"))</f>
        <v/>
      </c>
      <c r="B616" s="31"/>
      <c r="C616" s="32"/>
      <c r="D616" s="32"/>
      <c r="E616" s="32"/>
      <c r="F616" s="33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4" t="str">
        <f aca="false">IF($B616="","",YEAR($B616))</f>
        <v/>
      </c>
      <c r="U616" s="34" t="str">
        <f aca="false">IF($B616="","",MONTH($B616))</f>
        <v/>
      </c>
      <c r="V616" s="34" t="str">
        <f aca="false">IF($B616="","",YEAR($B616)*100+MONTH($B616))</f>
        <v/>
      </c>
      <c r="W616" s="35" t="str">
        <f aca="false">IF($D616="","",IFERROR(INDEX(MAP_CLASS,MATCH($D616,MAP_TIPO,0)),"TIPO INVALIDO"))</f>
        <v/>
      </c>
      <c r="X616" s="35" t="str">
        <f aca="false">IF($K616="","",IFERROR(INDEX(CAT_NOME,MATCH($K616,CAT_ID,0)),"?"))</f>
        <v/>
      </c>
      <c r="Y616" s="35" t="str">
        <f aca="false">IF($L616="","",IFERROR(INDEX(SUB_NOME,MATCH($L616,SUB_ID,0)),"?"))</f>
        <v/>
      </c>
      <c r="Z616" s="35" t="str">
        <f aca="false">IF($G616="","",IF($G616="EXTERNO","(Externo)",IFERROR(INDEX(ENT_NOME,MATCH($H616,ENT_ID,0)),"?")))</f>
        <v/>
      </c>
      <c r="AA616" s="35" t="str">
        <f aca="false">IF($I616="","",IF($I616="EXTERNO","(Externo)",IFERROR(INDEX(ENT_NOME,MATCH($J616,ENT_ID,0)),"?")))</f>
        <v/>
      </c>
      <c r="AB616" s="36" t="n">
        <f aca="false">IF($B616="",0,IF(AND($I616="CONTA",$G616&lt;&gt;"CONTA"),$F616,0))</f>
        <v>0</v>
      </c>
      <c r="AC616" s="36" t="n">
        <f aca="false">IF($B616="",0,IF(AND($G616="CONTA",$I616&lt;&gt;"CONTA"),$F616,0))</f>
        <v>0</v>
      </c>
      <c r="AD616" s="36" t="n">
        <f aca="false">IF($W616="RECEITA",$F616,0)</f>
        <v>0</v>
      </c>
      <c r="AE616" s="36" t="n">
        <f aca="false">IF($W616="DESPESA",$F616,0)</f>
        <v>0</v>
      </c>
      <c r="AF616" s="36" t="n">
        <f aca="false">IF($W616="RECEITA_FINANCEIRA",$F616,0)</f>
        <v>0</v>
      </c>
      <c r="AG616" s="36" t="n">
        <f aca="false">IF($B616="",0,IF($I616="CONTA",$F616,0)-IF($G616="CONTA",$F616,0))</f>
        <v>0</v>
      </c>
      <c r="AH616" s="36" t="n">
        <f aca="false">IF($B616="",0,IF($G616="CARTAO",$F616,0)-IF($I616="CARTAO",$F616,0))</f>
        <v>0</v>
      </c>
      <c r="AI616" s="36" t="n">
        <f aca="false">IF($B616="",0,IF($I616="INVESTIMENTO",$F616,0)-IF($G616="INVESTIMENTO",$F616,0))</f>
        <v>0</v>
      </c>
      <c r="AJ616" s="35" t="str">
        <f aca="false">IF($B616="","",IF(NOT(ISNUMBER($F616)),"ERRO: valor nao numerico",IF($F616&lt;=0,"ERRO: valor deve ser maior que zero",IF(COUNTIF(MAP_TIPO,$D616)=0,"ERRO: tipo de operacao nao cadastrado",IF(COUNTIF(LST_STATUS,$E616)=0,"ERRO: status invalido",IF(AND($G616="EXTERNO",$I616="EXTERNO"),"ERRO: origem e destino externos",IF(AND($G616&lt;&gt;"EXTERNO",COUNTIFS(ENT_ID,$H616,ENT_TIPO,$G616)=0),"ERRO: origem inexistente",IF(AND($I616&lt;&gt;"EXTERNO",COUNTIFS(ENT_ID,$J616,ENT_TIPO,$I616)=0),"ERRO: destino inexistente",IF(AND($K616&lt;&gt;"",COUNTIF(CAT_ID,$K616)=0),"ERRO: categoria inexistente",IF(AND($L616&lt;&gt;"",COUNTIF(SUB_ID,$L616)=0),"ERRO: subcategoria inexistente",IF(AND($L616&lt;&gt;"",$K616&lt;&gt;"",IFERROR(INDEX(SUB_CATID,MATCH($L616,SUB_ID,0)),"")&lt;&gt;$K616),"ERRO: subcategoria nao pertence a categoria",IF(AND($O616&lt;&gt;"",COUNTIF(P_ID,$O616)=0),"ERRO: parcela inexistente",IF(AND($N616&lt;&gt;"",COUNTIF(CM_ID,$N616)=0),"ERRO: compromisso inexistente","OK")))))))))))))</f>
        <v/>
      </c>
      <c r="AK616" s="35" t="str">
        <f aca="false">IF($B616="","",IF(AND($N616="",$O616="",$P616="",$Q616="",$R616=""),"","VINCULADO: "&amp;TRIM(IF($N616&lt;&gt;"",$N616&amp;" ","")&amp;IF($O616&lt;&gt;"",$O616&amp;" ","")&amp;IF($P616&lt;&gt;"",$P616&amp;" ","")&amp;IF($Q616&lt;&gt;"",$Q616&amp;" ","")&amp;IF($R616&lt;&gt;"",$R616,""))))</f>
        <v/>
      </c>
    </row>
    <row r="617" customFormat="false" ht="15" hidden="false" customHeight="false" outlineLevel="0" collapsed="false">
      <c r="A617" s="30" t="str">
        <f aca="false">IF($B617="","","LAN-"&amp;TEXT(ROW()-4,"000000"))</f>
        <v/>
      </c>
      <c r="B617" s="31"/>
      <c r="C617" s="32"/>
      <c r="D617" s="32"/>
      <c r="E617" s="32"/>
      <c r="F617" s="33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4" t="str">
        <f aca="false">IF($B617="","",YEAR($B617))</f>
        <v/>
      </c>
      <c r="U617" s="34" t="str">
        <f aca="false">IF($B617="","",MONTH($B617))</f>
        <v/>
      </c>
      <c r="V617" s="34" t="str">
        <f aca="false">IF($B617="","",YEAR($B617)*100+MONTH($B617))</f>
        <v/>
      </c>
      <c r="W617" s="35" t="str">
        <f aca="false">IF($D617="","",IFERROR(INDEX(MAP_CLASS,MATCH($D617,MAP_TIPO,0)),"TIPO INVALIDO"))</f>
        <v/>
      </c>
      <c r="X617" s="35" t="str">
        <f aca="false">IF($K617="","",IFERROR(INDEX(CAT_NOME,MATCH($K617,CAT_ID,0)),"?"))</f>
        <v/>
      </c>
      <c r="Y617" s="35" t="str">
        <f aca="false">IF($L617="","",IFERROR(INDEX(SUB_NOME,MATCH($L617,SUB_ID,0)),"?"))</f>
        <v/>
      </c>
      <c r="Z617" s="35" t="str">
        <f aca="false">IF($G617="","",IF($G617="EXTERNO","(Externo)",IFERROR(INDEX(ENT_NOME,MATCH($H617,ENT_ID,0)),"?")))</f>
        <v/>
      </c>
      <c r="AA617" s="35" t="str">
        <f aca="false">IF($I617="","",IF($I617="EXTERNO","(Externo)",IFERROR(INDEX(ENT_NOME,MATCH($J617,ENT_ID,0)),"?")))</f>
        <v/>
      </c>
      <c r="AB617" s="36" t="n">
        <f aca="false">IF($B617="",0,IF(AND($I617="CONTA",$G617&lt;&gt;"CONTA"),$F617,0))</f>
        <v>0</v>
      </c>
      <c r="AC617" s="36" t="n">
        <f aca="false">IF($B617="",0,IF(AND($G617="CONTA",$I617&lt;&gt;"CONTA"),$F617,0))</f>
        <v>0</v>
      </c>
      <c r="AD617" s="36" t="n">
        <f aca="false">IF($W617="RECEITA",$F617,0)</f>
        <v>0</v>
      </c>
      <c r="AE617" s="36" t="n">
        <f aca="false">IF($W617="DESPESA",$F617,0)</f>
        <v>0</v>
      </c>
      <c r="AF617" s="36" t="n">
        <f aca="false">IF($W617="RECEITA_FINANCEIRA",$F617,0)</f>
        <v>0</v>
      </c>
      <c r="AG617" s="36" t="n">
        <f aca="false">IF($B617="",0,IF($I617="CONTA",$F617,0)-IF($G617="CONTA",$F617,0))</f>
        <v>0</v>
      </c>
      <c r="AH617" s="36" t="n">
        <f aca="false">IF($B617="",0,IF($G617="CARTAO",$F617,0)-IF($I617="CARTAO",$F617,0))</f>
        <v>0</v>
      </c>
      <c r="AI617" s="36" t="n">
        <f aca="false">IF($B617="",0,IF($I617="INVESTIMENTO",$F617,0)-IF($G617="INVESTIMENTO",$F617,0))</f>
        <v>0</v>
      </c>
      <c r="AJ617" s="35" t="str">
        <f aca="false">IF($B617="","",IF(NOT(ISNUMBER($F617)),"ERRO: valor nao numerico",IF($F617&lt;=0,"ERRO: valor deve ser maior que zero",IF(COUNTIF(MAP_TIPO,$D617)=0,"ERRO: tipo de operacao nao cadastrado",IF(COUNTIF(LST_STATUS,$E617)=0,"ERRO: status invalido",IF(AND($G617="EXTERNO",$I617="EXTERNO"),"ERRO: origem e destino externos",IF(AND($G617&lt;&gt;"EXTERNO",COUNTIFS(ENT_ID,$H617,ENT_TIPO,$G617)=0),"ERRO: origem inexistente",IF(AND($I617&lt;&gt;"EXTERNO",COUNTIFS(ENT_ID,$J617,ENT_TIPO,$I617)=0),"ERRO: destino inexistente",IF(AND($K617&lt;&gt;"",COUNTIF(CAT_ID,$K617)=0),"ERRO: categoria inexistente",IF(AND($L617&lt;&gt;"",COUNTIF(SUB_ID,$L617)=0),"ERRO: subcategoria inexistente",IF(AND($L617&lt;&gt;"",$K617&lt;&gt;"",IFERROR(INDEX(SUB_CATID,MATCH($L617,SUB_ID,0)),"")&lt;&gt;$K617),"ERRO: subcategoria nao pertence a categoria",IF(AND($O617&lt;&gt;"",COUNTIF(P_ID,$O617)=0),"ERRO: parcela inexistente",IF(AND($N617&lt;&gt;"",COUNTIF(CM_ID,$N617)=0),"ERRO: compromisso inexistente","OK")))))))))))))</f>
        <v/>
      </c>
      <c r="AK617" s="35" t="str">
        <f aca="false">IF($B617="","",IF(AND($N617="",$O617="",$P617="",$Q617="",$R617=""),"","VINCULADO: "&amp;TRIM(IF($N617&lt;&gt;"",$N617&amp;" ","")&amp;IF($O617&lt;&gt;"",$O617&amp;" ","")&amp;IF($P617&lt;&gt;"",$P617&amp;" ","")&amp;IF($Q617&lt;&gt;"",$Q617&amp;" ","")&amp;IF($R617&lt;&gt;"",$R617,""))))</f>
        <v/>
      </c>
    </row>
    <row r="618" customFormat="false" ht="15" hidden="false" customHeight="false" outlineLevel="0" collapsed="false">
      <c r="A618" s="30" t="str">
        <f aca="false">IF($B618="","","LAN-"&amp;TEXT(ROW()-4,"000000"))</f>
        <v/>
      </c>
      <c r="B618" s="31"/>
      <c r="C618" s="32"/>
      <c r="D618" s="32"/>
      <c r="E618" s="32"/>
      <c r="F618" s="33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4" t="str">
        <f aca="false">IF($B618="","",YEAR($B618))</f>
        <v/>
      </c>
      <c r="U618" s="34" t="str">
        <f aca="false">IF($B618="","",MONTH($B618))</f>
        <v/>
      </c>
      <c r="V618" s="34" t="str">
        <f aca="false">IF($B618="","",YEAR($B618)*100+MONTH($B618))</f>
        <v/>
      </c>
      <c r="W618" s="35" t="str">
        <f aca="false">IF($D618="","",IFERROR(INDEX(MAP_CLASS,MATCH($D618,MAP_TIPO,0)),"TIPO INVALIDO"))</f>
        <v/>
      </c>
      <c r="X618" s="35" t="str">
        <f aca="false">IF($K618="","",IFERROR(INDEX(CAT_NOME,MATCH($K618,CAT_ID,0)),"?"))</f>
        <v/>
      </c>
      <c r="Y618" s="35" t="str">
        <f aca="false">IF($L618="","",IFERROR(INDEX(SUB_NOME,MATCH($L618,SUB_ID,0)),"?"))</f>
        <v/>
      </c>
      <c r="Z618" s="35" t="str">
        <f aca="false">IF($G618="","",IF($G618="EXTERNO","(Externo)",IFERROR(INDEX(ENT_NOME,MATCH($H618,ENT_ID,0)),"?")))</f>
        <v/>
      </c>
      <c r="AA618" s="35" t="str">
        <f aca="false">IF($I618="","",IF($I618="EXTERNO","(Externo)",IFERROR(INDEX(ENT_NOME,MATCH($J618,ENT_ID,0)),"?")))</f>
        <v/>
      </c>
      <c r="AB618" s="36" t="n">
        <f aca="false">IF($B618="",0,IF(AND($I618="CONTA",$G618&lt;&gt;"CONTA"),$F618,0))</f>
        <v>0</v>
      </c>
      <c r="AC618" s="36" t="n">
        <f aca="false">IF($B618="",0,IF(AND($G618="CONTA",$I618&lt;&gt;"CONTA"),$F618,0))</f>
        <v>0</v>
      </c>
      <c r="AD618" s="36" t="n">
        <f aca="false">IF($W618="RECEITA",$F618,0)</f>
        <v>0</v>
      </c>
      <c r="AE618" s="36" t="n">
        <f aca="false">IF($W618="DESPESA",$F618,0)</f>
        <v>0</v>
      </c>
      <c r="AF618" s="36" t="n">
        <f aca="false">IF($W618="RECEITA_FINANCEIRA",$F618,0)</f>
        <v>0</v>
      </c>
      <c r="AG618" s="36" t="n">
        <f aca="false">IF($B618="",0,IF($I618="CONTA",$F618,0)-IF($G618="CONTA",$F618,0))</f>
        <v>0</v>
      </c>
      <c r="AH618" s="36" t="n">
        <f aca="false">IF($B618="",0,IF($G618="CARTAO",$F618,0)-IF($I618="CARTAO",$F618,0))</f>
        <v>0</v>
      </c>
      <c r="AI618" s="36" t="n">
        <f aca="false">IF($B618="",0,IF($I618="INVESTIMENTO",$F618,0)-IF($G618="INVESTIMENTO",$F618,0))</f>
        <v>0</v>
      </c>
      <c r="AJ618" s="35" t="str">
        <f aca="false">IF($B618="","",IF(NOT(ISNUMBER($F618)),"ERRO: valor nao numerico",IF($F618&lt;=0,"ERRO: valor deve ser maior que zero",IF(COUNTIF(MAP_TIPO,$D618)=0,"ERRO: tipo de operacao nao cadastrado",IF(COUNTIF(LST_STATUS,$E618)=0,"ERRO: status invalido",IF(AND($G618="EXTERNO",$I618="EXTERNO"),"ERRO: origem e destino externos",IF(AND($G618&lt;&gt;"EXTERNO",COUNTIFS(ENT_ID,$H618,ENT_TIPO,$G618)=0),"ERRO: origem inexistente",IF(AND($I618&lt;&gt;"EXTERNO",COUNTIFS(ENT_ID,$J618,ENT_TIPO,$I618)=0),"ERRO: destino inexistente",IF(AND($K618&lt;&gt;"",COUNTIF(CAT_ID,$K618)=0),"ERRO: categoria inexistente",IF(AND($L618&lt;&gt;"",COUNTIF(SUB_ID,$L618)=0),"ERRO: subcategoria inexistente",IF(AND($L618&lt;&gt;"",$K618&lt;&gt;"",IFERROR(INDEX(SUB_CATID,MATCH($L618,SUB_ID,0)),"")&lt;&gt;$K618),"ERRO: subcategoria nao pertence a categoria",IF(AND($O618&lt;&gt;"",COUNTIF(P_ID,$O618)=0),"ERRO: parcela inexistente",IF(AND($N618&lt;&gt;"",COUNTIF(CM_ID,$N618)=0),"ERRO: compromisso inexistente","OK")))))))))))))</f>
        <v/>
      </c>
      <c r="AK618" s="35" t="str">
        <f aca="false">IF($B618="","",IF(AND($N618="",$O618="",$P618="",$Q618="",$R618=""),"","VINCULADO: "&amp;TRIM(IF($N618&lt;&gt;"",$N618&amp;" ","")&amp;IF($O618&lt;&gt;"",$O618&amp;" ","")&amp;IF($P618&lt;&gt;"",$P618&amp;" ","")&amp;IF($Q618&lt;&gt;"",$Q618&amp;" ","")&amp;IF($R618&lt;&gt;"",$R618,""))))</f>
        <v/>
      </c>
    </row>
    <row r="619" customFormat="false" ht="15" hidden="false" customHeight="false" outlineLevel="0" collapsed="false">
      <c r="A619" s="30" t="str">
        <f aca="false">IF($B619="","","LAN-"&amp;TEXT(ROW()-4,"000000"))</f>
        <v/>
      </c>
      <c r="B619" s="31"/>
      <c r="C619" s="32"/>
      <c r="D619" s="32"/>
      <c r="E619" s="32"/>
      <c r="F619" s="33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4" t="str">
        <f aca="false">IF($B619="","",YEAR($B619))</f>
        <v/>
      </c>
      <c r="U619" s="34" t="str">
        <f aca="false">IF($B619="","",MONTH($B619))</f>
        <v/>
      </c>
      <c r="V619" s="34" t="str">
        <f aca="false">IF($B619="","",YEAR($B619)*100+MONTH($B619))</f>
        <v/>
      </c>
      <c r="W619" s="35" t="str">
        <f aca="false">IF($D619="","",IFERROR(INDEX(MAP_CLASS,MATCH($D619,MAP_TIPO,0)),"TIPO INVALIDO"))</f>
        <v/>
      </c>
      <c r="X619" s="35" t="str">
        <f aca="false">IF($K619="","",IFERROR(INDEX(CAT_NOME,MATCH($K619,CAT_ID,0)),"?"))</f>
        <v/>
      </c>
      <c r="Y619" s="35" t="str">
        <f aca="false">IF($L619="","",IFERROR(INDEX(SUB_NOME,MATCH($L619,SUB_ID,0)),"?"))</f>
        <v/>
      </c>
      <c r="Z619" s="35" t="str">
        <f aca="false">IF($G619="","",IF($G619="EXTERNO","(Externo)",IFERROR(INDEX(ENT_NOME,MATCH($H619,ENT_ID,0)),"?")))</f>
        <v/>
      </c>
      <c r="AA619" s="35" t="str">
        <f aca="false">IF($I619="","",IF($I619="EXTERNO","(Externo)",IFERROR(INDEX(ENT_NOME,MATCH($J619,ENT_ID,0)),"?")))</f>
        <v/>
      </c>
      <c r="AB619" s="36" t="n">
        <f aca="false">IF($B619="",0,IF(AND($I619="CONTA",$G619&lt;&gt;"CONTA"),$F619,0))</f>
        <v>0</v>
      </c>
      <c r="AC619" s="36" t="n">
        <f aca="false">IF($B619="",0,IF(AND($G619="CONTA",$I619&lt;&gt;"CONTA"),$F619,0))</f>
        <v>0</v>
      </c>
      <c r="AD619" s="36" t="n">
        <f aca="false">IF($W619="RECEITA",$F619,0)</f>
        <v>0</v>
      </c>
      <c r="AE619" s="36" t="n">
        <f aca="false">IF($W619="DESPESA",$F619,0)</f>
        <v>0</v>
      </c>
      <c r="AF619" s="36" t="n">
        <f aca="false">IF($W619="RECEITA_FINANCEIRA",$F619,0)</f>
        <v>0</v>
      </c>
      <c r="AG619" s="36" t="n">
        <f aca="false">IF($B619="",0,IF($I619="CONTA",$F619,0)-IF($G619="CONTA",$F619,0))</f>
        <v>0</v>
      </c>
      <c r="AH619" s="36" t="n">
        <f aca="false">IF($B619="",0,IF($G619="CARTAO",$F619,0)-IF($I619="CARTAO",$F619,0))</f>
        <v>0</v>
      </c>
      <c r="AI619" s="36" t="n">
        <f aca="false">IF($B619="",0,IF($I619="INVESTIMENTO",$F619,0)-IF($G619="INVESTIMENTO",$F619,0))</f>
        <v>0</v>
      </c>
      <c r="AJ619" s="35" t="str">
        <f aca="false">IF($B619="","",IF(NOT(ISNUMBER($F619)),"ERRO: valor nao numerico",IF($F619&lt;=0,"ERRO: valor deve ser maior que zero",IF(COUNTIF(MAP_TIPO,$D619)=0,"ERRO: tipo de operacao nao cadastrado",IF(COUNTIF(LST_STATUS,$E619)=0,"ERRO: status invalido",IF(AND($G619="EXTERNO",$I619="EXTERNO"),"ERRO: origem e destino externos",IF(AND($G619&lt;&gt;"EXTERNO",COUNTIFS(ENT_ID,$H619,ENT_TIPO,$G619)=0),"ERRO: origem inexistente",IF(AND($I619&lt;&gt;"EXTERNO",COUNTIFS(ENT_ID,$J619,ENT_TIPO,$I619)=0),"ERRO: destino inexistente",IF(AND($K619&lt;&gt;"",COUNTIF(CAT_ID,$K619)=0),"ERRO: categoria inexistente",IF(AND($L619&lt;&gt;"",COUNTIF(SUB_ID,$L619)=0),"ERRO: subcategoria inexistente",IF(AND($L619&lt;&gt;"",$K619&lt;&gt;"",IFERROR(INDEX(SUB_CATID,MATCH($L619,SUB_ID,0)),"")&lt;&gt;$K619),"ERRO: subcategoria nao pertence a categoria",IF(AND($O619&lt;&gt;"",COUNTIF(P_ID,$O619)=0),"ERRO: parcela inexistente",IF(AND($N619&lt;&gt;"",COUNTIF(CM_ID,$N619)=0),"ERRO: compromisso inexistente","OK")))))))))))))</f>
        <v/>
      </c>
      <c r="AK619" s="35" t="str">
        <f aca="false">IF($B619="","",IF(AND($N619="",$O619="",$P619="",$Q619="",$R619=""),"","VINCULADO: "&amp;TRIM(IF($N619&lt;&gt;"",$N619&amp;" ","")&amp;IF($O619&lt;&gt;"",$O619&amp;" ","")&amp;IF($P619&lt;&gt;"",$P619&amp;" ","")&amp;IF($Q619&lt;&gt;"",$Q619&amp;" ","")&amp;IF($R619&lt;&gt;"",$R619,""))))</f>
        <v/>
      </c>
    </row>
    <row r="620" customFormat="false" ht="15" hidden="false" customHeight="false" outlineLevel="0" collapsed="false">
      <c r="A620" s="30" t="str">
        <f aca="false">IF($B620="","","LAN-"&amp;TEXT(ROW()-4,"000000"))</f>
        <v/>
      </c>
      <c r="B620" s="31"/>
      <c r="C620" s="32"/>
      <c r="D620" s="32"/>
      <c r="E620" s="32"/>
      <c r="F620" s="33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4" t="str">
        <f aca="false">IF($B620="","",YEAR($B620))</f>
        <v/>
      </c>
      <c r="U620" s="34" t="str">
        <f aca="false">IF($B620="","",MONTH($B620))</f>
        <v/>
      </c>
      <c r="V620" s="34" t="str">
        <f aca="false">IF($B620="","",YEAR($B620)*100+MONTH($B620))</f>
        <v/>
      </c>
      <c r="W620" s="35" t="str">
        <f aca="false">IF($D620="","",IFERROR(INDEX(MAP_CLASS,MATCH($D620,MAP_TIPO,0)),"TIPO INVALIDO"))</f>
        <v/>
      </c>
      <c r="X620" s="35" t="str">
        <f aca="false">IF($K620="","",IFERROR(INDEX(CAT_NOME,MATCH($K620,CAT_ID,0)),"?"))</f>
        <v/>
      </c>
      <c r="Y620" s="35" t="str">
        <f aca="false">IF($L620="","",IFERROR(INDEX(SUB_NOME,MATCH($L620,SUB_ID,0)),"?"))</f>
        <v/>
      </c>
      <c r="Z620" s="35" t="str">
        <f aca="false">IF($G620="","",IF($G620="EXTERNO","(Externo)",IFERROR(INDEX(ENT_NOME,MATCH($H620,ENT_ID,0)),"?")))</f>
        <v/>
      </c>
      <c r="AA620" s="35" t="str">
        <f aca="false">IF($I620="","",IF($I620="EXTERNO","(Externo)",IFERROR(INDEX(ENT_NOME,MATCH($J620,ENT_ID,0)),"?")))</f>
        <v/>
      </c>
      <c r="AB620" s="36" t="n">
        <f aca="false">IF($B620="",0,IF(AND($I620="CONTA",$G620&lt;&gt;"CONTA"),$F620,0))</f>
        <v>0</v>
      </c>
      <c r="AC620" s="36" t="n">
        <f aca="false">IF($B620="",0,IF(AND($G620="CONTA",$I620&lt;&gt;"CONTA"),$F620,0))</f>
        <v>0</v>
      </c>
      <c r="AD620" s="36" t="n">
        <f aca="false">IF($W620="RECEITA",$F620,0)</f>
        <v>0</v>
      </c>
      <c r="AE620" s="36" t="n">
        <f aca="false">IF($W620="DESPESA",$F620,0)</f>
        <v>0</v>
      </c>
      <c r="AF620" s="36" t="n">
        <f aca="false">IF($W620="RECEITA_FINANCEIRA",$F620,0)</f>
        <v>0</v>
      </c>
      <c r="AG620" s="36" t="n">
        <f aca="false">IF($B620="",0,IF($I620="CONTA",$F620,0)-IF($G620="CONTA",$F620,0))</f>
        <v>0</v>
      </c>
      <c r="AH620" s="36" t="n">
        <f aca="false">IF($B620="",0,IF($G620="CARTAO",$F620,0)-IF($I620="CARTAO",$F620,0))</f>
        <v>0</v>
      </c>
      <c r="AI620" s="36" t="n">
        <f aca="false">IF($B620="",0,IF($I620="INVESTIMENTO",$F620,0)-IF($G620="INVESTIMENTO",$F620,0))</f>
        <v>0</v>
      </c>
      <c r="AJ620" s="35" t="str">
        <f aca="false">IF($B620="","",IF(NOT(ISNUMBER($F620)),"ERRO: valor nao numerico",IF($F620&lt;=0,"ERRO: valor deve ser maior que zero",IF(COUNTIF(MAP_TIPO,$D620)=0,"ERRO: tipo de operacao nao cadastrado",IF(COUNTIF(LST_STATUS,$E620)=0,"ERRO: status invalido",IF(AND($G620="EXTERNO",$I620="EXTERNO"),"ERRO: origem e destino externos",IF(AND($G620&lt;&gt;"EXTERNO",COUNTIFS(ENT_ID,$H620,ENT_TIPO,$G620)=0),"ERRO: origem inexistente",IF(AND($I620&lt;&gt;"EXTERNO",COUNTIFS(ENT_ID,$J620,ENT_TIPO,$I620)=0),"ERRO: destino inexistente",IF(AND($K620&lt;&gt;"",COUNTIF(CAT_ID,$K620)=0),"ERRO: categoria inexistente",IF(AND($L620&lt;&gt;"",COUNTIF(SUB_ID,$L620)=0),"ERRO: subcategoria inexistente",IF(AND($L620&lt;&gt;"",$K620&lt;&gt;"",IFERROR(INDEX(SUB_CATID,MATCH($L620,SUB_ID,0)),"")&lt;&gt;$K620),"ERRO: subcategoria nao pertence a categoria",IF(AND($O620&lt;&gt;"",COUNTIF(P_ID,$O620)=0),"ERRO: parcela inexistente",IF(AND($N620&lt;&gt;"",COUNTIF(CM_ID,$N620)=0),"ERRO: compromisso inexistente","OK")))))))))))))</f>
        <v/>
      </c>
      <c r="AK620" s="35" t="str">
        <f aca="false">IF($B620="","",IF(AND($N620="",$O620="",$P620="",$Q620="",$R620=""),"","VINCULADO: "&amp;TRIM(IF($N620&lt;&gt;"",$N620&amp;" ","")&amp;IF($O620&lt;&gt;"",$O620&amp;" ","")&amp;IF($P620&lt;&gt;"",$P620&amp;" ","")&amp;IF($Q620&lt;&gt;"",$Q620&amp;" ","")&amp;IF($R620&lt;&gt;"",$R620,""))))</f>
        <v/>
      </c>
    </row>
    <row r="621" customFormat="false" ht="15" hidden="false" customHeight="false" outlineLevel="0" collapsed="false">
      <c r="A621" s="30" t="str">
        <f aca="false">IF($B621="","","LAN-"&amp;TEXT(ROW()-4,"000000"))</f>
        <v/>
      </c>
      <c r="B621" s="31"/>
      <c r="C621" s="32"/>
      <c r="D621" s="32"/>
      <c r="E621" s="32"/>
      <c r="F621" s="33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4" t="str">
        <f aca="false">IF($B621="","",YEAR($B621))</f>
        <v/>
      </c>
      <c r="U621" s="34" t="str">
        <f aca="false">IF($B621="","",MONTH($B621))</f>
        <v/>
      </c>
      <c r="V621" s="34" t="str">
        <f aca="false">IF($B621="","",YEAR($B621)*100+MONTH($B621))</f>
        <v/>
      </c>
      <c r="W621" s="35" t="str">
        <f aca="false">IF($D621="","",IFERROR(INDEX(MAP_CLASS,MATCH($D621,MAP_TIPO,0)),"TIPO INVALIDO"))</f>
        <v/>
      </c>
      <c r="X621" s="35" t="str">
        <f aca="false">IF($K621="","",IFERROR(INDEX(CAT_NOME,MATCH($K621,CAT_ID,0)),"?"))</f>
        <v/>
      </c>
      <c r="Y621" s="35" t="str">
        <f aca="false">IF($L621="","",IFERROR(INDEX(SUB_NOME,MATCH($L621,SUB_ID,0)),"?"))</f>
        <v/>
      </c>
      <c r="Z621" s="35" t="str">
        <f aca="false">IF($G621="","",IF($G621="EXTERNO","(Externo)",IFERROR(INDEX(ENT_NOME,MATCH($H621,ENT_ID,0)),"?")))</f>
        <v/>
      </c>
      <c r="AA621" s="35" t="str">
        <f aca="false">IF($I621="","",IF($I621="EXTERNO","(Externo)",IFERROR(INDEX(ENT_NOME,MATCH($J621,ENT_ID,0)),"?")))</f>
        <v/>
      </c>
      <c r="AB621" s="36" t="n">
        <f aca="false">IF($B621="",0,IF(AND($I621="CONTA",$G621&lt;&gt;"CONTA"),$F621,0))</f>
        <v>0</v>
      </c>
      <c r="AC621" s="36" t="n">
        <f aca="false">IF($B621="",0,IF(AND($G621="CONTA",$I621&lt;&gt;"CONTA"),$F621,0))</f>
        <v>0</v>
      </c>
      <c r="AD621" s="36" t="n">
        <f aca="false">IF($W621="RECEITA",$F621,0)</f>
        <v>0</v>
      </c>
      <c r="AE621" s="36" t="n">
        <f aca="false">IF($W621="DESPESA",$F621,0)</f>
        <v>0</v>
      </c>
      <c r="AF621" s="36" t="n">
        <f aca="false">IF($W621="RECEITA_FINANCEIRA",$F621,0)</f>
        <v>0</v>
      </c>
      <c r="AG621" s="36" t="n">
        <f aca="false">IF($B621="",0,IF($I621="CONTA",$F621,0)-IF($G621="CONTA",$F621,0))</f>
        <v>0</v>
      </c>
      <c r="AH621" s="36" t="n">
        <f aca="false">IF($B621="",0,IF($G621="CARTAO",$F621,0)-IF($I621="CARTAO",$F621,0))</f>
        <v>0</v>
      </c>
      <c r="AI621" s="36" t="n">
        <f aca="false">IF($B621="",0,IF($I621="INVESTIMENTO",$F621,0)-IF($G621="INVESTIMENTO",$F621,0))</f>
        <v>0</v>
      </c>
      <c r="AJ621" s="35" t="str">
        <f aca="false">IF($B621="","",IF(NOT(ISNUMBER($F621)),"ERRO: valor nao numerico",IF($F621&lt;=0,"ERRO: valor deve ser maior que zero",IF(COUNTIF(MAP_TIPO,$D621)=0,"ERRO: tipo de operacao nao cadastrado",IF(COUNTIF(LST_STATUS,$E621)=0,"ERRO: status invalido",IF(AND($G621="EXTERNO",$I621="EXTERNO"),"ERRO: origem e destino externos",IF(AND($G621&lt;&gt;"EXTERNO",COUNTIFS(ENT_ID,$H621,ENT_TIPO,$G621)=0),"ERRO: origem inexistente",IF(AND($I621&lt;&gt;"EXTERNO",COUNTIFS(ENT_ID,$J621,ENT_TIPO,$I621)=0),"ERRO: destino inexistente",IF(AND($K621&lt;&gt;"",COUNTIF(CAT_ID,$K621)=0),"ERRO: categoria inexistente",IF(AND($L621&lt;&gt;"",COUNTIF(SUB_ID,$L621)=0),"ERRO: subcategoria inexistente",IF(AND($L621&lt;&gt;"",$K621&lt;&gt;"",IFERROR(INDEX(SUB_CATID,MATCH($L621,SUB_ID,0)),"")&lt;&gt;$K621),"ERRO: subcategoria nao pertence a categoria",IF(AND($O621&lt;&gt;"",COUNTIF(P_ID,$O621)=0),"ERRO: parcela inexistente",IF(AND($N621&lt;&gt;"",COUNTIF(CM_ID,$N621)=0),"ERRO: compromisso inexistente","OK")))))))))))))</f>
        <v/>
      </c>
      <c r="AK621" s="35" t="str">
        <f aca="false">IF($B621="","",IF(AND($N621="",$O621="",$P621="",$Q621="",$R621=""),"","VINCULADO: "&amp;TRIM(IF($N621&lt;&gt;"",$N621&amp;" ","")&amp;IF($O621&lt;&gt;"",$O621&amp;" ","")&amp;IF($P621&lt;&gt;"",$P621&amp;" ","")&amp;IF($Q621&lt;&gt;"",$Q621&amp;" ","")&amp;IF($R621&lt;&gt;"",$R621,""))))</f>
        <v/>
      </c>
    </row>
    <row r="622" customFormat="false" ht="15" hidden="false" customHeight="false" outlineLevel="0" collapsed="false">
      <c r="A622" s="30" t="str">
        <f aca="false">IF($B622="","","LAN-"&amp;TEXT(ROW()-4,"000000"))</f>
        <v/>
      </c>
      <c r="B622" s="31"/>
      <c r="C622" s="32"/>
      <c r="D622" s="32"/>
      <c r="E622" s="32"/>
      <c r="F622" s="33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4" t="str">
        <f aca="false">IF($B622="","",YEAR($B622))</f>
        <v/>
      </c>
      <c r="U622" s="34" t="str">
        <f aca="false">IF($B622="","",MONTH($B622))</f>
        <v/>
      </c>
      <c r="V622" s="34" t="str">
        <f aca="false">IF($B622="","",YEAR($B622)*100+MONTH($B622))</f>
        <v/>
      </c>
      <c r="W622" s="35" t="str">
        <f aca="false">IF($D622="","",IFERROR(INDEX(MAP_CLASS,MATCH($D622,MAP_TIPO,0)),"TIPO INVALIDO"))</f>
        <v/>
      </c>
      <c r="X622" s="35" t="str">
        <f aca="false">IF($K622="","",IFERROR(INDEX(CAT_NOME,MATCH($K622,CAT_ID,0)),"?"))</f>
        <v/>
      </c>
      <c r="Y622" s="35" t="str">
        <f aca="false">IF($L622="","",IFERROR(INDEX(SUB_NOME,MATCH($L622,SUB_ID,0)),"?"))</f>
        <v/>
      </c>
      <c r="Z622" s="35" t="str">
        <f aca="false">IF($G622="","",IF($G622="EXTERNO","(Externo)",IFERROR(INDEX(ENT_NOME,MATCH($H622,ENT_ID,0)),"?")))</f>
        <v/>
      </c>
      <c r="AA622" s="35" t="str">
        <f aca="false">IF($I622="","",IF($I622="EXTERNO","(Externo)",IFERROR(INDEX(ENT_NOME,MATCH($J622,ENT_ID,0)),"?")))</f>
        <v/>
      </c>
      <c r="AB622" s="36" t="n">
        <f aca="false">IF($B622="",0,IF(AND($I622="CONTA",$G622&lt;&gt;"CONTA"),$F622,0))</f>
        <v>0</v>
      </c>
      <c r="AC622" s="36" t="n">
        <f aca="false">IF($B622="",0,IF(AND($G622="CONTA",$I622&lt;&gt;"CONTA"),$F622,0))</f>
        <v>0</v>
      </c>
      <c r="AD622" s="36" t="n">
        <f aca="false">IF($W622="RECEITA",$F622,0)</f>
        <v>0</v>
      </c>
      <c r="AE622" s="36" t="n">
        <f aca="false">IF($W622="DESPESA",$F622,0)</f>
        <v>0</v>
      </c>
      <c r="AF622" s="36" t="n">
        <f aca="false">IF($W622="RECEITA_FINANCEIRA",$F622,0)</f>
        <v>0</v>
      </c>
      <c r="AG622" s="36" t="n">
        <f aca="false">IF($B622="",0,IF($I622="CONTA",$F622,0)-IF($G622="CONTA",$F622,0))</f>
        <v>0</v>
      </c>
      <c r="AH622" s="36" t="n">
        <f aca="false">IF($B622="",0,IF($G622="CARTAO",$F622,0)-IF($I622="CARTAO",$F622,0))</f>
        <v>0</v>
      </c>
      <c r="AI622" s="36" t="n">
        <f aca="false">IF($B622="",0,IF($I622="INVESTIMENTO",$F622,0)-IF($G622="INVESTIMENTO",$F622,0))</f>
        <v>0</v>
      </c>
      <c r="AJ622" s="35" t="str">
        <f aca="false">IF($B622="","",IF(NOT(ISNUMBER($F622)),"ERRO: valor nao numerico",IF($F622&lt;=0,"ERRO: valor deve ser maior que zero",IF(COUNTIF(MAP_TIPO,$D622)=0,"ERRO: tipo de operacao nao cadastrado",IF(COUNTIF(LST_STATUS,$E622)=0,"ERRO: status invalido",IF(AND($G622="EXTERNO",$I622="EXTERNO"),"ERRO: origem e destino externos",IF(AND($G622&lt;&gt;"EXTERNO",COUNTIFS(ENT_ID,$H622,ENT_TIPO,$G622)=0),"ERRO: origem inexistente",IF(AND($I622&lt;&gt;"EXTERNO",COUNTIFS(ENT_ID,$J622,ENT_TIPO,$I622)=0),"ERRO: destino inexistente",IF(AND($K622&lt;&gt;"",COUNTIF(CAT_ID,$K622)=0),"ERRO: categoria inexistente",IF(AND($L622&lt;&gt;"",COUNTIF(SUB_ID,$L622)=0),"ERRO: subcategoria inexistente",IF(AND($L622&lt;&gt;"",$K622&lt;&gt;"",IFERROR(INDEX(SUB_CATID,MATCH($L622,SUB_ID,0)),"")&lt;&gt;$K622),"ERRO: subcategoria nao pertence a categoria",IF(AND($O622&lt;&gt;"",COUNTIF(P_ID,$O622)=0),"ERRO: parcela inexistente",IF(AND($N622&lt;&gt;"",COUNTIF(CM_ID,$N622)=0),"ERRO: compromisso inexistente","OK")))))))))))))</f>
        <v/>
      </c>
      <c r="AK622" s="35" t="str">
        <f aca="false">IF($B622="","",IF(AND($N622="",$O622="",$P622="",$Q622="",$R622=""),"","VINCULADO: "&amp;TRIM(IF($N622&lt;&gt;"",$N622&amp;" ","")&amp;IF($O622&lt;&gt;"",$O622&amp;" ","")&amp;IF($P622&lt;&gt;"",$P622&amp;" ","")&amp;IF($Q622&lt;&gt;"",$Q622&amp;" ","")&amp;IF($R622&lt;&gt;"",$R622,""))))</f>
        <v/>
      </c>
    </row>
    <row r="623" customFormat="false" ht="15" hidden="false" customHeight="false" outlineLevel="0" collapsed="false">
      <c r="A623" s="30" t="str">
        <f aca="false">IF($B623="","","LAN-"&amp;TEXT(ROW()-4,"000000"))</f>
        <v/>
      </c>
      <c r="B623" s="31"/>
      <c r="C623" s="32"/>
      <c r="D623" s="32"/>
      <c r="E623" s="32"/>
      <c r="F623" s="33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4" t="str">
        <f aca="false">IF($B623="","",YEAR($B623))</f>
        <v/>
      </c>
      <c r="U623" s="34" t="str">
        <f aca="false">IF($B623="","",MONTH($B623))</f>
        <v/>
      </c>
      <c r="V623" s="34" t="str">
        <f aca="false">IF($B623="","",YEAR($B623)*100+MONTH($B623))</f>
        <v/>
      </c>
      <c r="W623" s="35" t="str">
        <f aca="false">IF($D623="","",IFERROR(INDEX(MAP_CLASS,MATCH($D623,MAP_TIPO,0)),"TIPO INVALIDO"))</f>
        <v/>
      </c>
      <c r="X623" s="35" t="str">
        <f aca="false">IF($K623="","",IFERROR(INDEX(CAT_NOME,MATCH($K623,CAT_ID,0)),"?"))</f>
        <v/>
      </c>
      <c r="Y623" s="35" t="str">
        <f aca="false">IF($L623="","",IFERROR(INDEX(SUB_NOME,MATCH($L623,SUB_ID,0)),"?"))</f>
        <v/>
      </c>
      <c r="Z623" s="35" t="str">
        <f aca="false">IF($G623="","",IF($G623="EXTERNO","(Externo)",IFERROR(INDEX(ENT_NOME,MATCH($H623,ENT_ID,0)),"?")))</f>
        <v/>
      </c>
      <c r="AA623" s="35" t="str">
        <f aca="false">IF($I623="","",IF($I623="EXTERNO","(Externo)",IFERROR(INDEX(ENT_NOME,MATCH($J623,ENT_ID,0)),"?")))</f>
        <v/>
      </c>
      <c r="AB623" s="36" t="n">
        <f aca="false">IF($B623="",0,IF(AND($I623="CONTA",$G623&lt;&gt;"CONTA"),$F623,0))</f>
        <v>0</v>
      </c>
      <c r="AC623" s="36" t="n">
        <f aca="false">IF($B623="",0,IF(AND($G623="CONTA",$I623&lt;&gt;"CONTA"),$F623,0))</f>
        <v>0</v>
      </c>
      <c r="AD623" s="36" t="n">
        <f aca="false">IF($W623="RECEITA",$F623,0)</f>
        <v>0</v>
      </c>
      <c r="AE623" s="36" t="n">
        <f aca="false">IF($W623="DESPESA",$F623,0)</f>
        <v>0</v>
      </c>
      <c r="AF623" s="36" t="n">
        <f aca="false">IF($W623="RECEITA_FINANCEIRA",$F623,0)</f>
        <v>0</v>
      </c>
      <c r="AG623" s="36" t="n">
        <f aca="false">IF($B623="",0,IF($I623="CONTA",$F623,0)-IF($G623="CONTA",$F623,0))</f>
        <v>0</v>
      </c>
      <c r="AH623" s="36" t="n">
        <f aca="false">IF($B623="",0,IF($G623="CARTAO",$F623,0)-IF($I623="CARTAO",$F623,0))</f>
        <v>0</v>
      </c>
      <c r="AI623" s="36" t="n">
        <f aca="false">IF($B623="",0,IF($I623="INVESTIMENTO",$F623,0)-IF($G623="INVESTIMENTO",$F623,0))</f>
        <v>0</v>
      </c>
      <c r="AJ623" s="35" t="str">
        <f aca="false">IF($B623="","",IF(NOT(ISNUMBER($F623)),"ERRO: valor nao numerico",IF($F623&lt;=0,"ERRO: valor deve ser maior que zero",IF(COUNTIF(MAP_TIPO,$D623)=0,"ERRO: tipo de operacao nao cadastrado",IF(COUNTIF(LST_STATUS,$E623)=0,"ERRO: status invalido",IF(AND($G623="EXTERNO",$I623="EXTERNO"),"ERRO: origem e destino externos",IF(AND($G623&lt;&gt;"EXTERNO",COUNTIFS(ENT_ID,$H623,ENT_TIPO,$G623)=0),"ERRO: origem inexistente",IF(AND($I623&lt;&gt;"EXTERNO",COUNTIFS(ENT_ID,$J623,ENT_TIPO,$I623)=0),"ERRO: destino inexistente",IF(AND($K623&lt;&gt;"",COUNTIF(CAT_ID,$K623)=0),"ERRO: categoria inexistente",IF(AND($L623&lt;&gt;"",COUNTIF(SUB_ID,$L623)=0),"ERRO: subcategoria inexistente",IF(AND($L623&lt;&gt;"",$K623&lt;&gt;"",IFERROR(INDEX(SUB_CATID,MATCH($L623,SUB_ID,0)),"")&lt;&gt;$K623),"ERRO: subcategoria nao pertence a categoria",IF(AND($O623&lt;&gt;"",COUNTIF(P_ID,$O623)=0),"ERRO: parcela inexistente",IF(AND($N623&lt;&gt;"",COUNTIF(CM_ID,$N623)=0),"ERRO: compromisso inexistente","OK")))))))))))))</f>
        <v/>
      </c>
      <c r="AK623" s="35" t="str">
        <f aca="false">IF($B623="","",IF(AND($N623="",$O623="",$P623="",$Q623="",$R623=""),"","VINCULADO: "&amp;TRIM(IF($N623&lt;&gt;"",$N623&amp;" ","")&amp;IF($O623&lt;&gt;"",$O623&amp;" ","")&amp;IF($P623&lt;&gt;"",$P623&amp;" ","")&amp;IF($Q623&lt;&gt;"",$Q623&amp;" ","")&amp;IF($R623&lt;&gt;"",$R623,""))))</f>
        <v/>
      </c>
    </row>
    <row r="624" customFormat="false" ht="15" hidden="false" customHeight="false" outlineLevel="0" collapsed="false">
      <c r="A624" s="30" t="str">
        <f aca="false">IF($B624="","","LAN-"&amp;TEXT(ROW()-4,"000000"))</f>
        <v/>
      </c>
      <c r="B624" s="31"/>
      <c r="C624" s="32"/>
      <c r="D624" s="32"/>
      <c r="E624" s="32"/>
      <c r="F624" s="33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4" t="str">
        <f aca="false">IF($B624="","",YEAR($B624))</f>
        <v/>
      </c>
      <c r="U624" s="34" t="str">
        <f aca="false">IF($B624="","",MONTH($B624))</f>
        <v/>
      </c>
      <c r="V624" s="34" t="str">
        <f aca="false">IF($B624="","",YEAR($B624)*100+MONTH($B624))</f>
        <v/>
      </c>
      <c r="W624" s="35" t="str">
        <f aca="false">IF($D624="","",IFERROR(INDEX(MAP_CLASS,MATCH($D624,MAP_TIPO,0)),"TIPO INVALIDO"))</f>
        <v/>
      </c>
      <c r="X624" s="35" t="str">
        <f aca="false">IF($K624="","",IFERROR(INDEX(CAT_NOME,MATCH($K624,CAT_ID,0)),"?"))</f>
        <v/>
      </c>
      <c r="Y624" s="35" t="str">
        <f aca="false">IF($L624="","",IFERROR(INDEX(SUB_NOME,MATCH($L624,SUB_ID,0)),"?"))</f>
        <v/>
      </c>
      <c r="Z624" s="35" t="str">
        <f aca="false">IF($G624="","",IF($G624="EXTERNO","(Externo)",IFERROR(INDEX(ENT_NOME,MATCH($H624,ENT_ID,0)),"?")))</f>
        <v/>
      </c>
      <c r="AA624" s="35" t="str">
        <f aca="false">IF($I624="","",IF($I624="EXTERNO","(Externo)",IFERROR(INDEX(ENT_NOME,MATCH($J624,ENT_ID,0)),"?")))</f>
        <v/>
      </c>
      <c r="AB624" s="36" t="n">
        <f aca="false">IF($B624="",0,IF(AND($I624="CONTA",$G624&lt;&gt;"CONTA"),$F624,0))</f>
        <v>0</v>
      </c>
      <c r="AC624" s="36" t="n">
        <f aca="false">IF($B624="",0,IF(AND($G624="CONTA",$I624&lt;&gt;"CONTA"),$F624,0))</f>
        <v>0</v>
      </c>
      <c r="AD624" s="36" t="n">
        <f aca="false">IF($W624="RECEITA",$F624,0)</f>
        <v>0</v>
      </c>
      <c r="AE624" s="36" t="n">
        <f aca="false">IF($W624="DESPESA",$F624,0)</f>
        <v>0</v>
      </c>
      <c r="AF624" s="36" t="n">
        <f aca="false">IF($W624="RECEITA_FINANCEIRA",$F624,0)</f>
        <v>0</v>
      </c>
      <c r="AG624" s="36" t="n">
        <f aca="false">IF($B624="",0,IF($I624="CONTA",$F624,0)-IF($G624="CONTA",$F624,0))</f>
        <v>0</v>
      </c>
      <c r="AH624" s="36" t="n">
        <f aca="false">IF($B624="",0,IF($G624="CARTAO",$F624,0)-IF($I624="CARTAO",$F624,0))</f>
        <v>0</v>
      </c>
      <c r="AI624" s="36" t="n">
        <f aca="false">IF($B624="",0,IF($I624="INVESTIMENTO",$F624,0)-IF($G624="INVESTIMENTO",$F624,0))</f>
        <v>0</v>
      </c>
      <c r="AJ624" s="35" t="str">
        <f aca="false">IF($B624="","",IF(NOT(ISNUMBER($F624)),"ERRO: valor nao numerico",IF($F624&lt;=0,"ERRO: valor deve ser maior que zero",IF(COUNTIF(MAP_TIPO,$D624)=0,"ERRO: tipo de operacao nao cadastrado",IF(COUNTIF(LST_STATUS,$E624)=0,"ERRO: status invalido",IF(AND($G624="EXTERNO",$I624="EXTERNO"),"ERRO: origem e destino externos",IF(AND($G624&lt;&gt;"EXTERNO",COUNTIFS(ENT_ID,$H624,ENT_TIPO,$G624)=0),"ERRO: origem inexistente",IF(AND($I624&lt;&gt;"EXTERNO",COUNTIFS(ENT_ID,$J624,ENT_TIPO,$I624)=0),"ERRO: destino inexistente",IF(AND($K624&lt;&gt;"",COUNTIF(CAT_ID,$K624)=0),"ERRO: categoria inexistente",IF(AND($L624&lt;&gt;"",COUNTIF(SUB_ID,$L624)=0),"ERRO: subcategoria inexistente",IF(AND($L624&lt;&gt;"",$K624&lt;&gt;"",IFERROR(INDEX(SUB_CATID,MATCH($L624,SUB_ID,0)),"")&lt;&gt;$K624),"ERRO: subcategoria nao pertence a categoria",IF(AND($O624&lt;&gt;"",COUNTIF(P_ID,$O624)=0),"ERRO: parcela inexistente",IF(AND($N624&lt;&gt;"",COUNTIF(CM_ID,$N624)=0),"ERRO: compromisso inexistente","OK")))))))))))))</f>
        <v/>
      </c>
      <c r="AK624" s="35" t="str">
        <f aca="false">IF($B624="","",IF(AND($N624="",$O624="",$P624="",$Q624="",$R624=""),"","VINCULADO: "&amp;TRIM(IF($N624&lt;&gt;"",$N624&amp;" ","")&amp;IF($O624&lt;&gt;"",$O624&amp;" ","")&amp;IF($P624&lt;&gt;"",$P624&amp;" ","")&amp;IF($Q624&lt;&gt;"",$Q624&amp;" ","")&amp;IF($R624&lt;&gt;"",$R624,""))))</f>
        <v/>
      </c>
    </row>
    <row r="625" customFormat="false" ht="15" hidden="false" customHeight="false" outlineLevel="0" collapsed="false">
      <c r="A625" s="30" t="str">
        <f aca="false">IF($B625="","","LAN-"&amp;TEXT(ROW()-4,"000000"))</f>
        <v/>
      </c>
      <c r="B625" s="31"/>
      <c r="C625" s="32"/>
      <c r="D625" s="32"/>
      <c r="E625" s="32"/>
      <c r="F625" s="33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4" t="str">
        <f aca="false">IF($B625="","",YEAR($B625))</f>
        <v/>
      </c>
      <c r="U625" s="34" t="str">
        <f aca="false">IF($B625="","",MONTH($B625))</f>
        <v/>
      </c>
      <c r="V625" s="34" t="str">
        <f aca="false">IF($B625="","",YEAR($B625)*100+MONTH($B625))</f>
        <v/>
      </c>
      <c r="W625" s="35" t="str">
        <f aca="false">IF($D625="","",IFERROR(INDEX(MAP_CLASS,MATCH($D625,MAP_TIPO,0)),"TIPO INVALIDO"))</f>
        <v/>
      </c>
      <c r="X625" s="35" t="str">
        <f aca="false">IF($K625="","",IFERROR(INDEX(CAT_NOME,MATCH($K625,CAT_ID,0)),"?"))</f>
        <v/>
      </c>
      <c r="Y625" s="35" t="str">
        <f aca="false">IF($L625="","",IFERROR(INDEX(SUB_NOME,MATCH($L625,SUB_ID,0)),"?"))</f>
        <v/>
      </c>
      <c r="Z625" s="35" t="str">
        <f aca="false">IF($G625="","",IF($G625="EXTERNO","(Externo)",IFERROR(INDEX(ENT_NOME,MATCH($H625,ENT_ID,0)),"?")))</f>
        <v/>
      </c>
      <c r="AA625" s="35" t="str">
        <f aca="false">IF($I625="","",IF($I625="EXTERNO","(Externo)",IFERROR(INDEX(ENT_NOME,MATCH($J625,ENT_ID,0)),"?")))</f>
        <v/>
      </c>
      <c r="AB625" s="36" t="n">
        <f aca="false">IF($B625="",0,IF(AND($I625="CONTA",$G625&lt;&gt;"CONTA"),$F625,0))</f>
        <v>0</v>
      </c>
      <c r="AC625" s="36" t="n">
        <f aca="false">IF($B625="",0,IF(AND($G625="CONTA",$I625&lt;&gt;"CONTA"),$F625,0))</f>
        <v>0</v>
      </c>
      <c r="AD625" s="36" t="n">
        <f aca="false">IF($W625="RECEITA",$F625,0)</f>
        <v>0</v>
      </c>
      <c r="AE625" s="36" t="n">
        <f aca="false">IF($W625="DESPESA",$F625,0)</f>
        <v>0</v>
      </c>
      <c r="AF625" s="36" t="n">
        <f aca="false">IF($W625="RECEITA_FINANCEIRA",$F625,0)</f>
        <v>0</v>
      </c>
      <c r="AG625" s="36" t="n">
        <f aca="false">IF($B625="",0,IF($I625="CONTA",$F625,0)-IF($G625="CONTA",$F625,0))</f>
        <v>0</v>
      </c>
      <c r="AH625" s="36" t="n">
        <f aca="false">IF($B625="",0,IF($G625="CARTAO",$F625,0)-IF($I625="CARTAO",$F625,0))</f>
        <v>0</v>
      </c>
      <c r="AI625" s="36" t="n">
        <f aca="false">IF($B625="",0,IF($I625="INVESTIMENTO",$F625,0)-IF($G625="INVESTIMENTO",$F625,0))</f>
        <v>0</v>
      </c>
      <c r="AJ625" s="35" t="str">
        <f aca="false">IF($B625="","",IF(NOT(ISNUMBER($F625)),"ERRO: valor nao numerico",IF($F625&lt;=0,"ERRO: valor deve ser maior que zero",IF(COUNTIF(MAP_TIPO,$D625)=0,"ERRO: tipo de operacao nao cadastrado",IF(COUNTIF(LST_STATUS,$E625)=0,"ERRO: status invalido",IF(AND($G625="EXTERNO",$I625="EXTERNO"),"ERRO: origem e destino externos",IF(AND($G625&lt;&gt;"EXTERNO",COUNTIFS(ENT_ID,$H625,ENT_TIPO,$G625)=0),"ERRO: origem inexistente",IF(AND($I625&lt;&gt;"EXTERNO",COUNTIFS(ENT_ID,$J625,ENT_TIPO,$I625)=0),"ERRO: destino inexistente",IF(AND($K625&lt;&gt;"",COUNTIF(CAT_ID,$K625)=0),"ERRO: categoria inexistente",IF(AND($L625&lt;&gt;"",COUNTIF(SUB_ID,$L625)=0),"ERRO: subcategoria inexistente",IF(AND($L625&lt;&gt;"",$K625&lt;&gt;"",IFERROR(INDEX(SUB_CATID,MATCH($L625,SUB_ID,0)),"")&lt;&gt;$K625),"ERRO: subcategoria nao pertence a categoria",IF(AND($O625&lt;&gt;"",COUNTIF(P_ID,$O625)=0),"ERRO: parcela inexistente",IF(AND($N625&lt;&gt;"",COUNTIF(CM_ID,$N625)=0),"ERRO: compromisso inexistente","OK")))))))))))))</f>
        <v/>
      </c>
      <c r="AK625" s="35" t="str">
        <f aca="false">IF($B625="","",IF(AND($N625="",$O625="",$P625="",$Q625="",$R625=""),"","VINCULADO: "&amp;TRIM(IF($N625&lt;&gt;"",$N625&amp;" ","")&amp;IF($O625&lt;&gt;"",$O625&amp;" ","")&amp;IF($P625&lt;&gt;"",$P625&amp;" ","")&amp;IF($Q625&lt;&gt;"",$Q625&amp;" ","")&amp;IF($R625&lt;&gt;"",$R625,""))))</f>
        <v/>
      </c>
    </row>
    <row r="626" customFormat="false" ht="15" hidden="false" customHeight="false" outlineLevel="0" collapsed="false">
      <c r="A626" s="30" t="str">
        <f aca="false">IF($B626="","","LAN-"&amp;TEXT(ROW()-4,"000000"))</f>
        <v/>
      </c>
      <c r="B626" s="31"/>
      <c r="C626" s="32"/>
      <c r="D626" s="32"/>
      <c r="E626" s="32"/>
      <c r="F626" s="33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4" t="str">
        <f aca="false">IF($B626="","",YEAR($B626))</f>
        <v/>
      </c>
      <c r="U626" s="34" t="str">
        <f aca="false">IF($B626="","",MONTH($B626))</f>
        <v/>
      </c>
      <c r="V626" s="34" t="str">
        <f aca="false">IF($B626="","",YEAR($B626)*100+MONTH($B626))</f>
        <v/>
      </c>
      <c r="W626" s="35" t="str">
        <f aca="false">IF($D626="","",IFERROR(INDEX(MAP_CLASS,MATCH($D626,MAP_TIPO,0)),"TIPO INVALIDO"))</f>
        <v/>
      </c>
      <c r="X626" s="35" t="str">
        <f aca="false">IF($K626="","",IFERROR(INDEX(CAT_NOME,MATCH($K626,CAT_ID,0)),"?"))</f>
        <v/>
      </c>
      <c r="Y626" s="35" t="str">
        <f aca="false">IF($L626="","",IFERROR(INDEX(SUB_NOME,MATCH($L626,SUB_ID,0)),"?"))</f>
        <v/>
      </c>
      <c r="Z626" s="35" t="str">
        <f aca="false">IF($G626="","",IF($G626="EXTERNO","(Externo)",IFERROR(INDEX(ENT_NOME,MATCH($H626,ENT_ID,0)),"?")))</f>
        <v/>
      </c>
      <c r="AA626" s="35" t="str">
        <f aca="false">IF($I626="","",IF($I626="EXTERNO","(Externo)",IFERROR(INDEX(ENT_NOME,MATCH($J626,ENT_ID,0)),"?")))</f>
        <v/>
      </c>
      <c r="AB626" s="36" t="n">
        <f aca="false">IF($B626="",0,IF(AND($I626="CONTA",$G626&lt;&gt;"CONTA"),$F626,0))</f>
        <v>0</v>
      </c>
      <c r="AC626" s="36" t="n">
        <f aca="false">IF($B626="",0,IF(AND($G626="CONTA",$I626&lt;&gt;"CONTA"),$F626,0))</f>
        <v>0</v>
      </c>
      <c r="AD626" s="36" t="n">
        <f aca="false">IF($W626="RECEITA",$F626,0)</f>
        <v>0</v>
      </c>
      <c r="AE626" s="36" t="n">
        <f aca="false">IF($W626="DESPESA",$F626,0)</f>
        <v>0</v>
      </c>
      <c r="AF626" s="36" t="n">
        <f aca="false">IF($W626="RECEITA_FINANCEIRA",$F626,0)</f>
        <v>0</v>
      </c>
      <c r="AG626" s="36" t="n">
        <f aca="false">IF($B626="",0,IF($I626="CONTA",$F626,0)-IF($G626="CONTA",$F626,0))</f>
        <v>0</v>
      </c>
      <c r="AH626" s="36" t="n">
        <f aca="false">IF($B626="",0,IF($G626="CARTAO",$F626,0)-IF($I626="CARTAO",$F626,0))</f>
        <v>0</v>
      </c>
      <c r="AI626" s="36" t="n">
        <f aca="false">IF($B626="",0,IF($I626="INVESTIMENTO",$F626,0)-IF($G626="INVESTIMENTO",$F626,0))</f>
        <v>0</v>
      </c>
      <c r="AJ626" s="35" t="str">
        <f aca="false">IF($B626="","",IF(NOT(ISNUMBER($F626)),"ERRO: valor nao numerico",IF($F626&lt;=0,"ERRO: valor deve ser maior que zero",IF(COUNTIF(MAP_TIPO,$D626)=0,"ERRO: tipo de operacao nao cadastrado",IF(COUNTIF(LST_STATUS,$E626)=0,"ERRO: status invalido",IF(AND($G626="EXTERNO",$I626="EXTERNO"),"ERRO: origem e destino externos",IF(AND($G626&lt;&gt;"EXTERNO",COUNTIFS(ENT_ID,$H626,ENT_TIPO,$G626)=0),"ERRO: origem inexistente",IF(AND($I626&lt;&gt;"EXTERNO",COUNTIFS(ENT_ID,$J626,ENT_TIPO,$I626)=0),"ERRO: destino inexistente",IF(AND($K626&lt;&gt;"",COUNTIF(CAT_ID,$K626)=0),"ERRO: categoria inexistente",IF(AND($L626&lt;&gt;"",COUNTIF(SUB_ID,$L626)=0),"ERRO: subcategoria inexistente",IF(AND($L626&lt;&gt;"",$K626&lt;&gt;"",IFERROR(INDEX(SUB_CATID,MATCH($L626,SUB_ID,0)),"")&lt;&gt;$K626),"ERRO: subcategoria nao pertence a categoria",IF(AND($O626&lt;&gt;"",COUNTIF(P_ID,$O626)=0),"ERRO: parcela inexistente",IF(AND($N626&lt;&gt;"",COUNTIF(CM_ID,$N626)=0),"ERRO: compromisso inexistente","OK")))))))))))))</f>
        <v/>
      </c>
      <c r="AK626" s="35" t="str">
        <f aca="false">IF($B626="","",IF(AND($N626="",$O626="",$P626="",$Q626="",$R626=""),"","VINCULADO: "&amp;TRIM(IF($N626&lt;&gt;"",$N626&amp;" ","")&amp;IF($O626&lt;&gt;"",$O626&amp;" ","")&amp;IF($P626&lt;&gt;"",$P626&amp;" ","")&amp;IF($Q626&lt;&gt;"",$Q626&amp;" ","")&amp;IF($R626&lt;&gt;"",$R626,""))))</f>
        <v/>
      </c>
    </row>
    <row r="627" customFormat="false" ht="15" hidden="false" customHeight="false" outlineLevel="0" collapsed="false">
      <c r="A627" s="30" t="str">
        <f aca="false">IF($B627="","","LAN-"&amp;TEXT(ROW()-4,"000000"))</f>
        <v/>
      </c>
      <c r="B627" s="31"/>
      <c r="C627" s="32"/>
      <c r="D627" s="32"/>
      <c r="E627" s="32"/>
      <c r="F627" s="33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4" t="str">
        <f aca="false">IF($B627="","",YEAR($B627))</f>
        <v/>
      </c>
      <c r="U627" s="34" t="str">
        <f aca="false">IF($B627="","",MONTH($B627))</f>
        <v/>
      </c>
      <c r="V627" s="34" t="str">
        <f aca="false">IF($B627="","",YEAR($B627)*100+MONTH($B627))</f>
        <v/>
      </c>
      <c r="W627" s="35" t="str">
        <f aca="false">IF($D627="","",IFERROR(INDEX(MAP_CLASS,MATCH($D627,MAP_TIPO,0)),"TIPO INVALIDO"))</f>
        <v/>
      </c>
      <c r="X627" s="35" t="str">
        <f aca="false">IF($K627="","",IFERROR(INDEX(CAT_NOME,MATCH($K627,CAT_ID,0)),"?"))</f>
        <v/>
      </c>
      <c r="Y627" s="35" t="str">
        <f aca="false">IF($L627="","",IFERROR(INDEX(SUB_NOME,MATCH($L627,SUB_ID,0)),"?"))</f>
        <v/>
      </c>
      <c r="Z627" s="35" t="str">
        <f aca="false">IF($G627="","",IF($G627="EXTERNO","(Externo)",IFERROR(INDEX(ENT_NOME,MATCH($H627,ENT_ID,0)),"?")))</f>
        <v/>
      </c>
      <c r="AA627" s="35" t="str">
        <f aca="false">IF($I627="","",IF($I627="EXTERNO","(Externo)",IFERROR(INDEX(ENT_NOME,MATCH($J627,ENT_ID,0)),"?")))</f>
        <v/>
      </c>
      <c r="AB627" s="36" t="n">
        <f aca="false">IF($B627="",0,IF(AND($I627="CONTA",$G627&lt;&gt;"CONTA"),$F627,0))</f>
        <v>0</v>
      </c>
      <c r="AC627" s="36" t="n">
        <f aca="false">IF($B627="",0,IF(AND($G627="CONTA",$I627&lt;&gt;"CONTA"),$F627,0))</f>
        <v>0</v>
      </c>
      <c r="AD627" s="36" t="n">
        <f aca="false">IF($W627="RECEITA",$F627,0)</f>
        <v>0</v>
      </c>
      <c r="AE627" s="36" t="n">
        <f aca="false">IF($W627="DESPESA",$F627,0)</f>
        <v>0</v>
      </c>
      <c r="AF627" s="36" t="n">
        <f aca="false">IF($W627="RECEITA_FINANCEIRA",$F627,0)</f>
        <v>0</v>
      </c>
      <c r="AG627" s="36" t="n">
        <f aca="false">IF($B627="",0,IF($I627="CONTA",$F627,0)-IF($G627="CONTA",$F627,0))</f>
        <v>0</v>
      </c>
      <c r="AH627" s="36" t="n">
        <f aca="false">IF($B627="",0,IF($G627="CARTAO",$F627,0)-IF($I627="CARTAO",$F627,0))</f>
        <v>0</v>
      </c>
      <c r="AI627" s="36" t="n">
        <f aca="false">IF($B627="",0,IF($I627="INVESTIMENTO",$F627,0)-IF($G627="INVESTIMENTO",$F627,0))</f>
        <v>0</v>
      </c>
      <c r="AJ627" s="35" t="str">
        <f aca="false">IF($B627="","",IF(NOT(ISNUMBER($F627)),"ERRO: valor nao numerico",IF($F627&lt;=0,"ERRO: valor deve ser maior que zero",IF(COUNTIF(MAP_TIPO,$D627)=0,"ERRO: tipo de operacao nao cadastrado",IF(COUNTIF(LST_STATUS,$E627)=0,"ERRO: status invalido",IF(AND($G627="EXTERNO",$I627="EXTERNO"),"ERRO: origem e destino externos",IF(AND($G627&lt;&gt;"EXTERNO",COUNTIFS(ENT_ID,$H627,ENT_TIPO,$G627)=0),"ERRO: origem inexistente",IF(AND($I627&lt;&gt;"EXTERNO",COUNTIFS(ENT_ID,$J627,ENT_TIPO,$I627)=0),"ERRO: destino inexistente",IF(AND($K627&lt;&gt;"",COUNTIF(CAT_ID,$K627)=0),"ERRO: categoria inexistente",IF(AND($L627&lt;&gt;"",COUNTIF(SUB_ID,$L627)=0),"ERRO: subcategoria inexistente",IF(AND($L627&lt;&gt;"",$K627&lt;&gt;"",IFERROR(INDEX(SUB_CATID,MATCH($L627,SUB_ID,0)),"")&lt;&gt;$K627),"ERRO: subcategoria nao pertence a categoria",IF(AND($O627&lt;&gt;"",COUNTIF(P_ID,$O627)=0),"ERRO: parcela inexistente",IF(AND($N627&lt;&gt;"",COUNTIF(CM_ID,$N627)=0),"ERRO: compromisso inexistente","OK")))))))))))))</f>
        <v/>
      </c>
      <c r="AK627" s="35" t="str">
        <f aca="false">IF($B627="","",IF(AND($N627="",$O627="",$P627="",$Q627="",$R627=""),"","VINCULADO: "&amp;TRIM(IF($N627&lt;&gt;"",$N627&amp;" ","")&amp;IF($O627&lt;&gt;"",$O627&amp;" ","")&amp;IF($P627&lt;&gt;"",$P627&amp;" ","")&amp;IF($Q627&lt;&gt;"",$Q627&amp;" ","")&amp;IF($R627&lt;&gt;"",$R627,""))))</f>
        <v/>
      </c>
    </row>
    <row r="628" customFormat="false" ht="15" hidden="false" customHeight="false" outlineLevel="0" collapsed="false">
      <c r="A628" s="30" t="str">
        <f aca="false">IF($B628="","","LAN-"&amp;TEXT(ROW()-4,"000000"))</f>
        <v/>
      </c>
      <c r="B628" s="31"/>
      <c r="C628" s="32"/>
      <c r="D628" s="32"/>
      <c r="E628" s="32"/>
      <c r="F628" s="33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4" t="str">
        <f aca="false">IF($B628="","",YEAR($B628))</f>
        <v/>
      </c>
      <c r="U628" s="34" t="str">
        <f aca="false">IF($B628="","",MONTH($B628))</f>
        <v/>
      </c>
      <c r="V628" s="34" t="str">
        <f aca="false">IF($B628="","",YEAR($B628)*100+MONTH($B628))</f>
        <v/>
      </c>
      <c r="W628" s="35" t="str">
        <f aca="false">IF($D628="","",IFERROR(INDEX(MAP_CLASS,MATCH($D628,MAP_TIPO,0)),"TIPO INVALIDO"))</f>
        <v/>
      </c>
      <c r="X628" s="35" t="str">
        <f aca="false">IF($K628="","",IFERROR(INDEX(CAT_NOME,MATCH($K628,CAT_ID,0)),"?"))</f>
        <v/>
      </c>
      <c r="Y628" s="35" t="str">
        <f aca="false">IF($L628="","",IFERROR(INDEX(SUB_NOME,MATCH($L628,SUB_ID,0)),"?"))</f>
        <v/>
      </c>
      <c r="Z628" s="35" t="str">
        <f aca="false">IF($G628="","",IF($G628="EXTERNO","(Externo)",IFERROR(INDEX(ENT_NOME,MATCH($H628,ENT_ID,0)),"?")))</f>
        <v/>
      </c>
      <c r="AA628" s="35" t="str">
        <f aca="false">IF($I628="","",IF($I628="EXTERNO","(Externo)",IFERROR(INDEX(ENT_NOME,MATCH($J628,ENT_ID,0)),"?")))</f>
        <v/>
      </c>
      <c r="AB628" s="36" t="n">
        <f aca="false">IF($B628="",0,IF(AND($I628="CONTA",$G628&lt;&gt;"CONTA"),$F628,0))</f>
        <v>0</v>
      </c>
      <c r="AC628" s="36" t="n">
        <f aca="false">IF($B628="",0,IF(AND($G628="CONTA",$I628&lt;&gt;"CONTA"),$F628,0))</f>
        <v>0</v>
      </c>
      <c r="AD628" s="36" t="n">
        <f aca="false">IF($W628="RECEITA",$F628,0)</f>
        <v>0</v>
      </c>
      <c r="AE628" s="36" t="n">
        <f aca="false">IF($W628="DESPESA",$F628,0)</f>
        <v>0</v>
      </c>
      <c r="AF628" s="36" t="n">
        <f aca="false">IF($W628="RECEITA_FINANCEIRA",$F628,0)</f>
        <v>0</v>
      </c>
      <c r="AG628" s="36" t="n">
        <f aca="false">IF($B628="",0,IF($I628="CONTA",$F628,0)-IF($G628="CONTA",$F628,0))</f>
        <v>0</v>
      </c>
      <c r="AH628" s="36" t="n">
        <f aca="false">IF($B628="",0,IF($G628="CARTAO",$F628,0)-IF($I628="CARTAO",$F628,0))</f>
        <v>0</v>
      </c>
      <c r="AI628" s="36" t="n">
        <f aca="false">IF($B628="",0,IF($I628="INVESTIMENTO",$F628,0)-IF($G628="INVESTIMENTO",$F628,0))</f>
        <v>0</v>
      </c>
      <c r="AJ628" s="35" t="str">
        <f aca="false">IF($B628="","",IF(NOT(ISNUMBER($F628)),"ERRO: valor nao numerico",IF($F628&lt;=0,"ERRO: valor deve ser maior que zero",IF(COUNTIF(MAP_TIPO,$D628)=0,"ERRO: tipo de operacao nao cadastrado",IF(COUNTIF(LST_STATUS,$E628)=0,"ERRO: status invalido",IF(AND($G628="EXTERNO",$I628="EXTERNO"),"ERRO: origem e destino externos",IF(AND($G628&lt;&gt;"EXTERNO",COUNTIFS(ENT_ID,$H628,ENT_TIPO,$G628)=0),"ERRO: origem inexistente",IF(AND($I628&lt;&gt;"EXTERNO",COUNTIFS(ENT_ID,$J628,ENT_TIPO,$I628)=0),"ERRO: destino inexistente",IF(AND($K628&lt;&gt;"",COUNTIF(CAT_ID,$K628)=0),"ERRO: categoria inexistente",IF(AND($L628&lt;&gt;"",COUNTIF(SUB_ID,$L628)=0),"ERRO: subcategoria inexistente",IF(AND($L628&lt;&gt;"",$K628&lt;&gt;"",IFERROR(INDEX(SUB_CATID,MATCH($L628,SUB_ID,0)),"")&lt;&gt;$K628),"ERRO: subcategoria nao pertence a categoria",IF(AND($O628&lt;&gt;"",COUNTIF(P_ID,$O628)=0),"ERRO: parcela inexistente",IF(AND($N628&lt;&gt;"",COUNTIF(CM_ID,$N628)=0),"ERRO: compromisso inexistente","OK")))))))))))))</f>
        <v/>
      </c>
      <c r="AK628" s="35" t="str">
        <f aca="false">IF($B628="","",IF(AND($N628="",$O628="",$P628="",$Q628="",$R628=""),"","VINCULADO: "&amp;TRIM(IF($N628&lt;&gt;"",$N628&amp;" ","")&amp;IF($O628&lt;&gt;"",$O628&amp;" ","")&amp;IF($P628&lt;&gt;"",$P628&amp;" ","")&amp;IF($Q628&lt;&gt;"",$Q628&amp;" ","")&amp;IF($R628&lt;&gt;"",$R628,""))))</f>
        <v/>
      </c>
    </row>
    <row r="629" customFormat="false" ht="15" hidden="false" customHeight="false" outlineLevel="0" collapsed="false">
      <c r="A629" s="30" t="str">
        <f aca="false">IF($B629="","","LAN-"&amp;TEXT(ROW()-4,"000000"))</f>
        <v/>
      </c>
      <c r="B629" s="31"/>
      <c r="C629" s="32"/>
      <c r="D629" s="32"/>
      <c r="E629" s="32"/>
      <c r="F629" s="33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4" t="str">
        <f aca="false">IF($B629="","",YEAR($B629))</f>
        <v/>
      </c>
      <c r="U629" s="34" t="str">
        <f aca="false">IF($B629="","",MONTH($B629))</f>
        <v/>
      </c>
      <c r="V629" s="34" t="str">
        <f aca="false">IF($B629="","",YEAR($B629)*100+MONTH($B629))</f>
        <v/>
      </c>
      <c r="W629" s="35" t="str">
        <f aca="false">IF($D629="","",IFERROR(INDEX(MAP_CLASS,MATCH($D629,MAP_TIPO,0)),"TIPO INVALIDO"))</f>
        <v/>
      </c>
      <c r="X629" s="35" t="str">
        <f aca="false">IF($K629="","",IFERROR(INDEX(CAT_NOME,MATCH($K629,CAT_ID,0)),"?"))</f>
        <v/>
      </c>
      <c r="Y629" s="35" t="str">
        <f aca="false">IF($L629="","",IFERROR(INDEX(SUB_NOME,MATCH($L629,SUB_ID,0)),"?"))</f>
        <v/>
      </c>
      <c r="Z629" s="35" t="str">
        <f aca="false">IF($G629="","",IF($G629="EXTERNO","(Externo)",IFERROR(INDEX(ENT_NOME,MATCH($H629,ENT_ID,0)),"?")))</f>
        <v/>
      </c>
      <c r="AA629" s="35" t="str">
        <f aca="false">IF($I629="","",IF($I629="EXTERNO","(Externo)",IFERROR(INDEX(ENT_NOME,MATCH($J629,ENT_ID,0)),"?")))</f>
        <v/>
      </c>
      <c r="AB629" s="36" t="n">
        <f aca="false">IF($B629="",0,IF(AND($I629="CONTA",$G629&lt;&gt;"CONTA"),$F629,0))</f>
        <v>0</v>
      </c>
      <c r="AC629" s="36" t="n">
        <f aca="false">IF($B629="",0,IF(AND($G629="CONTA",$I629&lt;&gt;"CONTA"),$F629,0))</f>
        <v>0</v>
      </c>
      <c r="AD629" s="36" t="n">
        <f aca="false">IF($W629="RECEITA",$F629,0)</f>
        <v>0</v>
      </c>
      <c r="AE629" s="36" t="n">
        <f aca="false">IF($W629="DESPESA",$F629,0)</f>
        <v>0</v>
      </c>
      <c r="AF629" s="36" t="n">
        <f aca="false">IF($W629="RECEITA_FINANCEIRA",$F629,0)</f>
        <v>0</v>
      </c>
      <c r="AG629" s="36" t="n">
        <f aca="false">IF($B629="",0,IF($I629="CONTA",$F629,0)-IF($G629="CONTA",$F629,0))</f>
        <v>0</v>
      </c>
      <c r="AH629" s="36" t="n">
        <f aca="false">IF($B629="",0,IF($G629="CARTAO",$F629,0)-IF($I629="CARTAO",$F629,0))</f>
        <v>0</v>
      </c>
      <c r="AI629" s="36" t="n">
        <f aca="false">IF($B629="",0,IF($I629="INVESTIMENTO",$F629,0)-IF($G629="INVESTIMENTO",$F629,0))</f>
        <v>0</v>
      </c>
      <c r="AJ629" s="35" t="str">
        <f aca="false">IF($B629="","",IF(NOT(ISNUMBER($F629)),"ERRO: valor nao numerico",IF($F629&lt;=0,"ERRO: valor deve ser maior que zero",IF(COUNTIF(MAP_TIPO,$D629)=0,"ERRO: tipo de operacao nao cadastrado",IF(COUNTIF(LST_STATUS,$E629)=0,"ERRO: status invalido",IF(AND($G629="EXTERNO",$I629="EXTERNO"),"ERRO: origem e destino externos",IF(AND($G629&lt;&gt;"EXTERNO",COUNTIFS(ENT_ID,$H629,ENT_TIPO,$G629)=0),"ERRO: origem inexistente",IF(AND($I629&lt;&gt;"EXTERNO",COUNTIFS(ENT_ID,$J629,ENT_TIPO,$I629)=0),"ERRO: destino inexistente",IF(AND($K629&lt;&gt;"",COUNTIF(CAT_ID,$K629)=0),"ERRO: categoria inexistente",IF(AND($L629&lt;&gt;"",COUNTIF(SUB_ID,$L629)=0),"ERRO: subcategoria inexistente",IF(AND($L629&lt;&gt;"",$K629&lt;&gt;"",IFERROR(INDEX(SUB_CATID,MATCH($L629,SUB_ID,0)),"")&lt;&gt;$K629),"ERRO: subcategoria nao pertence a categoria",IF(AND($O629&lt;&gt;"",COUNTIF(P_ID,$O629)=0),"ERRO: parcela inexistente",IF(AND($N629&lt;&gt;"",COUNTIF(CM_ID,$N629)=0),"ERRO: compromisso inexistente","OK")))))))))))))</f>
        <v/>
      </c>
      <c r="AK629" s="35" t="str">
        <f aca="false">IF($B629="","",IF(AND($N629="",$O629="",$P629="",$Q629="",$R629=""),"","VINCULADO: "&amp;TRIM(IF($N629&lt;&gt;"",$N629&amp;" ","")&amp;IF($O629&lt;&gt;"",$O629&amp;" ","")&amp;IF($P629&lt;&gt;"",$P629&amp;" ","")&amp;IF($Q629&lt;&gt;"",$Q629&amp;" ","")&amp;IF($R629&lt;&gt;"",$R629,""))))</f>
        <v/>
      </c>
    </row>
    <row r="630" customFormat="false" ht="15" hidden="false" customHeight="false" outlineLevel="0" collapsed="false">
      <c r="A630" s="30" t="str">
        <f aca="false">IF($B630="","","LAN-"&amp;TEXT(ROW()-4,"000000"))</f>
        <v/>
      </c>
      <c r="B630" s="31"/>
      <c r="C630" s="32"/>
      <c r="D630" s="32"/>
      <c r="E630" s="32"/>
      <c r="F630" s="33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4" t="str">
        <f aca="false">IF($B630="","",YEAR($B630))</f>
        <v/>
      </c>
      <c r="U630" s="34" t="str">
        <f aca="false">IF($B630="","",MONTH($B630))</f>
        <v/>
      </c>
      <c r="V630" s="34" t="str">
        <f aca="false">IF($B630="","",YEAR($B630)*100+MONTH($B630))</f>
        <v/>
      </c>
      <c r="W630" s="35" t="str">
        <f aca="false">IF($D630="","",IFERROR(INDEX(MAP_CLASS,MATCH($D630,MAP_TIPO,0)),"TIPO INVALIDO"))</f>
        <v/>
      </c>
      <c r="X630" s="35" t="str">
        <f aca="false">IF($K630="","",IFERROR(INDEX(CAT_NOME,MATCH($K630,CAT_ID,0)),"?"))</f>
        <v/>
      </c>
      <c r="Y630" s="35" t="str">
        <f aca="false">IF($L630="","",IFERROR(INDEX(SUB_NOME,MATCH($L630,SUB_ID,0)),"?"))</f>
        <v/>
      </c>
      <c r="Z630" s="35" t="str">
        <f aca="false">IF($G630="","",IF($G630="EXTERNO","(Externo)",IFERROR(INDEX(ENT_NOME,MATCH($H630,ENT_ID,0)),"?")))</f>
        <v/>
      </c>
      <c r="AA630" s="35" t="str">
        <f aca="false">IF($I630="","",IF($I630="EXTERNO","(Externo)",IFERROR(INDEX(ENT_NOME,MATCH($J630,ENT_ID,0)),"?")))</f>
        <v/>
      </c>
      <c r="AB630" s="36" t="n">
        <f aca="false">IF($B630="",0,IF(AND($I630="CONTA",$G630&lt;&gt;"CONTA"),$F630,0))</f>
        <v>0</v>
      </c>
      <c r="AC630" s="36" t="n">
        <f aca="false">IF($B630="",0,IF(AND($G630="CONTA",$I630&lt;&gt;"CONTA"),$F630,0))</f>
        <v>0</v>
      </c>
      <c r="AD630" s="36" t="n">
        <f aca="false">IF($W630="RECEITA",$F630,0)</f>
        <v>0</v>
      </c>
      <c r="AE630" s="36" t="n">
        <f aca="false">IF($W630="DESPESA",$F630,0)</f>
        <v>0</v>
      </c>
      <c r="AF630" s="36" t="n">
        <f aca="false">IF($W630="RECEITA_FINANCEIRA",$F630,0)</f>
        <v>0</v>
      </c>
      <c r="AG630" s="36" t="n">
        <f aca="false">IF($B630="",0,IF($I630="CONTA",$F630,0)-IF($G630="CONTA",$F630,0))</f>
        <v>0</v>
      </c>
      <c r="AH630" s="36" t="n">
        <f aca="false">IF($B630="",0,IF($G630="CARTAO",$F630,0)-IF($I630="CARTAO",$F630,0))</f>
        <v>0</v>
      </c>
      <c r="AI630" s="36" t="n">
        <f aca="false">IF($B630="",0,IF($I630="INVESTIMENTO",$F630,0)-IF($G630="INVESTIMENTO",$F630,0))</f>
        <v>0</v>
      </c>
      <c r="AJ630" s="35" t="str">
        <f aca="false">IF($B630="","",IF(NOT(ISNUMBER($F630)),"ERRO: valor nao numerico",IF($F630&lt;=0,"ERRO: valor deve ser maior que zero",IF(COUNTIF(MAP_TIPO,$D630)=0,"ERRO: tipo de operacao nao cadastrado",IF(COUNTIF(LST_STATUS,$E630)=0,"ERRO: status invalido",IF(AND($G630="EXTERNO",$I630="EXTERNO"),"ERRO: origem e destino externos",IF(AND($G630&lt;&gt;"EXTERNO",COUNTIFS(ENT_ID,$H630,ENT_TIPO,$G630)=0),"ERRO: origem inexistente",IF(AND($I630&lt;&gt;"EXTERNO",COUNTIFS(ENT_ID,$J630,ENT_TIPO,$I630)=0),"ERRO: destino inexistente",IF(AND($K630&lt;&gt;"",COUNTIF(CAT_ID,$K630)=0),"ERRO: categoria inexistente",IF(AND($L630&lt;&gt;"",COUNTIF(SUB_ID,$L630)=0),"ERRO: subcategoria inexistente",IF(AND($L630&lt;&gt;"",$K630&lt;&gt;"",IFERROR(INDEX(SUB_CATID,MATCH($L630,SUB_ID,0)),"")&lt;&gt;$K630),"ERRO: subcategoria nao pertence a categoria",IF(AND($O630&lt;&gt;"",COUNTIF(P_ID,$O630)=0),"ERRO: parcela inexistente",IF(AND($N630&lt;&gt;"",COUNTIF(CM_ID,$N630)=0),"ERRO: compromisso inexistente","OK")))))))))))))</f>
        <v/>
      </c>
      <c r="AK630" s="35" t="str">
        <f aca="false">IF($B630="","",IF(AND($N630="",$O630="",$P630="",$Q630="",$R630=""),"","VINCULADO: "&amp;TRIM(IF($N630&lt;&gt;"",$N630&amp;" ","")&amp;IF($O630&lt;&gt;"",$O630&amp;" ","")&amp;IF($P630&lt;&gt;"",$P630&amp;" ","")&amp;IF($Q630&lt;&gt;"",$Q630&amp;" ","")&amp;IF($R630&lt;&gt;"",$R630,""))))</f>
        <v/>
      </c>
    </row>
    <row r="631" customFormat="false" ht="15" hidden="false" customHeight="false" outlineLevel="0" collapsed="false">
      <c r="A631" s="30" t="str">
        <f aca="false">IF($B631="","","LAN-"&amp;TEXT(ROW()-4,"000000"))</f>
        <v/>
      </c>
      <c r="B631" s="31"/>
      <c r="C631" s="32"/>
      <c r="D631" s="32"/>
      <c r="E631" s="32"/>
      <c r="F631" s="33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4" t="str">
        <f aca="false">IF($B631="","",YEAR($B631))</f>
        <v/>
      </c>
      <c r="U631" s="34" t="str">
        <f aca="false">IF($B631="","",MONTH($B631))</f>
        <v/>
      </c>
      <c r="V631" s="34" t="str">
        <f aca="false">IF($B631="","",YEAR($B631)*100+MONTH($B631))</f>
        <v/>
      </c>
      <c r="W631" s="35" t="str">
        <f aca="false">IF($D631="","",IFERROR(INDEX(MAP_CLASS,MATCH($D631,MAP_TIPO,0)),"TIPO INVALIDO"))</f>
        <v/>
      </c>
      <c r="X631" s="35" t="str">
        <f aca="false">IF($K631="","",IFERROR(INDEX(CAT_NOME,MATCH($K631,CAT_ID,0)),"?"))</f>
        <v/>
      </c>
      <c r="Y631" s="35" t="str">
        <f aca="false">IF($L631="","",IFERROR(INDEX(SUB_NOME,MATCH($L631,SUB_ID,0)),"?"))</f>
        <v/>
      </c>
      <c r="Z631" s="35" t="str">
        <f aca="false">IF($G631="","",IF($G631="EXTERNO","(Externo)",IFERROR(INDEX(ENT_NOME,MATCH($H631,ENT_ID,0)),"?")))</f>
        <v/>
      </c>
      <c r="AA631" s="35" t="str">
        <f aca="false">IF($I631="","",IF($I631="EXTERNO","(Externo)",IFERROR(INDEX(ENT_NOME,MATCH($J631,ENT_ID,0)),"?")))</f>
        <v/>
      </c>
      <c r="AB631" s="36" t="n">
        <f aca="false">IF($B631="",0,IF(AND($I631="CONTA",$G631&lt;&gt;"CONTA"),$F631,0))</f>
        <v>0</v>
      </c>
      <c r="AC631" s="36" t="n">
        <f aca="false">IF($B631="",0,IF(AND($G631="CONTA",$I631&lt;&gt;"CONTA"),$F631,0))</f>
        <v>0</v>
      </c>
      <c r="AD631" s="36" t="n">
        <f aca="false">IF($W631="RECEITA",$F631,0)</f>
        <v>0</v>
      </c>
      <c r="AE631" s="36" t="n">
        <f aca="false">IF($W631="DESPESA",$F631,0)</f>
        <v>0</v>
      </c>
      <c r="AF631" s="36" t="n">
        <f aca="false">IF($W631="RECEITA_FINANCEIRA",$F631,0)</f>
        <v>0</v>
      </c>
      <c r="AG631" s="36" t="n">
        <f aca="false">IF($B631="",0,IF($I631="CONTA",$F631,0)-IF($G631="CONTA",$F631,0))</f>
        <v>0</v>
      </c>
      <c r="AH631" s="36" t="n">
        <f aca="false">IF($B631="",0,IF($G631="CARTAO",$F631,0)-IF($I631="CARTAO",$F631,0))</f>
        <v>0</v>
      </c>
      <c r="AI631" s="36" t="n">
        <f aca="false">IF($B631="",0,IF($I631="INVESTIMENTO",$F631,0)-IF($G631="INVESTIMENTO",$F631,0))</f>
        <v>0</v>
      </c>
      <c r="AJ631" s="35" t="str">
        <f aca="false">IF($B631="","",IF(NOT(ISNUMBER($F631)),"ERRO: valor nao numerico",IF($F631&lt;=0,"ERRO: valor deve ser maior que zero",IF(COUNTIF(MAP_TIPO,$D631)=0,"ERRO: tipo de operacao nao cadastrado",IF(COUNTIF(LST_STATUS,$E631)=0,"ERRO: status invalido",IF(AND($G631="EXTERNO",$I631="EXTERNO"),"ERRO: origem e destino externos",IF(AND($G631&lt;&gt;"EXTERNO",COUNTIFS(ENT_ID,$H631,ENT_TIPO,$G631)=0),"ERRO: origem inexistente",IF(AND($I631&lt;&gt;"EXTERNO",COUNTIFS(ENT_ID,$J631,ENT_TIPO,$I631)=0),"ERRO: destino inexistente",IF(AND($K631&lt;&gt;"",COUNTIF(CAT_ID,$K631)=0),"ERRO: categoria inexistente",IF(AND($L631&lt;&gt;"",COUNTIF(SUB_ID,$L631)=0),"ERRO: subcategoria inexistente",IF(AND($L631&lt;&gt;"",$K631&lt;&gt;"",IFERROR(INDEX(SUB_CATID,MATCH($L631,SUB_ID,0)),"")&lt;&gt;$K631),"ERRO: subcategoria nao pertence a categoria",IF(AND($O631&lt;&gt;"",COUNTIF(P_ID,$O631)=0),"ERRO: parcela inexistente",IF(AND($N631&lt;&gt;"",COUNTIF(CM_ID,$N631)=0),"ERRO: compromisso inexistente","OK")))))))))))))</f>
        <v/>
      </c>
      <c r="AK631" s="35" t="str">
        <f aca="false">IF($B631="","",IF(AND($N631="",$O631="",$P631="",$Q631="",$R631=""),"","VINCULADO: "&amp;TRIM(IF($N631&lt;&gt;"",$N631&amp;" ","")&amp;IF($O631&lt;&gt;"",$O631&amp;" ","")&amp;IF($P631&lt;&gt;"",$P631&amp;" ","")&amp;IF($Q631&lt;&gt;"",$Q631&amp;" ","")&amp;IF($R631&lt;&gt;"",$R631,""))))</f>
        <v/>
      </c>
    </row>
    <row r="632" customFormat="false" ht="15" hidden="false" customHeight="false" outlineLevel="0" collapsed="false">
      <c r="A632" s="30" t="str">
        <f aca="false">IF($B632="","","LAN-"&amp;TEXT(ROW()-4,"000000"))</f>
        <v/>
      </c>
      <c r="B632" s="31"/>
      <c r="C632" s="32"/>
      <c r="D632" s="32"/>
      <c r="E632" s="32"/>
      <c r="F632" s="33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4" t="str">
        <f aca="false">IF($B632="","",YEAR($B632))</f>
        <v/>
      </c>
      <c r="U632" s="34" t="str">
        <f aca="false">IF($B632="","",MONTH($B632))</f>
        <v/>
      </c>
      <c r="V632" s="34" t="str">
        <f aca="false">IF($B632="","",YEAR($B632)*100+MONTH($B632))</f>
        <v/>
      </c>
      <c r="W632" s="35" t="str">
        <f aca="false">IF($D632="","",IFERROR(INDEX(MAP_CLASS,MATCH($D632,MAP_TIPO,0)),"TIPO INVALIDO"))</f>
        <v/>
      </c>
      <c r="X632" s="35" t="str">
        <f aca="false">IF($K632="","",IFERROR(INDEX(CAT_NOME,MATCH($K632,CAT_ID,0)),"?"))</f>
        <v/>
      </c>
      <c r="Y632" s="35" t="str">
        <f aca="false">IF($L632="","",IFERROR(INDEX(SUB_NOME,MATCH($L632,SUB_ID,0)),"?"))</f>
        <v/>
      </c>
      <c r="Z632" s="35" t="str">
        <f aca="false">IF($G632="","",IF($G632="EXTERNO","(Externo)",IFERROR(INDEX(ENT_NOME,MATCH($H632,ENT_ID,0)),"?")))</f>
        <v/>
      </c>
      <c r="AA632" s="35" t="str">
        <f aca="false">IF($I632="","",IF($I632="EXTERNO","(Externo)",IFERROR(INDEX(ENT_NOME,MATCH($J632,ENT_ID,0)),"?")))</f>
        <v/>
      </c>
      <c r="AB632" s="36" t="n">
        <f aca="false">IF($B632="",0,IF(AND($I632="CONTA",$G632&lt;&gt;"CONTA"),$F632,0))</f>
        <v>0</v>
      </c>
      <c r="AC632" s="36" t="n">
        <f aca="false">IF($B632="",0,IF(AND($G632="CONTA",$I632&lt;&gt;"CONTA"),$F632,0))</f>
        <v>0</v>
      </c>
      <c r="AD632" s="36" t="n">
        <f aca="false">IF($W632="RECEITA",$F632,0)</f>
        <v>0</v>
      </c>
      <c r="AE632" s="36" t="n">
        <f aca="false">IF($W632="DESPESA",$F632,0)</f>
        <v>0</v>
      </c>
      <c r="AF632" s="36" t="n">
        <f aca="false">IF($W632="RECEITA_FINANCEIRA",$F632,0)</f>
        <v>0</v>
      </c>
      <c r="AG632" s="36" t="n">
        <f aca="false">IF($B632="",0,IF($I632="CONTA",$F632,0)-IF($G632="CONTA",$F632,0))</f>
        <v>0</v>
      </c>
      <c r="AH632" s="36" t="n">
        <f aca="false">IF($B632="",0,IF($G632="CARTAO",$F632,0)-IF($I632="CARTAO",$F632,0))</f>
        <v>0</v>
      </c>
      <c r="AI632" s="36" t="n">
        <f aca="false">IF($B632="",0,IF($I632="INVESTIMENTO",$F632,0)-IF($G632="INVESTIMENTO",$F632,0))</f>
        <v>0</v>
      </c>
      <c r="AJ632" s="35" t="str">
        <f aca="false">IF($B632="","",IF(NOT(ISNUMBER($F632)),"ERRO: valor nao numerico",IF($F632&lt;=0,"ERRO: valor deve ser maior que zero",IF(COUNTIF(MAP_TIPO,$D632)=0,"ERRO: tipo de operacao nao cadastrado",IF(COUNTIF(LST_STATUS,$E632)=0,"ERRO: status invalido",IF(AND($G632="EXTERNO",$I632="EXTERNO"),"ERRO: origem e destino externos",IF(AND($G632&lt;&gt;"EXTERNO",COUNTIFS(ENT_ID,$H632,ENT_TIPO,$G632)=0),"ERRO: origem inexistente",IF(AND($I632&lt;&gt;"EXTERNO",COUNTIFS(ENT_ID,$J632,ENT_TIPO,$I632)=0),"ERRO: destino inexistente",IF(AND($K632&lt;&gt;"",COUNTIF(CAT_ID,$K632)=0),"ERRO: categoria inexistente",IF(AND($L632&lt;&gt;"",COUNTIF(SUB_ID,$L632)=0),"ERRO: subcategoria inexistente",IF(AND($L632&lt;&gt;"",$K632&lt;&gt;"",IFERROR(INDEX(SUB_CATID,MATCH($L632,SUB_ID,0)),"")&lt;&gt;$K632),"ERRO: subcategoria nao pertence a categoria",IF(AND($O632&lt;&gt;"",COUNTIF(P_ID,$O632)=0),"ERRO: parcela inexistente",IF(AND($N632&lt;&gt;"",COUNTIF(CM_ID,$N632)=0),"ERRO: compromisso inexistente","OK")))))))))))))</f>
        <v/>
      </c>
      <c r="AK632" s="35" t="str">
        <f aca="false">IF($B632="","",IF(AND($N632="",$O632="",$P632="",$Q632="",$R632=""),"","VINCULADO: "&amp;TRIM(IF($N632&lt;&gt;"",$N632&amp;" ","")&amp;IF($O632&lt;&gt;"",$O632&amp;" ","")&amp;IF($P632&lt;&gt;"",$P632&amp;" ","")&amp;IF($Q632&lt;&gt;"",$Q632&amp;" ","")&amp;IF($R632&lt;&gt;"",$R632,""))))</f>
        <v/>
      </c>
    </row>
    <row r="633" customFormat="false" ht="15" hidden="false" customHeight="false" outlineLevel="0" collapsed="false">
      <c r="A633" s="30" t="str">
        <f aca="false">IF($B633="","","LAN-"&amp;TEXT(ROW()-4,"000000"))</f>
        <v/>
      </c>
      <c r="B633" s="31"/>
      <c r="C633" s="32"/>
      <c r="D633" s="32"/>
      <c r="E633" s="32"/>
      <c r="F633" s="33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4" t="str">
        <f aca="false">IF($B633="","",YEAR($B633))</f>
        <v/>
      </c>
      <c r="U633" s="34" t="str">
        <f aca="false">IF($B633="","",MONTH($B633))</f>
        <v/>
      </c>
      <c r="V633" s="34" t="str">
        <f aca="false">IF($B633="","",YEAR($B633)*100+MONTH($B633))</f>
        <v/>
      </c>
      <c r="W633" s="35" t="str">
        <f aca="false">IF($D633="","",IFERROR(INDEX(MAP_CLASS,MATCH($D633,MAP_TIPO,0)),"TIPO INVALIDO"))</f>
        <v/>
      </c>
      <c r="X633" s="35" t="str">
        <f aca="false">IF($K633="","",IFERROR(INDEX(CAT_NOME,MATCH($K633,CAT_ID,0)),"?"))</f>
        <v/>
      </c>
      <c r="Y633" s="35" t="str">
        <f aca="false">IF($L633="","",IFERROR(INDEX(SUB_NOME,MATCH($L633,SUB_ID,0)),"?"))</f>
        <v/>
      </c>
      <c r="Z633" s="35" t="str">
        <f aca="false">IF($G633="","",IF($G633="EXTERNO","(Externo)",IFERROR(INDEX(ENT_NOME,MATCH($H633,ENT_ID,0)),"?")))</f>
        <v/>
      </c>
      <c r="AA633" s="35" t="str">
        <f aca="false">IF($I633="","",IF($I633="EXTERNO","(Externo)",IFERROR(INDEX(ENT_NOME,MATCH($J633,ENT_ID,0)),"?")))</f>
        <v/>
      </c>
      <c r="AB633" s="36" t="n">
        <f aca="false">IF($B633="",0,IF(AND($I633="CONTA",$G633&lt;&gt;"CONTA"),$F633,0))</f>
        <v>0</v>
      </c>
      <c r="AC633" s="36" t="n">
        <f aca="false">IF($B633="",0,IF(AND($G633="CONTA",$I633&lt;&gt;"CONTA"),$F633,0))</f>
        <v>0</v>
      </c>
      <c r="AD633" s="36" t="n">
        <f aca="false">IF($W633="RECEITA",$F633,0)</f>
        <v>0</v>
      </c>
      <c r="AE633" s="36" t="n">
        <f aca="false">IF($W633="DESPESA",$F633,0)</f>
        <v>0</v>
      </c>
      <c r="AF633" s="36" t="n">
        <f aca="false">IF($W633="RECEITA_FINANCEIRA",$F633,0)</f>
        <v>0</v>
      </c>
      <c r="AG633" s="36" t="n">
        <f aca="false">IF($B633="",0,IF($I633="CONTA",$F633,0)-IF($G633="CONTA",$F633,0))</f>
        <v>0</v>
      </c>
      <c r="AH633" s="36" t="n">
        <f aca="false">IF($B633="",0,IF($G633="CARTAO",$F633,0)-IF($I633="CARTAO",$F633,0))</f>
        <v>0</v>
      </c>
      <c r="AI633" s="36" t="n">
        <f aca="false">IF($B633="",0,IF($I633="INVESTIMENTO",$F633,0)-IF($G633="INVESTIMENTO",$F633,0))</f>
        <v>0</v>
      </c>
      <c r="AJ633" s="35" t="str">
        <f aca="false">IF($B633="","",IF(NOT(ISNUMBER($F633)),"ERRO: valor nao numerico",IF($F633&lt;=0,"ERRO: valor deve ser maior que zero",IF(COUNTIF(MAP_TIPO,$D633)=0,"ERRO: tipo de operacao nao cadastrado",IF(COUNTIF(LST_STATUS,$E633)=0,"ERRO: status invalido",IF(AND($G633="EXTERNO",$I633="EXTERNO"),"ERRO: origem e destino externos",IF(AND($G633&lt;&gt;"EXTERNO",COUNTIFS(ENT_ID,$H633,ENT_TIPO,$G633)=0),"ERRO: origem inexistente",IF(AND($I633&lt;&gt;"EXTERNO",COUNTIFS(ENT_ID,$J633,ENT_TIPO,$I633)=0),"ERRO: destino inexistente",IF(AND($K633&lt;&gt;"",COUNTIF(CAT_ID,$K633)=0),"ERRO: categoria inexistente",IF(AND($L633&lt;&gt;"",COUNTIF(SUB_ID,$L633)=0),"ERRO: subcategoria inexistente",IF(AND($L633&lt;&gt;"",$K633&lt;&gt;"",IFERROR(INDEX(SUB_CATID,MATCH($L633,SUB_ID,0)),"")&lt;&gt;$K633),"ERRO: subcategoria nao pertence a categoria",IF(AND($O633&lt;&gt;"",COUNTIF(P_ID,$O633)=0),"ERRO: parcela inexistente",IF(AND($N633&lt;&gt;"",COUNTIF(CM_ID,$N633)=0),"ERRO: compromisso inexistente","OK")))))))))))))</f>
        <v/>
      </c>
      <c r="AK633" s="35" t="str">
        <f aca="false">IF($B633="","",IF(AND($N633="",$O633="",$P633="",$Q633="",$R633=""),"","VINCULADO: "&amp;TRIM(IF($N633&lt;&gt;"",$N633&amp;" ","")&amp;IF($O633&lt;&gt;"",$O633&amp;" ","")&amp;IF($P633&lt;&gt;"",$P633&amp;" ","")&amp;IF($Q633&lt;&gt;"",$Q633&amp;" ","")&amp;IF($R633&lt;&gt;"",$R633,""))))</f>
        <v/>
      </c>
    </row>
    <row r="634" customFormat="false" ht="15" hidden="false" customHeight="false" outlineLevel="0" collapsed="false">
      <c r="A634" s="30" t="str">
        <f aca="false">IF($B634="","","LAN-"&amp;TEXT(ROW()-4,"000000"))</f>
        <v/>
      </c>
      <c r="B634" s="31"/>
      <c r="C634" s="32"/>
      <c r="D634" s="32"/>
      <c r="E634" s="32"/>
      <c r="F634" s="33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4" t="str">
        <f aca="false">IF($B634="","",YEAR($B634))</f>
        <v/>
      </c>
      <c r="U634" s="34" t="str">
        <f aca="false">IF($B634="","",MONTH($B634))</f>
        <v/>
      </c>
      <c r="V634" s="34" t="str">
        <f aca="false">IF($B634="","",YEAR($B634)*100+MONTH($B634))</f>
        <v/>
      </c>
      <c r="W634" s="35" t="str">
        <f aca="false">IF($D634="","",IFERROR(INDEX(MAP_CLASS,MATCH($D634,MAP_TIPO,0)),"TIPO INVALIDO"))</f>
        <v/>
      </c>
      <c r="X634" s="35" t="str">
        <f aca="false">IF($K634="","",IFERROR(INDEX(CAT_NOME,MATCH($K634,CAT_ID,0)),"?"))</f>
        <v/>
      </c>
      <c r="Y634" s="35" t="str">
        <f aca="false">IF($L634="","",IFERROR(INDEX(SUB_NOME,MATCH($L634,SUB_ID,0)),"?"))</f>
        <v/>
      </c>
      <c r="Z634" s="35" t="str">
        <f aca="false">IF($G634="","",IF($G634="EXTERNO","(Externo)",IFERROR(INDEX(ENT_NOME,MATCH($H634,ENT_ID,0)),"?")))</f>
        <v/>
      </c>
      <c r="AA634" s="35" t="str">
        <f aca="false">IF($I634="","",IF($I634="EXTERNO","(Externo)",IFERROR(INDEX(ENT_NOME,MATCH($J634,ENT_ID,0)),"?")))</f>
        <v/>
      </c>
      <c r="AB634" s="36" t="n">
        <f aca="false">IF($B634="",0,IF(AND($I634="CONTA",$G634&lt;&gt;"CONTA"),$F634,0))</f>
        <v>0</v>
      </c>
      <c r="AC634" s="36" t="n">
        <f aca="false">IF($B634="",0,IF(AND($G634="CONTA",$I634&lt;&gt;"CONTA"),$F634,0))</f>
        <v>0</v>
      </c>
      <c r="AD634" s="36" t="n">
        <f aca="false">IF($W634="RECEITA",$F634,0)</f>
        <v>0</v>
      </c>
      <c r="AE634" s="36" t="n">
        <f aca="false">IF($W634="DESPESA",$F634,0)</f>
        <v>0</v>
      </c>
      <c r="AF634" s="36" t="n">
        <f aca="false">IF($W634="RECEITA_FINANCEIRA",$F634,0)</f>
        <v>0</v>
      </c>
      <c r="AG634" s="36" t="n">
        <f aca="false">IF($B634="",0,IF($I634="CONTA",$F634,0)-IF($G634="CONTA",$F634,0))</f>
        <v>0</v>
      </c>
      <c r="AH634" s="36" t="n">
        <f aca="false">IF($B634="",0,IF($G634="CARTAO",$F634,0)-IF($I634="CARTAO",$F634,0))</f>
        <v>0</v>
      </c>
      <c r="AI634" s="36" t="n">
        <f aca="false">IF($B634="",0,IF($I634="INVESTIMENTO",$F634,0)-IF($G634="INVESTIMENTO",$F634,0))</f>
        <v>0</v>
      </c>
      <c r="AJ634" s="35" t="str">
        <f aca="false">IF($B634="","",IF(NOT(ISNUMBER($F634)),"ERRO: valor nao numerico",IF($F634&lt;=0,"ERRO: valor deve ser maior que zero",IF(COUNTIF(MAP_TIPO,$D634)=0,"ERRO: tipo de operacao nao cadastrado",IF(COUNTIF(LST_STATUS,$E634)=0,"ERRO: status invalido",IF(AND($G634="EXTERNO",$I634="EXTERNO"),"ERRO: origem e destino externos",IF(AND($G634&lt;&gt;"EXTERNO",COUNTIFS(ENT_ID,$H634,ENT_TIPO,$G634)=0),"ERRO: origem inexistente",IF(AND($I634&lt;&gt;"EXTERNO",COUNTIFS(ENT_ID,$J634,ENT_TIPO,$I634)=0),"ERRO: destino inexistente",IF(AND($K634&lt;&gt;"",COUNTIF(CAT_ID,$K634)=0),"ERRO: categoria inexistente",IF(AND($L634&lt;&gt;"",COUNTIF(SUB_ID,$L634)=0),"ERRO: subcategoria inexistente",IF(AND($L634&lt;&gt;"",$K634&lt;&gt;"",IFERROR(INDEX(SUB_CATID,MATCH($L634,SUB_ID,0)),"")&lt;&gt;$K634),"ERRO: subcategoria nao pertence a categoria",IF(AND($O634&lt;&gt;"",COUNTIF(P_ID,$O634)=0),"ERRO: parcela inexistente",IF(AND($N634&lt;&gt;"",COUNTIF(CM_ID,$N634)=0),"ERRO: compromisso inexistente","OK")))))))))))))</f>
        <v/>
      </c>
      <c r="AK634" s="35" t="str">
        <f aca="false">IF($B634="","",IF(AND($N634="",$O634="",$P634="",$Q634="",$R634=""),"","VINCULADO: "&amp;TRIM(IF($N634&lt;&gt;"",$N634&amp;" ","")&amp;IF($O634&lt;&gt;"",$O634&amp;" ","")&amp;IF($P634&lt;&gt;"",$P634&amp;" ","")&amp;IF($Q634&lt;&gt;"",$Q634&amp;" ","")&amp;IF($R634&lt;&gt;"",$R634,""))))</f>
        <v/>
      </c>
    </row>
    <row r="635" customFormat="false" ht="15" hidden="false" customHeight="false" outlineLevel="0" collapsed="false">
      <c r="A635" s="30" t="str">
        <f aca="false">IF($B635="","","LAN-"&amp;TEXT(ROW()-4,"000000"))</f>
        <v/>
      </c>
      <c r="B635" s="31"/>
      <c r="C635" s="32"/>
      <c r="D635" s="32"/>
      <c r="E635" s="32"/>
      <c r="F635" s="33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4" t="str">
        <f aca="false">IF($B635="","",YEAR($B635))</f>
        <v/>
      </c>
      <c r="U635" s="34" t="str">
        <f aca="false">IF($B635="","",MONTH($B635))</f>
        <v/>
      </c>
      <c r="V635" s="34" t="str">
        <f aca="false">IF($B635="","",YEAR($B635)*100+MONTH($B635))</f>
        <v/>
      </c>
      <c r="W635" s="35" t="str">
        <f aca="false">IF($D635="","",IFERROR(INDEX(MAP_CLASS,MATCH($D635,MAP_TIPO,0)),"TIPO INVALIDO"))</f>
        <v/>
      </c>
      <c r="X635" s="35" t="str">
        <f aca="false">IF($K635="","",IFERROR(INDEX(CAT_NOME,MATCH($K635,CAT_ID,0)),"?"))</f>
        <v/>
      </c>
      <c r="Y635" s="35" t="str">
        <f aca="false">IF($L635="","",IFERROR(INDEX(SUB_NOME,MATCH($L635,SUB_ID,0)),"?"))</f>
        <v/>
      </c>
      <c r="Z635" s="35" t="str">
        <f aca="false">IF($G635="","",IF($G635="EXTERNO","(Externo)",IFERROR(INDEX(ENT_NOME,MATCH($H635,ENT_ID,0)),"?")))</f>
        <v/>
      </c>
      <c r="AA635" s="35" t="str">
        <f aca="false">IF($I635="","",IF($I635="EXTERNO","(Externo)",IFERROR(INDEX(ENT_NOME,MATCH($J635,ENT_ID,0)),"?")))</f>
        <v/>
      </c>
      <c r="AB635" s="36" t="n">
        <f aca="false">IF($B635="",0,IF(AND($I635="CONTA",$G635&lt;&gt;"CONTA"),$F635,0))</f>
        <v>0</v>
      </c>
      <c r="AC635" s="36" t="n">
        <f aca="false">IF($B635="",0,IF(AND($G635="CONTA",$I635&lt;&gt;"CONTA"),$F635,0))</f>
        <v>0</v>
      </c>
      <c r="AD635" s="36" t="n">
        <f aca="false">IF($W635="RECEITA",$F635,0)</f>
        <v>0</v>
      </c>
      <c r="AE635" s="36" t="n">
        <f aca="false">IF($W635="DESPESA",$F635,0)</f>
        <v>0</v>
      </c>
      <c r="AF635" s="36" t="n">
        <f aca="false">IF($W635="RECEITA_FINANCEIRA",$F635,0)</f>
        <v>0</v>
      </c>
      <c r="AG635" s="36" t="n">
        <f aca="false">IF($B635="",0,IF($I635="CONTA",$F635,0)-IF($G635="CONTA",$F635,0))</f>
        <v>0</v>
      </c>
      <c r="AH635" s="36" t="n">
        <f aca="false">IF($B635="",0,IF($G635="CARTAO",$F635,0)-IF($I635="CARTAO",$F635,0))</f>
        <v>0</v>
      </c>
      <c r="AI635" s="36" t="n">
        <f aca="false">IF($B635="",0,IF($I635="INVESTIMENTO",$F635,0)-IF($G635="INVESTIMENTO",$F635,0))</f>
        <v>0</v>
      </c>
      <c r="AJ635" s="35" t="str">
        <f aca="false">IF($B635="","",IF(NOT(ISNUMBER($F635)),"ERRO: valor nao numerico",IF($F635&lt;=0,"ERRO: valor deve ser maior que zero",IF(COUNTIF(MAP_TIPO,$D635)=0,"ERRO: tipo de operacao nao cadastrado",IF(COUNTIF(LST_STATUS,$E635)=0,"ERRO: status invalido",IF(AND($G635="EXTERNO",$I635="EXTERNO"),"ERRO: origem e destino externos",IF(AND($G635&lt;&gt;"EXTERNO",COUNTIFS(ENT_ID,$H635,ENT_TIPO,$G635)=0),"ERRO: origem inexistente",IF(AND($I635&lt;&gt;"EXTERNO",COUNTIFS(ENT_ID,$J635,ENT_TIPO,$I635)=0),"ERRO: destino inexistente",IF(AND($K635&lt;&gt;"",COUNTIF(CAT_ID,$K635)=0),"ERRO: categoria inexistente",IF(AND($L635&lt;&gt;"",COUNTIF(SUB_ID,$L635)=0),"ERRO: subcategoria inexistente",IF(AND($L635&lt;&gt;"",$K635&lt;&gt;"",IFERROR(INDEX(SUB_CATID,MATCH($L635,SUB_ID,0)),"")&lt;&gt;$K635),"ERRO: subcategoria nao pertence a categoria",IF(AND($O635&lt;&gt;"",COUNTIF(P_ID,$O635)=0),"ERRO: parcela inexistente",IF(AND($N635&lt;&gt;"",COUNTIF(CM_ID,$N635)=0),"ERRO: compromisso inexistente","OK")))))))))))))</f>
        <v/>
      </c>
      <c r="AK635" s="35" t="str">
        <f aca="false">IF($B635="","",IF(AND($N635="",$O635="",$P635="",$Q635="",$R635=""),"","VINCULADO: "&amp;TRIM(IF($N635&lt;&gt;"",$N635&amp;" ","")&amp;IF($O635&lt;&gt;"",$O635&amp;" ","")&amp;IF($P635&lt;&gt;"",$P635&amp;" ","")&amp;IF($Q635&lt;&gt;"",$Q635&amp;" ","")&amp;IF($R635&lt;&gt;"",$R635,""))))</f>
        <v/>
      </c>
    </row>
    <row r="636" customFormat="false" ht="15" hidden="false" customHeight="false" outlineLevel="0" collapsed="false">
      <c r="A636" s="30" t="str">
        <f aca="false">IF($B636="","","LAN-"&amp;TEXT(ROW()-4,"000000"))</f>
        <v/>
      </c>
      <c r="B636" s="31"/>
      <c r="C636" s="32"/>
      <c r="D636" s="32"/>
      <c r="E636" s="32"/>
      <c r="F636" s="33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4" t="str">
        <f aca="false">IF($B636="","",YEAR($B636))</f>
        <v/>
      </c>
      <c r="U636" s="34" t="str">
        <f aca="false">IF($B636="","",MONTH($B636))</f>
        <v/>
      </c>
      <c r="V636" s="34" t="str">
        <f aca="false">IF($B636="","",YEAR($B636)*100+MONTH($B636))</f>
        <v/>
      </c>
      <c r="W636" s="35" t="str">
        <f aca="false">IF($D636="","",IFERROR(INDEX(MAP_CLASS,MATCH($D636,MAP_TIPO,0)),"TIPO INVALIDO"))</f>
        <v/>
      </c>
      <c r="X636" s="35" t="str">
        <f aca="false">IF($K636="","",IFERROR(INDEX(CAT_NOME,MATCH($K636,CAT_ID,0)),"?"))</f>
        <v/>
      </c>
      <c r="Y636" s="35" t="str">
        <f aca="false">IF($L636="","",IFERROR(INDEX(SUB_NOME,MATCH($L636,SUB_ID,0)),"?"))</f>
        <v/>
      </c>
      <c r="Z636" s="35" t="str">
        <f aca="false">IF($G636="","",IF($G636="EXTERNO","(Externo)",IFERROR(INDEX(ENT_NOME,MATCH($H636,ENT_ID,0)),"?")))</f>
        <v/>
      </c>
      <c r="AA636" s="35" t="str">
        <f aca="false">IF($I636="","",IF($I636="EXTERNO","(Externo)",IFERROR(INDEX(ENT_NOME,MATCH($J636,ENT_ID,0)),"?")))</f>
        <v/>
      </c>
      <c r="AB636" s="36" t="n">
        <f aca="false">IF($B636="",0,IF(AND($I636="CONTA",$G636&lt;&gt;"CONTA"),$F636,0))</f>
        <v>0</v>
      </c>
      <c r="AC636" s="36" t="n">
        <f aca="false">IF($B636="",0,IF(AND($G636="CONTA",$I636&lt;&gt;"CONTA"),$F636,0))</f>
        <v>0</v>
      </c>
      <c r="AD636" s="36" t="n">
        <f aca="false">IF($W636="RECEITA",$F636,0)</f>
        <v>0</v>
      </c>
      <c r="AE636" s="36" t="n">
        <f aca="false">IF($W636="DESPESA",$F636,0)</f>
        <v>0</v>
      </c>
      <c r="AF636" s="36" t="n">
        <f aca="false">IF($W636="RECEITA_FINANCEIRA",$F636,0)</f>
        <v>0</v>
      </c>
      <c r="AG636" s="36" t="n">
        <f aca="false">IF($B636="",0,IF($I636="CONTA",$F636,0)-IF($G636="CONTA",$F636,0))</f>
        <v>0</v>
      </c>
      <c r="AH636" s="36" t="n">
        <f aca="false">IF($B636="",0,IF($G636="CARTAO",$F636,0)-IF($I636="CARTAO",$F636,0))</f>
        <v>0</v>
      </c>
      <c r="AI636" s="36" t="n">
        <f aca="false">IF($B636="",0,IF($I636="INVESTIMENTO",$F636,0)-IF($G636="INVESTIMENTO",$F636,0))</f>
        <v>0</v>
      </c>
      <c r="AJ636" s="35" t="str">
        <f aca="false">IF($B636="","",IF(NOT(ISNUMBER($F636)),"ERRO: valor nao numerico",IF($F636&lt;=0,"ERRO: valor deve ser maior que zero",IF(COUNTIF(MAP_TIPO,$D636)=0,"ERRO: tipo de operacao nao cadastrado",IF(COUNTIF(LST_STATUS,$E636)=0,"ERRO: status invalido",IF(AND($G636="EXTERNO",$I636="EXTERNO"),"ERRO: origem e destino externos",IF(AND($G636&lt;&gt;"EXTERNO",COUNTIFS(ENT_ID,$H636,ENT_TIPO,$G636)=0),"ERRO: origem inexistente",IF(AND($I636&lt;&gt;"EXTERNO",COUNTIFS(ENT_ID,$J636,ENT_TIPO,$I636)=0),"ERRO: destino inexistente",IF(AND($K636&lt;&gt;"",COUNTIF(CAT_ID,$K636)=0),"ERRO: categoria inexistente",IF(AND($L636&lt;&gt;"",COUNTIF(SUB_ID,$L636)=0),"ERRO: subcategoria inexistente",IF(AND($L636&lt;&gt;"",$K636&lt;&gt;"",IFERROR(INDEX(SUB_CATID,MATCH($L636,SUB_ID,0)),"")&lt;&gt;$K636),"ERRO: subcategoria nao pertence a categoria",IF(AND($O636&lt;&gt;"",COUNTIF(P_ID,$O636)=0),"ERRO: parcela inexistente",IF(AND($N636&lt;&gt;"",COUNTIF(CM_ID,$N636)=0),"ERRO: compromisso inexistente","OK")))))))))))))</f>
        <v/>
      </c>
      <c r="AK636" s="35" t="str">
        <f aca="false">IF($B636="","",IF(AND($N636="",$O636="",$P636="",$Q636="",$R636=""),"","VINCULADO: "&amp;TRIM(IF($N636&lt;&gt;"",$N636&amp;" ","")&amp;IF($O636&lt;&gt;"",$O636&amp;" ","")&amp;IF($P636&lt;&gt;"",$P636&amp;" ","")&amp;IF($Q636&lt;&gt;"",$Q636&amp;" ","")&amp;IF($R636&lt;&gt;"",$R636,""))))</f>
        <v/>
      </c>
    </row>
    <row r="637" customFormat="false" ht="15" hidden="false" customHeight="false" outlineLevel="0" collapsed="false">
      <c r="A637" s="30" t="str">
        <f aca="false">IF($B637="","","LAN-"&amp;TEXT(ROW()-4,"000000"))</f>
        <v/>
      </c>
      <c r="B637" s="31"/>
      <c r="C637" s="32"/>
      <c r="D637" s="32"/>
      <c r="E637" s="32"/>
      <c r="F637" s="33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4" t="str">
        <f aca="false">IF($B637="","",YEAR($B637))</f>
        <v/>
      </c>
      <c r="U637" s="34" t="str">
        <f aca="false">IF($B637="","",MONTH($B637))</f>
        <v/>
      </c>
      <c r="V637" s="34" t="str">
        <f aca="false">IF($B637="","",YEAR($B637)*100+MONTH($B637))</f>
        <v/>
      </c>
      <c r="W637" s="35" t="str">
        <f aca="false">IF($D637="","",IFERROR(INDEX(MAP_CLASS,MATCH($D637,MAP_TIPO,0)),"TIPO INVALIDO"))</f>
        <v/>
      </c>
      <c r="X637" s="35" t="str">
        <f aca="false">IF($K637="","",IFERROR(INDEX(CAT_NOME,MATCH($K637,CAT_ID,0)),"?"))</f>
        <v/>
      </c>
      <c r="Y637" s="35" t="str">
        <f aca="false">IF($L637="","",IFERROR(INDEX(SUB_NOME,MATCH($L637,SUB_ID,0)),"?"))</f>
        <v/>
      </c>
      <c r="Z637" s="35" t="str">
        <f aca="false">IF($G637="","",IF($G637="EXTERNO","(Externo)",IFERROR(INDEX(ENT_NOME,MATCH($H637,ENT_ID,0)),"?")))</f>
        <v/>
      </c>
      <c r="AA637" s="35" t="str">
        <f aca="false">IF($I637="","",IF($I637="EXTERNO","(Externo)",IFERROR(INDEX(ENT_NOME,MATCH($J637,ENT_ID,0)),"?")))</f>
        <v/>
      </c>
      <c r="AB637" s="36" t="n">
        <f aca="false">IF($B637="",0,IF(AND($I637="CONTA",$G637&lt;&gt;"CONTA"),$F637,0))</f>
        <v>0</v>
      </c>
      <c r="AC637" s="36" t="n">
        <f aca="false">IF($B637="",0,IF(AND($G637="CONTA",$I637&lt;&gt;"CONTA"),$F637,0))</f>
        <v>0</v>
      </c>
      <c r="AD637" s="36" t="n">
        <f aca="false">IF($W637="RECEITA",$F637,0)</f>
        <v>0</v>
      </c>
      <c r="AE637" s="36" t="n">
        <f aca="false">IF($W637="DESPESA",$F637,0)</f>
        <v>0</v>
      </c>
      <c r="AF637" s="36" t="n">
        <f aca="false">IF($W637="RECEITA_FINANCEIRA",$F637,0)</f>
        <v>0</v>
      </c>
      <c r="AG637" s="36" t="n">
        <f aca="false">IF($B637="",0,IF($I637="CONTA",$F637,0)-IF($G637="CONTA",$F637,0))</f>
        <v>0</v>
      </c>
      <c r="AH637" s="36" t="n">
        <f aca="false">IF($B637="",0,IF($G637="CARTAO",$F637,0)-IF($I637="CARTAO",$F637,0))</f>
        <v>0</v>
      </c>
      <c r="AI637" s="36" t="n">
        <f aca="false">IF($B637="",0,IF($I637="INVESTIMENTO",$F637,0)-IF($G637="INVESTIMENTO",$F637,0))</f>
        <v>0</v>
      </c>
      <c r="AJ637" s="35" t="str">
        <f aca="false">IF($B637="","",IF(NOT(ISNUMBER($F637)),"ERRO: valor nao numerico",IF($F637&lt;=0,"ERRO: valor deve ser maior que zero",IF(COUNTIF(MAP_TIPO,$D637)=0,"ERRO: tipo de operacao nao cadastrado",IF(COUNTIF(LST_STATUS,$E637)=0,"ERRO: status invalido",IF(AND($G637="EXTERNO",$I637="EXTERNO"),"ERRO: origem e destino externos",IF(AND($G637&lt;&gt;"EXTERNO",COUNTIFS(ENT_ID,$H637,ENT_TIPO,$G637)=0),"ERRO: origem inexistente",IF(AND($I637&lt;&gt;"EXTERNO",COUNTIFS(ENT_ID,$J637,ENT_TIPO,$I637)=0),"ERRO: destino inexistente",IF(AND($K637&lt;&gt;"",COUNTIF(CAT_ID,$K637)=0),"ERRO: categoria inexistente",IF(AND($L637&lt;&gt;"",COUNTIF(SUB_ID,$L637)=0),"ERRO: subcategoria inexistente",IF(AND($L637&lt;&gt;"",$K637&lt;&gt;"",IFERROR(INDEX(SUB_CATID,MATCH($L637,SUB_ID,0)),"")&lt;&gt;$K637),"ERRO: subcategoria nao pertence a categoria",IF(AND($O637&lt;&gt;"",COUNTIF(P_ID,$O637)=0),"ERRO: parcela inexistente",IF(AND($N637&lt;&gt;"",COUNTIF(CM_ID,$N637)=0),"ERRO: compromisso inexistente","OK")))))))))))))</f>
        <v/>
      </c>
      <c r="AK637" s="35" t="str">
        <f aca="false">IF($B637="","",IF(AND($N637="",$O637="",$P637="",$Q637="",$R637=""),"","VINCULADO: "&amp;TRIM(IF($N637&lt;&gt;"",$N637&amp;" ","")&amp;IF($O637&lt;&gt;"",$O637&amp;" ","")&amp;IF($P637&lt;&gt;"",$P637&amp;" ","")&amp;IF($Q637&lt;&gt;"",$Q637&amp;" ","")&amp;IF($R637&lt;&gt;"",$R637,""))))</f>
        <v/>
      </c>
    </row>
    <row r="638" customFormat="false" ht="15" hidden="false" customHeight="false" outlineLevel="0" collapsed="false">
      <c r="A638" s="30" t="str">
        <f aca="false">IF($B638="","","LAN-"&amp;TEXT(ROW()-4,"000000"))</f>
        <v/>
      </c>
      <c r="B638" s="31"/>
      <c r="C638" s="32"/>
      <c r="D638" s="32"/>
      <c r="E638" s="32"/>
      <c r="F638" s="33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4" t="str">
        <f aca="false">IF($B638="","",YEAR($B638))</f>
        <v/>
      </c>
      <c r="U638" s="34" t="str">
        <f aca="false">IF($B638="","",MONTH($B638))</f>
        <v/>
      </c>
      <c r="V638" s="34" t="str">
        <f aca="false">IF($B638="","",YEAR($B638)*100+MONTH($B638))</f>
        <v/>
      </c>
      <c r="W638" s="35" t="str">
        <f aca="false">IF($D638="","",IFERROR(INDEX(MAP_CLASS,MATCH($D638,MAP_TIPO,0)),"TIPO INVALIDO"))</f>
        <v/>
      </c>
      <c r="X638" s="35" t="str">
        <f aca="false">IF($K638="","",IFERROR(INDEX(CAT_NOME,MATCH($K638,CAT_ID,0)),"?"))</f>
        <v/>
      </c>
      <c r="Y638" s="35" t="str">
        <f aca="false">IF($L638="","",IFERROR(INDEX(SUB_NOME,MATCH($L638,SUB_ID,0)),"?"))</f>
        <v/>
      </c>
      <c r="Z638" s="35" t="str">
        <f aca="false">IF($G638="","",IF($G638="EXTERNO","(Externo)",IFERROR(INDEX(ENT_NOME,MATCH($H638,ENT_ID,0)),"?")))</f>
        <v/>
      </c>
      <c r="AA638" s="35" t="str">
        <f aca="false">IF($I638="","",IF($I638="EXTERNO","(Externo)",IFERROR(INDEX(ENT_NOME,MATCH($J638,ENT_ID,0)),"?")))</f>
        <v/>
      </c>
      <c r="AB638" s="36" t="n">
        <f aca="false">IF($B638="",0,IF(AND($I638="CONTA",$G638&lt;&gt;"CONTA"),$F638,0))</f>
        <v>0</v>
      </c>
      <c r="AC638" s="36" t="n">
        <f aca="false">IF($B638="",0,IF(AND($G638="CONTA",$I638&lt;&gt;"CONTA"),$F638,0))</f>
        <v>0</v>
      </c>
      <c r="AD638" s="36" t="n">
        <f aca="false">IF($W638="RECEITA",$F638,0)</f>
        <v>0</v>
      </c>
      <c r="AE638" s="36" t="n">
        <f aca="false">IF($W638="DESPESA",$F638,0)</f>
        <v>0</v>
      </c>
      <c r="AF638" s="36" t="n">
        <f aca="false">IF($W638="RECEITA_FINANCEIRA",$F638,0)</f>
        <v>0</v>
      </c>
      <c r="AG638" s="36" t="n">
        <f aca="false">IF($B638="",0,IF($I638="CONTA",$F638,0)-IF($G638="CONTA",$F638,0))</f>
        <v>0</v>
      </c>
      <c r="AH638" s="36" t="n">
        <f aca="false">IF($B638="",0,IF($G638="CARTAO",$F638,0)-IF($I638="CARTAO",$F638,0))</f>
        <v>0</v>
      </c>
      <c r="AI638" s="36" t="n">
        <f aca="false">IF($B638="",0,IF($I638="INVESTIMENTO",$F638,0)-IF($G638="INVESTIMENTO",$F638,0))</f>
        <v>0</v>
      </c>
      <c r="AJ638" s="35" t="str">
        <f aca="false">IF($B638="","",IF(NOT(ISNUMBER($F638)),"ERRO: valor nao numerico",IF($F638&lt;=0,"ERRO: valor deve ser maior que zero",IF(COUNTIF(MAP_TIPO,$D638)=0,"ERRO: tipo de operacao nao cadastrado",IF(COUNTIF(LST_STATUS,$E638)=0,"ERRO: status invalido",IF(AND($G638="EXTERNO",$I638="EXTERNO"),"ERRO: origem e destino externos",IF(AND($G638&lt;&gt;"EXTERNO",COUNTIFS(ENT_ID,$H638,ENT_TIPO,$G638)=0),"ERRO: origem inexistente",IF(AND($I638&lt;&gt;"EXTERNO",COUNTIFS(ENT_ID,$J638,ENT_TIPO,$I638)=0),"ERRO: destino inexistente",IF(AND($K638&lt;&gt;"",COUNTIF(CAT_ID,$K638)=0),"ERRO: categoria inexistente",IF(AND($L638&lt;&gt;"",COUNTIF(SUB_ID,$L638)=0),"ERRO: subcategoria inexistente",IF(AND($L638&lt;&gt;"",$K638&lt;&gt;"",IFERROR(INDEX(SUB_CATID,MATCH($L638,SUB_ID,0)),"")&lt;&gt;$K638),"ERRO: subcategoria nao pertence a categoria",IF(AND($O638&lt;&gt;"",COUNTIF(P_ID,$O638)=0),"ERRO: parcela inexistente",IF(AND($N638&lt;&gt;"",COUNTIF(CM_ID,$N638)=0),"ERRO: compromisso inexistente","OK")))))))))))))</f>
        <v/>
      </c>
      <c r="AK638" s="35" t="str">
        <f aca="false">IF($B638="","",IF(AND($N638="",$O638="",$P638="",$Q638="",$R638=""),"","VINCULADO: "&amp;TRIM(IF($N638&lt;&gt;"",$N638&amp;" ","")&amp;IF($O638&lt;&gt;"",$O638&amp;" ","")&amp;IF($P638&lt;&gt;"",$P638&amp;" ","")&amp;IF($Q638&lt;&gt;"",$Q638&amp;" ","")&amp;IF($R638&lt;&gt;"",$R638,""))))</f>
        <v/>
      </c>
    </row>
    <row r="639" customFormat="false" ht="15" hidden="false" customHeight="false" outlineLevel="0" collapsed="false">
      <c r="A639" s="30" t="str">
        <f aca="false">IF($B639="","","LAN-"&amp;TEXT(ROW()-4,"000000"))</f>
        <v/>
      </c>
      <c r="B639" s="31"/>
      <c r="C639" s="32"/>
      <c r="D639" s="32"/>
      <c r="E639" s="32"/>
      <c r="F639" s="33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4" t="str">
        <f aca="false">IF($B639="","",YEAR($B639))</f>
        <v/>
      </c>
      <c r="U639" s="34" t="str">
        <f aca="false">IF($B639="","",MONTH($B639))</f>
        <v/>
      </c>
      <c r="V639" s="34" t="str">
        <f aca="false">IF($B639="","",YEAR($B639)*100+MONTH($B639))</f>
        <v/>
      </c>
      <c r="W639" s="35" t="str">
        <f aca="false">IF($D639="","",IFERROR(INDEX(MAP_CLASS,MATCH($D639,MAP_TIPO,0)),"TIPO INVALIDO"))</f>
        <v/>
      </c>
      <c r="X639" s="35" t="str">
        <f aca="false">IF($K639="","",IFERROR(INDEX(CAT_NOME,MATCH($K639,CAT_ID,0)),"?"))</f>
        <v/>
      </c>
      <c r="Y639" s="35" t="str">
        <f aca="false">IF($L639="","",IFERROR(INDEX(SUB_NOME,MATCH($L639,SUB_ID,0)),"?"))</f>
        <v/>
      </c>
      <c r="Z639" s="35" t="str">
        <f aca="false">IF($G639="","",IF($G639="EXTERNO","(Externo)",IFERROR(INDEX(ENT_NOME,MATCH($H639,ENT_ID,0)),"?")))</f>
        <v/>
      </c>
      <c r="AA639" s="35" t="str">
        <f aca="false">IF($I639="","",IF($I639="EXTERNO","(Externo)",IFERROR(INDEX(ENT_NOME,MATCH($J639,ENT_ID,0)),"?")))</f>
        <v/>
      </c>
      <c r="AB639" s="36" t="n">
        <f aca="false">IF($B639="",0,IF(AND($I639="CONTA",$G639&lt;&gt;"CONTA"),$F639,0))</f>
        <v>0</v>
      </c>
      <c r="AC639" s="36" t="n">
        <f aca="false">IF($B639="",0,IF(AND($G639="CONTA",$I639&lt;&gt;"CONTA"),$F639,0))</f>
        <v>0</v>
      </c>
      <c r="AD639" s="36" t="n">
        <f aca="false">IF($W639="RECEITA",$F639,0)</f>
        <v>0</v>
      </c>
      <c r="AE639" s="36" t="n">
        <f aca="false">IF($W639="DESPESA",$F639,0)</f>
        <v>0</v>
      </c>
      <c r="AF639" s="36" t="n">
        <f aca="false">IF($W639="RECEITA_FINANCEIRA",$F639,0)</f>
        <v>0</v>
      </c>
      <c r="AG639" s="36" t="n">
        <f aca="false">IF($B639="",0,IF($I639="CONTA",$F639,0)-IF($G639="CONTA",$F639,0))</f>
        <v>0</v>
      </c>
      <c r="AH639" s="36" t="n">
        <f aca="false">IF($B639="",0,IF($G639="CARTAO",$F639,0)-IF($I639="CARTAO",$F639,0))</f>
        <v>0</v>
      </c>
      <c r="AI639" s="36" t="n">
        <f aca="false">IF($B639="",0,IF($I639="INVESTIMENTO",$F639,0)-IF($G639="INVESTIMENTO",$F639,0))</f>
        <v>0</v>
      </c>
      <c r="AJ639" s="35" t="str">
        <f aca="false">IF($B639="","",IF(NOT(ISNUMBER($F639)),"ERRO: valor nao numerico",IF($F639&lt;=0,"ERRO: valor deve ser maior que zero",IF(COUNTIF(MAP_TIPO,$D639)=0,"ERRO: tipo de operacao nao cadastrado",IF(COUNTIF(LST_STATUS,$E639)=0,"ERRO: status invalido",IF(AND($G639="EXTERNO",$I639="EXTERNO"),"ERRO: origem e destino externos",IF(AND($G639&lt;&gt;"EXTERNO",COUNTIFS(ENT_ID,$H639,ENT_TIPO,$G639)=0),"ERRO: origem inexistente",IF(AND($I639&lt;&gt;"EXTERNO",COUNTIFS(ENT_ID,$J639,ENT_TIPO,$I639)=0),"ERRO: destino inexistente",IF(AND($K639&lt;&gt;"",COUNTIF(CAT_ID,$K639)=0),"ERRO: categoria inexistente",IF(AND($L639&lt;&gt;"",COUNTIF(SUB_ID,$L639)=0),"ERRO: subcategoria inexistente",IF(AND($L639&lt;&gt;"",$K639&lt;&gt;"",IFERROR(INDEX(SUB_CATID,MATCH($L639,SUB_ID,0)),"")&lt;&gt;$K639),"ERRO: subcategoria nao pertence a categoria",IF(AND($O639&lt;&gt;"",COUNTIF(P_ID,$O639)=0),"ERRO: parcela inexistente",IF(AND($N639&lt;&gt;"",COUNTIF(CM_ID,$N639)=0),"ERRO: compromisso inexistente","OK")))))))))))))</f>
        <v/>
      </c>
      <c r="AK639" s="35" t="str">
        <f aca="false">IF($B639="","",IF(AND($N639="",$O639="",$P639="",$Q639="",$R639=""),"","VINCULADO: "&amp;TRIM(IF($N639&lt;&gt;"",$N639&amp;" ","")&amp;IF($O639&lt;&gt;"",$O639&amp;" ","")&amp;IF($P639&lt;&gt;"",$P639&amp;" ","")&amp;IF($Q639&lt;&gt;"",$Q639&amp;" ","")&amp;IF($R639&lt;&gt;"",$R639,""))))</f>
        <v/>
      </c>
    </row>
    <row r="640" customFormat="false" ht="15" hidden="false" customHeight="false" outlineLevel="0" collapsed="false">
      <c r="A640" s="30" t="str">
        <f aca="false">IF($B640="","","LAN-"&amp;TEXT(ROW()-4,"000000"))</f>
        <v/>
      </c>
      <c r="B640" s="31"/>
      <c r="C640" s="32"/>
      <c r="D640" s="32"/>
      <c r="E640" s="32"/>
      <c r="F640" s="33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4" t="str">
        <f aca="false">IF($B640="","",YEAR($B640))</f>
        <v/>
      </c>
      <c r="U640" s="34" t="str">
        <f aca="false">IF($B640="","",MONTH($B640))</f>
        <v/>
      </c>
      <c r="V640" s="34" t="str">
        <f aca="false">IF($B640="","",YEAR($B640)*100+MONTH($B640))</f>
        <v/>
      </c>
      <c r="W640" s="35" t="str">
        <f aca="false">IF($D640="","",IFERROR(INDEX(MAP_CLASS,MATCH($D640,MAP_TIPO,0)),"TIPO INVALIDO"))</f>
        <v/>
      </c>
      <c r="X640" s="35" t="str">
        <f aca="false">IF($K640="","",IFERROR(INDEX(CAT_NOME,MATCH($K640,CAT_ID,0)),"?"))</f>
        <v/>
      </c>
      <c r="Y640" s="35" t="str">
        <f aca="false">IF($L640="","",IFERROR(INDEX(SUB_NOME,MATCH($L640,SUB_ID,0)),"?"))</f>
        <v/>
      </c>
      <c r="Z640" s="35" t="str">
        <f aca="false">IF($G640="","",IF($G640="EXTERNO","(Externo)",IFERROR(INDEX(ENT_NOME,MATCH($H640,ENT_ID,0)),"?")))</f>
        <v/>
      </c>
      <c r="AA640" s="35" t="str">
        <f aca="false">IF($I640="","",IF($I640="EXTERNO","(Externo)",IFERROR(INDEX(ENT_NOME,MATCH($J640,ENT_ID,0)),"?")))</f>
        <v/>
      </c>
      <c r="AB640" s="36" t="n">
        <f aca="false">IF($B640="",0,IF(AND($I640="CONTA",$G640&lt;&gt;"CONTA"),$F640,0))</f>
        <v>0</v>
      </c>
      <c r="AC640" s="36" t="n">
        <f aca="false">IF($B640="",0,IF(AND($G640="CONTA",$I640&lt;&gt;"CONTA"),$F640,0))</f>
        <v>0</v>
      </c>
      <c r="AD640" s="36" t="n">
        <f aca="false">IF($W640="RECEITA",$F640,0)</f>
        <v>0</v>
      </c>
      <c r="AE640" s="36" t="n">
        <f aca="false">IF($W640="DESPESA",$F640,0)</f>
        <v>0</v>
      </c>
      <c r="AF640" s="36" t="n">
        <f aca="false">IF($W640="RECEITA_FINANCEIRA",$F640,0)</f>
        <v>0</v>
      </c>
      <c r="AG640" s="36" t="n">
        <f aca="false">IF($B640="",0,IF($I640="CONTA",$F640,0)-IF($G640="CONTA",$F640,0))</f>
        <v>0</v>
      </c>
      <c r="AH640" s="36" t="n">
        <f aca="false">IF($B640="",0,IF($G640="CARTAO",$F640,0)-IF($I640="CARTAO",$F640,0))</f>
        <v>0</v>
      </c>
      <c r="AI640" s="36" t="n">
        <f aca="false">IF($B640="",0,IF($I640="INVESTIMENTO",$F640,0)-IF($G640="INVESTIMENTO",$F640,0))</f>
        <v>0</v>
      </c>
      <c r="AJ640" s="35" t="str">
        <f aca="false">IF($B640="","",IF(NOT(ISNUMBER($F640)),"ERRO: valor nao numerico",IF($F640&lt;=0,"ERRO: valor deve ser maior que zero",IF(COUNTIF(MAP_TIPO,$D640)=0,"ERRO: tipo de operacao nao cadastrado",IF(COUNTIF(LST_STATUS,$E640)=0,"ERRO: status invalido",IF(AND($G640="EXTERNO",$I640="EXTERNO"),"ERRO: origem e destino externos",IF(AND($G640&lt;&gt;"EXTERNO",COUNTIFS(ENT_ID,$H640,ENT_TIPO,$G640)=0),"ERRO: origem inexistente",IF(AND($I640&lt;&gt;"EXTERNO",COUNTIFS(ENT_ID,$J640,ENT_TIPO,$I640)=0),"ERRO: destino inexistente",IF(AND($K640&lt;&gt;"",COUNTIF(CAT_ID,$K640)=0),"ERRO: categoria inexistente",IF(AND($L640&lt;&gt;"",COUNTIF(SUB_ID,$L640)=0),"ERRO: subcategoria inexistente",IF(AND($L640&lt;&gt;"",$K640&lt;&gt;"",IFERROR(INDEX(SUB_CATID,MATCH($L640,SUB_ID,0)),"")&lt;&gt;$K640),"ERRO: subcategoria nao pertence a categoria",IF(AND($O640&lt;&gt;"",COUNTIF(P_ID,$O640)=0),"ERRO: parcela inexistente",IF(AND($N640&lt;&gt;"",COUNTIF(CM_ID,$N640)=0),"ERRO: compromisso inexistente","OK")))))))))))))</f>
        <v/>
      </c>
      <c r="AK640" s="35" t="str">
        <f aca="false">IF($B640="","",IF(AND($N640="",$O640="",$P640="",$Q640="",$R640=""),"","VINCULADO: "&amp;TRIM(IF($N640&lt;&gt;"",$N640&amp;" ","")&amp;IF($O640&lt;&gt;"",$O640&amp;" ","")&amp;IF($P640&lt;&gt;"",$P640&amp;" ","")&amp;IF($Q640&lt;&gt;"",$Q640&amp;" ","")&amp;IF($R640&lt;&gt;"",$R640,""))))</f>
        <v/>
      </c>
    </row>
    <row r="641" customFormat="false" ht="15" hidden="false" customHeight="false" outlineLevel="0" collapsed="false">
      <c r="A641" s="30" t="str">
        <f aca="false">IF($B641="","","LAN-"&amp;TEXT(ROW()-4,"000000"))</f>
        <v/>
      </c>
      <c r="B641" s="31"/>
      <c r="C641" s="32"/>
      <c r="D641" s="32"/>
      <c r="E641" s="32"/>
      <c r="F641" s="33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4" t="str">
        <f aca="false">IF($B641="","",YEAR($B641))</f>
        <v/>
      </c>
      <c r="U641" s="34" t="str">
        <f aca="false">IF($B641="","",MONTH($B641))</f>
        <v/>
      </c>
      <c r="V641" s="34" t="str">
        <f aca="false">IF($B641="","",YEAR($B641)*100+MONTH($B641))</f>
        <v/>
      </c>
      <c r="W641" s="35" t="str">
        <f aca="false">IF($D641="","",IFERROR(INDEX(MAP_CLASS,MATCH($D641,MAP_TIPO,0)),"TIPO INVALIDO"))</f>
        <v/>
      </c>
      <c r="X641" s="35" t="str">
        <f aca="false">IF($K641="","",IFERROR(INDEX(CAT_NOME,MATCH($K641,CAT_ID,0)),"?"))</f>
        <v/>
      </c>
      <c r="Y641" s="35" t="str">
        <f aca="false">IF($L641="","",IFERROR(INDEX(SUB_NOME,MATCH($L641,SUB_ID,0)),"?"))</f>
        <v/>
      </c>
      <c r="Z641" s="35" t="str">
        <f aca="false">IF($G641="","",IF($G641="EXTERNO","(Externo)",IFERROR(INDEX(ENT_NOME,MATCH($H641,ENT_ID,0)),"?")))</f>
        <v/>
      </c>
      <c r="AA641" s="35" t="str">
        <f aca="false">IF($I641="","",IF($I641="EXTERNO","(Externo)",IFERROR(INDEX(ENT_NOME,MATCH($J641,ENT_ID,0)),"?")))</f>
        <v/>
      </c>
      <c r="AB641" s="36" t="n">
        <f aca="false">IF($B641="",0,IF(AND($I641="CONTA",$G641&lt;&gt;"CONTA"),$F641,0))</f>
        <v>0</v>
      </c>
      <c r="AC641" s="36" t="n">
        <f aca="false">IF($B641="",0,IF(AND($G641="CONTA",$I641&lt;&gt;"CONTA"),$F641,0))</f>
        <v>0</v>
      </c>
      <c r="AD641" s="36" t="n">
        <f aca="false">IF($W641="RECEITA",$F641,0)</f>
        <v>0</v>
      </c>
      <c r="AE641" s="36" t="n">
        <f aca="false">IF($W641="DESPESA",$F641,0)</f>
        <v>0</v>
      </c>
      <c r="AF641" s="36" t="n">
        <f aca="false">IF($W641="RECEITA_FINANCEIRA",$F641,0)</f>
        <v>0</v>
      </c>
      <c r="AG641" s="36" t="n">
        <f aca="false">IF($B641="",0,IF($I641="CONTA",$F641,0)-IF($G641="CONTA",$F641,0))</f>
        <v>0</v>
      </c>
      <c r="AH641" s="36" t="n">
        <f aca="false">IF($B641="",0,IF($G641="CARTAO",$F641,0)-IF($I641="CARTAO",$F641,0))</f>
        <v>0</v>
      </c>
      <c r="AI641" s="36" t="n">
        <f aca="false">IF($B641="",0,IF($I641="INVESTIMENTO",$F641,0)-IF($G641="INVESTIMENTO",$F641,0))</f>
        <v>0</v>
      </c>
      <c r="AJ641" s="35" t="str">
        <f aca="false">IF($B641="","",IF(NOT(ISNUMBER($F641)),"ERRO: valor nao numerico",IF($F641&lt;=0,"ERRO: valor deve ser maior que zero",IF(COUNTIF(MAP_TIPO,$D641)=0,"ERRO: tipo de operacao nao cadastrado",IF(COUNTIF(LST_STATUS,$E641)=0,"ERRO: status invalido",IF(AND($G641="EXTERNO",$I641="EXTERNO"),"ERRO: origem e destino externos",IF(AND($G641&lt;&gt;"EXTERNO",COUNTIFS(ENT_ID,$H641,ENT_TIPO,$G641)=0),"ERRO: origem inexistente",IF(AND($I641&lt;&gt;"EXTERNO",COUNTIFS(ENT_ID,$J641,ENT_TIPO,$I641)=0),"ERRO: destino inexistente",IF(AND($K641&lt;&gt;"",COUNTIF(CAT_ID,$K641)=0),"ERRO: categoria inexistente",IF(AND($L641&lt;&gt;"",COUNTIF(SUB_ID,$L641)=0),"ERRO: subcategoria inexistente",IF(AND($L641&lt;&gt;"",$K641&lt;&gt;"",IFERROR(INDEX(SUB_CATID,MATCH($L641,SUB_ID,0)),"")&lt;&gt;$K641),"ERRO: subcategoria nao pertence a categoria",IF(AND($O641&lt;&gt;"",COUNTIF(P_ID,$O641)=0),"ERRO: parcela inexistente",IF(AND($N641&lt;&gt;"",COUNTIF(CM_ID,$N641)=0),"ERRO: compromisso inexistente","OK")))))))))))))</f>
        <v/>
      </c>
      <c r="AK641" s="35" t="str">
        <f aca="false">IF($B641="","",IF(AND($N641="",$O641="",$P641="",$Q641="",$R641=""),"","VINCULADO: "&amp;TRIM(IF($N641&lt;&gt;"",$N641&amp;" ","")&amp;IF($O641&lt;&gt;"",$O641&amp;" ","")&amp;IF($P641&lt;&gt;"",$P641&amp;" ","")&amp;IF($Q641&lt;&gt;"",$Q641&amp;" ","")&amp;IF($R641&lt;&gt;"",$R641,""))))</f>
        <v/>
      </c>
    </row>
    <row r="642" customFormat="false" ht="15" hidden="false" customHeight="false" outlineLevel="0" collapsed="false">
      <c r="A642" s="30" t="str">
        <f aca="false">IF($B642="","","LAN-"&amp;TEXT(ROW()-4,"000000"))</f>
        <v/>
      </c>
      <c r="B642" s="31"/>
      <c r="C642" s="32"/>
      <c r="D642" s="32"/>
      <c r="E642" s="32"/>
      <c r="F642" s="33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4" t="str">
        <f aca="false">IF($B642="","",YEAR($B642))</f>
        <v/>
      </c>
      <c r="U642" s="34" t="str">
        <f aca="false">IF($B642="","",MONTH($B642))</f>
        <v/>
      </c>
      <c r="V642" s="34" t="str">
        <f aca="false">IF($B642="","",YEAR($B642)*100+MONTH($B642))</f>
        <v/>
      </c>
      <c r="W642" s="35" t="str">
        <f aca="false">IF($D642="","",IFERROR(INDEX(MAP_CLASS,MATCH($D642,MAP_TIPO,0)),"TIPO INVALIDO"))</f>
        <v/>
      </c>
      <c r="X642" s="35" t="str">
        <f aca="false">IF($K642="","",IFERROR(INDEX(CAT_NOME,MATCH($K642,CAT_ID,0)),"?"))</f>
        <v/>
      </c>
      <c r="Y642" s="35" t="str">
        <f aca="false">IF($L642="","",IFERROR(INDEX(SUB_NOME,MATCH($L642,SUB_ID,0)),"?"))</f>
        <v/>
      </c>
      <c r="Z642" s="35" t="str">
        <f aca="false">IF($G642="","",IF($G642="EXTERNO","(Externo)",IFERROR(INDEX(ENT_NOME,MATCH($H642,ENT_ID,0)),"?")))</f>
        <v/>
      </c>
      <c r="AA642" s="35" t="str">
        <f aca="false">IF($I642="","",IF($I642="EXTERNO","(Externo)",IFERROR(INDEX(ENT_NOME,MATCH($J642,ENT_ID,0)),"?")))</f>
        <v/>
      </c>
      <c r="AB642" s="36" t="n">
        <f aca="false">IF($B642="",0,IF(AND($I642="CONTA",$G642&lt;&gt;"CONTA"),$F642,0))</f>
        <v>0</v>
      </c>
      <c r="AC642" s="36" t="n">
        <f aca="false">IF($B642="",0,IF(AND($G642="CONTA",$I642&lt;&gt;"CONTA"),$F642,0))</f>
        <v>0</v>
      </c>
      <c r="AD642" s="36" t="n">
        <f aca="false">IF($W642="RECEITA",$F642,0)</f>
        <v>0</v>
      </c>
      <c r="AE642" s="36" t="n">
        <f aca="false">IF($W642="DESPESA",$F642,0)</f>
        <v>0</v>
      </c>
      <c r="AF642" s="36" t="n">
        <f aca="false">IF($W642="RECEITA_FINANCEIRA",$F642,0)</f>
        <v>0</v>
      </c>
      <c r="AG642" s="36" t="n">
        <f aca="false">IF($B642="",0,IF($I642="CONTA",$F642,0)-IF($G642="CONTA",$F642,0))</f>
        <v>0</v>
      </c>
      <c r="AH642" s="36" t="n">
        <f aca="false">IF($B642="",0,IF($G642="CARTAO",$F642,0)-IF($I642="CARTAO",$F642,0))</f>
        <v>0</v>
      </c>
      <c r="AI642" s="36" t="n">
        <f aca="false">IF($B642="",0,IF($I642="INVESTIMENTO",$F642,0)-IF($G642="INVESTIMENTO",$F642,0))</f>
        <v>0</v>
      </c>
      <c r="AJ642" s="35" t="str">
        <f aca="false">IF($B642="","",IF(NOT(ISNUMBER($F642)),"ERRO: valor nao numerico",IF($F642&lt;=0,"ERRO: valor deve ser maior que zero",IF(COUNTIF(MAP_TIPO,$D642)=0,"ERRO: tipo de operacao nao cadastrado",IF(COUNTIF(LST_STATUS,$E642)=0,"ERRO: status invalido",IF(AND($G642="EXTERNO",$I642="EXTERNO"),"ERRO: origem e destino externos",IF(AND($G642&lt;&gt;"EXTERNO",COUNTIFS(ENT_ID,$H642,ENT_TIPO,$G642)=0),"ERRO: origem inexistente",IF(AND($I642&lt;&gt;"EXTERNO",COUNTIFS(ENT_ID,$J642,ENT_TIPO,$I642)=0),"ERRO: destino inexistente",IF(AND($K642&lt;&gt;"",COUNTIF(CAT_ID,$K642)=0),"ERRO: categoria inexistente",IF(AND($L642&lt;&gt;"",COUNTIF(SUB_ID,$L642)=0),"ERRO: subcategoria inexistente",IF(AND($L642&lt;&gt;"",$K642&lt;&gt;"",IFERROR(INDEX(SUB_CATID,MATCH($L642,SUB_ID,0)),"")&lt;&gt;$K642),"ERRO: subcategoria nao pertence a categoria",IF(AND($O642&lt;&gt;"",COUNTIF(P_ID,$O642)=0),"ERRO: parcela inexistente",IF(AND($N642&lt;&gt;"",COUNTIF(CM_ID,$N642)=0),"ERRO: compromisso inexistente","OK")))))))))))))</f>
        <v/>
      </c>
      <c r="AK642" s="35" t="str">
        <f aca="false">IF($B642="","",IF(AND($N642="",$O642="",$P642="",$Q642="",$R642=""),"","VINCULADO: "&amp;TRIM(IF($N642&lt;&gt;"",$N642&amp;" ","")&amp;IF($O642&lt;&gt;"",$O642&amp;" ","")&amp;IF($P642&lt;&gt;"",$P642&amp;" ","")&amp;IF($Q642&lt;&gt;"",$Q642&amp;" ","")&amp;IF($R642&lt;&gt;"",$R642,""))))</f>
        <v/>
      </c>
    </row>
    <row r="643" customFormat="false" ht="15" hidden="false" customHeight="false" outlineLevel="0" collapsed="false">
      <c r="A643" s="30" t="str">
        <f aca="false">IF($B643="","","LAN-"&amp;TEXT(ROW()-4,"000000"))</f>
        <v/>
      </c>
      <c r="B643" s="31"/>
      <c r="C643" s="32"/>
      <c r="D643" s="32"/>
      <c r="E643" s="32"/>
      <c r="F643" s="33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4" t="str">
        <f aca="false">IF($B643="","",YEAR($B643))</f>
        <v/>
      </c>
      <c r="U643" s="34" t="str">
        <f aca="false">IF($B643="","",MONTH($B643))</f>
        <v/>
      </c>
      <c r="V643" s="34" t="str">
        <f aca="false">IF($B643="","",YEAR($B643)*100+MONTH($B643))</f>
        <v/>
      </c>
      <c r="W643" s="35" t="str">
        <f aca="false">IF($D643="","",IFERROR(INDEX(MAP_CLASS,MATCH($D643,MAP_TIPO,0)),"TIPO INVALIDO"))</f>
        <v/>
      </c>
      <c r="X643" s="35" t="str">
        <f aca="false">IF($K643="","",IFERROR(INDEX(CAT_NOME,MATCH($K643,CAT_ID,0)),"?"))</f>
        <v/>
      </c>
      <c r="Y643" s="35" t="str">
        <f aca="false">IF($L643="","",IFERROR(INDEX(SUB_NOME,MATCH($L643,SUB_ID,0)),"?"))</f>
        <v/>
      </c>
      <c r="Z643" s="35" t="str">
        <f aca="false">IF($G643="","",IF($G643="EXTERNO","(Externo)",IFERROR(INDEX(ENT_NOME,MATCH($H643,ENT_ID,0)),"?")))</f>
        <v/>
      </c>
      <c r="AA643" s="35" t="str">
        <f aca="false">IF($I643="","",IF($I643="EXTERNO","(Externo)",IFERROR(INDEX(ENT_NOME,MATCH($J643,ENT_ID,0)),"?")))</f>
        <v/>
      </c>
      <c r="AB643" s="36" t="n">
        <f aca="false">IF($B643="",0,IF(AND($I643="CONTA",$G643&lt;&gt;"CONTA"),$F643,0))</f>
        <v>0</v>
      </c>
      <c r="AC643" s="36" t="n">
        <f aca="false">IF($B643="",0,IF(AND($G643="CONTA",$I643&lt;&gt;"CONTA"),$F643,0))</f>
        <v>0</v>
      </c>
      <c r="AD643" s="36" t="n">
        <f aca="false">IF($W643="RECEITA",$F643,0)</f>
        <v>0</v>
      </c>
      <c r="AE643" s="36" t="n">
        <f aca="false">IF($W643="DESPESA",$F643,0)</f>
        <v>0</v>
      </c>
      <c r="AF643" s="36" t="n">
        <f aca="false">IF($W643="RECEITA_FINANCEIRA",$F643,0)</f>
        <v>0</v>
      </c>
      <c r="AG643" s="36" t="n">
        <f aca="false">IF($B643="",0,IF($I643="CONTA",$F643,0)-IF($G643="CONTA",$F643,0))</f>
        <v>0</v>
      </c>
      <c r="AH643" s="36" t="n">
        <f aca="false">IF($B643="",0,IF($G643="CARTAO",$F643,0)-IF($I643="CARTAO",$F643,0))</f>
        <v>0</v>
      </c>
      <c r="AI643" s="36" t="n">
        <f aca="false">IF($B643="",0,IF($I643="INVESTIMENTO",$F643,0)-IF($G643="INVESTIMENTO",$F643,0))</f>
        <v>0</v>
      </c>
      <c r="AJ643" s="35" t="str">
        <f aca="false">IF($B643="","",IF(NOT(ISNUMBER($F643)),"ERRO: valor nao numerico",IF($F643&lt;=0,"ERRO: valor deve ser maior que zero",IF(COUNTIF(MAP_TIPO,$D643)=0,"ERRO: tipo de operacao nao cadastrado",IF(COUNTIF(LST_STATUS,$E643)=0,"ERRO: status invalido",IF(AND($G643="EXTERNO",$I643="EXTERNO"),"ERRO: origem e destino externos",IF(AND($G643&lt;&gt;"EXTERNO",COUNTIFS(ENT_ID,$H643,ENT_TIPO,$G643)=0),"ERRO: origem inexistente",IF(AND($I643&lt;&gt;"EXTERNO",COUNTIFS(ENT_ID,$J643,ENT_TIPO,$I643)=0),"ERRO: destino inexistente",IF(AND($K643&lt;&gt;"",COUNTIF(CAT_ID,$K643)=0),"ERRO: categoria inexistente",IF(AND($L643&lt;&gt;"",COUNTIF(SUB_ID,$L643)=0),"ERRO: subcategoria inexistente",IF(AND($L643&lt;&gt;"",$K643&lt;&gt;"",IFERROR(INDEX(SUB_CATID,MATCH($L643,SUB_ID,0)),"")&lt;&gt;$K643),"ERRO: subcategoria nao pertence a categoria",IF(AND($O643&lt;&gt;"",COUNTIF(P_ID,$O643)=0),"ERRO: parcela inexistente",IF(AND($N643&lt;&gt;"",COUNTIF(CM_ID,$N643)=0),"ERRO: compromisso inexistente","OK")))))))))))))</f>
        <v/>
      </c>
      <c r="AK643" s="35" t="str">
        <f aca="false">IF($B643="","",IF(AND($N643="",$O643="",$P643="",$Q643="",$R643=""),"","VINCULADO: "&amp;TRIM(IF($N643&lt;&gt;"",$N643&amp;" ","")&amp;IF($O643&lt;&gt;"",$O643&amp;" ","")&amp;IF($P643&lt;&gt;"",$P643&amp;" ","")&amp;IF($Q643&lt;&gt;"",$Q643&amp;" ","")&amp;IF($R643&lt;&gt;"",$R643,""))))</f>
        <v/>
      </c>
    </row>
    <row r="644" customFormat="false" ht="15" hidden="false" customHeight="false" outlineLevel="0" collapsed="false">
      <c r="A644" s="30" t="str">
        <f aca="false">IF($B644="","","LAN-"&amp;TEXT(ROW()-4,"000000"))</f>
        <v/>
      </c>
      <c r="B644" s="31"/>
      <c r="C644" s="32"/>
      <c r="D644" s="32"/>
      <c r="E644" s="32"/>
      <c r="F644" s="33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4" t="str">
        <f aca="false">IF($B644="","",YEAR($B644))</f>
        <v/>
      </c>
      <c r="U644" s="34" t="str">
        <f aca="false">IF($B644="","",MONTH($B644))</f>
        <v/>
      </c>
      <c r="V644" s="34" t="str">
        <f aca="false">IF($B644="","",YEAR($B644)*100+MONTH($B644))</f>
        <v/>
      </c>
      <c r="W644" s="35" t="str">
        <f aca="false">IF($D644="","",IFERROR(INDEX(MAP_CLASS,MATCH($D644,MAP_TIPO,0)),"TIPO INVALIDO"))</f>
        <v/>
      </c>
      <c r="X644" s="35" t="str">
        <f aca="false">IF($K644="","",IFERROR(INDEX(CAT_NOME,MATCH($K644,CAT_ID,0)),"?"))</f>
        <v/>
      </c>
      <c r="Y644" s="35" t="str">
        <f aca="false">IF($L644="","",IFERROR(INDEX(SUB_NOME,MATCH($L644,SUB_ID,0)),"?"))</f>
        <v/>
      </c>
      <c r="Z644" s="35" t="str">
        <f aca="false">IF($G644="","",IF($G644="EXTERNO","(Externo)",IFERROR(INDEX(ENT_NOME,MATCH($H644,ENT_ID,0)),"?")))</f>
        <v/>
      </c>
      <c r="AA644" s="35" t="str">
        <f aca="false">IF($I644="","",IF($I644="EXTERNO","(Externo)",IFERROR(INDEX(ENT_NOME,MATCH($J644,ENT_ID,0)),"?")))</f>
        <v/>
      </c>
      <c r="AB644" s="36" t="n">
        <f aca="false">IF($B644="",0,IF(AND($I644="CONTA",$G644&lt;&gt;"CONTA"),$F644,0))</f>
        <v>0</v>
      </c>
      <c r="AC644" s="36" t="n">
        <f aca="false">IF($B644="",0,IF(AND($G644="CONTA",$I644&lt;&gt;"CONTA"),$F644,0))</f>
        <v>0</v>
      </c>
      <c r="AD644" s="36" t="n">
        <f aca="false">IF($W644="RECEITA",$F644,0)</f>
        <v>0</v>
      </c>
      <c r="AE644" s="36" t="n">
        <f aca="false">IF($W644="DESPESA",$F644,0)</f>
        <v>0</v>
      </c>
      <c r="AF644" s="36" t="n">
        <f aca="false">IF($W644="RECEITA_FINANCEIRA",$F644,0)</f>
        <v>0</v>
      </c>
      <c r="AG644" s="36" t="n">
        <f aca="false">IF($B644="",0,IF($I644="CONTA",$F644,0)-IF($G644="CONTA",$F644,0))</f>
        <v>0</v>
      </c>
      <c r="AH644" s="36" t="n">
        <f aca="false">IF($B644="",0,IF($G644="CARTAO",$F644,0)-IF($I644="CARTAO",$F644,0))</f>
        <v>0</v>
      </c>
      <c r="AI644" s="36" t="n">
        <f aca="false">IF($B644="",0,IF($I644="INVESTIMENTO",$F644,0)-IF($G644="INVESTIMENTO",$F644,0))</f>
        <v>0</v>
      </c>
      <c r="AJ644" s="35" t="str">
        <f aca="false">IF($B644="","",IF(NOT(ISNUMBER($F644)),"ERRO: valor nao numerico",IF($F644&lt;=0,"ERRO: valor deve ser maior que zero",IF(COUNTIF(MAP_TIPO,$D644)=0,"ERRO: tipo de operacao nao cadastrado",IF(COUNTIF(LST_STATUS,$E644)=0,"ERRO: status invalido",IF(AND($G644="EXTERNO",$I644="EXTERNO"),"ERRO: origem e destino externos",IF(AND($G644&lt;&gt;"EXTERNO",COUNTIFS(ENT_ID,$H644,ENT_TIPO,$G644)=0),"ERRO: origem inexistente",IF(AND($I644&lt;&gt;"EXTERNO",COUNTIFS(ENT_ID,$J644,ENT_TIPO,$I644)=0),"ERRO: destino inexistente",IF(AND($K644&lt;&gt;"",COUNTIF(CAT_ID,$K644)=0),"ERRO: categoria inexistente",IF(AND($L644&lt;&gt;"",COUNTIF(SUB_ID,$L644)=0),"ERRO: subcategoria inexistente",IF(AND($L644&lt;&gt;"",$K644&lt;&gt;"",IFERROR(INDEX(SUB_CATID,MATCH($L644,SUB_ID,0)),"")&lt;&gt;$K644),"ERRO: subcategoria nao pertence a categoria",IF(AND($O644&lt;&gt;"",COUNTIF(P_ID,$O644)=0),"ERRO: parcela inexistente",IF(AND($N644&lt;&gt;"",COUNTIF(CM_ID,$N644)=0),"ERRO: compromisso inexistente","OK")))))))))))))</f>
        <v/>
      </c>
      <c r="AK644" s="35" t="str">
        <f aca="false">IF($B644="","",IF(AND($N644="",$O644="",$P644="",$Q644="",$R644=""),"","VINCULADO: "&amp;TRIM(IF($N644&lt;&gt;"",$N644&amp;" ","")&amp;IF($O644&lt;&gt;"",$O644&amp;" ","")&amp;IF($P644&lt;&gt;"",$P644&amp;" ","")&amp;IF($Q644&lt;&gt;"",$Q644&amp;" ","")&amp;IF($R644&lt;&gt;"",$R644,""))))</f>
        <v/>
      </c>
    </row>
    <row r="645" customFormat="false" ht="15" hidden="false" customHeight="false" outlineLevel="0" collapsed="false">
      <c r="A645" s="30" t="str">
        <f aca="false">IF($B645="","","LAN-"&amp;TEXT(ROW()-4,"000000"))</f>
        <v/>
      </c>
      <c r="B645" s="31"/>
      <c r="C645" s="32"/>
      <c r="D645" s="32"/>
      <c r="E645" s="32"/>
      <c r="F645" s="33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4" t="str">
        <f aca="false">IF($B645="","",YEAR($B645))</f>
        <v/>
      </c>
      <c r="U645" s="34" t="str">
        <f aca="false">IF($B645="","",MONTH($B645))</f>
        <v/>
      </c>
      <c r="V645" s="34" t="str">
        <f aca="false">IF($B645="","",YEAR($B645)*100+MONTH($B645))</f>
        <v/>
      </c>
      <c r="W645" s="35" t="str">
        <f aca="false">IF($D645="","",IFERROR(INDEX(MAP_CLASS,MATCH($D645,MAP_TIPO,0)),"TIPO INVALIDO"))</f>
        <v/>
      </c>
      <c r="X645" s="35" t="str">
        <f aca="false">IF($K645="","",IFERROR(INDEX(CAT_NOME,MATCH($K645,CAT_ID,0)),"?"))</f>
        <v/>
      </c>
      <c r="Y645" s="35" t="str">
        <f aca="false">IF($L645="","",IFERROR(INDEX(SUB_NOME,MATCH($L645,SUB_ID,0)),"?"))</f>
        <v/>
      </c>
      <c r="Z645" s="35" t="str">
        <f aca="false">IF($G645="","",IF($G645="EXTERNO","(Externo)",IFERROR(INDEX(ENT_NOME,MATCH($H645,ENT_ID,0)),"?")))</f>
        <v/>
      </c>
      <c r="AA645" s="35" t="str">
        <f aca="false">IF($I645="","",IF($I645="EXTERNO","(Externo)",IFERROR(INDEX(ENT_NOME,MATCH($J645,ENT_ID,0)),"?")))</f>
        <v/>
      </c>
      <c r="AB645" s="36" t="n">
        <f aca="false">IF($B645="",0,IF(AND($I645="CONTA",$G645&lt;&gt;"CONTA"),$F645,0))</f>
        <v>0</v>
      </c>
      <c r="AC645" s="36" t="n">
        <f aca="false">IF($B645="",0,IF(AND($G645="CONTA",$I645&lt;&gt;"CONTA"),$F645,0))</f>
        <v>0</v>
      </c>
      <c r="AD645" s="36" t="n">
        <f aca="false">IF($W645="RECEITA",$F645,0)</f>
        <v>0</v>
      </c>
      <c r="AE645" s="36" t="n">
        <f aca="false">IF($W645="DESPESA",$F645,0)</f>
        <v>0</v>
      </c>
      <c r="AF645" s="36" t="n">
        <f aca="false">IF($W645="RECEITA_FINANCEIRA",$F645,0)</f>
        <v>0</v>
      </c>
      <c r="AG645" s="36" t="n">
        <f aca="false">IF($B645="",0,IF($I645="CONTA",$F645,0)-IF($G645="CONTA",$F645,0))</f>
        <v>0</v>
      </c>
      <c r="AH645" s="36" t="n">
        <f aca="false">IF($B645="",0,IF($G645="CARTAO",$F645,0)-IF($I645="CARTAO",$F645,0))</f>
        <v>0</v>
      </c>
      <c r="AI645" s="36" t="n">
        <f aca="false">IF($B645="",0,IF($I645="INVESTIMENTO",$F645,0)-IF($G645="INVESTIMENTO",$F645,0))</f>
        <v>0</v>
      </c>
      <c r="AJ645" s="35" t="str">
        <f aca="false">IF($B645="","",IF(NOT(ISNUMBER($F645)),"ERRO: valor nao numerico",IF($F645&lt;=0,"ERRO: valor deve ser maior que zero",IF(COUNTIF(MAP_TIPO,$D645)=0,"ERRO: tipo de operacao nao cadastrado",IF(COUNTIF(LST_STATUS,$E645)=0,"ERRO: status invalido",IF(AND($G645="EXTERNO",$I645="EXTERNO"),"ERRO: origem e destino externos",IF(AND($G645&lt;&gt;"EXTERNO",COUNTIFS(ENT_ID,$H645,ENT_TIPO,$G645)=0),"ERRO: origem inexistente",IF(AND($I645&lt;&gt;"EXTERNO",COUNTIFS(ENT_ID,$J645,ENT_TIPO,$I645)=0),"ERRO: destino inexistente",IF(AND($K645&lt;&gt;"",COUNTIF(CAT_ID,$K645)=0),"ERRO: categoria inexistente",IF(AND($L645&lt;&gt;"",COUNTIF(SUB_ID,$L645)=0),"ERRO: subcategoria inexistente",IF(AND($L645&lt;&gt;"",$K645&lt;&gt;"",IFERROR(INDEX(SUB_CATID,MATCH($L645,SUB_ID,0)),"")&lt;&gt;$K645),"ERRO: subcategoria nao pertence a categoria",IF(AND($O645&lt;&gt;"",COUNTIF(P_ID,$O645)=0),"ERRO: parcela inexistente",IF(AND($N645&lt;&gt;"",COUNTIF(CM_ID,$N645)=0),"ERRO: compromisso inexistente","OK")))))))))))))</f>
        <v/>
      </c>
      <c r="AK645" s="35" t="str">
        <f aca="false">IF($B645="","",IF(AND($N645="",$O645="",$P645="",$Q645="",$R645=""),"","VINCULADO: "&amp;TRIM(IF($N645&lt;&gt;"",$N645&amp;" ","")&amp;IF($O645&lt;&gt;"",$O645&amp;" ","")&amp;IF($P645&lt;&gt;"",$P645&amp;" ","")&amp;IF($Q645&lt;&gt;"",$Q645&amp;" ","")&amp;IF($R645&lt;&gt;"",$R645,""))))</f>
        <v/>
      </c>
    </row>
    <row r="646" customFormat="false" ht="15" hidden="false" customHeight="false" outlineLevel="0" collapsed="false">
      <c r="A646" s="30" t="str">
        <f aca="false">IF($B646="","","LAN-"&amp;TEXT(ROW()-4,"000000"))</f>
        <v/>
      </c>
      <c r="B646" s="31"/>
      <c r="C646" s="32"/>
      <c r="D646" s="32"/>
      <c r="E646" s="32"/>
      <c r="F646" s="33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4" t="str">
        <f aca="false">IF($B646="","",YEAR($B646))</f>
        <v/>
      </c>
      <c r="U646" s="34" t="str">
        <f aca="false">IF($B646="","",MONTH($B646))</f>
        <v/>
      </c>
      <c r="V646" s="34" t="str">
        <f aca="false">IF($B646="","",YEAR($B646)*100+MONTH($B646))</f>
        <v/>
      </c>
      <c r="W646" s="35" t="str">
        <f aca="false">IF($D646="","",IFERROR(INDEX(MAP_CLASS,MATCH($D646,MAP_TIPO,0)),"TIPO INVALIDO"))</f>
        <v/>
      </c>
      <c r="X646" s="35" t="str">
        <f aca="false">IF($K646="","",IFERROR(INDEX(CAT_NOME,MATCH($K646,CAT_ID,0)),"?"))</f>
        <v/>
      </c>
      <c r="Y646" s="35" t="str">
        <f aca="false">IF($L646="","",IFERROR(INDEX(SUB_NOME,MATCH($L646,SUB_ID,0)),"?"))</f>
        <v/>
      </c>
      <c r="Z646" s="35" t="str">
        <f aca="false">IF($G646="","",IF($G646="EXTERNO","(Externo)",IFERROR(INDEX(ENT_NOME,MATCH($H646,ENT_ID,0)),"?")))</f>
        <v/>
      </c>
      <c r="AA646" s="35" t="str">
        <f aca="false">IF($I646="","",IF($I646="EXTERNO","(Externo)",IFERROR(INDEX(ENT_NOME,MATCH($J646,ENT_ID,0)),"?")))</f>
        <v/>
      </c>
      <c r="AB646" s="36" t="n">
        <f aca="false">IF($B646="",0,IF(AND($I646="CONTA",$G646&lt;&gt;"CONTA"),$F646,0))</f>
        <v>0</v>
      </c>
      <c r="AC646" s="36" t="n">
        <f aca="false">IF($B646="",0,IF(AND($G646="CONTA",$I646&lt;&gt;"CONTA"),$F646,0))</f>
        <v>0</v>
      </c>
      <c r="AD646" s="36" t="n">
        <f aca="false">IF($W646="RECEITA",$F646,0)</f>
        <v>0</v>
      </c>
      <c r="AE646" s="36" t="n">
        <f aca="false">IF($W646="DESPESA",$F646,0)</f>
        <v>0</v>
      </c>
      <c r="AF646" s="36" t="n">
        <f aca="false">IF($W646="RECEITA_FINANCEIRA",$F646,0)</f>
        <v>0</v>
      </c>
      <c r="AG646" s="36" t="n">
        <f aca="false">IF($B646="",0,IF($I646="CONTA",$F646,0)-IF($G646="CONTA",$F646,0))</f>
        <v>0</v>
      </c>
      <c r="AH646" s="36" t="n">
        <f aca="false">IF($B646="",0,IF($G646="CARTAO",$F646,0)-IF($I646="CARTAO",$F646,0))</f>
        <v>0</v>
      </c>
      <c r="AI646" s="36" t="n">
        <f aca="false">IF($B646="",0,IF($I646="INVESTIMENTO",$F646,0)-IF($G646="INVESTIMENTO",$F646,0))</f>
        <v>0</v>
      </c>
      <c r="AJ646" s="35" t="str">
        <f aca="false">IF($B646="","",IF(NOT(ISNUMBER($F646)),"ERRO: valor nao numerico",IF($F646&lt;=0,"ERRO: valor deve ser maior que zero",IF(COUNTIF(MAP_TIPO,$D646)=0,"ERRO: tipo de operacao nao cadastrado",IF(COUNTIF(LST_STATUS,$E646)=0,"ERRO: status invalido",IF(AND($G646="EXTERNO",$I646="EXTERNO"),"ERRO: origem e destino externos",IF(AND($G646&lt;&gt;"EXTERNO",COUNTIFS(ENT_ID,$H646,ENT_TIPO,$G646)=0),"ERRO: origem inexistente",IF(AND($I646&lt;&gt;"EXTERNO",COUNTIFS(ENT_ID,$J646,ENT_TIPO,$I646)=0),"ERRO: destino inexistente",IF(AND($K646&lt;&gt;"",COUNTIF(CAT_ID,$K646)=0),"ERRO: categoria inexistente",IF(AND($L646&lt;&gt;"",COUNTIF(SUB_ID,$L646)=0),"ERRO: subcategoria inexistente",IF(AND($L646&lt;&gt;"",$K646&lt;&gt;"",IFERROR(INDEX(SUB_CATID,MATCH($L646,SUB_ID,0)),"")&lt;&gt;$K646),"ERRO: subcategoria nao pertence a categoria",IF(AND($O646&lt;&gt;"",COUNTIF(P_ID,$O646)=0),"ERRO: parcela inexistente",IF(AND($N646&lt;&gt;"",COUNTIF(CM_ID,$N646)=0),"ERRO: compromisso inexistente","OK")))))))))))))</f>
        <v/>
      </c>
      <c r="AK646" s="35" t="str">
        <f aca="false">IF($B646="","",IF(AND($N646="",$O646="",$P646="",$Q646="",$R646=""),"","VINCULADO: "&amp;TRIM(IF($N646&lt;&gt;"",$N646&amp;" ","")&amp;IF($O646&lt;&gt;"",$O646&amp;" ","")&amp;IF($P646&lt;&gt;"",$P646&amp;" ","")&amp;IF($Q646&lt;&gt;"",$Q646&amp;" ","")&amp;IF($R646&lt;&gt;"",$R646,""))))</f>
        <v/>
      </c>
    </row>
    <row r="647" customFormat="false" ht="15" hidden="false" customHeight="false" outlineLevel="0" collapsed="false">
      <c r="A647" s="30" t="str">
        <f aca="false">IF($B647="","","LAN-"&amp;TEXT(ROW()-4,"000000"))</f>
        <v/>
      </c>
      <c r="B647" s="31"/>
      <c r="C647" s="32"/>
      <c r="D647" s="32"/>
      <c r="E647" s="32"/>
      <c r="F647" s="33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4" t="str">
        <f aca="false">IF($B647="","",YEAR($B647))</f>
        <v/>
      </c>
      <c r="U647" s="34" t="str">
        <f aca="false">IF($B647="","",MONTH($B647))</f>
        <v/>
      </c>
      <c r="V647" s="34" t="str">
        <f aca="false">IF($B647="","",YEAR($B647)*100+MONTH($B647))</f>
        <v/>
      </c>
      <c r="W647" s="35" t="str">
        <f aca="false">IF($D647="","",IFERROR(INDEX(MAP_CLASS,MATCH($D647,MAP_TIPO,0)),"TIPO INVALIDO"))</f>
        <v/>
      </c>
      <c r="X647" s="35" t="str">
        <f aca="false">IF($K647="","",IFERROR(INDEX(CAT_NOME,MATCH($K647,CAT_ID,0)),"?"))</f>
        <v/>
      </c>
      <c r="Y647" s="35" t="str">
        <f aca="false">IF($L647="","",IFERROR(INDEX(SUB_NOME,MATCH($L647,SUB_ID,0)),"?"))</f>
        <v/>
      </c>
      <c r="Z647" s="35" t="str">
        <f aca="false">IF($G647="","",IF($G647="EXTERNO","(Externo)",IFERROR(INDEX(ENT_NOME,MATCH($H647,ENT_ID,0)),"?")))</f>
        <v/>
      </c>
      <c r="AA647" s="35" t="str">
        <f aca="false">IF($I647="","",IF($I647="EXTERNO","(Externo)",IFERROR(INDEX(ENT_NOME,MATCH($J647,ENT_ID,0)),"?")))</f>
        <v/>
      </c>
      <c r="AB647" s="36" t="n">
        <f aca="false">IF($B647="",0,IF(AND($I647="CONTA",$G647&lt;&gt;"CONTA"),$F647,0))</f>
        <v>0</v>
      </c>
      <c r="AC647" s="36" t="n">
        <f aca="false">IF($B647="",0,IF(AND($G647="CONTA",$I647&lt;&gt;"CONTA"),$F647,0))</f>
        <v>0</v>
      </c>
      <c r="AD647" s="36" t="n">
        <f aca="false">IF($W647="RECEITA",$F647,0)</f>
        <v>0</v>
      </c>
      <c r="AE647" s="36" t="n">
        <f aca="false">IF($W647="DESPESA",$F647,0)</f>
        <v>0</v>
      </c>
      <c r="AF647" s="36" t="n">
        <f aca="false">IF($W647="RECEITA_FINANCEIRA",$F647,0)</f>
        <v>0</v>
      </c>
      <c r="AG647" s="36" t="n">
        <f aca="false">IF($B647="",0,IF($I647="CONTA",$F647,0)-IF($G647="CONTA",$F647,0))</f>
        <v>0</v>
      </c>
      <c r="AH647" s="36" t="n">
        <f aca="false">IF($B647="",0,IF($G647="CARTAO",$F647,0)-IF($I647="CARTAO",$F647,0))</f>
        <v>0</v>
      </c>
      <c r="AI647" s="36" t="n">
        <f aca="false">IF($B647="",0,IF($I647="INVESTIMENTO",$F647,0)-IF($G647="INVESTIMENTO",$F647,0))</f>
        <v>0</v>
      </c>
      <c r="AJ647" s="35" t="str">
        <f aca="false">IF($B647="","",IF(NOT(ISNUMBER($F647)),"ERRO: valor nao numerico",IF($F647&lt;=0,"ERRO: valor deve ser maior que zero",IF(COUNTIF(MAP_TIPO,$D647)=0,"ERRO: tipo de operacao nao cadastrado",IF(COUNTIF(LST_STATUS,$E647)=0,"ERRO: status invalido",IF(AND($G647="EXTERNO",$I647="EXTERNO"),"ERRO: origem e destino externos",IF(AND($G647&lt;&gt;"EXTERNO",COUNTIFS(ENT_ID,$H647,ENT_TIPO,$G647)=0),"ERRO: origem inexistente",IF(AND($I647&lt;&gt;"EXTERNO",COUNTIFS(ENT_ID,$J647,ENT_TIPO,$I647)=0),"ERRO: destino inexistente",IF(AND($K647&lt;&gt;"",COUNTIF(CAT_ID,$K647)=0),"ERRO: categoria inexistente",IF(AND($L647&lt;&gt;"",COUNTIF(SUB_ID,$L647)=0),"ERRO: subcategoria inexistente",IF(AND($L647&lt;&gt;"",$K647&lt;&gt;"",IFERROR(INDEX(SUB_CATID,MATCH($L647,SUB_ID,0)),"")&lt;&gt;$K647),"ERRO: subcategoria nao pertence a categoria",IF(AND($O647&lt;&gt;"",COUNTIF(P_ID,$O647)=0),"ERRO: parcela inexistente",IF(AND($N647&lt;&gt;"",COUNTIF(CM_ID,$N647)=0),"ERRO: compromisso inexistente","OK")))))))))))))</f>
        <v/>
      </c>
      <c r="AK647" s="35" t="str">
        <f aca="false">IF($B647="","",IF(AND($N647="",$O647="",$P647="",$Q647="",$R647=""),"","VINCULADO: "&amp;TRIM(IF($N647&lt;&gt;"",$N647&amp;" ","")&amp;IF($O647&lt;&gt;"",$O647&amp;" ","")&amp;IF($P647&lt;&gt;"",$P647&amp;" ","")&amp;IF($Q647&lt;&gt;"",$Q647&amp;" ","")&amp;IF($R647&lt;&gt;"",$R647,""))))</f>
        <v/>
      </c>
    </row>
    <row r="648" customFormat="false" ht="15" hidden="false" customHeight="false" outlineLevel="0" collapsed="false">
      <c r="A648" s="30" t="str">
        <f aca="false">IF($B648="","","LAN-"&amp;TEXT(ROW()-4,"000000"))</f>
        <v/>
      </c>
      <c r="B648" s="31"/>
      <c r="C648" s="32"/>
      <c r="D648" s="32"/>
      <c r="E648" s="32"/>
      <c r="F648" s="33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4" t="str">
        <f aca="false">IF($B648="","",YEAR($B648))</f>
        <v/>
      </c>
      <c r="U648" s="34" t="str">
        <f aca="false">IF($B648="","",MONTH($B648))</f>
        <v/>
      </c>
      <c r="V648" s="34" t="str">
        <f aca="false">IF($B648="","",YEAR($B648)*100+MONTH($B648))</f>
        <v/>
      </c>
      <c r="W648" s="35" t="str">
        <f aca="false">IF($D648="","",IFERROR(INDEX(MAP_CLASS,MATCH($D648,MAP_TIPO,0)),"TIPO INVALIDO"))</f>
        <v/>
      </c>
      <c r="X648" s="35" t="str">
        <f aca="false">IF($K648="","",IFERROR(INDEX(CAT_NOME,MATCH($K648,CAT_ID,0)),"?"))</f>
        <v/>
      </c>
      <c r="Y648" s="35" t="str">
        <f aca="false">IF($L648="","",IFERROR(INDEX(SUB_NOME,MATCH($L648,SUB_ID,0)),"?"))</f>
        <v/>
      </c>
      <c r="Z648" s="35" t="str">
        <f aca="false">IF($G648="","",IF($G648="EXTERNO","(Externo)",IFERROR(INDEX(ENT_NOME,MATCH($H648,ENT_ID,0)),"?")))</f>
        <v/>
      </c>
      <c r="AA648" s="35" t="str">
        <f aca="false">IF($I648="","",IF($I648="EXTERNO","(Externo)",IFERROR(INDEX(ENT_NOME,MATCH($J648,ENT_ID,0)),"?")))</f>
        <v/>
      </c>
      <c r="AB648" s="36" t="n">
        <f aca="false">IF($B648="",0,IF(AND($I648="CONTA",$G648&lt;&gt;"CONTA"),$F648,0))</f>
        <v>0</v>
      </c>
      <c r="AC648" s="36" t="n">
        <f aca="false">IF($B648="",0,IF(AND($G648="CONTA",$I648&lt;&gt;"CONTA"),$F648,0))</f>
        <v>0</v>
      </c>
      <c r="AD648" s="36" t="n">
        <f aca="false">IF($W648="RECEITA",$F648,0)</f>
        <v>0</v>
      </c>
      <c r="AE648" s="36" t="n">
        <f aca="false">IF($W648="DESPESA",$F648,0)</f>
        <v>0</v>
      </c>
      <c r="AF648" s="36" t="n">
        <f aca="false">IF($W648="RECEITA_FINANCEIRA",$F648,0)</f>
        <v>0</v>
      </c>
      <c r="AG648" s="36" t="n">
        <f aca="false">IF($B648="",0,IF($I648="CONTA",$F648,0)-IF($G648="CONTA",$F648,0))</f>
        <v>0</v>
      </c>
      <c r="AH648" s="36" t="n">
        <f aca="false">IF($B648="",0,IF($G648="CARTAO",$F648,0)-IF($I648="CARTAO",$F648,0))</f>
        <v>0</v>
      </c>
      <c r="AI648" s="36" t="n">
        <f aca="false">IF($B648="",0,IF($I648="INVESTIMENTO",$F648,0)-IF($G648="INVESTIMENTO",$F648,0))</f>
        <v>0</v>
      </c>
      <c r="AJ648" s="35" t="str">
        <f aca="false">IF($B648="","",IF(NOT(ISNUMBER($F648)),"ERRO: valor nao numerico",IF($F648&lt;=0,"ERRO: valor deve ser maior que zero",IF(COUNTIF(MAP_TIPO,$D648)=0,"ERRO: tipo de operacao nao cadastrado",IF(COUNTIF(LST_STATUS,$E648)=0,"ERRO: status invalido",IF(AND($G648="EXTERNO",$I648="EXTERNO"),"ERRO: origem e destino externos",IF(AND($G648&lt;&gt;"EXTERNO",COUNTIFS(ENT_ID,$H648,ENT_TIPO,$G648)=0),"ERRO: origem inexistente",IF(AND($I648&lt;&gt;"EXTERNO",COUNTIFS(ENT_ID,$J648,ENT_TIPO,$I648)=0),"ERRO: destino inexistente",IF(AND($K648&lt;&gt;"",COUNTIF(CAT_ID,$K648)=0),"ERRO: categoria inexistente",IF(AND($L648&lt;&gt;"",COUNTIF(SUB_ID,$L648)=0),"ERRO: subcategoria inexistente",IF(AND($L648&lt;&gt;"",$K648&lt;&gt;"",IFERROR(INDEX(SUB_CATID,MATCH($L648,SUB_ID,0)),"")&lt;&gt;$K648),"ERRO: subcategoria nao pertence a categoria",IF(AND($O648&lt;&gt;"",COUNTIF(P_ID,$O648)=0),"ERRO: parcela inexistente",IF(AND($N648&lt;&gt;"",COUNTIF(CM_ID,$N648)=0),"ERRO: compromisso inexistente","OK")))))))))))))</f>
        <v/>
      </c>
      <c r="AK648" s="35" t="str">
        <f aca="false">IF($B648="","",IF(AND($N648="",$O648="",$P648="",$Q648="",$R648=""),"","VINCULADO: "&amp;TRIM(IF($N648&lt;&gt;"",$N648&amp;" ","")&amp;IF($O648&lt;&gt;"",$O648&amp;" ","")&amp;IF($P648&lt;&gt;"",$P648&amp;" ","")&amp;IF($Q648&lt;&gt;"",$Q648&amp;" ","")&amp;IF($R648&lt;&gt;"",$R648,""))))</f>
        <v/>
      </c>
    </row>
    <row r="649" customFormat="false" ht="15" hidden="false" customHeight="false" outlineLevel="0" collapsed="false">
      <c r="A649" s="30" t="str">
        <f aca="false">IF($B649="","","LAN-"&amp;TEXT(ROW()-4,"000000"))</f>
        <v/>
      </c>
      <c r="B649" s="31"/>
      <c r="C649" s="32"/>
      <c r="D649" s="32"/>
      <c r="E649" s="32"/>
      <c r="F649" s="33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4" t="str">
        <f aca="false">IF($B649="","",YEAR($B649))</f>
        <v/>
      </c>
      <c r="U649" s="34" t="str">
        <f aca="false">IF($B649="","",MONTH($B649))</f>
        <v/>
      </c>
      <c r="V649" s="34" t="str">
        <f aca="false">IF($B649="","",YEAR($B649)*100+MONTH($B649))</f>
        <v/>
      </c>
      <c r="W649" s="35" t="str">
        <f aca="false">IF($D649="","",IFERROR(INDEX(MAP_CLASS,MATCH($D649,MAP_TIPO,0)),"TIPO INVALIDO"))</f>
        <v/>
      </c>
      <c r="X649" s="35" t="str">
        <f aca="false">IF($K649="","",IFERROR(INDEX(CAT_NOME,MATCH($K649,CAT_ID,0)),"?"))</f>
        <v/>
      </c>
      <c r="Y649" s="35" t="str">
        <f aca="false">IF($L649="","",IFERROR(INDEX(SUB_NOME,MATCH($L649,SUB_ID,0)),"?"))</f>
        <v/>
      </c>
      <c r="Z649" s="35" t="str">
        <f aca="false">IF($G649="","",IF($G649="EXTERNO","(Externo)",IFERROR(INDEX(ENT_NOME,MATCH($H649,ENT_ID,0)),"?")))</f>
        <v/>
      </c>
      <c r="AA649" s="35" t="str">
        <f aca="false">IF($I649="","",IF($I649="EXTERNO","(Externo)",IFERROR(INDEX(ENT_NOME,MATCH($J649,ENT_ID,0)),"?")))</f>
        <v/>
      </c>
      <c r="AB649" s="36" t="n">
        <f aca="false">IF($B649="",0,IF(AND($I649="CONTA",$G649&lt;&gt;"CONTA"),$F649,0))</f>
        <v>0</v>
      </c>
      <c r="AC649" s="36" t="n">
        <f aca="false">IF($B649="",0,IF(AND($G649="CONTA",$I649&lt;&gt;"CONTA"),$F649,0))</f>
        <v>0</v>
      </c>
      <c r="AD649" s="36" t="n">
        <f aca="false">IF($W649="RECEITA",$F649,0)</f>
        <v>0</v>
      </c>
      <c r="AE649" s="36" t="n">
        <f aca="false">IF($W649="DESPESA",$F649,0)</f>
        <v>0</v>
      </c>
      <c r="AF649" s="36" t="n">
        <f aca="false">IF($W649="RECEITA_FINANCEIRA",$F649,0)</f>
        <v>0</v>
      </c>
      <c r="AG649" s="36" t="n">
        <f aca="false">IF($B649="",0,IF($I649="CONTA",$F649,0)-IF($G649="CONTA",$F649,0))</f>
        <v>0</v>
      </c>
      <c r="AH649" s="36" t="n">
        <f aca="false">IF($B649="",0,IF($G649="CARTAO",$F649,0)-IF($I649="CARTAO",$F649,0))</f>
        <v>0</v>
      </c>
      <c r="AI649" s="36" t="n">
        <f aca="false">IF($B649="",0,IF($I649="INVESTIMENTO",$F649,0)-IF($G649="INVESTIMENTO",$F649,0))</f>
        <v>0</v>
      </c>
      <c r="AJ649" s="35" t="str">
        <f aca="false">IF($B649="","",IF(NOT(ISNUMBER($F649)),"ERRO: valor nao numerico",IF($F649&lt;=0,"ERRO: valor deve ser maior que zero",IF(COUNTIF(MAP_TIPO,$D649)=0,"ERRO: tipo de operacao nao cadastrado",IF(COUNTIF(LST_STATUS,$E649)=0,"ERRO: status invalido",IF(AND($G649="EXTERNO",$I649="EXTERNO"),"ERRO: origem e destino externos",IF(AND($G649&lt;&gt;"EXTERNO",COUNTIFS(ENT_ID,$H649,ENT_TIPO,$G649)=0),"ERRO: origem inexistente",IF(AND($I649&lt;&gt;"EXTERNO",COUNTIFS(ENT_ID,$J649,ENT_TIPO,$I649)=0),"ERRO: destino inexistente",IF(AND($K649&lt;&gt;"",COUNTIF(CAT_ID,$K649)=0),"ERRO: categoria inexistente",IF(AND($L649&lt;&gt;"",COUNTIF(SUB_ID,$L649)=0),"ERRO: subcategoria inexistente",IF(AND($L649&lt;&gt;"",$K649&lt;&gt;"",IFERROR(INDEX(SUB_CATID,MATCH($L649,SUB_ID,0)),"")&lt;&gt;$K649),"ERRO: subcategoria nao pertence a categoria",IF(AND($O649&lt;&gt;"",COUNTIF(P_ID,$O649)=0),"ERRO: parcela inexistente",IF(AND($N649&lt;&gt;"",COUNTIF(CM_ID,$N649)=0),"ERRO: compromisso inexistente","OK")))))))))))))</f>
        <v/>
      </c>
      <c r="AK649" s="35" t="str">
        <f aca="false">IF($B649="","",IF(AND($N649="",$O649="",$P649="",$Q649="",$R649=""),"","VINCULADO: "&amp;TRIM(IF($N649&lt;&gt;"",$N649&amp;" ","")&amp;IF($O649&lt;&gt;"",$O649&amp;" ","")&amp;IF($P649&lt;&gt;"",$P649&amp;" ","")&amp;IF($Q649&lt;&gt;"",$Q649&amp;" ","")&amp;IF($R649&lt;&gt;"",$R649,""))))</f>
        <v/>
      </c>
    </row>
    <row r="650" customFormat="false" ht="15" hidden="false" customHeight="false" outlineLevel="0" collapsed="false">
      <c r="A650" s="30" t="str">
        <f aca="false">IF($B650="","","LAN-"&amp;TEXT(ROW()-4,"000000"))</f>
        <v/>
      </c>
      <c r="B650" s="31"/>
      <c r="C650" s="32"/>
      <c r="D650" s="32"/>
      <c r="E650" s="32"/>
      <c r="F650" s="33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4" t="str">
        <f aca="false">IF($B650="","",YEAR($B650))</f>
        <v/>
      </c>
      <c r="U650" s="34" t="str">
        <f aca="false">IF($B650="","",MONTH($B650))</f>
        <v/>
      </c>
      <c r="V650" s="34" t="str">
        <f aca="false">IF($B650="","",YEAR($B650)*100+MONTH($B650))</f>
        <v/>
      </c>
      <c r="W650" s="35" t="str">
        <f aca="false">IF($D650="","",IFERROR(INDEX(MAP_CLASS,MATCH($D650,MAP_TIPO,0)),"TIPO INVALIDO"))</f>
        <v/>
      </c>
      <c r="X650" s="35" t="str">
        <f aca="false">IF($K650="","",IFERROR(INDEX(CAT_NOME,MATCH($K650,CAT_ID,0)),"?"))</f>
        <v/>
      </c>
      <c r="Y650" s="35" t="str">
        <f aca="false">IF($L650="","",IFERROR(INDEX(SUB_NOME,MATCH($L650,SUB_ID,0)),"?"))</f>
        <v/>
      </c>
      <c r="Z650" s="35" t="str">
        <f aca="false">IF($G650="","",IF($G650="EXTERNO","(Externo)",IFERROR(INDEX(ENT_NOME,MATCH($H650,ENT_ID,0)),"?")))</f>
        <v/>
      </c>
      <c r="AA650" s="35" t="str">
        <f aca="false">IF($I650="","",IF($I650="EXTERNO","(Externo)",IFERROR(INDEX(ENT_NOME,MATCH($J650,ENT_ID,0)),"?")))</f>
        <v/>
      </c>
      <c r="AB650" s="36" t="n">
        <f aca="false">IF($B650="",0,IF(AND($I650="CONTA",$G650&lt;&gt;"CONTA"),$F650,0))</f>
        <v>0</v>
      </c>
      <c r="AC650" s="36" t="n">
        <f aca="false">IF($B650="",0,IF(AND($G650="CONTA",$I650&lt;&gt;"CONTA"),$F650,0))</f>
        <v>0</v>
      </c>
      <c r="AD650" s="36" t="n">
        <f aca="false">IF($W650="RECEITA",$F650,0)</f>
        <v>0</v>
      </c>
      <c r="AE650" s="36" t="n">
        <f aca="false">IF($W650="DESPESA",$F650,0)</f>
        <v>0</v>
      </c>
      <c r="AF650" s="36" t="n">
        <f aca="false">IF($W650="RECEITA_FINANCEIRA",$F650,0)</f>
        <v>0</v>
      </c>
      <c r="AG650" s="36" t="n">
        <f aca="false">IF($B650="",0,IF($I650="CONTA",$F650,0)-IF($G650="CONTA",$F650,0))</f>
        <v>0</v>
      </c>
      <c r="AH650" s="36" t="n">
        <f aca="false">IF($B650="",0,IF($G650="CARTAO",$F650,0)-IF($I650="CARTAO",$F650,0))</f>
        <v>0</v>
      </c>
      <c r="AI650" s="36" t="n">
        <f aca="false">IF($B650="",0,IF($I650="INVESTIMENTO",$F650,0)-IF($G650="INVESTIMENTO",$F650,0))</f>
        <v>0</v>
      </c>
      <c r="AJ650" s="35" t="str">
        <f aca="false">IF($B650="","",IF(NOT(ISNUMBER($F650)),"ERRO: valor nao numerico",IF($F650&lt;=0,"ERRO: valor deve ser maior que zero",IF(COUNTIF(MAP_TIPO,$D650)=0,"ERRO: tipo de operacao nao cadastrado",IF(COUNTIF(LST_STATUS,$E650)=0,"ERRO: status invalido",IF(AND($G650="EXTERNO",$I650="EXTERNO"),"ERRO: origem e destino externos",IF(AND($G650&lt;&gt;"EXTERNO",COUNTIFS(ENT_ID,$H650,ENT_TIPO,$G650)=0),"ERRO: origem inexistente",IF(AND($I650&lt;&gt;"EXTERNO",COUNTIFS(ENT_ID,$J650,ENT_TIPO,$I650)=0),"ERRO: destino inexistente",IF(AND($K650&lt;&gt;"",COUNTIF(CAT_ID,$K650)=0),"ERRO: categoria inexistente",IF(AND($L650&lt;&gt;"",COUNTIF(SUB_ID,$L650)=0),"ERRO: subcategoria inexistente",IF(AND($L650&lt;&gt;"",$K650&lt;&gt;"",IFERROR(INDEX(SUB_CATID,MATCH($L650,SUB_ID,0)),"")&lt;&gt;$K650),"ERRO: subcategoria nao pertence a categoria",IF(AND($O650&lt;&gt;"",COUNTIF(P_ID,$O650)=0),"ERRO: parcela inexistente",IF(AND($N650&lt;&gt;"",COUNTIF(CM_ID,$N650)=0),"ERRO: compromisso inexistente","OK")))))))))))))</f>
        <v/>
      </c>
      <c r="AK650" s="35" t="str">
        <f aca="false">IF($B650="","",IF(AND($N650="",$O650="",$P650="",$Q650="",$R650=""),"","VINCULADO: "&amp;TRIM(IF($N650&lt;&gt;"",$N650&amp;" ","")&amp;IF($O650&lt;&gt;"",$O650&amp;" ","")&amp;IF($P650&lt;&gt;"",$P650&amp;" ","")&amp;IF($Q650&lt;&gt;"",$Q650&amp;" ","")&amp;IF($R650&lt;&gt;"",$R650,""))))</f>
        <v/>
      </c>
    </row>
    <row r="651" customFormat="false" ht="15" hidden="false" customHeight="false" outlineLevel="0" collapsed="false">
      <c r="A651" s="30" t="str">
        <f aca="false">IF($B651="","","LAN-"&amp;TEXT(ROW()-4,"000000"))</f>
        <v/>
      </c>
      <c r="B651" s="31"/>
      <c r="C651" s="32"/>
      <c r="D651" s="32"/>
      <c r="E651" s="32"/>
      <c r="F651" s="33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4" t="str">
        <f aca="false">IF($B651="","",YEAR($B651))</f>
        <v/>
      </c>
      <c r="U651" s="34" t="str">
        <f aca="false">IF($B651="","",MONTH($B651))</f>
        <v/>
      </c>
      <c r="V651" s="34" t="str">
        <f aca="false">IF($B651="","",YEAR($B651)*100+MONTH($B651))</f>
        <v/>
      </c>
      <c r="W651" s="35" t="str">
        <f aca="false">IF($D651="","",IFERROR(INDEX(MAP_CLASS,MATCH($D651,MAP_TIPO,0)),"TIPO INVALIDO"))</f>
        <v/>
      </c>
      <c r="X651" s="35" t="str">
        <f aca="false">IF($K651="","",IFERROR(INDEX(CAT_NOME,MATCH($K651,CAT_ID,0)),"?"))</f>
        <v/>
      </c>
      <c r="Y651" s="35" t="str">
        <f aca="false">IF($L651="","",IFERROR(INDEX(SUB_NOME,MATCH($L651,SUB_ID,0)),"?"))</f>
        <v/>
      </c>
      <c r="Z651" s="35" t="str">
        <f aca="false">IF($G651="","",IF($G651="EXTERNO","(Externo)",IFERROR(INDEX(ENT_NOME,MATCH($H651,ENT_ID,0)),"?")))</f>
        <v/>
      </c>
      <c r="AA651" s="35" t="str">
        <f aca="false">IF($I651="","",IF($I651="EXTERNO","(Externo)",IFERROR(INDEX(ENT_NOME,MATCH($J651,ENT_ID,0)),"?")))</f>
        <v/>
      </c>
      <c r="AB651" s="36" t="n">
        <f aca="false">IF($B651="",0,IF(AND($I651="CONTA",$G651&lt;&gt;"CONTA"),$F651,0))</f>
        <v>0</v>
      </c>
      <c r="AC651" s="36" t="n">
        <f aca="false">IF($B651="",0,IF(AND($G651="CONTA",$I651&lt;&gt;"CONTA"),$F651,0))</f>
        <v>0</v>
      </c>
      <c r="AD651" s="36" t="n">
        <f aca="false">IF($W651="RECEITA",$F651,0)</f>
        <v>0</v>
      </c>
      <c r="AE651" s="36" t="n">
        <f aca="false">IF($W651="DESPESA",$F651,0)</f>
        <v>0</v>
      </c>
      <c r="AF651" s="36" t="n">
        <f aca="false">IF($W651="RECEITA_FINANCEIRA",$F651,0)</f>
        <v>0</v>
      </c>
      <c r="AG651" s="36" t="n">
        <f aca="false">IF($B651="",0,IF($I651="CONTA",$F651,0)-IF($G651="CONTA",$F651,0))</f>
        <v>0</v>
      </c>
      <c r="AH651" s="36" t="n">
        <f aca="false">IF($B651="",0,IF($G651="CARTAO",$F651,0)-IF($I651="CARTAO",$F651,0))</f>
        <v>0</v>
      </c>
      <c r="AI651" s="36" t="n">
        <f aca="false">IF($B651="",0,IF($I651="INVESTIMENTO",$F651,0)-IF($G651="INVESTIMENTO",$F651,0))</f>
        <v>0</v>
      </c>
      <c r="AJ651" s="35" t="str">
        <f aca="false">IF($B651="","",IF(NOT(ISNUMBER($F651)),"ERRO: valor nao numerico",IF($F651&lt;=0,"ERRO: valor deve ser maior que zero",IF(COUNTIF(MAP_TIPO,$D651)=0,"ERRO: tipo de operacao nao cadastrado",IF(COUNTIF(LST_STATUS,$E651)=0,"ERRO: status invalido",IF(AND($G651="EXTERNO",$I651="EXTERNO"),"ERRO: origem e destino externos",IF(AND($G651&lt;&gt;"EXTERNO",COUNTIFS(ENT_ID,$H651,ENT_TIPO,$G651)=0),"ERRO: origem inexistente",IF(AND($I651&lt;&gt;"EXTERNO",COUNTIFS(ENT_ID,$J651,ENT_TIPO,$I651)=0),"ERRO: destino inexistente",IF(AND($K651&lt;&gt;"",COUNTIF(CAT_ID,$K651)=0),"ERRO: categoria inexistente",IF(AND($L651&lt;&gt;"",COUNTIF(SUB_ID,$L651)=0),"ERRO: subcategoria inexistente",IF(AND($L651&lt;&gt;"",$K651&lt;&gt;"",IFERROR(INDEX(SUB_CATID,MATCH($L651,SUB_ID,0)),"")&lt;&gt;$K651),"ERRO: subcategoria nao pertence a categoria",IF(AND($O651&lt;&gt;"",COUNTIF(P_ID,$O651)=0),"ERRO: parcela inexistente",IF(AND($N651&lt;&gt;"",COUNTIF(CM_ID,$N651)=0),"ERRO: compromisso inexistente","OK")))))))))))))</f>
        <v/>
      </c>
      <c r="AK651" s="35" t="str">
        <f aca="false">IF($B651="","",IF(AND($N651="",$O651="",$P651="",$Q651="",$R651=""),"","VINCULADO: "&amp;TRIM(IF($N651&lt;&gt;"",$N651&amp;" ","")&amp;IF($O651&lt;&gt;"",$O651&amp;" ","")&amp;IF($P651&lt;&gt;"",$P651&amp;" ","")&amp;IF($Q651&lt;&gt;"",$Q651&amp;" ","")&amp;IF($R651&lt;&gt;"",$R651,""))))</f>
        <v/>
      </c>
    </row>
    <row r="652" customFormat="false" ht="15" hidden="false" customHeight="false" outlineLevel="0" collapsed="false">
      <c r="A652" s="30" t="str">
        <f aca="false">IF($B652="","","LAN-"&amp;TEXT(ROW()-4,"000000"))</f>
        <v/>
      </c>
      <c r="B652" s="31"/>
      <c r="C652" s="32"/>
      <c r="D652" s="32"/>
      <c r="E652" s="32"/>
      <c r="F652" s="33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4" t="str">
        <f aca="false">IF($B652="","",YEAR($B652))</f>
        <v/>
      </c>
      <c r="U652" s="34" t="str">
        <f aca="false">IF($B652="","",MONTH($B652))</f>
        <v/>
      </c>
      <c r="V652" s="34" t="str">
        <f aca="false">IF($B652="","",YEAR($B652)*100+MONTH($B652))</f>
        <v/>
      </c>
      <c r="W652" s="35" t="str">
        <f aca="false">IF($D652="","",IFERROR(INDEX(MAP_CLASS,MATCH($D652,MAP_TIPO,0)),"TIPO INVALIDO"))</f>
        <v/>
      </c>
      <c r="X652" s="35" t="str">
        <f aca="false">IF($K652="","",IFERROR(INDEX(CAT_NOME,MATCH($K652,CAT_ID,0)),"?"))</f>
        <v/>
      </c>
      <c r="Y652" s="35" t="str">
        <f aca="false">IF($L652="","",IFERROR(INDEX(SUB_NOME,MATCH($L652,SUB_ID,0)),"?"))</f>
        <v/>
      </c>
      <c r="Z652" s="35" t="str">
        <f aca="false">IF($G652="","",IF($G652="EXTERNO","(Externo)",IFERROR(INDEX(ENT_NOME,MATCH($H652,ENT_ID,0)),"?")))</f>
        <v/>
      </c>
      <c r="AA652" s="35" t="str">
        <f aca="false">IF($I652="","",IF($I652="EXTERNO","(Externo)",IFERROR(INDEX(ENT_NOME,MATCH($J652,ENT_ID,0)),"?")))</f>
        <v/>
      </c>
      <c r="AB652" s="36" t="n">
        <f aca="false">IF($B652="",0,IF(AND($I652="CONTA",$G652&lt;&gt;"CONTA"),$F652,0))</f>
        <v>0</v>
      </c>
      <c r="AC652" s="36" t="n">
        <f aca="false">IF($B652="",0,IF(AND($G652="CONTA",$I652&lt;&gt;"CONTA"),$F652,0))</f>
        <v>0</v>
      </c>
      <c r="AD652" s="36" t="n">
        <f aca="false">IF($W652="RECEITA",$F652,0)</f>
        <v>0</v>
      </c>
      <c r="AE652" s="36" t="n">
        <f aca="false">IF($W652="DESPESA",$F652,0)</f>
        <v>0</v>
      </c>
      <c r="AF652" s="36" t="n">
        <f aca="false">IF($W652="RECEITA_FINANCEIRA",$F652,0)</f>
        <v>0</v>
      </c>
      <c r="AG652" s="36" t="n">
        <f aca="false">IF($B652="",0,IF($I652="CONTA",$F652,0)-IF($G652="CONTA",$F652,0))</f>
        <v>0</v>
      </c>
      <c r="AH652" s="36" t="n">
        <f aca="false">IF($B652="",0,IF($G652="CARTAO",$F652,0)-IF($I652="CARTAO",$F652,0))</f>
        <v>0</v>
      </c>
      <c r="AI652" s="36" t="n">
        <f aca="false">IF($B652="",0,IF($I652="INVESTIMENTO",$F652,0)-IF($G652="INVESTIMENTO",$F652,0))</f>
        <v>0</v>
      </c>
      <c r="AJ652" s="35" t="str">
        <f aca="false">IF($B652="","",IF(NOT(ISNUMBER($F652)),"ERRO: valor nao numerico",IF($F652&lt;=0,"ERRO: valor deve ser maior que zero",IF(COUNTIF(MAP_TIPO,$D652)=0,"ERRO: tipo de operacao nao cadastrado",IF(COUNTIF(LST_STATUS,$E652)=0,"ERRO: status invalido",IF(AND($G652="EXTERNO",$I652="EXTERNO"),"ERRO: origem e destino externos",IF(AND($G652&lt;&gt;"EXTERNO",COUNTIFS(ENT_ID,$H652,ENT_TIPO,$G652)=0),"ERRO: origem inexistente",IF(AND($I652&lt;&gt;"EXTERNO",COUNTIFS(ENT_ID,$J652,ENT_TIPO,$I652)=0),"ERRO: destino inexistente",IF(AND($K652&lt;&gt;"",COUNTIF(CAT_ID,$K652)=0),"ERRO: categoria inexistente",IF(AND($L652&lt;&gt;"",COUNTIF(SUB_ID,$L652)=0),"ERRO: subcategoria inexistente",IF(AND($L652&lt;&gt;"",$K652&lt;&gt;"",IFERROR(INDEX(SUB_CATID,MATCH($L652,SUB_ID,0)),"")&lt;&gt;$K652),"ERRO: subcategoria nao pertence a categoria",IF(AND($O652&lt;&gt;"",COUNTIF(P_ID,$O652)=0),"ERRO: parcela inexistente",IF(AND($N652&lt;&gt;"",COUNTIF(CM_ID,$N652)=0),"ERRO: compromisso inexistente","OK")))))))))))))</f>
        <v/>
      </c>
      <c r="AK652" s="35" t="str">
        <f aca="false">IF($B652="","",IF(AND($N652="",$O652="",$P652="",$Q652="",$R652=""),"","VINCULADO: "&amp;TRIM(IF($N652&lt;&gt;"",$N652&amp;" ","")&amp;IF($O652&lt;&gt;"",$O652&amp;" ","")&amp;IF($P652&lt;&gt;"",$P652&amp;" ","")&amp;IF($Q652&lt;&gt;"",$Q652&amp;" ","")&amp;IF($R652&lt;&gt;"",$R652,""))))</f>
        <v/>
      </c>
    </row>
    <row r="653" customFormat="false" ht="15" hidden="false" customHeight="false" outlineLevel="0" collapsed="false">
      <c r="A653" s="30" t="str">
        <f aca="false">IF($B653="","","LAN-"&amp;TEXT(ROW()-4,"000000"))</f>
        <v/>
      </c>
      <c r="B653" s="31"/>
      <c r="C653" s="32"/>
      <c r="D653" s="32"/>
      <c r="E653" s="32"/>
      <c r="F653" s="33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4" t="str">
        <f aca="false">IF($B653="","",YEAR($B653))</f>
        <v/>
      </c>
      <c r="U653" s="34" t="str">
        <f aca="false">IF($B653="","",MONTH($B653))</f>
        <v/>
      </c>
      <c r="V653" s="34" t="str">
        <f aca="false">IF($B653="","",YEAR($B653)*100+MONTH($B653))</f>
        <v/>
      </c>
      <c r="W653" s="35" t="str">
        <f aca="false">IF($D653="","",IFERROR(INDEX(MAP_CLASS,MATCH($D653,MAP_TIPO,0)),"TIPO INVALIDO"))</f>
        <v/>
      </c>
      <c r="X653" s="35" t="str">
        <f aca="false">IF($K653="","",IFERROR(INDEX(CAT_NOME,MATCH($K653,CAT_ID,0)),"?"))</f>
        <v/>
      </c>
      <c r="Y653" s="35" t="str">
        <f aca="false">IF($L653="","",IFERROR(INDEX(SUB_NOME,MATCH($L653,SUB_ID,0)),"?"))</f>
        <v/>
      </c>
      <c r="Z653" s="35" t="str">
        <f aca="false">IF($G653="","",IF($G653="EXTERNO","(Externo)",IFERROR(INDEX(ENT_NOME,MATCH($H653,ENT_ID,0)),"?")))</f>
        <v/>
      </c>
      <c r="AA653" s="35" t="str">
        <f aca="false">IF($I653="","",IF($I653="EXTERNO","(Externo)",IFERROR(INDEX(ENT_NOME,MATCH($J653,ENT_ID,0)),"?")))</f>
        <v/>
      </c>
      <c r="AB653" s="36" t="n">
        <f aca="false">IF($B653="",0,IF(AND($I653="CONTA",$G653&lt;&gt;"CONTA"),$F653,0))</f>
        <v>0</v>
      </c>
      <c r="AC653" s="36" t="n">
        <f aca="false">IF($B653="",0,IF(AND($G653="CONTA",$I653&lt;&gt;"CONTA"),$F653,0))</f>
        <v>0</v>
      </c>
      <c r="AD653" s="36" t="n">
        <f aca="false">IF($W653="RECEITA",$F653,0)</f>
        <v>0</v>
      </c>
      <c r="AE653" s="36" t="n">
        <f aca="false">IF($W653="DESPESA",$F653,0)</f>
        <v>0</v>
      </c>
      <c r="AF653" s="36" t="n">
        <f aca="false">IF($W653="RECEITA_FINANCEIRA",$F653,0)</f>
        <v>0</v>
      </c>
      <c r="AG653" s="36" t="n">
        <f aca="false">IF($B653="",0,IF($I653="CONTA",$F653,0)-IF($G653="CONTA",$F653,0))</f>
        <v>0</v>
      </c>
      <c r="AH653" s="36" t="n">
        <f aca="false">IF($B653="",0,IF($G653="CARTAO",$F653,0)-IF($I653="CARTAO",$F653,0))</f>
        <v>0</v>
      </c>
      <c r="AI653" s="36" t="n">
        <f aca="false">IF($B653="",0,IF($I653="INVESTIMENTO",$F653,0)-IF($G653="INVESTIMENTO",$F653,0))</f>
        <v>0</v>
      </c>
      <c r="AJ653" s="35" t="str">
        <f aca="false">IF($B653="","",IF(NOT(ISNUMBER($F653)),"ERRO: valor nao numerico",IF($F653&lt;=0,"ERRO: valor deve ser maior que zero",IF(COUNTIF(MAP_TIPO,$D653)=0,"ERRO: tipo de operacao nao cadastrado",IF(COUNTIF(LST_STATUS,$E653)=0,"ERRO: status invalido",IF(AND($G653="EXTERNO",$I653="EXTERNO"),"ERRO: origem e destino externos",IF(AND($G653&lt;&gt;"EXTERNO",COUNTIFS(ENT_ID,$H653,ENT_TIPO,$G653)=0),"ERRO: origem inexistente",IF(AND($I653&lt;&gt;"EXTERNO",COUNTIFS(ENT_ID,$J653,ENT_TIPO,$I653)=0),"ERRO: destino inexistente",IF(AND($K653&lt;&gt;"",COUNTIF(CAT_ID,$K653)=0),"ERRO: categoria inexistente",IF(AND($L653&lt;&gt;"",COUNTIF(SUB_ID,$L653)=0),"ERRO: subcategoria inexistente",IF(AND($L653&lt;&gt;"",$K653&lt;&gt;"",IFERROR(INDEX(SUB_CATID,MATCH($L653,SUB_ID,0)),"")&lt;&gt;$K653),"ERRO: subcategoria nao pertence a categoria",IF(AND($O653&lt;&gt;"",COUNTIF(P_ID,$O653)=0),"ERRO: parcela inexistente",IF(AND($N653&lt;&gt;"",COUNTIF(CM_ID,$N653)=0),"ERRO: compromisso inexistente","OK")))))))))))))</f>
        <v/>
      </c>
      <c r="AK653" s="35" t="str">
        <f aca="false">IF($B653="","",IF(AND($N653="",$O653="",$P653="",$Q653="",$R653=""),"","VINCULADO: "&amp;TRIM(IF($N653&lt;&gt;"",$N653&amp;" ","")&amp;IF($O653&lt;&gt;"",$O653&amp;" ","")&amp;IF($P653&lt;&gt;"",$P653&amp;" ","")&amp;IF($Q653&lt;&gt;"",$Q653&amp;" ","")&amp;IF($R653&lt;&gt;"",$R653,""))))</f>
        <v/>
      </c>
    </row>
    <row r="654" customFormat="false" ht="15" hidden="false" customHeight="false" outlineLevel="0" collapsed="false">
      <c r="A654" s="30" t="str">
        <f aca="false">IF($B654="","","LAN-"&amp;TEXT(ROW()-4,"000000"))</f>
        <v/>
      </c>
      <c r="B654" s="31"/>
      <c r="C654" s="32"/>
      <c r="D654" s="32"/>
      <c r="E654" s="32"/>
      <c r="F654" s="33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4" t="str">
        <f aca="false">IF($B654="","",YEAR($B654))</f>
        <v/>
      </c>
      <c r="U654" s="34" t="str">
        <f aca="false">IF($B654="","",MONTH($B654))</f>
        <v/>
      </c>
      <c r="V654" s="34" t="str">
        <f aca="false">IF($B654="","",YEAR($B654)*100+MONTH($B654))</f>
        <v/>
      </c>
      <c r="W654" s="35" t="str">
        <f aca="false">IF($D654="","",IFERROR(INDEX(MAP_CLASS,MATCH($D654,MAP_TIPO,0)),"TIPO INVALIDO"))</f>
        <v/>
      </c>
      <c r="X654" s="35" t="str">
        <f aca="false">IF($K654="","",IFERROR(INDEX(CAT_NOME,MATCH($K654,CAT_ID,0)),"?"))</f>
        <v/>
      </c>
      <c r="Y654" s="35" t="str">
        <f aca="false">IF($L654="","",IFERROR(INDEX(SUB_NOME,MATCH($L654,SUB_ID,0)),"?"))</f>
        <v/>
      </c>
      <c r="Z654" s="35" t="str">
        <f aca="false">IF($G654="","",IF($G654="EXTERNO","(Externo)",IFERROR(INDEX(ENT_NOME,MATCH($H654,ENT_ID,0)),"?")))</f>
        <v/>
      </c>
      <c r="AA654" s="35" t="str">
        <f aca="false">IF($I654="","",IF($I654="EXTERNO","(Externo)",IFERROR(INDEX(ENT_NOME,MATCH($J654,ENT_ID,0)),"?")))</f>
        <v/>
      </c>
      <c r="AB654" s="36" t="n">
        <f aca="false">IF($B654="",0,IF(AND($I654="CONTA",$G654&lt;&gt;"CONTA"),$F654,0))</f>
        <v>0</v>
      </c>
      <c r="AC654" s="36" t="n">
        <f aca="false">IF($B654="",0,IF(AND($G654="CONTA",$I654&lt;&gt;"CONTA"),$F654,0))</f>
        <v>0</v>
      </c>
      <c r="AD654" s="36" t="n">
        <f aca="false">IF($W654="RECEITA",$F654,0)</f>
        <v>0</v>
      </c>
      <c r="AE654" s="36" t="n">
        <f aca="false">IF($W654="DESPESA",$F654,0)</f>
        <v>0</v>
      </c>
      <c r="AF654" s="36" t="n">
        <f aca="false">IF($W654="RECEITA_FINANCEIRA",$F654,0)</f>
        <v>0</v>
      </c>
      <c r="AG654" s="36" t="n">
        <f aca="false">IF($B654="",0,IF($I654="CONTA",$F654,0)-IF($G654="CONTA",$F654,0))</f>
        <v>0</v>
      </c>
      <c r="AH654" s="36" t="n">
        <f aca="false">IF($B654="",0,IF($G654="CARTAO",$F654,0)-IF($I654="CARTAO",$F654,0))</f>
        <v>0</v>
      </c>
      <c r="AI654" s="36" t="n">
        <f aca="false">IF($B654="",0,IF($I654="INVESTIMENTO",$F654,0)-IF($G654="INVESTIMENTO",$F654,0))</f>
        <v>0</v>
      </c>
      <c r="AJ654" s="35" t="str">
        <f aca="false">IF($B654="","",IF(NOT(ISNUMBER($F654)),"ERRO: valor nao numerico",IF($F654&lt;=0,"ERRO: valor deve ser maior que zero",IF(COUNTIF(MAP_TIPO,$D654)=0,"ERRO: tipo de operacao nao cadastrado",IF(COUNTIF(LST_STATUS,$E654)=0,"ERRO: status invalido",IF(AND($G654="EXTERNO",$I654="EXTERNO"),"ERRO: origem e destino externos",IF(AND($G654&lt;&gt;"EXTERNO",COUNTIFS(ENT_ID,$H654,ENT_TIPO,$G654)=0),"ERRO: origem inexistente",IF(AND($I654&lt;&gt;"EXTERNO",COUNTIFS(ENT_ID,$J654,ENT_TIPO,$I654)=0),"ERRO: destino inexistente",IF(AND($K654&lt;&gt;"",COUNTIF(CAT_ID,$K654)=0),"ERRO: categoria inexistente",IF(AND($L654&lt;&gt;"",COUNTIF(SUB_ID,$L654)=0),"ERRO: subcategoria inexistente",IF(AND($L654&lt;&gt;"",$K654&lt;&gt;"",IFERROR(INDEX(SUB_CATID,MATCH($L654,SUB_ID,0)),"")&lt;&gt;$K654),"ERRO: subcategoria nao pertence a categoria",IF(AND($O654&lt;&gt;"",COUNTIF(P_ID,$O654)=0),"ERRO: parcela inexistente",IF(AND($N654&lt;&gt;"",COUNTIF(CM_ID,$N654)=0),"ERRO: compromisso inexistente","OK")))))))))))))</f>
        <v/>
      </c>
      <c r="AK654" s="35" t="str">
        <f aca="false">IF($B654="","",IF(AND($N654="",$O654="",$P654="",$Q654="",$R654=""),"","VINCULADO: "&amp;TRIM(IF($N654&lt;&gt;"",$N654&amp;" ","")&amp;IF($O654&lt;&gt;"",$O654&amp;" ","")&amp;IF($P654&lt;&gt;"",$P654&amp;" ","")&amp;IF($Q654&lt;&gt;"",$Q654&amp;" ","")&amp;IF($R654&lt;&gt;"",$R654,""))))</f>
        <v/>
      </c>
    </row>
    <row r="655" customFormat="false" ht="15" hidden="false" customHeight="false" outlineLevel="0" collapsed="false">
      <c r="A655" s="30" t="str">
        <f aca="false">IF($B655="","","LAN-"&amp;TEXT(ROW()-4,"000000"))</f>
        <v/>
      </c>
      <c r="B655" s="31"/>
      <c r="C655" s="32"/>
      <c r="D655" s="32"/>
      <c r="E655" s="32"/>
      <c r="F655" s="33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4" t="str">
        <f aca="false">IF($B655="","",YEAR($B655))</f>
        <v/>
      </c>
      <c r="U655" s="34" t="str">
        <f aca="false">IF($B655="","",MONTH($B655))</f>
        <v/>
      </c>
      <c r="V655" s="34" t="str">
        <f aca="false">IF($B655="","",YEAR($B655)*100+MONTH($B655))</f>
        <v/>
      </c>
      <c r="W655" s="35" t="str">
        <f aca="false">IF($D655="","",IFERROR(INDEX(MAP_CLASS,MATCH($D655,MAP_TIPO,0)),"TIPO INVALIDO"))</f>
        <v/>
      </c>
      <c r="X655" s="35" t="str">
        <f aca="false">IF($K655="","",IFERROR(INDEX(CAT_NOME,MATCH($K655,CAT_ID,0)),"?"))</f>
        <v/>
      </c>
      <c r="Y655" s="35" t="str">
        <f aca="false">IF($L655="","",IFERROR(INDEX(SUB_NOME,MATCH($L655,SUB_ID,0)),"?"))</f>
        <v/>
      </c>
      <c r="Z655" s="35" t="str">
        <f aca="false">IF($G655="","",IF($G655="EXTERNO","(Externo)",IFERROR(INDEX(ENT_NOME,MATCH($H655,ENT_ID,0)),"?")))</f>
        <v/>
      </c>
      <c r="AA655" s="35" t="str">
        <f aca="false">IF($I655="","",IF($I655="EXTERNO","(Externo)",IFERROR(INDEX(ENT_NOME,MATCH($J655,ENT_ID,0)),"?")))</f>
        <v/>
      </c>
      <c r="AB655" s="36" t="n">
        <f aca="false">IF($B655="",0,IF(AND($I655="CONTA",$G655&lt;&gt;"CONTA"),$F655,0))</f>
        <v>0</v>
      </c>
      <c r="AC655" s="36" t="n">
        <f aca="false">IF($B655="",0,IF(AND($G655="CONTA",$I655&lt;&gt;"CONTA"),$F655,0))</f>
        <v>0</v>
      </c>
      <c r="AD655" s="36" t="n">
        <f aca="false">IF($W655="RECEITA",$F655,0)</f>
        <v>0</v>
      </c>
      <c r="AE655" s="36" t="n">
        <f aca="false">IF($W655="DESPESA",$F655,0)</f>
        <v>0</v>
      </c>
      <c r="AF655" s="36" t="n">
        <f aca="false">IF($W655="RECEITA_FINANCEIRA",$F655,0)</f>
        <v>0</v>
      </c>
      <c r="AG655" s="36" t="n">
        <f aca="false">IF($B655="",0,IF($I655="CONTA",$F655,0)-IF($G655="CONTA",$F655,0))</f>
        <v>0</v>
      </c>
      <c r="AH655" s="36" t="n">
        <f aca="false">IF($B655="",0,IF($G655="CARTAO",$F655,0)-IF($I655="CARTAO",$F655,0))</f>
        <v>0</v>
      </c>
      <c r="AI655" s="36" t="n">
        <f aca="false">IF($B655="",0,IF($I655="INVESTIMENTO",$F655,0)-IF($G655="INVESTIMENTO",$F655,0))</f>
        <v>0</v>
      </c>
      <c r="AJ655" s="35" t="str">
        <f aca="false">IF($B655="","",IF(NOT(ISNUMBER($F655)),"ERRO: valor nao numerico",IF($F655&lt;=0,"ERRO: valor deve ser maior que zero",IF(COUNTIF(MAP_TIPO,$D655)=0,"ERRO: tipo de operacao nao cadastrado",IF(COUNTIF(LST_STATUS,$E655)=0,"ERRO: status invalido",IF(AND($G655="EXTERNO",$I655="EXTERNO"),"ERRO: origem e destino externos",IF(AND($G655&lt;&gt;"EXTERNO",COUNTIFS(ENT_ID,$H655,ENT_TIPO,$G655)=0),"ERRO: origem inexistente",IF(AND($I655&lt;&gt;"EXTERNO",COUNTIFS(ENT_ID,$J655,ENT_TIPO,$I655)=0),"ERRO: destino inexistente",IF(AND($K655&lt;&gt;"",COUNTIF(CAT_ID,$K655)=0),"ERRO: categoria inexistente",IF(AND($L655&lt;&gt;"",COUNTIF(SUB_ID,$L655)=0),"ERRO: subcategoria inexistente",IF(AND($L655&lt;&gt;"",$K655&lt;&gt;"",IFERROR(INDEX(SUB_CATID,MATCH($L655,SUB_ID,0)),"")&lt;&gt;$K655),"ERRO: subcategoria nao pertence a categoria",IF(AND($O655&lt;&gt;"",COUNTIF(P_ID,$O655)=0),"ERRO: parcela inexistente",IF(AND($N655&lt;&gt;"",COUNTIF(CM_ID,$N655)=0),"ERRO: compromisso inexistente","OK")))))))))))))</f>
        <v/>
      </c>
      <c r="AK655" s="35" t="str">
        <f aca="false">IF($B655="","",IF(AND($N655="",$O655="",$P655="",$Q655="",$R655=""),"","VINCULADO: "&amp;TRIM(IF($N655&lt;&gt;"",$N655&amp;" ","")&amp;IF($O655&lt;&gt;"",$O655&amp;" ","")&amp;IF($P655&lt;&gt;"",$P655&amp;" ","")&amp;IF($Q655&lt;&gt;"",$Q655&amp;" ","")&amp;IF($R655&lt;&gt;"",$R655,""))))</f>
        <v/>
      </c>
    </row>
    <row r="656" customFormat="false" ht="15" hidden="false" customHeight="false" outlineLevel="0" collapsed="false">
      <c r="A656" s="30" t="str">
        <f aca="false">IF($B656="","","LAN-"&amp;TEXT(ROW()-4,"000000"))</f>
        <v/>
      </c>
      <c r="B656" s="31"/>
      <c r="C656" s="32"/>
      <c r="D656" s="32"/>
      <c r="E656" s="32"/>
      <c r="F656" s="33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4" t="str">
        <f aca="false">IF($B656="","",YEAR($B656))</f>
        <v/>
      </c>
      <c r="U656" s="34" t="str">
        <f aca="false">IF($B656="","",MONTH($B656))</f>
        <v/>
      </c>
      <c r="V656" s="34" t="str">
        <f aca="false">IF($B656="","",YEAR($B656)*100+MONTH($B656))</f>
        <v/>
      </c>
      <c r="W656" s="35" t="str">
        <f aca="false">IF($D656="","",IFERROR(INDEX(MAP_CLASS,MATCH($D656,MAP_TIPO,0)),"TIPO INVALIDO"))</f>
        <v/>
      </c>
      <c r="X656" s="35" t="str">
        <f aca="false">IF($K656="","",IFERROR(INDEX(CAT_NOME,MATCH($K656,CAT_ID,0)),"?"))</f>
        <v/>
      </c>
      <c r="Y656" s="35" t="str">
        <f aca="false">IF($L656="","",IFERROR(INDEX(SUB_NOME,MATCH($L656,SUB_ID,0)),"?"))</f>
        <v/>
      </c>
      <c r="Z656" s="35" t="str">
        <f aca="false">IF($G656="","",IF($G656="EXTERNO","(Externo)",IFERROR(INDEX(ENT_NOME,MATCH($H656,ENT_ID,0)),"?")))</f>
        <v/>
      </c>
      <c r="AA656" s="35" t="str">
        <f aca="false">IF($I656="","",IF($I656="EXTERNO","(Externo)",IFERROR(INDEX(ENT_NOME,MATCH($J656,ENT_ID,0)),"?")))</f>
        <v/>
      </c>
      <c r="AB656" s="36" t="n">
        <f aca="false">IF($B656="",0,IF(AND($I656="CONTA",$G656&lt;&gt;"CONTA"),$F656,0))</f>
        <v>0</v>
      </c>
      <c r="AC656" s="36" t="n">
        <f aca="false">IF($B656="",0,IF(AND($G656="CONTA",$I656&lt;&gt;"CONTA"),$F656,0))</f>
        <v>0</v>
      </c>
      <c r="AD656" s="36" t="n">
        <f aca="false">IF($W656="RECEITA",$F656,0)</f>
        <v>0</v>
      </c>
      <c r="AE656" s="36" t="n">
        <f aca="false">IF($W656="DESPESA",$F656,0)</f>
        <v>0</v>
      </c>
      <c r="AF656" s="36" t="n">
        <f aca="false">IF($W656="RECEITA_FINANCEIRA",$F656,0)</f>
        <v>0</v>
      </c>
      <c r="AG656" s="36" t="n">
        <f aca="false">IF($B656="",0,IF($I656="CONTA",$F656,0)-IF($G656="CONTA",$F656,0))</f>
        <v>0</v>
      </c>
      <c r="AH656" s="36" t="n">
        <f aca="false">IF($B656="",0,IF($G656="CARTAO",$F656,0)-IF($I656="CARTAO",$F656,0))</f>
        <v>0</v>
      </c>
      <c r="AI656" s="36" t="n">
        <f aca="false">IF($B656="",0,IF($I656="INVESTIMENTO",$F656,0)-IF($G656="INVESTIMENTO",$F656,0))</f>
        <v>0</v>
      </c>
      <c r="AJ656" s="35" t="str">
        <f aca="false">IF($B656="","",IF(NOT(ISNUMBER($F656)),"ERRO: valor nao numerico",IF($F656&lt;=0,"ERRO: valor deve ser maior que zero",IF(COUNTIF(MAP_TIPO,$D656)=0,"ERRO: tipo de operacao nao cadastrado",IF(COUNTIF(LST_STATUS,$E656)=0,"ERRO: status invalido",IF(AND($G656="EXTERNO",$I656="EXTERNO"),"ERRO: origem e destino externos",IF(AND($G656&lt;&gt;"EXTERNO",COUNTIFS(ENT_ID,$H656,ENT_TIPO,$G656)=0),"ERRO: origem inexistente",IF(AND($I656&lt;&gt;"EXTERNO",COUNTIFS(ENT_ID,$J656,ENT_TIPO,$I656)=0),"ERRO: destino inexistente",IF(AND($K656&lt;&gt;"",COUNTIF(CAT_ID,$K656)=0),"ERRO: categoria inexistente",IF(AND($L656&lt;&gt;"",COUNTIF(SUB_ID,$L656)=0),"ERRO: subcategoria inexistente",IF(AND($L656&lt;&gt;"",$K656&lt;&gt;"",IFERROR(INDEX(SUB_CATID,MATCH($L656,SUB_ID,0)),"")&lt;&gt;$K656),"ERRO: subcategoria nao pertence a categoria",IF(AND($O656&lt;&gt;"",COUNTIF(P_ID,$O656)=0),"ERRO: parcela inexistente",IF(AND($N656&lt;&gt;"",COUNTIF(CM_ID,$N656)=0),"ERRO: compromisso inexistente","OK")))))))))))))</f>
        <v/>
      </c>
      <c r="AK656" s="35" t="str">
        <f aca="false">IF($B656="","",IF(AND($N656="",$O656="",$P656="",$Q656="",$R656=""),"","VINCULADO: "&amp;TRIM(IF($N656&lt;&gt;"",$N656&amp;" ","")&amp;IF($O656&lt;&gt;"",$O656&amp;" ","")&amp;IF($P656&lt;&gt;"",$P656&amp;" ","")&amp;IF($Q656&lt;&gt;"",$Q656&amp;" ","")&amp;IF($R656&lt;&gt;"",$R656,""))))</f>
        <v/>
      </c>
    </row>
    <row r="657" customFormat="false" ht="15" hidden="false" customHeight="false" outlineLevel="0" collapsed="false">
      <c r="A657" s="30" t="str">
        <f aca="false">IF($B657="","","LAN-"&amp;TEXT(ROW()-4,"000000"))</f>
        <v/>
      </c>
      <c r="B657" s="31"/>
      <c r="C657" s="32"/>
      <c r="D657" s="32"/>
      <c r="E657" s="32"/>
      <c r="F657" s="33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4" t="str">
        <f aca="false">IF($B657="","",YEAR($B657))</f>
        <v/>
      </c>
      <c r="U657" s="34" t="str">
        <f aca="false">IF($B657="","",MONTH($B657))</f>
        <v/>
      </c>
      <c r="V657" s="34" t="str">
        <f aca="false">IF($B657="","",YEAR($B657)*100+MONTH($B657))</f>
        <v/>
      </c>
      <c r="W657" s="35" t="str">
        <f aca="false">IF($D657="","",IFERROR(INDEX(MAP_CLASS,MATCH($D657,MAP_TIPO,0)),"TIPO INVALIDO"))</f>
        <v/>
      </c>
      <c r="X657" s="35" t="str">
        <f aca="false">IF($K657="","",IFERROR(INDEX(CAT_NOME,MATCH($K657,CAT_ID,0)),"?"))</f>
        <v/>
      </c>
      <c r="Y657" s="35" t="str">
        <f aca="false">IF($L657="","",IFERROR(INDEX(SUB_NOME,MATCH($L657,SUB_ID,0)),"?"))</f>
        <v/>
      </c>
      <c r="Z657" s="35" t="str">
        <f aca="false">IF($G657="","",IF($G657="EXTERNO","(Externo)",IFERROR(INDEX(ENT_NOME,MATCH($H657,ENT_ID,0)),"?")))</f>
        <v/>
      </c>
      <c r="AA657" s="35" t="str">
        <f aca="false">IF($I657="","",IF($I657="EXTERNO","(Externo)",IFERROR(INDEX(ENT_NOME,MATCH($J657,ENT_ID,0)),"?")))</f>
        <v/>
      </c>
      <c r="AB657" s="36" t="n">
        <f aca="false">IF($B657="",0,IF(AND($I657="CONTA",$G657&lt;&gt;"CONTA"),$F657,0))</f>
        <v>0</v>
      </c>
      <c r="AC657" s="36" t="n">
        <f aca="false">IF($B657="",0,IF(AND($G657="CONTA",$I657&lt;&gt;"CONTA"),$F657,0))</f>
        <v>0</v>
      </c>
      <c r="AD657" s="36" t="n">
        <f aca="false">IF($W657="RECEITA",$F657,0)</f>
        <v>0</v>
      </c>
      <c r="AE657" s="36" t="n">
        <f aca="false">IF($W657="DESPESA",$F657,0)</f>
        <v>0</v>
      </c>
      <c r="AF657" s="36" t="n">
        <f aca="false">IF($W657="RECEITA_FINANCEIRA",$F657,0)</f>
        <v>0</v>
      </c>
      <c r="AG657" s="36" t="n">
        <f aca="false">IF($B657="",0,IF($I657="CONTA",$F657,0)-IF($G657="CONTA",$F657,0))</f>
        <v>0</v>
      </c>
      <c r="AH657" s="36" t="n">
        <f aca="false">IF($B657="",0,IF($G657="CARTAO",$F657,0)-IF($I657="CARTAO",$F657,0))</f>
        <v>0</v>
      </c>
      <c r="AI657" s="36" t="n">
        <f aca="false">IF($B657="",0,IF($I657="INVESTIMENTO",$F657,0)-IF($G657="INVESTIMENTO",$F657,0))</f>
        <v>0</v>
      </c>
      <c r="AJ657" s="35" t="str">
        <f aca="false">IF($B657="","",IF(NOT(ISNUMBER($F657)),"ERRO: valor nao numerico",IF($F657&lt;=0,"ERRO: valor deve ser maior que zero",IF(COUNTIF(MAP_TIPO,$D657)=0,"ERRO: tipo de operacao nao cadastrado",IF(COUNTIF(LST_STATUS,$E657)=0,"ERRO: status invalido",IF(AND($G657="EXTERNO",$I657="EXTERNO"),"ERRO: origem e destino externos",IF(AND($G657&lt;&gt;"EXTERNO",COUNTIFS(ENT_ID,$H657,ENT_TIPO,$G657)=0),"ERRO: origem inexistente",IF(AND($I657&lt;&gt;"EXTERNO",COUNTIFS(ENT_ID,$J657,ENT_TIPO,$I657)=0),"ERRO: destino inexistente",IF(AND($K657&lt;&gt;"",COUNTIF(CAT_ID,$K657)=0),"ERRO: categoria inexistente",IF(AND($L657&lt;&gt;"",COUNTIF(SUB_ID,$L657)=0),"ERRO: subcategoria inexistente",IF(AND($L657&lt;&gt;"",$K657&lt;&gt;"",IFERROR(INDEX(SUB_CATID,MATCH($L657,SUB_ID,0)),"")&lt;&gt;$K657),"ERRO: subcategoria nao pertence a categoria",IF(AND($O657&lt;&gt;"",COUNTIF(P_ID,$O657)=0),"ERRO: parcela inexistente",IF(AND($N657&lt;&gt;"",COUNTIF(CM_ID,$N657)=0),"ERRO: compromisso inexistente","OK")))))))))))))</f>
        <v/>
      </c>
      <c r="AK657" s="35" t="str">
        <f aca="false">IF($B657="","",IF(AND($N657="",$O657="",$P657="",$Q657="",$R657=""),"","VINCULADO: "&amp;TRIM(IF($N657&lt;&gt;"",$N657&amp;" ","")&amp;IF($O657&lt;&gt;"",$O657&amp;" ","")&amp;IF($P657&lt;&gt;"",$P657&amp;" ","")&amp;IF($Q657&lt;&gt;"",$Q657&amp;" ","")&amp;IF($R657&lt;&gt;"",$R657,""))))</f>
        <v/>
      </c>
    </row>
    <row r="658" customFormat="false" ht="15" hidden="false" customHeight="false" outlineLevel="0" collapsed="false">
      <c r="A658" s="30" t="str">
        <f aca="false">IF($B658="","","LAN-"&amp;TEXT(ROW()-4,"000000"))</f>
        <v/>
      </c>
      <c r="B658" s="31"/>
      <c r="C658" s="32"/>
      <c r="D658" s="32"/>
      <c r="E658" s="32"/>
      <c r="F658" s="33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4" t="str">
        <f aca="false">IF($B658="","",YEAR($B658))</f>
        <v/>
      </c>
      <c r="U658" s="34" t="str">
        <f aca="false">IF($B658="","",MONTH($B658))</f>
        <v/>
      </c>
      <c r="V658" s="34" t="str">
        <f aca="false">IF($B658="","",YEAR($B658)*100+MONTH($B658))</f>
        <v/>
      </c>
      <c r="W658" s="35" t="str">
        <f aca="false">IF($D658="","",IFERROR(INDEX(MAP_CLASS,MATCH($D658,MAP_TIPO,0)),"TIPO INVALIDO"))</f>
        <v/>
      </c>
      <c r="X658" s="35" t="str">
        <f aca="false">IF($K658="","",IFERROR(INDEX(CAT_NOME,MATCH($K658,CAT_ID,0)),"?"))</f>
        <v/>
      </c>
      <c r="Y658" s="35" t="str">
        <f aca="false">IF($L658="","",IFERROR(INDEX(SUB_NOME,MATCH($L658,SUB_ID,0)),"?"))</f>
        <v/>
      </c>
      <c r="Z658" s="35" t="str">
        <f aca="false">IF($G658="","",IF($G658="EXTERNO","(Externo)",IFERROR(INDEX(ENT_NOME,MATCH($H658,ENT_ID,0)),"?")))</f>
        <v/>
      </c>
      <c r="AA658" s="35" t="str">
        <f aca="false">IF($I658="","",IF($I658="EXTERNO","(Externo)",IFERROR(INDEX(ENT_NOME,MATCH($J658,ENT_ID,0)),"?")))</f>
        <v/>
      </c>
      <c r="AB658" s="36" t="n">
        <f aca="false">IF($B658="",0,IF(AND($I658="CONTA",$G658&lt;&gt;"CONTA"),$F658,0))</f>
        <v>0</v>
      </c>
      <c r="AC658" s="36" t="n">
        <f aca="false">IF($B658="",0,IF(AND($G658="CONTA",$I658&lt;&gt;"CONTA"),$F658,0))</f>
        <v>0</v>
      </c>
      <c r="AD658" s="36" t="n">
        <f aca="false">IF($W658="RECEITA",$F658,0)</f>
        <v>0</v>
      </c>
      <c r="AE658" s="36" t="n">
        <f aca="false">IF($W658="DESPESA",$F658,0)</f>
        <v>0</v>
      </c>
      <c r="AF658" s="36" t="n">
        <f aca="false">IF($W658="RECEITA_FINANCEIRA",$F658,0)</f>
        <v>0</v>
      </c>
      <c r="AG658" s="36" t="n">
        <f aca="false">IF($B658="",0,IF($I658="CONTA",$F658,0)-IF($G658="CONTA",$F658,0))</f>
        <v>0</v>
      </c>
      <c r="AH658" s="36" t="n">
        <f aca="false">IF($B658="",0,IF($G658="CARTAO",$F658,0)-IF($I658="CARTAO",$F658,0))</f>
        <v>0</v>
      </c>
      <c r="AI658" s="36" t="n">
        <f aca="false">IF($B658="",0,IF($I658="INVESTIMENTO",$F658,0)-IF($G658="INVESTIMENTO",$F658,0))</f>
        <v>0</v>
      </c>
      <c r="AJ658" s="35" t="str">
        <f aca="false">IF($B658="","",IF(NOT(ISNUMBER($F658)),"ERRO: valor nao numerico",IF($F658&lt;=0,"ERRO: valor deve ser maior que zero",IF(COUNTIF(MAP_TIPO,$D658)=0,"ERRO: tipo de operacao nao cadastrado",IF(COUNTIF(LST_STATUS,$E658)=0,"ERRO: status invalido",IF(AND($G658="EXTERNO",$I658="EXTERNO"),"ERRO: origem e destino externos",IF(AND($G658&lt;&gt;"EXTERNO",COUNTIFS(ENT_ID,$H658,ENT_TIPO,$G658)=0),"ERRO: origem inexistente",IF(AND($I658&lt;&gt;"EXTERNO",COUNTIFS(ENT_ID,$J658,ENT_TIPO,$I658)=0),"ERRO: destino inexistente",IF(AND($K658&lt;&gt;"",COUNTIF(CAT_ID,$K658)=0),"ERRO: categoria inexistente",IF(AND($L658&lt;&gt;"",COUNTIF(SUB_ID,$L658)=0),"ERRO: subcategoria inexistente",IF(AND($L658&lt;&gt;"",$K658&lt;&gt;"",IFERROR(INDEX(SUB_CATID,MATCH($L658,SUB_ID,0)),"")&lt;&gt;$K658),"ERRO: subcategoria nao pertence a categoria",IF(AND($O658&lt;&gt;"",COUNTIF(P_ID,$O658)=0),"ERRO: parcela inexistente",IF(AND($N658&lt;&gt;"",COUNTIF(CM_ID,$N658)=0),"ERRO: compromisso inexistente","OK")))))))))))))</f>
        <v/>
      </c>
      <c r="AK658" s="35" t="str">
        <f aca="false">IF($B658="","",IF(AND($N658="",$O658="",$P658="",$Q658="",$R658=""),"","VINCULADO: "&amp;TRIM(IF($N658&lt;&gt;"",$N658&amp;" ","")&amp;IF($O658&lt;&gt;"",$O658&amp;" ","")&amp;IF($P658&lt;&gt;"",$P658&amp;" ","")&amp;IF($Q658&lt;&gt;"",$Q658&amp;" ","")&amp;IF($R658&lt;&gt;"",$R658,""))))</f>
        <v/>
      </c>
    </row>
    <row r="659" customFormat="false" ht="15" hidden="false" customHeight="false" outlineLevel="0" collapsed="false">
      <c r="A659" s="30" t="str">
        <f aca="false">IF($B659="","","LAN-"&amp;TEXT(ROW()-4,"000000"))</f>
        <v/>
      </c>
      <c r="B659" s="31"/>
      <c r="C659" s="32"/>
      <c r="D659" s="32"/>
      <c r="E659" s="32"/>
      <c r="F659" s="33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4" t="str">
        <f aca="false">IF($B659="","",YEAR($B659))</f>
        <v/>
      </c>
      <c r="U659" s="34" t="str">
        <f aca="false">IF($B659="","",MONTH($B659))</f>
        <v/>
      </c>
      <c r="V659" s="34" t="str">
        <f aca="false">IF($B659="","",YEAR($B659)*100+MONTH($B659))</f>
        <v/>
      </c>
      <c r="W659" s="35" t="str">
        <f aca="false">IF($D659="","",IFERROR(INDEX(MAP_CLASS,MATCH($D659,MAP_TIPO,0)),"TIPO INVALIDO"))</f>
        <v/>
      </c>
      <c r="X659" s="35" t="str">
        <f aca="false">IF($K659="","",IFERROR(INDEX(CAT_NOME,MATCH($K659,CAT_ID,0)),"?"))</f>
        <v/>
      </c>
      <c r="Y659" s="35" t="str">
        <f aca="false">IF($L659="","",IFERROR(INDEX(SUB_NOME,MATCH($L659,SUB_ID,0)),"?"))</f>
        <v/>
      </c>
      <c r="Z659" s="35" t="str">
        <f aca="false">IF($G659="","",IF($G659="EXTERNO","(Externo)",IFERROR(INDEX(ENT_NOME,MATCH($H659,ENT_ID,0)),"?")))</f>
        <v/>
      </c>
      <c r="AA659" s="35" t="str">
        <f aca="false">IF($I659="","",IF($I659="EXTERNO","(Externo)",IFERROR(INDEX(ENT_NOME,MATCH($J659,ENT_ID,0)),"?")))</f>
        <v/>
      </c>
      <c r="AB659" s="36" t="n">
        <f aca="false">IF($B659="",0,IF(AND($I659="CONTA",$G659&lt;&gt;"CONTA"),$F659,0))</f>
        <v>0</v>
      </c>
      <c r="AC659" s="36" t="n">
        <f aca="false">IF($B659="",0,IF(AND($G659="CONTA",$I659&lt;&gt;"CONTA"),$F659,0))</f>
        <v>0</v>
      </c>
      <c r="AD659" s="36" t="n">
        <f aca="false">IF($W659="RECEITA",$F659,0)</f>
        <v>0</v>
      </c>
      <c r="AE659" s="36" t="n">
        <f aca="false">IF($W659="DESPESA",$F659,0)</f>
        <v>0</v>
      </c>
      <c r="AF659" s="36" t="n">
        <f aca="false">IF($W659="RECEITA_FINANCEIRA",$F659,0)</f>
        <v>0</v>
      </c>
      <c r="AG659" s="36" t="n">
        <f aca="false">IF($B659="",0,IF($I659="CONTA",$F659,0)-IF($G659="CONTA",$F659,0))</f>
        <v>0</v>
      </c>
      <c r="AH659" s="36" t="n">
        <f aca="false">IF($B659="",0,IF($G659="CARTAO",$F659,0)-IF($I659="CARTAO",$F659,0))</f>
        <v>0</v>
      </c>
      <c r="AI659" s="36" t="n">
        <f aca="false">IF($B659="",0,IF($I659="INVESTIMENTO",$F659,0)-IF($G659="INVESTIMENTO",$F659,0))</f>
        <v>0</v>
      </c>
      <c r="AJ659" s="35" t="str">
        <f aca="false">IF($B659="","",IF(NOT(ISNUMBER($F659)),"ERRO: valor nao numerico",IF($F659&lt;=0,"ERRO: valor deve ser maior que zero",IF(COUNTIF(MAP_TIPO,$D659)=0,"ERRO: tipo de operacao nao cadastrado",IF(COUNTIF(LST_STATUS,$E659)=0,"ERRO: status invalido",IF(AND($G659="EXTERNO",$I659="EXTERNO"),"ERRO: origem e destino externos",IF(AND($G659&lt;&gt;"EXTERNO",COUNTIFS(ENT_ID,$H659,ENT_TIPO,$G659)=0),"ERRO: origem inexistente",IF(AND($I659&lt;&gt;"EXTERNO",COUNTIFS(ENT_ID,$J659,ENT_TIPO,$I659)=0),"ERRO: destino inexistente",IF(AND($K659&lt;&gt;"",COUNTIF(CAT_ID,$K659)=0),"ERRO: categoria inexistente",IF(AND($L659&lt;&gt;"",COUNTIF(SUB_ID,$L659)=0),"ERRO: subcategoria inexistente",IF(AND($L659&lt;&gt;"",$K659&lt;&gt;"",IFERROR(INDEX(SUB_CATID,MATCH($L659,SUB_ID,0)),"")&lt;&gt;$K659),"ERRO: subcategoria nao pertence a categoria",IF(AND($O659&lt;&gt;"",COUNTIF(P_ID,$O659)=0),"ERRO: parcela inexistente",IF(AND($N659&lt;&gt;"",COUNTIF(CM_ID,$N659)=0),"ERRO: compromisso inexistente","OK")))))))))))))</f>
        <v/>
      </c>
      <c r="AK659" s="35" t="str">
        <f aca="false">IF($B659="","",IF(AND($N659="",$O659="",$P659="",$Q659="",$R659=""),"","VINCULADO: "&amp;TRIM(IF($N659&lt;&gt;"",$N659&amp;" ","")&amp;IF($O659&lt;&gt;"",$O659&amp;" ","")&amp;IF($P659&lt;&gt;"",$P659&amp;" ","")&amp;IF($Q659&lt;&gt;"",$Q659&amp;" ","")&amp;IF($R659&lt;&gt;"",$R659,""))))</f>
        <v/>
      </c>
    </row>
    <row r="660" customFormat="false" ht="15" hidden="false" customHeight="false" outlineLevel="0" collapsed="false">
      <c r="A660" s="30" t="str">
        <f aca="false">IF($B660="","","LAN-"&amp;TEXT(ROW()-4,"000000"))</f>
        <v/>
      </c>
      <c r="B660" s="31"/>
      <c r="C660" s="32"/>
      <c r="D660" s="32"/>
      <c r="E660" s="32"/>
      <c r="F660" s="33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4" t="str">
        <f aca="false">IF($B660="","",YEAR($B660))</f>
        <v/>
      </c>
      <c r="U660" s="34" t="str">
        <f aca="false">IF($B660="","",MONTH($B660))</f>
        <v/>
      </c>
      <c r="V660" s="34" t="str">
        <f aca="false">IF($B660="","",YEAR($B660)*100+MONTH($B660))</f>
        <v/>
      </c>
      <c r="W660" s="35" t="str">
        <f aca="false">IF($D660="","",IFERROR(INDEX(MAP_CLASS,MATCH($D660,MAP_TIPO,0)),"TIPO INVALIDO"))</f>
        <v/>
      </c>
      <c r="X660" s="35" t="str">
        <f aca="false">IF($K660="","",IFERROR(INDEX(CAT_NOME,MATCH($K660,CAT_ID,0)),"?"))</f>
        <v/>
      </c>
      <c r="Y660" s="35" t="str">
        <f aca="false">IF($L660="","",IFERROR(INDEX(SUB_NOME,MATCH($L660,SUB_ID,0)),"?"))</f>
        <v/>
      </c>
      <c r="Z660" s="35" t="str">
        <f aca="false">IF($G660="","",IF($G660="EXTERNO","(Externo)",IFERROR(INDEX(ENT_NOME,MATCH($H660,ENT_ID,0)),"?")))</f>
        <v/>
      </c>
      <c r="AA660" s="35" t="str">
        <f aca="false">IF($I660="","",IF($I660="EXTERNO","(Externo)",IFERROR(INDEX(ENT_NOME,MATCH($J660,ENT_ID,0)),"?")))</f>
        <v/>
      </c>
      <c r="AB660" s="36" t="n">
        <f aca="false">IF($B660="",0,IF(AND($I660="CONTA",$G660&lt;&gt;"CONTA"),$F660,0))</f>
        <v>0</v>
      </c>
      <c r="AC660" s="36" t="n">
        <f aca="false">IF($B660="",0,IF(AND($G660="CONTA",$I660&lt;&gt;"CONTA"),$F660,0))</f>
        <v>0</v>
      </c>
      <c r="AD660" s="36" t="n">
        <f aca="false">IF($W660="RECEITA",$F660,0)</f>
        <v>0</v>
      </c>
      <c r="AE660" s="36" t="n">
        <f aca="false">IF($W660="DESPESA",$F660,0)</f>
        <v>0</v>
      </c>
      <c r="AF660" s="36" t="n">
        <f aca="false">IF($W660="RECEITA_FINANCEIRA",$F660,0)</f>
        <v>0</v>
      </c>
      <c r="AG660" s="36" t="n">
        <f aca="false">IF($B660="",0,IF($I660="CONTA",$F660,0)-IF($G660="CONTA",$F660,0))</f>
        <v>0</v>
      </c>
      <c r="AH660" s="36" t="n">
        <f aca="false">IF($B660="",0,IF($G660="CARTAO",$F660,0)-IF($I660="CARTAO",$F660,0))</f>
        <v>0</v>
      </c>
      <c r="AI660" s="36" t="n">
        <f aca="false">IF($B660="",0,IF($I660="INVESTIMENTO",$F660,0)-IF($G660="INVESTIMENTO",$F660,0))</f>
        <v>0</v>
      </c>
      <c r="AJ660" s="35" t="str">
        <f aca="false">IF($B660="","",IF(NOT(ISNUMBER($F660)),"ERRO: valor nao numerico",IF($F660&lt;=0,"ERRO: valor deve ser maior que zero",IF(COUNTIF(MAP_TIPO,$D660)=0,"ERRO: tipo de operacao nao cadastrado",IF(COUNTIF(LST_STATUS,$E660)=0,"ERRO: status invalido",IF(AND($G660="EXTERNO",$I660="EXTERNO"),"ERRO: origem e destino externos",IF(AND($G660&lt;&gt;"EXTERNO",COUNTIFS(ENT_ID,$H660,ENT_TIPO,$G660)=0),"ERRO: origem inexistente",IF(AND($I660&lt;&gt;"EXTERNO",COUNTIFS(ENT_ID,$J660,ENT_TIPO,$I660)=0),"ERRO: destino inexistente",IF(AND($K660&lt;&gt;"",COUNTIF(CAT_ID,$K660)=0),"ERRO: categoria inexistente",IF(AND($L660&lt;&gt;"",COUNTIF(SUB_ID,$L660)=0),"ERRO: subcategoria inexistente",IF(AND($L660&lt;&gt;"",$K660&lt;&gt;"",IFERROR(INDEX(SUB_CATID,MATCH($L660,SUB_ID,0)),"")&lt;&gt;$K660),"ERRO: subcategoria nao pertence a categoria",IF(AND($O660&lt;&gt;"",COUNTIF(P_ID,$O660)=0),"ERRO: parcela inexistente",IF(AND($N660&lt;&gt;"",COUNTIF(CM_ID,$N660)=0),"ERRO: compromisso inexistente","OK")))))))))))))</f>
        <v/>
      </c>
      <c r="AK660" s="35" t="str">
        <f aca="false">IF($B660="","",IF(AND($N660="",$O660="",$P660="",$Q660="",$R660=""),"","VINCULADO: "&amp;TRIM(IF($N660&lt;&gt;"",$N660&amp;" ","")&amp;IF($O660&lt;&gt;"",$O660&amp;" ","")&amp;IF($P660&lt;&gt;"",$P660&amp;" ","")&amp;IF($Q660&lt;&gt;"",$Q660&amp;" ","")&amp;IF($R660&lt;&gt;"",$R660,""))))</f>
        <v/>
      </c>
    </row>
    <row r="661" customFormat="false" ht="15" hidden="false" customHeight="false" outlineLevel="0" collapsed="false">
      <c r="A661" s="30" t="str">
        <f aca="false">IF($B661="","","LAN-"&amp;TEXT(ROW()-4,"000000"))</f>
        <v/>
      </c>
      <c r="B661" s="31"/>
      <c r="C661" s="32"/>
      <c r="D661" s="32"/>
      <c r="E661" s="32"/>
      <c r="F661" s="33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4" t="str">
        <f aca="false">IF($B661="","",YEAR($B661))</f>
        <v/>
      </c>
      <c r="U661" s="34" t="str">
        <f aca="false">IF($B661="","",MONTH($B661))</f>
        <v/>
      </c>
      <c r="V661" s="34" t="str">
        <f aca="false">IF($B661="","",YEAR($B661)*100+MONTH($B661))</f>
        <v/>
      </c>
      <c r="W661" s="35" t="str">
        <f aca="false">IF($D661="","",IFERROR(INDEX(MAP_CLASS,MATCH($D661,MAP_TIPO,0)),"TIPO INVALIDO"))</f>
        <v/>
      </c>
      <c r="X661" s="35" t="str">
        <f aca="false">IF($K661="","",IFERROR(INDEX(CAT_NOME,MATCH($K661,CAT_ID,0)),"?"))</f>
        <v/>
      </c>
      <c r="Y661" s="35" t="str">
        <f aca="false">IF($L661="","",IFERROR(INDEX(SUB_NOME,MATCH($L661,SUB_ID,0)),"?"))</f>
        <v/>
      </c>
      <c r="Z661" s="35" t="str">
        <f aca="false">IF($G661="","",IF($G661="EXTERNO","(Externo)",IFERROR(INDEX(ENT_NOME,MATCH($H661,ENT_ID,0)),"?")))</f>
        <v/>
      </c>
      <c r="AA661" s="35" t="str">
        <f aca="false">IF($I661="","",IF($I661="EXTERNO","(Externo)",IFERROR(INDEX(ENT_NOME,MATCH($J661,ENT_ID,0)),"?")))</f>
        <v/>
      </c>
      <c r="AB661" s="36" t="n">
        <f aca="false">IF($B661="",0,IF(AND($I661="CONTA",$G661&lt;&gt;"CONTA"),$F661,0))</f>
        <v>0</v>
      </c>
      <c r="AC661" s="36" t="n">
        <f aca="false">IF($B661="",0,IF(AND($G661="CONTA",$I661&lt;&gt;"CONTA"),$F661,0))</f>
        <v>0</v>
      </c>
      <c r="AD661" s="36" t="n">
        <f aca="false">IF($W661="RECEITA",$F661,0)</f>
        <v>0</v>
      </c>
      <c r="AE661" s="36" t="n">
        <f aca="false">IF($W661="DESPESA",$F661,0)</f>
        <v>0</v>
      </c>
      <c r="AF661" s="36" t="n">
        <f aca="false">IF($W661="RECEITA_FINANCEIRA",$F661,0)</f>
        <v>0</v>
      </c>
      <c r="AG661" s="36" t="n">
        <f aca="false">IF($B661="",0,IF($I661="CONTA",$F661,0)-IF($G661="CONTA",$F661,0))</f>
        <v>0</v>
      </c>
      <c r="AH661" s="36" t="n">
        <f aca="false">IF($B661="",0,IF($G661="CARTAO",$F661,0)-IF($I661="CARTAO",$F661,0))</f>
        <v>0</v>
      </c>
      <c r="AI661" s="36" t="n">
        <f aca="false">IF($B661="",0,IF($I661="INVESTIMENTO",$F661,0)-IF($G661="INVESTIMENTO",$F661,0))</f>
        <v>0</v>
      </c>
      <c r="AJ661" s="35" t="str">
        <f aca="false">IF($B661="","",IF(NOT(ISNUMBER($F661)),"ERRO: valor nao numerico",IF($F661&lt;=0,"ERRO: valor deve ser maior que zero",IF(COUNTIF(MAP_TIPO,$D661)=0,"ERRO: tipo de operacao nao cadastrado",IF(COUNTIF(LST_STATUS,$E661)=0,"ERRO: status invalido",IF(AND($G661="EXTERNO",$I661="EXTERNO"),"ERRO: origem e destino externos",IF(AND($G661&lt;&gt;"EXTERNO",COUNTIFS(ENT_ID,$H661,ENT_TIPO,$G661)=0),"ERRO: origem inexistente",IF(AND($I661&lt;&gt;"EXTERNO",COUNTIFS(ENT_ID,$J661,ENT_TIPO,$I661)=0),"ERRO: destino inexistente",IF(AND($K661&lt;&gt;"",COUNTIF(CAT_ID,$K661)=0),"ERRO: categoria inexistente",IF(AND($L661&lt;&gt;"",COUNTIF(SUB_ID,$L661)=0),"ERRO: subcategoria inexistente",IF(AND($L661&lt;&gt;"",$K661&lt;&gt;"",IFERROR(INDEX(SUB_CATID,MATCH($L661,SUB_ID,0)),"")&lt;&gt;$K661),"ERRO: subcategoria nao pertence a categoria",IF(AND($O661&lt;&gt;"",COUNTIF(P_ID,$O661)=0),"ERRO: parcela inexistente",IF(AND($N661&lt;&gt;"",COUNTIF(CM_ID,$N661)=0),"ERRO: compromisso inexistente","OK")))))))))))))</f>
        <v/>
      </c>
      <c r="AK661" s="35" t="str">
        <f aca="false">IF($B661="","",IF(AND($N661="",$O661="",$P661="",$Q661="",$R661=""),"","VINCULADO: "&amp;TRIM(IF($N661&lt;&gt;"",$N661&amp;" ","")&amp;IF($O661&lt;&gt;"",$O661&amp;" ","")&amp;IF($P661&lt;&gt;"",$P661&amp;" ","")&amp;IF($Q661&lt;&gt;"",$Q661&amp;" ","")&amp;IF($R661&lt;&gt;"",$R661,""))))</f>
        <v/>
      </c>
    </row>
    <row r="662" customFormat="false" ht="15" hidden="false" customHeight="false" outlineLevel="0" collapsed="false">
      <c r="A662" s="30" t="str">
        <f aca="false">IF($B662="","","LAN-"&amp;TEXT(ROW()-4,"000000"))</f>
        <v/>
      </c>
      <c r="B662" s="31"/>
      <c r="C662" s="32"/>
      <c r="D662" s="32"/>
      <c r="E662" s="32"/>
      <c r="F662" s="33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4" t="str">
        <f aca="false">IF($B662="","",YEAR($B662))</f>
        <v/>
      </c>
      <c r="U662" s="34" t="str">
        <f aca="false">IF($B662="","",MONTH($B662))</f>
        <v/>
      </c>
      <c r="V662" s="34" t="str">
        <f aca="false">IF($B662="","",YEAR($B662)*100+MONTH($B662))</f>
        <v/>
      </c>
      <c r="W662" s="35" t="str">
        <f aca="false">IF($D662="","",IFERROR(INDEX(MAP_CLASS,MATCH($D662,MAP_TIPO,0)),"TIPO INVALIDO"))</f>
        <v/>
      </c>
      <c r="X662" s="35" t="str">
        <f aca="false">IF($K662="","",IFERROR(INDEX(CAT_NOME,MATCH($K662,CAT_ID,0)),"?"))</f>
        <v/>
      </c>
      <c r="Y662" s="35" t="str">
        <f aca="false">IF($L662="","",IFERROR(INDEX(SUB_NOME,MATCH($L662,SUB_ID,0)),"?"))</f>
        <v/>
      </c>
      <c r="Z662" s="35" t="str">
        <f aca="false">IF($G662="","",IF($G662="EXTERNO","(Externo)",IFERROR(INDEX(ENT_NOME,MATCH($H662,ENT_ID,0)),"?")))</f>
        <v/>
      </c>
      <c r="AA662" s="35" t="str">
        <f aca="false">IF($I662="","",IF($I662="EXTERNO","(Externo)",IFERROR(INDEX(ENT_NOME,MATCH($J662,ENT_ID,0)),"?")))</f>
        <v/>
      </c>
      <c r="AB662" s="36" t="n">
        <f aca="false">IF($B662="",0,IF(AND($I662="CONTA",$G662&lt;&gt;"CONTA"),$F662,0))</f>
        <v>0</v>
      </c>
      <c r="AC662" s="36" t="n">
        <f aca="false">IF($B662="",0,IF(AND($G662="CONTA",$I662&lt;&gt;"CONTA"),$F662,0))</f>
        <v>0</v>
      </c>
      <c r="AD662" s="36" t="n">
        <f aca="false">IF($W662="RECEITA",$F662,0)</f>
        <v>0</v>
      </c>
      <c r="AE662" s="36" t="n">
        <f aca="false">IF($W662="DESPESA",$F662,0)</f>
        <v>0</v>
      </c>
      <c r="AF662" s="36" t="n">
        <f aca="false">IF($W662="RECEITA_FINANCEIRA",$F662,0)</f>
        <v>0</v>
      </c>
      <c r="AG662" s="36" t="n">
        <f aca="false">IF($B662="",0,IF($I662="CONTA",$F662,0)-IF($G662="CONTA",$F662,0))</f>
        <v>0</v>
      </c>
      <c r="AH662" s="36" t="n">
        <f aca="false">IF($B662="",0,IF($G662="CARTAO",$F662,0)-IF($I662="CARTAO",$F662,0))</f>
        <v>0</v>
      </c>
      <c r="AI662" s="36" t="n">
        <f aca="false">IF($B662="",0,IF($I662="INVESTIMENTO",$F662,0)-IF($G662="INVESTIMENTO",$F662,0))</f>
        <v>0</v>
      </c>
      <c r="AJ662" s="35" t="str">
        <f aca="false">IF($B662="","",IF(NOT(ISNUMBER($F662)),"ERRO: valor nao numerico",IF($F662&lt;=0,"ERRO: valor deve ser maior que zero",IF(COUNTIF(MAP_TIPO,$D662)=0,"ERRO: tipo de operacao nao cadastrado",IF(COUNTIF(LST_STATUS,$E662)=0,"ERRO: status invalido",IF(AND($G662="EXTERNO",$I662="EXTERNO"),"ERRO: origem e destino externos",IF(AND($G662&lt;&gt;"EXTERNO",COUNTIFS(ENT_ID,$H662,ENT_TIPO,$G662)=0),"ERRO: origem inexistente",IF(AND($I662&lt;&gt;"EXTERNO",COUNTIFS(ENT_ID,$J662,ENT_TIPO,$I662)=0),"ERRO: destino inexistente",IF(AND($K662&lt;&gt;"",COUNTIF(CAT_ID,$K662)=0),"ERRO: categoria inexistente",IF(AND($L662&lt;&gt;"",COUNTIF(SUB_ID,$L662)=0),"ERRO: subcategoria inexistente",IF(AND($L662&lt;&gt;"",$K662&lt;&gt;"",IFERROR(INDEX(SUB_CATID,MATCH($L662,SUB_ID,0)),"")&lt;&gt;$K662),"ERRO: subcategoria nao pertence a categoria",IF(AND($O662&lt;&gt;"",COUNTIF(P_ID,$O662)=0),"ERRO: parcela inexistente",IF(AND($N662&lt;&gt;"",COUNTIF(CM_ID,$N662)=0),"ERRO: compromisso inexistente","OK")))))))))))))</f>
        <v/>
      </c>
      <c r="AK662" s="35" t="str">
        <f aca="false">IF($B662="","",IF(AND($N662="",$O662="",$P662="",$Q662="",$R662=""),"","VINCULADO: "&amp;TRIM(IF($N662&lt;&gt;"",$N662&amp;" ","")&amp;IF($O662&lt;&gt;"",$O662&amp;" ","")&amp;IF($P662&lt;&gt;"",$P662&amp;" ","")&amp;IF($Q662&lt;&gt;"",$Q662&amp;" ","")&amp;IF($R662&lt;&gt;"",$R662,""))))</f>
        <v/>
      </c>
    </row>
    <row r="663" customFormat="false" ht="15" hidden="false" customHeight="false" outlineLevel="0" collapsed="false">
      <c r="A663" s="30" t="str">
        <f aca="false">IF($B663="","","LAN-"&amp;TEXT(ROW()-4,"000000"))</f>
        <v/>
      </c>
      <c r="B663" s="31"/>
      <c r="C663" s="32"/>
      <c r="D663" s="32"/>
      <c r="E663" s="32"/>
      <c r="F663" s="33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4" t="str">
        <f aca="false">IF($B663="","",YEAR($B663))</f>
        <v/>
      </c>
      <c r="U663" s="34" t="str">
        <f aca="false">IF($B663="","",MONTH($B663))</f>
        <v/>
      </c>
      <c r="V663" s="34" t="str">
        <f aca="false">IF($B663="","",YEAR($B663)*100+MONTH($B663))</f>
        <v/>
      </c>
      <c r="W663" s="35" t="str">
        <f aca="false">IF($D663="","",IFERROR(INDEX(MAP_CLASS,MATCH($D663,MAP_TIPO,0)),"TIPO INVALIDO"))</f>
        <v/>
      </c>
      <c r="X663" s="35" t="str">
        <f aca="false">IF($K663="","",IFERROR(INDEX(CAT_NOME,MATCH($K663,CAT_ID,0)),"?"))</f>
        <v/>
      </c>
      <c r="Y663" s="35" t="str">
        <f aca="false">IF($L663="","",IFERROR(INDEX(SUB_NOME,MATCH($L663,SUB_ID,0)),"?"))</f>
        <v/>
      </c>
      <c r="Z663" s="35" t="str">
        <f aca="false">IF($G663="","",IF($G663="EXTERNO","(Externo)",IFERROR(INDEX(ENT_NOME,MATCH($H663,ENT_ID,0)),"?")))</f>
        <v/>
      </c>
      <c r="AA663" s="35" t="str">
        <f aca="false">IF($I663="","",IF($I663="EXTERNO","(Externo)",IFERROR(INDEX(ENT_NOME,MATCH($J663,ENT_ID,0)),"?")))</f>
        <v/>
      </c>
      <c r="AB663" s="36" t="n">
        <f aca="false">IF($B663="",0,IF(AND($I663="CONTA",$G663&lt;&gt;"CONTA"),$F663,0))</f>
        <v>0</v>
      </c>
      <c r="AC663" s="36" t="n">
        <f aca="false">IF($B663="",0,IF(AND($G663="CONTA",$I663&lt;&gt;"CONTA"),$F663,0))</f>
        <v>0</v>
      </c>
      <c r="AD663" s="36" t="n">
        <f aca="false">IF($W663="RECEITA",$F663,0)</f>
        <v>0</v>
      </c>
      <c r="AE663" s="36" t="n">
        <f aca="false">IF($W663="DESPESA",$F663,0)</f>
        <v>0</v>
      </c>
      <c r="AF663" s="36" t="n">
        <f aca="false">IF($W663="RECEITA_FINANCEIRA",$F663,0)</f>
        <v>0</v>
      </c>
      <c r="AG663" s="36" t="n">
        <f aca="false">IF($B663="",0,IF($I663="CONTA",$F663,0)-IF($G663="CONTA",$F663,0))</f>
        <v>0</v>
      </c>
      <c r="AH663" s="36" t="n">
        <f aca="false">IF($B663="",0,IF($G663="CARTAO",$F663,0)-IF($I663="CARTAO",$F663,0))</f>
        <v>0</v>
      </c>
      <c r="AI663" s="36" t="n">
        <f aca="false">IF($B663="",0,IF($I663="INVESTIMENTO",$F663,0)-IF($G663="INVESTIMENTO",$F663,0))</f>
        <v>0</v>
      </c>
      <c r="AJ663" s="35" t="str">
        <f aca="false">IF($B663="","",IF(NOT(ISNUMBER($F663)),"ERRO: valor nao numerico",IF($F663&lt;=0,"ERRO: valor deve ser maior que zero",IF(COUNTIF(MAP_TIPO,$D663)=0,"ERRO: tipo de operacao nao cadastrado",IF(COUNTIF(LST_STATUS,$E663)=0,"ERRO: status invalido",IF(AND($G663="EXTERNO",$I663="EXTERNO"),"ERRO: origem e destino externos",IF(AND($G663&lt;&gt;"EXTERNO",COUNTIFS(ENT_ID,$H663,ENT_TIPO,$G663)=0),"ERRO: origem inexistente",IF(AND($I663&lt;&gt;"EXTERNO",COUNTIFS(ENT_ID,$J663,ENT_TIPO,$I663)=0),"ERRO: destino inexistente",IF(AND($K663&lt;&gt;"",COUNTIF(CAT_ID,$K663)=0),"ERRO: categoria inexistente",IF(AND($L663&lt;&gt;"",COUNTIF(SUB_ID,$L663)=0),"ERRO: subcategoria inexistente",IF(AND($L663&lt;&gt;"",$K663&lt;&gt;"",IFERROR(INDEX(SUB_CATID,MATCH($L663,SUB_ID,0)),"")&lt;&gt;$K663),"ERRO: subcategoria nao pertence a categoria",IF(AND($O663&lt;&gt;"",COUNTIF(P_ID,$O663)=0),"ERRO: parcela inexistente",IF(AND($N663&lt;&gt;"",COUNTIF(CM_ID,$N663)=0),"ERRO: compromisso inexistente","OK")))))))))))))</f>
        <v/>
      </c>
      <c r="AK663" s="35" t="str">
        <f aca="false">IF($B663="","",IF(AND($N663="",$O663="",$P663="",$Q663="",$R663=""),"","VINCULADO: "&amp;TRIM(IF($N663&lt;&gt;"",$N663&amp;" ","")&amp;IF($O663&lt;&gt;"",$O663&amp;" ","")&amp;IF($P663&lt;&gt;"",$P663&amp;" ","")&amp;IF($Q663&lt;&gt;"",$Q663&amp;" ","")&amp;IF($R663&lt;&gt;"",$R663,""))))</f>
        <v/>
      </c>
    </row>
    <row r="664" customFormat="false" ht="15" hidden="false" customHeight="false" outlineLevel="0" collapsed="false">
      <c r="A664" s="30" t="str">
        <f aca="false">IF($B664="","","LAN-"&amp;TEXT(ROW()-4,"000000"))</f>
        <v/>
      </c>
      <c r="B664" s="31"/>
      <c r="C664" s="32"/>
      <c r="D664" s="32"/>
      <c r="E664" s="32"/>
      <c r="F664" s="33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4" t="str">
        <f aca="false">IF($B664="","",YEAR($B664))</f>
        <v/>
      </c>
      <c r="U664" s="34" t="str">
        <f aca="false">IF($B664="","",MONTH($B664))</f>
        <v/>
      </c>
      <c r="V664" s="34" t="str">
        <f aca="false">IF($B664="","",YEAR($B664)*100+MONTH($B664))</f>
        <v/>
      </c>
      <c r="W664" s="35" t="str">
        <f aca="false">IF($D664="","",IFERROR(INDEX(MAP_CLASS,MATCH($D664,MAP_TIPO,0)),"TIPO INVALIDO"))</f>
        <v/>
      </c>
      <c r="X664" s="35" t="str">
        <f aca="false">IF($K664="","",IFERROR(INDEX(CAT_NOME,MATCH($K664,CAT_ID,0)),"?"))</f>
        <v/>
      </c>
      <c r="Y664" s="35" t="str">
        <f aca="false">IF($L664="","",IFERROR(INDEX(SUB_NOME,MATCH($L664,SUB_ID,0)),"?"))</f>
        <v/>
      </c>
      <c r="Z664" s="35" t="str">
        <f aca="false">IF($G664="","",IF($G664="EXTERNO","(Externo)",IFERROR(INDEX(ENT_NOME,MATCH($H664,ENT_ID,0)),"?")))</f>
        <v/>
      </c>
      <c r="AA664" s="35" t="str">
        <f aca="false">IF($I664="","",IF($I664="EXTERNO","(Externo)",IFERROR(INDEX(ENT_NOME,MATCH($J664,ENT_ID,0)),"?")))</f>
        <v/>
      </c>
      <c r="AB664" s="36" t="n">
        <f aca="false">IF($B664="",0,IF(AND($I664="CONTA",$G664&lt;&gt;"CONTA"),$F664,0))</f>
        <v>0</v>
      </c>
      <c r="AC664" s="36" t="n">
        <f aca="false">IF($B664="",0,IF(AND($G664="CONTA",$I664&lt;&gt;"CONTA"),$F664,0))</f>
        <v>0</v>
      </c>
      <c r="AD664" s="36" t="n">
        <f aca="false">IF($W664="RECEITA",$F664,0)</f>
        <v>0</v>
      </c>
      <c r="AE664" s="36" t="n">
        <f aca="false">IF($W664="DESPESA",$F664,0)</f>
        <v>0</v>
      </c>
      <c r="AF664" s="36" t="n">
        <f aca="false">IF($W664="RECEITA_FINANCEIRA",$F664,0)</f>
        <v>0</v>
      </c>
      <c r="AG664" s="36" t="n">
        <f aca="false">IF($B664="",0,IF($I664="CONTA",$F664,0)-IF($G664="CONTA",$F664,0))</f>
        <v>0</v>
      </c>
      <c r="AH664" s="36" t="n">
        <f aca="false">IF($B664="",0,IF($G664="CARTAO",$F664,0)-IF($I664="CARTAO",$F664,0))</f>
        <v>0</v>
      </c>
      <c r="AI664" s="36" t="n">
        <f aca="false">IF($B664="",0,IF($I664="INVESTIMENTO",$F664,0)-IF($G664="INVESTIMENTO",$F664,0))</f>
        <v>0</v>
      </c>
      <c r="AJ664" s="35" t="str">
        <f aca="false">IF($B664="","",IF(NOT(ISNUMBER($F664)),"ERRO: valor nao numerico",IF($F664&lt;=0,"ERRO: valor deve ser maior que zero",IF(COUNTIF(MAP_TIPO,$D664)=0,"ERRO: tipo de operacao nao cadastrado",IF(COUNTIF(LST_STATUS,$E664)=0,"ERRO: status invalido",IF(AND($G664="EXTERNO",$I664="EXTERNO"),"ERRO: origem e destino externos",IF(AND($G664&lt;&gt;"EXTERNO",COUNTIFS(ENT_ID,$H664,ENT_TIPO,$G664)=0),"ERRO: origem inexistente",IF(AND($I664&lt;&gt;"EXTERNO",COUNTIFS(ENT_ID,$J664,ENT_TIPO,$I664)=0),"ERRO: destino inexistente",IF(AND($K664&lt;&gt;"",COUNTIF(CAT_ID,$K664)=0),"ERRO: categoria inexistente",IF(AND($L664&lt;&gt;"",COUNTIF(SUB_ID,$L664)=0),"ERRO: subcategoria inexistente",IF(AND($L664&lt;&gt;"",$K664&lt;&gt;"",IFERROR(INDEX(SUB_CATID,MATCH($L664,SUB_ID,0)),"")&lt;&gt;$K664),"ERRO: subcategoria nao pertence a categoria",IF(AND($O664&lt;&gt;"",COUNTIF(P_ID,$O664)=0),"ERRO: parcela inexistente",IF(AND($N664&lt;&gt;"",COUNTIF(CM_ID,$N664)=0),"ERRO: compromisso inexistente","OK")))))))))))))</f>
        <v/>
      </c>
      <c r="AK664" s="35" t="str">
        <f aca="false">IF($B664="","",IF(AND($N664="",$O664="",$P664="",$Q664="",$R664=""),"","VINCULADO: "&amp;TRIM(IF($N664&lt;&gt;"",$N664&amp;" ","")&amp;IF($O664&lt;&gt;"",$O664&amp;" ","")&amp;IF($P664&lt;&gt;"",$P664&amp;" ","")&amp;IF($Q664&lt;&gt;"",$Q664&amp;" ","")&amp;IF($R664&lt;&gt;"",$R664,""))))</f>
        <v/>
      </c>
    </row>
    <row r="665" customFormat="false" ht="15" hidden="false" customHeight="false" outlineLevel="0" collapsed="false">
      <c r="A665" s="30" t="str">
        <f aca="false">IF($B665="","","LAN-"&amp;TEXT(ROW()-4,"000000"))</f>
        <v/>
      </c>
      <c r="B665" s="31"/>
      <c r="C665" s="32"/>
      <c r="D665" s="32"/>
      <c r="E665" s="32"/>
      <c r="F665" s="33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4" t="str">
        <f aca="false">IF($B665="","",YEAR($B665))</f>
        <v/>
      </c>
      <c r="U665" s="34" t="str">
        <f aca="false">IF($B665="","",MONTH($B665))</f>
        <v/>
      </c>
      <c r="V665" s="34" t="str">
        <f aca="false">IF($B665="","",YEAR($B665)*100+MONTH($B665))</f>
        <v/>
      </c>
      <c r="W665" s="35" t="str">
        <f aca="false">IF($D665="","",IFERROR(INDEX(MAP_CLASS,MATCH($D665,MAP_TIPO,0)),"TIPO INVALIDO"))</f>
        <v/>
      </c>
      <c r="X665" s="35" t="str">
        <f aca="false">IF($K665="","",IFERROR(INDEX(CAT_NOME,MATCH($K665,CAT_ID,0)),"?"))</f>
        <v/>
      </c>
      <c r="Y665" s="35" t="str">
        <f aca="false">IF($L665="","",IFERROR(INDEX(SUB_NOME,MATCH($L665,SUB_ID,0)),"?"))</f>
        <v/>
      </c>
      <c r="Z665" s="35" t="str">
        <f aca="false">IF($G665="","",IF($G665="EXTERNO","(Externo)",IFERROR(INDEX(ENT_NOME,MATCH($H665,ENT_ID,0)),"?")))</f>
        <v/>
      </c>
      <c r="AA665" s="35" t="str">
        <f aca="false">IF($I665="","",IF($I665="EXTERNO","(Externo)",IFERROR(INDEX(ENT_NOME,MATCH($J665,ENT_ID,0)),"?")))</f>
        <v/>
      </c>
      <c r="AB665" s="36" t="n">
        <f aca="false">IF($B665="",0,IF(AND($I665="CONTA",$G665&lt;&gt;"CONTA"),$F665,0))</f>
        <v>0</v>
      </c>
      <c r="AC665" s="36" t="n">
        <f aca="false">IF($B665="",0,IF(AND($G665="CONTA",$I665&lt;&gt;"CONTA"),$F665,0))</f>
        <v>0</v>
      </c>
      <c r="AD665" s="36" t="n">
        <f aca="false">IF($W665="RECEITA",$F665,0)</f>
        <v>0</v>
      </c>
      <c r="AE665" s="36" t="n">
        <f aca="false">IF($W665="DESPESA",$F665,0)</f>
        <v>0</v>
      </c>
      <c r="AF665" s="36" t="n">
        <f aca="false">IF($W665="RECEITA_FINANCEIRA",$F665,0)</f>
        <v>0</v>
      </c>
      <c r="AG665" s="36" t="n">
        <f aca="false">IF($B665="",0,IF($I665="CONTA",$F665,0)-IF($G665="CONTA",$F665,0))</f>
        <v>0</v>
      </c>
      <c r="AH665" s="36" t="n">
        <f aca="false">IF($B665="",0,IF($G665="CARTAO",$F665,0)-IF($I665="CARTAO",$F665,0))</f>
        <v>0</v>
      </c>
      <c r="AI665" s="36" t="n">
        <f aca="false">IF($B665="",0,IF($I665="INVESTIMENTO",$F665,0)-IF($G665="INVESTIMENTO",$F665,0))</f>
        <v>0</v>
      </c>
      <c r="AJ665" s="35" t="str">
        <f aca="false">IF($B665="","",IF(NOT(ISNUMBER($F665)),"ERRO: valor nao numerico",IF($F665&lt;=0,"ERRO: valor deve ser maior que zero",IF(COUNTIF(MAP_TIPO,$D665)=0,"ERRO: tipo de operacao nao cadastrado",IF(COUNTIF(LST_STATUS,$E665)=0,"ERRO: status invalido",IF(AND($G665="EXTERNO",$I665="EXTERNO"),"ERRO: origem e destino externos",IF(AND($G665&lt;&gt;"EXTERNO",COUNTIFS(ENT_ID,$H665,ENT_TIPO,$G665)=0),"ERRO: origem inexistente",IF(AND($I665&lt;&gt;"EXTERNO",COUNTIFS(ENT_ID,$J665,ENT_TIPO,$I665)=0),"ERRO: destino inexistente",IF(AND($K665&lt;&gt;"",COUNTIF(CAT_ID,$K665)=0),"ERRO: categoria inexistente",IF(AND($L665&lt;&gt;"",COUNTIF(SUB_ID,$L665)=0),"ERRO: subcategoria inexistente",IF(AND($L665&lt;&gt;"",$K665&lt;&gt;"",IFERROR(INDEX(SUB_CATID,MATCH($L665,SUB_ID,0)),"")&lt;&gt;$K665),"ERRO: subcategoria nao pertence a categoria",IF(AND($O665&lt;&gt;"",COUNTIF(P_ID,$O665)=0),"ERRO: parcela inexistente",IF(AND($N665&lt;&gt;"",COUNTIF(CM_ID,$N665)=0),"ERRO: compromisso inexistente","OK")))))))))))))</f>
        <v/>
      </c>
      <c r="AK665" s="35" t="str">
        <f aca="false">IF($B665="","",IF(AND($N665="",$O665="",$P665="",$Q665="",$R665=""),"","VINCULADO: "&amp;TRIM(IF($N665&lt;&gt;"",$N665&amp;" ","")&amp;IF($O665&lt;&gt;"",$O665&amp;" ","")&amp;IF($P665&lt;&gt;"",$P665&amp;" ","")&amp;IF($Q665&lt;&gt;"",$Q665&amp;" ","")&amp;IF($R665&lt;&gt;"",$R665,""))))</f>
        <v/>
      </c>
    </row>
    <row r="666" customFormat="false" ht="15" hidden="false" customHeight="false" outlineLevel="0" collapsed="false">
      <c r="A666" s="30" t="str">
        <f aca="false">IF($B666="","","LAN-"&amp;TEXT(ROW()-4,"000000"))</f>
        <v/>
      </c>
      <c r="B666" s="31"/>
      <c r="C666" s="32"/>
      <c r="D666" s="32"/>
      <c r="E666" s="32"/>
      <c r="F666" s="33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4" t="str">
        <f aca="false">IF($B666="","",YEAR($B666))</f>
        <v/>
      </c>
      <c r="U666" s="34" t="str">
        <f aca="false">IF($B666="","",MONTH($B666))</f>
        <v/>
      </c>
      <c r="V666" s="34" t="str">
        <f aca="false">IF($B666="","",YEAR($B666)*100+MONTH($B666))</f>
        <v/>
      </c>
      <c r="W666" s="35" t="str">
        <f aca="false">IF($D666="","",IFERROR(INDEX(MAP_CLASS,MATCH($D666,MAP_TIPO,0)),"TIPO INVALIDO"))</f>
        <v/>
      </c>
      <c r="X666" s="35" t="str">
        <f aca="false">IF($K666="","",IFERROR(INDEX(CAT_NOME,MATCH($K666,CAT_ID,0)),"?"))</f>
        <v/>
      </c>
      <c r="Y666" s="35" t="str">
        <f aca="false">IF($L666="","",IFERROR(INDEX(SUB_NOME,MATCH($L666,SUB_ID,0)),"?"))</f>
        <v/>
      </c>
      <c r="Z666" s="35" t="str">
        <f aca="false">IF($G666="","",IF($G666="EXTERNO","(Externo)",IFERROR(INDEX(ENT_NOME,MATCH($H666,ENT_ID,0)),"?")))</f>
        <v/>
      </c>
      <c r="AA666" s="35" t="str">
        <f aca="false">IF($I666="","",IF($I666="EXTERNO","(Externo)",IFERROR(INDEX(ENT_NOME,MATCH($J666,ENT_ID,0)),"?")))</f>
        <v/>
      </c>
      <c r="AB666" s="36" t="n">
        <f aca="false">IF($B666="",0,IF(AND($I666="CONTA",$G666&lt;&gt;"CONTA"),$F666,0))</f>
        <v>0</v>
      </c>
      <c r="AC666" s="36" t="n">
        <f aca="false">IF($B666="",0,IF(AND($G666="CONTA",$I666&lt;&gt;"CONTA"),$F666,0))</f>
        <v>0</v>
      </c>
      <c r="AD666" s="36" t="n">
        <f aca="false">IF($W666="RECEITA",$F666,0)</f>
        <v>0</v>
      </c>
      <c r="AE666" s="36" t="n">
        <f aca="false">IF($W666="DESPESA",$F666,0)</f>
        <v>0</v>
      </c>
      <c r="AF666" s="36" t="n">
        <f aca="false">IF($W666="RECEITA_FINANCEIRA",$F666,0)</f>
        <v>0</v>
      </c>
      <c r="AG666" s="36" t="n">
        <f aca="false">IF($B666="",0,IF($I666="CONTA",$F666,0)-IF($G666="CONTA",$F666,0))</f>
        <v>0</v>
      </c>
      <c r="AH666" s="36" t="n">
        <f aca="false">IF($B666="",0,IF($G666="CARTAO",$F666,0)-IF($I666="CARTAO",$F666,0))</f>
        <v>0</v>
      </c>
      <c r="AI666" s="36" t="n">
        <f aca="false">IF($B666="",0,IF($I666="INVESTIMENTO",$F666,0)-IF($G666="INVESTIMENTO",$F666,0))</f>
        <v>0</v>
      </c>
      <c r="AJ666" s="35" t="str">
        <f aca="false">IF($B666="","",IF(NOT(ISNUMBER($F666)),"ERRO: valor nao numerico",IF($F666&lt;=0,"ERRO: valor deve ser maior que zero",IF(COUNTIF(MAP_TIPO,$D666)=0,"ERRO: tipo de operacao nao cadastrado",IF(COUNTIF(LST_STATUS,$E666)=0,"ERRO: status invalido",IF(AND($G666="EXTERNO",$I666="EXTERNO"),"ERRO: origem e destino externos",IF(AND($G666&lt;&gt;"EXTERNO",COUNTIFS(ENT_ID,$H666,ENT_TIPO,$G666)=0),"ERRO: origem inexistente",IF(AND($I666&lt;&gt;"EXTERNO",COUNTIFS(ENT_ID,$J666,ENT_TIPO,$I666)=0),"ERRO: destino inexistente",IF(AND($K666&lt;&gt;"",COUNTIF(CAT_ID,$K666)=0),"ERRO: categoria inexistente",IF(AND($L666&lt;&gt;"",COUNTIF(SUB_ID,$L666)=0),"ERRO: subcategoria inexistente",IF(AND($L666&lt;&gt;"",$K666&lt;&gt;"",IFERROR(INDEX(SUB_CATID,MATCH($L666,SUB_ID,0)),"")&lt;&gt;$K666),"ERRO: subcategoria nao pertence a categoria",IF(AND($O666&lt;&gt;"",COUNTIF(P_ID,$O666)=0),"ERRO: parcela inexistente",IF(AND($N666&lt;&gt;"",COUNTIF(CM_ID,$N666)=0),"ERRO: compromisso inexistente","OK")))))))))))))</f>
        <v/>
      </c>
      <c r="AK666" s="35" t="str">
        <f aca="false">IF($B666="","",IF(AND($N666="",$O666="",$P666="",$Q666="",$R666=""),"","VINCULADO: "&amp;TRIM(IF($N666&lt;&gt;"",$N666&amp;" ","")&amp;IF($O666&lt;&gt;"",$O666&amp;" ","")&amp;IF($P666&lt;&gt;"",$P666&amp;" ","")&amp;IF($Q666&lt;&gt;"",$Q666&amp;" ","")&amp;IF($R666&lt;&gt;"",$R666,""))))</f>
        <v/>
      </c>
    </row>
    <row r="667" customFormat="false" ht="15" hidden="false" customHeight="false" outlineLevel="0" collapsed="false">
      <c r="A667" s="30" t="str">
        <f aca="false">IF($B667="","","LAN-"&amp;TEXT(ROW()-4,"000000"))</f>
        <v/>
      </c>
      <c r="B667" s="31"/>
      <c r="C667" s="32"/>
      <c r="D667" s="32"/>
      <c r="E667" s="32"/>
      <c r="F667" s="33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4" t="str">
        <f aca="false">IF($B667="","",YEAR($B667))</f>
        <v/>
      </c>
      <c r="U667" s="34" t="str">
        <f aca="false">IF($B667="","",MONTH($B667))</f>
        <v/>
      </c>
      <c r="V667" s="34" t="str">
        <f aca="false">IF($B667="","",YEAR($B667)*100+MONTH($B667))</f>
        <v/>
      </c>
      <c r="W667" s="35" t="str">
        <f aca="false">IF($D667="","",IFERROR(INDEX(MAP_CLASS,MATCH($D667,MAP_TIPO,0)),"TIPO INVALIDO"))</f>
        <v/>
      </c>
      <c r="X667" s="35" t="str">
        <f aca="false">IF($K667="","",IFERROR(INDEX(CAT_NOME,MATCH($K667,CAT_ID,0)),"?"))</f>
        <v/>
      </c>
      <c r="Y667" s="35" t="str">
        <f aca="false">IF($L667="","",IFERROR(INDEX(SUB_NOME,MATCH($L667,SUB_ID,0)),"?"))</f>
        <v/>
      </c>
      <c r="Z667" s="35" t="str">
        <f aca="false">IF($G667="","",IF($G667="EXTERNO","(Externo)",IFERROR(INDEX(ENT_NOME,MATCH($H667,ENT_ID,0)),"?")))</f>
        <v/>
      </c>
      <c r="AA667" s="35" t="str">
        <f aca="false">IF($I667="","",IF($I667="EXTERNO","(Externo)",IFERROR(INDEX(ENT_NOME,MATCH($J667,ENT_ID,0)),"?")))</f>
        <v/>
      </c>
      <c r="AB667" s="36" t="n">
        <f aca="false">IF($B667="",0,IF(AND($I667="CONTA",$G667&lt;&gt;"CONTA"),$F667,0))</f>
        <v>0</v>
      </c>
      <c r="AC667" s="36" t="n">
        <f aca="false">IF($B667="",0,IF(AND($G667="CONTA",$I667&lt;&gt;"CONTA"),$F667,0))</f>
        <v>0</v>
      </c>
      <c r="AD667" s="36" t="n">
        <f aca="false">IF($W667="RECEITA",$F667,0)</f>
        <v>0</v>
      </c>
      <c r="AE667" s="36" t="n">
        <f aca="false">IF($W667="DESPESA",$F667,0)</f>
        <v>0</v>
      </c>
      <c r="AF667" s="36" t="n">
        <f aca="false">IF($W667="RECEITA_FINANCEIRA",$F667,0)</f>
        <v>0</v>
      </c>
      <c r="AG667" s="36" t="n">
        <f aca="false">IF($B667="",0,IF($I667="CONTA",$F667,0)-IF($G667="CONTA",$F667,0))</f>
        <v>0</v>
      </c>
      <c r="AH667" s="36" t="n">
        <f aca="false">IF($B667="",0,IF($G667="CARTAO",$F667,0)-IF($I667="CARTAO",$F667,0))</f>
        <v>0</v>
      </c>
      <c r="AI667" s="36" t="n">
        <f aca="false">IF($B667="",0,IF($I667="INVESTIMENTO",$F667,0)-IF($G667="INVESTIMENTO",$F667,0))</f>
        <v>0</v>
      </c>
      <c r="AJ667" s="35" t="str">
        <f aca="false">IF($B667="","",IF(NOT(ISNUMBER($F667)),"ERRO: valor nao numerico",IF($F667&lt;=0,"ERRO: valor deve ser maior que zero",IF(COUNTIF(MAP_TIPO,$D667)=0,"ERRO: tipo de operacao nao cadastrado",IF(COUNTIF(LST_STATUS,$E667)=0,"ERRO: status invalido",IF(AND($G667="EXTERNO",$I667="EXTERNO"),"ERRO: origem e destino externos",IF(AND($G667&lt;&gt;"EXTERNO",COUNTIFS(ENT_ID,$H667,ENT_TIPO,$G667)=0),"ERRO: origem inexistente",IF(AND($I667&lt;&gt;"EXTERNO",COUNTIFS(ENT_ID,$J667,ENT_TIPO,$I667)=0),"ERRO: destino inexistente",IF(AND($K667&lt;&gt;"",COUNTIF(CAT_ID,$K667)=0),"ERRO: categoria inexistente",IF(AND($L667&lt;&gt;"",COUNTIF(SUB_ID,$L667)=0),"ERRO: subcategoria inexistente",IF(AND($L667&lt;&gt;"",$K667&lt;&gt;"",IFERROR(INDEX(SUB_CATID,MATCH($L667,SUB_ID,0)),"")&lt;&gt;$K667),"ERRO: subcategoria nao pertence a categoria",IF(AND($O667&lt;&gt;"",COUNTIF(P_ID,$O667)=0),"ERRO: parcela inexistente",IF(AND($N667&lt;&gt;"",COUNTIF(CM_ID,$N667)=0),"ERRO: compromisso inexistente","OK")))))))))))))</f>
        <v/>
      </c>
      <c r="AK667" s="35" t="str">
        <f aca="false">IF($B667="","",IF(AND($N667="",$O667="",$P667="",$Q667="",$R667=""),"","VINCULADO: "&amp;TRIM(IF($N667&lt;&gt;"",$N667&amp;" ","")&amp;IF($O667&lt;&gt;"",$O667&amp;" ","")&amp;IF($P667&lt;&gt;"",$P667&amp;" ","")&amp;IF($Q667&lt;&gt;"",$Q667&amp;" ","")&amp;IF($R667&lt;&gt;"",$R667,""))))</f>
        <v/>
      </c>
    </row>
    <row r="668" customFormat="false" ht="15" hidden="false" customHeight="false" outlineLevel="0" collapsed="false">
      <c r="A668" s="30" t="str">
        <f aca="false">IF($B668="","","LAN-"&amp;TEXT(ROW()-4,"000000"))</f>
        <v/>
      </c>
      <c r="B668" s="31"/>
      <c r="C668" s="32"/>
      <c r="D668" s="32"/>
      <c r="E668" s="32"/>
      <c r="F668" s="33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4" t="str">
        <f aca="false">IF($B668="","",YEAR($B668))</f>
        <v/>
      </c>
      <c r="U668" s="34" t="str">
        <f aca="false">IF($B668="","",MONTH($B668))</f>
        <v/>
      </c>
      <c r="V668" s="34" t="str">
        <f aca="false">IF($B668="","",YEAR($B668)*100+MONTH($B668))</f>
        <v/>
      </c>
      <c r="W668" s="35" t="str">
        <f aca="false">IF($D668="","",IFERROR(INDEX(MAP_CLASS,MATCH($D668,MAP_TIPO,0)),"TIPO INVALIDO"))</f>
        <v/>
      </c>
      <c r="X668" s="35" t="str">
        <f aca="false">IF($K668="","",IFERROR(INDEX(CAT_NOME,MATCH($K668,CAT_ID,0)),"?"))</f>
        <v/>
      </c>
      <c r="Y668" s="35" t="str">
        <f aca="false">IF($L668="","",IFERROR(INDEX(SUB_NOME,MATCH($L668,SUB_ID,0)),"?"))</f>
        <v/>
      </c>
      <c r="Z668" s="35" t="str">
        <f aca="false">IF($G668="","",IF($G668="EXTERNO","(Externo)",IFERROR(INDEX(ENT_NOME,MATCH($H668,ENT_ID,0)),"?")))</f>
        <v/>
      </c>
      <c r="AA668" s="35" t="str">
        <f aca="false">IF($I668="","",IF($I668="EXTERNO","(Externo)",IFERROR(INDEX(ENT_NOME,MATCH($J668,ENT_ID,0)),"?")))</f>
        <v/>
      </c>
      <c r="AB668" s="36" t="n">
        <f aca="false">IF($B668="",0,IF(AND($I668="CONTA",$G668&lt;&gt;"CONTA"),$F668,0))</f>
        <v>0</v>
      </c>
      <c r="AC668" s="36" t="n">
        <f aca="false">IF($B668="",0,IF(AND($G668="CONTA",$I668&lt;&gt;"CONTA"),$F668,0))</f>
        <v>0</v>
      </c>
      <c r="AD668" s="36" t="n">
        <f aca="false">IF($W668="RECEITA",$F668,0)</f>
        <v>0</v>
      </c>
      <c r="AE668" s="36" t="n">
        <f aca="false">IF($W668="DESPESA",$F668,0)</f>
        <v>0</v>
      </c>
      <c r="AF668" s="36" t="n">
        <f aca="false">IF($W668="RECEITA_FINANCEIRA",$F668,0)</f>
        <v>0</v>
      </c>
      <c r="AG668" s="36" t="n">
        <f aca="false">IF($B668="",0,IF($I668="CONTA",$F668,0)-IF($G668="CONTA",$F668,0))</f>
        <v>0</v>
      </c>
      <c r="AH668" s="36" t="n">
        <f aca="false">IF($B668="",0,IF($G668="CARTAO",$F668,0)-IF($I668="CARTAO",$F668,0))</f>
        <v>0</v>
      </c>
      <c r="AI668" s="36" t="n">
        <f aca="false">IF($B668="",0,IF($I668="INVESTIMENTO",$F668,0)-IF($G668="INVESTIMENTO",$F668,0))</f>
        <v>0</v>
      </c>
      <c r="AJ668" s="35" t="str">
        <f aca="false">IF($B668="","",IF(NOT(ISNUMBER($F668)),"ERRO: valor nao numerico",IF($F668&lt;=0,"ERRO: valor deve ser maior que zero",IF(COUNTIF(MAP_TIPO,$D668)=0,"ERRO: tipo de operacao nao cadastrado",IF(COUNTIF(LST_STATUS,$E668)=0,"ERRO: status invalido",IF(AND($G668="EXTERNO",$I668="EXTERNO"),"ERRO: origem e destino externos",IF(AND($G668&lt;&gt;"EXTERNO",COUNTIFS(ENT_ID,$H668,ENT_TIPO,$G668)=0),"ERRO: origem inexistente",IF(AND($I668&lt;&gt;"EXTERNO",COUNTIFS(ENT_ID,$J668,ENT_TIPO,$I668)=0),"ERRO: destino inexistente",IF(AND($K668&lt;&gt;"",COUNTIF(CAT_ID,$K668)=0),"ERRO: categoria inexistente",IF(AND($L668&lt;&gt;"",COUNTIF(SUB_ID,$L668)=0),"ERRO: subcategoria inexistente",IF(AND($L668&lt;&gt;"",$K668&lt;&gt;"",IFERROR(INDEX(SUB_CATID,MATCH($L668,SUB_ID,0)),"")&lt;&gt;$K668),"ERRO: subcategoria nao pertence a categoria",IF(AND($O668&lt;&gt;"",COUNTIF(P_ID,$O668)=0),"ERRO: parcela inexistente",IF(AND($N668&lt;&gt;"",COUNTIF(CM_ID,$N668)=0),"ERRO: compromisso inexistente","OK")))))))))))))</f>
        <v/>
      </c>
      <c r="AK668" s="35" t="str">
        <f aca="false">IF($B668="","",IF(AND($N668="",$O668="",$P668="",$Q668="",$R668=""),"","VINCULADO: "&amp;TRIM(IF($N668&lt;&gt;"",$N668&amp;" ","")&amp;IF($O668&lt;&gt;"",$O668&amp;" ","")&amp;IF($P668&lt;&gt;"",$P668&amp;" ","")&amp;IF($Q668&lt;&gt;"",$Q668&amp;" ","")&amp;IF($R668&lt;&gt;"",$R668,""))))</f>
        <v/>
      </c>
    </row>
    <row r="669" customFormat="false" ht="15" hidden="false" customHeight="false" outlineLevel="0" collapsed="false">
      <c r="A669" s="30" t="str">
        <f aca="false">IF($B669="","","LAN-"&amp;TEXT(ROW()-4,"000000"))</f>
        <v/>
      </c>
      <c r="B669" s="31"/>
      <c r="C669" s="32"/>
      <c r="D669" s="32"/>
      <c r="E669" s="32"/>
      <c r="F669" s="33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4" t="str">
        <f aca="false">IF($B669="","",YEAR($B669))</f>
        <v/>
      </c>
      <c r="U669" s="34" t="str">
        <f aca="false">IF($B669="","",MONTH($B669))</f>
        <v/>
      </c>
      <c r="V669" s="34" t="str">
        <f aca="false">IF($B669="","",YEAR($B669)*100+MONTH($B669))</f>
        <v/>
      </c>
      <c r="W669" s="35" t="str">
        <f aca="false">IF($D669="","",IFERROR(INDEX(MAP_CLASS,MATCH($D669,MAP_TIPO,0)),"TIPO INVALIDO"))</f>
        <v/>
      </c>
      <c r="X669" s="35" t="str">
        <f aca="false">IF($K669="","",IFERROR(INDEX(CAT_NOME,MATCH($K669,CAT_ID,0)),"?"))</f>
        <v/>
      </c>
      <c r="Y669" s="35" t="str">
        <f aca="false">IF($L669="","",IFERROR(INDEX(SUB_NOME,MATCH($L669,SUB_ID,0)),"?"))</f>
        <v/>
      </c>
      <c r="Z669" s="35" t="str">
        <f aca="false">IF($G669="","",IF($G669="EXTERNO","(Externo)",IFERROR(INDEX(ENT_NOME,MATCH($H669,ENT_ID,0)),"?")))</f>
        <v/>
      </c>
      <c r="AA669" s="35" t="str">
        <f aca="false">IF($I669="","",IF($I669="EXTERNO","(Externo)",IFERROR(INDEX(ENT_NOME,MATCH($J669,ENT_ID,0)),"?")))</f>
        <v/>
      </c>
      <c r="AB669" s="36" t="n">
        <f aca="false">IF($B669="",0,IF(AND($I669="CONTA",$G669&lt;&gt;"CONTA"),$F669,0))</f>
        <v>0</v>
      </c>
      <c r="AC669" s="36" t="n">
        <f aca="false">IF($B669="",0,IF(AND($G669="CONTA",$I669&lt;&gt;"CONTA"),$F669,0))</f>
        <v>0</v>
      </c>
      <c r="AD669" s="36" t="n">
        <f aca="false">IF($W669="RECEITA",$F669,0)</f>
        <v>0</v>
      </c>
      <c r="AE669" s="36" t="n">
        <f aca="false">IF($W669="DESPESA",$F669,0)</f>
        <v>0</v>
      </c>
      <c r="AF669" s="36" t="n">
        <f aca="false">IF($W669="RECEITA_FINANCEIRA",$F669,0)</f>
        <v>0</v>
      </c>
      <c r="AG669" s="36" t="n">
        <f aca="false">IF($B669="",0,IF($I669="CONTA",$F669,0)-IF($G669="CONTA",$F669,0))</f>
        <v>0</v>
      </c>
      <c r="AH669" s="36" t="n">
        <f aca="false">IF($B669="",0,IF($G669="CARTAO",$F669,0)-IF($I669="CARTAO",$F669,0))</f>
        <v>0</v>
      </c>
      <c r="AI669" s="36" t="n">
        <f aca="false">IF($B669="",0,IF($I669="INVESTIMENTO",$F669,0)-IF($G669="INVESTIMENTO",$F669,0))</f>
        <v>0</v>
      </c>
      <c r="AJ669" s="35" t="str">
        <f aca="false">IF($B669="","",IF(NOT(ISNUMBER($F669)),"ERRO: valor nao numerico",IF($F669&lt;=0,"ERRO: valor deve ser maior que zero",IF(COUNTIF(MAP_TIPO,$D669)=0,"ERRO: tipo de operacao nao cadastrado",IF(COUNTIF(LST_STATUS,$E669)=0,"ERRO: status invalido",IF(AND($G669="EXTERNO",$I669="EXTERNO"),"ERRO: origem e destino externos",IF(AND($G669&lt;&gt;"EXTERNO",COUNTIFS(ENT_ID,$H669,ENT_TIPO,$G669)=0),"ERRO: origem inexistente",IF(AND($I669&lt;&gt;"EXTERNO",COUNTIFS(ENT_ID,$J669,ENT_TIPO,$I669)=0),"ERRO: destino inexistente",IF(AND($K669&lt;&gt;"",COUNTIF(CAT_ID,$K669)=0),"ERRO: categoria inexistente",IF(AND($L669&lt;&gt;"",COUNTIF(SUB_ID,$L669)=0),"ERRO: subcategoria inexistente",IF(AND($L669&lt;&gt;"",$K669&lt;&gt;"",IFERROR(INDEX(SUB_CATID,MATCH($L669,SUB_ID,0)),"")&lt;&gt;$K669),"ERRO: subcategoria nao pertence a categoria",IF(AND($O669&lt;&gt;"",COUNTIF(P_ID,$O669)=0),"ERRO: parcela inexistente",IF(AND($N669&lt;&gt;"",COUNTIF(CM_ID,$N669)=0),"ERRO: compromisso inexistente","OK")))))))))))))</f>
        <v/>
      </c>
      <c r="AK669" s="35" t="str">
        <f aca="false">IF($B669="","",IF(AND($N669="",$O669="",$P669="",$Q669="",$R669=""),"","VINCULADO: "&amp;TRIM(IF($N669&lt;&gt;"",$N669&amp;" ","")&amp;IF($O669&lt;&gt;"",$O669&amp;" ","")&amp;IF($P669&lt;&gt;"",$P669&amp;" ","")&amp;IF($Q669&lt;&gt;"",$Q669&amp;" ","")&amp;IF($R669&lt;&gt;"",$R669,""))))</f>
        <v/>
      </c>
    </row>
    <row r="670" customFormat="false" ht="15" hidden="false" customHeight="false" outlineLevel="0" collapsed="false">
      <c r="A670" s="30" t="str">
        <f aca="false">IF($B670="","","LAN-"&amp;TEXT(ROW()-4,"000000"))</f>
        <v/>
      </c>
      <c r="B670" s="31"/>
      <c r="C670" s="32"/>
      <c r="D670" s="32"/>
      <c r="E670" s="32"/>
      <c r="F670" s="33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4" t="str">
        <f aca="false">IF($B670="","",YEAR($B670))</f>
        <v/>
      </c>
      <c r="U670" s="34" t="str">
        <f aca="false">IF($B670="","",MONTH($B670))</f>
        <v/>
      </c>
      <c r="V670" s="34" t="str">
        <f aca="false">IF($B670="","",YEAR($B670)*100+MONTH($B670))</f>
        <v/>
      </c>
      <c r="W670" s="35" t="str">
        <f aca="false">IF($D670="","",IFERROR(INDEX(MAP_CLASS,MATCH($D670,MAP_TIPO,0)),"TIPO INVALIDO"))</f>
        <v/>
      </c>
      <c r="X670" s="35" t="str">
        <f aca="false">IF($K670="","",IFERROR(INDEX(CAT_NOME,MATCH($K670,CAT_ID,0)),"?"))</f>
        <v/>
      </c>
      <c r="Y670" s="35" t="str">
        <f aca="false">IF($L670="","",IFERROR(INDEX(SUB_NOME,MATCH($L670,SUB_ID,0)),"?"))</f>
        <v/>
      </c>
      <c r="Z670" s="35" t="str">
        <f aca="false">IF($G670="","",IF($G670="EXTERNO","(Externo)",IFERROR(INDEX(ENT_NOME,MATCH($H670,ENT_ID,0)),"?")))</f>
        <v/>
      </c>
      <c r="AA670" s="35" t="str">
        <f aca="false">IF($I670="","",IF($I670="EXTERNO","(Externo)",IFERROR(INDEX(ENT_NOME,MATCH($J670,ENT_ID,0)),"?")))</f>
        <v/>
      </c>
      <c r="AB670" s="36" t="n">
        <f aca="false">IF($B670="",0,IF(AND($I670="CONTA",$G670&lt;&gt;"CONTA"),$F670,0))</f>
        <v>0</v>
      </c>
      <c r="AC670" s="36" t="n">
        <f aca="false">IF($B670="",0,IF(AND($G670="CONTA",$I670&lt;&gt;"CONTA"),$F670,0))</f>
        <v>0</v>
      </c>
      <c r="AD670" s="36" t="n">
        <f aca="false">IF($W670="RECEITA",$F670,0)</f>
        <v>0</v>
      </c>
      <c r="AE670" s="36" t="n">
        <f aca="false">IF($W670="DESPESA",$F670,0)</f>
        <v>0</v>
      </c>
      <c r="AF670" s="36" t="n">
        <f aca="false">IF($W670="RECEITA_FINANCEIRA",$F670,0)</f>
        <v>0</v>
      </c>
      <c r="AG670" s="36" t="n">
        <f aca="false">IF($B670="",0,IF($I670="CONTA",$F670,0)-IF($G670="CONTA",$F670,0))</f>
        <v>0</v>
      </c>
      <c r="AH670" s="36" t="n">
        <f aca="false">IF($B670="",0,IF($G670="CARTAO",$F670,0)-IF($I670="CARTAO",$F670,0))</f>
        <v>0</v>
      </c>
      <c r="AI670" s="36" t="n">
        <f aca="false">IF($B670="",0,IF($I670="INVESTIMENTO",$F670,0)-IF($G670="INVESTIMENTO",$F670,0))</f>
        <v>0</v>
      </c>
      <c r="AJ670" s="35" t="str">
        <f aca="false">IF($B670="","",IF(NOT(ISNUMBER($F670)),"ERRO: valor nao numerico",IF($F670&lt;=0,"ERRO: valor deve ser maior que zero",IF(COUNTIF(MAP_TIPO,$D670)=0,"ERRO: tipo de operacao nao cadastrado",IF(COUNTIF(LST_STATUS,$E670)=0,"ERRO: status invalido",IF(AND($G670="EXTERNO",$I670="EXTERNO"),"ERRO: origem e destino externos",IF(AND($G670&lt;&gt;"EXTERNO",COUNTIFS(ENT_ID,$H670,ENT_TIPO,$G670)=0),"ERRO: origem inexistente",IF(AND($I670&lt;&gt;"EXTERNO",COUNTIFS(ENT_ID,$J670,ENT_TIPO,$I670)=0),"ERRO: destino inexistente",IF(AND($K670&lt;&gt;"",COUNTIF(CAT_ID,$K670)=0),"ERRO: categoria inexistente",IF(AND($L670&lt;&gt;"",COUNTIF(SUB_ID,$L670)=0),"ERRO: subcategoria inexistente",IF(AND($L670&lt;&gt;"",$K670&lt;&gt;"",IFERROR(INDEX(SUB_CATID,MATCH($L670,SUB_ID,0)),"")&lt;&gt;$K670),"ERRO: subcategoria nao pertence a categoria",IF(AND($O670&lt;&gt;"",COUNTIF(P_ID,$O670)=0),"ERRO: parcela inexistente",IF(AND($N670&lt;&gt;"",COUNTIF(CM_ID,$N670)=0),"ERRO: compromisso inexistente","OK")))))))))))))</f>
        <v/>
      </c>
      <c r="AK670" s="35" t="str">
        <f aca="false">IF($B670="","",IF(AND($N670="",$O670="",$P670="",$Q670="",$R670=""),"","VINCULADO: "&amp;TRIM(IF($N670&lt;&gt;"",$N670&amp;" ","")&amp;IF($O670&lt;&gt;"",$O670&amp;" ","")&amp;IF($P670&lt;&gt;"",$P670&amp;" ","")&amp;IF($Q670&lt;&gt;"",$Q670&amp;" ","")&amp;IF($R670&lt;&gt;"",$R670,""))))</f>
        <v/>
      </c>
    </row>
    <row r="671" customFormat="false" ht="15" hidden="false" customHeight="false" outlineLevel="0" collapsed="false">
      <c r="A671" s="30" t="str">
        <f aca="false">IF($B671="","","LAN-"&amp;TEXT(ROW()-4,"000000"))</f>
        <v/>
      </c>
      <c r="B671" s="31"/>
      <c r="C671" s="32"/>
      <c r="D671" s="32"/>
      <c r="E671" s="32"/>
      <c r="F671" s="33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4" t="str">
        <f aca="false">IF($B671="","",YEAR($B671))</f>
        <v/>
      </c>
      <c r="U671" s="34" t="str">
        <f aca="false">IF($B671="","",MONTH($B671))</f>
        <v/>
      </c>
      <c r="V671" s="34" t="str">
        <f aca="false">IF($B671="","",YEAR($B671)*100+MONTH($B671))</f>
        <v/>
      </c>
      <c r="W671" s="35" t="str">
        <f aca="false">IF($D671="","",IFERROR(INDEX(MAP_CLASS,MATCH($D671,MAP_TIPO,0)),"TIPO INVALIDO"))</f>
        <v/>
      </c>
      <c r="X671" s="35" t="str">
        <f aca="false">IF($K671="","",IFERROR(INDEX(CAT_NOME,MATCH($K671,CAT_ID,0)),"?"))</f>
        <v/>
      </c>
      <c r="Y671" s="35" t="str">
        <f aca="false">IF($L671="","",IFERROR(INDEX(SUB_NOME,MATCH($L671,SUB_ID,0)),"?"))</f>
        <v/>
      </c>
      <c r="Z671" s="35" t="str">
        <f aca="false">IF($G671="","",IF($G671="EXTERNO","(Externo)",IFERROR(INDEX(ENT_NOME,MATCH($H671,ENT_ID,0)),"?")))</f>
        <v/>
      </c>
      <c r="AA671" s="35" t="str">
        <f aca="false">IF($I671="","",IF($I671="EXTERNO","(Externo)",IFERROR(INDEX(ENT_NOME,MATCH($J671,ENT_ID,0)),"?")))</f>
        <v/>
      </c>
      <c r="AB671" s="36" t="n">
        <f aca="false">IF($B671="",0,IF(AND($I671="CONTA",$G671&lt;&gt;"CONTA"),$F671,0))</f>
        <v>0</v>
      </c>
      <c r="AC671" s="36" t="n">
        <f aca="false">IF($B671="",0,IF(AND($G671="CONTA",$I671&lt;&gt;"CONTA"),$F671,0))</f>
        <v>0</v>
      </c>
      <c r="AD671" s="36" t="n">
        <f aca="false">IF($W671="RECEITA",$F671,0)</f>
        <v>0</v>
      </c>
      <c r="AE671" s="36" t="n">
        <f aca="false">IF($W671="DESPESA",$F671,0)</f>
        <v>0</v>
      </c>
      <c r="AF671" s="36" t="n">
        <f aca="false">IF($W671="RECEITA_FINANCEIRA",$F671,0)</f>
        <v>0</v>
      </c>
      <c r="AG671" s="36" t="n">
        <f aca="false">IF($B671="",0,IF($I671="CONTA",$F671,0)-IF($G671="CONTA",$F671,0))</f>
        <v>0</v>
      </c>
      <c r="AH671" s="36" t="n">
        <f aca="false">IF($B671="",0,IF($G671="CARTAO",$F671,0)-IF($I671="CARTAO",$F671,0))</f>
        <v>0</v>
      </c>
      <c r="AI671" s="36" t="n">
        <f aca="false">IF($B671="",0,IF($I671="INVESTIMENTO",$F671,0)-IF($G671="INVESTIMENTO",$F671,0))</f>
        <v>0</v>
      </c>
      <c r="AJ671" s="35" t="str">
        <f aca="false">IF($B671="","",IF(NOT(ISNUMBER($F671)),"ERRO: valor nao numerico",IF($F671&lt;=0,"ERRO: valor deve ser maior que zero",IF(COUNTIF(MAP_TIPO,$D671)=0,"ERRO: tipo de operacao nao cadastrado",IF(COUNTIF(LST_STATUS,$E671)=0,"ERRO: status invalido",IF(AND($G671="EXTERNO",$I671="EXTERNO"),"ERRO: origem e destino externos",IF(AND($G671&lt;&gt;"EXTERNO",COUNTIFS(ENT_ID,$H671,ENT_TIPO,$G671)=0),"ERRO: origem inexistente",IF(AND($I671&lt;&gt;"EXTERNO",COUNTIFS(ENT_ID,$J671,ENT_TIPO,$I671)=0),"ERRO: destino inexistente",IF(AND($K671&lt;&gt;"",COUNTIF(CAT_ID,$K671)=0),"ERRO: categoria inexistente",IF(AND($L671&lt;&gt;"",COUNTIF(SUB_ID,$L671)=0),"ERRO: subcategoria inexistente",IF(AND($L671&lt;&gt;"",$K671&lt;&gt;"",IFERROR(INDEX(SUB_CATID,MATCH($L671,SUB_ID,0)),"")&lt;&gt;$K671),"ERRO: subcategoria nao pertence a categoria",IF(AND($O671&lt;&gt;"",COUNTIF(P_ID,$O671)=0),"ERRO: parcela inexistente",IF(AND($N671&lt;&gt;"",COUNTIF(CM_ID,$N671)=0),"ERRO: compromisso inexistente","OK")))))))))))))</f>
        <v/>
      </c>
      <c r="AK671" s="35" t="str">
        <f aca="false">IF($B671="","",IF(AND($N671="",$O671="",$P671="",$Q671="",$R671=""),"","VINCULADO: "&amp;TRIM(IF($N671&lt;&gt;"",$N671&amp;" ","")&amp;IF($O671&lt;&gt;"",$O671&amp;" ","")&amp;IF($P671&lt;&gt;"",$P671&amp;" ","")&amp;IF($Q671&lt;&gt;"",$Q671&amp;" ","")&amp;IF($R671&lt;&gt;"",$R671,""))))</f>
        <v/>
      </c>
    </row>
    <row r="672" customFormat="false" ht="15" hidden="false" customHeight="false" outlineLevel="0" collapsed="false">
      <c r="A672" s="30" t="str">
        <f aca="false">IF($B672="","","LAN-"&amp;TEXT(ROW()-4,"000000"))</f>
        <v/>
      </c>
      <c r="B672" s="31"/>
      <c r="C672" s="32"/>
      <c r="D672" s="32"/>
      <c r="E672" s="32"/>
      <c r="F672" s="33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4" t="str">
        <f aca="false">IF($B672="","",YEAR($B672))</f>
        <v/>
      </c>
      <c r="U672" s="34" t="str">
        <f aca="false">IF($B672="","",MONTH($B672))</f>
        <v/>
      </c>
      <c r="V672" s="34" t="str">
        <f aca="false">IF($B672="","",YEAR($B672)*100+MONTH($B672))</f>
        <v/>
      </c>
      <c r="W672" s="35" t="str">
        <f aca="false">IF($D672="","",IFERROR(INDEX(MAP_CLASS,MATCH($D672,MAP_TIPO,0)),"TIPO INVALIDO"))</f>
        <v/>
      </c>
      <c r="X672" s="35" t="str">
        <f aca="false">IF($K672="","",IFERROR(INDEX(CAT_NOME,MATCH($K672,CAT_ID,0)),"?"))</f>
        <v/>
      </c>
      <c r="Y672" s="35" t="str">
        <f aca="false">IF($L672="","",IFERROR(INDEX(SUB_NOME,MATCH($L672,SUB_ID,0)),"?"))</f>
        <v/>
      </c>
      <c r="Z672" s="35" t="str">
        <f aca="false">IF($G672="","",IF($G672="EXTERNO","(Externo)",IFERROR(INDEX(ENT_NOME,MATCH($H672,ENT_ID,0)),"?")))</f>
        <v/>
      </c>
      <c r="AA672" s="35" t="str">
        <f aca="false">IF($I672="","",IF($I672="EXTERNO","(Externo)",IFERROR(INDEX(ENT_NOME,MATCH($J672,ENT_ID,0)),"?")))</f>
        <v/>
      </c>
      <c r="AB672" s="36" t="n">
        <f aca="false">IF($B672="",0,IF(AND($I672="CONTA",$G672&lt;&gt;"CONTA"),$F672,0))</f>
        <v>0</v>
      </c>
      <c r="AC672" s="36" t="n">
        <f aca="false">IF($B672="",0,IF(AND($G672="CONTA",$I672&lt;&gt;"CONTA"),$F672,0))</f>
        <v>0</v>
      </c>
      <c r="AD672" s="36" t="n">
        <f aca="false">IF($W672="RECEITA",$F672,0)</f>
        <v>0</v>
      </c>
      <c r="AE672" s="36" t="n">
        <f aca="false">IF($W672="DESPESA",$F672,0)</f>
        <v>0</v>
      </c>
      <c r="AF672" s="36" t="n">
        <f aca="false">IF($W672="RECEITA_FINANCEIRA",$F672,0)</f>
        <v>0</v>
      </c>
      <c r="AG672" s="36" t="n">
        <f aca="false">IF($B672="",0,IF($I672="CONTA",$F672,0)-IF($G672="CONTA",$F672,0))</f>
        <v>0</v>
      </c>
      <c r="AH672" s="36" t="n">
        <f aca="false">IF($B672="",0,IF($G672="CARTAO",$F672,0)-IF($I672="CARTAO",$F672,0))</f>
        <v>0</v>
      </c>
      <c r="AI672" s="36" t="n">
        <f aca="false">IF($B672="",0,IF($I672="INVESTIMENTO",$F672,0)-IF($G672="INVESTIMENTO",$F672,0))</f>
        <v>0</v>
      </c>
      <c r="AJ672" s="35" t="str">
        <f aca="false">IF($B672="","",IF(NOT(ISNUMBER($F672)),"ERRO: valor nao numerico",IF($F672&lt;=0,"ERRO: valor deve ser maior que zero",IF(COUNTIF(MAP_TIPO,$D672)=0,"ERRO: tipo de operacao nao cadastrado",IF(COUNTIF(LST_STATUS,$E672)=0,"ERRO: status invalido",IF(AND($G672="EXTERNO",$I672="EXTERNO"),"ERRO: origem e destino externos",IF(AND($G672&lt;&gt;"EXTERNO",COUNTIFS(ENT_ID,$H672,ENT_TIPO,$G672)=0),"ERRO: origem inexistente",IF(AND($I672&lt;&gt;"EXTERNO",COUNTIFS(ENT_ID,$J672,ENT_TIPO,$I672)=0),"ERRO: destino inexistente",IF(AND($K672&lt;&gt;"",COUNTIF(CAT_ID,$K672)=0),"ERRO: categoria inexistente",IF(AND($L672&lt;&gt;"",COUNTIF(SUB_ID,$L672)=0),"ERRO: subcategoria inexistente",IF(AND($L672&lt;&gt;"",$K672&lt;&gt;"",IFERROR(INDEX(SUB_CATID,MATCH($L672,SUB_ID,0)),"")&lt;&gt;$K672),"ERRO: subcategoria nao pertence a categoria",IF(AND($O672&lt;&gt;"",COUNTIF(P_ID,$O672)=0),"ERRO: parcela inexistente",IF(AND($N672&lt;&gt;"",COUNTIF(CM_ID,$N672)=0),"ERRO: compromisso inexistente","OK")))))))))))))</f>
        <v/>
      </c>
      <c r="AK672" s="35" t="str">
        <f aca="false">IF($B672="","",IF(AND($N672="",$O672="",$P672="",$Q672="",$R672=""),"","VINCULADO: "&amp;TRIM(IF($N672&lt;&gt;"",$N672&amp;" ","")&amp;IF($O672&lt;&gt;"",$O672&amp;" ","")&amp;IF($P672&lt;&gt;"",$P672&amp;" ","")&amp;IF($Q672&lt;&gt;"",$Q672&amp;" ","")&amp;IF($R672&lt;&gt;"",$R672,""))))</f>
        <v/>
      </c>
    </row>
    <row r="673" customFormat="false" ht="15" hidden="false" customHeight="false" outlineLevel="0" collapsed="false">
      <c r="A673" s="30" t="str">
        <f aca="false">IF($B673="","","LAN-"&amp;TEXT(ROW()-4,"000000"))</f>
        <v/>
      </c>
      <c r="B673" s="31"/>
      <c r="C673" s="32"/>
      <c r="D673" s="32"/>
      <c r="E673" s="32"/>
      <c r="F673" s="33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4" t="str">
        <f aca="false">IF($B673="","",YEAR($B673))</f>
        <v/>
      </c>
      <c r="U673" s="34" t="str">
        <f aca="false">IF($B673="","",MONTH($B673))</f>
        <v/>
      </c>
      <c r="V673" s="34" t="str">
        <f aca="false">IF($B673="","",YEAR($B673)*100+MONTH($B673))</f>
        <v/>
      </c>
      <c r="W673" s="35" t="str">
        <f aca="false">IF($D673="","",IFERROR(INDEX(MAP_CLASS,MATCH($D673,MAP_TIPO,0)),"TIPO INVALIDO"))</f>
        <v/>
      </c>
      <c r="X673" s="35" t="str">
        <f aca="false">IF($K673="","",IFERROR(INDEX(CAT_NOME,MATCH($K673,CAT_ID,0)),"?"))</f>
        <v/>
      </c>
      <c r="Y673" s="35" t="str">
        <f aca="false">IF($L673="","",IFERROR(INDEX(SUB_NOME,MATCH($L673,SUB_ID,0)),"?"))</f>
        <v/>
      </c>
      <c r="Z673" s="35" t="str">
        <f aca="false">IF($G673="","",IF($G673="EXTERNO","(Externo)",IFERROR(INDEX(ENT_NOME,MATCH($H673,ENT_ID,0)),"?")))</f>
        <v/>
      </c>
      <c r="AA673" s="35" t="str">
        <f aca="false">IF($I673="","",IF($I673="EXTERNO","(Externo)",IFERROR(INDEX(ENT_NOME,MATCH($J673,ENT_ID,0)),"?")))</f>
        <v/>
      </c>
      <c r="AB673" s="36" t="n">
        <f aca="false">IF($B673="",0,IF(AND($I673="CONTA",$G673&lt;&gt;"CONTA"),$F673,0))</f>
        <v>0</v>
      </c>
      <c r="AC673" s="36" t="n">
        <f aca="false">IF($B673="",0,IF(AND($G673="CONTA",$I673&lt;&gt;"CONTA"),$F673,0))</f>
        <v>0</v>
      </c>
      <c r="AD673" s="36" t="n">
        <f aca="false">IF($W673="RECEITA",$F673,0)</f>
        <v>0</v>
      </c>
      <c r="AE673" s="36" t="n">
        <f aca="false">IF($W673="DESPESA",$F673,0)</f>
        <v>0</v>
      </c>
      <c r="AF673" s="36" t="n">
        <f aca="false">IF($W673="RECEITA_FINANCEIRA",$F673,0)</f>
        <v>0</v>
      </c>
      <c r="AG673" s="36" t="n">
        <f aca="false">IF($B673="",0,IF($I673="CONTA",$F673,0)-IF($G673="CONTA",$F673,0))</f>
        <v>0</v>
      </c>
      <c r="AH673" s="36" t="n">
        <f aca="false">IF($B673="",0,IF($G673="CARTAO",$F673,0)-IF($I673="CARTAO",$F673,0))</f>
        <v>0</v>
      </c>
      <c r="AI673" s="36" t="n">
        <f aca="false">IF($B673="",0,IF($I673="INVESTIMENTO",$F673,0)-IF($G673="INVESTIMENTO",$F673,0))</f>
        <v>0</v>
      </c>
      <c r="AJ673" s="35" t="str">
        <f aca="false">IF($B673="","",IF(NOT(ISNUMBER($F673)),"ERRO: valor nao numerico",IF($F673&lt;=0,"ERRO: valor deve ser maior que zero",IF(COUNTIF(MAP_TIPO,$D673)=0,"ERRO: tipo de operacao nao cadastrado",IF(COUNTIF(LST_STATUS,$E673)=0,"ERRO: status invalido",IF(AND($G673="EXTERNO",$I673="EXTERNO"),"ERRO: origem e destino externos",IF(AND($G673&lt;&gt;"EXTERNO",COUNTIFS(ENT_ID,$H673,ENT_TIPO,$G673)=0),"ERRO: origem inexistente",IF(AND($I673&lt;&gt;"EXTERNO",COUNTIFS(ENT_ID,$J673,ENT_TIPO,$I673)=0),"ERRO: destino inexistente",IF(AND($K673&lt;&gt;"",COUNTIF(CAT_ID,$K673)=0),"ERRO: categoria inexistente",IF(AND($L673&lt;&gt;"",COUNTIF(SUB_ID,$L673)=0),"ERRO: subcategoria inexistente",IF(AND($L673&lt;&gt;"",$K673&lt;&gt;"",IFERROR(INDEX(SUB_CATID,MATCH($L673,SUB_ID,0)),"")&lt;&gt;$K673),"ERRO: subcategoria nao pertence a categoria",IF(AND($O673&lt;&gt;"",COUNTIF(P_ID,$O673)=0),"ERRO: parcela inexistente",IF(AND($N673&lt;&gt;"",COUNTIF(CM_ID,$N673)=0),"ERRO: compromisso inexistente","OK")))))))))))))</f>
        <v/>
      </c>
      <c r="AK673" s="35" t="str">
        <f aca="false">IF($B673="","",IF(AND($N673="",$O673="",$P673="",$Q673="",$R673=""),"","VINCULADO: "&amp;TRIM(IF($N673&lt;&gt;"",$N673&amp;" ","")&amp;IF($O673&lt;&gt;"",$O673&amp;" ","")&amp;IF($P673&lt;&gt;"",$P673&amp;" ","")&amp;IF($Q673&lt;&gt;"",$Q673&amp;" ","")&amp;IF($R673&lt;&gt;"",$R673,""))))</f>
        <v/>
      </c>
    </row>
    <row r="674" customFormat="false" ht="15" hidden="false" customHeight="false" outlineLevel="0" collapsed="false">
      <c r="A674" s="30" t="str">
        <f aca="false">IF($B674="","","LAN-"&amp;TEXT(ROW()-4,"000000"))</f>
        <v/>
      </c>
      <c r="B674" s="31"/>
      <c r="C674" s="32"/>
      <c r="D674" s="32"/>
      <c r="E674" s="32"/>
      <c r="F674" s="33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4" t="str">
        <f aca="false">IF($B674="","",YEAR($B674))</f>
        <v/>
      </c>
      <c r="U674" s="34" t="str">
        <f aca="false">IF($B674="","",MONTH($B674))</f>
        <v/>
      </c>
      <c r="V674" s="34" t="str">
        <f aca="false">IF($B674="","",YEAR($B674)*100+MONTH($B674))</f>
        <v/>
      </c>
      <c r="W674" s="35" t="str">
        <f aca="false">IF($D674="","",IFERROR(INDEX(MAP_CLASS,MATCH($D674,MAP_TIPO,0)),"TIPO INVALIDO"))</f>
        <v/>
      </c>
      <c r="X674" s="35" t="str">
        <f aca="false">IF($K674="","",IFERROR(INDEX(CAT_NOME,MATCH($K674,CAT_ID,0)),"?"))</f>
        <v/>
      </c>
      <c r="Y674" s="35" t="str">
        <f aca="false">IF($L674="","",IFERROR(INDEX(SUB_NOME,MATCH($L674,SUB_ID,0)),"?"))</f>
        <v/>
      </c>
      <c r="Z674" s="35" t="str">
        <f aca="false">IF($G674="","",IF($G674="EXTERNO","(Externo)",IFERROR(INDEX(ENT_NOME,MATCH($H674,ENT_ID,0)),"?")))</f>
        <v/>
      </c>
      <c r="AA674" s="35" t="str">
        <f aca="false">IF($I674="","",IF($I674="EXTERNO","(Externo)",IFERROR(INDEX(ENT_NOME,MATCH($J674,ENT_ID,0)),"?")))</f>
        <v/>
      </c>
      <c r="AB674" s="36" t="n">
        <f aca="false">IF($B674="",0,IF(AND($I674="CONTA",$G674&lt;&gt;"CONTA"),$F674,0))</f>
        <v>0</v>
      </c>
      <c r="AC674" s="36" t="n">
        <f aca="false">IF($B674="",0,IF(AND($G674="CONTA",$I674&lt;&gt;"CONTA"),$F674,0))</f>
        <v>0</v>
      </c>
      <c r="AD674" s="36" t="n">
        <f aca="false">IF($W674="RECEITA",$F674,0)</f>
        <v>0</v>
      </c>
      <c r="AE674" s="36" t="n">
        <f aca="false">IF($W674="DESPESA",$F674,0)</f>
        <v>0</v>
      </c>
      <c r="AF674" s="36" t="n">
        <f aca="false">IF($W674="RECEITA_FINANCEIRA",$F674,0)</f>
        <v>0</v>
      </c>
      <c r="AG674" s="36" t="n">
        <f aca="false">IF($B674="",0,IF($I674="CONTA",$F674,0)-IF($G674="CONTA",$F674,0))</f>
        <v>0</v>
      </c>
      <c r="AH674" s="36" t="n">
        <f aca="false">IF($B674="",0,IF($G674="CARTAO",$F674,0)-IF($I674="CARTAO",$F674,0))</f>
        <v>0</v>
      </c>
      <c r="AI674" s="36" t="n">
        <f aca="false">IF($B674="",0,IF($I674="INVESTIMENTO",$F674,0)-IF($G674="INVESTIMENTO",$F674,0))</f>
        <v>0</v>
      </c>
      <c r="AJ674" s="35" t="str">
        <f aca="false">IF($B674="","",IF(NOT(ISNUMBER($F674)),"ERRO: valor nao numerico",IF($F674&lt;=0,"ERRO: valor deve ser maior que zero",IF(COUNTIF(MAP_TIPO,$D674)=0,"ERRO: tipo de operacao nao cadastrado",IF(COUNTIF(LST_STATUS,$E674)=0,"ERRO: status invalido",IF(AND($G674="EXTERNO",$I674="EXTERNO"),"ERRO: origem e destino externos",IF(AND($G674&lt;&gt;"EXTERNO",COUNTIFS(ENT_ID,$H674,ENT_TIPO,$G674)=0),"ERRO: origem inexistente",IF(AND($I674&lt;&gt;"EXTERNO",COUNTIFS(ENT_ID,$J674,ENT_TIPO,$I674)=0),"ERRO: destino inexistente",IF(AND($K674&lt;&gt;"",COUNTIF(CAT_ID,$K674)=0),"ERRO: categoria inexistente",IF(AND($L674&lt;&gt;"",COUNTIF(SUB_ID,$L674)=0),"ERRO: subcategoria inexistente",IF(AND($L674&lt;&gt;"",$K674&lt;&gt;"",IFERROR(INDEX(SUB_CATID,MATCH($L674,SUB_ID,0)),"")&lt;&gt;$K674),"ERRO: subcategoria nao pertence a categoria",IF(AND($O674&lt;&gt;"",COUNTIF(P_ID,$O674)=0),"ERRO: parcela inexistente",IF(AND($N674&lt;&gt;"",COUNTIF(CM_ID,$N674)=0),"ERRO: compromisso inexistente","OK")))))))))))))</f>
        <v/>
      </c>
      <c r="AK674" s="35" t="str">
        <f aca="false">IF($B674="","",IF(AND($N674="",$O674="",$P674="",$Q674="",$R674=""),"","VINCULADO: "&amp;TRIM(IF($N674&lt;&gt;"",$N674&amp;" ","")&amp;IF($O674&lt;&gt;"",$O674&amp;" ","")&amp;IF($P674&lt;&gt;"",$P674&amp;" ","")&amp;IF($Q674&lt;&gt;"",$Q674&amp;" ","")&amp;IF($R674&lt;&gt;"",$R674,""))))</f>
        <v/>
      </c>
    </row>
    <row r="675" customFormat="false" ht="15" hidden="false" customHeight="false" outlineLevel="0" collapsed="false">
      <c r="A675" s="30" t="str">
        <f aca="false">IF($B675="","","LAN-"&amp;TEXT(ROW()-4,"000000"))</f>
        <v/>
      </c>
      <c r="B675" s="31"/>
      <c r="C675" s="32"/>
      <c r="D675" s="32"/>
      <c r="E675" s="32"/>
      <c r="F675" s="33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4" t="str">
        <f aca="false">IF($B675="","",YEAR($B675))</f>
        <v/>
      </c>
      <c r="U675" s="34" t="str">
        <f aca="false">IF($B675="","",MONTH($B675))</f>
        <v/>
      </c>
      <c r="V675" s="34" t="str">
        <f aca="false">IF($B675="","",YEAR($B675)*100+MONTH($B675))</f>
        <v/>
      </c>
      <c r="W675" s="35" t="str">
        <f aca="false">IF($D675="","",IFERROR(INDEX(MAP_CLASS,MATCH($D675,MAP_TIPO,0)),"TIPO INVALIDO"))</f>
        <v/>
      </c>
      <c r="X675" s="35" t="str">
        <f aca="false">IF($K675="","",IFERROR(INDEX(CAT_NOME,MATCH($K675,CAT_ID,0)),"?"))</f>
        <v/>
      </c>
      <c r="Y675" s="35" t="str">
        <f aca="false">IF($L675="","",IFERROR(INDEX(SUB_NOME,MATCH($L675,SUB_ID,0)),"?"))</f>
        <v/>
      </c>
      <c r="Z675" s="35" t="str">
        <f aca="false">IF($G675="","",IF($G675="EXTERNO","(Externo)",IFERROR(INDEX(ENT_NOME,MATCH($H675,ENT_ID,0)),"?")))</f>
        <v/>
      </c>
      <c r="AA675" s="35" t="str">
        <f aca="false">IF($I675="","",IF($I675="EXTERNO","(Externo)",IFERROR(INDEX(ENT_NOME,MATCH($J675,ENT_ID,0)),"?")))</f>
        <v/>
      </c>
      <c r="AB675" s="36" t="n">
        <f aca="false">IF($B675="",0,IF(AND($I675="CONTA",$G675&lt;&gt;"CONTA"),$F675,0))</f>
        <v>0</v>
      </c>
      <c r="AC675" s="36" t="n">
        <f aca="false">IF($B675="",0,IF(AND($G675="CONTA",$I675&lt;&gt;"CONTA"),$F675,0))</f>
        <v>0</v>
      </c>
      <c r="AD675" s="36" t="n">
        <f aca="false">IF($W675="RECEITA",$F675,0)</f>
        <v>0</v>
      </c>
      <c r="AE675" s="36" t="n">
        <f aca="false">IF($W675="DESPESA",$F675,0)</f>
        <v>0</v>
      </c>
      <c r="AF675" s="36" t="n">
        <f aca="false">IF($W675="RECEITA_FINANCEIRA",$F675,0)</f>
        <v>0</v>
      </c>
      <c r="AG675" s="36" t="n">
        <f aca="false">IF($B675="",0,IF($I675="CONTA",$F675,0)-IF($G675="CONTA",$F675,0))</f>
        <v>0</v>
      </c>
      <c r="AH675" s="36" t="n">
        <f aca="false">IF($B675="",0,IF($G675="CARTAO",$F675,0)-IF($I675="CARTAO",$F675,0))</f>
        <v>0</v>
      </c>
      <c r="AI675" s="36" t="n">
        <f aca="false">IF($B675="",0,IF($I675="INVESTIMENTO",$F675,0)-IF($G675="INVESTIMENTO",$F675,0))</f>
        <v>0</v>
      </c>
      <c r="AJ675" s="35" t="str">
        <f aca="false">IF($B675="","",IF(NOT(ISNUMBER($F675)),"ERRO: valor nao numerico",IF($F675&lt;=0,"ERRO: valor deve ser maior que zero",IF(COUNTIF(MAP_TIPO,$D675)=0,"ERRO: tipo de operacao nao cadastrado",IF(COUNTIF(LST_STATUS,$E675)=0,"ERRO: status invalido",IF(AND($G675="EXTERNO",$I675="EXTERNO"),"ERRO: origem e destino externos",IF(AND($G675&lt;&gt;"EXTERNO",COUNTIFS(ENT_ID,$H675,ENT_TIPO,$G675)=0),"ERRO: origem inexistente",IF(AND($I675&lt;&gt;"EXTERNO",COUNTIFS(ENT_ID,$J675,ENT_TIPO,$I675)=0),"ERRO: destino inexistente",IF(AND($K675&lt;&gt;"",COUNTIF(CAT_ID,$K675)=0),"ERRO: categoria inexistente",IF(AND($L675&lt;&gt;"",COUNTIF(SUB_ID,$L675)=0),"ERRO: subcategoria inexistente",IF(AND($L675&lt;&gt;"",$K675&lt;&gt;"",IFERROR(INDEX(SUB_CATID,MATCH($L675,SUB_ID,0)),"")&lt;&gt;$K675),"ERRO: subcategoria nao pertence a categoria",IF(AND($O675&lt;&gt;"",COUNTIF(P_ID,$O675)=0),"ERRO: parcela inexistente",IF(AND($N675&lt;&gt;"",COUNTIF(CM_ID,$N675)=0),"ERRO: compromisso inexistente","OK")))))))))))))</f>
        <v/>
      </c>
      <c r="AK675" s="35" t="str">
        <f aca="false">IF($B675="","",IF(AND($N675="",$O675="",$P675="",$Q675="",$R675=""),"","VINCULADO: "&amp;TRIM(IF($N675&lt;&gt;"",$N675&amp;" ","")&amp;IF($O675&lt;&gt;"",$O675&amp;" ","")&amp;IF($P675&lt;&gt;"",$P675&amp;" ","")&amp;IF($Q675&lt;&gt;"",$Q675&amp;" ","")&amp;IF($R675&lt;&gt;"",$R675,""))))</f>
        <v/>
      </c>
    </row>
    <row r="676" customFormat="false" ht="15" hidden="false" customHeight="false" outlineLevel="0" collapsed="false">
      <c r="A676" s="30" t="str">
        <f aca="false">IF($B676="","","LAN-"&amp;TEXT(ROW()-4,"000000"))</f>
        <v/>
      </c>
      <c r="B676" s="31"/>
      <c r="C676" s="32"/>
      <c r="D676" s="32"/>
      <c r="E676" s="32"/>
      <c r="F676" s="33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4" t="str">
        <f aca="false">IF($B676="","",YEAR($B676))</f>
        <v/>
      </c>
      <c r="U676" s="34" t="str">
        <f aca="false">IF($B676="","",MONTH($B676))</f>
        <v/>
      </c>
      <c r="V676" s="34" t="str">
        <f aca="false">IF($B676="","",YEAR($B676)*100+MONTH($B676))</f>
        <v/>
      </c>
      <c r="W676" s="35" t="str">
        <f aca="false">IF($D676="","",IFERROR(INDEX(MAP_CLASS,MATCH($D676,MAP_TIPO,0)),"TIPO INVALIDO"))</f>
        <v/>
      </c>
      <c r="X676" s="35" t="str">
        <f aca="false">IF($K676="","",IFERROR(INDEX(CAT_NOME,MATCH($K676,CAT_ID,0)),"?"))</f>
        <v/>
      </c>
      <c r="Y676" s="35" t="str">
        <f aca="false">IF($L676="","",IFERROR(INDEX(SUB_NOME,MATCH($L676,SUB_ID,0)),"?"))</f>
        <v/>
      </c>
      <c r="Z676" s="35" t="str">
        <f aca="false">IF($G676="","",IF($G676="EXTERNO","(Externo)",IFERROR(INDEX(ENT_NOME,MATCH($H676,ENT_ID,0)),"?")))</f>
        <v/>
      </c>
      <c r="AA676" s="35" t="str">
        <f aca="false">IF($I676="","",IF($I676="EXTERNO","(Externo)",IFERROR(INDEX(ENT_NOME,MATCH($J676,ENT_ID,0)),"?")))</f>
        <v/>
      </c>
      <c r="AB676" s="36" t="n">
        <f aca="false">IF($B676="",0,IF(AND($I676="CONTA",$G676&lt;&gt;"CONTA"),$F676,0))</f>
        <v>0</v>
      </c>
      <c r="AC676" s="36" t="n">
        <f aca="false">IF($B676="",0,IF(AND($G676="CONTA",$I676&lt;&gt;"CONTA"),$F676,0))</f>
        <v>0</v>
      </c>
      <c r="AD676" s="36" t="n">
        <f aca="false">IF($W676="RECEITA",$F676,0)</f>
        <v>0</v>
      </c>
      <c r="AE676" s="36" t="n">
        <f aca="false">IF($W676="DESPESA",$F676,0)</f>
        <v>0</v>
      </c>
      <c r="AF676" s="36" t="n">
        <f aca="false">IF($W676="RECEITA_FINANCEIRA",$F676,0)</f>
        <v>0</v>
      </c>
      <c r="AG676" s="36" t="n">
        <f aca="false">IF($B676="",0,IF($I676="CONTA",$F676,0)-IF($G676="CONTA",$F676,0))</f>
        <v>0</v>
      </c>
      <c r="AH676" s="36" t="n">
        <f aca="false">IF($B676="",0,IF($G676="CARTAO",$F676,0)-IF($I676="CARTAO",$F676,0))</f>
        <v>0</v>
      </c>
      <c r="AI676" s="36" t="n">
        <f aca="false">IF($B676="",0,IF($I676="INVESTIMENTO",$F676,0)-IF($G676="INVESTIMENTO",$F676,0))</f>
        <v>0</v>
      </c>
      <c r="AJ676" s="35" t="str">
        <f aca="false">IF($B676="","",IF(NOT(ISNUMBER($F676)),"ERRO: valor nao numerico",IF($F676&lt;=0,"ERRO: valor deve ser maior que zero",IF(COUNTIF(MAP_TIPO,$D676)=0,"ERRO: tipo de operacao nao cadastrado",IF(COUNTIF(LST_STATUS,$E676)=0,"ERRO: status invalido",IF(AND($G676="EXTERNO",$I676="EXTERNO"),"ERRO: origem e destino externos",IF(AND($G676&lt;&gt;"EXTERNO",COUNTIFS(ENT_ID,$H676,ENT_TIPO,$G676)=0),"ERRO: origem inexistente",IF(AND($I676&lt;&gt;"EXTERNO",COUNTIFS(ENT_ID,$J676,ENT_TIPO,$I676)=0),"ERRO: destino inexistente",IF(AND($K676&lt;&gt;"",COUNTIF(CAT_ID,$K676)=0),"ERRO: categoria inexistente",IF(AND($L676&lt;&gt;"",COUNTIF(SUB_ID,$L676)=0),"ERRO: subcategoria inexistente",IF(AND($L676&lt;&gt;"",$K676&lt;&gt;"",IFERROR(INDEX(SUB_CATID,MATCH($L676,SUB_ID,0)),"")&lt;&gt;$K676),"ERRO: subcategoria nao pertence a categoria",IF(AND($O676&lt;&gt;"",COUNTIF(P_ID,$O676)=0),"ERRO: parcela inexistente",IF(AND($N676&lt;&gt;"",COUNTIF(CM_ID,$N676)=0),"ERRO: compromisso inexistente","OK")))))))))))))</f>
        <v/>
      </c>
      <c r="AK676" s="35" t="str">
        <f aca="false">IF($B676="","",IF(AND($N676="",$O676="",$P676="",$Q676="",$R676=""),"","VINCULADO: "&amp;TRIM(IF($N676&lt;&gt;"",$N676&amp;" ","")&amp;IF($O676&lt;&gt;"",$O676&amp;" ","")&amp;IF($P676&lt;&gt;"",$P676&amp;" ","")&amp;IF($Q676&lt;&gt;"",$Q676&amp;" ","")&amp;IF($R676&lt;&gt;"",$R676,""))))</f>
        <v/>
      </c>
    </row>
    <row r="677" customFormat="false" ht="15" hidden="false" customHeight="false" outlineLevel="0" collapsed="false">
      <c r="A677" s="30" t="str">
        <f aca="false">IF($B677="","","LAN-"&amp;TEXT(ROW()-4,"000000"))</f>
        <v/>
      </c>
      <c r="B677" s="31"/>
      <c r="C677" s="32"/>
      <c r="D677" s="32"/>
      <c r="E677" s="32"/>
      <c r="F677" s="33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4" t="str">
        <f aca="false">IF($B677="","",YEAR($B677))</f>
        <v/>
      </c>
      <c r="U677" s="34" t="str">
        <f aca="false">IF($B677="","",MONTH($B677))</f>
        <v/>
      </c>
      <c r="V677" s="34" t="str">
        <f aca="false">IF($B677="","",YEAR($B677)*100+MONTH($B677))</f>
        <v/>
      </c>
      <c r="W677" s="35" t="str">
        <f aca="false">IF($D677="","",IFERROR(INDEX(MAP_CLASS,MATCH($D677,MAP_TIPO,0)),"TIPO INVALIDO"))</f>
        <v/>
      </c>
      <c r="X677" s="35" t="str">
        <f aca="false">IF($K677="","",IFERROR(INDEX(CAT_NOME,MATCH($K677,CAT_ID,0)),"?"))</f>
        <v/>
      </c>
      <c r="Y677" s="35" t="str">
        <f aca="false">IF($L677="","",IFERROR(INDEX(SUB_NOME,MATCH($L677,SUB_ID,0)),"?"))</f>
        <v/>
      </c>
      <c r="Z677" s="35" t="str">
        <f aca="false">IF($G677="","",IF($G677="EXTERNO","(Externo)",IFERROR(INDEX(ENT_NOME,MATCH($H677,ENT_ID,0)),"?")))</f>
        <v/>
      </c>
      <c r="AA677" s="35" t="str">
        <f aca="false">IF($I677="","",IF($I677="EXTERNO","(Externo)",IFERROR(INDEX(ENT_NOME,MATCH($J677,ENT_ID,0)),"?")))</f>
        <v/>
      </c>
      <c r="AB677" s="36" t="n">
        <f aca="false">IF($B677="",0,IF(AND($I677="CONTA",$G677&lt;&gt;"CONTA"),$F677,0))</f>
        <v>0</v>
      </c>
      <c r="AC677" s="36" t="n">
        <f aca="false">IF($B677="",0,IF(AND($G677="CONTA",$I677&lt;&gt;"CONTA"),$F677,0))</f>
        <v>0</v>
      </c>
      <c r="AD677" s="36" t="n">
        <f aca="false">IF($W677="RECEITA",$F677,0)</f>
        <v>0</v>
      </c>
      <c r="AE677" s="36" t="n">
        <f aca="false">IF($W677="DESPESA",$F677,0)</f>
        <v>0</v>
      </c>
      <c r="AF677" s="36" t="n">
        <f aca="false">IF($W677="RECEITA_FINANCEIRA",$F677,0)</f>
        <v>0</v>
      </c>
      <c r="AG677" s="36" t="n">
        <f aca="false">IF($B677="",0,IF($I677="CONTA",$F677,0)-IF($G677="CONTA",$F677,0))</f>
        <v>0</v>
      </c>
      <c r="AH677" s="36" t="n">
        <f aca="false">IF($B677="",0,IF($G677="CARTAO",$F677,0)-IF($I677="CARTAO",$F677,0))</f>
        <v>0</v>
      </c>
      <c r="AI677" s="36" t="n">
        <f aca="false">IF($B677="",0,IF($I677="INVESTIMENTO",$F677,0)-IF($G677="INVESTIMENTO",$F677,0))</f>
        <v>0</v>
      </c>
      <c r="AJ677" s="35" t="str">
        <f aca="false">IF($B677="","",IF(NOT(ISNUMBER($F677)),"ERRO: valor nao numerico",IF($F677&lt;=0,"ERRO: valor deve ser maior que zero",IF(COUNTIF(MAP_TIPO,$D677)=0,"ERRO: tipo de operacao nao cadastrado",IF(COUNTIF(LST_STATUS,$E677)=0,"ERRO: status invalido",IF(AND($G677="EXTERNO",$I677="EXTERNO"),"ERRO: origem e destino externos",IF(AND($G677&lt;&gt;"EXTERNO",COUNTIFS(ENT_ID,$H677,ENT_TIPO,$G677)=0),"ERRO: origem inexistente",IF(AND($I677&lt;&gt;"EXTERNO",COUNTIFS(ENT_ID,$J677,ENT_TIPO,$I677)=0),"ERRO: destino inexistente",IF(AND($K677&lt;&gt;"",COUNTIF(CAT_ID,$K677)=0),"ERRO: categoria inexistente",IF(AND($L677&lt;&gt;"",COUNTIF(SUB_ID,$L677)=0),"ERRO: subcategoria inexistente",IF(AND($L677&lt;&gt;"",$K677&lt;&gt;"",IFERROR(INDEX(SUB_CATID,MATCH($L677,SUB_ID,0)),"")&lt;&gt;$K677),"ERRO: subcategoria nao pertence a categoria",IF(AND($O677&lt;&gt;"",COUNTIF(P_ID,$O677)=0),"ERRO: parcela inexistente",IF(AND($N677&lt;&gt;"",COUNTIF(CM_ID,$N677)=0),"ERRO: compromisso inexistente","OK")))))))))))))</f>
        <v/>
      </c>
      <c r="AK677" s="35" t="str">
        <f aca="false">IF($B677="","",IF(AND($N677="",$O677="",$P677="",$Q677="",$R677=""),"","VINCULADO: "&amp;TRIM(IF($N677&lt;&gt;"",$N677&amp;" ","")&amp;IF($O677&lt;&gt;"",$O677&amp;" ","")&amp;IF($P677&lt;&gt;"",$P677&amp;" ","")&amp;IF($Q677&lt;&gt;"",$Q677&amp;" ","")&amp;IF($R677&lt;&gt;"",$R677,""))))</f>
        <v/>
      </c>
    </row>
    <row r="678" customFormat="false" ht="15" hidden="false" customHeight="false" outlineLevel="0" collapsed="false">
      <c r="A678" s="30" t="str">
        <f aca="false">IF($B678="","","LAN-"&amp;TEXT(ROW()-4,"000000"))</f>
        <v/>
      </c>
      <c r="B678" s="31"/>
      <c r="C678" s="32"/>
      <c r="D678" s="32"/>
      <c r="E678" s="32"/>
      <c r="F678" s="33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4" t="str">
        <f aca="false">IF($B678="","",YEAR($B678))</f>
        <v/>
      </c>
      <c r="U678" s="34" t="str">
        <f aca="false">IF($B678="","",MONTH($B678))</f>
        <v/>
      </c>
      <c r="V678" s="34" t="str">
        <f aca="false">IF($B678="","",YEAR($B678)*100+MONTH($B678))</f>
        <v/>
      </c>
      <c r="W678" s="35" t="str">
        <f aca="false">IF($D678="","",IFERROR(INDEX(MAP_CLASS,MATCH($D678,MAP_TIPO,0)),"TIPO INVALIDO"))</f>
        <v/>
      </c>
      <c r="X678" s="35" t="str">
        <f aca="false">IF($K678="","",IFERROR(INDEX(CAT_NOME,MATCH($K678,CAT_ID,0)),"?"))</f>
        <v/>
      </c>
      <c r="Y678" s="35" t="str">
        <f aca="false">IF($L678="","",IFERROR(INDEX(SUB_NOME,MATCH($L678,SUB_ID,0)),"?"))</f>
        <v/>
      </c>
      <c r="Z678" s="35" t="str">
        <f aca="false">IF($G678="","",IF($G678="EXTERNO","(Externo)",IFERROR(INDEX(ENT_NOME,MATCH($H678,ENT_ID,0)),"?")))</f>
        <v/>
      </c>
      <c r="AA678" s="35" t="str">
        <f aca="false">IF($I678="","",IF($I678="EXTERNO","(Externo)",IFERROR(INDEX(ENT_NOME,MATCH($J678,ENT_ID,0)),"?")))</f>
        <v/>
      </c>
      <c r="AB678" s="36" t="n">
        <f aca="false">IF($B678="",0,IF(AND($I678="CONTA",$G678&lt;&gt;"CONTA"),$F678,0))</f>
        <v>0</v>
      </c>
      <c r="AC678" s="36" t="n">
        <f aca="false">IF($B678="",0,IF(AND($G678="CONTA",$I678&lt;&gt;"CONTA"),$F678,0))</f>
        <v>0</v>
      </c>
      <c r="AD678" s="36" t="n">
        <f aca="false">IF($W678="RECEITA",$F678,0)</f>
        <v>0</v>
      </c>
      <c r="AE678" s="36" t="n">
        <f aca="false">IF($W678="DESPESA",$F678,0)</f>
        <v>0</v>
      </c>
      <c r="AF678" s="36" t="n">
        <f aca="false">IF($W678="RECEITA_FINANCEIRA",$F678,0)</f>
        <v>0</v>
      </c>
      <c r="AG678" s="36" t="n">
        <f aca="false">IF($B678="",0,IF($I678="CONTA",$F678,0)-IF($G678="CONTA",$F678,0))</f>
        <v>0</v>
      </c>
      <c r="AH678" s="36" t="n">
        <f aca="false">IF($B678="",0,IF($G678="CARTAO",$F678,0)-IF($I678="CARTAO",$F678,0))</f>
        <v>0</v>
      </c>
      <c r="AI678" s="36" t="n">
        <f aca="false">IF($B678="",0,IF($I678="INVESTIMENTO",$F678,0)-IF($G678="INVESTIMENTO",$F678,0))</f>
        <v>0</v>
      </c>
      <c r="AJ678" s="35" t="str">
        <f aca="false">IF($B678="","",IF(NOT(ISNUMBER($F678)),"ERRO: valor nao numerico",IF($F678&lt;=0,"ERRO: valor deve ser maior que zero",IF(COUNTIF(MAP_TIPO,$D678)=0,"ERRO: tipo de operacao nao cadastrado",IF(COUNTIF(LST_STATUS,$E678)=0,"ERRO: status invalido",IF(AND($G678="EXTERNO",$I678="EXTERNO"),"ERRO: origem e destino externos",IF(AND($G678&lt;&gt;"EXTERNO",COUNTIFS(ENT_ID,$H678,ENT_TIPO,$G678)=0),"ERRO: origem inexistente",IF(AND($I678&lt;&gt;"EXTERNO",COUNTIFS(ENT_ID,$J678,ENT_TIPO,$I678)=0),"ERRO: destino inexistente",IF(AND($K678&lt;&gt;"",COUNTIF(CAT_ID,$K678)=0),"ERRO: categoria inexistente",IF(AND($L678&lt;&gt;"",COUNTIF(SUB_ID,$L678)=0),"ERRO: subcategoria inexistente",IF(AND($L678&lt;&gt;"",$K678&lt;&gt;"",IFERROR(INDEX(SUB_CATID,MATCH($L678,SUB_ID,0)),"")&lt;&gt;$K678),"ERRO: subcategoria nao pertence a categoria",IF(AND($O678&lt;&gt;"",COUNTIF(P_ID,$O678)=0),"ERRO: parcela inexistente",IF(AND($N678&lt;&gt;"",COUNTIF(CM_ID,$N678)=0),"ERRO: compromisso inexistente","OK")))))))))))))</f>
        <v/>
      </c>
      <c r="AK678" s="35" t="str">
        <f aca="false">IF($B678="","",IF(AND($N678="",$O678="",$P678="",$Q678="",$R678=""),"","VINCULADO: "&amp;TRIM(IF($N678&lt;&gt;"",$N678&amp;" ","")&amp;IF($O678&lt;&gt;"",$O678&amp;" ","")&amp;IF($P678&lt;&gt;"",$P678&amp;" ","")&amp;IF($Q678&lt;&gt;"",$Q678&amp;" ","")&amp;IF($R678&lt;&gt;"",$R678,""))))</f>
        <v/>
      </c>
    </row>
    <row r="679" customFormat="false" ht="15" hidden="false" customHeight="false" outlineLevel="0" collapsed="false">
      <c r="A679" s="30" t="str">
        <f aca="false">IF($B679="","","LAN-"&amp;TEXT(ROW()-4,"000000"))</f>
        <v/>
      </c>
      <c r="B679" s="31"/>
      <c r="C679" s="32"/>
      <c r="D679" s="32"/>
      <c r="E679" s="32"/>
      <c r="F679" s="33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4" t="str">
        <f aca="false">IF($B679="","",YEAR($B679))</f>
        <v/>
      </c>
      <c r="U679" s="34" t="str">
        <f aca="false">IF($B679="","",MONTH($B679))</f>
        <v/>
      </c>
      <c r="V679" s="34" t="str">
        <f aca="false">IF($B679="","",YEAR($B679)*100+MONTH($B679))</f>
        <v/>
      </c>
      <c r="W679" s="35" t="str">
        <f aca="false">IF($D679="","",IFERROR(INDEX(MAP_CLASS,MATCH($D679,MAP_TIPO,0)),"TIPO INVALIDO"))</f>
        <v/>
      </c>
      <c r="X679" s="35" t="str">
        <f aca="false">IF($K679="","",IFERROR(INDEX(CAT_NOME,MATCH($K679,CAT_ID,0)),"?"))</f>
        <v/>
      </c>
      <c r="Y679" s="35" t="str">
        <f aca="false">IF($L679="","",IFERROR(INDEX(SUB_NOME,MATCH($L679,SUB_ID,0)),"?"))</f>
        <v/>
      </c>
      <c r="Z679" s="35" t="str">
        <f aca="false">IF($G679="","",IF($G679="EXTERNO","(Externo)",IFERROR(INDEX(ENT_NOME,MATCH($H679,ENT_ID,0)),"?")))</f>
        <v/>
      </c>
      <c r="AA679" s="35" t="str">
        <f aca="false">IF($I679="","",IF($I679="EXTERNO","(Externo)",IFERROR(INDEX(ENT_NOME,MATCH($J679,ENT_ID,0)),"?")))</f>
        <v/>
      </c>
      <c r="AB679" s="36" t="n">
        <f aca="false">IF($B679="",0,IF(AND($I679="CONTA",$G679&lt;&gt;"CONTA"),$F679,0))</f>
        <v>0</v>
      </c>
      <c r="AC679" s="36" t="n">
        <f aca="false">IF($B679="",0,IF(AND($G679="CONTA",$I679&lt;&gt;"CONTA"),$F679,0))</f>
        <v>0</v>
      </c>
      <c r="AD679" s="36" t="n">
        <f aca="false">IF($W679="RECEITA",$F679,0)</f>
        <v>0</v>
      </c>
      <c r="AE679" s="36" t="n">
        <f aca="false">IF($W679="DESPESA",$F679,0)</f>
        <v>0</v>
      </c>
      <c r="AF679" s="36" t="n">
        <f aca="false">IF($W679="RECEITA_FINANCEIRA",$F679,0)</f>
        <v>0</v>
      </c>
      <c r="AG679" s="36" t="n">
        <f aca="false">IF($B679="",0,IF($I679="CONTA",$F679,0)-IF($G679="CONTA",$F679,0))</f>
        <v>0</v>
      </c>
      <c r="AH679" s="36" t="n">
        <f aca="false">IF($B679="",0,IF($G679="CARTAO",$F679,0)-IF($I679="CARTAO",$F679,0))</f>
        <v>0</v>
      </c>
      <c r="AI679" s="36" t="n">
        <f aca="false">IF($B679="",0,IF($I679="INVESTIMENTO",$F679,0)-IF($G679="INVESTIMENTO",$F679,0))</f>
        <v>0</v>
      </c>
      <c r="AJ679" s="35" t="str">
        <f aca="false">IF($B679="","",IF(NOT(ISNUMBER($F679)),"ERRO: valor nao numerico",IF($F679&lt;=0,"ERRO: valor deve ser maior que zero",IF(COUNTIF(MAP_TIPO,$D679)=0,"ERRO: tipo de operacao nao cadastrado",IF(COUNTIF(LST_STATUS,$E679)=0,"ERRO: status invalido",IF(AND($G679="EXTERNO",$I679="EXTERNO"),"ERRO: origem e destino externos",IF(AND($G679&lt;&gt;"EXTERNO",COUNTIFS(ENT_ID,$H679,ENT_TIPO,$G679)=0),"ERRO: origem inexistente",IF(AND($I679&lt;&gt;"EXTERNO",COUNTIFS(ENT_ID,$J679,ENT_TIPO,$I679)=0),"ERRO: destino inexistente",IF(AND($K679&lt;&gt;"",COUNTIF(CAT_ID,$K679)=0),"ERRO: categoria inexistente",IF(AND($L679&lt;&gt;"",COUNTIF(SUB_ID,$L679)=0),"ERRO: subcategoria inexistente",IF(AND($L679&lt;&gt;"",$K679&lt;&gt;"",IFERROR(INDEX(SUB_CATID,MATCH($L679,SUB_ID,0)),"")&lt;&gt;$K679),"ERRO: subcategoria nao pertence a categoria",IF(AND($O679&lt;&gt;"",COUNTIF(P_ID,$O679)=0),"ERRO: parcela inexistente",IF(AND($N679&lt;&gt;"",COUNTIF(CM_ID,$N679)=0),"ERRO: compromisso inexistente","OK")))))))))))))</f>
        <v/>
      </c>
      <c r="AK679" s="35" t="str">
        <f aca="false">IF($B679="","",IF(AND($N679="",$O679="",$P679="",$Q679="",$R679=""),"","VINCULADO: "&amp;TRIM(IF($N679&lt;&gt;"",$N679&amp;" ","")&amp;IF($O679&lt;&gt;"",$O679&amp;" ","")&amp;IF($P679&lt;&gt;"",$P679&amp;" ","")&amp;IF($Q679&lt;&gt;"",$Q679&amp;" ","")&amp;IF($R679&lt;&gt;"",$R679,""))))</f>
        <v/>
      </c>
    </row>
    <row r="680" customFormat="false" ht="15" hidden="false" customHeight="false" outlineLevel="0" collapsed="false">
      <c r="A680" s="30" t="str">
        <f aca="false">IF($B680="","","LAN-"&amp;TEXT(ROW()-4,"000000"))</f>
        <v/>
      </c>
      <c r="B680" s="31"/>
      <c r="C680" s="32"/>
      <c r="D680" s="32"/>
      <c r="E680" s="32"/>
      <c r="F680" s="33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4" t="str">
        <f aca="false">IF($B680="","",YEAR($B680))</f>
        <v/>
      </c>
      <c r="U680" s="34" t="str">
        <f aca="false">IF($B680="","",MONTH($B680))</f>
        <v/>
      </c>
      <c r="V680" s="34" t="str">
        <f aca="false">IF($B680="","",YEAR($B680)*100+MONTH($B680))</f>
        <v/>
      </c>
      <c r="W680" s="35" t="str">
        <f aca="false">IF($D680="","",IFERROR(INDEX(MAP_CLASS,MATCH($D680,MAP_TIPO,0)),"TIPO INVALIDO"))</f>
        <v/>
      </c>
      <c r="X680" s="35" t="str">
        <f aca="false">IF($K680="","",IFERROR(INDEX(CAT_NOME,MATCH($K680,CAT_ID,0)),"?"))</f>
        <v/>
      </c>
      <c r="Y680" s="35" t="str">
        <f aca="false">IF($L680="","",IFERROR(INDEX(SUB_NOME,MATCH($L680,SUB_ID,0)),"?"))</f>
        <v/>
      </c>
      <c r="Z680" s="35" t="str">
        <f aca="false">IF($G680="","",IF($G680="EXTERNO","(Externo)",IFERROR(INDEX(ENT_NOME,MATCH($H680,ENT_ID,0)),"?")))</f>
        <v/>
      </c>
      <c r="AA680" s="35" t="str">
        <f aca="false">IF($I680="","",IF($I680="EXTERNO","(Externo)",IFERROR(INDEX(ENT_NOME,MATCH($J680,ENT_ID,0)),"?")))</f>
        <v/>
      </c>
      <c r="AB680" s="36" t="n">
        <f aca="false">IF($B680="",0,IF(AND($I680="CONTA",$G680&lt;&gt;"CONTA"),$F680,0))</f>
        <v>0</v>
      </c>
      <c r="AC680" s="36" t="n">
        <f aca="false">IF($B680="",0,IF(AND($G680="CONTA",$I680&lt;&gt;"CONTA"),$F680,0))</f>
        <v>0</v>
      </c>
      <c r="AD680" s="36" t="n">
        <f aca="false">IF($W680="RECEITA",$F680,0)</f>
        <v>0</v>
      </c>
      <c r="AE680" s="36" t="n">
        <f aca="false">IF($W680="DESPESA",$F680,0)</f>
        <v>0</v>
      </c>
      <c r="AF680" s="36" t="n">
        <f aca="false">IF($W680="RECEITA_FINANCEIRA",$F680,0)</f>
        <v>0</v>
      </c>
      <c r="AG680" s="36" t="n">
        <f aca="false">IF($B680="",0,IF($I680="CONTA",$F680,0)-IF($G680="CONTA",$F680,0))</f>
        <v>0</v>
      </c>
      <c r="AH680" s="36" t="n">
        <f aca="false">IF($B680="",0,IF($G680="CARTAO",$F680,0)-IF($I680="CARTAO",$F680,0))</f>
        <v>0</v>
      </c>
      <c r="AI680" s="36" t="n">
        <f aca="false">IF($B680="",0,IF($I680="INVESTIMENTO",$F680,0)-IF($G680="INVESTIMENTO",$F680,0))</f>
        <v>0</v>
      </c>
      <c r="AJ680" s="35" t="str">
        <f aca="false">IF($B680="","",IF(NOT(ISNUMBER($F680)),"ERRO: valor nao numerico",IF($F680&lt;=0,"ERRO: valor deve ser maior que zero",IF(COUNTIF(MAP_TIPO,$D680)=0,"ERRO: tipo de operacao nao cadastrado",IF(COUNTIF(LST_STATUS,$E680)=0,"ERRO: status invalido",IF(AND($G680="EXTERNO",$I680="EXTERNO"),"ERRO: origem e destino externos",IF(AND($G680&lt;&gt;"EXTERNO",COUNTIFS(ENT_ID,$H680,ENT_TIPO,$G680)=0),"ERRO: origem inexistente",IF(AND($I680&lt;&gt;"EXTERNO",COUNTIFS(ENT_ID,$J680,ENT_TIPO,$I680)=0),"ERRO: destino inexistente",IF(AND($K680&lt;&gt;"",COUNTIF(CAT_ID,$K680)=0),"ERRO: categoria inexistente",IF(AND($L680&lt;&gt;"",COUNTIF(SUB_ID,$L680)=0),"ERRO: subcategoria inexistente",IF(AND($L680&lt;&gt;"",$K680&lt;&gt;"",IFERROR(INDEX(SUB_CATID,MATCH($L680,SUB_ID,0)),"")&lt;&gt;$K680),"ERRO: subcategoria nao pertence a categoria",IF(AND($O680&lt;&gt;"",COUNTIF(P_ID,$O680)=0),"ERRO: parcela inexistente",IF(AND($N680&lt;&gt;"",COUNTIF(CM_ID,$N680)=0),"ERRO: compromisso inexistente","OK")))))))))))))</f>
        <v/>
      </c>
      <c r="AK680" s="35" t="str">
        <f aca="false">IF($B680="","",IF(AND($N680="",$O680="",$P680="",$Q680="",$R680=""),"","VINCULADO: "&amp;TRIM(IF($N680&lt;&gt;"",$N680&amp;" ","")&amp;IF($O680&lt;&gt;"",$O680&amp;" ","")&amp;IF($P680&lt;&gt;"",$P680&amp;" ","")&amp;IF($Q680&lt;&gt;"",$Q680&amp;" ","")&amp;IF($R680&lt;&gt;"",$R680,""))))</f>
        <v/>
      </c>
    </row>
    <row r="681" customFormat="false" ht="15" hidden="false" customHeight="false" outlineLevel="0" collapsed="false">
      <c r="A681" s="30" t="str">
        <f aca="false">IF($B681="","","LAN-"&amp;TEXT(ROW()-4,"000000"))</f>
        <v/>
      </c>
      <c r="B681" s="31"/>
      <c r="C681" s="32"/>
      <c r="D681" s="32"/>
      <c r="E681" s="32"/>
      <c r="F681" s="33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4" t="str">
        <f aca="false">IF($B681="","",YEAR($B681))</f>
        <v/>
      </c>
      <c r="U681" s="34" t="str">
        <f aca="false">IF($B681="","",MONTH($B681))</f>
        <v/>
      </c>
      <c r="V681" s="34" t="str">
        <f aca="false">IF($B681="","",YEAR($B681)*100+MONTH($B681))</f>
        <v/>
      </c>
      <c r="W681" s="35" t="str">
        <f aca="false">IF($D681="","",IFERROR(INDEX(MAP_CLASS,MATCH($D681,MAP_TIPO,0)),"TIPO INVALIDO"))</f>
        <v/>
      </c>
      <c r="X681" s="35" t="str">
        <f aca="false">IF($K681="","",IFERROR(INDEX(CAT_NOME,MATCH($K681,CAT_ID,0)),"?"))</f>
        <v/>
      </c>
      <c r="Y681" s="35" t="str">
        <f aca="false">IF($L681="","",IFERROR(INDEX(SUB_NOME,MATCH($L681,SUB_ID,0)),"?"))</f>
        <v/>
      </c>
      <c r="Z681" s="35" t="str">
        <f aca="false">IF($G681="","",IF($G681="EXTERNO","(Externo)",IFERROR(INDEX(ENT_NOME,MATCH($H681,ENT_ID,0)),"?")))</f>
        <v/>
      </c>
      <c r="AA681" s="35" t="str">
        <f aca="false">IF($I681="","",IF($I681="EXTERNO","(Externo)",IFERROR(INDEX(ENT_NOME,MATCH($J681,ENT_ID,0)),"?")))</f>
        <v/>
      </c>
      <c r="AB681" s="36" t="n">
        <f aca="false">IF($B681="",0,IF(AND($I681="CONTA",$G681&lt;&gt;"CONTA"),$F681,0))</f>
        <v>0</v>
      </c>
      <c r="AC681" s="36" t="n">
        <f aca="false">IF($B681="",0,IF(AND($G681="CONTA",$I681&lt;&gt;"CONTA"),$F681,0))</f>
        <v>0</v>
      </c>
      <c r="AD681" s="36" t="n">
        <f aca="false">IF($W681="RECEITA",$F681,0)</f>
        <v>0</v>
      </c>
      <c r="AE681" s="36" t="n">
        <f aca="false">IF($W681="DESPESA",$F681,0)</f>
        <v>0</v>
      </c>
      <c r="AF681" s="36" t="n">
        <f aca="false">IF($W681="RECEITA_FINANCEIRA",$F681,0)</f>
        <v>0</v>
      </c>
      <c r="AG681" s="36" t="n">
        <f aca="false">IF($B681="",0,IF($I681="CONTA",$F681,0)-IF($G681="CONTA",$F681,0))</f>
        <v>0</v>
      </c>
      <c r="AH681" s="36" t="n">
        <f aca="false">IF($B681="",0,IF($G681="CARTAO",$F681,0)-IF($I681="CARTAO",$F681,0))</f>
        <v>0</v>
      </c>
      <c r="AI681" s="36" t="n">
        <f aca="false">IF($B681="",0,IF($I681="INVESTIMENTO",$F681,0)-IF($G681="INVESTIMENTO",$F681,0))</f>
        <v>0</v>
      </c>
      <c r="AJ681" s="35" t="str">
        <f aca="false">IF($B681="","",IF(NOT(ISNUMBER($F681)),"ERRO: valor nao numerico",IF($F681&lt;=0,"ERRO: valor deve ser maior que zero",IF(COUNTIF(MAP_TIPO,$D681)=0,"ERRO: tipo de operacao nao cadastrado",IF(COUNTIF(LST_STATUS,$E681)=0,"ERRO: status invalido",IF(AND($G681="EXTERNO",$I681="EXTERNO"),"ERRO: origem e destino externos",IF(AND($G681&lt;&gt;"EXTERNO",COUNTIFS(ENT_ID,$H681,ENT_TIPO,$G681)=0),"ERRO: origem inexistente",IF(AND($I681&lt;&gt;"EXTERNO",COUNTIFS(ENT_ID,$J681,ENT_TIPO,$I681)=0),"ERRO: destino inexistente",IF(AND($K681&lt;&gt;"",COUNTIF(CAT_ID,$K681)=0),"ERRO: categoria inexistente",IF(AND($L681&lt;&gt;"",COUNTIF(SUB_ID,$L681)=0),"ERRO: subcategoria inexistente",IF(AND($L681&lt;&gt;"",$K681&lt;&gt;"",IFERROR(INDEX(SUB_CATID,MATCH($L681,SUB_ID,0)),"")&lt;&gt;$K681),"ERRO: subcategoria nao pertence a categoria",IF(AND($O681&lt;&gt;"",COUNTIF(P_ID,$O681)=0),"ERRO: parcela inexistente",IF(AND($N681&lt;&gt;"",COUNTIF(CM_ID,$N681)=0),"ERRO: compromisso inexistente","OK")))))))))))))</f>
        <v/>
      </c>
      <c r="AK681" s="35" t="str">
        <f aca="false">IF($B681="","",IF(AND($N681="",$O681="",$P681="",$Q681="",$R681=""),"","VINCULADO: "&amp;TRIM(IF($N681&lt;&gt;"",$N681&amp;" ","")&amp;IF($O681&lt;&gt;"",$O681&amp;" ","")&amp;IF($P681&lt;&gt;"",$P681&amp;" ","")&amp;IF($Q681&lt;&gt;"",$Q681&amp;" ","")&amp;IF($R681&lt;&gt;"",$R681,""))))</f>
        <v/>
      </c>
    </row>
    <row r="682" customFormat="false" ht="15" hidden="false" customHeight="false" outlineLevel="0" collapsed="false">
      <c r="A682" s="30" t="str">
        <f aca="false">IF($B682="","","LAN-"&amp;TEXT(ROW()-4,"000000"))</f>
        <v/>
      </c>
      <c r="B682" s="31"/>
      <c r="C682" s="32"/>
      <c r="D682" s="32"/>
      <c r="E682" s="32"/>
      <c r="F682" s="33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4" t="str">
        <f aca="false">IF($B682="","",YEAR($B682))</f>
        <v/>
      </c>
      <c r="U682" s="34" t="str">
        <f aca="false">IF($B682="","",MONTH($B682))</f>
        <v/>
      </c>
      <c r="V682" s="34" t="str">
        <f aca="false">IF($B682="","",YEAR($B682)*100+MONTH($B682))</f>
        <v/>
      </c>
      <c r="W682" s="35" t="str">
        <f aca="false">IF($D682="","",IFERROR(INDEX(MAP_CLASS,MATCH($D682,MAP_TIPO,0)),"TIPO INVALIDO"))</f>
        <v/>
      </c>
      <c r="X682" s="35" t="str">
        <f aca="false">IF($K682="","",IFERROR(INDEX(CAT_NOME,MATCH($K682,CAT_ID,0)),"?"))</f>
        <v/>
      </c>
      <c r="Y682" s="35" t="str">
        <f aca="false">IF($L682="","",IFERROR(INDEX(SUB_NOME,MATCH($L682,SUB_ID,0)),"?"))</f>
        <v/>
      </c>
      <c r="Z682" s="35" t="str">
        <f aca="false">IF($G682="","",IF($G682="EXTERNO","(Externo)",IFERROR(INDEX(ENT_NOME,MATCH($H682,ENT_ID,0)),"?")))</f>
        <v/>
      </c>
      <c r="AA682" s="35" t="str">
        <f aca="false">IF($I682="","",IF($I682="EXTERNO","(Externo)",IFERROR(INDEX(ENT_NOME,MATCH($J682,ENT_ID,0)),"?")))</f>
        <v/>
      </c>
      <c r="AB682" s="36" t="n">
        <f aca="false">IF($B682="",0,IF(AND($I682="CONTA",$G682&lt;&gt;"CONTA"),$F682,0))</f>
        <v>0</v>
      </c>
      <c r="AC682" s="36" t="n">
        <f aca="false">IF($B682="",0,IF(AND($G682="CONTA",$I682&lt;&gt;"CONTA"),$F682,0))</f>
        <v>0</v>
      </c>
      <c r="AD682" s="36" t="n">
        <f aca="false">IF($W682="RECEITA",$F682,0)</f>
        <v>0</v>
      </c>
      <c r="AE682" s="36" t="n">
        <f aca="false">IF($W682="DESPESA",$F682,0)</f>
        <v>0</v>
      </c>
      <c r="AF682" s="36" t="n">
        <f aca="false">IF($W682="RECEITA_FINANCEIRA",$F682,0)</f>
        <v>0</v>
      </c>
      <c r="AG682" s="36" t="n">
        <f aca="false">IF($B682="",0,IF($I682="CONTA",$F682,0)-IF($G682="CONTA",$F682,0))</f>
        <v>0</v>
      </c>
      <c r="AH682" s="36" t="n">
        <f aca="false">IF($B682="",0,IF($G682="CARTAO",$F682,0)-IF($I682="CARTAO",$F682,0))</f>
        <v>0</v>
      </c>
      <c r="AI682" s="36" t="n">
        <f aca="false">IF($B682="",0,IF($I682="INVESTIMENTO",$F682,0)-IF($G682="INVESTIMENTO",$F682,0))</f>
        <v>0</v>
      </c>
      <c r="AJ682" s="35" t="str">
        <f aca="false">IF($B682="","",IF(NOT(ISNUMBER($F682)),"ERRO: valor nao numerico",IF($F682&lt;=0,"ERRO: valor deve ser maior que zero",IF(COUNTIF(MAP_TIPO,$D682)=0,"ERRO: tipo de operacao nao cadastrado",IF(COUNTIF(LST_STATUS,$E682)=0,"ERRO: status invalido",IF(AND($G682="EXTERNO",$I682="EXTERNO"),"ERRO: origem e destino externos",IF(AND($G682&lt;&gt;"EXTERNO",COUNTIFS(ENT_ID,$H682,ENT_TIPO,$G682)=0),"ERRO: origem inexistente",IF(AND($I682&lt;&gt;"EXTERNO",COUNTIFS(ENT_ID,$J682,ENT_TIPO,$I682)=0),"ERRO: destino inexistente",IF(AND($K682&lt;&gt;"",COUNTIF(CAT_ID,$K682)=0),"ERRO: categoria inexistente",IF(AND($L682&lt;&gt;"",COUNTIF(SUB_ID,$L682)=0),"ERRO: subcategoria inexistente",IF(AND($L682&lt;&gt;"",$K682&lt;&gt;"",IFERROR(INDEX(SUB_CATID,MATCH($L682,SUB_ID,0)),"")&lt;&gt;$K682),"ERRO: subcategoria nao pertence a categoria",IF(AND($O682&lt;&gt;"",COUNTIF(P_ID,$O682)=0),"ERRO: parcela inexistente",IF(AND($N682&lt;&gt;"",COUNTIF(CM_ID,$N682)=0),"ERRO: compromisso inexistente","OK")))))))))))))</f>
        <v/>
      </c>
      <c r="AK682" s="35" t="str">
        <f aca="false">IF($B682="","",IF(AND($N682="",$O682="",$P682="",$Q682="",$R682=""),"","VINCULADO: "&amp;TRIM(IF($N682&lt;&gt;"",$N682&amp;" ","")&amp;IF($O682&lt;&gt;"",$O682&amp;" ","")&amp;IF($P682&lt;&gt;"",$P682&amp;" ","")&amp;IF($Q682&lt;&gt;"",$Q682&amp;" ","")&amp;IF($R682&lt;&gt;"",$R682,""))))</f>
        <v/>
      </c>
    </row>
    <row r="683" customFormat="false" ht="15" hidden="false" customHeight="false" outlineLevel="0" collapsed="false">
      <c r="A683" s="30" t="str">
        <f aca="false">IF($B683="","","LAN-"&amp;TEXT(ROW()-4,"000000"))</f>
        <v/>
      </c>
      <c r="B683" s="31"/>
      <c r="C683" s="32"/>
      <c r="D683" s="32"/>
      <c r="E683" s="32"/>
      <c r="F683" s="33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4" t="str">
        <f aca="false">IF($B683="","",YEAR($B683))</f>
        <v/>
      </c>
      <c r="U683" s="34" t="str">
        <f aca="false">IF($B683="","",MONTH($B683))</f>
        <v/>
      </c>
      <c r="V683" s="34" t="str">
        <f aca="false">IF($B683="","",YEAR($B683)*100+MONTH($B683))</f>
        <v/>
      </c>
      <c r="W683" s="35" t="str">
        <f aca="false">IF($D683="","",IFERROR(INDEX(MAP_CLASS,MATCH($D683,MAP_TIPO,0)),"TIPO INVALIDO"))</f>
        <v/>
      </c>
      <c r="X683" s="35" t="str">
        <f aca="false">IF($K683="","",IFERROR(INDEX(CAT_NOME,MATCH($K683,CAT_ID,0)),"?"))</f>
        <v/>
      </c>
      <c r="Y683" s="35" t="str">
        <f aca="false">IF($L683="","",IFERROR(INDEX(SUB_NOME,MATCH($L683,SUB_ID,0)),"?"))</f>
        <v/>
      </c>
      <c r="Z683" s="35" t="str">
        <f aca="false">IF($G683="","",IF($G683="EXTERNO","(Externo)",IFERROR(INDEX(ENT_NOME,MATCH($H683,ENT_ID,0)),"?")))</f>
        <v/>
      </c>
      <c r="AA683" s="35" t="str">
        <f aca="false">IF($I683="","",IF($I683="EXTERNO","(Externo)",IFERROR(INDEX(ENT_NOME,MATCH($J683,ENT_ID,0)),"?")))</f>
        <v/>
      </c>
      <c r="AB683" s="36" t="n">
        <f aca="false">IF($B683="",0,IF(AND($I683="CONTA",$G683&lt;&gt;"CONTA"),$F683,0))</f>
        <v>0</v>
      </c>
      <c r="AC683" s="36" t="n">
        <f aca="false">IF($B683="",0,IF(AND($G683="CONTA",$I683&lt;&gt;"CONTA"),$F683,0))</f>
        <v>0</v>
      </c>
      <c r="AD683" s="36" t="n">
        <f aca="false">IF($W683="RECEITA",$F683,0)</f>
        <v>0</v>
      </c>
      <c r="AE683" s="36" t="n">
        <f aca="false">IF($W683="DESPESA",$F683,0)</f>
        <v>0</v>
      </c>
      <c r="AF683" s="36" t="n">
        <f aca="false">IF($W683="RECEITA_FINANCEIRA",$F683,0)</f>
        <v>0</v>
      </c>
      <c r="AG683" s="36" t="n">
        <f aca="false">IF($B683="",0,IF($I683="CONTA",$F683,0)-IF($G683="CONTA",$F683,0))</f>
        <v>0</v>
      </c>
      <c r="AH683" s="36" t="n">
        <f aca="false">IF($B683="",0,IF($G683="CARTAO",$F683,0)-IF($I683="CARTAO",$F683,0))</f>
        <v>0</v>
      </c>
      <c r="AI683" s="36" t="n">
        <f aca="false">IF($B683="",0,IF($I683="INVESTIMENTO",$F683,0)-IF($G683="INVESTIMENTO",$F683,0))</f>
        <v>0</v>
      </c>
      <c r="AJ683" s="35" t="str">
        <f aca="false">IF($B683="","",IF(NOT(ISNUMBER($F683)),"ERRO: valor nao numerico",IF($F683&lt;=0,"ERRO: valor deve ser maior que zero",IF(COUNTIF(MAP_TIPO,$D683)=0,"ERRO: tipo de operacao nao cadastrado",IF(COUNTIF(LST_STATUS,$E683)=0,"ERRO: status invalido",IF(AND($G683="EXTERNO",$I683="EXTERNO"),"ERRO: origem e destino externos",IF(AND($G683&lt;&gt;"EXTERNO",COUNTIFS(ENT_ID,$H683,ENT_TIPO,$G683)=0),"ERRO: origem inexistente",IF(AND($I683&lt;&gt;"EXTERNO",COUNTIFS(ENT_ID,$J683,ENT_TIPO,$I683)=0),"ERRO: destino inexistente",IF(AND($K683&lt;&gt;"",COUNTIF(CAT_ID,$K683)=0),"ERRO: categoria inexistente",IF(AND($L683&lt;&gt;"",COUNTIF(SUB_ID,$L683)=0),"ERRO: subcategoria inexistente",IF(AND($L683&lt;&gt;"",$K683&lt;&gt;"",IFERROR(INDEX(SUB_CATID,MATCH($L683,SUB_ID,0)),"")&lt;&gt;$K683),"ERRO: subcategoria nao pertence a categoria",IF(AND($O683&lt;&gt;"",COUNTIF(P_ID,$O683)=0),"ERRO: parcela inexistente",IF(AND($N683&lt;&gt;"",COUNTIF(CM_ID,$N683)=0),"ERRO: compromisso inexistente","OK")))))))))))))</f>
        <v/>
      </c>
      <c r="AK683" s="35" t="str">
        <f aca="false">IF($B683="","",IF(AND($N683="",$O683="",$P683="",$Q683="",$R683=""),"","VINCULADO: "&amp;TRIM(IF($N683&lt;&gt;"",$N683&amp;" ","")&amp;IF($O683&lt;&gt;"",$O683&amp;" ","")&amp;IF($P683&lt;&gt;"",$P683&amp;" ","")&amp;IF($Q683&lt;&gt;"",$Q683&amp;" ","")&amp;IF($R683&lt;&gt;"",$R683,""))))</f>
        <v/>
      </c>
    </row>
    <row r="684" customFormat="false" ht="15" hidden="false" customHeight="false" outlineLevel="0" collapsed="false">
      <c r="A684" s="30" t="str">
        <f aca="false">IF($B684="","","LAN-"&amp;TEXT(ROW()-4,"000000"))</f>
        <v/>
      </c>
      <c r="B684" s="31"/>
      <c r="C684" s="32"/>
      <c r="D684" s="32"/>
      <c r="E684" s="32"/>
      <c r="F684" s="33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4" t="str">
        <f aca="false">IF($B684="","",YEAR($B684))</f>
        <v/>
      </c>
      <c r="U684" s="34" t="str">
        <f aca="false">IF($B684="","",MONTH($B684))</f>
        <v/>
      </c>
      <c r="V684" s="34" t="str">
        <f aca="false">IF($B684="","",YEAR($B684)*100+MONTH($B684))</f>
        <v/>
      </c>
      <c r="W684" s="35" t="str">
        <f aca="false">IF($D684="","",IFERROR(INDEX(MAP_CLASS,MATCH($D684,MAP_TIPO,0)),"TIPO INVALIDO"))</f>
        <v/>
      </c>
      <c r="X684" s="35" t="str">
        <f aca="false">IF($K684="","",IFERROR(INDEX(CAT_NOME,MATCH($K684,CAT_ID,0)),"?"))</f>
        <v/>
      </c>
      <c r="Y684" s="35" t="str">
        <f aca="false">IF($L684="","",IFERROR(INDEX(SUB_NOME,MATCH($L684,SUB_ID,0)),"?"))</f>
        <v/>
      </c>
      <c r="Z684" s="35" t="str">
        <f aca="false">IF($G684="","",IF($G684="EXTERNO","(Externo)",IFERROR(INDEX(ENT_NOME,MATCH($H684,ENT_ID,0)),"?")))</f>
        <v/>
      </c>
      <c r="AA684" s="35" t="str">
        <f aca="false">IF($I684="","",IF($I684="EXTERNO","(Externo)",IFERROR(INDEX(ENT_NOME,MATCH($J684,ENT_ID,0)),"?")))</f>
        <v/>
      </c>
      <c r="AB684" s="36" t="n">
        <f aca="false">IF($B684="",0,IF(AND($I684="CONTA",$G684&lt;&gt;"CONTA"),$F684,0))</f>
        <v>0</v>
      </c>
      <c r="AC684" s="36" t="n">
        <f aca="false">IF($B684="",0,IF(AND($G684="CONTA",$I684&lt;&gt;"CONTA"),$F684,0))</f>
        <v>0</v>
      </c>
      <c r="AD684" s="36" t="n">
        <f aca="false">IF($W684="RECEITA",$F684,0)</f>
        <v>0</v>
      </c>
      <c r="AE684" s="36" t="n">
        <f aca="false">IF($W684="DESPESA",$F684,0)</f>
        <v>0</v>
      </c>
      <c r="AF684" s="36" t="n">
        <f aca="false">IF($W684="RECEITA_FINANCEIRA",$F684,0)</f>
        <v>0</v>
      </c>
      <c r="AG684" s="36" t="n">
        <f aca="false">IF($B684="",0,IF($I684="CONTA",$F684,0)-IF($G684="CONTA",$F684,0))</f>
        <v>0</v>
      </c>
      <c r="AH684" s="36" t="n">
        <f aca="false">IF($B684="",0,IF($G684="CARTAO",$F684,0)-IF($I684="CARTAO",$F684,0))</f>
        <v>0</v>
      </c>
      <c r="AI684" s="36" t="n">
        <f aca="false">IF($B684="",0,IF($I684="INVESTIMENTO",$F684,0)-IF($G684="INVESTIMENTO",$F684,0))</f>
        <v>0</v>
      </c>
      <c r="AJ684" s="35" t="str">
        <f aca="false">IF($B684="","",IF(NOT(ISNUMBER($F684)),"ERRO: valor nao numerico",IF($F684&lt;=0,"ERRO: valor deve ser maior que zero",IF(COUNTIF(MAP_TIPO,$D684)=0,"ERRO: tipo de operacao nao cadastrado",IF(COUNTIF(LST_STATUS,$E684)=0,"ERRO: status invalido",IF(AND($G684="EXTERNO",$I684="EXTERNO"),"ERRO: origem e destino externos",IF(AND($G684&lt;&gt;"EXTERNO",COUNTIFS(ENT_ID,$H684,ENT_TIPO,$G684)=0),"ERRO: origem inexistente",IF(AND($I684&lt;&gt;"EXTERNO",COUNTIFS(ENT_ID,$J684,ENT_TIPO,$I684)=0),"ERRO: destino inexistente",IF(AND($K684&lt;&gt;"",COUNTIF(CAT_ID,$K684)=0),"ERRO: categoria inexistente",IF(AND($L684&lt;&gt;"",COUNTIF(SUB_ID,$L684)=0),"ERRO: subcategoria inexistente",IF(AND($L684&lt;&gt;"",$K684&lt;&gt;"",IFERROR(INDEX(SUB_CATID,MATCH($L684,SUB_ID,0)),"")&lt;&gt;$K684),"ERRO: subcategoria nao pertence a categoria",IF(AND($O684&lt;&gt;"",COUNTIF(P_ID,$O684)=0),"ERRO: parcela inexistente",IF(AND($N684&lt;&gt;"",COUNTIF(CM_ID,$N684)=0),"ERRO: compromisso inexistente","OK")))))))))))))</f>
        <v/>
      </c>
      <c r="AK684" s="35" t="str">
        <f aca="false">IF($B684="","",IF(AND($N684="",$O684="",$P684="",$Q684="",$R684=""),"","VINCULADO: "&amp;TRIM(IF($N684&lt;&gt;"",$N684&amp;" ","")&amp;IF($O684&lt;&gt;"",$O684&amp;" ","")&amp;IF($P684&lt;&gt;"",$P684&amp;" ","")&amp;IF($Q684&lt;&gt;"",$Q684&amp;" ","")&amp;IF($R684&lt;&gt;"",$R684,""))))</f>
        <v/>
      </c>
    </row>
    <row r="685" customFormat="false" ht="15" hidden="false" customHeight="false" outlineLevel="0" collapsed="false">
      <c r="A685" s="30" t="str">
        <f aca="false">IF($B685="","","LAN-"&amp;TEXT(ROW()-4,"000000"))</f>
        <v/>
      </c>
      <c r="B685" s="31"/>
      <c r="C685" s="32"/>
      <c r="D685" s="32"/>
      <c r="E685" s="32"/>
      <c r="F685" s="33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4" t="str">
        <f aca="false">IF($B685="","",YEAR($B685))</f>
        <v/>
      </c>
      <c r="U685" s="34" t="str">
        <f aca="false">IF($B685="","",MONTH($B685))</f>
        <v/>
      </c>
      <c r="V685" s="34" t="str">
        <f aca="false">IF($B685="","",YEAR($B685)*100+MONTH($B685))</f>
        <v/>
      </c>
      <c r="W685" s="35" t="str">
        <f aca="false">IF($D685="","",IFERROR(INDEX(MAP_CLASS,MATCH($D685,MAP_TIPO,0)),"TIPO INVALIDO"))</f>
        <v/>
      </c>
      <c r="X685" s="35" t="str">
        <f aca="false">IF($K685="","",IFERROR(INDEX(CAT_NOME,MATCH($K685,CAT_ID,0)),"?"))</f>
        <v/>
      </c>
      <c r="Y685" s="35" t="str">
        <f aca="false">IF($L685="","",IFERROR(INDEX(SUB_NOME,MATCH($L685,SUB_ID,0)),"?"))</f>
        <v/>
      </c>
      <c r="Z685" s="35" t="str">
        <f aca="false">IF($G685="","",IF($G685="EXTERNO","(Externo)",IFERROR(INDEX(ENT_NOME,MATCH($H685,ENT_ID,0)),"?")))</f>
        <v/>
      </c>
      <c r="AA685" s="35" t="str">
        <f aca="false">IF($I685="","",IF($I685="EXTERNO","(Externo)",IFERROR(INDEX(ENT_NOME,MATCH($J685,ENT_ID,0)),"?")))</f>
        <v/>
      </c>
      <c r="AB685" s="36" t="n">
        <f aca="false">IF($B685="",0,IF(AND($I685="CONTA",$G685&lt;&gt;"CONTA"),$F685,0))</f>
        <v>0</v>
      </c>
      <c r="AC685" s="36" t="n">
        <f aca="false">IF($B685="",0,IF(AND($G685="CONTA",$I685&lt;&gt;"CONTA"),$F685,0))</f>
        <v>0</v>
      </c>
      <c r="AD685" s="36" t="n">
        <f aca="false">IF($W685="RECEITA",$F685,0)</f>
        <v>0</v>
      </c>
      <c r="AE685" s="36" t="n">
        <f aca="false">IF($W685="DESPESA",$F685,0)</f>
        <v>0</v>
      </c>
      <c r="AF685" s="36" t="n">
        <f aca="false">IF($W685="RECEITA_FINANCEIRA",$F685,0)</f>
        <v>0</v>
      </c>
      <c r="AG685" s="36" t="n">
        <f aca="false">IF($B685="",0,IF($I685="CONTA",$F685,0)-IF($G685="CONTA",$F685,0))</f>
        <v>0</v>
      </c>
      <c r="AH685" s="36" t="n">
        <f aca="false">IF($B685="",0,IF($G685="CARTAO",$F685,0)-IF($I685="CARTAO",$F685,0))</f>
        <v>0</v>
      </c>
      <c r="AI685" s="36" t="n">
        <f aca="false">IF($B685="",0,IF($I685="INVESTIMENTO",$F685,0)-IF($G685="INVESTIMENTO",$F685,0))</f>
        <v>0</v>
      </c>
      <c r="AJ685" s="35" t="str">
        <f aca="false">IF($B685="","",IF(NOT(ISNUMBER($F685)),"ERRO: valor nao numerico",IF($F685&lt;=0,"ERRO: valor deve ser maior que zero",IF(COUNTIF(MAP_TIPO,$D685)=0,"ERRO: tipo de operacao nao cadastrado",IF(COUNTIF(LST_STATUS,$E685)=0,"ERRO: status invalido",IF(AND($G685="EXTERNO",$I685="EXTERNO"),"ERRO: origem e destino externos",IF(AND($G685&lt;&gt;"EXTERNO",COUNTIFS(ENT_ID,$H685,ENT_TIPO,$G685)=0),"ERRO: origem inexistente",IF(AND($I685&lt;&gt;"EXTERNO",COUNTIFS(ENT_ID,$J685,ENT_TIPO,$I685)=0),"ERRO: destino inexistente",IF(AND($K685&lt;&gt;"",COUNTIF(CAT_ID,$K685)=0),"ERRO: categoria inexistente",IF(AND($L685&lt;&gt;"",COUNTIF(SUB_ID,$L685)=0),"ERRO: subcategoria inexistente",IF(AND($L685&lt;&gt;"",$K685&lt;&gt;"",IFERROR(INDEX(SUB_CATID,MATCH($L685,SUB_ID,0)),"")&lt;&gt;$K685),"ERRO: subcategoria nao pertence a categoria",IF(AND($O685&lt;&gt;"",COUNTIF(P_ID,$O685)=0),"ERRO: parcela inexistente",IF(AND($N685&lt;&gt;"",COUNTIF(CM_ID,$N685)=0),"ERRO: compromisso inexistente","OK")))))))))))))</f>
        <v/>
      </c>
      <c r="AK685" s="35" t="str">
        <f aca="false">IF($B685="","",IF(AND($N685="",$O685="",$P685="",$Q685="",$R685=""),"","VINCULADO: "&amp;TRIM(IF($N685&lt;&gt;"",$N685&amp;" ","")&amp;IF($O685&lt;&gt;"",$O685&amp;" ","")&amp;IF($P685&lt;&gt;"",$P685&amp;" ","")&amp;IF($Q685&lt;&gt;"",$Q685&amp;" ","")&amp;IF($R685&lt;&gt;"",$R685,""))))</f>
        <v/>
      </c>
    </row>
    <row r="686" customFormat="false" ht="15" hidden="false" customHeight="false" outlineLevel="0" collapsed="false">
      <c r="A686" s="30" t="str">
        <f aca="false">IF($B686="","","LAN-"&amp;TEXT(ROW()-4,"000000"))</f>
        <v/>
      </c>
      <c r="B686" s="31"/>
      <c r="C686" s="32"/>
      <c r="D686" s="32"/>
      <c r="E686" s="32"/>
      <c r="F686" s="33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4" t="str">
        <f aca="false">IF($B686="","",YEAR($B686))</f>
        <v/>
      </c>
      <c r="U686" s="34" t="str">
        <f aca="false">IF($B686="","",MONTH($B686))</f>
        <v/>
      </c>
      <c r="V686" s="34" t="str">
        <f aca="false">IF($B686="","",YEAR($B686)*100+MONTH($B686))</f>
        <v/>
      </c>
      <c r="W686" s="35" t="str">
        <f aca="false">IF($D686="","",IFERROR(INDEX(MAP_CLASS,MATCH($D686,MAP_TIPO,0)),"TIPO INVALIDO"))</f>
        <v/>
      </c>
      <c r="X686" s="35" t="str">
        <f aca="false">IF($K686="","",IFERROR(INDEX(CAT_NOME,MATCH($K686,CAT_ID,0)),"?"))</f>
        <v/>
      </c>
      <c r="Y686" s="35" t="str">
        <f aca="false">IF($L686="","",IFERROR(INDEX(SUB_NOME,MATCH($L686,SUB_ID,0)),"?"))</f>
        <v/>
      </c>
      <c r="Z686" s="35" t="str">
        <f aca="false">IF($G686="","",IF($G686="EXTERNO","(Externo)",IFERROR(INDEX(ENT_NOME,MATCH($H686,ENT_ID,0)),"?")))</f>
        <v/>
      </c>
      <c r="AA686" s="35" t="str">
        <f aca="false">IF($I686="","",IF($I686="EXTERNO","(Externo)",IFERROR(INDEX(ENT_NOME,MATCH($J686,ENT_ID,0)),"?")))</f>
        <v/>
      </c>
      <c r="AB686" s="36" t="n">
        <f aca="false">IF($B686="",0,IF(AND($I686="CONTA",$G686&lt;&gt;"CONTA"),$F686,0))</f>
        <v>0</v>
      </c>
      <c r="AC686" s="36" t="n">
        <f aca="false">IF($B686="",0,IF(AND($G686="CONTA",$I686&lt;&gt;"CONTA"),$F686,0))</f>
        <v>0</v>
      </c>
      <c r="AD686" s="36" t="n">
        <f aca="false">IF($W686="RECEITA",$F686,0)</f>
        <v>0</v>
      </c>
      <c r="AE686" s="36" t="n">
        <f aca="false">IF($W686="DESPESA",$F686,0)</f>
        <v>0</v>
      </c>
      <c r="AF686" s="36" t="n">
        <f aca="false">IF($W686="RECEITA_FINANCEIRA",$F686,0)</f>
        <v>0</v>
      </c>
      <c r="AG686" s="36" t="n">
        <f aca="false">IF($B686="",0,IF($I686="CONTA",$F686,0)-IF($G686="CONTA",$F686,0))</f>
        <v>0</v>
      </c>
      <c r="AH686" s="36" t="n">
        <f aca="false">IF($B686="",0,IF($G686="CARTAO",$F686,0)-IF($I686="CARTAO",$F686,0))</f>
        <v>0</v>
      </c>
      <c r="AI686" s="36" t="n">
        <f aca="false">IF($B686="",0,IF($I686="INVESTIMENTO",$F686,0)-IF($G686="INVESTIMENTO",$F686,0))</f>
        <v>0</v>
      </c>
      <c r="AJ686" s="35" t="str">
        <f aca="false">IF($B686="","",IF(NOT(ISNUMBER($F686)),"ERRO: valor nao numerico",IF($F686&lt;=0,"ERRO: valor deve ser maior que zero",IF(COUNTIF(MAP_TIPO,$D686)=0,"ERRO: tipo de operacao nao cadastrado",IF(COUNTIF(LST_STATUS,$E686)=0,"ERRO: status invalido",IF(AND($G686="EXTERNO",$I686="EXTERNO"),"ERRO: origem e destino externos",IF(AND($G686&lt;&gt;"EXTERNO",COUNTIFS(ENT_ID,$H686,ENT_TIPO,$G686)=0),"ERRO: origem inexistente",IF(AND($I686&lt;&gt;"EXTERNO",COUNTIFS(ENT_ID,$J686,ENT_TIPO,$I686)=0),"ERRO: destino inexistente",IF(AND($K686&lt;&gt;"",COUNTIF(CAT_ID,$K686)=0),"ERRO: categoria inexistente",IF(AND($L686&lt;&gt;"",COUNTIF(SUB_ID,$L686)=0),"ERRO: subcategoria inexistente",IF(AND($L686&lt;&gt;"",$K686&lt;&gt;"",IFERROR(INDEX(SUB_CATID,MATCH($L686,SUB_ID,0)),"")&lt;&gt;$K686),"ERRO: subcategoria nao pertence a categoria",IF(AND($O686&lt;&gt;"",COUNTIF(P_ID,$O686)=0),"ERRO: parcela inexistente",IF(AND($N686&lt;&gt;"",COUNTIF(CM_ID,$N686)=0),"ERRO: compromisso inexistente","OK")))))))))))))</f>
        <v/>
      </c>
      <c r="AK686" s="35" t="str">
        <f aca="false">IF($B686="","",IF(AND($N686="",$O686="",$P686="",$Q686="",$R686=""),"","VINCULADO: "&amp;TRIM(IF($N686&lt;&gt;"",$N686&amp;" ","")&amp;IF($O686&lt;&gt;"",$O686&amp;" ","")&amp;IF($P686&lt;&gt;"",$P686&amp;" ","")&amp;IF($Q686&lt;&gt;"",$Q686&amp;" ","")&amp;IF($R686&lt;&gt;"",$R686,""))))</f>
        <v/>
      </c>
    </row>
    <row r="687" customFormat="false" ht="15" hidden="false" customHeight="false" outlineLevel="0" collapsed="false">
      <c r="A687" s="30" t="str">
        <f aca="false">IF($B687="","","LAN-"&amp;TEXT(ROW()-4,"000000"))</f>
        <v/>
      </c>
      <c r="B687" s="31"/>
      <c r="C687" s="32"/>
      <c r="D687" s="32"/>
      <c r="E687" s="32"/>
      <c r="F687" s="33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4" t="str">
        <f aca="false">IF($B687="","",YEAR($B687))</f>
        <v/>
      </c>
      <c r="U687" s="34" t="str">
        <f aca="false">IF($B687="","",MONTH($B687))</f>
        <v/>
      </c>
      <c r="V687" s="34" t="str">
        <f aca="false">IF($B687="","",YEAR($B687)*100+MONTH($B687))</f>
        <v/>
      </c>
      <c r="W687" s="35" t="str">
        <f aca="false">IF($D687="","",IFERROR(INDEX(MAP_CLASS,MATCH($D687,MAP_TIPO,0)),"TIPO INVALIDO"))</f>
        <v/>
      </c>
      <c r="X687" s="35" t="str">
        <f aca="false">IF($K687="","",IFERROR(INDEX(CAT_NOME,MATCH($K687,CAT_ID,0)),"?"))</f>
        <v/>
      </c>
      <c r="Y687" s="35" t="str">
        <f aca="false">IF($L687="","",IFERROR(INDEX(SUB_NOME,MATCH($L687,SUB_ID,0)),"?"))</f>
        <v/>
      </c>
      <c r="Z687" s="35" t="str">
        <f aca="false">IF($G687="","",IF($G687="EXTERNO","(Externo)",IFERROR(INDEX(ENT_NOME,MATCH($H687,ENT_ID,0)),"?")))</f>
        <v/>
      </c>
      <c r="AA687" s="35" t="str">
        <f aca="false">IF($I687="","",IF($I687="EXTERNO","(Externo)",IFERROR(INDEX(ENT_NOME,MATCH($J687,ENT_ID,0)),"?")))</f>
        <v/>
      </c>
      <c r="AB687" s="36" t="n">
        <f aca="false">IF($B687="",0,IF(AND($I687="CONTA",$G687&lt;&gt;"CONTA"),$F687,0))</f>
        <v>0</v>
      </c>
      <c r="AC687" s="36" t="n">
        <f aca="false">IF($B687="",0,IF(AND($G687="CONTA",$I687&lt;&gt;"CONTA"),$F687,0))</f>
        <v>0</v>
      </c>
      <c r="AD687" s="36" t="n">
        <f aca="false">IF($W687="RECEITA",$F687,0)</f>
        <v>0</v>
      </c>
      <c r="AE687" s="36" t="n">
        <f aca="false">IF($W687="DESPESA",$F687,0)</f>
        <v>0</v>
      </c>
      <c r="AF687" s="36" t="n">
        <f aca="false">IF($W687="RECEITA_FINANCEIRA",$F687,0)</f>
        <v>0</v>
      </c>
      <c r="AG687" s="36" t="n">
        <f aca="false">IF($B687="",0,IF($I687="CONTA",$F687,0)-IF($G687="CONTA",$F687,0))</f>
        <v>0</v>
      </c>
      <c r="AH687" s="36" t="n">
        <f aca="false">IF($B687="",0,IF($G687="CARTAO",$F687,0)-IF($I687="CARTAO",$F687,0))</f>
        <v>0</v>
      </c>
      <c r="AI687" s="36" t="n">
        <f aca="false">IF($B687="",0,IF($I687="INVESTIMENTO",$F687,0)-IF($G687="INVESTIMENTO",$F687,0))</f>
        <v>0</v>
      </c>
      <c r="AJ687" s="35" t="str">
        <f aca="false">IF($B687="","",IF(NOT(ISNUMBER($F687)),"ERRO: valor nao numerico",IF($F687&lt;=0,"ERRO: valor deve ser maior que zero",IF(COUNTIF(MAP_TIPO,$D687)=0,"ERRO: tipo de operacao nao cadastrado",IF(COUNTIF(LST_STATUS,$E687)=0,"ERRO: status invalido",IF(AND($G687="EXTERNO",$I687="EXTERNO"),"ERRO: origem e destino externos",IF(AND($G687&lt;&gt;"EXTERNO",COUNTIFS(ENT_ID,$H687,ENT_TIPO,$G687)=0),"ERRO: origem inexistente",IF(AND($I687&lt;&gt;"EXTERNO",COUNTIFS(ENT_ID,$J687,ENT_TIPO,$I687)=0),"ERRO: destino inexistente",IF(AND($K687&lt;&gt;"",COUNTIF(CAT_ID,$K687)=0),"ERRO: categoria inexistente",IF(AND($L687&lt;&gt;"",COUNTIF(SUB_ID,$L687)=0),"ERRO: subcategoria inexistente",IF(AND($L687&lt;&gt;"",$K687&lt;&gt;"",IFERROR(INDEX(SUB_CATID,MATCH($L687,SUB_ID,0)),"")&lt;&gt;$K687),"ERRO: subcategoria nao pertence a categoria",IF(AND($O687&lt;&gt;"",COUNTIF(P_ID,$O687)=0),"ERRO: parcela inexistente",IF(AND($N687&lt;&gt;"",COUNTIF(CM_ID,$N687)=0),"ERRO: compromisso inexistente","OK")))))))))))))</f>
        <v/>
      </c>
      <c r="AK687" s="35" t="str">
        <f aca="false">IF($B687="","",IF(AND($N687="",$O687="",$P687="",$Q687="",$R687=""),"","VINCULADO: "&amp;TRIM(IF($N687&lt;&gt;"",$N687&amp;" ","")&amp;IF($O687&lt;&gt;"",$O687&amp;" ","")&amp;IF($P687&lt;&gt;"",$P687&amp;" ","")&amp;IF($Q687&lt;&gt;"",$Q687&amp;" ","")&amp;IF($R687&lt;&gt;"",$R687,""))))</f>
        <v/>
      </c>
    </row>
    <row r="688" customFormat="false" ht="15" hidden="false" customHeight="false" outlineLevel="0" collapsed="false">
      <c r="A688" s="30" t="str">
        <f aca="false">IF($B688="","","LAN-"&amp;TEXT(ROW()-4,"000000"))</f>
        <v/>
      </c>
      <c r="B688" s="31"/>
      <c r="C688" s="32"/>
      <c r="D688" s="32"/>
      <c r="E688" s="32"/>
      <c r="F688" s="33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4" t="str">
        <f aca="false">IF($B688="","",YEAR($B688))</f>
        <v/>
      </c>
      <c r="U688" s="34" t="str">
        <f aca="false">IF($B688="","",MONTH($B688))</f>
        <v/>
      </c>
      <c r="V688" s="34" t="str">
        <f aca="false">IF($B688="","",YEAR($B688)*100+MONTH($B688))</f>
        <v/>
      </c>
      <c r="W688" s="35" t="str">
        <f aca="false">IF($D688="","",IFERROR(INDEX(MAP_CLASS,MATCH($D688,MAP_TIPO,0)),"TIPO INVALIDO"))</f>
        <v/>
      </c>
      <c r="X688" s="35" t="str">
        <f aca="false">IF($K688="","",IFERROR(INDEX(CAT_NOME,MATCH($K688,CAT_ID,0)),"?"))</f>
        <v/>
      </c>
      <c r="Y688" s="35" t="str">
        <f aca="false">IF($L688="","",IFERROR(INDEX(SUB_NOME,MATCH($L688,SUB_ID,0)),"?"))</f>
        <v/>
      </c>
      <c r="Z688" s="35" t="str">
        <f aca="false">IF($G688="","",IF($G688="EXTERNO","(Externo)",IFERROR(INDEX(ENT_NOME,MATCH($H688,ENT_ID,0)),"?")))</f>
        <v/>
      </c>
      <c r="AA688" s="35" t="str">
        <f aca="false">IF($I688="","",IF($I688="EXTERNO","(Externo)",IFERROR(INDEX(ENT_NOME,MATCH($J688,ENT_ID,0)),"?")))</f>
        <v/>
      </c>
      <c r="AB688" s="36" t="n">
        <f aca="false">IF($B688="",0,IF(AND($I688="CONTA",$G688&lt;&gt;"CONTA"),$F688,0))</f>
        <v>0</v>
      </c>
      <c r="AC688" s="36" t="n">
        <f aca="false">IF($B688="",0,IF(AND($G688="CONTA",$I688&lt;&gt;"CONTA"),$F688,0))</f>
        <v>0</v>
      </c>
      <c r="AD688" s="36" t="n">
        <f aca="false">IF($W688="RECEITA",$F688,0)</f>
        <v>0</v>
      </c>
      <c r="AE688" s="36" t="n">
        <f aca="false">IF($W688="DESPESA",$F688,0)</f>
        <v>0</v>
      </c>
      <c r="AF688" s="36" t="n">
        <f aca="false">IF($W688="RECEITA_FINANCEIRA",$F688,0)</f>
        <v>0</v>
      </c>
      <c r="AG688" s="36" t="n">
        <f aca="false">IF($B688="",0,IF($I688="CONTA",$F688,0)-IF($G688="CONTA",$F688,0))</f>
        <v>0</v>
      </c>
      <c r="AH688" s="36" t="n">
        <f aca="false">IF($B688="",0,IF($G688="CARTAO",$F688,0)-IF($I688="CARTAO",$F688,0))</f>
        <v>0</v>
      </c>
      <c r="AI688" s="36" t="n">
        <f aca="false">IF($B688="",0,IF($I688="INVESTIMENTO",$F688,0)-IF($G688="INVESTIMENTO",$F688,0))</f>
        <v>0</v>
      </c>
      <c r="AJ688" s="35" t="str">
        <f aca="false">IF($B688="","",IF(NOT(ISNUMBER($F688)),"ERRO: valor nao numerico",IF($F688&lt;=0,"ERRO: valor deve ser maior que zero",IF(COUNTIF(MAP_TIPO,$D688)=0,"ERRO: tipo de operacao nao cadastrado",IF(COUNTIF(LST_STATUS,$E688)=0,"ERRO: status invalido",IF(AND($G688="EXTERNO",$I688="EXTERNO"),"ERRO: origem e destino externos",IF(AND($G688&lt;&gt;"EXTERNO",COUNTIFS(ENT_ID,$H688,ENT_TIPO,$G688)=0),"ERRO: origem inexistente",IF(AND($I688&lt;&gt;"EXTERNO",COUNTIFS(ENT_ID,$J688,ENT_TIPO,$I688)=0),"ERRO: destino inexistente",IF(AND($K688&lt;&gt;"",COUNTIF(CAT_ID,$K688)=0),"ERRO: categoria inexistente",IF(AND($L688&lt;&gt;"",COUNTIF(SUB_ID,$L688)=0),"ERRO: subcategoria inexistente",IF(AND($L688&lt;&gt;"",$K688&lt;&gt;"",IFERROR(INDEX(SUB_CATID,MATCH($L688,SUB_ID,0)),"")&lt;&gt;$K688),"ERRO: subcategoria nao pertence a categoria",IF(AND($O688&lt;&gt;"",COUNTIF(P_ID,$O688)=0),"ERRO: parcela inexistente",IF(AND($N688&lt;&gt;"",COUNTIF(CM_ID,$N688)=0),"ERRO: compromisso inexistente","OK")))))))))))))</f>
        <v/>
      </c>
      <c r="AK688" s="35" t="str">
        <f aca="false">IF($B688="","",IF(AND($N688="",$O688="",$P688="",$Q688="",$R688=""),"","VINCULADO: "&amp;TRIM(IF($N688&lt;&gt;"",$N688&amp;" ","")&amp;IF($O688&lt;&gt;"",$O688&amp;" ","")&amp;IF($P688&lt;&gt;"",$P688&amp;" ","")&amp;IF($Q688&lt;&gt;"",$Q688&amp;" ","")&amp;IF($R688&lt;&gt;"",$R688,""))))</f>
        <v/>
      </c>
    </row>
    <row r="689" customFormat="false" ht="15" hidden="false" customHeight="false" outlineLevel="0" collapsed="false">
      <c r="A689" s="30" t="str">
        <f aca="false">IF($B689="","","LAN-"&amp;TEXT(ROW()-4,"000000"))</f>
        <v/>
      </c>
      <c r="B689" s="31"/>
      <c r="C689" s="32"/>
      <c r="D689" s="32"/>
      <c r="E689" s="32"/>
      <c r="F689" s="33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4" t="str">
        <f aca="false">IF($B689="","",YEAR($B689))</f>
        <v/>
      </c>
      <c r="U689" s="34" t="str">
        <f aca="false">IF($B689="","",MONTH($B689))</f>
        <v/>
      </c>
      <c r="V689" s="34" t="str">
        <f aca="false">IF($B689="","",YEAR($B689)*100+MONTH($B689))</f>
        <v/>
      </c>
      <c r="W689" s="35" t="str">
        <f aca="false">IF($D689="","",IFERROR(INDEX(MAP_CLASS,MATCH($D689,MAP_TIPO,0)),"TIPO INVALIDO"))</f>
        <v/>
      </c>
      <c r="X689" s="35" t="str">
        <f aca="false">IF($K689="","",IFERROR(INDEX(CAT_NOME,MATCH($K689,CAT_ID,0)),"?"))</f>
        <v/>
      </c>
      <c r="Y689" s="35" t="str">
        <f aca="false">IF($L689="","",IFERROR(INDEX(SUB_NOME,MATCH($L689,SUB_ID,0)),"?"))</f>
        <v/>
      </c>
      <c r="Z689" s="35" t="str">
        <f aca="false">IF($G689="","",IF($G689="EXTERNO","(Externo)",IFERROR(INDEX(ENT_NOME,MATCH($H689,ENT_ID,0)),"?")))</f>
        <v/>
      </c>
      <c r="AA689" s="35" t="str">
        <f aca="false">IF($I689="","",IF($I689="EXTERNO","(Externo)",IFERROR(INDEX(ENT_NOME,MATCH($J689,ENT_ID,0)),"?")))</f>
        <v/>
      </c>
      <c r="AB689" s="36" t="n">
        <f aca="false">IF($B689="",0,IF(AND($I689="CONTA",$G689&lt;&gt;"CONTA"),$F689,0))</f>
        <v>0</v>
      </c>
      <c r="AC689" s="36" t="n">
        <f aca="false">IF($B689="",0,IF(AND($G689="CONTA",$I689&lt;&gt;"CONTA"),$F689,0))</f>
        <v>0</v>
      </c>
      <c r="AD689" s="36" t="n">
        <f aca="false">IF($W689="RECEITA",$F689,0)</f>
        <v>0</v>
      </c>
      <c r="AE689" s="36" t="n">
        <f aca="false">IF($W689="DESPESA",$F689,0)</f>
        <v>0</v>
      </c>
      <c r="AF689" s="36" t="n">
        <f aca="false">IF($W689="RECEITA_FINANCEIRA",$F689,0)</f>
        <v>0</v>
      </c>
      <c r="AG689" s="36" t="n">
        <f aca="false">IF($B689="",0,IF($I689="CONTA",$F689,0)-IF($G689="CONTA",$F689,0))</f>
        <v>0</v>
      </c>
      <c r="AH689" s="36" t="n">
        <f aca="false">IF($B689="",0,IF($G689="CARTAO",$F689,0)-IF($I689="CARTAO",$F689,0))</f>
        <v>0</v>
      </c>
      <c r="AI689" s="36" t="n">
        <f aca="false">IF($B689="",0,IF($I689="INVESTIMENTO",$F689,0)-IF($G689="INVESTIMENTO",$F689,0))</f>
        <v>0</v>
      </c>
      <c r="AJ689" s="35" t="str">
        <f aca="false">IF($B689="","",IF(NOT(ISNUMBER($F689)),"ERRO: valor nao numerico",IF($F689&lt;=0,"ERRO: valor deve ser maior que zero",IF(COUNTIF(MAP_TIPO,$D689)=0,"ERRO: tipo de operacao nao cadastrado",IF(COUNTIF(LST_STATUS,$E689)=0,"ERRO: status invalido",IF(AND($G689="EXTERNO",$I689="EXTERNO"),"ERRO: origem e destino externos",IF(AND($G689&lt;&gt;"EXTERNO",COUNTIFS(ENT_ID,$H689,ENT_TIPO,$G689)=0),"ERRO: origem inexistente",IF(AND($I689&lt;&gt;"EXTERNO",COUNTIFS(ENT_ID,$J689,ENT_TIPO,$I689)=0),"ERRO: destino inexistente",IF(AND($K689&lt;&gt;"",COUNTIF(CAT_ID,$K689)=0),"ERRO: categoria inexistente",IF(AND($L689&lt;&gt;"",COUNTIF(SUB_ID,$L689)=0),"ERRO: subcategoria inexistente",IF(AND($L689&lt;&gt;"",$K689&lt;&gt;"",IFERROR(INDEX(SUB_CATID,MATCH($L689,SUB_ID,0)),"")&lt;&gt;$K689),"ERRO: subcategoria nao pertence a categoria",IF(AND($O689&lt;&gt;"",COUNTIF(P_ID,$O689)=0),"ERRO: parcela inexistente",IF(AND($N689&lt;&gt;"",COUNTIF(CM_ID,$N689)=0),"ERRO: compromisso inexistente","OK")))))))))))))</f>
        <v/>
      </c>
      <c r="AK689" s="35" t="str">
        <f aca="false">IF($B689="","",IF(AND($N689="",$O689="",$P689="",$Q689="",$R689=""),"","VINCULADO: "&amp;TRIM(IF($N689&lt;&gt;"",$N689&amp;" ","")&amp;IF($O689&lt;&gt;"",$O689&amp;" ","")&amp;IF($P689&lt;&gt;"",$P689&amp;" ","")&amp;IF($Q689&lt;&gt;"",$Q689&amp;" ","")&amp;IF($R689&lt;&gt;"",$R689,""))))</f>
        <v/>
      </c>
    </row>
    <row r="690" customFormat="false" ht="15" hidden="false" customHeight="false" outlineLevel="0" collapsed="false">
      <c r="A690" s="30" t="str">
        <f aca="false">IF($B690="","","LAN-"&amp;TEXT(ROW()-4,"000000"))</f>
        <v/>
      </c>
      <c r="B690" s="31"/>
      <c r="C690" s="32"/>
      <c r="D690" s="32"/>
      <c r="E690" s="32"/>
      <c r="F690" s="33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4" t="str">
        <f aca="false">IF($B690="","",YEAR($B690))</f>
        <v/>
      </c>
      <c r="U690" s="34" t="str">
        <f aca="false">IF($B690="","",MONTH($B690))</f>
        <v/>
      </c>
      <c r="V690" s="34" t="str">
        <f aca="false">IF($B690="","",YEAR($B690)*100+MONTH($B690))</f>
        <v/>
      </c>
      <c r="W690" s="35" t="str">
        <f aca="false">IF($D690="","",IFERROR(INDEX(MAP_CLASS,MATCH($D690,MAP_TIPO,0)),"TIPO INVALIDO"))</f>
        <v/>
      </c>
      <c r="X690" s="35" t="str">
        <f aca="false">IF($K690="","",IFERROR(INDEX(CAT_NOME,MATCH($K690,CAT_ID,0)),"?"))</f>
        <v/>
      </c>
      <c r="Y690" s="35" t="str">
        <f aca="false">IF($L690="","",IFERROR(INDEX(SUB_NOME,MATCH($L690,SUB_ID,0)),"?"))</f>
        <v/>
      </c>
      <c r="Z690" s="35" t="str">
        <f aca="false">IF($G690="","",IF($G690="EXTERNO","(Externo)",IFERROR(INDEX(ENT_NOME,MATCH($H690,ENT_ID,0)),"?")))</f>
        <v/>
      </c>
      <c r="AA690" s="35" t="str">
        <f aca="false">IF($I690="","",IF($I690="EXTERNO","(Externo)",IFERROR(INDEX(ENT_NOME,MATCH($J690,ENT_ID,0)),"?")))</f>
        <v/>
      </c>
      <c r="AB690" s="36" t="n">
        <f aca="false">IF($B690="",0,IF(AND($I690="CONTA",$G690&lt;&gt;"CONTA"),$F690,0))</f>
        <v>0</v>
      </c>
      <c r="AC690" s="36" t="n">
        <f aca="false">IF($B690="",0,IF(AND($G690="CONTA",$I690&lt;&gt;"CONTA"),$F690,0))</f>
        <v>0</v>
      </c>
      <c r="AD690" s="36" t="n">
        <f aca="false">IF($W690="RECEITA",$F690,0)</f>
        <v>0</v>
      </c>
      <c r="AE690" s="36" t="n">
        <f aca="false">IF($W690="DESPESA",$F690,0)</f>
        <v>0</v>
      </c>
      <c r="AF690" s="36" t="n">
        <f aca="false">IF($W690="RECEITA_FINANCEIRA",$F690,0)</f>
        <v>0</v>
      </c>
      <c r="AG690" s="36" t="n">
        <f aca="false">IF($B690="",0,IF($I690="CONTA",$F690,0)-IF($G690="CONTA",$F690,0))</f>
        <v>0</v>
      </c>
      <c r="AH690" s="36" t="n">
        <f aca="false">IF($B690="",0,IF($G690="CARTAO",$F690,0)-IF($I690="CARTAO",$F690,0))</f>
        <v>0</v>
      </c>
      <c r="AI690" s="36" t="n">
        <f aca="false">IF($B690="",0,IF($I690="INVESTIMENTO",$F690,0)-IF($G690="INVESTIMENTO",$F690,0))</f>
        <v>0</v>
      </c>
      <c r="AJ690" s="35" t="str">
        <f aca="false">IF($B690="","",IF(NOT(ISNUMBER($F690)),"ERRO: valor nao numerico",IF($F690&lt;=0,"ERRO: valor deve ser maior que zero",IF(COUNTIF(MAP_TIPO,$D690)=0,"ERRO: tipo de operacao nao cadastrado",IF(COUNTIF(LST_STATUS,$E690)=0,"ERRO: status invalido",IF(AND($G690="EXTERNO",$I690="EXTERNO"),"ERRO: origem e destino externos",IF(AND($G690&lt;&gt;"EXTERNO",COUNTIFS(ENT_ID,$H690,ENT_TIPO,$G690)=0),"ERRO: origem inexistente",IF(AND($I690&lt;&gt;"EXTERNO",COUNTIFS(ENT_ID,$J690,ENT_TIPO,$I690)=0),"ERRO: destino inexistente",IF(AND($K690&lt;&gt;"",COUNTIF(CAT_ID,$K690)=0),"ERRO: categoria inexistente",IF(AND($L690&lt;&gt;"",COUNTIF(SUB_ID,$L690)=0),"ERRO: subcategoria inexistente",IF(AND($L690&lt;&gt;"",$K690&lt;&gt;"",IFERROR(INDEX(SUB_CATID,MATCH($L690,SUB_ID,0)),"")&lt;&gt;$K690),"ERRO: subcategoria nao pertence a categoria",IF(AND($O690&lt;&gt;"",COUNTIF(P_ID,$O690)=0),"ERRO: parcela inexistente",IF(AND($N690&lt;&gt;"",COUNTIF(CM_ID,$N690)=0),"ERRO: compromisso inexistente","OK")))))))))))))</f>
        <v/>
      </c>
      <c r="AK690" s="35" t="str">
        <f aca="false">IF($B690="","",IF(AND($N690="",$O690="",$P690="",$Q690="",$R690=""),"","VINCULADO: "&amp;TRIM(IF($N690&lt;&gt;"",$N690&amp;" ","")&amp;IF($O690&lt;&gt;"",$O690&amp;" ","")&amp;IF($P690&lt;&gt;"",$P690&amp;" ","")&amp;IF($Q690&lt;&gt;"",$Q690&amp;" ","")&amp;IF($R690&lt;&gt;"",$R690,""))))</f>
        <v/>
      </c>
    </row>
    <row r="691" customFormat="false" ht="15" hidden="false" customHeight="false" outlineLevel="0" collapsed="false">
      <c r="A691" s="30" t="str">
        <f aca="false">IF($B691="","","LAN-"&amp;TEXT(ROW()-4,"000000"))</f>
        <v/>
      </c>
      <c r="B691" s="31"/>
      <c r="C691" s="32"/>
      <c r="D691" s="32"/>
      <c r="E691" s="32"/>
      <c r="F691" s="33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4" t="str">
        <f aca="false">IF($B691="","",YEAR($B691))</f>
        <v/>
      </c>
      <c r="U691" s="34" t="str">
        <f aca="false">IF($B691="","",MONTH($B691))</f>
        <v/>
      </c>
      <c r="V691" s="34" t="str">
        <f aca="false">IF($B691="","",YEAR($B691)*100+MONTH($B691))</f>
        <v/>
      </c>
      <c r="W691" s="35" t="str">
        <f aca="false">IF($D691="","",IFERROR(INDEX(MAP_CLASS,MATCH($D691,MAP_TIPO,0)),"TIPO INVALIDO"))</f>
        <v/>
      </c>
      <c r="X691" s="35" t="str">
        <f aca="false">IF($K691="","",IFERROR(INDEX(CAT_NOME,MATCH($K691,CAT_ID,0)),"?"))</f>
        <v/>
      </c>
      <c r="Y691" s="35" t="str">
        <f aca="false">IF($L691="","",IFERROR(INDEX(SUB_NOME,MATCH($L691,SUB_ID,0)),"?"))</f>
        <v/>
      </c>
      <c r="Z691" s="35" t="str">
        <f aca="false">IF($G691="","",IF($G691="EXTERNO","(Externo)",IFERROR(INDEX(ENT_NOME,MATCH($H691,ENT_ID,0)),"?")))</f>
        <v/>
      </c>
      <c r="AA691" s="35" t="str">
        <f aca="false">IF($I691="","",IF($I691="EXTERNO","(Externo)",IFERROR(INDEX(ENT_NOME,MATCH($J691,ENT_ID,0)),"?")))</f>
        <v/>
      </c>
      <c r="AB691" s="36" t="n">
        <f aca="false">IF($B691="",0,IF(AND($I691="CONTA",$G691&lt;&gt;"CONTA"),$F691,0))</f>
        <v>0</v>
      </c>
      <c r="AC691" s="36" t="n">
        <f aca="false">IF($B691="",0,IF(AND($G691="CONTA",$I691&lt;&gt;"CONTA"),$F691,0))</f>
        <v>0</v>
      </c>
      <c r="AD691" s="36" t="n">
        <f aca="false">IF($W691="RECEITA",$F691,0)</f>
        <v>0</v>
      </c>
      <c r="AE691" s="36" t="n">
        <f aca="false">IF($W691="DESPESA",$F691,0)</f>
        <v>0</v>
      </c>
      <c r="AF691" s="36" t="n">
        <f aca="false">IF($W691="RECEITA_FINANCEIRA",$F691,0)</f>
        <v>0</v>
      </c>
      <c r="AG691" s="36" t="n">
        <f aca="false">IF($B691="",0,IF($I691="CONTA",$F691,0)-IF($G691="CONTA",$F691,0))</f>
        <v>0</v>
      </c>
      <c r="AH691" s="36" t="n">
        <f aca="false">IF($B691="",0,IF($G691="CARTAO",$F691,0)-IF($I691="CARTAO",$F691,0))</f>
        <v>0</v>
      </c>
      <c r="AI691" s="36" t="n">
        <f aca="false">IF($B691="",0,IF($I691="INVESTIMENTO",$F691,0)-IF($G691="INVESTIMENTO",$F691,0))</f>
        <v>0</v>
      </c>
      <c r="AJ691" s="35" t="str">
        <f aca="false">IF($B691="","",IF(NOT(ISNUMBER($F691)),"ERRO: valor nao numerico",IF($F691&lt;=0,"ERRO: valor deve ser maior que zero",IF(COUNTIF(MAP_TIPO,$D691)=0,"ERRO: tipo de operacao nao cadastrado",IF(COUNTIF(LST_STATUS,$E691)=0,"ERRO: status invalido",IF(AND($G691="EXTERNO",$I691="EXTERNO"),"ERRO: origem e destino externos",IF(AND($G691&lt;&gt;"EXTERNO",COUNTIFS(ENT_ID,$H691,ENT_TIPO,$G691)=0),"ERRO: origem inexistente",IF(AND($I691&lt;&gt;"EXTERNO",COUNTIFS(ENT_ID,$J691,ENT_TIPO,$I691)=0),"ERRO: destino inexistente",IF(AND($K691&lt;&gt;"",COUNTIF(CAT_ID,$K691)=0),"ERRO: categoria inexistente",IF(AND($L691&lt;&gt;"",COUNTIF(SUB_ID,$L691)=0),"ERRO: subcategoria inexistente",IF(AND($L691&lt;&gt;"",$K691&lt;&gt;"",IFERROR(INDEX(SUB_CATID,MATCH($L691,SUB_ID,0)),"")&lt;&gt;$K691),"ERRO: subcategoria nao pertence a categoria",IF(AND($O691&lt;&gt;"",COUNTIF(P_ID,$O691)=0),"ERRO: parcela inexistente",IF(AND($N691&lt;&gt;"",COUNTIF(CM_ID,$N691)=0),"ERRO: compromisso inexistente","OK")))))))))))))</f>
        <v/>
      </c>
      <c r="AK691" s="35" t="str">
        <f aca="false">IF($B691="","",IF(AND($N691="",$O691="",$P691="",$Q691="",$R691=""),"","VINCULADO: "&amp;TRIM(IF($N691&lt;&gt;"",$N691&amp;" ","")&amp;IF($O691&lt;&gt;"",$O691&amp;" ","")&amp;IF($P691&lt;&gt;"",$P691&amp;" ","")&amp;IF($Q691&lt;&gt;"",$Q691&amp;" ","")&amp;IF($R691&lt;&gt;"",$R691,""))))</f>
        <v/>
      </c>
    </row>
    <row r="692" customFormat="false" ht="15" hidden="false" customHeight="false" outlineLevel="0" collapsed="false">
      <c r="A692" s="30" t="str">
        <f aca="false">IF($B692="","","LAN-"&amp;TEXT(ROW()-4,"000000"))</f>
        <v/>
      </c>
      <c r="B692" s="31"/>
      <c r="C692" s="32"/>
      <c r="D692" s="32"/>
      <c r="E692" s="32"/>
      <c r="F692" s="33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4" t="str">
        <f aca="false">IF($B692="","",YEAR($B692))</f>
        <v/>
      </c>
      <c r="U692" s="34" t="str">
        <f aca="false">IF($B692="","",MONTH($B692))</f>
        <v/>
      </c>
      <c r="V692" s="34" t="str">
        <f aca="false">IF($B692="","",YEAR($B692)*100+MONTH($B692))</f>
        <v/>
      </c>
      <c r="W692" s="35" t="str">
        <f aca="false">IF($D692="","",IFERROR(INDEX(MAP_CLASS,MATCH($D692,MAP_TIPO,0)),"TIPO INVALIDO"))</f>
        <v/>
      </c>
      <c r="X692" s="35" t="str">
        <f aca="false">IF($K692="","",IFERROR(INDEX(CAT_NOME,MATCH($K692,CAT_ID,0)),"?"))</f>
        <v/>
      </c>
      <c r="Y692" s="35" t="str">
        <f aca="false">IF($L692="","",IFERROR(INDEX(SUB_NOME,MATCH($L692,SUB_ID,0)),"?"))</f>
        <v/>
      </c>
      <c r="Z692" s="35" t="str">
        <f aca="false">IF($G692="","",IF($G692="EXTERNO","(Externo)",IFERROR(INDEX(ENT_NOME,MATCH($H692,ENT_ID,0)),"?")))</f>
        <v/>
      </c>
      <c r="AA692" s="35" t="str">
        <f aca="false">IF($I692="","",IF($I692="EXTERNO","(Externo)",IFERROR(INDEX(ENT_NOME,MATCH($J692,ENT_ID,0)),"?")))</f>
        <v/>
      </c>
      <c r="AB692" s="36" t="n">
        <f aca="false">IF($B692="",0,IF(AND($I692="CONTA",$G692&lt;&gt;"CONTA"),$F692,0))</f>
        <v>0</v>
      </c>
      <c r="AC692" s="36" t="n">
        <f aca="false">IF($B692="",0,IF(AND($G692="CONTA",$I692&lt;&gt;"CONTA"),$F692,0))</f>
        <v>0</v>
      </c>
      <c r="AD692" s="36" t="n">
        <f aca="false">IF($W692="RECEITA",$F692,0)</f>
        <v>0</v>
      </c>
      <c r="AE692" s="36" t="n">
        <f aca="false">IF($W692="DESPESA",$F692,0)</f>
        <v>0</v>
      </c>
      <c r="AF692" s="36" t="n">
        <f aca="false">IF($W692="RECEITA_FINANCEIRA",$F692,0)</f>
        <v>0</v>
      </c>
      <c r="AG692" s="36" t="n">
        <f aca="false">IF($B692="",0,IF($I692="CONTA",$F692,0)-IF($G692="CONTA",$F692,0))</f>
        <v>0</v>
      </c>
      <c r="AH692" s="36" t="n">
        <f aca="false">IF($B692="",0,IF($G692="CARTAO",$F692,0)-IF($I692="CARTAO",$F692,0))</f>
        <v>0</v>
      </c>
      <c r="AI692" s="36" t="n">
        <f aca="false">IF($B692="",0,IF($I692="INVESTIMENTO",$F692,0)-IF($G692="INVESTIMENTO",$F692,0))</f>
        <v>0</v>
      </c>
      <c r="AJ692" s="35" t="str">
        <f aca="false">IF($B692="","",IF(NOT(ISNUMBER($F692)),"ERRO: valor nao numerico",IF($F692&lt;=0,"ERRO: valor deve ser maior que zero",IF(COUNTIF(MAP_TIPO,$D692)=0,"ERRO: tipo de operacao nao cadastrado",IF(COUNTIF(LST_STATUS,$E692)=0,"ERRO: status invalido",IF(AND($G692="EXTERNO",$I692="EXTERNO"),"ERRO: origem e destino externos",IF(AND($G692&lt;&gt;"EXTERNO",COUNTIFS(ENT_ID,$H692,ENT_TIPO,$G692)=0),"ERRO: origem inexistente",IF(AND($I692&lt;&gt;"EXTERNO",COUNTIFS(ENT_ID,$J692,ENT_TIPO,$I692)=0),"ERRO: destino inexistente",IF(AND($K692&lt;&gt;"",COUNTIF(CAT_ID,$K692)=0),"ERRO: categoria inexistente",IF(AND($L692&lt;&gt;"",COUNTIF(SUB_ID,$L692)=0),"ERRO: subcategoria inexistente",IF(AND($L692&lt;&gt;"",$K692&lt;&gt;"",IFERROR(INDEX(SUB_CATID,MATCH($L692,SUB_ID,0)),"")&lt;&gt;$K692),"ERRO: subcategoria nao pertence a categoria",IF(AND($O692&lt;&gt;"",COUNTIF(P_ID,$O692)=0),"ERRO: parcela inexistente",IF(AND($N692&lt;&gt;"",COUNTIF(CM_ID,$N692)=0),"ERRO: compromisso inexistente","OK")))))))))))))</f>
        <v/>
      </c>
      <c r="AK692" s="35" t="str">
        <f aca="false">IF($B692="","",IF(AND($N692="",$O692="",$P692="",$Q692="",$R692=""),"","VINCULADO: "&amp;TRIM(IF($N692&lt;&gt;"",$N692&amp;" ","")&amp;IF($O692&lt;&gt;"",$O692&amp;" ","")&amp;IF($P692&lt;&gt;"",$P692&amp;" ","")&amp;IF($Q692&lt;&gt;"",$Q692&amp;" ","")&amp;IF($R692&lt;&gt;"",$R692,""))))</f>
        <v/>
      </c>
    </row>
    <row r="693" customFormat="false" ht="15" hidden="false" customHeight="false" outlineLevel="0" collapsed="false">
      <c r="A693" s="30" t="str">
        <f aca="false">IF($B693="","","LAN-"&amp;TEXT(ROW()-4,"000000"))</f>
        <v/>
      </c>
      <c r="B693" s="31"/>
      <c r="C693" s="32"/>
      <c r="D693" s="32"/>
      <c r="E693" s="32"/>
      <c r="F693" s="33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4" t="str">
        <f aca="false">IF($B693="","",YEAR($B693))</f>
        <v/>
      </c>
      <c r="U693" s="34" t="str">
        <f aca="false">IF($B693="","",MONTH($B693))</f>
        <v/>
      </c>
      <c r="V693" s="34" t="str">
        <f aca="false">IF($B693="","",YEAR($B693)*100+MONTH($B693))</f>
        <v/>
      </c>
      <c r="W693" s="35" t="str">
        <f aca="false">IF($D693="","",IFERROR(INDEX(MAP_CLASS,MATCH($D693,MAP_TIPO,0)),"TIPO INVALIDO"))</f>
        <v/>
      </c>
      <c r="X693" s="35" t="str">
        <f aca="false">IF($K693="","",IFERROR(INDEX(CAT_NOME,MATCH($K693,CAT_ID,0)),"?"))</f>
        <v/>
      </c>
      <c r="Y693" s="35" t="str">
        <f aca="false">IF($L693="","",IFERROR(INDEX(SUB_NOME,MATCH($L693,SUB_ID,0)),"?"))</f>
        <v/>
      </c>
      <c r="Z693" s="35" t="str">
        <f aca="false">IF($G693="","",IF($G693="EXTERNO","(Externo)",IFERROR(INDEX(ENT_NOME,MATCH($H693,ENT_ID,0)),"?")))</f>
        <v/>
      </c>
      <c r="AA693" s="35" t="str">
        <f aca="false">IF($I693="","",IF($I693="EXTERNO","(Externo)",IFERROR(INDEX(ENT_NOME,MATCH($J693,ENT_ID,0)),"?")))</f>
        <v/>
      </c>
      <c r="AB693" s="36" t="n">
        <f aca="false">IF($B693="",0,IF(AND($I693="CONTA",$G693&lt;&gt;"CONTA"),$F693,0))</f>
        <v>0</v>
      </c>
      <c r="AC693" s="36" t="n">
        <f aca="false">IF($B693="",0,IF(AND($G693="CONTA",$I693&lt;&gt;"CONTA"),$F693,0))</f>
        <v>0</v>
      </c>
      <c r="AD693" s="36" t="n">
        <f aca="false">IF($W693="RECEITA",$F693,0)</f>
        <v>0</v>
      </c>
      <c r="AE693" s="36" t="n">
        <f aca="false">IF($W693="DESPESA",$F693,0)</f>
        <v>0</v>
      </c>
      <c r="AF693" s="36" t="n">
        <f aca="false">IF($W693="RECEITA_FINANCEIRA",$F693,0)</f>
        <v>0</v>
      </c>
      <c r="AG693" s="36" t="n">
        <f aca="false">IF($B693="",0,IF($I693="CONTA",$F693,0)-IF($G693="CONTA",$F693,0))</f>
        <v>0</v>
      </c>
      <c r="AH693" s="36" t="n">
        <f aca="false">IF($B693="",0,IF($G693="CARTAO",$F693,0)-IF($I693="CARTAO",$F693,0))</f>
        <v>0</v>
      </c>
      <c r="AI693" s="36" t="n">
        <f aca="false">IF($B693="",0,IF($I693="INVESTIMENTO",$F693,0)-IF($G693="INVESTIMENTO",$F693,0))</f>
        <v>0</v>
      </c>
      <c r="AJ693" s="35" t="str">
        <f aca="false">IF($B693="","",IF(NOT(ISNUMBER($F693)),"ERRO: valor nao numerico",IF($F693&lt;=0,"ERRO: valor deve ser maior que zero",IF(COUNTIF(MAP_TIPO,$D693)=0,"ERRO: tipo de operacao nao cadastrado",IF(COUNTIF(LST_STATUS,$E693)=0,"ERRO: status invalido",IF(AND($G693="EXTERNO",$I693="EXTERNO"),"ERRO: origem e destino externos",IF(AND($G693&lt;&gt;"EXTERNO",COUNTIFS(ENT_ID,$H693,ENT_TIPO,$G693)=0),"ERRO: origem inexistente",IF(AND($I693&lt;&gt;"EXTERNO",COUNTIFS(ENT_ID,$J693,ENT_TIPO,$I693)=0),"ERRO: destino inexistente",IF(AND($K693&lt;&gt;"",COUNTIF(CAT_ID,$K693)=0),"ERRO: categoria inexistente",IF(AND($L693&lt;&gt;"",COUNTIF(SUB_ID,$L693)=0),"ERRO: subcategoria inexistente",IF(AND($L693&lt;&gt;"",$K693&lt;&gt;"",IFERROR(INDEX(SUB_CATID,MATCH($L693,SUB_ID,0)),"")&lt;&gt;$K693),"ERRO: subcategoria nao pertence a categoria",IF(AND($O693&lt;&gt;"",COUNTIF(P_ID,$O693)=0),"ERRO: parcela inexistente",IF(AND($N693&lt;&gt;"",COUNTIF(CM_ID,$N693)=0),"ERRO: compromisso inexistente","OK")))))))))))))</f>
        <v/>
      </c>
      <c r="AK693" s="35" t="str">
        <f aca="false">IF($B693="","",IF(AND($N693="",$O693="",$P693="",$Q693="",$R693=""),"","VINCULADO: "&amp;TRIM(IF($N693&lt;&gt;"",$N693&amp;" ","")&amp;IF($O693&lt;&gt;"",$O693&amp;" ","")&amp;IF($P693&lt;&gt;"",$P693&amp;" ","")&amp;IF($Q693&lt;&gt;"",$Q693&amp;" ","")&amp;IF($R693&lt;&gt;"",$R693,""))))</f>
        <v/>
      </c>
    </row>
    <row r="694" customFormat="false" ht="15" hidden="false" customHeight="false" outlineLevel="0" collapsed="false">
      <c r="A694" s="30" t="str">
        <f aca="false">IF($B694="","","LAN-"&amp;TEXT(ROW()-4,"000000"))</f>
        <v/>
      </c>
      <c r="B694" s="31"/>
      <c r="C694" s="32"/>
      <c r="D694" s="32"/>
      <c r="E694" s="32"/>
      <c r="F694" s="33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4" t="str">
        <f aca="false">IF($B694="","",YEAR($B694))</f>
        <v/>
      </c>
      <c r="U694" s="34" t="str">
        <f aca="false">IF($B694="","",MONTH($B694))</f>
        <v/>
      </c>
      <c r="V694" s="34" t="str">
        <f aca="false">IF($B694="","",YEAR($B694)*100+MONTH($B694))</f>
        <v/>
      </c>
      <c r="W694" s="35" t="str">
        <f aca="false">IF($D694="","",IFERROR(INDEX(MAP_CLASS,MATCH($D694,MAP_TIPO,0)),"TIPO INVALIDO"))</f>
        <v/>
      </c>
      <c r="X694" s="35" t="str">
        <f aca="false">IF($K694="","",IFERROR(INDEX(CAT_NOME,MATCH($K694,CAT_ID,0)),"?"))</f>
        <v/>
      </c>
      <c r="Y694" s="35" t="str">
        <f aca="false">IF($L694="","",IFERROR(INDEX(SUB_NOME,MATCH($L694,SUB_ID,0)),"?"))</f>
        <v/>
      </c>
      <c r="Z694" s="35" t="str">
        <f aca="false">IF($G694="","",IF($G694="EXTERNO","(Externo)",IFERROR(INDEX(ENT_NOME,MATCH($H694,ENT_ID,0)),"?")))</f>
        <v/>
      </c>
      <c r="AA694" s="35" t="str">
        <f aca="false">IF($I694="","",IF($I694="EXTERNO","(Externo)",IFERROR(INDEX(ENT_NOME,MATCH($J694,ENT_ID,0)),"?")))</f>
        <v/>
      </c>
      <c r="AB694" s="36" t="n">
        <f aca="false">IF($B694="",0,IF(AND($I694="CONTA",$G694&lt;&gt;"CONTA"),$F694,0))</f>
        <v>0</v>
      </c>
      <c r="AC694" s="36" t="n">
        <f aca="false">IF($B694="",0,IF(AND($G694="CONTA",$I694&lt;&gt;"CONTA"),$F694,0))</f>
        <v>0</v>
      </c>
      <c r="AD694" s="36" t="n">
        <f aca="false">IF($W694="RECEITA",$F694,0)</f>
        <v>0</v>
      </c>
      <c r="AE694" s="36" t="n">
        <f aca="false">IF($W694="DESPESA",$F694,0)</f>
        <v>0</v>
      </c>
      <c r="AF694" s="36" t="n">
        <f aca="false">IF($W694="RECEITA_FINANCEIRA",$F694,0)</f>
        <v>0</v>
      </c>
      <c r="AG694" s="36" t="n">
        <f aca="false">IF($B694="",0,IF($I694="CONTA",$F694,0)-IF($G694="CONTA",$F694,0))</f>
        <v>0</v>
      </c>
      <c r="AH694" s="36" t="n">
        <f aca="false">IF($B694="",0,IF($G694="CARTAO",$F694,0)-IF($I694="CARTAO",$F694,0))</f>
        <v>0</v>
      </c>
      <c r="AI694" s="36" t="n">
        <f aca="false">IF($B694="",0,IF($I694="INVESTIMENTO",$F694,0)-IF($G694="INVESTIMENTO",$F694,0))</f>
        <v>0</v>
      </c>
      <c r="AJ694" s="35" t="str">
        <f aca="false">IF($B694="","",IF(NOT(ISNUMBER($F694)),"ERRO: valor nao numerico",IF($F694&lt;=0,"ERRO: valor deve ser maior que zero",IF(COUNTIF(MAP_TIPO,$D694)=0,"ERRO: tipo de operacao nao cadastrado",IF(COUNTIF(LST_STATUS,$E694)=0,"ERRO: status invalido",IF(AND($G694="EXTERNO",$I694="EXTERNO"),"ERRO: origem e destino externos",IF(AND($G694&lt;&gt;"EXTERNO",COUNTIFS(ENT_ID,$H694,ENT_TIPO,$G694)=0),"ERRO: origem inexistente",IF(AND($I694&lt;&gt;"EXTERNO",COUNTIFS(ENT_ID,$J694,ENT_TIPO,$I694)=0),"ERRO: destino inexistente",IF(AND($K694&lt;&gt;"",COUNTIF(CAT_ID,$K694)=0),"ERRO: categoria inexistente",IF(AND($L694&lt;&gt;"",COUNTIF(SUB_ID,$L694)=0),"ERRO: subcategoria inexistente",IF(AND($L694&lt;&gt;"",$K694&lt;&gt;"",IFERROR(INDEX(SUB_CATID,MATCH($L694,SUB_ID,0)),"")&lt;&gt;$K694),"ERRO: subcategoria nao pertence a categoria",IF(AND($O694&lt;&gt;"",COUNTIF(P_ID,$O694)=0),"ERRO: parcela inexistente",IF(AND($N694&lt;&gt;"",COUNTIF(CM_ID,$N694)=0),"ERRO: compromisso inexistente","OK")))))))))))))</f>
        <v/>
      </c>
      <c r="AK694" s="35" t="str">
        <f aca="false">IF($B694="","",IF(AND($N694="",$O694="",$P694="",$Q694="",$R694=""),"","VINCULADO: "&amp;TRIM(IF($N694&lt;&gt;"",$N694&amp;" ","")&amp;IF($O694&lt;&gt;"",$O694&amp;" ","")&amp;IF($P694&lt;&gt;"",$P694&amp;" ","")&amp;IF($Q694&lt;&gt;"",$Q694&amp;" ","")&amp;IF($R694&lt;&gt;"",$R694,""))))</f>
        <v/>
      </c>
    </row>
    <row r="695" customFormat="false" ht="15" hidden="false" customHeight="false" outlineLevel="0" collapsed="false">
      <c r="A695" s="30" t="str">
        <f aca="false">IF($B695="","","LAN-"&amp;TEXT(ROW()-4,"000000"))</f>
        <v/>
      </c>
      <c r="B695" s="31"/>
      <c r="C695" s="32"/>
      <c r="D695" s="32"/>
      <c r="E695" s="32"/>
      <c r="F695" s="33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4" t="str">
        <f aca="false">IF($B695="","",YEAR($B695))</f>
        <v/>
      </c>
      <c r="U695" s="34" t="str">
        <f aca="false">IF($B695="","",MONTH($B695))</f>
        <v/>
      </c>
      <c r="V695" s="34" t="str">
        <f aca="false">IF($B695="","",YEAR($B695)*100+MONTH($B695))</f>
        <v/>
      </c>
      <c r="W695" s="35" t="str">
        <f aca="false">IF($D695="","",IFERROR(INDEX(MAP_CLASS,MATCH($D695,MAP_TIPO,0)),"TIPO INVALIDO"))</f>
        <v/>
      </c>
      <c r="X695" s="35" t="str">
        <f aca="false">IF($K695="","",IFERROR(INDEX(CAT_NOME,MATCH($K695,CAT_ID,0)),"?"))</f>
        <v/>
      </c>
      <c r="Y695" s="35" t="str">
        <f aca="false">IF($L695="","",IFERROR(INDEX(SUB_NOME,MATCH($L695,SUB_ID,0)),"?"))</f>
        <v/>
      </c>
      <c r="Z695" s="35" t="str">
        <f aca="false">IF($G695="","",IF($G695="EXTERNO","(Externo)",IFERROR(INDEX(ENT_NOME,MATCH($H695,ENT_ID,0)),"?")))</f>
        <v/>
      </c>
      <c r="AA695" s="35" t="str">
        <f aca="false">IF($I695="","",IF($I695="EXTERNO","(Externo)",IFERROR(INDEX(ENT_NOME,MATCH($J695,ENT_ID,0)),"?")))</f>
        <v/>
      </c>
      <c r="AB695" s="36" t="n">
        <f aca="false">IF($B695="",0,IF(AND($I695="CONTA",$G695&lt;&gt;"CONTA"),$F695,0))</f>
        <v>0</v>
      </c>
      <c r="AC695" s="36" t="n">
        <f aca="false">IF($B695="",0,IF(AND($G695="CONTA",$I695&lt;&gt;"CONTA"),$F695,0))</f>
        <v>0</v>
      </c>
      <c r="AD695" s="36" t="n">
        <f aca="false">IF($W695="RECEITA",$F695,0)</f>
        <v>0</v>
      </c>
      <c r="AE695" s="36" t="n">
        <f aca="false">IF($W695="DESPESA",$F695,0)</f>
        <v>0</v>
      </c>
      <c r="AF695" s="36" t="n">
        <f aca="false">IF($W695="RECEITA_FINANCEIRA",$F695,0)</f>
        <v>0</v>
      </c>
      <c r="AG695" s="36" t="n">
        <f aca="false">IF($B695="",0,IF($I695="CONTA",$F695,0)-IF($G695="CONTA",$F695,0))</f>
        <v>0</v>
      </c>
      <c r="AH695" s="36" t="n">
        <f aca="false">IF($B695="",0,IF($G695="CARTAO",$F695,0)-IF($I695="CARTAO",$F695,0))</f>
        <v>0</v>
      </c>
      <c r="AI695" s="36" t="n">
        <f aca="false">IF($B695="",0,IF($I695="INVESTIMENTO",$F695,0)-IF($G695="INVESTIMENTO",$F695,0))</f>
        <v>0</v>
      </c>
      <c r="AJ695" s="35" t="str">
        <f aca="false">IF($B695="","",IF(NOT(ISNUMBER($F695)),"ERRO: valor nao numerico",IF($F695&lt;=0,"ERRO: valor deve ser maior que zero",IF(COUNTIF(MAP_TIPO,$D695)=0,"ERRO: tipo de operacao nao cadastrado",IF(COUNTIF(LST_STATUS,$E695)=0,"ERRO: status invalido",IF(AND($G695="EXTERNO",$I695="EXTERNO"),"ERRO: origem e destino externos",IF(AND($G695&lt;&gt;"EXTERNO",COUNTIFS(ENT_ID,$H695,ENT_TIPO,$G695)=0),"ERRO: origem inexistente",IF(AND($I695&lt;&gt;"EXTERNO",COUNTIFS(ENT_ID,$J695,ENT_TIPO,$I695)=0),"ERRO: destino inexistente",IF(AND($K695&lt;&gt;"",COUNTIF(CAT_ID,$K695)=0),"ERRO: categoria inexistente",IF(AND($L695&lt;&gt;"",COUNTIF(SUB_ID,$L695)=0),"ERRO: subcategoria inexistente",IF(AND($L695&lt;&gt;"",$K695&lt;&gt;"",IFERROR(INDEX(SUB_CATID,MATCH($L695,SUB_ID,0)),"")&lt;&gt;$K695),"ERRO: subcategoria nao pertence a categoria",IF(AND($O695&lt;&gt;"",COUNTIF(P_ID,$O695)=0),"ERRO: parcela inexistente",IF(AND($N695&lt;&gt;"",COUNTIF(CM_ID,$N695)=0),"ERRO: compromisso inexistente","OK")))))))))))))</f>
        <v/>
      </c>
      <c r="AK695" s="35" t="str">
        <f aca="false">IF($B695="","",IF(AND($N695="",$O695="",$P695="",$Q695="",$R695=""),"","VINCULADO: "&amp;TRIM(IF($N695&lt;&gt;"",$N695&amp;" ","")&amp;IF($O695&lt;&gt;"",$O695&amp;" ","")&amp;IF($P695&lt;&gt;"",$P695&amp;" ","")&amp;IF($Q695&lt;&gt;"",$Q695&amp;" ","")&amp;IF($R695&lt;&gt;"",$R695,""))))</f>
        <v/>
      </c>
    </row>
    <row r="696" customFormat="false" ht="15" hidden="false" customHeight="false" outlineLevel="0" collapsed="false">
      <c r="A696" s="30" t="str">
        <f aca="false">IF($B696="","","LAN-"&amp;TEXT(ROW()-4,"000000"))</f>
        <v/>
      </c>
      <c r="B696" s="31"/>
      <c r="C696" s="32"/>
      <c r="D696" s="32"/>
      <c r="E696" s="32"/>
      <c r="F696" s="33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4" t="str">
        <f aca="false">IF($B696="","",YEAR($B696))</f>
        <v/>
      </c>
      <c r="U696" s="34" t="str">
        <f aca="false">IF($B696="","",MONTH($B696))</f>
        <v/>
      </c>
      <c r="V696" s="34" t="str">
        <f aca="false">IF($B696="","",YEAR($B696)*100+MONTH($B696))</f>
        <v/>
      </c>
      <c r="W696" s="35" t="str">
        <f aca="false">IF($D696="","",IFERROR(INDEX(MAP_CLASS,MATCH($D696,MAP_TIPO,0)),"TIPO INVALIDO"))</f>
        <v/>
      </c>
      <c r="X696" s="35" t="str">
        <f aca="false">IF($K696="","",IFERROR(INDEX(CAT_NOME,MATCH($K696,CAT_ID,0)),"?"))</f>
        <v/>
      </c>
      <c r="Y696" s="35" t="str">
        <f aca="false">IF($L696="","",IFERROR(INDEX(SUB_NOME,MATCH($L696,SUB_ID,0)),"?"))</f>
        <v/>
      </c>
      <c r="Z696" s="35" t="str">
        <f aca="false">IF($G696="","",IF($G696="EXTERNO","(Externo)",IFERROR(INDEX(ENT_NOME,MATCH($H696,ENT_ID,0)),"?")))</f>
        <v/>
      </c>
      <c r="AA696" s="35" t="str">
        <f aca="false">IF($I696="","",IF($I696="EXTERNO","(Externo)",IFERROR(INDEX(ENT_NOME,MATCH($J696,ENT_ID,0)),"?")))</f>
        <v/>
      </c>
      <c r="AB696" s="36" t="n">
        <f aca="false">IF($B696="",0,IF(AND($I696="CONTA",$G696&lt;&gt;"CONTA"),$F696,0))</f>
        <v>0</v>
      </c>
      <c r="AC696" s="36" t="n">
        <f aca="false">IF($B696="",0,IF(AND($G696="CONTA",$I696&lt;&gt;"CONTA"),$F696,0))</f>
        <v>0</v>
      </c>
      <c r="AD696" s="36" t="n">
        <f aca="false">IF($W696="RECEITA",$F696,0)</f>
        <v>0</v>
      </c>
      <c r="AE696" s="36" t="n">
        <f aca="false">IF($W696="DESPESA",$F696,0)</f>
        <v>0</v>
      </c>
      <c r="AF696" s="36" t="n">
        <f aca="false">IF($W696="RECEITA_FINANCEIRA",$F696,0)</f>
        <v>0</v>
      </c>
      <c r="AG696" s="36" t="n">
        <f aca="false">IF($B696="",0,IF($I696="CONTA",$F696,0)-IF($G696="CONTA",$F696,0))</f>
        <v>0</v>
      </c>
      <c r="AH696" s="36" t="n">
        <f aca="false">IF($B696="",0,IF($G696="CARTAO",$F696,0)-IF($I696="CARTAO",$F696,0))</f>
        <v>0</v>
      </c>
      <c r="AI696" s="36" t="n">
        <f aca="false">IF($B696="",0,IF($I696="INVESTIMENTO",$F696,0)-IF($G696="INVESTIMENTO",$F696,0))</f>
        <v>0</v>
      </c>
      <c r="AJ696" s="35" t="str">
        <f aca="false">IF($B696="","",IF(NOT(ISNUMBER($F696)),"ERRO: valor nao numerico",IF($F696&lt;=0,"ERRO: valor deve ser maior que zero",IF(COUNTIF(MAP_TIPO,$D696)=0,"ERRO: tipo de operacao nao cadastrado",IF(COUNTIF(LST_STATUS,$E696)=0,"ERRO: status invalido",IF(AND($G696="EXTERNO",$I696="EXTERNO"),"ERRO: origem e destino externos",IF(AND($G696&lt;&gt;"EXTERNO",COUNTIFS(ENT_ID,$H696,ENT_TIPO,$G696)=0),"ERRO: origem inexistente",IF(AND($I696&lt;&gt;"EXTERNO",COUNTIFS(ENT_ID,$J696,ENT_TIPO,$I696)=0),"ERRO: destino inexistente",IF(AND($K696&lt;&gt;"",COUNTIF(CAT_ID,$K696)=0),"ERRO: categoria inexistente",IF(AND($L696&lt;&gt;"",COUNTIF(SUB_ID,$L696)=0),"ERRO: subcategoria inexistente",IF(AND($L696&lt;&gt;"",$K696&lt;&gt;"",IFERROR(INDEX(SUB_CATID,MATCH($L696,SUB_ID,0)),"")&lt;&gt;$K696),"ERRO: subcategoria nao pertence a categoria",IF(AND($O696&lt;&gt;"",COUNTIF(P_ID,$O696)=0),"ERRO: parcela inexistente",IF(AND($N696&lt;&gt;"",COUNTIF(CM_ID,$N696)=0),"ERRO: compromisso inexistente","OK")))))))))))))</f>
        <v/>
      </c>
      <c r="AK696" s="35" t="str">
        <f aca="false">IF($B696="","",IF(AND($N696="",$O696="",$P696="",$Q696="",$R696=""),"","VINCULADO: "&amp;TRIM(IF($N696&lt;&gt;"",$N696&amp;" ","")&amp;IF($O696&lt;&gt;"",$O696&amp;" ","")&amp;IF($P696&lt;&gt;"",$P696&amp;" ","")&amp;IF($Q696&lt;&gt;"",$Q696&amp;" ","")&amp;IF($R696&lt;&gt;"",$R696,""))))</f>
        <v/>
      </c>
    </row>
    <row r="697" customFormat="false" ht="15" hidden="false" customHeight="false" outlineLevel="0" collapsed="false">
      <c r="A697" s="30" t="str">
        <f aca="false">IF($B697="","","LAN-"&amp;TEXT(ROW()-4,"000000"))</f>
        <v/>
      </c>
      <c r="B697" s="31"/>
      <c r="C697" s="32"/>
      <c r="D697" s="32"/>
      <c r="E697" s="32"/>
      <c r="F697" s="33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4" t="str">
        <f aca="false">IF($B697="","",YEAR($B697))</f>
        <v/>
      </c>
      <c r="U697" s="34" t="str">
        <f aca="false">IF($B697="","",MONTH($B697))</f>
        <v/>
      </c>
      <c r="V697" s="34" t="str">
        <f aca="false">IF($B697="","",YEAR($B697)*100+MONTH($B697))</f>
        <v/>
      </c>
      <c r="W697" s="35" t="str">
        <f aca="false">IF($D697="","",IFERROR(INDEX(MAP_CLASS,MATCH($D697,MAP_TIPO,0)),"TIPO INVALIDO"))</f>
        <v/>
      </c>
      <c r="X697" s="35" t="str">
        <f aca="false">IF($K697="","",IFERROR(INDEX(CAT_NOME,MATCH($K697,CAT_ID,0)),"?"))</f>
        <v/>
      </c>
      <c r="Y697" s="35" t="str">
        <f aca="false">IF($L697="","",IFERROR(INDEX(SUB_NOME,MATCH($L697,SUB_ID,0)),"?"))</f>
        <v/>
      </c>
      <c r="Z697" s="35" t="str">
        <f aca="false">IF($G697="","",IF($G697="EXTERNO","(Externo)",IFERROR(INDEX(ENT_NOME,MATCH($H697,ENT_ID,0)),"?")))</f>
        <v/>
      </c>
      <c r="AA697" s="35" t="str">
        <f aca="false">IF($I697="","",IF($I697="EXTERNO","(Externo)",IFERROR(INDEX(ENT_NOME,MATCH($J697,ENT_ID,0)),"?")))</f>
        <v/>
      </c>
      <c r="AB697" s="36" t="n">
        <f aca="false">IF($B697="",0,IF(AND($I697="CONTA",$G697&lt;&gt;"CONTA"),$F697,0))</f>
        <v>0</v>
      </c>
      <c r="AC697" s="36" t="n">
        <f aca="false">IF($B697="",0,IF(AND($G697="CONTA",$I697&lt;&gt;"CONTA"),$F697,0))</f>
        <v>0</v>
      </c>
      <c r="AD697" s="36" t="n">
        <f aca="false">IF($W697="RECEITA",$F697,0)</f>
        <v>0</v>
      </c>
      <c r="AE697" s="36" t="n">
        <f aca="false">IF($W697="DESPESA",$F697,0)</f>
        <v>0</v>
      </c>
      <c r="AF697" s="36" t="n">
        <f aca="false">IF($W697="RECEITA_FINANCEIRA",$F697,0)</f>
        <v>0</v>
      </c>
      <c r="AG697" s="36" t="n">
        <f aca="false">IF($B697="",0,IF($I697="CONTA",$F697,0)-IF($G697="CONTA",$F697,0))</f>
        <v>0</v>
      </c>
      <c r="AH697" s="36" t="n">
        <f aca="false">IF($B697="",0,IF($G697="CARTAO",$F697,0)-IF($I697="CARTAO",$F697,0))</f>
        <v>0</v>
      </c>
      <c r="AI697" s="36" t="n">
        <f aca="false">IF($B697="",0,IF($I697="INVESTIMENTO",$F697,0)-IF($G697="INVESTIMENTO",$F697,0))</f>
        <v>0</v>
      </c>
      <c r="AJ697" s="35" t="str">
        <f aca="false">IF($B697="","",IF(NOT(ISNUMBER($F697)),"ERRO: valor nao numerico",IF($F697&lt;=0,"ERRO: valor deve ser maior que zero",IF(COUNTIF(MAP_TIPO,$D697)=0,"ERRO: tipo de operacao nao cadastrado",IF(COUNTIF(LST_STATUS,$E697)=0,"ERRO: status invalido",IF(AND($G697="EXTERNO",$I697="EXTERNO"),"ERRO: origem e destino externos",IF(AND($G697&lt;&gt;"EXTERNO",COUNTIFS(ENT_ID,$H697,ENT_TIPO,$G697)=0),"ERRO: origem inexistente",IF(AND($I697&lt;&gt;"EXTERNO",COUNTIFS(ENT_ID,$J697,ENT_TIPO,$I697)=0),"ERRO: destino inexistente",IF(AND($K697&lt;&gt;"",COUNTIF(CAT_ID,$K697)=0),"ERRO: categoria inexistente",IF(AND($L697&lt;&gt;"",COUNTIF(SUB_ID,$L697)=0),"ERRO: subcategoria inexistente",IF(AND($L697&lt;&gt;"",$K697&lt;&gt;"",IFERROR(INDEX(SUB_CATID,MATCH($L697,SUB_ID,0)),"")&lt;&gt;$K697),"ERRO: subcategoria nao pertence a categoria",IF(AND($O697&lt;&gt;"",COUNTIF(P_ID,$O697)=0),"ERRO: parcela inexistente",IF(AND($N697&lt;&gt;"",COUNTIF(CM_ID,$N697)=0),"ERRO: compromisso inexistente","OK")))))))))))))</f>
        <v/>
      </c>
      <c r="AK697" s="35" t="str">
        <f aca="false">IF($B697="","",IF(AND($N697="",$O697="",$P697="",$Q697="",$R697=""),"","VINCULADO: "&amp;TRIM(IF($N697&lt;&gt;"",$N697&amp;" ","")&amp;IF($O697&lt;&gt;"",$O697&amp;" ","")&amp;IF($P697&lt;&gt;"",$P697&amp;" ","")&amp;IF($Q697&lt;&gt;"",$Q697&amp;" ","")&amp;IF($R697&lt;&gt;"",$R697,""))))</f>
        <v/>
      </c>
    </row>
    <row r="698" customFormat="false" ht="15" hidden="false" customHeight="false" outlineLevel="0" collapsed="false">
      <c r="A698" s="30" t="str">
        <f aca="false">IF($B698="","","LAN-"&amp;TEXT(ROW()-4,"000000"))</f>
        <v/>
      </c>
      <c r="B698" s="31"/>
      <c r="C698" s="32"/>
      <c r="D698" s="32"/>
      <c r="E698" s="32"/>
      <c r="F698" s="33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4" t="str">
        <f aca="false">IF($B698="","",YEAR($B698))</f>
        <v/>
      </c>
      <c r="U698" s="34" t="str">
        <f aca="false">IF($B698="","",MONTH($B698))</f>
        <v/>
      </c>
      <c r="V698" s="34" t="str">
        <f aca="false">IF($B698="","",YEAR($B698)*100+MONTH($B698))</f>
        <v/>
      </c>
      <c r="W698" s="35" t="str">
        <f aca="false">IF($D698="","",IFERROR(INDEX(MAP_CLASS,MATCH($D698,MAP_TIPO,0)),"TIPO INVALIDO"))</f>
        <v/>
      </c>
      <c r="X698" s="35" t="str">
        <f aca="false">IF($K698="","",IFERROR(INDEX(CAT_NOME,MATCH($K698,CAT_ID,0)),"?"))</f>
        <v/>
      </c>
      <c r="Y698" s="35" t="str">
        <f aca="false">IF($L698="","",IFERROR(INDEX(SUB_NOME,MATCH($L698,SUB_ID,0)),"?"))</f>
        <v/>
      </c>
      <c r="Z698" s="35" t="str">
        <f aca="false">IF($G698="","",IF($G698="EXTERNO","(Externo)",IFERROR(INDEX(ENT_NOME,MATCH($H698,ENT_ID,0)),"?")))</f>
        <v/>
      </c>
      <c r="AA698" s="35" t="str">
        <f aca="false">IF($I698="","",IF($I698="EXTERNO","(Externo)",IFERROR(INDEX(ENT_NOME,MATCH($J698,ENT_ID,0)),"?")))</f>
        <v/>
      </c>
      <c r="AB698" s="36" t="n">
        <f aca="false">IF($B698="",0,IF(AND($I698="CONTA",$G698&lt;&gt;"CONTA"),$F698,0))</f>
        <v>0</v>
      </c>
      <c r="AC698" s="36" t="n">
        <f aca="false">IF($B698="",0,IF(AND($G698="CONTA",$I698&lt;&gt;"CONTA"),$F698,0))</f>
        <v>0</v>
      </c>
      <c r="AD698" s="36" t="n">
        <f aca="false">IF($W698="RECEITA",$F698,0)</f>
        <v>0</v>
      </c>
      <c r="AE698" s="36" t="n">
        <f aca="false">IF($W698="DESPESA",$F698,0)</f>
        <v>0</v>
      </c>
      <c r="AF698" s="36" t="n">
        <f aca="false">IF($W698="RECEITA_FINANCEIRA",$F698,0)</f>
        <v>0</v>
      </c>
      <c r="AG698" s="36" t="n">
        <f aca="false">IF($B698="",0,IF($I698="CONTA",$F698,0)-IF($G698="CONTA",$F698,0))</f>
        <v>0</v>
      </c>
      <c r="AH698" s="36" t="n">
        <f aca="false">IF($B698="",0,IF($G698="CARTAO",$F698,0)-IF($I698="CARTAO",$F698,0))</f>
        <v>0</v>
      </c>
      <c r="AI698" s="36" t="n">
        <f aca="false">IF($B698="",0,IF($I698="INVESTIMENTO",$F698,0)-IF($G698="INVESTIMENTO",$F698,0))</f>
        <v>0</v>
      </c>
      <c r="AJ698" s="35" t="str">
        <f aca="false">IF($B698="","",IF(NOT(ISNUMBER($F698)),"ERRO: valor nao numerico",IF($F698&lt;=0,"ERRO: valor deve ser maior que zero",IF(COUNTIF(MAP_TIPO,$D698)=0,"ERRO: tipo de operacao nao cadastrado",IF(COUNTIF(LST_STATUS,$E698)=0,"ERRO: status invalido",IF(AND($G698="EXTERNO",$I698="EXTERNO"),"ERRO: origem e destino externos",IF(AND($G698&lt;&gt;"EXTERNO",COUNTIFS(ENT_ID,$H698,ENT_TIPO,$G698)=0),"ERRO: origem inexistente",IF(AND($I698&lt;&gt;"EXTERNO",COUNTIFS(ENT_ID,$J698,ENT_TIPO,$I698)=0),"ERRO: destino inexistente",IF(AND($K698&lt;&gt;"",COUNTIF(CAT_ID,$K698)=0),"ERRO: categoria inexistente",IF(AND($L698&lt;&gt;"",COUNTIF(SUB_ID,$L698)=0),"ERRO: subcategoria inexistente",IF(AND($L698&lt;&gt;"",$K698&lt;&gt;"",IFERROR(INDEX(SUB_CATID,MATCH($L698,SUB_ID,0)),"")&lt;&gt;$K698),"ERRO: subcategoria nao pertence a categoria",IF(AND($O698&lt;&gt;"",COUNTIF(P_ID,$O698)=0),"ERRO: parcela inexistente",IF(AND($N698&lt;&gt;"",COUNTIF(CM_ID,$N698)=0),"ERRO: compromisso inexistente","OK")))))))))))))</f>
        <v/>
      </c>
      <c r="AK698" s="35" t="str">
        <f aca="false">IF($B698="","",IF(AND($N698="",$O698="",$P698="",$Q698="",$R698=""),"","VINCULADO: "&amp;TRIM(IF($N698&lt;&gt;"",$N698&amp;" ","")&amp;IF($O698&lt;&gt;"",$O698&amp;" ","")&amp;IF($P698&lt;&gt;"",$P698&amp;" ","")&amp;IF($Q698&lt;&gt;"",$Q698&amp;" ","")&amp;IF($R698&lt;&gt;"",$R698,""))))</f>
        <v/>
      </c>
    </row>
    <row r="699" customFormat="false" ht="15" hidden="false" customHeight="false" outlineLevel="0" collapsed="false">
      <c r="A699" s="30" t="str">
        <f aca="false">IF($B699="","","LAN-"&amp;TEXT(ROW()-4,"000000"))</f>
        <v/>
      </c>
      <c r="B699" s="31"/>
      <c r="C699" s="32"/>
      <c r="D699" s="32"/>
      <c r="E699" s="32"/>
      <c r="F699" s="33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4" t="str">
        <f aca="false">IF($B699="","",YEAR($B699))</f>
        <v/>
      </c>
      <c r="U699" s="34" t="str">
        <f aca="false">IF($B699="","",MONTH($B699))</f>
        <v/>
      </c>
      <c r="V699" s="34" t="str">
        <f aca="false">IF($B699="","",YEAR($B699)*100+MONTH($B699))</f>
        <v/>
      </c>
      <c r="W699" s="35" t="str">
        <f aca="false">IF($D699="","",IFERROR(INDEX(MAP_CLASS,MATCH($D699,MAP_TIPO,0)),"TIPO INVALIDO"))</f>
        <v/>
      </c>
      <c r="X699" s="35" t="str">
        <f aca="false">IF($K699="","",IFERROR(INDEX(CAT_NOME,MATCH($K699,CAT_ID,0)),"?"))</f>
        <v/>
      </c>
      <c r="Y699" s="35" t="str">
        <f aca="false">IF($L699="","",IFERROR(INDEX(SUB_NOME,MATCH($L699,SUB_ID,0)),"?"))</f>
        <v/>
      </c>
      <c r="Z699" s="35" t="str">
        <f aca="false">IF($G699="","",IF($G699="EXTERNO","(Externo)",IFERROR(INDEX(ENT_NOME,MATCH($H699,ENT_ID,0)),"?")))</f>
        <v/>
      </c>
      <c r="AA699" s="35" t="str">
        <f aca="false">IF($I699="","",IF($I699="EXTERNO","(Externo)",IFERROR(INDEX(ENT_NOME,MATCH($J699,ENT_ID,0)),"?")))</f>
        <v/>
      </c>
      <c r="AB699" s="36" t="n">
        <f aca="false">IF($B699="",0,IF(AND($I699="CONTA",$G699&lt;&gt;"CONTA"),$F699,0))</f>
        <v>0</v>
      </c>
      <c r="AC699" s="36" t="n">
        <f aca="false">IF($B699="",0,IF(AND($G699="CONTA",$I699&lt;&gt;"CONTA"),$F699,0))</f>
        <v>0</v>
      </c>
      <c r="AD699" s="36" t="n">
        <f aca="false">IF($W699="RECEITA",$F699,0)</f>
        <v>0</v>
      </c>
      <c r="AE699" s="36" t="n">
        <f aca="false">IF($W699="DESPESA",$F699,0)</f>
        <v>0</v>
      </c>
      <c r="AF699" s="36" t="n">
        <f aca="false">IF($W699="RECEITA_FINANCEIRA",$F699,0)</f>
        <v>0</v>
      </c>
      <c r="AG699" s="36" t="n">
        <f aca="false">IF($B699="",0,IF($I699="CONTA",$F699,0)-IF($G699="CONTA",$F699,0))</f>
        <v>0</v>
      </c>
      <c r="AH699" s="36" t="n">
        <f aca="false">IF($B699="",0,IF($G699="CARTAO",$F699,0)-IF($I699="CARTAO",$F699,0))</f>
        <v>0</v>
      </c>
      <c r="AI699" s="36" t="n">
        <f aca="false">IF($B699="",0,IF($I699="INVESTIMENTO",$F699,0)-IF($G699="INVESTIMENTO",$F699,0))</f>
        <v>0</v>
      </c>
      <c r="AJ699" s="35" t="str">
        <f aca="false">IF($B699="","",IF(NOT(ISNUMBER($F699)),"ERRO: valor nao numerico",IF($F699&lt;=0,"ERRO: valor deve ser maior que zero",IF(COUNTIF(MAP_TIPO,$D699)=0,"ERRO: tipo de operacao nao cadastrado",IF(COUNTIF(LST_STATUS,$E699)=0,"ERRO: status invalido",IF(AND($G699="EXTERNO",$I699="EXTERNO"),"ERRO: origem e destino externos",IF(AND($G699&lt;&gt;"EXTERNO",COUNTIFS(ENT_ID,$H699,ENT_TIPO,$G699)=0),"ERRO: origem inexistente",IF(AND($I699&lt;&gt;"EXTERNO",COUNTIFS(ENT_ID,$J699,ENT_TIPO,$I699)=0),"ERRO: destino inexistente",IF(AND($K699&lt;&gt;"",COUNTIF(CAT_ID,$K699)=0),"ERRO: categoria inexistente",IF(AND($L699&lt;&gt;"",COUNTIF(SUB_ID,$L699)=0),"ERRO: subcategoria inexistente",IF(AND($L699&lt;&gt;"",$K699&lt;&gt;"",IFERROR(INDEX(SUB_CATID,MATCH($L699,SUB_ID,0)),"")&lt;&gt;$K699),"ERRO: subcategoria nao pertence a categoria",IF(AND($O699&lt;&gt;"",COUNTIF(P_ID,$O699)=0),"ERRO: parcela inexistente",IF(AND($N699&lt;&gt;"",COUNTIF(CM_ID,$N699)=0),"ERRO: compromisso inexistente","OK")))))))))))))</f>
        <v/>
      </c>
      <c r="AK699" s="35" t="str">
        <f aca="false">IF($B699="","",IF(AND($N699="",$O699="",$P699="",$Q699="",$R699=""),"","VINCULADO: "&amp;TRIM(IF($N699&lt;&gt;"",$N699&amp;" ","")&amp;IF($O699&lt;&gt;"",$O699&amp;" ","")&amp;IF($P699&lt;&gt;"",$P699&amp;" ","")&amp;IF($Q699&lt;&gt;"",$Q699&amp;" ","")&amp;IF($R699&lt;&gt;"",$R699,""))))</f>
        <v/>
      </c>
    </row>
    <row r="700" customFormat="false" ht="15" hidden="false" customHeight="false" outlineLevel="0" collapsed="false">
      <c r="A700" s="30" t="str">
        <f aca="false">IF($B700="","","LAN-"&amp;TEXT(ROW()-4,"000000"))</f>
        <v/>
      </c>
      <c r="B700" s="31"/>
      <c r="C700" s="32"/>
      <c r="D700" s="32"/>
      <c r="E700" s="32"/>
      <c r="F700" s="33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4" t="str">
        <f aca="false">IF($B700="","",YEAR($B700))</f>
        <v/>
      </c>
      <c r="U700" s="34" t="str">
        <f aca="false">IF($B700="","",MONTH($B700))</f>
        <v/>
      </c>
      <c r="V700" s="34" t="str">
        <f aca="false">IF($B700="","",YEAR($B700)*100+MONTH($B700))</f>
        <v/>
      </c>
      <c r="W700" s="35" t="str">
        <f aca="false">IF($D700="","",IFERROR(INDEX(MAP_CLASS,MATCH($D700,MAP_TIPO,0)),"TIPO INVALIDO"))</f>
        <v/>
      </c>
      <c r="X700" s="35" t="str">
        <f aca="false">IF($K700="","",IFERROR(INDEX(CAT_NOME,MATCH($K700,CAT_ID,0)),"?"))</f>
        <v/>
      </c>
      <c r="Y700" s="35" t="str">
        <f aca="false">IF($L700="","",IFERROR(INDEX(SUB_NOME,MATCH($L700,SUB_ID,0)),"?"))</f>
        <v/>
      </c>
      <c r="Z700" s="35" t="str">
        <f aca="false">IF($G700="","",IF($G700="EXTERNO","(Externo)",IFERROR(INDEX(ENT_NOME,MATCH($H700,ENT_ID,0)),"?")))</f>
        <v/>
      </c>
      <c r="AA700" s="35" t="str">
        <f aca="false">IF($I700="","",IF($I700="EXTERNO","(Externo)",IFERROR(INDEX(ENT_NOME,MATCH($J700,ENT_ID,0)),"?")))</f>
        <v/>
      </c>
      <c r="AB700" s="36" t="n">
        <f aca="false">IF($B700="",0,IF(AND($I700="CONTA",$G700&lt;&gt;"CONTA"),$F700,0))</f>
        <v>0</v>
      </c>
      <c r="AC700" s="36" t="n">
        <f aca="false">IF($B700="",0,IF(AND($G700="CONTA",$I700&lt;&gt;"CONTA"),$F700,0))</f>
        <v>0</v>
      </c>
      <c r="AD700" s="36" t="n">
        <f aca="false">IF($W700="RECEITA",$F700,0)</f>
        <v>0</v>
      </c>
      <c r="AE700" s="36" t="n">
        <f aca="false">IF($W700="DESPESA",$F700,0)</f>
        <v>0</v>
      </c>
      <c r="AF700" s="36" t="n">
        <f aca="false">IF($W700="RECEITA_FINANCEIRA",$F700,0)</f>
        <v>0</v>
      </c>
      <c r="AG700" s="36" t="n">
        <f aca="false">IF($B700="",0,IF($I700="CONTA",$F700,0)-IF($G700="CONTA",$F700,0))</f>
        <v>0</v>
      </c>
      <c r="AH700" s="36" t="n">
        <f aca="false">IF($B700="",0,IF($G700="CARTAO",$F700,0)-IF($I700="CARTAO",$F700,0))</f>
        <v>0</v>
      </c>
      <c r="AI700" s="36" t="n">
        <f aca="false">IF($B700="",0,IF($I700="INVESTIMENTO",$F700,0)-IF($G700="INVESTIMENTO",$F700,0))</f>
        <v>0</v>
      </c>
      <c r="AJ700" s="35" t="str">
        <f aca="false">IF($B700="","",IF(NOT(ISNUMBER($F700)),"ERRO: valor nao numerico",IF($F700&lt;=0,"ERRO: valor deve ser maior que zero",IF(COUNTIF(MAP_TIPO,$D700)=0,"ERRO: tipo de operacao nao cadastrado",IF(COUNTIF(LST_STATUS,$E700)=0,"ERRO: status invalido",IF(AND($G700="EXTERNO",$I700="EXTERNO"),"ERRO: origem e destino externos",IF(AND($G700&lt;&gt;"EXTERNO",COUNTIFS(ENT_ID,$H700,ENT_TIPO,$G700)=0),"ERRO: origem inexistente",IF(AND($I700&lt;&gt;"EXTERNO",COUNTIFS(ENT_ID,$J700,ENT_TIPO,$I700)=0),"ERRO: destino inexistente",IF(AND($K700&lt;&gt;"",COUNTIF(CAT_ID,$K700)=0),"ERRO: categoria inexistente",IF(AND($L700&lt;&gt;"",COUNTIF(SUB_ID,$L700)=0),"ERRO: subcategoria inexistente",IF(AND($L700&lt;&gt;"",$K700&lt;&gt;"",IFERROR(INDEX(SUB_CATID,MATCH($L700,SUB_ID,0)),"")&lt;&gt;$K700),"ERRO: subcategoria nao pertence a categoria",IF(AND($O700&lt;&gt;"",COUNTIF(P_ID,$O700)=0),"ERRO: parcela inexistente",IF(AND($N700&lt;&gt;"",COUNTIF(CM_ID,$N700)=0),"ERRO: compromisso inexistente","OK")))))))))))))</f>
        <v/>
      </c>
      <c r="AK700" s="35" t="str">
        <f aca="false">IF($B700="","",IF(AND($N700="",$O700="",$P700="",$Q700="",$R700=""),"","VINCULADO: "&amp;TRIM(IF($N700&lt;&gt;"",$N700&amp;" ","")&amp;IF($O700&lt;&gt;"",$O700&amp;" ","")&amp;IF($P700&lt;&gt;"",$P700&amp;" ","")&amp;IF($Q700&lt;&gt;"",$Q700&amp;" ","")&amp;IF($R700&lt;&gt;"",$R700,""))))</f>
        <v/>
      </c>
    </row>
    <row r="701" customFormat="false" ht="15" hidden="false" customHeight="false" outlineLevel="0" collapsed="false">
      <c r="A701" s="30" t="str">
        <f aca="false">IF($B701="","","LAN-"&amp;TEXT(ROW()-4,"000000"))</f>
        <v/>
      </c>
      <c r="B701" s="31"/>
      <c r="C701" s="32"/>
      <c r="D701" s="32"/>
      <c r="E701" s="32"/>
      <c r="F701" s="33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4" t="str">
        <f aca="false">IF($B701="","",YEAR($B701))</f>
        <v/>
      </c>
      <c r="U701" s="34" t="str">
        <f aca="false">IF($B701="","",MONTH($B701))</f>
        <v/>
      </c>
      <c r="V701" s="34" t="str">
        <f aca="false">IF($B701="","",YEAR($B701)*100+MONTH($B701))</f>
        <v/>
      </c>
      <c r="W701" s="35" t="str">
        <f aca="false">IF($D701="","",IFERROR(INDEX(MAP_CLASS,MATCH($D701,MAP_TIPO,0)),"TIPO INVALIDO"))</f>
        <v/>
      </c>
      <c r="X701" s="35" t="str">
        <f aca="false">IF($K701="","",IFERROR(INDEX(CAT_NOME,MATCH($K701,CAT_ID,0)),"?"))</f>
        <v/>
      </c>
      <c r="Y701" s="35" t="str">
        <f aca="false">IF($L701="","",IFERROR(INDEX(SUB_NOME,MATCH($L701,SUB_ID,0)),"?"))</f>
        <v/>
      </c>
      <c r="Z701" s="35" t="str">
        <f aca="false">IF($G701="","",IF($G701="EXTERNO","(Externo)",IFERROR(INDEX(ENT_NOME,MATCH($H701,ENT_ID,0)),"?")))</f>
        <v/>
      </c>
      <c r="AA701" s="35" t="str">
        <f aca="false">IF($I701="","",IF($I701="EXTERNO","(Externo)",IFERROR(INDEX(ENT_NOME,MATCH($J701,ENT_ID,0)),"?")))</f>
        <v/>
      </c>
      <c r="AB701" s="36" t="n">
        <f aca="false">IF($B701="",0,IF(AND($I701="CONTA",$G701&lt;&gt;"CONTA"),$F701,0))</f>
        <v>0</v>
      </c>
      <c r="AC701" s="36" t="n">
        <f aca="false">IF($B701="",0,IF(AND($G701="CONTA",$I701&lt;&gt;"CONTA"),$F701,0))</f>
        <v>0</v>
      </c>
      <c r="AD701" s="36" t="n">
        <f aca="false">IF($W701="RECEITA",$F701,0)</f>
        <v>0</v>
      </c>
      <c r="AE701" s="36" t="n">
        <f aca="false">IF($W701="DESPESA",$F701,0)</f>
        <v>0</v>
      </c>
      <c r="AF701" s="36" t="n">
        <f aca="false">IF($W701="RECEITA_FINANCEIRA",$F701,0)</f>
        <v>0</v>
      </c>
      <c r="AG701" s="36" t="n">
        <f aca="false">IF($B701="",0,IF($I701="CONTA",$F701,0)-IF($G701="CONTA",$F701,0))</f>
        <v>0</v>
      </c>
      <c r="AH701" s="36" t="n">
        <f aca="false">IF($B701="",0,IF($G701="CARTAO",$F701,0)-IF($I701="CARTAO",$F701,0))</f>
        <v>0</v>
      </c>
      <c r="AI701" s="36" t="n">
        <f aca="false">IF($B701="",0,IF($I701="INVESTIMENTO",$F701,0)-IF($G701="INVESTIMENTO",$F701,0))</f>
        <v>0</v>
      </c>
      <c r="AJ701" s="35" t="str">
        <f aca="false">IF($B701="","",IF(NOT(ISNUMBER($F701)),"ERRO: valor nao numerico",IF($F701&lt;=0,"ERRO: valor deve ser maior que zero",IF(COUNTIF(MAP_TIPO,$D701)=0,"ERRO: tipo de operacao nao cadastrado",IF(COUNTIF(LST_STATUS,$E701)=0,"ERRO: status invalido",IF(AND($G701="EXTERNO",$I701="EXTERNO"),"ERRO: origem e destino externos",IF(AND($G701&lt;&gt;"EXTERNO",COUNTIFS(ENT_ID,$H701,ENT_TIPO,$G701)=0),"ERRO: origem inexistente",IF(AND($I701&lt;&gt;"EXTERNO",COUNTIFS(ENT_ID,$J701,ENT_TIPO,$I701)=0),"ERRO: destino inexistente",IF(AND($K701&lt;&gt;"",COUNTIF(CAT_ID,$K701)=0),"ERRO: categoria inexistente",IF(AND($L701&lt;&gt;"",COUNTIF(SUB_ID,$L701)=0),"ERRO: subcategoria inexistente",IF(AND($L701&lt;&gt;"",$K701&lt;&gt;"",IFERROR(INDEX(SUB_CATID,MATCH($L701,SUB_ID,0)),"")&lt;&gt;$K701),"ERRO: subcategoria nao pertence a categoria",IF(AND($O701&lt;&gt;"",COUNTIF(P_ID,$O701)=0),"ERRO: parcela inexistente",IF(AND($N701&lt;&gt;"",COUNTIF(CM_ID,$N701)=0),"ERRO: compromisso inexistente","OK")))))))))))))</f>
        <v/>
      </c>
      <c r="AK701" s="35" t="str">
        <f aca="false">IF($B701="","",IF(AND($N701="",$O701="",$P701="",$Q701="",$R701=""),"","VINCULADO: "&amp;TRIM(IF($N701&lt;&gt;"",$N701&amp;" ","")&amp;IF($O701&lt;&gt;"",$O701&amp;" ","")&amp;IF($P701&lt;&gt;"",$P701&amp;" ","")&amp;IF($Q701&lt;&gt;"",$Q701&amp;" ","")&amp;IF($R701&lt;&gt;"",$R701,""))))</f>
        <v/>
      </c>
    </row>
    <row r="702" customFormat="false" ht="15" hidden="false" customHeight="false" outlineLevel="0" collapsed="false">
      <c r="A702" s="30" t="str">
        <f aca="false">IF($B702="","","LAN-"&amp;TEXT(ROW()-4,"000000"))</f>
        <v/>
      </c>
      <c r="B702" s="31"/>
      <c r="C702" s="32"/>
      <c r="D702" s="32"/>
      <c r="E702" s="32"/>
      <c r="F702" s="33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4" t="str">
        <f aca="false">IF($B702="","",YEAR($B702))</f>
        <v/>
      </c>
      <c r="U702" s="34" t="str">
        <f aca="false">IF($B702="","",MONTH($B702))</f>
        <v/>
      </c>
      <c r="V702" s="34" t="str">
        <f aca="false">IF($B702="","",YEAR($B702)*100+MONTH($B702))</f>
        <v/>
      </c>
      <c r="W702" s="35" t="str">
        <f aca="false">IF($D702="","",IFERROR(INDEX(MAP_CLASS,MATCH($D702,MAP_TIPO,0)),"TIPO INVALIDO"))</f>
        <v/>
      </c>
      <c r="X702" s="35" t="str">
        <f aca="false">IF($K702="","",IFERROR(INDEX(CAT_NOME,MATCH($K702,CAT_ID,0)),"?"))</f>
        <v/>
      </c>
      <c r="Y702" s="35" t="str">
        <f aca="false">IF($L702="","",IFERROR(INDEX(SUB_NOME,MATCH($L702,SUB_ID,0)),"?"))</f>
        <v/>
      </c>
      <c r="Z702" s="35" t="str">
        <f aca="false">IF($G702="","",IF($G702="EXTERNO","(Externo)",IFERROR(INDEX(ENT_NOME,MATCH($H702,ENT_ID,0)),"?")))</f>
        <v/>
      </c>
      <c r="AA702" s="35" t="str">
        <f aca="false">IF($I702="","",IF($I702="EXTERNO","(Externo)",IFERROR(INDEX(ENT_NOME,MATCH($J702,ENT_ID,0)),"?")))</f>
        <v/>
      </c>
      <c r="AB702" s="36" t="n">
        <f aca="false">IF($B702="",0,IF(AND($I702="CONTA",$G702&lt;&gt;"CONTA"),$F702,0))</f>
        <v>0</v>
      </c>
      <c r="AC702" s="36" t="n">
        <f aca="false">IF($B702="",0,IF(AND($G702="CONTA",$I702&lt;&gt;"CONTA"),$F702,0))</f>
        <v>0</v>
      </c>
      <c r="AD702" s="36" t="n">
        <f aca="false">IF($W702="RECEITA",$F702,0)</f>
        <v>0</v>
      </c>
      <c r="AE702" s="36" t="n">
        <f aca="false">IF($W702="DESPESA",$F702,0)</f>
        <v>0</v>
      </c>
      <c r="AF702" s="36" t="n">
        <f aca="false">IF($W702="RECEITA_FINANCEIRA",$F702,0)</f>
        <v>0</v>
      </c>
      <c r="AG702" s="36" t="n">
        <f aca="false">IF($B702="",0,IF($I702="CONTA",$F702,0)-IF($G702="CONTA",$F702,0))</f>
        <v>0</v>
      </c>
      <c r="AH702" s="36" t="n">
        <f aca="false">IF($B702="",0,IF($G702="CARTAO",$F702,0)-IF($I702="CARTAO",$F702,0))</f>
        <v>0</v>
      </c>
      <c r="AI702" s="36" t="n">
        <f aca="false">IF($B702="",0,IF($I702="INVESTIMENTO",$F702,0)-IF($G702="INVESTIMENTO",$F702,0))</f>
        <v>0</v>
      </c>
      <c r="AJ702" s="35" t="str">
        <f aca="false">IF($B702="","",IF(NOT(ISNUMBER($F702)),"ERRO: valor nao numerico",IF($F702&lt;=0,"ERRO: valor deve ser maior que zero",IF(COUNTIF(MAP_TIPO,$D702)=0,"ERRO: tipo de operacao nao cadastrado",IF(COUNTIF(LST_STATUS,$E702)=0,"ERRO: status invalido",IF(AND($G702="EXTERNO",$I702="EXTERNO"),"ERRO: origem e destino externos",IF(AND($G702&lt;&gt;"EXTERNO",COUNTIFS(ENT_ID,$H702,ENT_TIPO,$G702)=0),"ERRO: origem inexistente",IF(AND($I702&lt;&gt;"EXTERNO",COUNTIFS(ENT_ID,$J702,ENT_TIPO,$I702)=0),"ERRO: destino inexistente",IF(AND($K702&lt;&gt;"",COUNTIF(CAT_ID,$K702)=0),"ERRO: categoria inexistente",IF(AND($L702&lt;&gt;"",COUNTIF(SUB_ID,$L702)=0),"ERRO: subcategoria inexistente",IF(AND($L702&lt;&gt;"",$K702&lt;&gt;"",IFERROR(INDEX(SUB_CATID,MATCH($L702,SUB_ID,0)),"")&lt;&gt;$K702),"ERRO: subcategoria nao pertence a categoria",IF(AND($O702&lt;&gt;"",COUNTIF(P_ID,$O702)=0),"ERRO: parcela inexistente",IF(AND($N702&lt;&gt;"",COUNTIF(CM_ID,$N702)=0),"ERRO: compromisso inexistente","OK")))))))))))))</f>
        <v/>
      </c>
      <c r="AK702" s="35" t="str">
        <f aca="false">IF($B702="","",IF(AND($N702="",$O702="",$P702="",$Q702="",$R702=""),"","VINCULADO: "&amp;TRIM(IF($N702&lt;&gt;"",$N702&amp;" ","")&amp;IF($O702&lt;&gt;"",$O702&amp;" ","")&amp;IF($P702&lt;&gt;"",$P702&amp;" ","")&amp;IF($Q702&lt;&gt;"",$Q702&amp;" ","")&amp;IF($R702&lt;&gt;"",$R702,""))))</f>
        <v/>
      </c>
    </row>
    <row r="703" customFormat="false" ht="15" hidden="false" customHeight="false" outlineLevel="0" collapsed="false">
      <c r="A703" s="30" t="str">
        <f aca="false">IF($B703="","","LAN-"&amp;TEXT(ROW()-4,"000000"))</f>
        <v/>
      </c>
      <c r="B703" s="31"/>
      <c r="C703" s="32"/>
      <c r="D703" s="32"/>
      <c r="E703" s="32"/>
      <c r="F703" s="33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4" t="str">
        <f aca="false">IF($B703="","",YEAR($B703))</f>
        <v/>
      </c>
      <c r="U703" s="34" t="str">
        <f aca="false">IF($B703="","",MONTH($B703))</f>
        <v/>
      </c>
      <c r="V703" s="34" t="str">
        <f aca="false">IF($B703="","",YEAR($B703)*100+MONTH($B703))</f>
        <v/>
      </c>
      <c r="W703" s="35" t="str">
        <f aca="false">IF($D703="","",IFERROR(INDEX(MAP_CLASS,MATCH($D703,MAP_TIPO,0)),"TIPO INVALIDO"))</f>
        <v/>
      </c>
      <c r="X703" s="35" t="str">
        <f aca="false">IF($K703="","",IFERROR(INDEX(CAT_NOME,MATCH($K703,CAT_ID,0)),"?"))</f>
        <v/>
      </c>
      <c r="Y703" s="35" t="str">
        <f aca="false">IF($L703="","",IFERROR(INDEX(SUB_NOME,MATCH($L703,SUB_ID,0)),"?"))</f>
        <v/>
      </c>
      <c r="Z703" s="35" t="str">
        <f aca="false">IF($G703="","",IF($G703="EXTERNO","(Externo)",IFERROR(INDEX(ENT_NOME,MATCH($H703,ENT_ID,0)),"?")))</f>
        <v/>
      </c>
      <c r="AA703" s="35" t="str">
        <f aca="false">IF($I703="","",IF($I703="EXTERNO","(Externo)",IFERROR(INDEX(ENT_NOME,MATCH($J703,ENT_ID,0)),"?")))</f>
        <v/>
      </c>
      <c r="AB703" s="36" t="n">
        <f aca="false">IF($B703="",0,IF(AND($I703="CONTA",$G703&lt;&gt;"CONTA"),$F703,0))</f>
        <v>0</v>
      </c>
      <c r="AC703" s="36" t="n">
        <f aca="false">IF($B703="",0,IF(AND($G703="CONTA",$I703&lt;&gt;"CONTA"),$F703,0))</f>
        <v>0</v>
      </c>
      <c r="AD703" s="36" t="n">
        <f aca="false">IF($W703="RECEITA",$F703,0)</f>
        <v>0</v>
      </c>
      <c r="AE703" s="36" t="n">
        <f aca="false">IF($W703="DESPESA",$F703,0)</f>
        <v>0</v>
      </c>
      <c r="AF703" s="36" t="n">
        <f aca="false">IF($W703="RECEITA_FINANCEIRA",$F703,0)</f>
        <v>0</v>
      </c>
      <c r="AG703" s="36" t="n">
        <f aca="false">IF($B703="",0,IF($I703="CONTA",$F703,0)-IF($G703="CONTA",$F703,0))</f>
        <v>0</v>
      </c>
      <c r="AH703" s="36" t="n">
        <f aca="false">IF($B703="",0,IF($G703="CARTAO",$F703,0)-IF($I703="CARTAO",$F703,0))</f>
        <v>0</v>
      </c>
      <c r="AI703" s="36" t="n">
        <f aca="false">IF($B703="",0,IF($I703="INVESTIMENTO",$F703,0)-IF($G703="INVESTIMENTO",$F703,0))</f>
        <v>0</v>
      </c>
      <c r="AJ703" s="35" t="str">
        <f aca="false">IF($B703="","",IF(NOT(ISNUMBER($F703)),"ERRO: valor nao numerico",IF($F703&lt;=0,"ERRO: valor deve ser maior que zero",IF(COUNTIF(MAP_TIPO,$D703)=0,"ERRO: tipo de operacao nao cadastrado",IF(COUNTIF(LST_STATUS,$E703)=0,"ERRO: status invalido",IF(AND($G703="EXTERNO",$I703="EXTERNO"),"ERRO: origem e destino externos",IF(AND($G703&lt;&gt;"EXTERNO",COUNTIFS(ENT_ID,$H703,ENT_TIPO,$G703)=0),"ERRO: origem inexistente",IF(AND($I703&lt;&gt;"EXTERNO",COUNTIFS(ENT_ID,$J703,ENT_TIPO,$I703)=0),"ERRO: destino inexistente",IF(AND($K703&lt;&gt;"",COUNTIF(CAT_ID,$K703)=0),"ERRO: categoria inexistente",IF(AND($L703&lt;&gt;"",COUNTIF(SUB_ID,$L703)=0),"ERRO: subcategoria inexistente",IF(AND($L703&lt;&gt;"",$K703&lt;&gt;"",IFERROR(INDEX(SUB_CATID,MATCH($L703,SUB_ID,0)),"")&lt;&gt;$K703),"ERRO: subcategoria nao pertence a categoria",IF(AND($O703&lt;&gt;"",COUNTIF(P_ID,$O703)=0),"ERRO: parcela inexistente",IF(AND($N703&lt;&gt;"",COUNTIF(CM_ID,$N703)=0),"ERRO: compromisso inexistente","OK")))))))))))))</f>
        <v/>
      </c>
      <c r="AK703" s="35" t="str">
        <f aca="false">IF($B703="","",IF(AND($N703="",$O703="",$P703="",$Q703="",$R703=""),"","VINCULADO: "&amp;TRIM(IF($N703&lt;&gt;"",$N703&amp;" ","")&amp;IF($O703&lt;&gt;"",$O703&amp;" ","")&amp;IF($P703&lt;&gt;"",$P703&amp;" ","")&amp;IF($Q703&lt;&gt;"",$Q703&amp;" ","")&amp;IF($R703&lt;&gt;"",$R703,""))))</f>
        <v/>
      </c>
    </row>
    <row r="704" customFormat="false" ht="15" hidden="false" customHeight="false" outlineLevel="0" collapsed="false">
      <c r="A704" s="30" t="str">
        <f aca="false">IF($B704="","","LAN-"&amp;TEXT(ROW()-4,"000000"))</f>
        <v/>
      </c>
      <c r="B704" s="31"/>
      <c r="C704" s="32"/>
      <c r="D704" s="32"/>
      <c r="E704" s="32"/>
      <c r="F704" s="33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4" t="str">
        <f aca="false">IF($B704="","",YEAR($B704))</f>
        <v/>
      </c>
      <c r="U704" s="34" t="str">
        <f aca="false">IF($B704="","",MONTH($B704))</f>
        <v/>
      </c>
      <c r="V704" s="34" t="str">
        <f aca="false">IF($B704="","",YEAR($B704)*100+MONTH($B704))</f>
        <v/>
      </c>
      <c r="W704" s="35" t="str">
        <f aca="false">IF($D704="","",IFERROR(INDEX(MAP_CLASS,MATCH($D704,MAP_TIPO,0)),"TIPO INVALIDO"))</f>
        <v/>
      </c>
      <c r="X704" s="35" t="str">
        <f aca="false">IF($K704="","",IFERROR(INDEX(CAT_NOME,MATCH($K704,CAT_ID,0)),"?"))</f>
        <v/>
      </c>
      <c r="Y704" s="35" t="str">
        <f aca="false">IF($L704="","",IFERROR(INDEX(SUB_NOME,MATCH($L704,SUB_ID,0)),"?"))</f>
        <v/>
      </c>
      <c r="Z704" s="35" t="str">
        <f aca="false">IF($G704="","",IF($G704="EXTERNO","(Externo)",IFERROR(INDEX(ENT_NOME,MATCH($H704,ENT_ID,0)),"?")))</f>
        <v/>
      </c>
      <c r="AA704" s="35" t="str">
        <f aca="false">IF($I704="","",IF($I704="EXTERNO","(Externo)",IFERROR(INDEX(ENT_NOME,MATCH($J704,ENT_ID,0)),"?")))</f>
        <v/>
      </c>
      <c r="AB704" s="36" t="n">
        <f aca="false">IF($B704="",0,IF(AND($I704="CONTA",$G704&lt;&gt;"CONTA"),$F704,0))</f>
        <v>0</v>
      </c>
      <c r="AC704" s="36" t="n">
        <f aca="false">IF($B704="",0,IF(AND($G704="CONTA",$I704&lt;&gt;"CONTA"),$F704,0))</f>
        <v>0</v>
      </c>
      <c r="AD704" s="36" t="n">
        <f aca="false">IF($W704="RECEITA",$F704,0)</f>
        <v>0</v>
      </c>
      <c r="AE704" s="36" t="n">
        <f aca="false">IF($W704="DESPESA",$F704,0)</f>
        <v>0</v>
      </c>
      <c r="AF704" s="36" t="n">
        <f aca="false">IF($W704="RECEITA_FINANCEIRA",$F704,0)</f>
        <v>0</v>
      </c>
      <c r="AG704" s="36" t="n">
        <f aca="false">IF($B704="",0,IF($I704="CONTA",$F704,0)-IF($G704="CONTA",$F704,0))</f>
        <v>0</v>
      </c>
      <c r="AH704" s="36" t="n">
        <f aca="false">IF($B704="",0,IF($G704="CARTAO",$F704,0)-IF($I704="CARTAO",$F704,0))</f>
        <v>0</v>
      </c>
      <c r="AI704" s="36" t="n">
        <f aca="false">IF($B704="",0,IF($I704="INVESTIMENTO",$F704,0)-IF($G704="INVESTIMENTO",$F704,0))</f>
        <v>0</v>
      </c>
      <c r="AJ704" s="35" t="str">
        <f aca="false">IF($B704="","",IF(NOT(ISNUMBER($F704)),"ERRO: valor nao numerico",IF($F704&lt;=0,"ERRO: valor deve ser maior que zero",IF(COUNTIF(MAP_TIPO,$D704)=0,"ERRO: tipo de operacao nao cadastrado",IF(COUNTIF(LST_STATUS,$E704)=0,"ERRO: status invalido",IF(AND($G704="EXTERNO",$I704="EXTERNO"),"ERRO: origem e destino externos",IF(AND($G704&lt;&gt;"EXTERNO",COUNTIFS(ENT_ID,$H704,ENT_TIPO,$G704)=0),"ERRO: origem inexistente",IF(AND($I704&lt;&gt;"EXTERNO",COUNTIFS(ENT_ID,$J704,ENT_TIPO,$I704)=0),"ERRO: destino inexistente",IF(AND($K704&lt;&gt;"",COUNTIF(CAT_ID,$K704)=0),"ERRO: categoria inexistente",IF(AND($L704&lt;&gt;"",COUNTIF(SUB_ID,$L704)=0),"ERRO: subcategoria inexistente",IF(AND($L704&lt;&gt;"",$K704&lt;&gt;"",IFERROR(INDEX(SUB_CATID,MATCH($L704,SUB_ID,0)),"")&lt;&gt;$K704),"ERRO: subcategoria nao pertence a categoria",IF(AND($O704&lt;&gt;"",COUNTIF(P_ID,$O704)=0),"ERRO: parcela inexistente",IF(AND($N704&lt;&gt;"",COUNTIF(CM_ID,$N704)=0),"ERRO: compromisso inexistente","OK")))))))))))))</f>
        <v/>
      </c>
      <c r="AK704" s="35" t="str">
        <f aca="false">IF($B704="","",IF(AND($N704="",$O704="",$P704="",$Q704="",$R704=""),"","VINCULADO: "&amp;TRIM(IF($N704&lt;&gt;"",$N704&amp;" ","")&amp;IF($O704&lt;&gt;"",$O704&amp;" ","")&amp;IF($P704&lt;&gt;"",$P704&amp;" ","")&amp;IF($Q704&lt;&gt;"",$Q704&amp;" ","")&amp;IF($R704&lt;&gt;"",$R704,""))))</f>
        <v/>
      </c>
    </row>
    <row r="705" customFormat="false" ht="15" hidden="false" customHeight="false" outlineLevel="0" collapsed="false">
      <c r="A705" s="30" t="str">
        <f aca="false">IF($B705="","","LAN-"&amp;TEXT(ROW()-4,"000000"))</f>
        <v/>
      </c>
      <c r="B705" s="31"/>
      <c r="C705" s="32"/>
      <c r="D705" s="32"/>
      <c r="E705" s="32"/>
      <c r="F705" s="33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4" t="str">
        <f aca="false">IF($B705="","",YEAR($B705))</f>
        <v/>
      </c>
      <c r="U705" s="34" t="str">
        <f aca="false">IF($B705="","",MONTH($B705))</f>
        <v/>
      </c>
      <c r="V705" s="34" t="str">
        <f aca="false">IF($B705="","",YEAR($B705)*100+MONTH($B705))</f>
        <v/>
      </c>
      <c r="W705" s="35" t="str">
        <f aca="false">IF($D705="","",IFERROR(INDEX(MAP_CLASS,MATCH($D705,MAP_TIPO,0)),"TIPO INVALIDO"))</f>
        <v/>
      </c>
      <c r="X705" s="35" t="str">
        <f aca="false">IF($K705="","",IFERROR(INDEX(CAT_NOME,MATCH($K705,CAT_ID,0)),"?"))</f>
        <v/>
      </c>
      <c r="Y705" s="35" t="str">
        <f aca="false">IF($L705="","",IFERROR(INDEX(SUB_NOME,MATCH($L705,SUB_ID,0)),"?"))</f>
        <v/>
      </c>
      <c r="Z705" s="35" t="str">
        <f aca="false">IF($G705="","",IF($G705="EXTERNO","(Externo)",IFERROR(INDEX(ENT_NOME,MATCH($H705,ENT_ID,0)),"?")))</f>
        <v/>
      </c>
      <c r="AA705" s="35" t="str">
        <f aca="false">IF($I705="","",IF($I705="EXTERNO","(Externo)",IFERROR(INDEX(ENT_NOME,MATCH($J705,ENT_ID,0)),"?")))</f>
        <v/>
      </c>
      <c r="AB705" s="36" t="n">
        <f aca="false">IF($B705="",0,IF(AND($I705="CONTA",$G705&lt;&gt;"CONTA"),$F705,0))</f>
        <v>0</v>
      </c>
      <c r="AC705" s="36" t="n">
        <f aca="false">IF($B705="",0,IF(AND($G705="CONTA",$I705&lt;&gt;"CONTA"),$F705,0))</f>
        <v>0</v>
      </c>
      <c r="AD705" s="36" t="n">
        <f aca="false">IF($W705="RECEITA",$F705,0)</f>
        <v>0</v>
      </c>
      <c r="AE705" s="36" t="n">
        <f aca="false">IF($W705="DESPESA",$F705,0)</f>
        <v>0</v>
      </c>
      <c r="AF705" s="36" t="n">
        <f aca="false">IF($W705="RECEITA_FINANCEIRA",$F705,0)</f>
        <v>0</v>
      </c>
      <c r="AG705" s="36" t="n">
        <f aca="false">IF($B705="",0,IF($I705="CONTA",$F705,0)-IF($G705="CONTA",$F705,0))</f>
        <v>0</v>
      </c>
      <c r="AH705" s="36" t="n">
        <f aca="false">IF($B705="",0,IF($G705="CARTAO",$F705,0)-IF($I705="CARTAO",$F705,0))</f>
        <v>0</v>
      </c>
      <c r="AI705" s="36" t="n">
        <f aca="false">IF($B705="",0,IF($I705="INVESTIMENTO",$F705,0)-IF($G705="INVESTIMENTO",$F705,0))</f>
        <v>0</v>
      </c>
      <c r="AJ705" s="35" t="str">
        <f aca="false">IF($B705="","",IF(NOT(ISNUMBER($F705)),"ERRO: valor nao numerico",IF($F705&lt;=0,"ERRO: valor deve ser maior que zero",IF(COUNTIF(MAP_TIPO,$D705)=0,"ERRO: tipo de operacao nao cadastrado",IF(COUNTIF(LST_STATUS,$E705)=0,"ERRO: status invalido",IF(AND($G705="EXTERNO",$I705="EXTERNO"),"ERRO: origem e destino externos",IF(AND($G705&lt;&gt;"EXTERNO",COUNTIFS(ENT_ID,$H705,ENT_TIPO,$G705)=0),"ERRO: origem inexistente",IF(AND($I705&lt;&gt;"EXTERNO",COUNTIFS(ENT_ID,$J705,ENT_TIPO,$I705)=0),"ERRO: destino inexistente",IF(AND($K705&lt;&gt;"",COUNTIF(CAT_ID,$K705)=0),"ERRO: categoria inexistente",IF(AND($L705&lt;&gt;"",COUNTIF(SUB_ID,$L705)=0),"ERRO: subcategoria inexistente",IF(AND($L705&lt;&gt;"",$K705&lt;&gt;"",IFERROR(INDEX(SUB_CATID,MATCH($L705,SUB_ID,0)),"")&lt;&gt;$K705),"ERRO: subcategoria nao pertence a categoria",IF(AND($O705&lt;&gt;"",COUNTIF(P_ID,$O705)=0),"ERRO: parcela inexistente",IF(AND($N705&lt;&gt;"",COUNTIF(CM_ID,$N705)=0),"ERRO: compromisso inexistente","OK")))))))))))))</f>
        <v/>
      </c>
      <c r="AK705" s="35" t="str">
        <f aca="false">IF($B705="","",IF(AND($N705="",$O705="",$P705="",$Q705="",$R705=""),"","VINCULADO: "&amp;TRIM(IF($N705&lt;&gt;"",$N705&amp;" ","")&amp;IF($O705&lt;&gt;"",$O705&amp;" ","")&amp;IF($P705&lt;&gt;"",$P705&amp;" ","")&amp;IF($Q705&lt;&gt;"",$Q705&amp;" ","")&amp;IF($R705&lt;&gt;"",$R705,""))))</f>
        <v/>
      </c>
    </row>
    <row r="706" customFormat="false" ht="15" hidden="false" customHeight="false" outlineLevel="0" collapsed="false">
      <c r="A706" s="30" t="str">
        <f aca="false">IF($B706="","","LAN-"&amp;TEXT(ROW()-4,"000000"))</f>
        <v/>
      </c>
      <c r="B706" s="31"/>
      <c r="C706" s="32"/>
      <c r="D706" s="32"/>
      <c r="E706" s="32"/>
      <c r="F706" s="33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4" t="str">
        <f aca="false">IF($B706="","",YEAR($B706))</f>
        <v/>
      </c>
      <c r="U706" s="34" t="str">
        <f aca="false">IF($B706="","",MONTH($B706))</f>
        <v/>
      </c>
      <c r="V706" s="34" t="str">
        <f aca="false">IF($B706="","",YEAR($B706)*100+MONTH($B706))</f>
        <v/>
      </c>
      <c r="W706" s="35" t="str">
        <f aca="false">IF($D706="","",IFERROR(INDEX(MAP_CLASS,MATCH($D706,MAP_TIPO,0)),"TIPO INVALIDO"))</f>
        <v/>
      </c>
      <c r="X706" s="35" t="str">
        <f aca="false">IF($K706="","",IFERROR(INDEX(CAT_NOME,MATCH($K706,CAT_ID,0)),"?"))</f>
        <v/>
      </c>
      <c r="Y706" s="35" t="str">
        <f aca="false">IF($L706="","",IFERROR(INDEX(SUB_NOME,MATCH($L706,SUB_ID,0)),"?"))</f>
        <v/>
      </c>
      <c r="Z706" s="35" t="str">
        <f aca="false">IF($G706="","",IF($G706="EXTERNO","(Externo)",IFERROR(INDEX(ENT_NOME,MATCH($H706,ENT_ID,0)),"?")))</f>
        <v/>
      </c>
      <c r="AA706" s="35" t="str">
        <f aca="false">IF($I706="","",IF($I706="EXTERNO","(Externo)",IFERROR(INDEX(ENT_NOME,MATCH($J706,ENT_ID,0)),"?")))</f>
        <v/>
      </c>
      <c r="AB706" s="36" t="n">
        <f aca="false">IF($B706="",0,IF(AND($I706="CONTA",$G706&lt;&gt;"CONTA"),$F706,0))</f>
        <v>0</v>
      </c>
      <c r="AC706" s="36" t="n">
        <f aca="false">IF($B706="",0,IF(AND($G706="CONTA",$I706&lt;&gt;"CONTA"),$F706,0))</f>
        <v>0</v>
      </c>
      <c r="AD706" s="36" t="n">
        <f aca="false">IF($W706="RECEITA",$F706,0)</f>
        <v>0</v>
      </c>
      <c r="AE706" s="36" t="n">
        <f aca="false">IF($W706="DESPESA",$F706,0)</f>
        <v>0</v>
      </c>
      <c r="AF706" s="36" t="n">
        <f aca="false">IF($W706="RECEITA_FINANCEIRA",$F706,0)</f>
        <v>0</v>
      </c>
      <c r="AG706" s="36" t="n">
        <f aca="false">IF($B706="",0,IF($I706="CONTA",$F706,0)-IF($G706="CONTA",$F706,0))</f>
        <v>0</v>
      </c>
      <c r="AH706" s="36" t="n">
        <f aca="false">IF($B706="",0,IF($G706="CARTAO",$F706,0)-IF($I706="CARTAO",$F706,0))</f>
        <v>0</v>
      </c>
      <c r="AI706" s="36" t="n">
        <f aca="false">IF($B706="",0,IF($I706="INVESTIMENTO",$F706,0)-IF($G706="INVESTIMENTO",$F706,0))</f>
        <v>0</v>
      </c>
      <c r="AJ706" s="35" t="str">
        <f aca="false">IF($B706="","",IF(NOT(ISNUMBER($F706)),"ERRO: valor nao numerico",IF($F706&lt;=0,"ERRO: valor deve ser maior que zero",IF(COUNTIF(MAP_TIPO,$D706)=0,"ERRO: tipo de operacao nao cadastrado",IF(COUNTIF(LST_STATUS,$E706)=0,"ERRO: status invalido",IF(AND($G706="EXTERNO",$I706="EXTERNO"),"ERRO: origem e destino externos",IF(AND($G706&lt;&gt;"EXTERNO",COUNTIFS(ENT_ID,$H706,ENT_TIPO,$G706)=0),"ERRO: origem inexistente",IF(AND($I706&lt;&gt;"EXTERNO",COUNTIFS(ENT_ID,$J706,ENT_TIPO,$I706)=0),"ERRO: destino inexistente",IF(AND($K706&lt;&gt;"",COUNTIF(CAT_ID,$K706)=0),"ERRO: categoria inexistente",IF(AND($L706&lt;&gt;"",COUNTIF(SUB_ID,$L706)=0),"ERRO: subcategoria inexistente",IF(AND($L706&lt;&gt;"",$K706&lt;&gt;"",IFERROR(INDEX(SUB_CATID,MATCH($L706,SUB_ID,0)),"")&lt;&gt;$K706),"ERRO: subcategoria nao pertence a categoria",IF(AND($O706&lt;&gt;"",COUNTIF(P_ID,$O706)=0),"ERRO: parcela inexistente",IF(AND($N706&lt;&gt;"",COUNTIF(CM_ID,$N706)=0),"ERRO: compromisso inexistente","OK")))))))))))))</f>
        <v/>
      </c>
      <c r="AK706" s="35" t="str">
        <f aca="false">IF($B706="","",IF(AND($N706="",$O706="",$P706="",$Q706="",$R706=""),"","VINCULADO: "&amp;TRIM(IF($N706&lt;&gt;"",$N706&amp;" ","")&amp;IF($O706&lt;&gt;"",$O706&amp;" ","")&amp;IF($P706&lt;&gt;"",$P706&amp;" ","")&amp;IF($Q706&lt;&gt;"",$Q706&amp;" ","")&amp;IF($R706&lt;&gt;"",$R706,""))))</f>
        <v/>
      </c>
    </row>
    <row r="707" customFormat="false" ht="15" hidden="false" customHeight="false" outlineLevel="0" collapsed="false">
      <c r="A707" s="30" t="str">
        <f aca="false">IF($B707="","","LAN-"&amp;TEXT(ROW()-4,"000000"))</f>
        <v/>
      </c>
      <c r="B707" s="31"/>
      <c r="C707" s="32"/>
      <c r="D707" s="32"/>
      <c r="E707" s="32"/>
      <c r="F707" s="33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4" t="str">
        <f aca="false">IF($B707="","",YEAR($B707))</f>
        <v/>
      </c>
      <c r="U707" s="34" t="str">
        <f aca="false">IF($B707="","",MONTH($B707))</f>
        <v/>
      </c>
      <c r="V707" s="34" t="str">
        <f aca="false">IF($B707="","",YEAR($B707)*100+MONTH($B707))</f>
        <v/>
      </c>
      <c r="W707" s="35" t="str">
        <f aca="false">IF($D707="","",IFERROR(INDEX(MAP_CLASS,MATCH($D707,MAP_TIPO,0)),"TIPO INVALIDO"))</f>
        <v/>
      </c>
      <c r="X707" s="35" t="str">
        <f aca="false">IF($K707="","",IFERROR(INDEX(CAT_NOME,MATCH($K707,CAT_ID,0)),"?"))</f>
        <v/>
      </c>
      <c r="Y707" s="35" t="str">
        <f aca="false">IF($L707="","",IFERROR(INDEX(SUB_NOME,MATCH($L707,SUB_ID,0)),"?"))</f>
        <v/>
      </c>
      <c r="Z707" s="35" t="str">
        <f aca="false">IF($G707="","",IF($G707="EXTERNO","(Externo)",IFERROR(INDEX(ENT_NOME,MATCH($H707,ENT_ID,0)),"?")))</f>
        <v/>
      </c>
      <c r="AA707" s="35" t="str">
        <f aca="false">IF($I707="","",IF($I707="EXTERNO","(Externo)",IFERROR(INDEX(ENT_NOME,MATCH($J707,ENT_ID,0)),"?")))</f>
        <v/>
      </c>
      <c r="AB707" s="36" t="n">
        <f aca="false">IF($B707="",0,IF(AND($I707="CONTA",$G707&lt;&gt;"CONTA"),$F707,0))</f>
        <v>0</v>
      </c>
      <c r="AC707" s="36" t="n">
        <f aca="false">IF($B707="",0,IF(AND($G707="CONTA",$I707&lt;&gt;"CONTA"),$F707,0))</f>
        <v>0</v>
      </c>
      <c r="AD707" s="36" t="n">
        <f aca="false">IF($W707="RECEITA",$F707,0)</f>
        <v>0</v>
      </c>
      <c r="AE707" s="36" t="n">
        <f aca="false">IF($W707="DESPESA",$F707,0)</f>
        <v>0</v>
      </c>
      <c r="AF707" s="36" t="n">
        <f aca="false">IF($W707="RECEITA_FINANCEIRA",$F707,0)</f>
        <v>0</v>
      </c>
      <c r="AG707" s="36" t="n">
        <f aca="false">IF($B707="",0,IF($I707="CONTA",$F707,0)-IF($G707="CONTA",$F707,0))</f>
        <v>0</v>
      </c>
      <c r="AH707" s="36" t="n">
        <f aca="false">IF($B707="",0,IF($G707="CARTAO",$F707,0)-IF($I707="CARTAO",$F707,0))</f>
        <v>0</v>
      </c>
      <c r="AI707" s="36" t="n">
        <f aca="false">IF($B707="",0,IF($I707="INVESTIMENTO",$F707,0)-IF($G707="INVESTIMENTO",$F707,0))</f>
        <v>0</v>
      </c>
      <c r="AJ707" s="35" t="str">
        <f aca="false">IF($B707="","",IF(NOT(ISNUMBER($F707)),"ERRO: valor nao numerico",IF($F707&lt;=0,"ERRO: valor deve ser maior que zero",IF(COUNTIF(MAP_TIPO,$D707)=0,"ERRO: tipo de operacao nao cadastrado",IF(COUNTIF(LST_STATUS,$E707)=0,"ERRO: status invalido",IF(AND($G707="EXTERNO",$I707="EXTERNO"),"ERRO: origem e destino externos",IF(AND($G707&lt;&gt;"EXTERNO",COUNTIFS(ENT_ID,$H707,ENT_TIPO,$G707)=0),"ERRO: origem inexistente",IF(AND($I707&lt;&gt;"EXTERNO",COUNTIFS(ENT_ID,$J707,ENT_TIPO,$I707)=0),"ERRO: destino inexistente",IF(AND($K707&lt;&gt;"",COUNTIF(CAT_ID,$K707)=0),"ERRO: categoria inexistente",IF(AND($L707&lt;&gt;"",COUNTIF(SUB_ID,$L707)=0),"ERRO: subcategoria inexistente",IF(AND($L707&lt;&gt;"",$K707&lt;&gt;"",IFERROR(INDEX(SUB_CATID,MATCH($L707,SUB_ID,0)),"")&lt;&gt;$K707),"ERRO: subcategoria nao pertence a categoria",IF(AND($O707&lt;&gt;"",COUNTIF(P_ID,$O707)=0),"ERRO: parcela inexistente",IF(AND($N707&lt;&gt;"",COUNTIF(CM_ID,$N707)=0),"ERRO: compromisso inexistente","OK")))))))))))))</f>
        <v/>
      </c>
      <c r="AK707" s="35" t="str">
        <f aca="false">IF($B707="","",IF(AND($N707="",$O707="",$P707="",$Q707="",$R707=""),"","VINCULADO: "&amp;TRIM(IF($N707&lt;&gt;"",$N707&amp;" ","")&amp;IF($O707&lt;&gt;"",$O707&amp;" ","")&amp;IF($P707&lt;&gt;"",$P707&amp;" ","")&amp;IF($Q707&lt;&gt;"",$Q707&amp;" ","")&amp;IF($R707&lt;&gt;"",$R707,""))))</f>
        <v/>
      </c>
    </row>
    <row r="708" customFormat="false" ht="15" hidden="false" customHeight="false" outlineLevel="0" collapsed="false">
      <c r="A708" s="30" t="str">
        <f aca="false">IF($B708="","","LAN-"&amp;TEXT(ROW()-4,"000000"))</f>
        <v/>
      </c>
      <c r="B708" s="31"/>
      <c r="C708" s="32"/>
      <c r="D708" s="32"/>
      <c r="E708" s="32"/>
      <c r="F708" s="33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4" t="str">
        <f aca="false">IF($B708="","",YEAR($B708))</f>
        <v/>
      </c>
      <c r="U708" s="34" t="str">
        <f aca="false">IF($B708="","",MONTH($B708))</f>
        <v/>
      </c>
      <c r="V708" s="34" t="str">
        <f aca="false">IF($B708="","",YEAR($B708)*100+MONTH($B708))</f>
        <v/>
      </c>
      <c r="W708" s="35" t="str">
        <f aca="false">IF($D708="","",IFERROR(INDEX(MAP_CLASS,MATCH($D708,MAP_TIPO,0)),"TIPO INVALIDO"))</f>
        <v/>
      </c>
      <c r="X708" s="35" t="str">
        <f aca="false">IF($K708="","",IFERROR(INDEX(CAT_NOME,MATCH($K708,CAT_ID,0)),"?"))</f>
        <v/>
      </c>
      <c r="Y708" s="35" t="str">
        <f aca="false">IF($L708="","",IFERROR(INDEX(SUB_NOME,MATCH($L708,SUB_ID,0)),"?"))</f>
        <v/>
      </c>
      <c r="Z708" s="35" t="str">
        <f aca="false">IF($G708="","",IF($G708="EXTERNO","(Externo)",IFERROR(INDEX(ENT_NOME,MATCH($H708,ENT_ID,0)),"?")))</f>
        <v/>
      </c>
      <c r="AA708" s="35" t="str">
        <f aca="false">IF($I708="","",IF($I708="EXTERNO","(Externo)",IFERROR(INDEX(ENT_NOME,MATCH($J708,ENT_ID,0)),"?")))</f>
        <v/>
      </c>
      <c r="AB708" s="36" t="n">
        <f aca="false">IF($B708="",0,IF(AND($I708="CONTA",$G708&lt;&gt;"CONTA"),$F708,0))</f>
        <v>0</v>
      </c>
      <c r="AC708" s="36" t="n">
        <f aca="false">IF($B708="",0,IF(AND($G708="CONTA",$I708&lt;&gt;"CONTA"),$F708,0))</f>
        <v>0</v>
      </c>
      <c r="AD708" s="36" t="n">
        <f aca="false">IF($W708="RECEITA",$F708,0)</f>
        <v>0</v>
      </c>
      <c r="AE708" s="36" t="n">
        <f aca="false">IF($W708="DESPESA",$F708,0)</f>
        <v>0</v>
      </c>
      <c r="AF708" s="36" t="n">
        <f aca="false">IF($W708="RECEITA_FINANCEIRA",$F708,0)</f>
        <v>0</v>
      </c>
      <c r="AG708" s="36" t="n">
        <f aca="false">IF($B708="",0,IF($I708="CONTA",$F708,0)-IF($G708="CONTA",$F708,0))</f>
        <v>0</v>
      </c>
      <c r="AH708" s="36" t="n">
        <f aca="false">IF($B708="",0,IF($G708="CARTAO",$F708,0)-IF($I708="CARTAO",$F708,0))</f>
        <v>0</v>
      </c>
      <c r="AI708" s="36" t="n">
        <f aca="false">IF($B708="",0,IF($I708="INVESTIMENTO",$F708,0)-IF($G708="INVESTIMENTO",$F708,0))</f>
        <v>0</v>
      </c>
      <c r="AJ708" s="35" t="str">
        <f aca="false">IF($B708="","",IF(NOT(ISNUMBER($F708)),"ERRO: valor nao numerico",IF($F708&lt;=0,"ERRO: valor deve ser maior que zero",IF(COUNTIF(MAP_TIPO,$D708)=0,"ERRO: tipo de operacao nao cadastrado",IF(COUNTIF(LST_STATUS,$E708)=0,"ERRO: status invalido",IF(AND($G708="EXTERNO",$I708="EXTERNO"),"ERRO: origem e destino externos",IF(AND($G708&lt;&gt;"EXTERNO",COUNTIFS(ENT_ID,$H708,ENT_TIPO,$G708)=0),"ERRO: origem inexistente",IF(AND($I708&lt;&gt;"EXTERNO",COUNTIFS(ENT_ID,$J708,ENT_TIPO,$I708)=0),"ERRO: destino inexistente",IF(AND($K708&lt;&gt;"",COUNTIF(CAT_ID,$K708)=0),"ERRO: categoria inexistente",IF(AND($L708&lt;&gt;"",COUNTIF(SUB_ID,$L708)=0),"ERRO: subcategoria inexistente",IF(AND($L708&lt;&gt;"",$K708&lt;&gt;"",IFERROR(INDEX(SUB_CATID,MATCH($L708,SUB_ID,0)),"")&lt;&gt;$K708),"ERRO: subcategoria nao pertence a categoria",IF(AND($O708&lt;&gt;"",COUNTIF(P_ID,$O708)=0),"ERRO: parcela inexistente",IF(AND($N708&lt;&gt;"",COUNTIF(CM_ID,$N708)=0),"ERRO: compromisso inexistente","OK")))))))))))))</f>
        <v/>
      </c>
      <c r="AK708" s="35" t="str">
        <f aca="false">IF($B708="","",IF(AND($N708="",$O708="",$P708="",$Q708="",$R708=""),"","VINCULADO: "&amp;TRIM(IF($N708&lt;&gt;"",$N708&amp;" ","")&amp;IF($O708&lt;&gt;"",$O708&amp;" ","")&amp;IF($P708&lt;&gt;"",$P708&amp;" ","")&amp;IF($Q708&lt;&gt;"",$Q708&amp;" ","")&amp;IF($R708&lt;&gt;"",$R708,""))))</f>
        <v/>
      </c>
    </row>
    <row r="709" customFormat="false" ht="15" hidden="false" customHeight="false" outlineLevel="0" collapsed="false">
      <c r="A709" s="30" t="str">
        <f aca="false">IF($B709="","","LAN-"&amp;TEXT(ROW()-4,"000000"))</f>
        <v/>
      </c>
      <c r="B709" s="31"/>
      <c r="C709" s="32"/>
      <c r="D709" s="32"/>
      <c r="E709" s="32"/>
      <c r="F709" s="33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4" t="str">
        <f aca="false">IF($B709="","",YEAR($B709))</f>
        <v/>
      </c>
      <c r="U709" s="34" t="str">
        <f aca="false">IF($B709="","",MONTH($B709))</f>
        <v/>
      </c>
      <c r="V709" s="34" t="str">
        <f aca="false">IF($B709="","",YEAR($B709)*100+MONTH($B709))</f>
        <v/>
      </c>
      <c r="W709" s="35" t="str">
        <f aca="false">IF($D709="","",IFERROR(INDEX(MAP_CLASS,MATCH($D709,MAP_TIPO,0)),"TIPO INVALIDO"))</f>
        <v/>
      </c>
      <c r="X709" s="35" t="str">
        <f aca="false">IF($K709="","",IFERROR(INDEX(CAT_NOME,MATCH($K709,CAT_ID,0)),"?"))</f>
        <v/>
      </c>
      <c r="Y709" s="35" t="str">
        <f aca="false">IF($L709="","",IFERROR(INDEX(SUB_NOME,MATCH($L709,SUB_ID,0)),"?"))</f>
        <v/>
      </c>
      <c r="Z709" s="35" t="str">
        <f aca="false">IF($G709="","",IF($G709="EXTERNO","(Externo)",IFERROR(INDEX(ENT_NOME,MATCH($H709,ENT_ID,0)),"?")))</f>
        <v/>
      </c>
      <c r="AA709" s="35" t="str">
        <f aca="false">IF($I709="","",IF($I709="EXTERNO","(Externo)",IFERROR(INDEX(ENT_NOME,MATCH($J709,ENT_ID,0)),"?")))</f>
        <v/>
      </c>
      <c r="AB709" s="36" t="n">
        <f aca="false">IF($B709="",0,IF(AND($I709="CONTA",$G709&lt;&gt;"CONTA"),$F709,0))</f>
        <v>0</v>
      </c>
      <c r="AC709" s="36" t="n">
        <f aca="false">IF($B709="",0,IF(AND($G709="CONTA",$I709&lt;&gt;"CONTA"),$F709,0))</f>
        <v>0</v>
      </c>
      <c r="AD709" s="36" t="n">
        <f aca="false">IF($W709="RECEITA",$F709,0)</f>
        <v>0</v>
      </c>
      <c r="AE709" s="36" t="n">
        <f aca="false">IF($W709="DESPESA",$F709,0)</f>
        <v>0</v>
      </c>
      <c r="AF709" s="36" t="n">
        <f aca="false">IF($W709="RECEITA_FINANCEIRA",$F709,0)</f>
        <v>0</v>
      </c>
      <c r="AG709" s="36" t="n">
        <f aca="false">IF($B709="",0,IF($I709="CONTA",$F709,0)-IF($G709="CONTA",$F709,0))</f>
        <v>0</v>
      </c>
      <c r="AH709" s="36" t="n">
        <f aca="false">IF($B709="",0,IF($G709="CARTAO",$F709,0)-IF($I709="CARTAO",$F709,0))</f>
        <v>0</v>
      </c>
      <c r="AI709" s="36" t="n">
        <f aca="false">IF($B709="",0,IF($I709="INVESTIMENTO",$F709,0)-IF($G709="INVESTIMENTO",$F709,0))</f>
        <v>0</v>
      </c>
      <c r="AJ709" s="35" t="str">
        <f aca="false">IF($B709="","",IF(NOT(ISNUMBER($F709)),"ERRO: valor nao numerico",IF($F709&lt;=0,"ERRO: valor deve ser maior que zero",IF(COUNTIF(MAP_TIPO,$D709)=0,"ERRO: tipo de operacao nao cadastrado",IF(COUNTIF(LST_STATUS,$E709)=0,"ERRO: status invalido",IF(AND($G709="EXTERNO",$I709="EXTERNO"),"ERRO: origem e destino externos",IF(AND($G709&lt;&gt;"EXTERNO",COUNTIFS(ENT_ID,$H709,ENT_TIPO,$G709)=0),"ERRO: origem inexistente",IF(AND($I709&lt;&gt;"EXTERNO",COUNTIFS(ENT_ID,$J709,ENT_TIPO,$I709)=0),"ERRO: destino inexistente",IF(AND($K709&lt;&gt;"",COUNTIF(CAT_ID,$K709)=0),"ERRO: categoria inexistente",IF(AND($L709&lt;&gt;"",COUNTIF(SUB_ID,$L709)=0),"ERRO: subcategoria inexistente",IF(AND($L709&lt;&gt;"",$K709&lt;&gt;"",IFERROR(INDEX(SUB_CATID,MATCH($L709,SUB_ID,0)),"")&lt;&gt;$K709),"ERRO: subcategoria nao pertence a categoria",IF(AND($O709&lt;&gt;"",COUNTIF(P_ID,$O709)=0),"ERRO: parcela inexistente",IF(AND($N709&lt;&gt;"",COUNTIF(CM_ID,$N709)=0),"ERRO: compromisso inexistente","OK")))))))))))))</f>
        <v/>
      </c>
      <c r="AK709" s="35" t="str">
        <f aca="false">IF($B709="","",IF(AND($N709="",$O709="",$P709="",$Q709="",$R709=""),"","VINCULADO: "&amp;TRIM(IF($N709&lt;&gt;"",$N709&amp;" ","")&amp;IF($O709&lt;&gt;"",$O709&amp;" ","")&amp;IF($P709&lt;&gt;"",$P709&amp;" ","")&amp;IF($Q709&lt;&gt;"",$Q709&amp;" ","")&amp;IF($R709&lt;&gt;"",$R709,""))))</f>
        <v/>
      </c>
    </row>
    <row r="710" customFormat="false" ht="15" hidden="false" customHeight="false" outlineLevel="0" collapsed="false">
      <c r="A710" s="30" t="str">
        <f aca="false">IF($B710="","","LAN-"&amp;TEXT(ROW()-4,"000000"))</f>
        <v/>
      </c>
      <c r="B710" s="31"/>
      <c r="C710" s="32"/>
      <c r="D710" s="32"/>
      <c r="E710" s="32"/>
      <c r="F710" s="33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4" t="str">
        <f aca="false">IF($B710="","",YEAR($B710))</f>
        <v/>
      </c>
      <c r="U710" s="34" t="str">
        <f aca="false">IF($B710="","",MONTH($B710))</f>
        <v/>
      </c>
      <c r="V710" s="34" t="str">
        <f aca="false">IF($B710="","",YEAR($B710)*100+MONTH($B710))</f>
        <v/>
      </c>
      <c r="W710" s="35" t="str">
        <f aca="false">IF($D710="","",IFERROR(INDEX(MAP_CLASS,MATCH($D710,MAP_TIPO,0)),"TIPO INVALIDO"))</f>
        <v/>
      </c>
      <c r="X710" s="35" t="str">
        <f aca="false">IF($K710="","",IFERROR(INDEX(CAT_NOME,MATCH($K710,CAT_ID,0)),"?"))</f>
        <v/>
      </c>
      <c r="Y710" s="35" t="str">
        <f aca="false">IF($L710="","",IFERROR(INDEX(SUB_NOME,MATCH($L710,SUB_ID,0)),"?"))</f>
        <v/>
      </c>
      <c r="Z710" s="35" t="str">
        <f aca="false">IF($G710="","",IF($G710="EXTERNO","(Externo)",IFERROR(INDEX(ENT_NOME,MATCH($H710,ENT_ID,0)),"?")))</f>
        <v/>
      </c>
      <c r="AA710" s="35" t="str">
        <f aca="false">IF($I710="","",IF($I710="EXTERNO","(Externo)",IFERROR(INDEX(ENT_NOME,MATCH($J710,ENT_ID,0)),"?")))</f>
        <v/>
      </c>
      <c r="AB710" s="36" t="n">
        <f aca="false">IF($B710="",0,IF(AND($I710="CONTA",$G710&lt;&gt;"CONTA"),$F710,0))</f>
        <v>0</v>
      </c>
      <c r="AC710" s="36" t="n">
        <f aca="false">IF($B710="",0,IF(AND($G710="CONTA",$I710&lt;&gt;"CONTA"),$F710,0))</f>
        <v>0</v>
      </c>
      <c r="AD710" s="36" t="n">
        <f aca="false">IF($W710="RECEITA",$F710,0)</f>
        <v>0</v>
      </c>
      <c r="AE710" s="36" t="n">
        <f aca="false">IF($W710="DESPESA",$F710,0)</f>
        <v>0</v>
      </c>
      <c r="AF710" s="36" t="n">
        <f aca="false">IF($W710="RECEITA_FINANCEIRA",$F710,0)</f>
        <v>0</v>
      </c>
      <c r="AG710" s="36" t="n">
        <f aca="false">IF($B710="",0,IF($I710="CONTA",$F710,0)-IF($G710="CONTA",$F710,0))</f>
        <v>0</v>
      </c>
      <c r="AH710" s="36" t="n">
        <f aca="false">IF($B710="",0,IF($G710="CARTAO",$F710,0)-IF($I710="CARTAO",$F710,0))</f>
        <v>0</v>
      </c>
      <c r="AI710" s="36" t="n">
        <f aca="false">IF($B710="",0,IF($I710="INVESTIMENTO",$F710,0)-IF($G710="INVESTIMENTO",$F710,0))</f>
        <v>0</v>
      </c>
      <c r="AJ710" s="35" t="str">
        <f aca="false">IF($B710="","",IF(NOT(ISNUMBER($F710)),"ERRO: valor nao numerico",IF($F710&lt;=0,"ERRO: valor deve ser maior que zero",IF(COUNTIF(MAP_TIPO,$D710)=0,"ERRO: tipo de operacao nao cadastrado",IF(COUNTIF(LST_STATUS,$E710)=0,"ERRO: status invalido",IF(AND($G710="EXTERNO",$I710="EXTERNO"),"ERRO: origem e destino externos",IF(AND($G710&lt;&gt;"EXTERNO",COUNTIFS(ENT_ID,$H710,ENT_TIPO,$G710)=0),"ERRO: origem inexistente",IF(AND($I710&lt;&gt;"EXTERNO",COUNTIFS(ENT_ID,$J710,ENT_TIPO,$I710)=0),"ERRO: destino inexistente",IF(AND($K710&lt;&gt;"",COUNTIF(CAT_ID,$K710)=0),"ERRO: categoria inexistente",IF(AND($L710&lt;&gt;"",COUNTIF(SUB_ID,$L710)=0),"ERRO: subcategoria inexistente",IF(AND($L710&lt;&gt;"",$K710&lt;&gt;"",IFERROR(INDEX(SUB_CATID,MATCH($L710,SUB_ID,0)),"")&lt;&gt;$K710),"ERRO: subcategoria nao pertence a categoria",IF(AND($O710&lt;&gt;"",COUNTIF(P_ID,$O710)=0),"ERRO: parcela inexistente",IF(AND($N710&lt;&gt;"",COUNTIF(CM_ID,$N710)=0),"ERRO: compromisso inexistente","OK")))))))))))))</f>
        <v/>
      </c>
      <c r="AK710" s="35" t="str">
        <f aca="false">IF($B710="","",IF(AND($N710="",$O710="",$P710="",$Q710="",$R710=""),"","VINCULADO: "&amp;TRIM(IF($N710&lt;&gt;"",$N710&amp;" ","")&amp;IF($O710&lt;&gt;"",$O710&amp;" ","")&amp;IF($P710&lt;&gt;"",$P710&amp;" ","")&amp;IF($Q710&lt;&gt;"",$Q710&amp;" ","")&amp;IF($R710&lt;&gt;"",$R710,""))))</f>
        <v/>
      </c>
    </row>
    <row r="711" customFormat="false" ht="15" hidden="false" customHeight="false" outlineLevel="0" collapsed="false">
      <c r="A711" s="30" t="str">
        <f aca="false">IF($B711="","","LAN-"&amp;TEXT(ROW()-4,"000000"))</f>
        <v/>
      </c>
      <c r="B711" s="31"/>
      <c r="C711" s="32"/>
      <c r="D711" s="32"/>
      <c r="E711" s="32"/>
      <c r="F711" s="33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4" t="str">
        <f aca="false">IF($B711="","",YEAR($B711))</f>
        <v/>
      </c>
      <c r="U711" s="34" t="str">
        <f aca="false">IF($B711="","",MONTH($B711))</f>
        <v/>
      </c>
      <c r="V711" s="34" t="str">
        <f aca="false">IF($B711="","",YEAR($B711)*100+MONTH($B711))</f>
        <v/>
      </c>
      <c r="W711" s="35" t="str">
        <f aca="false">IF($D711="","",IFERROR(INDEX(MAP_CLASS,MATCH($D711,MAP_TIPO,0)),"TIPO INVALIDO"))</f>
        <v/>
      </c>
      <c r="X711" s="35" t="str">
        <f aca="false">IF($K711="","",IFERROR(INDEX(CAT_NOME,MATCH($K711,CAT_ID,0)),"?"))</f>
        <v/>
      </c>
      <c r="Y711" s="35" t="str">
        <f aca="false">IF($L711="","",IFERROR(INDEX(SUB_NOME,MATCH($L711,SUB_ID,0)),"?"))</f>
        <v/>
      </c>
      <c r="Z711" s="35" t="str">
        <f aca="false">IF($G711="","",IF($G711="EXTERNO","(Externo)",IFERROR(INDEX(ENT_NOME,MATCH($H711,ENT_ID,0)),"?")))</f>
        <v/>
      </c>
      <c r="AA711" s="35" t="str">
        <f aca="false">IF($I711="","",IF($I711="EXTERNO","(Externo)",IFERROR(INDEX(ENT_NOME,MATCH($J711,ENT_ID,0)),"?")))</f>
        <v/>
      </c>
      <c r="AB711" s="36" t="n">
        <f aca="false">IF($B711="",0,IF(AND($I711="CONTA",$G711&lt;&gt;"CONTA"),$F711,0))</f>
        <v>0</v>
      </c>
      <c r="AC711" s="36" t="n">
        <f aca="false">IF($B711="",0,IF(AND($G711="CONTA",$I711&lt;&gt;"CONTA"),$F711,0))</f>
        <v>0</v>
      </c>
      <c r="AD711" s="36" t="n">
        <f aca="false">IF($W711="RECEITA",$F711,0)</f>
        <v>0</v>
      </c>
      <c r="AE711" s="36" t="n">
        <f aca="false">IF($W711="DESPESA",$F711,0)</f>
        <v>0</v>
      </c>
      <c r="AF711" s="36" t="n">
        <f aca="false">IF($W711="RECEITA_FINANCEIRA",$F711,0)</f>
        <v>0</v>
      </c>
      <c r="AG711" s="36" t="n">
        <f aca="false">IF($B711="",0,IF($I711="CONTA",$F711,0)-IF($G711="CONTA",$F711,0))</f>
        <v>0</v>
      </c>
      <c r="AH711" s="36" t="n">
        <f aca="false">IF($B711="",0,IF($G711="CARTAO",$F711,0)-IF($I711="CARTAO",$F711,0))</f>
        <v>0</v>
      </c>
      <c r="AI711" s="36" t="n">
        <f aca="false">IF($B711="",0,IF($I711="INVESTIMENTO",$F711,0)-IF($G711="INVESTIMENTO",$F711,0))</f>
        <v>0</v>
      </c>
      <c r="AJ711" s="35" t="str">
        <f aca="false">IF($B711="","",IF(NOT(ISNUMBER($F711)),"ERRO: valor nao numerico",IF($F711&lt;=0,"ERRO: valor deve ser maior que zero",IF(COUNTIF(MAP_TIPO,$D711)=0,"ERRO: tipo de operacao nao cadastrado",IF(COUNTIF(LST_STATUS,$E711)=0,"ERRO: status invalido",IF(AND($G711="EXTERNO",$I711="EXTERNO"),"ERRO: origem e destino externos",IF(AND($G711&lt;&gt;"EXTERNO",COUNTIFS(ENT_ID,$H711,ENT_TIPO,$G711)=0),"ERRO: origem inexistente",IF(AND($I711&lt;&gt;"EXTERNO",COUNTIFS(ENT_ID,$J711,ENT_TIPO,$I711)=0),"ERRO: destino inexistente",IF(AND($K711&lt;&gt;"",COUNTIF(CAT_ID,$K711)=0),"ERRO: categoria inexistente",IF(AND($L711&lt;&gt;"",COUNTIF(SUB_ID,$L711)=0),"ERRO: subcategoria inexistente",IF(AND($L711&lt;&gt;"",$K711&lt;&gt;"",IFERROR(INDEX(SUB_CATID,MATCH($L711,SUB_ID,0)),"")&lt;&gt;$K711),"ERRO: subcategoria nao pertence a categoria",IF(AND($O711&lt;&gt;"",COUNTIF(P_ID,$O711)=0),"ERRO: parcela inexistente",IF(AND($N711&lt;&gt;"",COUNTIF(CM_ID,$N711)=0),"ERRO: compromisso inexistente","OK")))))))))))))</f>
        <v/>
      </c>
      <c r="AK711" s="35" t="str">
        <f aca="false">IF($B711="","",IF(AND($N711="",$O711="",$P711="",$Q711="",$R711=""),"","VINCULADO: "&amp;TRIM(IF($N711&lt;&gt;"",$N711&amp;" ","")&amp;IF($O711&lt;&gt;"",$O711&amp;" ","")&amp;IF($P711&lt;&gt;"",$P711&amp;" ","")&amp;IF($Q711&lt;&gt;"",$Q711&amp;" ","")&amp;IF($R711&lt;&gt;"",$R711,""))))</f>
        <v/>
      </c>
    </row>
    <row r="712" customFormat="false" ht="15" hidden="false" customHeight="false" outlineLevel="0" collapsed="false">
      <c r="A712" s="30" t="str">
        <f aca="false">IF($B712="","","LAN-"&amp;TEXT(ROW()-4,"000000"))</f>
        <v/>
      </c>
      <c r="B712" s="31"/>
      <c r="C712" s="32"/>
      <c r="D712" s="32"/>
      <c r="E712" s="32"/>
      <c r="F712" s="33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4" t="str">
        <f aca="false">IF($B712="","",YEAR($B712))</f>
        <v/>
      </c>
      <c r="U712" s="34" t="str">
        <f aca="false">IF($B712="","",MONTH($B712))</f>
        <v/>
      </c>
      <c r="V712" s="34" t="str">
        <f aca="false">IF($B712="","",YEAR($B712)*100+MONTH($B712))</f>
        <v/>
      </c>
      <c r="W712" s="35" t="str">
        <f aca="false">IF($D712="","",IFERROR(INDEX(MAP_CLASS,MATCH($D712,MAP_TIPO,0)),"TIPO INVALIDO"))</f>
        <v/>
      </c>
      <c r="X712" s="35" t="str">
        <f aca="false">IF($K712="","",IFERROR(INDEX(CAT_NOME,MATCH($K712,CAT_ID,0)),"?"))</f>
        <v/>
      </c>
      <c r="Y712" s="35" t="str">
        <f aca="false">IF($L712="","",IFERROR(INDEX(SUB_NOME,MATCH($L712,SUB_ID,0)),"?"))</f>
        <v/>
      </c>
      <c r="Z712" s="35" t="str">
        <f aca="false">IF($G712="","",IF($G712="EXTERNO","(Externo)",IFERROR(INDEX(ENT_NOME,MATCH($H712,ENT_ID,0)),"?")))</f>
        <v/>
      </c>
      <c r="AA712" s="35" t="str">
        <f aca="false">IF($I712="","",IF($I712="EXTERNO","(Externo)",IFERROR(INDEX(ENT_NOME,MATCH($J712,ENT_ID,0)),"?")))</f>
        <v/>
      </c>
      <c r="AB712" s="36" t="n">
        <f aca="false">IF($B712="",0,IF(AND($I712="CONTA",$G712&lt;&gt;"CONTA"),$F712,0))</f>
        <v>0</v>
      </c>
      <c r="AC712" s="36" t="n">
        <f aca="false">IF($B712="",0,IF(AND($G712="CONTA",$I712&lt;&gt;"CONTA"),$F712,0))</f>
        <v>0</v>
      </c>
      <c r="AD712" s="36" t="n">
        <f aca="false">IF($W712="RECEITA",$F712,0)</f>
        <v>0</v>
      </c>
      <c r="AE712" s="36" t="n">
        <f aca="false">IF($W712="DESPESA",$F712,0)</f>
        <v>0</v>
      </c>
      <c r="AF712" s="36" t="n">
        <f aca="false">IF($W712="RECEITA_FINANCEIRA",$F712,0)</f>
        <v>0</v>
      </c>
      <c r="AG712" s="36" t="n">
        <f aca="false">IF($B712="",0,IF($I712="CONTA",$F712,0)-IF($G712="CONTA",$F712,0))</f>
        <v>0</v>
      </c>
      <c r="AH712" s="36" t="n">
        <f aca="false">IF($B712="",0,IF($G712="CARTAO",$F712,0)-IF($I712="CARTAO",$F712,0))</f>
        <v>0</v>
      </c>
      <c r="AI712" s="36" t="n">
        <f aca="false">IF($B712="",0,IF($I712="INVESTIMENTO",$F712,0)-IF($G712="INVESTIMENTO",$F712,0))</f>
        <v>0</v>
      </c>
      <c r="AJ712" s="35" t="str">
        <f aca="false">IF($B712="","",IF(NOT(ISNUMBER($F712)),"ERRO: valor nao numerico",IF($F712&lt;=0,"ERRO: valor deve ser maior que zero",IF(COUNTIF(MAP_TIPO,$D712)=0,"ERRO: tipo de operacao nao cadastrado",IF(COUNTIF(LST_STATUS,$E712)=0,"ERRO: status invalido",IF(AND($G712="EXTERNO",$I712="EXTERNO"),"ERRO: origem e destino externos",IF(AND($G712&lt;&gt;"EXTERNO",COUNTIFS(ENT_ID,$H712,ENT_TIPO,$G712)=0),"ERRO: origem inexistente",IF(AND($I712&lt;&gt;"EXTERNO",COUNTIFS(ENT_ID,$J712,ENT_TIPO,$I712)=0),"ERRO: destino inexistente",IF(AND($K712&lt;&gt;"",COUNTIF(CAT_ID,$K712)=0),"ERRO: categoria inexistente",IF(AND($L712&lt;&gt;"",COUNTIF(SUB_ID,$L712)=0),"ERRO: subcategoria inexistente",IF(AND($L712&lt;&gt;"",$K712&lt;&gt;"",IFERROR(INDEX(SUB_CATID,MATCH($L712,SUB_ID,0)),"")&lt;&gt;$K712),"ERRO: subcategoria nao pertence a categoria",IF(AND($O712&lt;&gt;"",COUNTIF(P_ID,$O712)=0),"ERRO: parcela inexistente",IF(AND($N712&lt;&gt;"",COUNTIF(CM_ID,$N712)=0),"ERRO: compromisso inexistente","OK")))))))))))))</f>
        <v/>
      </c>
      <c r="AK712" s="35" t="str">
        <f aca="false">IF($B712="","",IF(AND($N712="",$O712="",$P712="",$Q712="",$R712=""),"","VINCULADO: "&amp;TRIM(IF($N712&lt;&gt;"",$N712&amp;" ","")&amp;IF($O712&lt;&gt;"",$O712&amp;" ","")&amp;IF($P712&lt;&gt;"",$P712&amp;" ","")&amp;IF($Q712&lt;&gt;"",$Q712&amp;" ","")&amp;IF($R712&lt;&gt;"",$R712,""))))</f>
        <v/>
      </c>
    </row>
    <row r="713" customFormat="false" ht="15" hidden="false" customHeight="false" outlineLevel="0" collapsed="false">
      <c r="A713" s="30" t="str">
        <f aca="false">IF($B713="","","LAN-"&amp;TEXT(ROW()-4,"000000"))</f>
        <v/>
      </c>
      <c r="B713" s="31"/>
      <c r="C713" s="32"/>
      <c r="D713" s="32"/>
      <c r="E713" s="32"/>
      <c r="F713" s="33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4" t="str">
        <f aca="false">IF($B713="","",YEAR($B713))</f>
        <v/>
      </c>
      <c r="U713" s="34" t="str">
        <f aca="false">IF($B713="","",MONTH($B713))</f>
        <v/>
      </c>
      <c r="V713" s="34" t="str">
        <f aca="false">IF($B713="","",YEAR($B713)*100+MONTH($B713))</f>
        <v/>
      </c>
      <c r="W713" s="35" t="str">
        <f aca="false">IF($D713="","",IFERROR(INDEX(MAP_CLASS,MATCH($D713,MAP_TIPO,0)),"TIPO INVALIDO"))</f>
        <v/>
      </c>
      <c r="X713" s="35" t="str">
        <f aca="false">IF($K713="","",IFERROR(INDEX(CAT_NOME,MATCH($K713,CAT_ID,0)),"?"))</f>
        <v/>
      </c>
      <c r="Y713" s="35" t="str">
        <f aca="false">IF($L713="","",IFERROR(INDEX(SUB_NOME,MATCH($L713,SUB_ID,0)),"?"))</f>
        <v/>
      </c>
      <c r="Z713" s="35" t="str">
        <f aca="false">IF($G713="","",IF($G713="EXTERNO","(Externo)",IFERROR(INDEX(ENT_NOME,MATCH($H713,ENT_ID,0)),"?")))</f>
        <v/>
      </c>
      <c r="AA713" s="35" t="str">
        <f aca="false">IF($I713="","",IF($I713="EXTERNO","(Externo)",IFERROR(INDEX(ENT_NOME,MATCH($J713,ENT_ID,0)),"?")))</f>
        <v/>
      </c>
      <c r="AB713" s="36" t="n">
        <f aca="false">IF($B713="",0,IF(AND($I713="CONTA",$G713&lt;&gt;"CONTA"),$F713,0))</f>
        <v>0</v>
      </c>
      <c r="AC713" s="36" t="n">
        <f aca="false">IF($B713="",0,IF(AND($G713="CONTA",$I713&lt;&gt;"CONTA"),$F713,0))</f>
        <v>0</v>
      </c>
      <c r="AD713" s="36" t="n">
        <f aca="false">IF($W713="RECEITA",$F713,0)</f>
        <v>0</v>
      </c>
      <c r="AE713" s="36" t="n">
        <f aca="false">IF($W713="DESPESA",$F713,0)</f>
        <v>0</v>
      </c>
      <c r="AF713" s="36" t="n">
        <f aca="false">IF($W713="RECEITA_FINANCEIRA",$F713,0)</f>
        <v>0</v>
      </c>
      <c r="AG713" s="36" t="n">
        <f aca="false">IF($B713="",0,IF($I713="CONTA",$F713,0)-IF($G713="CONTA",$F713,0))</f>
        <v>0</v>
      </c>
      <c r="AH713" s="36" t="n">
        <f aca="false">IF($B713="",0,IF($G713="CARTAO",$F713,0)-IF($I713="CARTAO",$F713,0))</f>
        <v>0</v>
      </c>
      <c r="AI713" s="36" t="n">
        <f aca="false">IF($B713="",0,IF($I713="INVESTIMENTO",$F713,0)-IF($G713="INVESTIMENTO",$F713,0))</f>
        <v>0</v>
      </c>
      <c r="AJ713" s="35" t="str">
        <f aca="false">IF($B713="","",IF(NOT(ISNUMBER($F713)),"ERRO: valor nao numerico",IF($F713&lt;=0,"ERRO: valor deve ser maior que zero",IF(COUNTIF(MAP_TIPO,$D713)=0,"ERRO: tipo de operacao nao cadastrado",IF(COUNTIF(LST_STATUS,$E713)=0,"ERRO: status invalido",IF(AND($G713="EXTERNO",$I713="EXTERNO"),"ERRO: origem e destino externos",IF(AND($G713&lt;&gt;"EXTERNO",COUNTIFS(ENT_ID,$H713,ENT_TIPO,$G713)=0),"ERRO: origem inexistente",IF(AND($I713&lt;&gt;"EXTERNO",COUNTIFS(ENT_ID,$J713,ENT_TIPO,$I713)=0),"ERRO: destino inexistente",IF(AND($K713&lt;&gt;"",COUNTIF(CAT_ID,$K713)=0),"ERRO: categoria inexistente",IF(AND($L713&lt;&gt;"",COUNTIF(SUB_ID,$L713)=0),"ERRO: subcategoria inexistente",IF(AND($L713&lt;&gt;"",$K713&lt;&gt;"",IFERROR(INDEX(SUB_CATID,MATCH($L713,SUB_ID,0)),"")&lt;&gt;$K713),"ERRO: subcategoria nao pertence a categoria",IF(AND($O713&lt;&gt;"",COUNTIF(P_ID,$O713)=0),"ERRO: parcela inexistente",IF(AND($N713&lt;&gt;"",COUNTIF(CM_ID,$N713)=0),"ERRO: compromisso inexistente","OK")))))))))))))</f>
        <v/>
      </c>
      <c r="AK713" s="35" t="str">
        <f aca="false">IF($B713="","",IF(AND($N713="",$O713="",$P713="",$Q713="",$R713=""),"","VINCULADO: "&amp;TRIM(IF($N713&lt;&gt;"",$N713&amp;" ","")&amp;IF($O713&lt;&gt;"",$O713&amp;" ","")&amp;IF($P713&lt;&gt;"",$P713&amp;" ","")&amp;IF($Q713&lt;&gt;"",$Q713&amp;" ","")&amp;IF($R713&lt;&gt;"",$R713,""))))</f>
        <v/>
      </c>
    </row>
    <row r="714" customFormat="false" ht="15" hidden="false" customHeight="false" outlineLevel="0" collapsed="false">
      <c r="A714" s="30" t="str">
        <f aca="false">IF($B714="","","LAN-"&amp;TEXT(ROW()-4,"000000"))</f>
        <v/>
      </c>
      <c r="B714" s="31"/>
      <c r="C714" s="32"/>
      <c r="D714" s="32"/>
      <c r="E714" s="32"/>
      <c r="F714" s="33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4" t="str">
        <f aca="false">IF($B714="","",YEAR($B714))</f>
        <v/>
      </c>
      <c r="U714" s="34" t="str">
        <f aca="false">IF($B714="","",MONTH($B714))</f>
        <v/>
      </c>
      <c r="V714" s="34" t="str">
        <f aca="false">IF($B714="","",YEAR($B714)*100+MONTH($B714))</f>
        <v/>
      </c>
      <c r="W714" s="35" t="str">
        <f aca="false">IF($D714="","",IFERROR(INDEX(MAP_CLASS,MATCH($D714,MAP_TIPO,0)),"TIPO INVALIDO"))</f>
        <v/>
      </c>
      <c r="X714" s="35" t="str">
        <f aca="false">IF($K714="","",IFERROR(INDEX(CAT_NOME,MATCH($K714,CAT_ID,0)),"?"))</f>
        <v/>
      </c>
      <c r="Y714" s="35" t="str">
        <f aca="false">IF($L714="","",IFERROR(INDEX(SUB_NOME,MATCH($L714,SUB_ID,0)),"?"))</f>
        <v/>
      </c>
      <c r="Z714" s="35" t="str">
        <f aca="false">IF($G714="","",IF($G714="EXTERNO","(Externo)",IFERROR(INDEX(ENT_NOME,MATCH($H714,ENT_ID,0)),"?")))</f>
        <v/>
      </c>
      <c r="AA714" s="35" t="str">
        <f aca="false">IF($I714="","",IF($I714="EXTERNO","(Externo)",IFERROR(INDEX(ENT_NOME,MATCH($J714,ENT_ID,0)),"?")))</f>
        <v/>
      </c>
      <c r="AB714" s="36" t="n">
        <f aca="false">IF($B714="",0,IF(AND($I714="CONTA",$G714&lt;&gt;"CONTA"),$F714,0))</f>
        <v>0</v>
      </c>
      <c r="AC714" s="36" t="n">
        <f aca="false">IF($B714="",0,IF(AND($G714="CONTA",$I714&lt;&gt;"CONTA"),$F714,0))</f>
        <v>0</v>
      </c>
      <c r="AD714" s="36" t="n">
        <f aca="false">IF($W714="RECEITA",$F714,0)</f>
        <v>0</v>
      </c>
      <c r="AE714" s="36" t="n">
        <f aca="false">IF($W714="DESPESA",$F714,0)</f>
        <v>0</v>
      </c>
      <c r="AF714" s="36" t="n">
        <f aca="false">IF($W714="RECEITA_FINANCEIRA",$F714,0)</f>
        <v>0</v>
      </c>
      <c r="AG714" s="36" t="n">
        <f aca="false">IF($B714="",0,IF($I714="CONTA",$F714,0)-IF($G714="CONTA",$F714,0))</f>
        <v>0</v>
      </c>
      <c r="AH714" s="36" t="n">
        <f aca="false">IF($B714="",0,IF($G714="CARTAO",$F714,0)-IF($I714="CARTAO",$F714,0))</f>
        <v>0</v>
      </c>
      <c r="AI714" s="36" t="n">
        <f aca="false">IF($B714="",0,IF($I714="INVESTIMENTO",$F714,0)-IF($G714="INVESTIMENTO",$F714,0))</f>
        <v>0</v>
      </c>
      <c r="AJ714" s="35" t="str">
        <f aca="false">IF($B714="","",IF(NOT(ISNUMBER($F714)),"ERRO: valor nao numerico",IF($F714&lt;=0,"ERRO: valor deve ser maior que zero",IF(COUNTIF(MAP_TIPO,$D714)=0,"ERRO: tipo de operacao nao cadastrado",IF(COUNTIF(LST_STATUS,$E714)=0,"ERRO: status invalido",IF(AND($G714="EXTERNO",$I714="EXTERNO"),"ERRO: origem e destino externos",IF(AND($G714&lt;&gt;"EXTERNO",COUNTIFS(ENT_ID,$H714,ENT_TIPO,$G714)=0),"ERRO: origem inexistente",IF(AND($I714&lt;&gt;"EXTERNO",COUNTIFS(ENT_ID,$J714,ENT_TIPO,$I714)=0),"ERRO: destino inexistente",IF(AND($K714&lt;&gt;"",COUNTIF(CAT_ID,$K714)=0),"ERRO: categoria inexistente",IF(AND($L714&lt;&gt;"",COUNTIF(SUB_ID,$L714)=0),"ERRO: subcategoria inexistente",IF(AND($L714&lt;&gt;"",$K714&lt;&gt;"",IFERROR(INDEX(SUB_CATID,MATCH($L714,SUB_ID,0)),"")&lt;&gt;$K714),"ERRO: subcategoria nao pertence a categoria",IF(AND($O714&lt;&gt;"",COUNTIF(P_ID,$O714)=0),"ERRO: parcela inexistente",IF(AND($N714&lt;&gt;"",COUNTIF(CM_ID,$N714)=0),"ERRO: compromisso inexistente","OK")))))))))))))</f>
        <v/>
      </c>
      <c r="AK714" s="35" t="str">
        <f aca="false">IF($B714="","",IF(AND($N714="",$O714="",$P714="",$Q714="",$R714=""),"","VINCULADO: "&amp;TRIM(IF($N714&lt;&gt;"",$N714&amp;" ","")&amp;IF($O714&lt;&gt;"",$O714&amp;" ","")&amp;IF($P714&lt;&gt;"",$P714&amp;" ","")&amp;IF($Q714&lt;&gt;"",$Q714&amp;" ","")&amp;IF($R714&lt;&gt;"",$R714,""))))</f>
        <v/>
      </c>
    </row>
    <row r="715" customFormat="false" ht="15" hidden="false" customHeight="false" outlineLevel="0" collapsed="false">
      <c r="A715" s="30" t="str">
        <f aca="false">IF($B715="","","LAN-"&amp;TEXT(ROW()-4,"000000"))</f>
        <v/>
      </c>
      <c r="B715" s="31"/>
      <c r="C715" s="32"/>
      <c r="D715" s="32"/>
      <c r="E715" s="32"/>
      <c r="F715" s="33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4" t="str">
        <f aca="false">IF($B715="","",YEAR($B715))</f>
        <v/>
      </c>
      <c r="U715" s="34" t="str">
        <f aca="false">IF($B715="","",MONTH($B715))</f>
        <v/>
      </c>
      <c r="V715" s="34" t="str">
        <f aca="false">IF($B715="","",YEAR($B715)*100+MONTH($B715))</f>
        <v/>
      </c>
      <c r="W715" s="35" t="str">
        <f aca="false">IF($D715="","",IFERROR(INDEX(MAP_CLASS,MATCH($D715,MAP_TIPO,0)),"TIPO INVALIDO"))</f>
        <v/>
      </c>
      <c r="X715" s="35" t="str">
        <f aca="false">IF($K715="","",IFERROR(INDEX(CAT_NOME,MATCH($K715,CAT_ID,0)),"?"))</f>
        <v/>
      </c>
      <c r="Y715" s="35" t="str">
        <f aca="false">IF($L715="","",IFERROR(INDEX(SUB_NOME,MATCH($L715,SUB_ID,0)),"?"))</f>
        <v/>
      </c>
      <c r="Z715" s="35" t="str">
        <f aca="false">IF($G715="","",IF($G715="EXTERNO","(Externo)",IFERROR(INDEX(ENT_NOME,MATCH($H715,ENT_ID,0)),"?")))</f>
        <v/>
      </c>
      <c r="AA715" s="35" t="str">
        <f aca="false">IF($I715="","",IF($I715="EXTERNO","(Externo)",IFERROR(INDEX(ENT_NOME,MATCH($J715,ENT_ID,0)),"?")))</f>
        <v/>
      </c>
      <c r="AB715" s="36" t="n">
        <f aca="false">IF($B715="",0,IF(AND($I715="CONTA",$G715&lt;&gt;"CONTA"),$F715,0))</f>
        <v>0</v>
      </c>
      <c r="AC715" s="36" t="n">
        <f aca="false">IF($B715="",0,IF(AND($G715="CONTA",$I715&lt;&gt;"CONTA"),$F715,0))</f>
        <v>0</v>
      </c>
      <c r="AD715" s="36" t="n">
        <f aca="false">IF($W715="RECEITA",$F715,0)</f>
        <v>0</v>
      </c>
      <c r="AE715" s="36" t="n">
        <f aca="false">IF($W715="DESPESA",$F715,0)</f>
        <v>0</v>
      </c>
      <c r="AF715" s="36" t="n">
        <f aca="false">IF($W715="RECEITA_FINANCEIRA",$F715,0)</f>
        <v>0</v>
      </c>
      <c r="AG715" s="36" t="n">
        <f aca="false">IF($B715="",0,IF($I715="CONTA",$F715,0)-IF($G715="CONTA",$F715,0))</f>
        <v>0</v>
      </c>
      <c r="AH715" s="36" t="n">
        <f aca="false">IF($B715="",0,IF($G715="CARTAO",$F715,0)-IF($I715="CARTAO",$F715,0))</f>
        <v>0</v>
      </c>
      <c r="AI715" s="36" t="n">
        <f aca="false">IF($B715="",0,IF($I715="INVESTIMENTO",$F715,0)-IF($G715="INVESTIMENTO",$F715,0))</f>
        <v>0</v>
      </c>
      <c r="AJ715" s="35" t="str">
        <f aca="false">IF($B715="","",IF(NOT(ISNUMBER($F715)),"ERRO: valor nao numerico",IF($F715&lt;=0,"ERRO: valor deve ser maior que zero",IF(COUNTIF(MAP_TIPO,$D715)=0,"ERRO: tipo de operacao nao cadastrado",IF(COUNTIF(LST_STATUS,$E715)=0,"ERRO: status invalido",IF(AND($G715="EXTERNO",$I715="EXTERNO"),"ERRO: origem e destino externos",IF(AND($G715&lt;&gt;"EXTERNO",COUNTIFS(ENT_ID,$H715,ENT_TIPO,$G715)=0),"ERRO: origem inexistente",IF(AND($I715&lt;&gt;"EXTERNO",COUNTIFS(ENT_ID,$J715,ENT_TIPO,$I715)=0),"ERRO: destino inexistente",IF(AND($K715&lt;&gt;"",COUNTIF(CAT_ID,$K715)=0),"ERRO: categoria inexistente",IF(AND($L715&lt;&gt;"",COUNTIF(SUB_ID,$L715)=0),"ERRO: subcategoria inexistente",IF(AND($L715&lt;&gt;"",$K715&lt;&gt;"",IFERROR(INDEX(SUB_CATID,MATCH($L715,SUB_ID,0)),"")&lt;&gt;$K715),"ERRO: subcategoria nao pertence a categoria",IF(AND($O715&lt;&gt;"",COUNTIF(P_ID,$O715)=0),"ERRO: parcela inexistente",IF(AND($N715&lt;&gt;"",COUNTIF(CM_ID,$N715)=0),"ERRO: compromisso inexistente","OK")))))))))))))</f>
        <v/>
      </c>
      <c r="AK715" s="35" t="str">
        <f aca="false">IF($B715="","",IF(AND($N715="",$O715="",$P715="",$Q715="",$R715=""),"","VINCULADO: "&amp;TRIM(IF($N715&lt;&gt;"",$N715&amp;" ","")&amp;IF($O715&lt;&gt;"",$O715&amp;" ","")&amp;IF($P715&lt;&gt;"",$P715&amp;" ","")&amp;IF($Q715&lt;&gt;"",$Q715&amp;" ","")&amp;IF($R715&lt;&gt;"",$R715,""))))</f>
        <v/>
      </c>
    </row>
    <row r="716" customFormat="false" ht="15" hidden="false" customHeight="false" outlineLevel="0" collapsed="false">
      <c r="A716" s="30" t="str">
        <f aca="false">IF($B716="","","LAN-"&amp;TEXT(ROW()-4,"000000"))</f>
        <v/>
      </c>
      <c r="B716" s="31"/>
      <c r="C716" s="32"/>
      <c r="D716" s="32"/>
      <c r="E716" s="32"/>
      <c r="F716" s="33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4" t="str">
        <f aca="false">IF($B716="","",YEAR($B716))</f>
        <v/>
      </c>
      <c r="U716" s="34" t="str">
        <f aca="false">IF($B716="","",MONTH($B716))</f>
        <v/>
      </c>
      <c r="V716" s="34" t="str">
        <f aca="false">IF($B716="","",YEAR($B716)*100+MONTH($B716))</f>
        <v/>
      </c>
      <c r="W716" s="35" t="str">
        <f aca="false">IF($D716="","",IFERROR(INDEX(MAP_CLASS,MATCH($D716,MAP_TIPO,0)),"TIPO INVALIDO"))</f>
        <v/>
      </c>
      <c r="X716" s="35" t="str">
        <f aca="false">IF($K716="","",IFERROR(INDEX(CAT_NOME,MATCH($K716,CAT_ID,0)),"?"))</f>
        <v/>
      </c>
      <c r="Y716" s="35" t="str">
        <f aca="false">IF($L716="","",IFERROR(INDEX(SUB_NOME,MATCH($L716,SUB_ID,0)),"?"))</f>
        <v/>
      </c>
      <c r="Z716" s="35" t="str">
        <f aca="false">IF($G716="","",IF($G716="EXTERNO","(Externo)",IFERROR(INDEX(ENT_NOME,MATCH($H716,ENT_ID,0)),"?")))</f>
        <v/>
      </c>
      <c r="AA716" s="35" t="str">
        <f aca="false">IF($I716="","",IF($I716="EXTERNO","(Externo)",IFERROR(INDEX(ENT_NOME,MATCH($J716,ENT_ID,0)),"?")))</f>
        <v/>
      </c>
      <c r="AB716" s="36" t="n">
        <f aca="false">IF($B716="",0,IF(AND($I716="CONTA",$G716&lt;&gt;"CONTA"),$F716,0))</f>
        <v>0</v>
      </c>
      <c r="AC716" s="36" t="n">
        <f aca="false">IF($B716="",0,IF(AND($G716="CONTA",$I716&lt;&gt;"CONTA"),$F716,0))</f>
        <v>0</v>
      </c>
      <c r="AD716" s="36" t="n">
        <f aca="false">IF($W716="RECEITA",$F716,0)</f>
        <v>0</v>
      </c>
      <c r="AE716" s="36" t="n">
        <f aca="false">IF($W716="DESPESA",$F716,0)</f>
        <v>0</v>
      </c>
      <c r="AF716" s="36" t="n">
        <f aca="false">IF($W716="RECEITA_FINANCEIRA",$F716,0)</f>
        <v>0</v>
      </c>
      <c r="AG716" s="36" t="n">
        <f aca="false">IF($B716="",0,IF($I716="CONTA",$F716,0)-IF($G716="CONTA",$F716,0))</f>
        <v>0</v>
      </c>
      <c r="AH716" s="36" t="n">
        <f aca="false">IF($B716="",0,IF($G716="CARTAO",$F716,0)-IF($I716="CARTAO",$F716,0))</f>
        <v>0</v>
      </c>
      <c r="AI716" s="36" t="n">
        <f aca="false">IF($B716="",0,IF($I716="INVESTIMENTO",$F716,0)-IF($G716="INVESTIMENTO",$F716,0))</f>
        <v>0</v>
      </c>
      <c r="AJ716" s="35" t="str">
        <f aca="false">IF($B716="","",IF(NOT(ISNUMBER($F716)),"ERRO: valor nao numerico",IF($F716&lt;=0,"ERRO: valor deve ser maior que zero",IF(COUNTIF(MAP_TIPO,$D716)=0,"ERRO: tipo de operacao nao cadastrado",IF(COUNTIF(LST_STATUS,$E716)=0,"ERRO: status invalido",IF(AND($G716="EXTERNO",$I716="EXTERNO"),"ERRO: origem e destino externos",IF(AND($G716&lt;&gt;"EXTERNO",COUNTIFS(ENT_ID,$H716,ENT_TIPO,$G716)=0),"ERRO: origem inexistente",IF(AND($I716&lt;&gt;"EXTERNO",COUNTIFS(ENT_ID,$J716,ENT_TIPO,$I716)=0),"ERRO: destino inexistente",IF(AND($K716&lt;&gt;"",COUNTIF(CAT_ID,$K716)=0),"ERRO: categoria inexistente",IF(AND($L716&lt;&gt;"",COUNTIF(SUB_ID,$L716)=0),"ERRO: subcategoria inexistente",IF(AND($L716&lt;&gt;"",$K716&lt;&gt;"",IFERROR(INDEX(SUB_CATID,MATCH($L716,SUB_ID,0)),"")&lt;&gt;$K716),"ERRO: subcategoria nao pertence a categoria",IF(AND($O716&lt;&gt;"",COUNTIF(P_ID,$O716)=0),"ERRO: parcela inexistente",IF(AND($N716&lt;&gt;"",COUNTIF(CM_ID,$N716)=0),"ERRO: compromisso inexistente","OK")))))))))))))</f>
        <v/>
      </c>
      <c r="AK716" s="35" t="str">
        <f aca="false">IF($B716="","",IF(AND($N716="",$O716="",$P716="",$Q716="",$R716=""),"","VINCULADO: "&amp;TRIM(IF($N716&lt;&gt;"",$N716&amp;" ","")&amp;IF($O716&lt;&gt;"",$O716&amp;" ","")&amp;IF($P716&lt;&gt;"",$P716&amp;" ","")&amp;IF($Q716&lt;&gt;"",$Q716&amp;" ","")&amp;IF($R716&lt;&gt;"",$R716,""))))</f>
        <v/>
      </c>
    </row>
    <row r="717" customFormat="false" ht="15" hidden="false" customHeight="false" outlineLevel="0" collapsed="false">
      <c r="A717" s="30" t="str">
        <f aca="false">IF($B717="","","LAN-"&amp;TEXT(ROW()-4,"000000"))</f>
        <v/>
      </c>
      <c r="B717" s="31"/>
      <c r="C717" s="32"/>
      <c r="D717" s="32"/>
      <c r="E717" s="32"/>
      <c r="F717" s="33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4" t="str">
        <f aca="false">IF($B717="","",YEAR($B717))</f>
        <v/>
      </c>
      <c r="U717" s="34" t="str">
        <f aca="false">IF($B717="","",MONTH($B717))</f>
        <v/>
      </c>
      <c r="V717" s="34" t="str">
        <f aca="false">IF($B717="","",YEAR($B717)*100+MONTH($B717))</f>
        <v/>
      </c>
      <c r="W717" s="35" t="str">
        <f aca="false">IF($D717="","",IFERROR(INDEX(MAP_CLASS,MATCH($D717,MAP_TIPO,0)),"TIPO INVALIDO"))</f>
        <v/>
      </c>
      <c r="X717" s="35" t="str">
        <f aca="false">IF($K717="","",IFERROR(INDEX(CAT_NOME,MATCH($K717,CAT_ID,0)),"?"))</f>
        <v/>
      </c>
      <c r="Y717" s="35" t="str">
        <f aca="false">IF($L717="","",IFERROR(INDEX(SUB_NOME,MATCH($L717,SUB_ID,0)),"?"))</f>
        <v/>
      </c>
      <c r="Z717" s="35" t="str">
        <f aca="false">IF($G717="","",IF($G717="EXTERNO","(Externo)",IFERROR(INDEX(ENT_NOME,MATCH($H717,ENT_ID,0)),"?")))</f>
        <v/>
      </c>
      <c r="AA717" s="35" t="str">
        <f aca="false">IF($I717="","",IF($I717="EXTERNO","(Externo)",IFERROR(INDEX(ENT_NOME,MATCH($J717,ENT_ID,0)),"?")))</f>
        <v/>
      </c>
      <c r="AB717" s="36" t="n">
        <f aca="false">IF($B717="",0,IF(AND($I717="CONTA",$G717&lt;&gt;"CONTA"),$F717,0))</f>
        <v>0</v>
      </c>
      <c r="AC717" s="36" t="n">
        <f aca="false">IF($B717="",0,IF(AND($G717="CONTA",$I717&lt;&gt;"CONTA"),$F717,0))</f>
        <v>0</v>
      </c>
      <c r="AD717" s="36" t="n">
        <f aca="false">IF($W717="RECEITA",$F717,0)</f>
        <v>0</v>
      </c>
      <c r="AE717" s="36" t="n">
        <f aca="false">IF($W717="DESPESA",$F717,0)</f>
        <v>0</v>
      </c>
      <c r="AF717" s="36" t="n">
        <f aca="false">IF($W717="RECEITA_FINANCEIRA",$F717,0)</f>
        <v>0</v>
      </c>
      <c r="AG717" s="36" t="n">
        <f aca="false">IF($B717="",0,IF($I717="CONTA",$F717,0)-IF($G717="CONTA",$F717,0))</f>
        <v>0</v>
      </c>
      <c r="AH717" s="36" t="n">
        <f aca="false">IF($B717="",0,IF($G717="CARTAO",$F717,0)-IF($I717="CARTAO",$F717,0))</f>
        <v>0</v>
      </c>
      <c r="AI717" s="36" t="n">
        <f aca="false">IF($B717="",0,IF($I717="INVESTIMENTO",$F717,0)-IF($G717="INVESTIMENTO",$F717,0))</f>
        <v>0</v>
      </c>
      <c r="AJ717" s="35" t="str">
        <f aca="false">IF($B717="","",IF(NOT(ISNUMBER($F717)),"ERRO: valor nao numerico",IF($F717&lt;=0,"ERRO: valor deve ser maior que zero",IF(COUNTIF(MAP_TIPO,$D717)=0,"ERRO: tipo de operacao nao cadastrado",IF(COUNTIF(LST_STATUS,$E717)=0,"ERRO: status invalido",IF(AND($G717="EXTERNO",$I717="EXTERNO"),"ERRO: origem e destino externos",IF(AND($G717&lt;&gt;"EXTERNO",COUNTIFS(ENT_ID,$H717,ENT_TIPO,$G717)=0),"ERRO: origem inexistente",IF(AND($I717&lt;&gt;"EXTERNO",COUNTIFS(ENT_ID,$J717,ENT_TIPO,$I717)=0),"ERRO: destino inexistente",IF(AND($K717&lt;&gt;"",COUNTIF(CAT_ID,$K717)=0),"ERRO: categoria inexistente",IF(AND($L717&lt;&gt;"",COUNTIF(SUB_ID,$L717)=0),"ERRO: subcategoria inexistente",IF(AND($L717&lt;&gt;"",$K717&lt;&gt;"",IFERROR(INDEX(SUB_CATID,MATCH($L717,SUB_ID,0)),"")&lt;&gt;$K717),"ERRO: subcategoria nao pertence a categoria",IF(AND($O717&lt;&gt;"",COUNTIF(P_ID,$O717)=0),"ERRO: parcela inexistente",IF(AND($N717&lt;&gt;"",COUNTIF(CM_ID,$N717)=0),"ERRO: compromisso inexistente","OK")))))))))))))</f>
        <v/>
      </c>
      <c r="AK717" s="35" t="str">
        <f aca="false">IF($B717="","",IF(AND($N717="",$O717="",$P717="",$Q717="",$R717=""),"","VINCULADO: "&amp;TRIM(IF($N717&lt;&gt;"",$N717&amp;" ","")&amp;IF($O717&lt;&gt;"",$O717&amp;" ","")&amp;IF($P717&lt;&gt;"",$P717&amp;" ","")&amp;IF($Q717&lt;&gt;"",$Q717&amp;" ","")&amp;IF($R717&lt;&gt;"",$R717,""))))</f>
        <v/>
      </c>
    </row>
    <row r="718" customFormat="false" ht="15" hidden="false" customHeight="false" outlineLevel="0" collapsed="false">
      <c r="A718" s="30" t="str">
        <f aca="false">IF($B718="","","LAN-"&amp;TEXT(ROW()-4,"000000"))</f>
        <v/>
      </c>
      <c r="B718" s="31"/>
      <c r="C718" s="32"/>
      <c r="D718" s="32"/>
      <c r="E718" s="32"/>
      <c r="F718" s="33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4" t="str">
        <f aca="false">IF($B718="","",YEAR($B718))</f>
        <v/>
      </c>
      <c r="U718" s="34" t="str">
        <f aca="false">IF($B718="","",MONTH($B718))</f>
        <v/>
      </c>
      <c r="V718" s="34" t="str">
        <f aca="false">IF($B718="","",YEAR($B718)*100+MONTH($B718))</f>
        <v/>
      </c>
      <c r="W718" s="35" t="str">
        <f aca="false">IF($D718="","",IFERROR(INDEX(MAP_CLASS,MATCH($D718,MAP_TIPO,0)),"TIPO INVALIDO"))</f>
        <v/>
      </c>
      <c r="X718" s="35" t="str">
        <f aca="false">IF($K718="","",IFERROR(INDEX(CAT_NOME,MATCH($K718,CAT_ID,0)),"?"))</f>
        <v/>
      </c>
      <c r="Y718" s="35" t="str">
        <f aca="false">IF($L718="","",IFERROR(INDEX(SUB_NOME,MATCH($L718,SUB_ID,0)),"?"))</f>
        <v/>
      </c>
      <c r="Z718" s="35" t="str">
        <f aca="false">IF($G718="","",IF($G718="EXTERNO","(Externo)",IFERROR(INDEX(ENT_NOME,MATCH($H718,ENT_ID,0)),"?")))</f>
        <v/>
      </c>
      <c r="AA718" s="35" t="str">
        <f aca="false">IF($I718="","",IF($I718="EXTERNO","(Externo)",IFERROR(INDEX(ENT_NOME,MATCH($J718,ENT_ID,0)),"?")))</f>
        <v/>
      </c>
      <c r="AB718" s="36" t="n">
        <f aca="false">IF($B718="",0,IF(AND($I718="CONTA",$G718&lt;&gt;"CONTA"),$F718,0))</f>
        <v>0</v>
      </c>
      <c r="AC718" s="36" t="n">
        <f aca="false">IF($B718="",0,IF(AND($G718="CONTA",$I718&lt;&gt;"CONTA"),$F718,0))</f>
        <v>0</v>
      </c>
      <c r="AD718" s="36" t="n">
        <f aca="false">IF($W718="RECEITA",$F718,0)</f>
        <v>0</v>
      </c>
      <c r="AE718" s="36" t="n">
        <f aca="false">IF($W718="DESPESA",$F718,0)</f>
        <v>0</v>
      </c>
      <c r="AF718" s="36" t="n">
        <f aca="false">IF($W718="RECEITA_FINANCEIRA",$F718,0)</f>
        <v>0</v>
      </c>
      <c r="AG718" s="36" t="n">
        <f aca="false">IF($B718="",0,IF($I718="CONTA",$F718,0)-IF($G718="CONTA",$F718,0))</f>
        <v>0</v>
      </c>
      <c r="AH718" s="36" t="n">
        <f aca="false">IF($B718="",0,IF($G718="CARTAO",$F718,0)-IF($I718="CARTAO",$F718,0))</f>
        <v>0</v>
      </c>
      <c r="AI718" s="36" t="n">
        <f aca="false">IF($B718="",0,IF($I718="INVESTIMENTO",$F718,0)-IF($G718="INVESTIMENTO",$F718,0))</f>
        <v>0</v>
      </c>
      <c r="AJ718" s="35" t="str">
        <f aca="false">IF($B718="","",IF(NOT(ISNUMBER($F718)),"ERRO: valor nao numerico",IF($F718&lt;=0,"ERRO: valor deve ser maior que zero",IF(COUNTIF(MAP_TIPO,$D718)=0,"ERRO: tipo de operacao nao cadastrado",IF(COUNTIF(LST_STATUS,$E718)=0,"ERRO: status invalido",IF(AND($G718="EXTERNO",$I718="EXTERNO"),"ERRO: origem e destino externos",IF(AND($G718&lt;&gt;"EXTERNO",COUNTIFS(ENT_ID,$H718,ENT_TIPO,$G718)=0),"ERRO: origem inexistente",IF(AND($I718&lt;&gt;"EXTERNO",COUNTIFS(ENT_ID,$J718,ENT_TIPO,$I718)=0),"ERRO: destino inexistente",IF(AND($K718&lt;&gt;"",COUNTIF(CAT_ID,$K718)=0),"ERRO: categoria inexistente",IF(AND($L718&lt;&gt;"",COUNTIF(SUB_ID,$L718)=0),"ERRO: subcategoria inexistente",IF(AND($L718&lt;&gt;"",$K718&lt;&gt;"",IFERROR(INDEX(SUB_CATID,MATCH($L718,SUB_ID,0)),"")&lt;&gt;$K718),"ERRO: subcategoria nao pertence a categoria",IF(AND($O718&lt;&gt;"",COUNTIF(P_ID,$O718)=0),"ERRO: parcela inexistente",IF(AND($N718&lt;&gt;"",COUNTIF(CM_ID,$N718)=0),"ERRO: compromisso inexistente","OK")))))))))))))</f>
        <v/>
      </c>
      <c r="AK718" s="35" t="str">
        <f aca="false">IF($B718="","",IF(AND($N718="",$O718="",$P718="",$Q718="",$R718=""),"","VINCULADO: "&amp;TRIM(IF($N718&lt;&gt;"",$N718&amp;" ","")&amp;IF($O718&lt;&gt;"",$O718&amp;" ","")&amp;IF($P718&lt;&gt;"",$P718&amp;" ","")&amp;IF($Q718&lt;&gt;"",$Q718&amp;" ","")&amp;IF($R718&lt;&gt;"",$R718,""))))</f>
        <v/>
      </c>
    </row>
    <row r="719" customFormat="false" ht="15" hidden="false" customHeight="false" outlineLevel="0" collapsed="false">
      <c r="A719" s="30" t="str">
        <f aca="false">IF($B719="","","LAN-"&amp;TEXT(ROW()-4,"000000"))</f>
        <v/>
      </c>
      <c r="B719" s="31"/>
      <c r="C719" s="32"/>
      <c r="D719" s="32"/>
      <c r="E719" s="32"/>
      <c r="F719" s="33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4" t="str">
        <f aca="false">IF($B719="","",YEAR($B719))</f>
        <v/>
      </c>
      <c r="U719" s="34" t="str">
        <f aca="false">IF($B719="","",MONTH($B719))</f>
        <v/>
      </c>
      <c r="V719" s="34" t="str">
        <f aca="false">IF($B719="","",YEAR($B719)*100+MONTH($B719))</f>
        <v/>
      </c>
      <c r="W719" s="35" t="str">
        <f aca="false">IF($D719="","",IFERROR(INDEX(MAP_CLASS,MATCH($D719,MAP_TIPO,0)),"TIPO INVALIDO"))</f>
        <v/>
      </c>
      <c r="X719" s="35" t="str">
        <f aca="false">IF($K719="","",IFERROR(INDEX(CAT_NOME,MATCH($K719,CAT_ID,0)),"?"))</f>
        <v/>
      </c>
      <c r="Y719" s="35" t="str">
        <f aca="false">IF($L719="","",IFERROR(INDEX(SUB_NOME,MATCH($L719,SUB_ID,0)),"?"))</f>
        <v/>
      </c>
      <c r="Z719" s="35" t="str">
        <f aca="false">IF($G719="","",IF($G719="EXTERNO","(Externo)",IFERROR(INDEX(ENT_NOME,MATCH($H719,ENT_ID,0)),"?")))</f>
        <v/>
      </c>
      <c r="AA719" s="35" t="str">
        <f aca="false">IF($I719="","",IF($I719="EXTERNO","(Externo)",IFERROR(INDEX(ENT_NOME,MATCH($J719,ENT_ID,0)),"?")))</f>
        <v/>
      </c>
      <c r="AB719" s="36" t="n">
        <f aca="false">IF($B719="",0,IF(AND($I719="CONTA",$G719&lt;&gt;"CONTA"),$F719,0))</f>
        <v>0</v>
      </c>
      <c r="AC719" s="36" t="n">
        <f aca="false">IF($B719="",0,IF(AND($G719="CONTA",$I719&lt;&gt;"CONTA"),$F719,0))</f>
        <v>0</v>
      </c>
      <c r="AD719" s="36" t="n">
        <f aca="false">IF($W719="RECEITA",$F719,0)</f>
        <v>0</v>
      </c>
      <c r="AE719" s="36" t="n">
        <f aca="false">IF($W719="DESPESA",$F719,0)</f>
        <v>0</v>
      </c>
      <c r="AF719" s="36" t="n">
        <f aca="false">IF($W719="RECEITA_FINANCEIRA",$F719,0)</f>
        <v>0</v>
      </c>
      <c r="AG719" s="36" t="n">
        <f aca="false">IF($B719="",0,IF($I719="CONTA",$F719,0)-IF($G719="CONTA",$F719,0))</f>
        <v>0</v>
      </c>
      <c r="AH719" s="36" t="n">
        <f aca="false">IF($B719="",0,IF($G719="CARTAO",$F719,0)-IF($I719="CARTAO",$F719,0))</f>
        <v>0</v>
      </c>
      <c r="AI719" s="36" t="n">
        <f aca="false">IF($B719="",0,IF($I719="INVESTIMENTO",$F719,0)-IF($G719="INVESTIMENTO",$F719,0))</f>
        <v>0</v>
      </c>
      <c r="AJ719" s="35" t="str">
        <f aca="false">IF($B719="","",IF(NOT(ISNUMBER($F719)),"ERRO: valor nao numerico",IF($F719&lt;=0,"ERRO: valor deve ser maior que zero",IF(COUNTIF(MAP_TIPO,$D719)=0,"ERRO: tipo de operacao nao cadastrado",IF(COUNTIF(LST_STATUS,$E719)=0,"ERRO: status invalido",IF(AND($G719="EXTERNO",$I719="EXTERNO"),"ERRO: origem e destino externos",IF(AND($G719&lt;&gt;"EXTERNO",COUNTIFS(ENT_ID,$H719,ENT_TIPO,$G719)=0),"ERRO: origem inexistente",IF(AND($I719&lt;&gt;"EXTERNO",COUNTIFS(ENT_ID,$J719,ENT_TIPO,$I719)=0),"ERRO: destino inexistente",IF(AND($K719&lt;&gt;"",COUNTIF(CAT_ID,$K719)=0),"ERRO: categoria inexistente",IF(AND($L719&lt;&gt;"",COUNTIF(SUB_ID,$L719)=0),"ERRO: subcategoria inexistente",IF(AND($L719&lt;&gt;"",$K719&lt;&gt;"",IFERROR(INDEX(SUB_CATID,MATCH($L719,SUB_ID,0)),"")&lt;&gt;$K719),"ERRO: subcategoria nao pertence a categoria",IF(AND($O719&lt;&gt;"",COUNTIF(P_ID,$O719)=0),"ERRO: parcela inexistente",IF(AND($N719&lt;&gt;"",COUNTIF(CM_ID,$N719)=0),"ERRO: compromisso inexistente","OK")))))))))))))</f>
        <v/>
      </c>
      <c r="AK719" s="35" t="str">
        <f aca="false">IF($B719="","",IF(AND($N719="",$O719="",$P719="",$Q719="",$R719=""),"","VINCULADO: "&amp;TRIM(IF($N719&lt;&gt;"",$N719&amp;" ","")&amp;IF($O719&lt;&gt;"",$O719&amp;" ","")&amp;IF($P719&lt;&gt;"",$P719&amp;" ","")&amp;IF($Q719&lt;&gt;"",$Q719&amp;" ","")&amp;IF($R719&lt;&gt;"",$R719,""))))</f>
        <v/>
      </c>
    </row>
    <row r="720" customFormat="false" ht="15" hidden="false" customHeight="false" outlineLevel="0" collapsed="false">
      <c r="A720" s="30" t="str">
        <f aca="false">IF($B720="","","LAN-"&amp;TEXT(ROW()-4,"000000"))</f>
        <v/>
      </c>
      <c r="B720" s="31"/>
      <c r="C720" s="32"/>
      <c r="D720" s="32"/>
      <c r="E720" s="32"/>
      <c r="F720" s="33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4" t="str">
        <f aca="false">IF($B720="","",YEAR($B720))</f>
        <v/>
      </c>
      <c r="U720" s="34" t="str">
        <f aca="false">IF($B720="","",MONTH($B720))</f>
        <v/>
      </c>
      <c r="V720" s="34" t="str">
        <f aca="false">IF($B720="","",YEAR($B720)*100+MONTH($B720))</f>
        <v/>
      </c>
      <c r="W720" s="35" t="str">
        <f aca="false">IF($D720="","",IFERROR(INDEX(MAP_CLASS,MATCH($D720,MAP_TIPO,0)),"TIPO INVALIDO"))</f>
        <v/>
      </c>
      <c r="X720" s="35" t="str">
        <f aca="false">IF($K720="","",IFERROR(INDEX(CAT_NOME,MATCH($K720,CAT_ID,0)),"?"))</f>
        <v/>
      </c>
      <c r="Y720" s="35" t="str">
        <f aca="false">IF($L720="","",IFERROR(INDEX(SUB_NOME,MATCH($L720,SUB_ID,0)),"?"))</f>
        <v/>
      </c>
      <c r="Z720" s="35" t="str">
        <f aca="false">IF($G720="","",IF($G720="EXTERNO","(Externo)",IFERROR(INDEX(ENT_NOME,MATCH($H720,ENT_ID,0)),"?")))</f>
        <v/>
      </c>
      <c r="AA720" s="35" t="str">
        <f aca="false">IF($I720="","",IF($I720="EXTERNO","(Externo)",IFERROR(INDEX(ENT_NOME,MATCH($J720,ENT_ID,0)),"?")))</f>
        <v/>
      </c>
      <c r="AB720" s="36" t="n">
        <f aca="false">IF($B720="",0,IF(AND($I720="CONTA",$G720&lt;&gt;"CONTA"),$F720,0))</f>
        <v>0</v>
      </c>
      <c r="AC720" s="36" t="n">
        <f aca="false">IF($B720="",0,IF(AND($G720="CONTA",$I720&lt;&gt;"CONTA"),$F720,0))</f>
        <v>0</v>
      </c>
      <c r="AD720" s="36" t="n">
        <f aca="false">IF($W720="RECEITA",$F720,0)</f>
        <v>0</v>
      </c>
      <c r="AE720" s="36" t="n">
        <f aca="false">IF($W720="DESPESA",$F720,0)</f>
        <v>0</v>
      </c>
      <c r="AF720" s="36" t="n">
        <f aca="false">IF($W720="RECEITA_FINANCEIRA",$F720,0)</f>
        <v>0</v>
      </c>
      <c r="AG720" s="36" t="n">
        <f aca="false">IF($B720="",0,IF($I720="CONTA",$F720,0)-IF($G720="CONTA",$F720,0))</f>
        <v>0</v>
      </c>
      <c r="AH720" s="36" t="n">
        <f aca="false">IF($B720="",0,IF($G720="CARTAO",$F720,0)-IF($I720="CARTAO",$F720,0))</f>
        <v>0</v>
      </c>
      <c r="AI720" s="36" t="n">
        <f aca="false">IF($B720="",0,IF($I720="INVESTIMENTO",$F720,0)-IF($G720="INVESTIMENTO",$F720,0))</f>
        <v>0</v>
      </c>
      <c r="AJ720" s="35" t="str">
        <f aca="false">IF($B720="","",IF(NOT(ISNUMBER($F720)),"ERRO: valor nao numerico",IF($F720&lt;=0,"ERRO: valor deve ser maior que zero",IF(COUNTIF(MAP_TIPO,$D720)=0,"ERRO: tipo de operacao nao cadastrado",IF(COUNTIF(LST_STATUS,$E720)=0,"ERRO: status invalido",IF(AND($G720="EXTERNO",$I720="EXTERNO"),"ERRO: origem e destino externos",IF(AND($G720&lt;&gt;"EXTERNO",COUNTIFS(ENT_ID,$H720,ENT_TIPO,$G720)=0),"ERRO: origem inexistente",IF(AND($I720&lt;&gt;"EXTERNO",COUNTIFS(ENT_ID,$J720,ENT_TIPO,$I720)=0),"ERRO: destino inexistente",IF(AND($K720&lt;&gt;"",COUNTIF(CAT_ID,$K720)=0),"ERRO: categoria inexistente",IF(AND($L720&lt;&gt;"",COUNTIF(SUB_ID,$L720)=0),"ERRO: subcategoria inexistente",IF(AND($L720&lt;&gt;"",$K720&lt;&gt;"",IFERROR(INDEX(SUB_CATID,MATCH($L720,SUB_ID,0)),"")&lt;&gt;$K720),"ERRO: subcategoria nao pertence a categoria",IF(AND($O720&lt;&gt;"",COUNTIF(P_ID,$O720)=0),"ERRO: parcela inexistente",IF(AND($N720&lt;&gt;"",COUNTIF(CM_ID,$N720)=0),"ERRO: compromisso inexistente","OK")))))))))))))</f>
        <v/>
      </c>
      <c r="AK720" s="35" t="str">
        <f aca="false">IF($B720="","",IF(AND($N720="",$O720="",$P720="",$Q720="",$R720=""),"","VINCULADO: "&amp;TRIM(IF($N720&lt;&gt;"",$N720&amp;" ","")&amp;IF($O720&lt;&gt;"",$O720&amp;" ","")&amp;IF($P720&lt;&gt;"",$P720&amp;" ","")&amp;IF($Q720&lt;&gt;"",$Q720&amp;" ","")&amp;IF($R720&lt;&gt;"",$R720,""))))</f>
        <v/>
      </c>
    </row>
    <row r="721" customFormat="false" ht="15" hidden="false" customHeight="false" outlineLevel="0" collapsed="false">
      <c r="A721" s="30" t="str">
        <f aca="false">IF($B721="","","LAN-"&amp;TEXT(ROW()-4,"000000"))</f>
        <v/>
      </c>
      <c r="B721" s="31"/>
      <c r="C721" s="32"/>
      <c r="D721" s="32"/>
      <c r="E721" s="32"/>
      <c r="F721" s="33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4" t="str">
        <f aca="false">IF($B721="","",YEAR($B721))</f>
        <v/>
      </c>
      <c r="U721" s="34" t="str">
        <f aca="false">IF($B721="","",MONTH($B721))</f>
        <v/>
      </c>
      <c r="V721" s="34" t="str">
        <f aca="false">IF($B721="","",YEAR($B721)*100+MONTH($B721))</f>
        <v/>
      </c>
      <c r="W721" s="35" t="str">
        <f aca="false">IF($D721="","",IFERROR(INDEX(MAP_CLASS,MATCH($D721,MAP_TIPO,0)),"TIPO INVALIDO"))</f>
        <v/>
      </c>
      <c r="X721" s="35" t="str">
        <f aca="false">IF($K721="","",IFERROR(INDEX(CAT_NOME,MATCH($K721,CAT_ID,0)),"?"))</f>
        <v/>
      </c>
      <c r="Y721" s="35" t="str">
        <f aca="false">IF($L721="","",IFERROR(INDEX(SUB_NOME,MATCH($L721,SUB_ID,0)),"?"))</f>
        <v/>
      </c>
      <c r="Z721" s="35" t="str">
        <f aca="false">IF($G721="","",IF($G721="EXTERNO","(Externo)",IFERROR(INDEX(ENT_NOME,MATCH($H721,ENT_ID,0)),"?")))</f>
        <v/>
      </c>
      <c r="AA721" s="35" t="str">
        <f aca="false">IF($I721="","",IF($I721="EXTERNO","(Externo)",IFERROR(INDEX(ENT_NOME,MATCH($J721,ENT_ID,0)),"?")))</f>
        <v/>
      </c>
      <c r="AB721" s="36" t="n">
        <f aca="false">IF($B721="",0,IF(AND($I721="CONTA",$G721&lt;&gt;"CONTA"),$F721,0))</f>
        <v>0</v>
      </c>
      <c r="AC721" s="36" t="n">
        <f aca="false">IF($B721="",0,IF(AND($G721="CONTA",$I721&lt;&gt;"CONTA"),$F721,0))</f>
        <v>0</v>
      </c>
      <c r="AD721" s="36" t="n">
        <f aca="false">IF($W721="RECEITA",$F721,0)</f>
        <v>0</v>
      </c>
      <c r="AE721" s="36" t="n">
        <f aca="false">IF($W721="DESPESA",$F721,0)</f>
        <v>0</v>
      </c>
      <c r="AF721" s="36" t="n">
        <f aca="false">IF($W721="RECEITA_FINANCEIRA",$F721,0)</f>
        <v>0</v>
      </c>
      <c r="AG721" s="36" t="n">
        <f aca="false">IF($B721="",0,IF($I721="CONTA",$F721,0)-IF($G721="CONTA",$F721,0))</f>
        <v>0</v>
      </c>
      <c r="AH721" s="36" t="n">
        <f aca="false">IF($B721="",0,IF($G721="CARTAO",$F721,0)-IF($I721="CARTAO",$F721,0))</f>
        <v>0</v>
      </c>
      <c r="AI721" s="36" t="n">
        <f aca="false">IF($B721="",0,IF($I721="INVESTIMENTO",$F721,0)-IF($G721="INVESTIMENTO",$F721,0))</f>
        <v>0</v>
      </c>
      <c r="AJ721" s="35" t="str">
        <f aca="false">IF($B721="","",IF(NOT(ISNUMBER($F721)),"ERRO: valor nao numerico",IF($F721&lt;=0,"ERRO: valor deve ser maior que zero",IF(COUNTIF(MAP_TIPO,$D721)=0,"ERRO: tipo de operacao nao cadastrado",IF(COUNTIF(LST_STATUS,$E721)=0,"ERRO: status invalido",IF(AND($G721="EXTERNO",$I721="EXTERNO"),"ERRO: origem e destino externos",IF(AND($G721&lt;&gt;"EXTERNO",COUNTIFS(ENT_ID,$H721,ENT_TIPO,$G721)=0),"ERRO: origem inexistente",IF(AND($I721&lt;&gt;"EXTERNO",COUNTIFS(ENT_ID,$J721,ENT_TIPO,$I721)=0),"ERRO: destino inexistente",IF(AND($K721&lt;&gt;"",COUNTIF(CAT_ID,$K721)=0),"ERRO: categoria inexistente",IF(AND($L721&lt;&gt;"",COUNTIF(SUB_ID,$L721)=0),"ERRO: subcategoria inexistente",IF(AND($L721&lt;&gt;"",$K721&lt;&gt;"",IFERROR(INDEX(SUB_CATID,MATCH($L721,SUB_ID,0)),"")&lt;&gt;$K721),"ERRO: subcategoria nao pertence a categoria",IF(AND($O721&lt;&gt;"",COUNTIF(P_ID,$O721)=0),"ERRO: parcela inexistente",IF(AND($N721&lt;&gt;"",COUNTIF(CM_ID,$N721)=0),"ERRO: compromisso inexistente","OK")))))))))))))</f>
        <v/>
      </c>
      <c r="AK721" s="35" t="str">
        <f aca="false">IF($B721="","",IF(AND($N721="",$O721="",$P721="",$Q721="",$R721=""),"","VINCULADO: "&amp;TRIM(IF($N721&lt;&gt;"",$N721&amp;" ","")&amp;IF($O721&lt;&gt;"",$O721&amp;" ","")&amp;IF($P721&lt;&gt;"",$P721&amp;" ","")&amp;IF($Q721&lt;&gt;"",$Q721&amp;" ","")&amp;IF($R721&lt;&gt;"",$R721,""))))</f>
        <v/>
      </c>
    </row>
    <row r="722" customFormat="false" ht="15" hidden="false" customHeight="false" outlineLevel="0" collapsed="false">
      <c r="A722" s="30" t="str">
        <f aca="false">IF($B722="","","LAN-"&amp;TEXT(ROW()-4,"000000"))</f>
        <v/>
      </c>
      <c r="B722" s="31"/>
      <c r="C722" s="32"/>
      <c r="D722" s="32"/>
      <c r="E722" s="32"/>
      <c r="F722" s="33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4" t="str">
        <f aca="false">IF($B722="","",YEAR($B722))</f>
        <v/>
      </c>
      <c r="U722" s="34" t="str">
        <f aca="false">IF($B722="","",MONTH($B722))</f>
        <v/>
      </c>
      <c r="V722" s="34" t="str">
        <f aca="false">IF($B722="","",YEAR($B722)*100+MONTH($B722))</f>
        <v/>
      </c>
      <c r="W722" s="35" t="str">
        <f aca="false">IF($D722="","",IFERROR(INDEX(MAP_CLASS,MATCH($D722,MAP_TIPO,0)),"TIPO INVALIDO"))</f>
        <v/>
      </c>
      <c r="X722" s="35" t="str">
        <f aca="false">IF($K722="","",IFERROR(INDEX(CAT_NOME,MATCH($K722,CAT_ID,0)),"?"))</f>
        <v/>
      </c>
      <c r="Y722" s="35" t="str">
        <f aca="false">IF($L722="","",IFERROR(INDEX(SUB_NOME,MATCH($L722,SUB_ID,0)),"?"))</f>
        <v/>
      </c>
      <c r="Z722" s="35" t="str">
        <f aca="false">IF($G722="","",IF($G722="EXTERNO","(Externo)",IFERROR(INDEX(ENT_NOME,MATCH($H722,ENT_ID,0)),"?")))</f>
        <v/>
      </c>
      <c r="AA722" s="35" t="str">
        <f aca="false">IF($I722="","",IF($I722="EXTERNO","(Externo)",IFERROR(INDEX(ENT_NOME,MATCH($J722,ENT_ID,0)),"?")))</f>
        <v/>
      </c>
      <c r="AB722" s="36" t="n">
        <f aca="false">IF($B722="",0,IF(AND($I722="CONTA",$G722&lt;&gt;"CONTA"),$F722,0))</f>
        <v>0</v>
      </c>
      <c r="AC722" s="36" t="n">
        <f aca="false">IF($B722="",0,IF(AND($G722="CONTA",$I722&lt;&gt;"CONTA"),$F722,0))</f>
        <v>0</v>
      </c>
      <c r="AD722" s="36" t="n">
        <f aca="false">IF($W722="RECEITA",$F722,0)</f>
        <v>0</v>
      </c>
      <c r="AE722" s="36" t="n">
        <f aca="false">IF($W722="DESPESA",$F722,0)</f>
        <v>0</v>
      </c>
      <c r="AF722" s="36" t="n">
        <f aca="false">IF($W722="RECEITA_FINANCEIRA",$F722,0)</f>
        <v>0</v>
      </c>
      <c r="AG722" s="36" t="n">
        <f aca="false">IF($B722="",0,IF($I722="CONTA",$F722,0)-IF($G722="CONTA",$F722,0))</f>
        <v>0</v>
      </c>
      <c r="AH722" s="36" t="n">
        <f aca="false">IF($B722="",0,IF($G722="CARTAO",$F722,0)-IF($I722="CARTAO",$F722,0))</f>
        <v>0</v>
      </c>
      <c r="AI722" s="36" t="n">
        <f aca="false">IF($B722="",0,IF($I722="INVESTIMENTO",$F722,0)-IF($G722="INVESTIMENTO",$F722,0))</f>
        <v>0</v>
      </c>
      <c r="AJ722" s="35" t="str">
        <f aca="false">IF($B722="","",IF(NOT(ISNUMBER($F722)),"ERRO: valor nao numerico",IF($F722&lt;=0,"ERRO: valor deve ser maior que zero",IF(COUNTIF(MAP_TIPO,$D722)=0,"ERRO: tipo de operacao nao cadastrado",IF(COUNTIF(LST_STATUS,$E722)=0,"ERRO: status invalido",IF(AND($G722="EXTERNO",$I722="EXTERNO"),"ERRO: origem e destino externos",IF(AND($G722&lt;&gt;"EXTERNO",COUNTIFS(ENT_ID,$H722,ENT_TIPO,$G722)=0),"ERRO: origem inexistente",IF(AND($I722&lt;&gt;"EXTERNO",COUNTIFS(ENT_ID,$J722,ENT_TIPO,$I722)=0),"ERRO: destino inexistente",IF(AND($K722&lt;&gt;"",COUNTIF(CAT_ID,$K722)=0),"ERRO: categoria inexistente",IF(AND($L722&lt;&gt;"",COUNTIF(SUB_ID,$L722)=0),"ERRO: subcategoria inexistente",IF(AND($L722&lt;&gt;"",$K722&lt;&gt;"",IFERROR(INDEX(SUB_CATID,MATCH($L722,SUB_ID,0)),"")&lt;&gt;$K722),"ERRO: subcategoria nao pertence a categoria",IF(AND($O722&lt;&gt;"",COUNTIF(P_ID,$O722)=0),"ERRO: parcela inexistente",IF(AND($N722&lt;&gt;"",COUNTIF(CM_ID,$N722)=0),"ERRO: compromisso inexistente","OK")))))))))))))</f>
        <v/>
      </c>
      <c r="AK722" s="35" t="str">
        <f aca="false">IF($B722="","",IF(AND($N722="",$O722="",$P722="",$Q722="",$R722=""),"","VINCULADO: "&amp;TRIM(IF($N722&lt;&gt;"",$N722&amp;" ","")&amp;IF($O722&lt;&gt;"",$O722&amp;" ","")&amp;IF($P722&lt;&gt;"",$P722&amp;" ","")&amp;IF($Q722&lt;&gt;"",$Q722&amp;" ","")&amp;IF($R722&lt;&gt;"",$R722,""))))</f>
        <v/>
      </c>
    </row>
    <row r="723" customFormat="false" ht="15" hidden="false" customHeight="false" outlineLevel="0" collapsed="false">
      <c r="A723" s="30" t="str">
        <f aca="false">IF($B723="","","LAN-"&amp;TEXT(ROW()-4,"000000"))</f>
        <v/>
      </c>
      <c r="B723" s="31"/>
      <c r="C723" s="32"/>
      <c r="D723" s="32"/>
      <c r="E723" s="32"/>
      <c r="F723" s="33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4" t="str">
        <f aca="false">IF($B723="","",YEAR($B723))</f>
        <v/>
      </c>
      <c r="U723" s="34" t="str">
        <f aca="false">IF($B723="","",MONTH($B723))</f>
        <v/>
      </c>
      <c r="V723" s="34" t="str">
        <f aca="false">IF($B723="","",YEAR($B723)*100+MONTH($B723))</f>
        <v/>
      </c>
      <c r="W723" s="35" t="str">
        <f aca="false">IF($D723="","",IFERROR(INDEX(MAP_CLASS,MATCH($D723,MAP_TIPO,0)),"TIPO INVALIDO"))</f>
        <v/>
      </c>
      <c r="X723" s="35" t="str">
        <f aca="false">IF($K723="","",IFERROR(INDEX(CAT_NOME,MATCH($K723,CAT_ID,0)),"?"))</f>
        <v/>
      </c>
      <c r="Y723" s="35" t="str">
        <f aca="false">IF($L723="","",IFERROR(INDEX(SUB_NOME,MATCH($L723,SUB_ID,0)),"?"))</f>
        <v/>
      </c>
      <c r="Z723" s="35" t="str">
        <f aca="false">IF($G723="","",IF($G723="EXTERNO","(Externo)",IFERROR(INDEX(ENT_NOME,MATCH($H723,ENT_ID,0)),"?")))</f>
        <v/>
      </c>
      <c r="AA723" s="35" t="str">
        <f aca="false">IF($I723="","",IF($I723="EXTERNO","(Externo)",IFERROR(INDEX(ENT_NOME,MATCH($J723,ENT_ID,0)),"?")))</f>
        <v/>
      </c>
      <c r="AB723" s="36" t="n">
        <f aca="false">IF($B723="",0,IF(AND($I723="CONTA",$G723&lt;&gt;"CONTA"),$F723,0))</f>
        <v>0</v>
      </c>
      <c r="AC723" s="36" t="n">
        <f aca="false">IF($B723="",0,IF(AND($G723="CONTA",$I723&lt;&gt;"CONTA"),$F723,0))</f>
        <v>0</v>
      </c>
      <c r="AD723" s="36" t="n">
        <f aca="false">IF($W723="RECEITA",$F723,0)</f>
        <v>0</v>
      </c>
      <c r="AE723" s="36" t="n">
        <f aca="false">IF($W723="DESPESA",$F723,0)</f>
        <v>0</v>
      </c>
      <c r="AF723" s="36" t="n">
        <f aca="false">IF($W723="RECEITA_FINANCEIRA",$F723,0)</f>
        <v>0</v>
      </c>
      <c r="AG723" s="36" t="n">
        <f aca="false">IF($B723="",0,IF($I723="CONTA",$F723,0)-IF($G723="CONTA",$F723,0))</f>
        <v>0</v>
      </c>
      <c r="AH723" s="36" t="n">
        <f aca="false">IF($B723="",0,IF($G723="CARTAO",$F723,0)-IF($I723="CARTAO",$F723,0))</f>
        <v>0</v>
      </c>
      <c r="AI723" s="36" t="n">
        <f aca="false">IF($B723="",0,IF($I723="INVESTIMENTO",$F723,0)-IF($G723="INVESTIMENTO",$F723,0))</f>
        <v>0</v>
      </c>
      <c r="AJ723" s="35" t="str">
        <f aca="false">IF($B723="","",IF(NOT(ISNUMBER($F723)),"ERRO: valor nao numerico",IF($F723&lt;=0,"ERRO: valor deve ser maior que zero",IF(COUNTIF(MAP_TIPO,$D723)=0,"ERRO: tipo de operacao nao cadastrado",IF(COUNTIF(LST_STATUS,$E723)=0,"ERRO: status invalido",IF(AND($G723="EXTERNO",$I723="EXTERNO"),"ERRO: origem e destino externos",IF(AND($G723&lt;&gt;"EXTERNO",COUNTIFS(ENT_ID,$H723,ENT_TIPO,$G723)=0),"ERRO: origem inexistente",IF(AND($I723&lt;&gt;"EXTERNO",COUNTIFS(ENT_ID,$J723,ENT_TIPO,$I723)=0),"ERRO: destino inexistente",IF(AND($K723&lt;&gt;"",COUNTIF(CAT_ID,$K723)=0),"ERRO: categoria inexistente",IF(AND($L723&lt;&gt;"",COUNTIF(SUB_ID,$L723)=0),"ERRO: subcategoria inexistente",IF(AND($L723&lt;&gt;"",$K723&lt;&gt;"",IFERROR(INDEX(SUB_CATID,MATCH($L723,SUB_ID,0)),"")&lt;&gt;$K723),"ERRO: subcategoria nao pertence a categoria",IF(AND($O723&lt;&gt;"",COUNTIF(P_ID,$O723)=0),"ERRO: parcela inexistente",IF(AND($N723&lt;&gt;"",COUNTIF(CM_ID,$N723)=0),"ERRO: compromisso inexistente","OK")))))))))))))</f>
        <v/>
      </c>
      <c r="AK723" s="35" t="str">
        <f aca="false">IF($B723="","",IF(AND($N723="",$O723="",$P723="",$Q723="",$R723=""),"","VINCULADO: "&amp;TRIM(IF($N723&lt;&gt;"",$N723&amp;" ","")&amp;IF($O723&lt;&gt;"",$O723&amp;" ","")&amp;IF($P723&lt;&gt;"",$P723&amp;" ","")&amp;IF($Q723&lt;&gt;"",$Q723&amp;" ","")&amp;IF($R723&lt;&gt;"",$R723,""))))</f>
        <v/>
      </c>
    </row>
    <row r="724" customFormat="false" ht="15" hidden="false" customHeight="false" outlineLevel="0" collapsed="false">
      <c r="A724" s="30" t="str">
        <f aca="false">IF($B724="","","LAN-"&amp;TEXT(ROW()-4,"000000"))</f>
        <v/>
      </c>
      <c r="B724" s="31"/>
      <c r="C724" s="32"/>
      <c r="D724" s="32"/>
      <c r="E724" s="32"/>
      <c r="F724" s="33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4" t="str">
        <f aca="false">IF($B724="","",YEAR($B724))</f>
        <v/>
      </c>
      <c r="U724" s="34" t="str">
        <f aca="false">IF($B724="","",MONTH($B724))</f>
        <v/>
      </c>
      <c r="V724" s="34" t="str">
        <f aca="false">IF($B724="","",YEAR($B724)*100+MONTH($B724))</f>
        <v/>
      </c>
      <c r="W724" s="35" t="str">
        <f aca="false">IF($D724="","",IFERROR(INDEX(MAP_CLASS,MATCH($D724,MAP_TIPO,0)),"TIPO INVALIDO"))</f>
        <v/>
      </c>
      <c r="X724" s="35" t="str">
        <f aca="false">IF($K724="","",IFERROR(INDEX(CAT_NOME,MATCH($K724,CAT_ID,0)),"?"))</f>
        <v/>
      </c>
      <c r="Y724" s="35" t="str">
        <f aca="false">IF($L724="","",IFERROR(INDEX(SUB_NOME,MATCH($L724,SUB_ID,0)),"?"))</f>
        <v/>
      </c>
      <c r="Z724" s="35" t="str">
        <f aca="false">IF($G724="","",IF($G724="EXTERNO","(Externo)",IFERROR(INDEX(ENT_NOME,MATCH($H724,ENT_ID,0)),"?")))</f>
        <v/>
      </c>
      <c r="AA724" s="35" t="str">
        <f aca="false">IF($I724="","",IF($I724="EXTERNO","(Externo)",IFERROR(INDEX(ENT_NOME,MATCH($J724,ENT_ID,0)),"?")))</f>
        <v/>
      </c>
      <c r="AB724" s="36" t="n">
        <f aca="false">IF($B724="",0,IF(AND($I724="CONTA",$G724&lt;&gt;"CONTA"),$F724,0))</f>
        <v>0</v>
      </c>
      <c r="AC724" s="36" t="n">
        <f aca="false">IF($B724="",0,IF(AND($G724="CONTA",$I724&lt;&gt;"CONTA"),$F724,0))</f>
        <v>0</v>
      </c>
      <c r="AD724" s="36" t="n">
        <f aca="false">IF($W724="RECEITA",$F724,0)</f>
        <v>0</v>
      </c>
      <c r="AE724" s="36" t="n">
        <f aca="false">IF($W724="DESPESA",$F724,0)</f>
        <v>0</v>
      </c>
      <c r="AF724" s="36" t="n">
        <f aca="false">IF($W724="RECEITA_FINANCEIRA",$F724,0)</f>
        <v>0</v>
      </c>
      <c r="AG724" s="36" t="n">
        <f aca="false">IF($B724="",0,IF($I724="CONTA",$F724,0)-IF($G724="CONTA",$F724,0))</f>
        <v>0</v>
      </c>
      <c r="AH724" s="36" t="n">
        <f aca="false">IF($B724="",0,IF($G724="CARTAO",$F724,0)-IF($I724="CARTAO",$F724,0))</f>
        <v>0</v>
      </c>
      <c r="AI724" s="36" t="n">
        <f aca="false">IF($B724="",0,IF($I724="INVESTIMENTO",$F724,0)-IF($G724="INVESTIMENTO",$F724,0))</f>
        <v>0</v>
      </c>
      <c r="AJ724" s="35" t="str">
        <f aca="false">IF($B724="","",IF(NOT(ISNUMBER($F724)),"ERRO: valor nao numerico",IF($F724&lt;=0,"ERRO: valor deve ser maior que zero",IF(COUNTIF(MAP_TIPO,$D724)=0,"ERRO: tipo de operacao nao cadastrado",IF(COUNTIF(LST_STATUS,$E724)=0,"ERRO: status invalido",IF(AND($G724="EXTERNO",$I724="EXTERNO"),"ERRO: origem e destino externos",IF(AND($G724&lt;&gt;"EXTERNO",COUNTIFS(ENT_ID,$H724,ENT_TIPO,$G724)=0),"ERRO: origem inexistente",IF(AND($I724&lt;&gt;"EXTERNO",COUNTIFS(ENT_ID,$J724,ENT_TIPO,$I724)=0),"ERRO: destino inexistente",IF(AND($K724&lt;&gt;"",COUNTIF(CAT_ID,$K724)=0),"ERRO: categoria inexistente",IF(AND($L724&lt;&gt;"",COUNTIF(SUB_ID,$L724)=0),"ERRO: subcategoria inexistente",IF(AND($L724&lt;&gt;"",$K724&lt;&gt;"",IFERROR(INDEX(SUB_CATID,MATCH($L724,SUB_ID,0)),"")&lt;&gt;$K724),"ERRO: subcategoria nao pertence a categoria",IF(AND($O724&lt;&gt;"",COUNTIF(P_ID,$O724)=0),"ERRO: parcela inexistente",IF(AND($N724&lt;&gt;"",COUNTIF(CM_ID,$N724)=0),"ERRO: compromisso inexistente","OK")))))))))))))</f>
        <v/>
      </c>
      <c r="AK724" s="35" t="str">
        <f aca="false">IF($B724="","",IF(AND($N724="",$O724="",$P724="",$Q724="",$R724=""),"","VINCULADO: "&amp;TRIM(IF($N724&lt;&gt;"",$N724&amp;" ","")&amp;IF($O724&lt;&gt;"",$O724&amp;" ","")&amp;IF($P724&lt;&gt;"",$P724&amp;" ","")&amp;IF($Q724&lt;&gt;"",$Q724&amp;" ","")&amp;IF($R724&lt;&gt;"",$R724,""))))</f>
        <v/>
      </c>
    </row>
    <row r="725" customFormat="false" ht="15" hidden="false" customHeight="false" outlineLevel="0" collapsed="false">
      <c r="A725" s="30" t="str">
        <f aca="false">IF($B725="","","LAN-"&amp;TEXT(ROW()-4,"000000"))</f>
        <v/>
      </c>
      <c r="B725" s="31"/>
      <c r="C725" s="32"/>
      <c r="D725" s="32"/>
      <c r="E725" s="32"/>
      <c r="F725" s="33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4" t="str">
        <f aca="false">IF($B725="","",YEAR($B725))</f>
        <v/>
      </c>
      <c r="U725" s="34" t="str">
        <f aca="false">IF($B725="","",MONTH($B725))</f>
        <v/>
      </c>
      <c r="V725" s="34" t="str">
        <f aca="false">IF($B725="","",YEAR($B725)*100+MONTH($B725))</f>
        <v/>
      </c>
      <c r="W725" s="35" t="str">
        <f aca="false">IF($D725="","",IFERROR(INDEX(MAP_CLASS,MATCH($D725,MAP_TIPO,0)),"TIPO INVALIDO"))</f>
        <v/>
      </c>
      <c r="X725" s="35" t="str">
        <f aca="false">IF($K725="","",IFERROR(INDEX(CAT_NOME,MATCH($K725,CAT_ID,0)),"?"))</f>
        <v/>
      </c>
      <c r="Y725" s="35" t="str">
        <f aca="false">IF($L725="","",IFERROR(INDEX(SUB_NOME,MATCH($L725,SUB_ID,0)),"?"))</f>
        <v/>
      </c>
      <c r="Z725" s="35" t="str">
        <f aca="false">IF($G725="","",IF($G725="EXTERNO","(Externo)",IFERROR(INDEX(ENT_NOME,MATCH($H725,ENT_ID,0)),"?")))</f>
        <v/>
      </c>
      <c r="AA725" s="35" t="str">
        <f aca="false">IF($I725="","",IF($I725="EXTERNO","(Externo)",IFERROR(INDEX(ENT_NOME,MATCH($J725,ENT_ID,0)),"?")))</f>
        <v/>
      </c>
      <c r="AB725" s="36" t="n">
        <f aca="false">IF($B725="",0,IF(AND($I725="CONTA",$G725&lt;&gt;"CONTA"),$F725,0))</f>
        <v>0</v>
      </c>
      <c r="AC725" s="36" t="n">
        <f aca="false">IF($B725="",0,IF(AND($G725="CONTA",$I725&lt;&gt;"CONTA"),$F725,0))</f>
        <v>0</v>
      </c>
      <c r="AD725" s="36" t="n">
        <f aca="false">IF($W725="RECEITA",$F725,0)</f>
        <v>0</v>
      </c>
      <c r="AE725" s="36" t="n">
        <f aca="false">IF($W725="DESPESA",$F725,0)</f>
        <v>0</v>
      </c>
      <c r="AF725" s="36" t="n">
        <f aca="false">IF($W725="RECEITA_FINANCEIRA",$F725,0)</f>
        <v>0</v>
      </c>
      <c r="AG725" s="36" t="n">
        <f aca="false">IF($B725="",0,IF($I725="CONTA",$F725,0)-IF($G725="CONTA",$F725,0))</f>
        <v>0</v>
      </c>
      <c r="AH725" s="36" t="n">
        <f aca="false">IF($B725="",0,IF($G725="CARTAO",$F725,0)-IF($I725="CARTAO",$F725,0))</f>
        <v>0</v>
      </c>
      <c r="AI725" s="36" t="n">
        <f aca="false">IF($B725="",0,IF($I725="INVESTIMENTO",$F725,0)-IF($G725="INVESTIMENTO",$F725,0))</f>
        <v>0</v>
      </c>
      <c r="AJ725" s="35" t="str">
        <f aca="false">IF($B725="","",IF(NOT(ISNUMBER($F725)),"ERRO: valor nao numerico",IF($F725&lt;=0,"ERRO: valor deve ser maior que zero",IF(COUNTIF(MAP_TIPO,$D725)=0,"ERRO: tipo de operacao nao cadastrado",IF(COUNTIF(LST_STATUS,$E725)=0,"ERRO: status invalido",IF(AND($G725="EXTERNO",$I725="EXTERNO"),"ERRO: origem e destino externos",IF(AND($G725&lt;&gt;"EXTERNO",COUNTIFS(ENT_ID,$H725,ENT_TIPO,$G725)=0),"ERRO: origem inexistente",IF(AND($I725&lt;&gt;"EXTERNO",COUNTIFS(ENT_ID,$J725,ENT_TIPO,$I725)=0),"ERRO: destino inexistente",IF(AND($K725&lt;&gt;"",COUNTIF(CAT_ID,$K725)=0),"ERRO: categoria inexistente",IF(AND($L725&lt;&gt;"",COUNTIF(SUB_ID,$L725)=0),"ERRO: subcategoria inexistente",IF(AND($L725&lt;&gt;"",$K725&lt;&gt;"",IFERROR(INDEX(SUB_CATID,MATCH($L725,SUB_ID,0)),"")&lt;&gt;$K725),"ERRO: subcategoria nao pertence a categoria",IF(AND($O725&lt;&gt;"",COUNTIF(P_ID,$O725)=0),"ERRO: parcela inexistente",IF(AND($N725&lt;&gt;"",COUNTIF(CM_ID,$N725)=0),"ERRO: compromisso inexistente","OK")))))))))))))</f>
        <v/>
      </c>
      <c r="AK725" s="35" t="str">
        <f aca="false">IF($B725="","",IF(AND($N725="",$O725="",$P725="",$Q725="",$R725=""),"","VINCULADO: "&amp;TRIM(IF($N725&lt;&gt;"",$N725&amp;" ","")&amp;IF($O725&lt;&gt;"",$O725&amp;" ","")&amp;IF($P725&lt;&gt;"",$P725&amp;" ","")&amp;IF($Q725&lt;&gt;"",$Q725&amp;" ","")&amp;IF($R725&lt;&gt;"",$R725,""))))</f>
        <v/>
      </c>
    </row>
    <row r="726" customFormat="false" ht="15" hidden="false" customHeight="false" outlineLevel="0" collapsed="false">
      <c r="A726" s="30" t="str">
        <f aca="false">IF($B726="","","LAN-"&amp;TEXT(ROW()-4,"000000"))</f>
        <v/>
      </c>
      <c r="B726" s="31"/>
      <c r="C726" s="32"/>
      <c r="D726" s="32"/>
      <c r="E726" s="32"/>
      <c r="F726" s="33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4" t="str">
        <f aca="false">IF($B726="","",YEAR($B726))</f>
        <v/>
      </c>
      <c r="U726" s="34" t="str">
        <f aca="false">IF($B726="","",MONTH($B726))</f>
        <v/>
      </c>
      <c r="V726" s="34" t="str">
        <f aca="false">IF($B726="","",YEAR($B726)*100+MONTH($B726))</f>
        <v/>
      </c>
      <c r="W726" s="35" t="str">
        <f aca="false">IF($D726="","",IFERROR(INDEX(MAP_CLASS,MATCH($D726,MAP_TIPO,0)),"TIPO INVALIDO"))</f>
        <v/>
      </c>
      <c r="X726" s="35" t="str">
        <f aca="false">IF($K726="","",IFERROR(INDEX(CAT_NOME,MATCH($K726,CAT_ID,0)),"?"))</f>
        <v/>
      </c>
      <c r="Y726" s="35" t="str">
        <f aca="false">IF($L726="","",IFERROR(INDEX(SUB_NOME,MATCH($L726,SUB_ID,0)),"?"))</f>
        <v/>
      </c>
      <c r="Z726" s="35" t="str">
        <f aca="false">IF($G726="","",IF($G726="EXTERNO","(Externo)",IFERROR(INDEX(ENT_NOME,MATCH($H726,ENT_ID,0)),"?")))</f>
        <v/>
      </c>
      <c r="AA726" s="35" t="str">
        <f aca="false">IF($I726="","",IF($I726="EXTERNO","(Externo)",IFERROR(INDEX(ENT_NOME,MATCH($J726,ENT_ID,0)),"?")))</f>
        <v/>
      </c>
      <c r="AB726" s="36" t="n">
        <f aca="false">IF($B726="",0,IF(AND($I726="CONTA",$G726&lt;&gt;"CONTA"),$F726,0))</f>
        <v>0</v>
      </c>
      <c r="AC726" s="36" t="n">
        <f aca="false">IF($B726="",0,IF(AND($G726="CONTA",$I726&lt;&gt;"CONTA"),$F726,0))</f>
        <v>0</v>
      </c>
      <c r="AD726" s="36" t="n">
        <f aca="false">IF($W726="RECEITA",$F726,0)</f>
        <v>0</v>
      </c>
      <c r="AE726" s="36" t="n">
        <f aca="false">IF($W726="DESPESA",$F726,0)</f>
        <v>0</v>
      </c>
      <c r="AF726" s="36" t="n">
        <f aca="false">IF($W726="RECEITA_FINANCEIRA",$F726,0)</f>
        <v>0</v>
      </c>
      <c r="AG726" s="36" t="n">
        <f aca="false">IF($B726="",0,IF($I726="CONTA",$F726,0)-IF($G726="CONTA",$F726,0))</f>
        <v>0</v>
      </c>
      <c r="AH726" s="36" t="n">
        <f aca="false">IF($B726="",0,IF($G726="CARTAO",$F726,0)-IF($I726="CARTAO",$F726,0))</f>
        <v>0</v>
      </c>
      <c r="AI726" s="36" t="n">
        <f aca="false">IF($B726="",0,IF($I726="INVESTIMENTO",$F726,0)-IF($G726="INVESTIMENTO",$F726,0))</f>
        <v>0</v>
      </c>
      <c r="AJ726" s="35" t="str">
        <f aca="false">IF($B726="","",IF(NOT(ISNUMBER($F726)),"ERRO: valor nao numerico",IF($F726&lt;=0,"ERRO: valor deve ser maior que zero",IF(COUNTIF(MAP_TIPO,$D726)=0,"ERRO: tipo de operacao nao cadastrado",IF(COUNTIF(LST_STATUS,$E726)=0,"ERRO: status invalido",IF(AND($G726="EXTERNO",$I726="EXTERNO"),"ERRO: origem e destino externos",IF(AND($G726&lt;&gt;"EXTERNO",COUNTIFS(ENT_ID,$H726,ENT_TIPO,$G726)=0),"ERRO: origem inexistente",IF(AND($I726&lt;&gt;"EXTERNO",COUNTIFS(ENT_ID,$J726,ENT_TIPO,$I726)=0),"ERRO: destino inexistente",IF(AND($K726&lt;&gt;"",COUNTIF(CAT_ID,$K726)=0),"ERRO: categoria inexistente",IF(AND($L726&lt;&gt;"",COUNTIF(SUB_ID,$L726)=0),"ERRO: subcategoria inexistente",IF(AND($L726&lt;&gt;"",$K726&lt;&gt;"",IFERROR(INDEX(SUB_CATID,MATCH($L726,SUB_ID,0)),"")&lt;&gt;$K726),"ERRO: subcategoria nao pertence a categoria",IF(AND($O726&lt;&gt;"",COUNTIF(P_ID,$O726)=0),"ERRO: parcela inexistente",IF(AND($N726&lt;&gt;"",COUNTIF(CM_ID,$N726)=0),"ERRO: compromisso inexistente","OK")))))))))))))</f>
        <v/>
      </c>
      <c r="AK726" s="35" t="str">
        <f aca="false">IF($B726="","",IF(AND($N726="",$O726="",$P726="",$Q726="",$R726=""),"","VINCULADO: "&amp;TRIM(IF($N726&lt;&gt;"",$N726&amp;" ","")&amp;IF($O726&lt;&gt;"",$O726&amp;" ","")&amp;IF($P726&lt;&gt;"",$P726&amp;" ","")&amp;IF($Q726&lt;&gt;"",$Q726&amp;" ","")&amp;IF($R726&lt;&gt;"",$R726,""))))</f>
        <v/>
      </c>
    </row>
    <row r="727" customFormat="false" ht="15" hidden="false" customHeight="false" outlineLevel="0" collapsed="false">
      <c r="A727" s="30" t="str">
        <f aca="false">IF($B727="","","LAN-"&amp;TEXT(ROW()-4,"000000"))</f>
        <v/>
      </c>
      <c r="B727" s="31"/>
      <c r="C727" s="32"/>
      <c r="D727" s="32"/>
      <c r="E727" s="32"/>
      <c r="F727" s="33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4" t="str">
        <f aca="false">IF($B727="","",YEAR($B727))</f>
        <v/>
      </c>
      <c r="U727" s="34" t="str">
        <f aca="false">IF($B727="","",MONTH($B727))</f>
        <v/>
      </c>
      <c r="V727" s="34" t="str">
        <f aca="false">IF($B727="","",YEAR($B727)*100+MONTH($B727))</f>
        <v/>
      </c>
      <c r="W727" s="35" t="str">
        <f aca="false">IF($D727="","",IFERROR(INDEX(MAP_CLASS,MATCH($D727,MAP_TIPO,0)),"TIPO INVALIDO"))</f>
        <v/>
      </c>
      <c r="X727" s="35" t="str">
        <f aca="false">IF($K727="","",IFERROR(INDEX(CAT_NOME,MATCH($K727,CAT_ID,0)),"?"))</f>
        <v/>
      </c>
      <c r="Y727" s="35" t="str">
        <f aca="false">IF($L727="","",IFERROR(INDEX(SUB_NOME,MATCH($L727,SUB_ID,0)),"?"))</f>
        <v/>
      </c>
      <c r="Z727" s="35" t="str">
        <f aca="false">IF($G727="","",IF($G727="EXTERNO","(Externo)",IFERROR(INDEX(ENT_NOME,MATCH($H727,ENT_ID,0)),"?")))</f>
        <v/>
      </c>
      <c r="AA727" s="35" t="str">
        <f aca="false">IF($I727="","",IF($I727="EXTERNO","(Externo)",IFERROR(INDEX(ENT_NOME,MATCH($J727,ENT_ID,0)),"?")))</f>
        <v/>
      </c>
      <c r="AB727" s="36" t="n">
        <f aca="false">IF($B727="",0,IF(AND($I727="CONTA",$G727&lt;&gt;"CONTA"),$F727,0))</f>
        <v>0</v>
      </c>
      <c r="AC727" s="36" t="n">
        <f aca="false">IF($B727="",0,IF(AND($G727="CONTA",$I727&lt;&gt;"CONTA"),$F727,0))</f>
        <v>0</v>
      </c>
      <c r="AD727" s="36" t="n">
        <f aca="false">IF($W727="RECEITA",$F727,0)</f>
        <v>0</v>
      </c>
      <c r="AE727" s="36" t="n">
        <f aca="false">IF($W727="DESPESA",$F727,0)</f>
        <v>0</v>
      </c>
      <c r="AF727" s="36" t="n">
        <f aca="false">IF($W727="RECEITA_FINANCEIRA",$F727,0)</f>
        <v>0</v>
      </c>
      <c r="AG727" s="36" t="n">
        <f aca="false">IF($B727="",0,IF($I727="CONTA",$F727,0)-IF($G727="CONTA",$F727,0))</f>
        <v>0</v>
      </c>
      <c r="AH727" s="36" t="n">
        <f aca="false">IF($B727="",0,IF($G727="CARTAO",$F727,0)-IF($I727="CARTAO",$F727,0))</f>
        <v>0</v>
      </c>
      <c r="AI727" s="36" t="n">
        <f aca="false">IF($B727="",0,IF($I727="INVESTIMENTO",$F727,0)-IF($G727="INVESTIMENTO",$F727,0))</f>
        <v>0</v>
      </c>
      <c r="AJ727" s="35" t="str">
        <f aca="false">IF($B727="","",IF(NOT(ISNUMBER($F727)),"ERRO: valor nao numerico",IF($F727&lt;=0,"ERRO: valor deve ser maior que zero",IF(COUNTIF(MAP_TIPO,$D727)=0,"ERRO: tipo de operacao nao cadastrado",IF(COUNTIF(LST_STATUS,$E727)=0,"ERRO: status invalido",IF(AND($G727="EXTERNO",$I727="EXTERNO"),"ERRO: origem e destino externos",IF(AND($G727&lt;&gt;"EXTERNO",COUNTIFS(ENT_ID,$H727,ENT_TIPO,$G727)=0),"ERRO: origem inexistente",IF(AND($I727&lt;&gt;"EXTERNO",COUNTIFS(ENT_ID,$J727,ENT_TIPO,$I727)=0),"ERRO: destino inexistente",IF(AND($K727&lt;&gt;"",COUNTIF(CAT_ID,$K727)=0),"ERRO: categoria inexistente",IF(AND($L727&lt;&gt;"",COUNTIF(SUB_ID,$L727)=0),"ERRO: subcategoria inexistente",IF(AND($L727&lt;&gt;"",$K727&lt;&gt;"",IFERROR(INDEX(SUB_CATID,MATCH($L727,SUB_ID,0)),"")&lt;&gt;$K727),"ERRO: subcategoria nao pertence a categoria",IF(AND($O727&lt;&gt;"",COUNTIF(P_ID,$O727)=0),"ERRO: parcela inexistente",IF(AND($N727&lt;&gt;"",COUNTIF(CM_ID,$N727)=0),"ERRO: compromisso inexistente","OK")))))))))))))</f>
        <v/>
      </c>
      <c r="AK727" s="35" t="str">
        <f aca="false">IF($B727="","",IF(AND($N727="",$O727="",$P727="",$Q727="",$R727=""),"","VINCULADO: "&amp;TRIM(IF($N727&lt;&gt;"",$N727&amp;" ","")&amp;IF($O727&lt;&gt;"",$O727&amp;" ","")&amp;IF($P727&lt;&gt;"",$P727&amp;" ","")&amp;IF($Q727&lt;&gt;"",$Q727&amp;" ","")&amp;IF($R727&lt;&gt;"",$R727,""))))</f>
        <v/>
      </c>
    </row>
    <row r="728" customFormat="false" ht="15" hidden="false" customHeight="false" outlineLevel="0" collapsed="false">
      <c r="A728" s="30" t="str">
        <f aca="false">IF($B728="","","LAN-"&amp;TEXT(ROW()-4,"000000"))</f>
        <v/>
      </c>
      <c r="B728" s="31"/>
      <c r="C728" s="32"/>
      <c r="D728" s="32"/>
      <c r="E728" s="32"/>
      <c r="F728" s="33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4" t="str">
        <f aca="false">IF($B728="","",YEAR($B728))</f>
        <v/>
      </c>
      <c r="U728" s="34" t="str">
        <f aca="false">IF($B728="","",MONTH($B728))</f>
        <v/>
      </c>
      <c r="V728" s="34" t="str">
        <f aca="false">IF($B728="","",YEAR($B728)*100+MONTH($B728))</f>
        <v/>
      </c>
      <c r="W728" s="35" t="str">
        <f aca="false">IF($D728="","",IFERROR(INDEX(MAP_CLASS,MATCH($D728,MAP_TIPO,0)),"TIPO INVALIDO"))</f>
        <v/>
      </c>
      <c r="X728" s="35" t="str">
        <f aca="false">IF($K728="","",IFERROR(INDEX(CAT_NOME,MATCH($K728,CAT_ID,0)),"?"))</f>
        <v/>
      </c>
      <c r="Y728" s="35" t="str">
        <f aca="false">IF($L728="","",IFERROR(INDEX(SUB_NOME,MATCH($L728,SUB_ID,0)),"?"))</f>
        <v/>
      </c>
      <c r="Z728" s="35" t="str">
        <f aca="false">IF($G728="","",IF($G728="EXTERNO","(Externo)",IFERROR(INDEX(ENT_NOME,MATCH($H728,ENT_ID,0)),"?")))</f>
        <v/>
      </c>
      <c r="AA728" s="35" t="str">
        <f aca="false">IF($I728="","",IF($I728="EXTERNO","(Externo)",IFERROR(INDEX(ENT_NOME,MATCH($J728,ENT_ID,0)),"?")))</f>
        <v/>
      </c>
      <c r="AB728" s="36" t="n">
        <f aca="false">IF($B728="",0,IF(AND($I728="CONTA",$G728&lt;&gt;"CONTA"),$F728,0))</f>
        <v>0</v>
      </c>
      <c r="AC728" s="36" t="n">
        <f aca="false">IF($B728="",0,IF(AND($G728="CONTA",$I728&lt;&gt;"CONTA"),$F728,0))</f>
        <v>0</v>
      </c>
      <c r="AD728" s="36" t="n">
        <f aca="false">IF($W728="RECEITA",$F728,0)</f>
        <v>0</v>
      </c>
      <c r="AE728" s="36" t="n">
        <f aca="false">IF($W728="DESPESA",$F728,0)</f>
        <v>0</v>
      </c>
      <c r="AF728" s="36" t="n">
        <f aca="false">IF($W728="RECEITA_FINANCEIRA",$F728,0)</f>
        <v>0</v>
      </c>
      <c r="AG728" s="36" t="n">
        <f aca="false">IF($B728="",0,IF($I728="CONTA",$F728,0)-IF($G728="CONTA",$F728,0))</f>
        <v>0</v>
      </c>
      <c r="AH728" s="36" t="n">
        <f aca="false">IF($B728="",0,IF($G728="CARTAO",$F728,0)-IF($I728="CARTAO",$F728,0))</f>
        <v>0</v>
      </c>
      <c r="AI728" s="36" t="n">
        <f aca="false">IF($B728="",0,IF($I728="INVESTIMENTO",$F728,0)-IF($G728="INVESTIMENTO",$F728,0))</f>
        <v>0</v>
      </c>
      <c r="AJ728" s="35" t="str">
        <f aca="false">IF($B728="","",IF(NOT(ISNUMBER($F728)),"ERRO: valor nao numerico",IF($F728&lt;=0,"ERRO: valor deve ser maior que zero",IF(COUNTIF(MAP_TIPO,$D728)=0,"ERRO: tipo de operacao nao cadastrado",IF(COUNTIF(LST_STATUS,$E728)=0,"ERRO: status invalido",IF(AND($G728="EXTERNO",$I728="EXTERNO"),"ERRO: origem e destino externos",IF(AND($G728&lt;&gt;"EXTERNO",COUNTIFS(ENT_ID,$H728,ENT_TIPO,$G728)=0),"ERRO: origem inexistente",IF(AND($I728&lt;&gt;"EXTERNO",COUNTIFS(ENT_ID,$J728,ENT_TIPO,$I728)=0),"ERRO: destino inexistente",IF(AND($K728&lt;&gt;"",COUNTIF(CAT_ID,$K728)=0),"ERRO: categoria inexistente",IF(AND($L728&lt;&gt;"",COUNTIF(SUB_ID,$L728)=0),"ERRO: subcategoria inexistente",IF(AND($L728&lt;&gt;"",$K728&lt;&gt;"",IFERROR(INDEX(SUB_CATID,MATCH($L728,SUB_ID,0)),"")&lt;&gt;$K728),"ERRO: subcategoria nao pertence a categoria",IF(AND($O728&lt;&gt;"",COUNTIF(P_ID,$O728)=0),"ERRO: parcela inexistente",IF(AND($N728&lt;&gt;"",COUNTIF(CM_ID,$N728)=0),"ERRO: compromisso inexistente","OK")))))))))))))</f>
        <v/>
      </c>
      <c r="AK728" s="35" t="str">
        <f aca="false">IF($B728="","",IF(AND($N728="",$O728="",$P728="",$Q728="",$R728=""),"","VINCULADO: "&amp;TRIM(IF($N728&lt;&gt;"",$N728&amp;" ","")&amp;IF($O728&lt;&gt;"",$O728&amp;" ","")&amp;IF($P728&lt;&gt;"",$P728&amp;" ","")&amp;IF($Q728&lt;&gt;"",$Q728&amp;" ","")&amp;IF($R728&lt;&gt;"",$R728,""))))</f>
        <v/>
      </c>
    </row>
    <row r="729" customFormat="false" ht="15" hidden="false" customHeight="false" outlineLevel="0" collapsed="false">
      <c r="A729" s="30" t="str">
        <f aca="false">IF($B729="","","LAN-"&amp;TEXT(ROW()-4,"000000"))</f>
        <v/>
      </c>
      <c r="B729" s="31"/>
      <c r="C729" s="32"/>
      <c r="D729" s="32"/>
      <c r="E729" s="32"/>
      <c r="F729" s="33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4" t="str">
        <f aca="false">IF($B729="","",YEAR($B729))</f>
        <v/>
      </c>
      <c r="U729" s="34" t="str">
        <f aca="false">IF($B729="","",MONTH($B729))</f>
        <v/>
      </c>
      <c r="V729" s="34" t="str">
        <f aca="false">IF($B729="","",YEAR($B729)*100+MONTH($B729))</f>
        <v/>
      </c>
      <c r="W729" s="35" t="str">
        <f aca="false">IF($D729="","",IFERROR(INDEX(MAP_CLASS,MATCH($D729,MAP_TIPO,0)),"TIPO INVALIDO"))</f>
        <v/>
      </c>
      <c r="X729" s="35" t="str">
        <f aca="false">IF($K729="","",IFERROR(INDEX(CAT_NOME,MATCH($K729,CAT_ID,0)),"?"))</f>
        <v/>
      </c>
      <c r="Y729" s="35" t="str">
        <f aca="false">IF($L729="","",IFERROR(INDEX(SUB_NOME,MATCH($L729,SUB_ID,0)),"?"))</f>
        <v/>
      </c>
      <c r="Z729" s="35" t="str">
        <f aca="false">IF($G729="","",IF($G729="EXTERNO","(Externo)",IFERROR(INDEX(ENT_NOME,MATCH($H729,ENT_ID,0)),"?")))</f>
        <v/>
      </c>
      <c r="AA729" s="35" t="str">
        <f aca="false">IF($I729="","",IF($I729="EXTERNO","(Externo)",IFERROR(INDEX(ENT_NOME,MATCH($J729,ENT_ID,0)),"?")))</f>
        <v/>
      </c>
      <c r="AB729" s="36" t="n">
        <f aca="false">IF($B729="",0,IF(AND($I729="CONTA",$G729&lt;&gt;"CONTA"),$F729,0))</f>
        <v>0</v>
      </c>
      <c r="AC729" s="36" t="n">
        <f aca="false">IF($B729="",0,IF(AND($G729="CONTA",$I729&lt;&gt;"CONTA"),$F729,0))</f>
        <v>0</v>
      </c>
      <c r="AD729" s="36" t="n">
        <f aca="false">IF($W729="RECEITA",$F729,0)</f>
        <v>0</v>
      </c>
      <c r="AE729" s="36" t="n">
        <f aca="false">IF($W729="DESPESA",$F729,0)</f>
        <v>0</v>
      </c>
      <c r="AF729" s="36" t="n">
        <f aca="false">IF($W729="RECEITA_FINANCEIRA",$F729,0)</f>
        <v>0</v>
      </c>
      <c r="AG729" s="36" t="n">
        <f aca="false">IF($B729="",0,IF($I729="CONTA",$F729,0)-IF($G729="CONTA",$F729,0))</f>
        <v>0</v>
      </c>
      <c r="AH729" s="36" t="n">
        <f aca="false">IF($B729="",0,IF($G729="CARTAO",$F729,0)-IF($I729="CARTAO",$F729,0))</f>
        <v>0</v>
      </c>
      <c r="AI729" s="36" t="n">
        <f aca="false">IF($B729="",0,IF($I729="INVESTIMENTO",$F729,0)-IF($G729="INVESTIMENTO",$F729,0))</f>
        <v>0</v>
      </c>
      <c r="AJ729" s="35" t="str">
        <f aca="false">IF($B729="","",IF(NOT(ISNUMBER($F729)),"ERRO: valor nao numerico",IF($F729&lt;=0,"ERRO: valor deve ser maior que zero",IF(COUNTIF(MAP_TIPO,$D729)=0,"ERRO: tipo de operacao nao cadastrado",IF(COUNTIF(LST_STATUS,$E729)=0,"ERRO: status invalido",IF(AND($G729="EXTERNO",$I729="EXTERNO"),"ERRO: origem e destino externos",IF(AND($G729&lt;&gt;"EXTERNO",COUNTIFS(ENT_ID,$H729,ENT_TIPO,$G729)=0),"ERRO: origem inexistente",IF(AND($I729&lt;&gt;"EXTERNO",COUNTIFS(ENT_ID,$J729,ENT_TIPO,$I729)=0),"ERRO: destino inexistente",IF(AND($K729&lt;&gt;"",COUNTIF(CAT_ID,$K729)=0),"ERRO: categoria inexistente",IF(AND($L729&lt;&gt;"",COUNTIF(SUB_ID,$L729)=0),"ERRO: subcategoria inexistente",IF(AND($L729&lt;&gt;"",$K729&lt;&gt;"",IFERROR(INDEX(SUB_CATID,MATCH($L729,SUB_ID,0)),"")&lt;&gt;$K729),"ERRO: subcategoria nao pertence a categoria",IF(AND($O729&lt;&gt;"",COUNTIF(P_ID,$O729)=0),"ERRO: parcela inexistente",IF(AND($N729&lt;&gt;"",COUNTIF(CM_ID,$N729)=0),"ERRO: compromisso inexistente","OK")))))))))))))</f>
        <v/>
      </c>
      <c r="AK729" s="35" t="str">
        <f aca="false">IF($B729="","",IF(AND($N729="",$O729="",$P729="",$Q729="",$R729=""),"","VINCULADO: "&amp;TRIM(IF($N729&lt;&gt;"",$N729&amp;" ","")&amp;IF($O729&lt;&gt;"",$O729&amp;" ","")&amp;IF($P729&lt;&gt;"",$P729&amp;" ","")&amp;IF($Q729&lt;&gt;"",$Q729&amp;" ","")&amp;IF($R729&lt;&gt;"",$R729,""))))</f>
        <v/>
      </c>
    </row>
    <row r="730" customFormat="false" ht="15" hidden="false" customHeight="false" outlineLevel="0" collapsed="false">
      <c r="A730" s="30" t="str">
        <f aca="false">IF($B730="","","LAN-"&amp;TEXT(ROW()-4,"000000"))</f>
        <v/>
      </c>
      <c r="B730" s="31"/>
      <c r="C730" s="32"/>
      <c r="D730" s="32"/>
      <c r="E730" s="32"/>
      <c r="F730" s="33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4" t="str">
        <f aca="false">IF($B730="","",YEAR($B730))</f>
        <v/>
      </c>
      <c r="U730" s="34" t="str">
        <f aca="false">IF($B730="","",MONTH($B730))</f>
        <v/>
      </c>
      <c r="V730" s="34" t="str">
        <f aca="false">IF($B730="","",YEAR($B730)*100+MONTH($B730))</f>
        <v/>
      </c>
      <c r="W730" s="35" t="str">
        <f aca="false">IF($D730="","",IFERROR(INDEX(MAP_CLASS,MATCH($D730,MAP_TIPO,0)),"TIPO INVALIDO"))</f>
        <v/>
      </c>
      <c r="X730" s="35" t="str">
        <f aca="false">IF($K730="","",IFERROR(INDEX(CAT_NOME,MATCH($K730,CAT_ID,0)),"?"))</f>
        <v/>
      </c>
      <c r="Y730" s="35" t="str">
        <f aca="false">IF($L730="","",IFERROR(INDEX(SUB_NOME,MATCH($L730,SUB_ID,0)),"?"))</f>
        <v/>
      </c>
      <c r="Z730" s="35" t="str">
        <f aca="false">IF($G730="","",IF($G730="EXTERNO","(Externo)",IFERROR(INDEX(ENT_NOME,MATCH($H730,ENT_ID,0)),"?")))</f>
        <v/>
      </c>
      <c r="AA730" s="35" t="str">
        <f aca="false">IF($I730="","",IF($I730="EXTERNO","(Externo)",IFERROR(INDEX(ENT_NOME,MATCH($J730,ENT_ID,0)),"?")))</f>
        <v/>
      </c>
      <c r="AB730" s="36" t="n">
        <f aca="false">IF($B730="",0,IF(AND($I730="CONTA",$G730&lt;&gt;"CONTA"),$F730,0))</f>
        <v>0</v>
      </c>
      <c r="AC730" s="36" t="n">
        <f aca="false">IF($B730="",0,IF(AND($G730="CONTA",$I730&lt;&gt;"CONTA"),$F730,0))</f>
        <v>0</v>
      </c>
      <c r="AD730" s="36" t="n">
        <f aca="false">IF($W730="RECEITA",$F730,0)</f>
        <v>0</v>
      </c>
      <c r="AE730" s="36" t="n">
        <f aca="false">IF($W730="DESPESA",$F730,0)</f>
        <v>0</v>
      </c>
      <c r="AF730" s="36" t="n">
        <f aca="false">IF($W730="RECEITA_FINANCEIRA",$F730,0)</f>
        <v>0</v>
      </c>
      <c r="AG730" s="36" t="n">
        <f aca="false">IF($B730="",0,IF($I730="CONTA",$F730,0)-IF($G730="CONTA",$F730,0))</f>
        <v>0</v>
      </c>
      <c r="AH730" s="36" t="n">
        <f aca="false">IF($B730="",0,IF($G730="CARTAO",$F730,0)-IF($I730="CARTAO",$F730,0))</f>
        <v>0</v>
      </c>
      <c r="AI730" s="36" t="n">
        <f aca="false">IF($B730="",0,IF($I730="INVESTIMENTO",$F730,0)-IF($G730="INVESTIMENTO",$F730,0))</f>
        <v>0</v>
      </c>
      <c r="AJ730" s="35" t="str">
        <f aca="false">IF($B730="","",IF(NOT(ISNUMBER($F730)),"ERRO: valor nao numerico",IF($F730&lt;=0,"ERRO: valor deve ser maior que zero",IF(COUNTIF(MAP_TIPO,$D730)=0,"ERRO: tipo de operacao nao cadastrado",IF(COUNTIF(LST_STATUS,$E730)=0,"ERRO: status invalido",IF(AND($G730="EXTERNO",$I730="EXTERNO"),"ERRO: origem e destino externos",IF(AND($G730&lt;&gt;"EXTERNO",COUNTIFS(ENT_ID,$H730,ENT_TIPO,$G730)=0),"ERRO: origem inexistente",IF(AND($I730&lt;&gt;"EXTERNO",COUNTIFS(ENT_ID,$J730,ENT_TIPO,$I730)=0),"ERRO: destino inexistente",IF(AND($K730&lt;&gt;"",COUNTIF(CAT_ID,$K730)=0),"ERRO: categoria inexistente",IF(AND($L730&lt;&gt;"",COUNTIF(SUB_ID,$L730)=0),"ERRO: subcategoria inexistente",IF(AND($L730&lt;&gt;"",$K730&lt;&gt;"",IFERROR(INDEX(SUB_CATID,MATCH($L730,SUB_ID,0)),"")&lt;&gt;$K730),"ERRO: subcategoria nao pertence a categoria",IF(AND($O730&lt;&gt;"",COUNTIF(P_ID,$O730)=0),"ERRO: parcela inexistente",IF(AND($N730&lt;&gt;"",COUNTIF(CM_ID,$N730)=0),"ERRO: compromisso inexistente","OK")))))))))))))</f>
        <v/>
      </c>
      <c r="AK730" s="35" t="str">
        <f aca="false">IF($B730="","",IF(AND($N730="",$O730="",$P730="",$Q730="",$R730=""),"","VINCULADO: "&amp;TRIM(IF($N730&lt;&gt;"",$N730&amp;" ","")&amp;IF($O730&lt;&gt;"",$O730&amp;" ","")&amp;IF($P730&lt;&gt;"",$P730&amp;" ","")&amp;IF($Q730&lt;&gt;"",$Q730&amp;" ","")&amp;IF($R730&lt;&gt;"",$R730,""))))</f>
        <v/>
      </c>
    </row>
    <row r="731" customFormat="false" ht="15" hidden="false" customHeight="false" outlineLevel="0" collapsed="false">
      <c r="A731" s="30" t="str">
        <f aca="false">IF($B731="","","LAN-"&amp;TEXT(ROW()-4,"000000"))</f>
        <v/>
      </c>
      <c r="B731" s="31"/>
      <c r="C731" s="32"/>
      <c r="D731" s="32"/>
      <c r="E731" s="32"/>
      <c r="F731" s="33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4" t="str">
        <f aca="false">IF($B731="","",YEAR($B731))</f>
        <v/>
      </c>
      <c r="U731" s="34" t="str">
        <f aca="false">IF($B731="","",MONTH($B731))</f>
        <v/>
      </c>
      <c r="V731" s="34" t="str">
        <f aca="false">IF($B731="","",YEAR($B731)*100+MONTH($B731))</f>
        <v/>
      </c>
      <c r="W731" s="35" t="str">
        <f aca="false">IF($D731="","",IFERROR(INDEX(MAP_CLASS,MATCH($D731,MAP_TIPO,0)),"TIPO INVALIDO"))</f>
        <v/>
      </c>
      <c r="X731" s="35" t="str">
        <f aca="false">IF($K731="","",IFERROR(INDEX(CAT_NOME,MATCH($K731,CAT_ID,0)),"?"))</f>
        <v/>
      </c>
      <c r="Y731" s="35" t="str">
        <f aca="false">IF($L731="","",IFERROR(INDEX(SUB_NOME,MATCH($L731,SUB_ID,0)),"?"))</f>
        <v/>
      </c>
      <c r="Z731" s="35" t="str">
        <f aca="false">IF($G731="","",IF($G731="EXTERNO","(Externo)",IFERROR(INDEX(ENT_NOME,MATCH($H731,ENT_ID,0)),"?")))</f>
        <v/>
      </c>
      <c r="AA731" s="35" t="str">
        <f aca="false">IF($I731="","",IF($I731="EXTERNO","(Externo)",IFERROR(INDEX(ENT_NOME,MATCH($J731,ENT_ID,0)),"?")))</f>
        <v/>
      </c>
      <c r="AB731" s="36" t="n">
        <f aca="false">IF($B731="",0,IF(AND($I731="CONTA",$G731&lt;&gt;"CONTA"),$F731,0))</f>
        <v>0</v>
      </c>
      <c r="AC731" s="36" t="n">
        <f aca="false">IF($B731="",0,IF(AND($G731="CONTA",$I731&lt;&gt;"CONTA"),$F731,0))</f>
        <v>0</v>
      </c>
      <c r="AD731" s="36" t="n">
        <f aca="false">IF($W731="RECEITA",$F731,0)</f>
        <v>0</v>
      </c>
      <c r="AE731" s="36" t="n">
        <f aca="false">IF($W731="DESPESA",$F731,0)</f>
        <v>0</v>
      </c>
      <c r="AF731" s="36" t="n">
        <f aca="false">IF($W731="RECEITA_FINANCEIRA",$F731,0)</f>
        <v>0</v>
      </c>
      <c r="AG731" s="36" t="n">
        <f aca="false">IF($B731="",0,IF($I731="CONTA",$F731,0)-IF($G731="CONTA",$F731,0))</f>
        <v>0</v>
      </c>
      <c r="AH731" s="36" t="n">
        <f aca="false">IF($B731="",0,IF($G731="CARTAO",$F731,0)-IF($I731="CARTAO",$F731,0))</f>
        <v>0</v>
      </c>
      <c r="AI731" s="36" t="n">
        <f aca="false">IF($B731="",0,IF($I731="INVESTIMENTO",$F731,0)-IF($G731="INVESTIMENTO",$F731,0))</f>
        <v>0</v>
      </c>
      <c r="AJ731" s="35" t="str">
        <f aca="false">IF($B731="","",IF(NOT(ISNUMBER($F731)),"ERRO: valor nao numerico",IF($F731&lt;=0,"ERRO: valor deve ser maior que zero",IF(COUNTIF(MAP_TIPO,$D731)=0,"ERRO: tipo de operacao nao cadastrado",IF(COUNTIF(LST_STATUS,$E731)=0,"ERRO: status invalido",IF(AND($G731="EXTERNO",$I731="EXTERNO"),"ERRO: origem e destino externos",IF(AND($G731&lt;&gt;"EXTERNO",COUNTIFS(ENT_ID,$H731,ENT_TIPO,$G731)=0),"ERRO: origem inexistente",IF(AND($I731&lt;&gt;"EXTERNO",COUNTIFS(ENT_ID,$J731,ENT_TIPO,$I731)=0),"ERRO: destino inexistente",IF(AND($K731&lt;&gt;"",COUNTIF(CAT_ID,$K731)=0),"ERRO: categoria inexistente",IF(AND($L731&lt;&gt;"",COUNTIF(SUB_ID,$L731)=0),"ERRO: subcategoria inexistente",IF(AND($L731&lt;&gt;"",$K731&lt;&gt;"",IFERROR(INDEX(SUB_CATID,MATCH($L731,SUB_ID,0)),"")&lt;&gt;$K731),"ERRO: subcategoria nao pertence a categoria",IF(AND($O731&lt;&gt;"",COUNTIF(P_ID,$O731)=0),"ERRO: parcela inexistente",IF(AND($N731&lt;&gt;"",COUNTIF(CM_ID,$N731)=0),"ERRO: compromisso inexistente","OK")))))))))))))</f>
        <v/>
      </c>
      <c r="AK731" s="35" t="str">
        <f aca="false">IF($B731="","",IF(AND($N731="",$O731="",$P731="",$Q731="",$R731=""),"","VINCULADO: "&amp;TRIM(IF($N731&lt;&gt;"",$N731&amp;" ","")&amp;IF($O731&lt;&gt;"",$O731&amp;" ","")&amp;IF($P731&lt;&gt;"",$P731&amp;" ","")&amp;IF($Q731&lt;&gt;"",$Q731&amp;" ","")&amp;IF($R731&lt;&gt;"",$R731,""))))</f>
        <v/>
      </c>
    </row>
    <row r="732" customFormat="false" ht="15" hidden="false" customHeight="false" outlineLevel="0" collapsed="false">
      <c r="A732" s="30" t="str">
        <f aca="false">IF($B732="","","LAN-"&amp;TEXT(ROW()-4,"000000"))</f>
        <v/>
      </c>
      <c r="B732" s="31"/>
      <c r="C732" s="32"/>
      <c r="D732" s="32"/>
      <c r="E732" s="32"/>
      <c r="F732" s="33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4" t="str">
        <f aca="false">IF($B732="","",YEAR($B732))</f>
        <v/>
      </c>
      <c r="U732" s="34" t="str">
        <f aca="false">IF($B732="","",MONTH($B732))</f>
        <v/>
      </c>
      <c r="V732" s="34" t="str">
        <f aca="false">IF($B732="","",YEAR($B732)*100+MONTH($B732))</f>
        <v/>
      </c>
      <c r="W732" s="35" t="str">
        <f aca="false">IF($D732="","",IFERROR(INDEX(MAP_CLASS,MATCH($D732,MAP_TIPO,0)),"TIPO INVALIDO"))</f>
        <v/>
      </c>
      <c r="X732" s="35" t="str">
        <f aca="false">IF($K732="","",IFERROR(INDEX(CAT_NOME,MATCH($K732,CAT_ID,0)),"?"))</f>
        <v/>
      </c>
      <c r="Y732" s="35" t="str">
        <f aca="false">IF($L732="","",IFERROR(INDEX(SUB_NOME,MATCH($L732,SUB_ID,0)),"?"))</f>
        <v/>
      </c>
      <c r="Z732" s="35" t="str">
        <f aca="false">IF($G732="","",IF($G732="EXTERNO","(Externo)",IFERROR(INDEX(ENT_NOME,MATCH($H732,ENT_ID,0)),"?")))</f>
        <v/>
      </c>
      <c r="AA732" s="35" t="str">
        <f aca="false">IF($I732="","",IF($I732="EXTERNO","(Externo)",IFERROR(INDEX(ENT_NOME,MATCH($J732,ENT_ID,0)),"?")))</f>
        <v/>
      </c>
      <c r="AB732" s="36" t="n">
        <f aca="false">IF($B732="",0,IF(AND($I732="CONTA",$G732&lt;&gt;"CONTA"),$F732,0))</f>
        <v>0</v>
      </c>
      <c r="AC732" s="36" t="n">
        <f aca="false">IF($B732="",0,IF(AND($G732="CONTA",$I732&lt;&gt;"CONTA"),$F732,0))</f>
        <v>0</v>
      </c>
      <c r="AD732" s="36" t="n">
        <f aca="false">IF($W732="RECEITA",$F732,0)</f>
        <v>0</v>
      </c>
      <c r="AE732" s="36" t="n">
        <f aca="false">IF($W732="DESPESA",$F732,0)</f>
        <v>0</v>
      </c>
      <c r="AF732" s="36" t="n">
        <f aca="false">IF($W732="RECEITA_FINANCEIRA",$F732,0)</f>
        <v>0</v>
      </c>
      <c r="AG732" s="36" t="n">
        <f aca="false">IF($B732="",0,IF($I732="CONTA",$F732,0)-IF($G732="CONTA",$F732,0))</f>
        <v>0</v>
      </c>
      <c r="AH732" s="36" t="n">
        <f aca="false">IF($B732="",0,IF($G732="CARTAO",$F732,0)-IF($I732="CARTAO",$F732,0))</f>
        <v>0</v>
      </c>
      <c r="AI732" s="36" t="n">
        <f aca="false">IF($B732="",0,IF($I732="INVESTIMENTO",$F732,0)-IF($G732="INVESTIMENTO",$F732,0))</f>
        <v>0</v>
      </c>
      <c r="AJ732" s="35" t="str">
        <f aca="false">IF($B732="","",IF(NOT(ISNUMBER($F732)),"ERRO: valor nao numerico",IF($F732&lt;=0,"ERRO: valor deve ser maior que zero",IF(COUNTIF(MAP_TIPO,$D732)=0,"ERRO: tipo de operacao nao cadastrado",IF(COUNTIF(LST_STATUS,$E732)=0,"ERRO: status invalido",IF(AND($G732="EXTERNO",$I732="EXTERNO"),"ERRO: origem e destino externos",IF(AND($G732&lt;&gt;"EXTERNO",COUNTIFS(ENT_ID,$H732,ENT_TIPO,$G732)=0),"ERRO: origem inexistente",IF(AND($I732&lt;&gt;"EXTERNO",COUNTIFS(ENT_ID,$J732,ENT_TIPO,$I732)=0),"ERRO: destino inexistente",IF(AND($K732&lt;&gt;"",COUNTIF(CAT_ID,$K732)=0),"ERRO: categoria inexistente",IF(AND($L732&lt;&gt;"",COUNTIF(SUB_ID,$L732)=0),"ERRO: subcategoria inexistente",IF(AND($L732&lt;&gt;"",$K732&lt;&gt;"",IFERROR(INDEX(SUB_CATID,MATCH($L732,SUB_ID,0)),"")&lt;&gt;$K732),"ERRO: subcategoria nao pertence a categoria",IF(AND($O732&lt;&gt;"",COUNTIF(P_ID,$O732)=0),"ERRO: parcela inexistente",IF(AND($N732&lt;&gt;"",COUNTIF(CM_ID,$N732)=0),"ERRO: compromisso inexistente","OK")))))))))))))</f>
        <v/>
      </c>
      <c r="AK732" s="35" t="str">
        <f aca="false">IF($B732="","",IF(AND($N732="",$O732="",$P732="",$Q732="",$R732=""),"","VINCULADO: "&amp;TRIM(IF($N732&lt;&gt;"",$N732&amp;" ","")&amp;IF($O732&lt;&gt;"",$O732&amp;" ","")&amp;IF($P732&lt;&gt;"",$P732&amp;" ","")&amp;IF($Q732&lt;&gt;"",$Q732&amp;" ","")&amp;IF($R732&lt;&gt;"",$R732,""))))</f>
        <v/>
      </c>
    </row>
    <row r="733" customFormat="false" ht="15" hidden="false" customHeight="false" outlineLevel="0" collapsed="false">
      <c r="A733" s="30" t="str">
        <f aca="false">IF($B733="","","LAN-"&amp;TEXT(ROW()-4,"000000"))</f>
        <v/>
      </c>
      <c r="B733" s="31"/>
      <c r="C733" s="32"/>
      <c r="D733" s="32"/>
      <c r="E733" s="32"/>
      <c r="F733" s="33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4" t="str">
        <f aca="false">IF($B733="","",YEAR($B733))</f>
        <v/>
      </c>
      <c r="U733" s="34" t="str">
        <f aca="false">IF($B733="","",MONTH($B733))</f>
        <v/>
      </c>
      <c r="V733" s="34" t="str">
        <f aca="false">IF($B733="","",YEAR($B733)*100+MONTH($B733))</f>
        <v/>
      </c>
      <c r="W733" s="35" t="str">
        <f aca="false">IF($D733="","",IFERROR(INDEX(MAP_CLASS,MATCH($D733,MAP_TIPO,0)),"TIPO INVALIDO"))</f>
        <v/>
      </c>
      <c r="X733" s="35" t="str">
        <f aca="false">IF($K733="","",IFERROR(INDEX(CAT_NOME,MATCH($K733,CAT_ID,0)),"?"))</f>
        <v/>
      </c>
      <c r="Y733" s="35" t="str">
        <f aca="false">IF($L733="","",IFERROR(INDEX(SUB_NOME,MATCH($L733,SUB_ID,0)),"?"))</f>
        <v/>
      </c>
      <c r="Z733" s="35" t="str">
        <f aca="false">IF($G733="","",IF($G733="EXTERNO","(Externo)",IFERROR(INDEX(ENT_NOME,MATCH($H733,ENT_ID,0)),"?")))</f>
        <v/>
      </c>
      <c r="AA733" s="35" t="str">
        <f aca="false">IF($I733="","",IF($I733="EXTERNO","(Externo)",IFERROR(INDEX(ENT_NOME,MATCH($J733,ENT_ID,0)),"?")))</f>
        <v/>
      </c>
      <c r="AB733" s="36" t="n">
        <f aca="false">IF($B733="",0,IF(AND($I733="CONTA",$G733&lt;&gt;"CONTA"),$F733,0))</f>
        <v>0</v>
      </c>
      <c r="AC733" s="36" t="n">
        <f aca="false">IF($B733="",0,IF(AND($G733="CONTA",$I733&lt;&gt;"CONTA"),$F733,0))</f>
        <v>0</v>
      </c>
      <c r="AD733" s="36" t="n">
        <f aca="false">IF($W733="RECEITA",$F733,0)</f>
        <v>0</v>
      </c>
      <c r="AE733" s="36" t="n">
        <f aca="false">IF($W733="DESPESA",$F733,0)</f>
        <v>0</v>
      </c>
      <c r="AF733" s="36" t="n">
        <f aca="false">IF($W733="RECEITA_FINANCEIRA",$F733,0)</f>
        <v>0</v>
      </c>
      <c r="AG733" s="36" t="n">
        <f aca="false">IF($B733="",0,IF($I733="CONTA",$F733,0)-IF($G733="CONTA",$F733,0))</f>
        <v>0</v>
      </c>
      <c r="AH733" s="36" t="n">
        <f aca="false">IF($B733="",0,IF($G733="CARTAO",$F733,0)-IF($I733="CARTAO",$F733,0))</f>
        <v>0</v>
      </c>
      <c r="AI733" s="36" t="n">
        <f aca="false">IF($B733="",0,IF($I733="INVESTIMENTO",$F733,0)-IF($G733="INVESTIMENTO",$F733,0))</f>
        <v>0</v>
      </c>
      <c r="AJ733" s="35" t="str">
        <f aca="false">IF($B733="","",IF(NOT(ISNUMBER($F733)),"ERRO: valor nao numerico",IF($F733&lt;=0,"ERRO: valor deve ser maior que zero",IF(COUNTIF(MAP_TIPO,$D733)=0,"ERRO: tipo de operacao nao cadastrado",IF(COUNTIF(LST_STATUS,$E733)=0,"ERRO: status invalido",IF(AND($G733="EXTERNO",$I733="EXTERNO"),"ERRO: origem e destino externos",IF(AND($G733&lt;&gt;"EXTERNO",COUNTIFS(ENT_ID,$H733,ENT_TIPO,$G733)=0),"ERRO: origem inexistente",IF(AND($I733&lt;&gt;"EXTERNO",COUNTIFS(ENT_ID,$J733,ENT_TIPO,$I733)=0),"ERRO: destino inexistente",IF(AND($K733&lt;&gt;"",COUNTIF(CAT_ID,$K733)=0),"ERRO: categoria inexistente",IF(AND($L733&lt;&gt;"",COUNTIF(SUB_ID,$L733)=0),"ERRO: subcategoria inexistente",IF(AND($L733&lt;&gt;"",$K733&lt;&gt;"",IFERROR(INDEX(SUB_CATID,MATCH($L733,SUB_ID,0)),"")&lt;&gt;$K733),"ERRO: subcategoria nao pertence a categoria",IF(AND($O733&lt;&gt;"",COUNTIF(P_ID,$O733)=0),"ERRO: parcela inexistente",IF(AND($N733&lt;&gt;"",COUNTIF(CM_ID,$N733)=0),"ERRO: compromisso inexistente","OK")))))))))))))</f>
        <v/>
      </c>
      <c r="AK733" s="35" t="str">
        <f aca="false">IF($B733="","",IF(AND($N733="",$O733="",$P733="",$Q733="",$R733=""),"","VINCULADO: "&amp;TRIM(IF($N733&lt;&gt;"",$N733&amp;" ","")&amp;IF($O733&lt;&gt;"",$O733&amp;" ","")&amp;IF($P733&lt;&gt;"",$P733&amp;" ","")&amp;IF($Q733&lt;&gt;"",$Q733&amp;" ","")&amp;IF($R733&lt;&gt;"",$R733,""))))</f>
        <v/>
      </c>
    </row>
    <row r="734" customFormat="false" ht="15" hidden="false" customHeight="false" outlineLevel="0" collapsed="false">
      <c r="A734" s="30" t="str">
        <f aca="false">IF($B734="","","LAN-"&amp;TEXT(ROW()-4,"000000"))</f>
        <v/>
      </c>
      <c r="B734" s="31"/>
      <c r="C734" s="32"/>
      <c r="D734" s="32"/>
      <c r="E734" s="32"/>
      <c r="F734" s="33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4" t="str">
        <f aca="false">IF($B734="","",YEAR($B734))</f>
        <v/>
      </c>
      <c r="U734" s="34" t="str">
        <f aca="false">IF($B734="","",MONTH($B734))</f>
        <v/>
      </c>
      <c r="V734" s="34" t="str">
        <f aca="false">IF($B734="","",YEAR($B734)*100+MONTH($B734))</f>
        <v/>
      </c>
      <c r="W734" s="35" t="str">
        <f aca="false">IF($D734="","",IFERROR(INDEX(MAP_CLASS,MATCH($D734,MAP_TIPO,0)),"TIPO INVALIDO"))</f>
        <v/>
      </c>
      <c r="X734" s="35" t="str">
        <f aca="false">IF($K734="","",IFERROR(INDEX(CAT_NOME,MATCH($K734,CAT_ID,0)),"?"))</f>
        <v/>
      </c>
      <c r="Y734" s="35" t="str">
        <f aca="false">IF($L734="","",IFERROR(INDEX(SUB_NOME,MATCH($L734,SUB_ID,0)),"?"))</f>
        <v/>
      </c>
      <c r="Z734" s="35" t="str">
        <f aca="false">IF($G734="","",IF($G734="EXTERNO","(Externo)",IFERROR(INDEX(ENT_NOME,MATCH($H734,ENT_ID,0)),"?")))</f>
        <v/>
      </c>
      <c r="AA734" s="35" t="str">
        <f aca="false">IF($I734="","",IF($I734="EXTERNO","(Externo)",IFERROR(INDEX(ENT_NOME,MATCH($J734,ENT_ID,0)),"?")))</f>
        <v/>
      </c>
      <c r="AB734" s="36" t="n">
        <f aca="false">IF($B734="",0,IF(AND($I734="CONTA",$G734&lt;&gt;"CONTA"),$F734,0))</f>
        <v>0</v>
      </c>
      <c r="AC734" s="36" t="n">
        <f aca="false">IF($B734="",0,IF(AND($G734="CONTA",$I734&lt;&gt;"CONTA"),$F734,0))</f>
        <v>0</v>
      </c>
      <c r="AD734" s="36" t="n">
        <f aca="false">IF($W734="RECEITA",$F734,0)</f>
        <v>0</v>
      </c>
      <c r="AE734" s="36" t="n">
        <f aca="false">IF($W734="DESPESA",$F734,0)</f>
        <v>0</v>
      </c>
      <c r="AF734" s="36" t="n">
        <f aca="false">IF($W734="RECEITA_FINANCEIRA",$F734,0)</f>
        <v>0</v>
      </c>
      <c r="AG734" s="36" t="n">
        <f aca="false">IF($B734="",0,IF($I734="CONTA",$F734,0)-IF($G734="CONTA",$F734,0))</f>
        <v>0</v>
      </c>
      <c r="AH734" s="36" t="n">
        <f aca="false">IF($B734="",0,IF($G734="CARTAO",$F734,0)-IF($I734="CARTAO",$F734,0))</f>
        <v>0</v>
      </c>
      <c r="AI734" s="36" t="n">
        <f aca="false">IF($B734="",0,IF($I734="INVESTIMENTO",$F734,0)-IF($G734="INVESTIMENTO",$F734,0))</f>
        <v>0</v>
      </c>
      <c r="AJ734" s="35" t="str">
        <f aca="false">IF($B734="","",IF(NOT(ISNUMBER($F734)),"ERRO: valor nao numerico",IF($F734&lt;=0,"ERRO: valor deve ser maior que zero",IF(COUNTIF(MAP_TIPO,$D734)=0,"ERRO: tipo de operacao nao cadastrado",IF(COUNTIF(LST_STATUS,$E734)=0,"ERRO: status invalido",IF(AND($G734="EXTERNO",$I734="EXTERNO"),"ERRO: origem e destino externos",IF(AND($G734&lt;&gt;"EXTERNO",COUNTIFS(ENT_ID,$H734,ENT_TIPO,$G734)=0),"ERRO: origem inexistente",IF(AND($I734&lt;&gt;"EXTERNO",COUNTIFS(ENT_ID,$J734,ENT_TIPO,$I734)=0),"ERRO: destino inexistente",IF(AND($K734&lt;&gt;"",COUNTIF(CAT_ID,$K734)=0),"ERRO: categoria inexistente",IF(AND($L734&lt;&gt;"",COUNTIF(SUB_ID,$L734)=0),"ERRO: subcategoria inexistente",IF(AND($L734&lt;&gt;"",$K734&lt;&gt;"",IFERROR(INDEX(SUB_CATID,MATCH($L734,SUB_ID,0)),"")&lt;&gt;$K734),"ERRO: subcategoria nao pertence a categoria",IF(AND($O734&lt;&gt;"",COUNTIF(P_ID,$O734)=0),"ERRO: parcela inexistente",IF(AND($N734&lt;&gt;"",COUNTIF(CM_ID,$N734)=0),"ERRO: compromisso inexistente","OK")))))))))))))</f>
        <v/>
      </c>
      <c r="AK734" s="35" t="str">
        <f aca="false">IF($B734="","",IF(AND($N734="",$O734="",$P734="",$Q734="",$R734=""),"","VINCULADO: "&amp;TRIM(IF($N734&lt;&gt;"",$N734&amp;" ","")&amp;IF($O734&lt;&gt;"",$O734&amp;" ","")&amp;IF($P734&lt;&gt;"",$P734&amp;" ","")&amp;IF($Q734&lt;&gt;"",$Q734&amp;" ","")&amp;IF($R734&lt;&gt;"",$R734,""))))</f>
        <v/>
      </c>
    </row>
    <row r="735" customFormat="false" ht="15" hidden="false" customHeight="false" outlineLevel="0" collapsed="false">
      <c r="A735" s="30" t="str">
        <f aca="false">IF($B735="","","LAN-"&amp;TEXT(ROW()-4,"000000"))</f>
        <v/>
      </c>
      <c r="B735" s="31"/>
      <c r="C735" s="32"/>
      <c r="D735" s="32"/>
      <c r="E735" s="32"/>
      <c r="F735" s="33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4" t="str">
        <f aca="false">IF($B735="","",YEAR($B735))</f>
        <v/>
      </c>
      <c r="U735" s="34" t="str">
        <f aca="false">IF($B735="","",MONTH($B735))</f>
        <v/>
      </c>
      <c r="V735" s="34" t="str">
        <f aca="false">IF($B735="","",YEAR($B735)*100+MONTH($B735))</f>
        <v/>
      </c>
      <c r="W735" s="35" t="str">
        <f aca="false">IF($D735="","",IFERROR(INDEX(MAP_CLASS,MATCH($D735,MAP_TIPO,0)),"TIPO INVALIDO"))</f>
        <v/>
      </c>
      <c r="X735" s="35" t="str">
        <f aca="false">IF($K735="","",IFERROR(INDEX(CAT_NOME,MATCH($K735,CAT_ID,0)),"?"))</f>
        <v/>
      </c>
      <c r="Y735" s="35" t="str">
        <f aca="false">IF($L735="","",IFERROR(INDEX(SUB_NOME,MATCH($L735,SUB_ID,0)),"?"))</f>
        <v/>
      </c>
      <c r="Z735" s="35" t="str">
        <f aca="false">IF($G735="","",IF($G735="EXTERNO","(Externo)",IFERROR(INDEX(ENT_NOME,MATCH($H735,ENT_ID,0)),"?")))</f>
        <v/>
      </c>
      <c r="AA735" s="35" t="str">
        <f aca="false">IF($I735="","",IF($I735="EXTERNO","(Externo)",IFERROR(INDEX(ENT_NOME,MATCH($J735,ENT_ID,0)),"?")))</f>
        <v/>
      </c>
      <c r="AB735" s="36" t="n">
        <f aca="false">IF($B735="",0,IF(AND($I735="CONTA",$G735&lt;&gt;"CONTA"),$F735,0))</f>
        <v>0</v>
      </c>
      <c r="AC735" s="36" t="n">
        <f aca="false">IF($B735="",0,IF(AND($G735="CONTA",$I735&lt;&gt;"CONTA"),$F735,0))</f>
        <v>0</v>
      </c>
      <c r="AD735" s="36" t="n">
        <f aca="false">IF($W735="RECEITA",$F735,0)</f>
        <v>0</v>
      </c>
      <c r="AE735" s="36" t="n">
        <f aca="false">IF($W735="DESPESA",$F735,0)</f>
        <v>0</v>
      </c>
      <c r="AF735" s="36" t="n">
        <f aca="false">IF($W735="RECEITA_FINANCEIRA",$F735,0)</f>
        <v>0</v>
      </c>
      <c r="AG735" s="36" t="n">
        <f aca="false">IF($B735="",0,IF($I735="CONTA",$F735,0)-IF($G735="CONTA",$F735,0))</f>
        <v>0</v>
      </c>
      <c r="AH735" s="36" t="n">
        <f aca="false">IF($B735="",0,IF($G735="CARTAO",$F735,0)-IF($I735="CARTAO",$F735,0))</f>
        <v>0</v>
      </c>
      <c r="AI735" s="36" t="n">
        <f aca="false">IF($B735="",0,IF($I735="INVESTIMENTO",$F735,0)-IF($G735="INVESTIMENTO",$F735,0))</f>
        <v>0</v>
      </c>
      <c r="AJ735" s="35" t="str">
        <f aca="false">IF($B735="","",IF(NOT(ISNUMBER($F735)),"ERRO: valor nao numerico",IF($F735&lt;=0,"ERRO: valor deve ser maior que zero",IF(COUNTIF(MAP_TIPO,$D735)=0,"ERRO: tipo de operacao nao cadastrado",IF(COUNTIF(LST_STATUS,$E735)=0,"ERRO: status invalido",IF(AND($G735="EXTERNO",$I735="EXTERNO"),"ERRO: origem e destino externos",IF(AND($G735&lt;&gt;"EXTERNO",COUNTIFS(ENT_ID,$H735,ENT_TIPO,$G735)=0),"ERRO: origem inexistente",IF(AND($I735&lt;&gt;"EXTERNO",COUNTIFS(ENT_ID,$J735,ENT_TIPO,$I735)=0),"ERRO: destino inexistente",IF(AND($K735&lt;&gt;"",COUNTIF(CAT_ID,$K735)=0),"ERRO: categoria inexistente",IF(AND($L735&lt;&gt;"",COUNTIF(SUB_ID,$L735)=0),"ERRO: subcategoria inexistente",IF(AND($L735&lt;&gt;"",$K735&lt;&gt;"",IFERROR(INDEX(SUB_CATID,MATCH($L735,SUB_ID,0)),"")&lt;&gt;$K735),"ERRO: subcategoria nao pertence a categoria",IF(AND($O735&lt;&gt;"",COUNTIF(P_ID,$O735)=0),"ERRO: parcela inexistente",IF(AND($N735&lt;&gt;"",COUNTIF(CM_ID,$N735)=0),"ERRO: compromisso inexistente","OK")))))))))))))</f>
        <v/>
      </c>
      <c r="AK735" s="35" t="str">
        <f aca="false">IF($B735="","",IF(AND($N735="",$O735="",$P735="",$Q735="",$R735=""),"","VINCULADO: "&amp;TRIM(IF($N735&lt;&gt;"",$N735&amp;" ","")&amp;IF($O735&lt;&gt;"",$O735&amp;" ","")&amp;IF($P735&lt;&gt;"",$P735&amp;" ","")&amp;IF($Q735&lt;&gt;"",$Q735&amp;" ","")&amp;IF($R735&lt;&gt;"",$R735,""))))</f>
        <v/>
      </c>
    </row>
    <row r="736" customFormat="false" ht="15" hidden="false" customHeight="false" outlineLevel="0" collapsed="false">
      <c r="A736" s="30" t="str">
        <f aca="false">IF($B736="","","LAN-"&amp;TEXT(ROW()-4,"000000"))</f>
        <v/>
      </c>
      <c r="B736" s="31"/>
      <c r="C736" s="32"/>
      <c r="D736" s="32"/>
      <c r="E736" s="32"/>
      <c r="F736" s="33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4" t="str">
        <f aca="false">IF($B736="","",YEAR($B736))</f>
        <v/>
      </c>
      <c r="U736" s="34" t="str">
        <f aca="false">IF($B736="","",MONTH($B736))</f>
        <v/>
      </c>
      <c r="V736" s="34" t="str">
        <f aca="false">IF($B736="","",YEAR($B736)*100+MONTH($B736))</f>
        <v/>
      </c>
      <c r="W736" s="35" t="str">
        <f aca="false">IF($D736="","",IFERROR(INDEX(MAP_CLASS,MATCH($D736,MAP_TIPO,0)),"TIPO INVALIDO"))</f>
        <v/>
      </c>
      <c r="X736" s="35" t="str">
        <f aca="false">IF($K736="","",IFERROR(INDEX(CAT_NOME,MATCH($K736,CAT_ID,0)),"?"))</f>
        <v/>
      </c>
      <c r="Y736" s="35" t="str">
        <f aca="false">IF($L736="","",IFERROR(INDEX(SUB_NOME,MATCH($L736,SUB_ID,0)),"?"))</f>
        <v/>
      </c>
      <c r="Z736" s="35" t="str">
        <f aca="false">IF($G736="","",IF($G736="EXTERNO","(Externo)",IFERROR(INDEX(ENT_NOME,MATCH($H736,ENT_ID,0)),"?")))</f>
        <v/>
      </c>
      <c r="AA736" s="35" t="str">
        <f aca="false">IF($I736="","",IF($I736="EXTERNO","(Externo)",IFERROR(INDEX(ENT_NOME,MATCH($J736,ENT_ID,0)),"?")))</f>
        <v/>
      </c>
      <c r="AB736" s="36" t="n">
        <f aca="false">IF($B736="",0,IF(AND($I736="CONTA",$G736&lt;&gt;"CONTA"),$F736,0))</f>
        <v>0</v>
      </c>
      <c r="AC736" s="36" t="n">
        <f aca="false">IF($B736="",0,IF(AND($G736="CONTA",$I736&lt;&gt;"CONTA"),$F736,0))</f>
        <v>0</v>
      </c>
      <c r="AD736" s="36" t="n">
        <f aca="false">IF($W736="RECEITA",$F736,0)</f>
        <v>0</v>
      </c>
      <c r="AE736" s="36" t="n">
        <f aca="false">IF($W736="DESPESA",$F736,0)</f>
        <v>0</v>
      </c>
      <c r="AF736" s="36" t="n">
        <f aca="false">IF($W736="RECEITA_FINANCEIRA",$F736,0)</f>
        <v>0</v>
      </c>
      <c r="AG736" s="36" t="n">
        <f aca="false">IF($B736="",0,IF($I736="CONTA",$F736,0)-IF($G736="CONTA",$F736,0))</f>
        <v>0</v>
      </c>
      <c r="AH736" s="36" t="n">
        <f aca="false">IF($B736="",0,IF($G736="CARTAO",$F736,0)-IF($I736="CARTAO",$F736,0))</f>
        <v>0</v>
      </c>
      <c r="AI736" s="36" t="n">
        <f aca="false">IF($B736="",0,IF($I736="INVESTIMENTO",$F736,0)-IF($G736="INVESTIMENTO",$F736,0))</f>
        <v>0</v>
      </c>
      <c r="AJ736" s="35" t="str">
        <f aca="false">IF($B736="","",IF(NOT(ISNUMBER($F736)),"ERRO: valor nao numerico",IF($F736&lt;=0,"ERRO: valor deve ser maior que zero",IF(COUNTIF(MAP_TIPO,$D736)=0,"ERRO: tipo de operacao nao cadastrado",IF(COUNTIF(LST_STATUS,$E736)=0,"ERRO: status invalido",IF(AND($G736="EXTERNO",$I736="EXTERNO"),"ERRO: origem e destino externos",IF(AND($G736&lt;&gt;"EXTERNO",COUNTIFS(ENT_ID,$H736,ENT_TIPO,$G736)=0),"ERRO: origem inexistente",IF(AND($I736&lt;&gt;"EXTERNO",COUNTIFS(ENT_ID,$J736,ENT_TIPO,$I736)=0),"ERRO: destino inexistente",IF(AND($K736&lt;&gt;"",COUNTIF(CAT_ID,$K736)=0),"ERRO: categoria inexistente",IF(AND($L736&lt;&gt;"",COUNTIF(SUB_ID,$L736)=0),"ERRO: subcategoria inexistente",IF(AND($L736&lt;&gt;"",$K736&lt;&gt;"",IFERROR(INDEX(SUB_CATID,MATCH($L736,SUB_ID,0)),"")&lt;&gt;$K736),"ERRO: subcategoria nao pertence a categoria",IF(AND($O736&lt;&gt;"",COUNTIF(P_ID,$O736)=0),"ERRO: parcela inexistente",IF(AND($N736&lt;&gt;"",COUNTIF(CM_ID,$N736)=0),"ERRO: compromisso inexistente","OK")))))))))))))</f>
        <v/>
      </c>
      <c r="AK736" s="35" t="str">
        <f aca="false">IF($B736="","",IF(AND($N736="",$O736="",$P736="",$Q736="",$R736=""),"","VINCULADO: "&amp;TRIM(IF($N736&lt;&gt;"",$N736&amp;" ","")&amp;IF($O736&lt;&gt;"",$O736&amp;" ","")&amp;IF($P736&lt;&gt;"",$P736&amp;" ","")&amp;IF($Q736&lt;&gt;"",$Q736&amp;" ","")&amp;IF($R736&lt;&gt;"",$R736,""))))</f>
        <v/>
      </c>
    </row>
    <row r="737" customFormat="false" ht="15" hidden="false" customHeight="false" outlineLevel="0" collapsed="false">
      <c r="A737" s="30" t="str">
        <f aca="false">IF($B737="","","LAN-"&amp;TEXT(ROW()-4,"000000"))</f>
        <v/>
      </c>
      <c r="B737" s="31"/>
      <c r="C737" s="32"/>
      <c r="D737" s="32"/>
      <c r="E737" s="32"/>
      <c r="F737" s="33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4" t="str">
        <f aca="false">IF($B737="","",YEAR($B737))</f>
        <v/>
      </c>
      <c r="U737" s="34" t="str">
        <f aca="false">IF($B737="","",MONTH($B737))</f>
        <v/>
      </c>
      <c r="V737" s="34" t="str">
        <f aca="false">IF($B737="","",YEAR($B737)*100+MONTH($B737))</f>
        <v/>
      </c>
      <c r="W737" s="35" t="str">
        <f aca="false">IF($D737="","",IFERROR(INDEX(MAP_CLASS,MATCH($D737,MAP_TIPO,0)),"TIPO INVALIDO"))</f>
        <v/>
      </c>
      <c r="X737" s="35" t="str">
        <f aca="false">IF($K737="","",IFERROR(INDEX(CAT_NOME,MATCH($K737,CAT_ID,0)),"?"))</f>
        <v/>
      </c>
      <c r="Y737" s="35" t="str">
        <f aca="false">IF($L737="","",IFERROR(INDEX(SUB_NOME,MATCH($L737,SUB_ID,0)),"?"))</f>
        <v/>
      </c>
      <c r="Z737" s="35" t="str">
        <f aca="false">IF($G737="","",IF($G737="EXTERNO","(Externo)",IFERROR(INDEX(ENT_NOME,MATCH($H737,ENT_ID,0)),"?")))</f>
        <v/>
      </c>
      <c r="AA737" s="35" t="str">
        <f aca="false">IF($I737="","",IF($I737="EXTERNO","(Externo)",IFERROR(INDEX(ENT_NOME,MATCH($J737,ENT_ID,0)),"?")))</f>
        <v/>
      </c>
      <c r="AB737" s="36" t="n">
        <f aca="false">IF($B737="",0,IF(AND($I737="CONTA",$G737&lt;&gt;"CONTA"),$F737,0))</f>
        <v>0</v>
      </c>
      <c r="AC737" s="36" t="n">
        <f aca="false">IF($B737="",0,IF(AND($G737="CONTA",$I737&lt;&gt;"CONTA"),$F737,0))</f>
        <v>0</v>
      </c>
      <c r="AD737" s="36" t="n">
        <f aca="false">IF($W737="RECEITA",$F737,0)</f>
        <v>0</v>
      </c>
      <c r="AE737" s="36" t="n">
        <f aca="false">IF($W737="DESPESA",$F737,0)</f>
        <v>0</v>
      </c>
      <c r="AF737" s="36" t="n">
        <f aca="false">IF($W737="RECEITA_FINANCEIRA",$F737,0)</f>
        <v>0</v>
      </c>
      <c r="AG737" s="36" t="n">
        <f aca="false">IF($B737="",0,IF($I737="CONTA",$F737,0)-IF($G737="CONTA",$F737,0))</f>
        <v>0</v>
      </c>
      <c r="AH737" s="36" t="n">
        <f aca="false">IF($B737="",0,IF($G737="CARTAO",$F737,0)-IF($I737="CARTAO",$F737,0))</f>
        <v>0</v>
      </c>
      <c r="AI737" s="36" t="n">
        <f aca="false">IF($B737="",0,IF($I737="INVESTIMENTO",$F737,0)-IF($G737="INVESTIMENTO",$F737,0))</f>
        <v>0</v>
      </c>
      <c r="AJ737" s="35" t="str">
        <f aca="false">IF($B737="","",IF(NOT(ISNUMBER($F737)),"ERRO: valor nao numerico",IF($F737&lt;=0,"ERRO: valor deve ser maior que zero",IF(COUNTIF(MAP_TIPO,$D737)=0,"ERRO: tipo de operacao nao cadastrado",IF(COUNTIF(LST_STATUS,$E737)=0,"ERRO: status invalido",IF(AND($G737="EXTERNO",$I737="EXTERNO"),"ERRO: origem e destino externos",IF(AND($G737&lt;&gt;"EXTERNO",COUNTIFS(ENT_ID,$H737,ENT_TIPO,$G737)=0),"ERRO: origem inexistente",IF(AND($I737&lt;&gt;"EXTERNO",COUNTIFS(ENT_ID,$J737,ENT_TIPO,$I737)=0),"ERRO: destino inexistente",IF(AND($K737&lt;&gt;"",COUNTIF(CAT_ID,$K737)=0),"ERRO: categoria inexistente",IF(AND($L737&lt;&gt;"",COUNTIF(SUB_ID,$L737)=0),"ERRO: subcategoria inexistente",IF(AND($L737&lt;&gt;"",$K737&lt;&gt;"",IFERROR(INDEX(SUB_CATID,MATCH($L737,SUB_ID,0)),"")&lt;&gt;$K737),"ERRO: subcategoria nao pertence a categoria",IF(AND($O737&lt;&gt;"",COUNTIF(P_ID,$O737)=0),"ERRO: parcela inexistente",IF(AND($N737&lt;&gt;"",COUNTIF(CM_ID,$N737)=0),"ERRO: compromisso inexistente","OK")))))))))))))</f>
        <v/>
      </c>
      <c r="AK737" s="35" t="str">
        <f aca="false">IF($B737="","",IF(AND($N737="",$O737="",$P737="",$Q737="",$R737=""),"","VINCULADO: "&amp;TRIM(IF($N737&lt;&gt;"",$N737&amp;" ","")&amp;IF($O737&lt;&gt;"",$O737&amp;" ","")&amp;IF($P737&lt;&gt;"",$P737&amp;" ","")&amp;IF($Q737&lt;&gt;"",$Q737&amp;" ","")&amp;IF($R737&lt;&gt;"",$R737,""))))</f>
        <v/>
      </c>
    </row>
    <row r="738" customFormat="false" ht="15" hidden="false" customHeight="false" outlineLevel="0" collapsed="false">
      <c r="A738" s="30" t="str">
        <f aca="false">IF($B738="","","LAN-"&amp;TEXT(ROW()-4,"000000"))</f>
        <v/>
      </c>
      <c r="B738" s="31"/>
      <c r="C738" s="32"/>
      <c r="D738" s="32"/>
      <c r="E738" s="32"/>
      <c r="F738" s="33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4" t="str">
        <f aca="false">IF($B738="","",YEAR($B738))</f>
        <v/>
      </c>
      <c r="U738" s="34" t="str">
        <f aca="false">IF($B738="","",MONTH($B738))</f>
        <v/>
      </c>
      <c r="V738" s="34" t="str">
        <f aca="false">IF($B738="","",YEAR($B738)*100+MONTH($B738))</f>
        <v/>
      </c>
      <c r="W738" s="35" t="str">
        <f aca="false">IF($D738="","",IFERROR(INDEX(MAP_CLASS,MATCH($D738,MAP_TIPO,0)),"TIPO INVALIDO"))</f>
        <v/>
      </c>
      <c r="X738" s="35" t="str">
        <f aca="false">IF($K738="","",IFERROR(INDEX(CAT_NOME,MATCH($K738,CAT_ID,0)),"?"))</f>
        <v/>
      </c>
      <c r="Y738" s="35" t="str">
        <f aca="false">IF($L738="","",IFERROR(INDEX(SUB_NOME,MATCH($L738,SUB_ID,0)),"?"))</f>
        <v/>
      </c>
      <c r="Z738" s="35" t="str">
        <f aca="false">IF($G738="","",IF($G738="EXTERNO","(Externo)",IFERROR(INDEX(ENT_NOME,MATCH($H738,ENT_ID,0)),"?")))</f>
        <v/>
      </c>
      <c r="AA738" s="35" t="str">
        <f aca="false">IF($I738="","",IF($I738="EXTERNO","(Externo)",IFERROR(INDEX(ENT_NOME,MATCH($J738,ENT_ID,0)),"?")))</f>
        <v/>
      </c>
      <c r="AB738" s="36" t="n">
        <f aca="false">IF($B738="",0,IF(AND($I738="CONTA",$G738&lt;&gt;"CONTA"),$F738,0))</f>
        <v>0</v>
      </c>
      <c r="AC738" s="36" t="n">
        <f aca="false">IF($B738="",0,IF(AND($G738="CONTA",$I738&lt;&gt;"CONTA"),$F738,0))</f>
        <v>0</v>
      </c>
      <c r="AD738" s="36" t="n">
        <f aca="false">IF($W738="RECEITA",$F738,0)</f>
        <v>0</v>
      </c>
      <c r="AE738" s="36" t="n">
        <f aca="false">IF($W738="DESPESA",$F738,0)</f>
        <v>0</v>
      </c>
      <c r="AF738" s="36" t="n">
        <f aca="false">IF($W738="RECEITA_FINANCEIRA",$F738,0)</f>
        <v>0</v>
      </c>
      <c r="AG738" s="36" t="n">
        <f aca="false">IF($B738="",0,IF($I738="CONTA",$F738,0)-IF($G738="CONTA",$F738,0))</f>
        <v>0</v>
      </c>
      <c r="AH738" s="36" t="n">
        <f aca="false">IF($B738="",0,IF($G738="CARTAO",$F738,0)-IF($I738="CARTAO",$F738,0))</f>
        <v>0</v>
      </c>
      <c r="AI738" s="36" t="n">
        <f aca="false">IF($B738="",0,IF($I738="INVESTIMENTO",$F738,0)-IF($G738="INVESTIMENTO",$F738,0))</f>
        <v>0</v>
      </c>
      <c r="AJ738" s="35" t="str">
        <f aca="false">IF($B738="","",IF(NOT(ISNUMBER($F738)),"ERRO: valor nao numerico",IF($F738&lt;=0,"ERRO: valor deve ser maior que zero",IF(COUNTIF(MAP_TIPO,$D738)=0,"ERRO: tipo de operacao nao cadastrado",IF(COUNTIF(LST_STATUS,$E738)=0,"ERRO: status invalido",IF(AND($G738="EXTERNO",$I738="EXTERNO"),"ERRO: origem e destino externos",IF(AND($G738&lt;&gt;"EXTERNO",COUNTIFS(ENT_ID,$H738,ENT_TIPO,$G738)=0),"ERRO: origem inexistente",IF(AND($I738&lt;&gt;"EXTERNO",COUNTIFS(ENT_ID,$J738,ENT_TIPO,$I738)=0),"ERRO: destino inexistente",IF(AND($K738&lt;&gt;"",COUNTIF(CAT_ID,$K738)=0),"ERRO: categoria inexistente",IF(AND($L738&lt;&gt;"",COUNTIF(SUB_ID,$L738)=0),"ERRO: subcategoria inexistente",IF(AND($L738&lt;&gt;"",$K738&lt;&gt;"",IFERROR(INDEX(SUB_CATID,MATCH($L738,SUB_ID,0)),"")&lt;&gt;$K738),"ERRO: subcategoria nao pertence a categoria",IF(AND($O738&lt;&gt;"",COUNTIF(P_ID,$O738)=0),"ERRO: parcela inexistente",IF(AND($N738&lt;&gt;"",COUNTIF(CM_ID,$N738)=0),"ERRO: compromisso inexistente","OK")))))))))))))</f>
        <v/>
      </c>
      <c r="AK738" s="35" t="str">
        <f aca="false">IF($B738="","",IF(AND($N738="",$O738="",$P738="",$Q738="",$R738=""),"","VINCULADO: "&amp;TRIM(IF($N738&lt;&gt;"",$N738&amp;" ","")&amp;IF($O738&lt;&gt;"",$O738&amp;" ","")&amp;IF($P738&lt;&gt;"",$P738&amp;" ","")&amp;IF($Q738&lt;&gt;"",$Q738&amp;" ","")&amp;IF($R738&lt;&gt;"",$R738,""))))</f>
        <v/>
      </c>
    </row>
    <row r="739" customFormat="false" ht="15" hidden="false" customHeight="false" outlineLevel="0" collapsed="false">
      <c r="A739" s="30" t="str">
        <f aca="false">IF($B739="","","LAN-"&amp;TEXT(ROW()-4,"000000"))</f>
        <v/>
      </c>
      <c r="B739" s="31"/>
      <c r="C739" s="32"/>
      <c r="D739" s="32"/>
      <c r="E739" s="32"/>
      <c r="F739" s="33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4" t="str">
        <f aca="false">IF($B739="","",YEAR($B739))</f>
        <v/>
      </c>
      <c r="U739" s="34" t="str">
        <f aca="false">IF($B739="","",MONTH($B739))</f>
        <v/>
      </c>
      <c r="V739" s="34" t="str">
        <f aca="false">IF($B739="","",YEAR($B739)*100+MONTH($B739))</f>
        <v/>
      </c>
      <c r="W739" s="35" t="str">
        <f aca="false">IF($D739="","",IFERROR(INDEX(MAP_CLASS,MATCH($D739,MAP_TIPO,0)),"TIPO INVALIDO"))</f>
        <v/>
      </c>
      <c r="X739" s="35" t="str">
        <f aca="false">IF($K739="","",IFERROR(INDEX(CAT_NOME,MATCH($K739,CAT_ID,0)),"?"))</f>
        <v/>
      </c>
      <c r="Y739" s="35" t="str">
        <f aca="false">IF($L739="","",IFERROR(INDEX(SUB_NOME,MATCH($L739,SUB_ID,0)),"?"))</f>
        <v/>
      </c>
      <c r="Z739" s="35" t="str">
        <f aca="false">IF($G739="","",IF($G739="EXTERNO","(Externo)",IFERROR(INDEX(ENT_NOME,MATCH($H739,ENT_ID,0)),"?")))</f>
        <v/>
      </c>
      <c r="AA739" s="35" t="str">
        <f aca="false">IF($I739="","",IF($I739="EXTERNO","(Externo)",IFERROR(INDEX(ENT_NOME,MATCH($J739,ENT_ID,0)),"?")))</f>
        <v/>
      </c>
      <c r="AB739" s="36" t="n">
        <f aca="false">IF($B739="",0,IF(AND($I739="CONTA",$G739&lt;&gt;"CONTA"),$F739,0))</f>
        <v>0</v>
      </c>
      <c r="AC739" s="36" t="n">
        <f aca="false">IF($B739="",0,IF(AND($G739="CONTA",$I739&lt;&gt;"CONTA"),$F739,0))</f>
        <v>0</v>
      </c>
      <c r="AD739" s="36" t="n">
        <f aca="false">IF($W739="RECEITA",$F739,0)</f>
        <v>0</v>
      </c>
      <c r="AE739" s="36" t="n">
        <f aca="false">IF($W739="DESPESA",$F739,0)</f>
        <v>0</v>
      </c>
      <c r="AF739" s="36" t="n">
        <f aca="false">IF($W739="RECEITA_FINANCEIRA",$F739,0)</f>
        <v>0</v>
      </c>
      <c r="AG739" s="36" t="n">
        <f aca="false">IF($B739="",0,IF($I739="CONTA",$F739,0)-IF($G739="CONTA",$F739,0))</f>
        <v>0</v>
      </c>
      <c r="AH739" s="36" t="n">
        <f aca="false">IF($B739="",0,IF($G739="CARTAO",$F739,0)-IF($I739="CARTAO",$F739,0))</f>
        <v>0</v>
      </c>
      <c r="AI739" s="36" t="n">
        <f aca="false">IF($B739="",0,IF($I739="INVESTIMENTO",$F739,0)-IF($G739="INVESTIMENTO",$F739,0))</f>
        <v>0</v>
      </c>
      <c r="AJ739" s="35" t="str">
        <f aca="false">IF($B739="","",IF(NOT(ISNUMBER($F739)),"ERRO: valor nao numerico",IF($F739&lt;=0,"ERRO: valor deve ser maior que zero",IF(COUNTIF(MAP_TIPO,$D739)=0,"ERRO: tipo de operacao nao cadastrado",IF(COUNTIF(LST_STATUS,$E739)=0,"ERRO: status invalido",IF(AND($G739="EXTERNO",$I739="EXTERNO"),"ERRO: origem e destino externos",IF(AND($G739&lt;&gt;"EXTERNO",COUNTIFS(ENT_ID,$H739,ENT_TIPO,$G739)=0),"ERRO: origem inexistente",IF(AND($I739&lt;&gt;"EXTERNO",COUNTIFS(ENT_ID,$J739,ENT_TIPO,$I739)=0),"ERRO: destino inexistente",IF(AND($K739&lt;&gt;"",COUNTIF(CAT_ID,$K739)=0),"ERRO: categoria inexistente",IF(AND($L739&lt;&gt;"",COUNTIF(SUB_ID,$L739)=0),"ERRO: subcategoria inexistente",IF(AND($L739&lt;&gt;"",$K739&lt;&gt;"",IFERROR(INDEX(SUB_CATID,MATCH($L739,SUB_ID,0)),"")&lt;&gt;$K739),"ERRO: subcategoria nao pertence a categoria",IF(AND($O739&lt;&gt;"",COUNTIF(P_ID,$O739)=0),"ERRO: parcela inexistente",IF(AND($N739&lt;&gt;"",COUNTIF(CM_ID,$N739)=0),"ERRO: compromisso inexistente","OK")))))))))))))</f>
        <v/>
      </c>
      <c r="AK739" s="35" t="str">
        <f aca="false">IF($B739="","",IF(AND($N739="",$O739="",$P739="",$Q739="",$R739=""),"","VINCULADO: "&amp;TRIM(IF($N739&lt;&gt;"",$N739&amp;" ","")&amp;IF($O739&lt;&gt;"",$O739&amp;" ","")&amp;IF($P739&lt;&gt;"",$P739&amp;" ","")&amp;IF($Q739&lt;&gt;"",$Q739&amp;" ","")&amp;IF($R739&lt;&gt;"",$R739,""))))</f>
        <v/>
      </c>
    </row>
    <row r="740" customFormat="false" ht="15" hidden="false" customHeight="false" outlineLevel="0" collapsed="false">
      <c r="A740" s="30" t="str">
        <f aca="false">IF($B740="","","LAN-"&amp;TEXT(ROW()-4,"000000"))</f>
        <v/>
      </c>
      <c r="B740" s="31"/>
      <c r="C740" s="32"/>
      <c r="D740" s="32"/>
      <c r="E740" s="32"/>
      <c r="F740" s="33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4" t="str">
        <f aca="false">IF($B740="","",YEAR($B740))</f>
        <v/>
      </c>
      <c r="U740" s="34" t="str">
        <f aca="false">IF($B740="","",MONTH($B740))</f>
        <v/>
      </c>
      <c r="V740" s="34" t="str">
        <f aca="false">IF($B740="","",YEAR($B740)*100+MONTH($B740))</f>
        <v/>
      </c>
      <c r="W740" s="35" t="str">
        <f aca="false">IF($D740="","",IFERROR(INDEX(MAP_CLASS,MATCH($D740,MAP_TIPO,0)),"TIPO INVALIDO"))</f>
        <v/>
      </c>
      <c r="X740" s="35" t="str">
        <f aca="false">IF($K740="","",IFERROR(INDEX(CAT_NOME,MATCH($K740,CAT_ID,0)),"?"))</f>
        <v/>
      </c>
      <c r="Y740" s="35" t="str">
        <f aca="false">IF($L740="","",IFERROR(INDEX(SUB_NOME,MATCH($L740,SUB_ID,0)),"?"))</f>
        <v/>
      </c>
      <c r="Z740" s="35" t="str">
        <f aca="false">IF($G740="","",IF($G740="EXTERNO","(Externo)",IFERROR(INDEX(ENT_NOME,MATCH($H740,ENT_ID,0)),"?")))</f>
        <v/>
      </c>
      <c r="AA740" s="35" t="str">
        <f aca="false">IF($I740="","",IF($I740="EXTERNO","(Externo)",IFERROR(INDEX(ENT_NOME,MATCH($J740,ENT_ID,0)),"?")))</f>
        <v/>
      </c>
      <c r="AB740" s="36" t="n">
        <f aca="false">IF($B740="",0,IF(AND($I740="CONTA",$G740&lt;&gt;"CONTA"),$F740,0))</f>
        <v>0</v>
      </c>
      <c r="AC740" s="36" t="n">
        <f aca="false">IF($B740="",0,IF(AND($G740="CONTA",$I740&lt;&gt;"CONTA"),$F740,0))</f>
        <v>0</v>
      </c>
      <c r="AD740" s="36" t="n">
        <f aca="false">IF($W740="RECEITA",$F740,0)</f>
        <v>0</v>
      </c>
      <c r="AE740" s="36" t="n">
        <f aca="false">IF($W740="DESPESA",$F740,0)</f>
        <v>0</v>
      </c>
      <c r="AF740" s="36" t="n">
        <f aca="false">IF($W740="RECEITA_FINANCEIRA",$F740,0)</f>
        <v>0</v>
      </c>
      <c r="AG740" s="36" t="n">
        <f aca="false">IF($B740="",0,IF($I740="CONTA",$F740,0)-IF($G740="CONTA",$F740,0))</f>
        <v>0</v>
      </c>
      <c r="AH740" s="36" t="n">
        <f aca="false">IF($B740="",0,IF($G740="CARTAO",$F740,0)-IF($I740="CARTAO",$F740,0))</f>
        <v>0</v>
      </c>
      <c r="AI740" s="36" t="n">
        <f aca="false">IF($B740="",0,IF($I740="INVESTIMENTO",$F740,0)-IF($G740="INVESTIMENTO",$F740,0))</f>
        <v>0</v>
      </c>
      <c r="AJ740" s="35" t="str">
        <f aca="false">IF($B740="","",IF(NOT(ISNUMBER($F740)),"ERRO: valor nao numerico",IF($F740&lt;=0,"ERRO: valor deve ser maior que zero",IF(COUNTIF(MAP_TIPO,$D740)=0,"ERRO: tipo de operacao nao cadastrado",IF(COUNTIF(LST_STATUS,$E740)=0,"ERRO: status invalido",IF(AND($G740="EXTERNO",$I740="EXTERNO"),"ERRO: origem e destino externos",IF(AND($G740&lt;&gt;"EXTERNO",COUNTIFS(ENT_ID,$H740,ENT_TIPO,$G740)=0),"ERRO: origem inexistente",IF(AND($I740&lt;&gt;"EXTERNO",COUNTIFS(ENT_ID,$J740,ENT_TIPO,$I740)=0),"ERRO: destino inexistente",IF(AND($K740&lt;&gt;"",COUNTIF(CAT_ID,$K740)=0),"ERRO: categoria inexistente",IF(AND($L740&lt;&gt;"",COUNTIF(SUB_ID,$L740)=0),"ERRO: subcategoria inexistente",IF(AND($L740&lt;&gt;"",$K740&lt;&gt;"",IFERROR(INDEX(SUB_CATID,MATCH($L740,SUB_ID,0)),"")&lt;&gt;$K740),"ERRO: subcategoria nao pertence a categoria",IF(AND($O740&lt;&gt;"",COUNTIF(P_ID,$O740)=0),"ERRO: parcela inexistente",IF(AND($N740&lt;&gt;"",COUNTIF(CM_ID,$N740)=0),"ERRO: compromisso inexistente","OK")))))))))))))</f>
        <v/>
      </c>
      <c r="AK740" s="35" t="str">
        <f aca="false">IF($B740="","",IF(AND($N740="",$O740="",$P740="",$Q740="",$R740=""),"","VINCULADO: "&amp;TRIM(IF($N740&lt;&gt;"",$N740&amp;" ","")&amp;IF($O740&lt;&gt;"",$O740&amp;" ","")&amp;IF($P740&lt;&gt;"",$P740&amp;" ","")&amp;IF($Q740&lt;&gt;"",$Q740&amp;" ","")&amp;IF($R740&lt;&gt;"",$R740,""))))</f>
        <v/>
      </c>
    </row>
    <row r="741" customFormat="false" ht="15" hidden="false" customHeight="false" outlineLevel="0" collapsed="false">
      <c r="A741" s="30" t="str">
        <f aca="false">IF($B741="","","LAN-"&amp;TEXT(ROW()-4,"000000"))</f>
        <v/>
      </c>
      <c r="B741" s="31"/>
      <c r="C741" s="32"/>
      <c r="D741" s="32"/>
      <c r="E741" s="32"/>
      <c r="F741" s="33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4" t="str">
        <f aca="false">IF($B741="","",YEAR($B741))</f>
        <v/>
      </c>
      <c r="U741" s="34" t="str">
        <f aca="false">IF($B741="","",MONTH($B741))</f>
        <v/>
      </c>
      <c r="V741" s="34" t="str">
        <f aca="false">IF($B741="","",YEAR($B741)*100+MONTH($B741))</f>
        <v/>
      </c>
      <c r="W741" s="35" t="str">
        <f aca="false">IF($D741="","",IFERROR(INDEX(MAP_CLASS,MATCH($D741,MAP_TIPO,0)),"TIPO INVALIDO"))</f>
        <v/>
      </c>
      <c r="X741" s="35" t="str">
        <f aca="false">IF($K741="","",IFERROR(INDEX(CAT_NOME,MATCH($K741,CAT_ID,0)),"?"))</f>
        <v/>
      </c>
      <c r="Y741" s="35" t="str">
        <f aca="false">IF($L741="","",IFERROR(INDEX(SUB_NOME,MATCH($L741,SUB_ID,0)),"?"))</f>
        <v/>
      </c>
      <c r="Z741" s="35" t="str">
        <f aca="false">IF($G741="","",IF($G741="EXTERNO","(Externo)",IFERROR(INDEX(ENT_NOME,MATCH($H741,ENT_ID,0)),"?")))</f>
        <v/>
      </c>
      <c r="AA741" s="35" t="str">
        <f aca="false">IF($I741="","",IF($I741="EXTERNO","(Externo)",IFERROR(INDEX(ENT_NOME,MATCH($J741,ENT_ID,0)),"?")))</f>
        <v/>
      </c>
      <c r="AB741" s="36" t="n">
        <f aca="false">IF($B741="",0,IF(AND($I741="CONTA",$G741&lt;&gt;"CONTA"),$F741,0))</f>
        <v>0</v>
      </c>
      <c r="AC741" s="36" t="n">
        <f aca="false">IF($B741="",0,IF(AND($G741="CONTA",$I741&lt;&gt;"CONTA"),$F741,0))</f>
        <v>0</v>
      </c>
      <c r="AD741" s="36" t="n">
        <f aca="false">IF($W741="RECEITA",$F741,0)</f>
        <v>0</v>
      </c>
      <c r="AE741" s="36" t="n">
        <f aca="false">IF($W741="DESPESA",$F741,0)</f>
        <v>0</v>
      </c>
      <c r="AF741" s="36" t="n">
        <f aca="false">IF($W741="RECEITA_FINANCEIRA",$F741,0)</f>
        <v>0</v>
      </c>
      <c r="AG741" s="36" t="n">
        <f aca="false">IF($B741="",0,IF($I741="CONTA",$F741,0)-IF($G741="CONTA",$F741,0))</f>
        <v>0</v>
      </c>
      <c r="AH741" s="36" t="n">
        <f aca="false">IF($B741="",0,IF($G741="CARTAO",$F741,0)-IF($I741="CARTAO",$F741,0))</f>
        <v>0</v>
      </c>
      <c r="AI741" s="36" t="n">
        <f aca="false">IF($B741="",0,IF($I741="INVESTIMENTO",$F741,0)-IF($G741="INVESTIMENTO",$F741,0))</f>
        <v>0</v>
      </c>
      <c r="AJ741" s="35" t="str">
        <f aca="false">IF($B741="","",IF(NOT(ISNUMBER($F741)),"ERRO: valor nao numerico",IF($F741&lt;=0,"ERRO: valor deve ser maior que zero",IF(COUNTIF(MAP_TIPO,$D741)=0,"ERRO: tipo de operacao nao cadastrado",IF(COUNTIF(LST_STATUS,$E741)=0,"ERRO: status invalido",IF(AND($G741="EXTERNO",$I741="EXTERNO"),"ERRO: origem e destino externos",IF(AND($G741&lt;&gt;"EXTERNO",COUNTIFS(ENT_ID,$H741,ENT_TIPO,$G741)=0),"ERRO: origem inexistente",IF(AND($I741&lt;&gt;"EXTERNO",COUNTIFS(ENT_ID,$J741,ENT_TIPO,$I741)=0),"ERRO: destino inexistente",IF(AND($K741&lt;&gt;"",COUNTIF(CAT_ID,$K741)=0),"ERRO: categoria inexistente",IF(AND($L741&lt;&gt;"",COUNTIF(SUB_ID,$L741)=0),"ERRO: subcategoria inexistente",IF(AND($L741&lt;&gt;"",$K741&lt;&gt;"",IFERROR(INDEX(SUB_CATID,MATCH($L741,SUB_ID,0)),"")&lt;&gt;$K741),"ERRO: subcategoria nao pertence a categoria",IF(AND($O741&lt;&gt;"",COUNTIF(P_ID,$O741)=0),"ERRO: parcela inexistente",IF(AND($N741&lt;&gt;"",COUNTIF(CM_ID,$N741)=0),"ERRO: compromisso inexistente","OK")))))))))))))</f>
        <v/>
      </c>
      <c r="AK741" s="35" t="str">
        <f aca="false">IF($B741="","",IF(AND($N741="",$O741="",$P741="",$Q741="",$R741=""),"","VINCULADO: "&amp;TRIM(IF($N741&lt;&gt;"",$N741&amp;" ","")&amp;IF($O741&lt;&gt;"",$O741&amp;" ","")&amp;IF($P741&lt;&gt;"",$P741&amp;" ","")&amp;IF($Q741&lt;&gt;"",$Q741&amp;" ","")&amp;IF($R741&lt;&gt;"",$R741,""))))</f>
        <v/>
      </c>
    </row>
    <row r="742" customFormat="false" ht="15" hidden="false" customHeight="false" outlineLevel="0" collapsed="false">
      <c r="A742" s="30" t="str">
        <f aca="false">IF($B742="","","LAN-"&amp;TEXT(ROW()-4,"000000"))</f>
        <v/>
      </c>
      <c r="B742" s="31"/>
      <c r="C742" s="32"/>
      <c r="D742" s="32"/>
      <c r="E742" s="32"/>
      <c r="F742" s="33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4" t="str">
        <f aca="false">IF($B742="","",YEAR($B742))</f>
        <v/>
      </c>
      <c r="U742" s="34" t="str">
        <f aca="false">IF($B742="","",MONTH($B742))</f>
        <v/>
      </c>
      <c r="V742" s="34" t="str">
        <f aca="false">IF($B742="","",YEAR($B742)*100+MONTH($B742))</f>
        <v/>
      </c>
      <c r="W742" s="35" t="str">
        <f aca="false">IF($D742="","",IFERROR(INDEX(MAP_CLASS,MATCH($D742,MAP_TIPO,0)),"TIPO INVALIDO"))</f>
        <v/>
      </c>
      <c r="X742" s="35" t="str">
        <f aca="false">IF($K742="","",IFERROR(INDEX(CAT_NOME,MATCH($K742,CAT_ID,0)),"?"))</f>
        <v/>
      </c>
      <c r="Y742" s="35" t="str">
        <f aca="false">IF($L742="","",IFERROR(INDEX(SUB_NOME,MATCH($L742,SUB_ID,0)),"?"))</f>
        <v/>
      </c>
      <c r="Z742" s="35" t="str">
        <f aca="false">IF($G742="","",IF($G742="EXTERNO","(Externo)",IFERROR(INDEX(ENT_NOME,MATCH($H742,ENT_ID,0)),"?")))</f>
        <v/>
      </c>
      <c r="AA742" s="35" t="str">
        <f aca="false">IF($I742="","",IF($I742="EXTERNO","(Externo)",IFERROR(INDEX(ENT_NOME,MATCH($J742,ENT_ID,0)),"?")))</f>
        <v/>
      </c>
      <c r="AB742" s="36" t="n">
        <f aca="false">IF($B742="",0,IF(AND($I742="CONTA",$G742&lt;&gt;"CONTA"),$F742,0))</f>
        <v>0</v>
      </c>
      <c r="AC742" s="36" t="n">
        <f aca="false">IF($B742="",0,IF(AND($G742="CONTA",$I742&lt;&gt;"CONTA"),$F742,0))</f>
        <v>0</v>
      </c>
      <c r="AD742" s="36" t="n">
        <f aca="false">IF($W742="RECEITA",$F742,0)</f>
        <v>0</v>
      </c>
      <c r="AE742" s="36" t="n">
        <f aca="false">IF($W742="DESPESA",$F742,0)</f>
        <v>0</v>
      </c>
      <c r="AF742" s="36" t="n">
        <f aca="false">IF($W742="RECEITA_FINANCEIRA",$F742,0)</f>
        <v>0</v>
      </c>
      <c r="AG742" s="36" t="n">
        <f aca="false">IF($B742="",0,IF($I742="CONTA",$F742,0)-IF($G742="CONTA",$F742,0))</f>
        <v>0</v>
      </c>
      <c r="AH742" s="36" t="n">
        <f aca="false">IF($B742="",0,IF($G742="CARTAO",$F742,0)-IF($I742="CARTAO",$F742,0))</f>
        <v>0</v>
      </c>
      <c r="AI742" s="36" t="n">
        <f aca="false">IF($B742="",0,IF($I742="INVESTIMENTO",$F742,0)-IF($G742="INVESTIMENTO",$F742,0))</f>
        <v>0</v>
      </c>
      <c r="AJ742" s="35" t="str">
        <f aca="false">IF($B742="","",IF(NOT(ISNUMBER($F742)),"ERRO: valor nao numerico",IF($F742&lt;=0,"ERRO: valor deve ser maior que zero",IF(COUNTIF(MAP_TIPO,$D742)=0,"ERRO: tipo de operacao nao cadastrado",IF(COUNTIF(LST_STATUS,$E742)=0,"ERRO: status invalido",IF(AND($G742="EXTERNO",$I742="EXTERNO"),"ERRO: origem e destino externos",IF(AND($G742&lt;&gt;"EXTERNO",COUNTIFS(ENT_ID,$H742,ENT_TIPO,$G742)=0),"ERRO: origem inexistente",IF(AND($I742&lt;&gt;"EXTERNO",COUNTIFS(ENT_ID,$J742,ENT_TIPO,$I742)=0),"ERRO: destino inexistente",IF(AND($K742&lt;&gt;"",COUNTIF(CAT_ID,$K742)=0),"ERRO: categoria inexistente",IF(AND($L742&lt;&gt;"",COUNTIF(SUB_ID,$L742)=0),"ERRO: subcategoria inexistente",IF(AND($L742&lt;&gt;"",$K742&lt;&gt;"",IFERROR(INDEX(SUB_CATID,MATCH($L742,SUB_ID,0)),"")&lt;&gt;$K742),"ERRO: subcategoria nao pertence a categoria",IF(AND($O742&lt;&gt;"",COUNTIF(P_ID,$O742)=0),"ERRO: parcela inexistente",IF(AND($N742&lt;&gt;"",COUNTIF(CM_ID,$N742)=0),"ERRO: compromisso inexistente","OK")))))))))))))</f>
        <v/>
      </c>
      <c r="AK742" s="35" t="str">
        <f aca="false">IF($B742="","",IF(AND($N742="",$O742="",$P742="",$Q742="",$R742=""),"","VINCULADO: "&amp;TRIM(IF($N742&lt;&gt;"",$N742&amp;" ","")&amp;IF($O742&lt;&gt;"",$O742&amp;" ","")&amp;IF($P742&lt;&gt;"",$P742&amp;" ","")&amp;IF($Q742&lt;&gt;"",$Q742&amp;" ","")&amp;IF($R742&lt;&gt;"",$R742,""))))</f>
        <v/>
      </c>
    </row>
    <row r="743" customFormat="false" ht="15" hidden="false" customHeight="false" outlineLevel="0" collapsed="false">
      <c r="A743" s="30" t="str">
        <f aca="false">IF($B743="","","LAN-"&amp;TEXT(ROW()-4,"000000"))</f>
        <v/>
      </c>
      <c r="B743" s="31"/>
      <c r="C743" s="32"/>
      <c r="D743" s="32"/>
      <c r="E743" s="32"/>
      <c r="F743" s="33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4" t="str">
        <f aca="false">IF($B743="","",YEAR($B743))</f>
        <v/>
      </c>
      <c r="U743" s="34" t="str">
        <f aca="false">IF($B743="","",MONTH($B743))</f>
        <v/>
      </c>
      <c r="V743" s="34" t="str">
        <f aca="false">IF($B743="","",YEAR($B743)*100+MONTH($B743))</f>
        <v/>
      </c>
      <c r="W743" s="35" t="str">
        <f aca="false">IF($D743="","",IFERROR(INDEX(MAP_CLASS,MATCH($D743,MAP_TIPO,0)),"TIPO INVALIDO"))</f>
        <v/>
      </c>
      <c r="X743" s="35" t="str">
        <f aca="false">IF($K743="","",IFERROR(INDEX(CAT_NOME,MATCH($K743,CAT_ID,0)),"?"))</f>
        <v/>
      </c>
      <c r="Y743" s="35" t="str">
        <f aca="false">IF($L743="","",IFERROR(INDEX(SUB_NOME,MATCH($L743,SUB_ID,0)),"?"))</f>
        <v/>
      </c>
      <c r="Z743" s="35" t="str">
        <f aca="false">IF($G743="","",IF($G743="EXTERNO","(Externo)",IFERROR(INDEX(ENT_NOME,MATCH($H743,ENT_ID,0)),"?")))</f>
        <v/>
      </c>
      <c r="AA743" s="35" t="str">
        <f aca="false">IF($I743="","",IF($I743="EXTERNO","(Externo)",IFERROR(INDEX(ENT_NOME,MATCH($J743,ENT_ID,0)),"?")))</f>
        <v/>
      </c>
      <c r="AB743" s="36" t="n">
        <f aca="false">IF($B743="",0,IF(AND($I743="CONTA",$G743&lt;&gt;"CONTA"),$F743,0))</f>
        <v>0</v>
      </c>
      <c r="AC743" s="36" t="n">
        <f aca="false">IF($B743="",0,IF(AND($G743="CONTA",$I743&lt;&gt;"CONTA"),$F743,0))</f>
        <v>0</v>
      </c>
      <c r="AD743" s="36" t="n">
        <f aca="false">IF($W743="RECEITA",$F743,0)</f>
        <v>0</v>
      </c>
      <c r="AE743" s="36" t="n">
        <f aca="false">IF($W743="DESPESA",$F743,0)</f>
        <v>0</v>
      </c>
      <c r="AF743" s="36" t="n">
        <f aca="false">IF($W743="RECEITA_FINANCEIRA",$F743,0)</f>
        <v>0</v>
      </c>
      <c r="AG743" s="36" t="n">
        <f aca="false">IF($B743="",0,IF($I743="CONTA",$F743,0)-IF($G743="CONTA",$F743,0))</f>
        <v>0</v>
      </c>
      <c r="AH743" s="36" t="n">
        <f aca="false">IF($B743="",0,IF($G743="CARTAO",$F743,0)-IF($I743="CARTAO",$F743,0))</f>
        <v>0</v>
      </c>
      <c r="AI743" s="36" t="n">
        <f aca="false">IF($B743="",0,IF($I743="INVESTIMENTO",$F743,0)-IF($G743="INVESTIMENTO",$F743,0))</f>
        <v>0</v>
      </c>
      <c r="AJ743" s="35" t="str">
        <f aca="false">IF($B743="","",IF(NOT(ISNUMBER($F743)),"ERRO: valor nao numerico",IF($F743&lt;=0,"ERRO: valor deve ser maior que zero",IF(COUNTIF(MAP_TIPO,$D743)=0,"ERRO: tipo de operacao nao cadastrado",IF(COUNTIF(LST_STATUS,$E743)=0,"ERRO: status invalido",IF(AND($G743="EXTERNO",$I743="EXTERNO"),"ERRO: origem e destino externos",IF(AND($G743&lt;&gt;"EXTERNO",COUNTIFS(ENT_ID,$H743,ENT_TIPO,$G743)=0),"ERRO: origem inexistente",IF(AND($I743&lt;&gt;"EXTERNO",COUNTIFS(ENT_ID,$J743,ENT_TIPO,$I743)=0),"ERRO: destino inexistente",IF(AND($K743&lt;&gt;"",COUNTIF(CAT_ID,$K743)=0),"ERRO: categoria inexistente",IF(AND($L743&lt;&gt;"",COUNTIF(SUB_ID,$L743)=0),"ERRO: subcategoria inexistente",IF(AND($L743&lt;&gt;"",$K743&lt;&gt;"",IFERROR(INDEX(SUB_CATID,MATCH($L743,SUB_ID,0)),"")&lt;&gt;$K743),"ERRO: subcategoria nao pertence a categoria",IF(AND($O743&lt;&gt;"",COUNTIF(P_ID,$O743)=0),"ERRO: parcela inexistente",IF(AND($N743&lt;&gt;"",COUNTIF(CM_ID,$N743)=0),"ERRO: compromisso inexistente","OK")))))))))))))</f>
        <v/>
      </c>
      <c r="AK743" s="35" t="str">
        <f aca="false">IF($B743="","",IF(AND($N743="",$O743="",$P743="",$Q743="",$R743=""),"","VINCULADO: "&amp;TRIM(IF($N743&lt;&gt;"",$N743&amp;" ","")&amp;IF($O743&lt;&gt;"",$O743&amp;" ","")&amp;IF($P743&lt;&gt;"",$P743&amp;" ","")&amp;IF($Q743&lt;&gt;"",$Q743&amp;" ","")&amp;IF($R743&lt;&gt;"",$R743,""))))</f>
        <v/>
      </c>
    </row>
    <row r="744" customFormat="false" ht="15" hidden="false" customHeight="false" outlineLevel="0" collapsed="false">
      <c r="A744" s="30" t="str">
        <f aca="false">IF($B744="","","LAN-"&amp;TEXT(ROW()-4,"000000"))</f>
        <v/>
      </c>
      <c r="B744" s="31"/>
      <c r="C744" s="32"/>
      <c r="D744" s="32"/>
      <c r="E744" s="32"/>
      <c r="F744" s="33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4" t="str">
        <f aca="false">IF($B744="","",YEAR($B744))</f>
        <v/>
      </c>
      <c r="U744" s="34" t="str">
        <f aca="false">IF($B744="","",MONTH($B744))</f>
        <v/>
      </c>
      <c r="V744" s="34" t="str">
        <f aca="false">IF($B744="","",YEAR($B744)*100+MONTH($B744))</f>
        <v/>
      </c>
      <c r="W744" s="35" t="str">
        <f aca="false">IF($D744="","",IFERROR(INDEX(MAP_CLASS,MATCH($D744,MAP_TIPO,0)),"TIPO INVALIDO"))</f>
        <v/>
      </c>
      <c r="X744" s="35" t="str">
        <f aca="false">IF($K744="","",IFERROR(INDEX(CAT_NOME,MATCH($K744,CAT_ID,0)),"?"))</f>
        <v/>
      </c>
      <c r="Y744" s="35" t="str">
        <f aca="false">IF($L744="","",IFERROR(INDEX(SUB_NOME,MATCH($L744,SUB_ID,0)),"?"))</f>
        <v/>
      </c>
      <c r="Z744" s="35" t="str">
        <f aca="false">IF($G744="","",IF($G744="EXTERNO","(Externo)",IFERROR(INDEX(ENT_NOME,MATCH($H744,ENT_ID,0)),"?")))</f>
        <v/>
      </c>
      <c r="AA744" s="35" t="str">
        <f aca="false">IF($I744="","",IF($I744="EXTERNO","(Externo)",IFERROR(INDEX(ENT_NOME,MATCH($J744,ENT_ID,0)),"?")))</f>
        <v/>
      </c>
      <c r="AB744" s="36" t="n">
        <f aca="false">IF($B744="",0,IF(AND($I744="CONTA",$G744&lt;&gt;"CONTA"),$F744,0))</f>
        <v>0</v>
      </c>
      <c r="AC744" s="36" t="n">
        <f aca="false">IF($B744="",0,IF(AND($G744="CONTA",$I744&lt;&gt;"CONTA"),$F744,0))</f>
        <v>0</v>
      </c>
      <c r="AD744" s="36" t="n">
        <f aca="false">IF($W744="RECEITA",$F744,0)</f>
        <v>0</v>
      </c>
      <c r="AE744" s="36" t="n">
        <f aca="false">IF($W744="DESPESA",$F744,0)</f>
        <v>0</v>
      </c>
      <c r="AF744" s="36" t="n">
        <f aca="false">IF($W744="RECEITA_FINANCEIRA",$F744,0)</f>
        <v>0</v>
      </c>
      <c r="AG744" s="36" t="n">
        <f aca="false">IF($B744="",0,IF($I744="CONTA",$F744,0)-IF($G744="CONTA",$F744,0))</f>
        <v>0</v>
      </c>
      <c r="AH744" s="36" t="n">
        <f aca="false">IF($B744="",0,IF($G744="CARTAO",$F744,0)-IF($I744="CARTAO",$F744,0))</f>
        <v>0</v>
      </c>
      <c r="AI744" s="36" t="n">
        <f aca="false">IF($B744="",0,IF($I744="INVESTIMENTO",$F744,0)-IF($G744="INVESTIMENTO",$F744,0))</f>
        <v>0</v>
      </c>
      <c r="AJ744" s="35" t="str">
        <f aca="false">IF($B744="","",IF(NOT(ISNUMBER($F744)),"ERRO: valor nao numerico",IF($F744&lt;=0,"ERRO: valor deve ser maior que zero",IF(COUNTIF(MAP_TIPO,$D744)=0,"ERRO: tipo de operacao nao cadastrado",IF(COUNTIF(LST_STATUS,$E744)=0,"ERRO: status invalido",IF(AND($G744="EXTERNO",$I744="EXTERNO"),"ERRO: origem e destino externos",IF(AND($G744&lt;&gt;"EXTERNO",COUNTIFS(ENT_ID,$H744,ENT_TIPO,$G744)=0),"ERRO: origem inexistente",IF(AND($I744&lt;&gt;"EXTERNO",COUNTIFS(ENT_ID,$J744,ENT_TIPO,$I744)=0),"ERRO: destino inexistente",IF(AND($K744&lt;&gt;"",COUNTIF(CAT_ID,$K744)=0),"ERRO: categoria inexistente",IF(AND($L744&lt;&gt;"",COUNTIF(SUB_ID,$L744)=0),"ERRO: subcategoria inexistente",IF(AND($L744&lt;&gt;"",$K744&lt;&gt;"",IFERROR(INDEX(SUB_CATID,MATCH($L744,SUB_ID,0)),"")&lt;&gt;$K744),"ERRO: subcategoria nao pertence a categoria",IF(AND($O744&lt;&gt;"",COUNTIF(P_ID,$O744)=0),"ERRO: parcela inexistente",IF(AND($N744&lt;&gt;"",COUNTIF(CM_ID,$N744)=0),"ERRO: compromisso inexistente","OK")))))))))))))</f>
        <v/>
      </c>
      <c r="AK744" s="35" t="str">
        <f aca="false">IF($B744="","",IF(AND($N744="",$O744="",$P744="",$Q744="",$R744=""),"","VINCULADO: "&amp;TRIM(IF($N744&lt;&gt;"",$N744&amp;" ","")&amp;IF($O744&lt;&gt;"",$O744&amp;" ","")&amp;IF($P744&lt;&gt;"",$P744&amp;" ","")&amp;IF($Q744&lt;&gt;"",$Q744&amp;" ","")&amp;IF($R744&lt;&gt;"",$R744,""))))</f>
        <v/>
      </c>
    </row>
    <row r="745" customFormat="false" ht="15" hidden="false" customHeight="false" outlineLevel="0" collapsed="false">
      <c r="A745" s="30" t="str">
        <f aca="false">IF($B745="","","LAN-"&amp;TEXT(ROW()-4,"000000"))</f>
        <v/>
      </c>
      <c r="B745" s="31"/>
      <c r="C745" s="32"/>
      <c r="D745" s="32"/>
      <c r="E745" s="32"/>
      <c r="F745" s="33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4" t="str">
        <f aca="false">IF($B745="","",YEAR($B745))</f>
        <v/>
      </c>
      <c r="U745" s="34" t="str">
        <f aca="false">IF($B745="","",MONTH($B745))</f>
        <v/>
      </c>
      <c r="V745" s="34" t="str">
        <f aca="false">IF($B745="","",YEAR($B745)*100+MONTH($B745))</f>
        <v/>
      </c>
      <c r="W745" s="35" t="str">
        <f aca="false">IF($D745="","",IFERROR(INDEX(MAP_CLASS,MATCH($D745,MAP_TIPO,0)),"TIPO INVALIDO"))</f>
        <v/>
      </c>
      <c r="X745" s="35" t="str">
        <f aca="false">IF($K745="","",IFERROR(INDEX(CAT_NOME,MATCH($K745,CAT_ID,0)),"?"))</f>
        <v/>
      </c>
      <c r="Y745" s="35" t="str">
        <f aca="false">IF($L745="","",IFERROR(INDEX(SUB_NOME,MATCH($L745,SUB_ID,0)),"?"))</f>
        <v/>
      </c>
      <c r="Z745" s="35" t="str">
        <f aca="false">IF($G745="","",IF($G745="EXTERNO","(Externo)",IFERROR(INDEX(ENT_NOME,MATCH($H745,ENT_ID,0)),"?")))</f>
        <v/>
      </c>
      <c r="AA745" s="35" t="str">
        <f aca="false">IF($I745="","",IF($I745="EXTERNO","(Externo)",IFERROR(INDEX(ENT_NOME,MATCH($J745,ENT_ID,0)),"?")))</f>
        <v/>
      </c>
      <c r="AB745" s="36" t="n">
        <f aca="false">IF($B745="",0,IF(AND($I745="CONTA",$G745&lt;&gt;"CONTA"),$F745,0))</f>
        <v>0</v>
      </c>
      <c r="AC745" s="36" t="n">
        <f aca="false">IF($B745="",0,IF(AND($G745="CONTA",$I745&lt;&gt;"CONTA"),$F745,0))</f>
        <v>0</v>
      </c>
      <c r="AD745" s="36" t="n">
        <f aca="false">IF($W745="RECEITA",$F745,0)</f>
        <v>0</v>
      </c>
      <c r="AE745" s="36" t="n">
        <f aca="false">IF($W745="DESPESA",$F745,0)</f>
        <v>0</v>
      </c>
      <c r="AF745" s="36" t="n">
        <f aca="false">IF($W745="RECEITA_FINANCEIRA",$F745,0)</f>
        <v>0</v>
      </c>
      <c r="AG745" s="36" t="n">
        <f aca="false">IF($B745="",0,IF($I745="CONTA",$F745,0)-IF($G745="CONTA",$F745,0))</f>
        <v>0</v>
      </c>
      <c r="AH745" s="36" t="n">
        <f aca="false">IF($B745="",0,IF($G745="CARTAO",$F745,0)-IF($I745="CARTAO",$F745,0))</f>
        <v>0</v>
      </c>
      <c r="AI745" s="36" t="n">
        <f aca="false">IF($B745="",0,IF($I745="INVESTIMENTO",$F745,0)-IF($G745="INVESTIMENTO",$F745,0))</f>
        <v>0</v>
      </c>
      <c r="AJ745" s="35" t="str">
        <f aca="false">IF($B745="","",IF(NOT(ISNUMBER($F745)),"ERRO: valor nao numerico",IF($F745&lt;=0,"ERRO: valor deve ser maior que zero",IF(COUNTIF(MAP_TIPO,$D745)=0,"ERRO: tipo de operacao nao cadastrado",IF(COUNTIF(LST_STATUS,$E745)=0,"ERRO: status invalido",IF(AND($G745="EXTERNO",$I745="EXTERNO"),"ERRO: origem e destino externos",IF(AND($G745&lt;&gt;"EXTERNO",COUNTIFS(ENT_ID,$H745,ENT_TIPO,$G745)=0),"ERRO: origem inexistente",IF(AND($I745&lt;&gt;"EXTERNO",COUNTIFS(ENT_ID,$J745,ENT_TIPO,$I745)=0),"ERRO: destino inexistente",IF(AND($K745&lt;&gt;"",COUNTIF(CAT_ID,$K745)=0),"ERRO: categoria inexistente",IF(AND($L745&lt;&gt;"",COUNTIF(SUB_ID,$L745)=0),"ERRO: subcategoria inexistente",IF(AND($L745&lt;&gt;"",$K745&lt;&gt;"",IFERROR(INDEX(SUB_CATID,MATCH($L745,SUB_ID,0)),"")&lt;&gt;$K745),"ERRO: subcategoria nao pertence a categoria",IF(AND($O745&lt;&gt;"",COUNTIF(P_ID,$O745)=0),"ERRO: parcela inexistente",IF(AND($N745&lt;&gt;"",COUNTIF(CM_ID,$N745)=0),"ERRO: compromisso inexistente","OK")))))))))))))</f>
        <v/>
      </c>
      <c r="AK745" s="35" t="str">
        <f aca="false">IF($B745="","",IF(AND($N745="",$O745="",$P745="",$Q745="",$R745=""),"","VINCULADO: "&amp;TRIM(IF($N745&lt;&gt;"",$N745&amp;" ","")&amp;IF($O745&lt;&gt;"",$O745&amp;" ","")&amp;IF($P745&lt;&gt;"",$P745&amp;" ","")&amp;IF($Q745&lt;&gt;"",$Q745&amp;" ","")&amp;IF($R745&lt;&gt;"",$R745,""))))</f>
        <v/>
      </c>
    </row>
    <row r="746" customFormat="false" ht="15" hidden="false" customHeight="false" outlineLevel="0" collapsed="false">
      <c r="A746" s="30" t="str">
        <f aca="false">IF($B746="","","LAN-"&amp;TEXT(ROW()-4,"000000"))</f>
        <v/>
      </c>
      <c r="B746" s="31"/>
      <c r="C746" s="32"/>
      <c r="D746" s="32"/>
      <c r="E746" s="32"/>
      <c r="F746" s="33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4" t="str">
        <f aca="false">IF($B746="","",YEAR($B746))</f>
        <v/>
      </c>
      <c r="U746" s="34" t="str">
        <f aca="false">IF($B746="","",MONTH($B746))</f>
        <v/>
      </c>
      <c r="V746" s="34" t="str">
        <f aca="false">IF($B746="","",YEAR($B746)*100+MONTH($B746))</f>
        <v/>
      </c>
      <c r="W746" s="35" t="str">
        <f aca="false">IF($D746="","",IFERROR(INDEX(MAP_CLASS,MATCH($D746,MAP_TIPO,0)),"TIPO INVALIDO"))</f>
        <v/>
      </c>
      <c r="X746" s="35" t="str">
        <f aca="false">IF($K746="","",IFERROR(INDEX(CAT_NOME,MATCH($K746,CAT_ID,0)),"?"))</f>
        <v/>
      </c>
      <c r="Y746" s="35" t="str">
        <f aca="false">IF($L746="","",IFERROR(INDEX(SUB_NOME,MATCH($L746,SUB_ID,0)),"?"))</f>
        <v/>
      </c>
      <c r="Z746" s="35" t="str">
        <f aca="false">IF($G746="","",IF($G746="EXTERNO","(Externo)",IFERROR(INDEX(ENT_NOME,MATCH($H746,ENT_ID,0)),"?")))</f>
        <v/>
      </c>
      <c r="AA746" s="35" t="str">
        <f aca="false">IF($I746="","",IF($I746="EXTERNO","(Externo)",IFERROR(INDEX(ENT_NOME,MATCH($J746,ENT_ID,0)),"?")))</f>
        <v/>
      </c>
      <c r="AB746" s="36" t="n">
        <f aca="false">IF($B746="",0,IF(AND($I746="CONTA",$G746&lt;&gt;"CONTA"),$F746,0))</f>
        <v>0</v>
      </c>
      <c r="AC746" s="36" t="n">
        <f aca="false">IF($B746="",0,IF(AND($G746="CONTA",$I746&lt;&gt;"CONTA"),$F746,0))</f>
        <v>0</v>
      </c>
      <c r="AD746" s="36" t="n">
        <f aca="false">IF($W746="RECEITA",$F746,0)</f>
        <v>0</v>
      </c>
      <c r="AE746" s="36" t="n">
        <f aca="false">IF($W746="DESPESA",$F746,0)</f>
        <v>0</v>
      </c>
      <c r="AF746" s="36" t="n">
        <f aca="false">IF($W746="RECEITA_FINANCEIRA",$F746,0)</f>
        <v>0</v>
      </c>
      <c r="AG746" s="36" t="n">
        <f aca="false">IF($B746="",0,IF($I746="CONTA",$F746,0)-IF($G746="CONTA",$F746,0))</f>
        <v>0</v>
      </c>
      <c r="AH746" s="36" t="n">
        <f aca="false">IF($B746="",0,IF($G746="CARTAO",$F746,0)-IF($I746="CARTAO",$F746,0))</f>
        <v>0</v>
      </c>
      <c r="AI746" s="36" t="n">
        <f aca="false">IF($B746="",0,IF($I746="INVESTIMENTO",$F746,0)-IF($G746="INVESTIMENTO",$F746,0))</f>
        <v>0</v>
      </c>
      <c r="AJ746" s="35" t="str">
        <f aca="false">IF($B746="","",IF(NOT(ISNUMBER($F746)),"ERRO: valor nao numerico",IF($F746&lt;=0,"ERRO: valor deve ser maior que zero",IF(COUNTIF(MAP_TIPO,$D746)=0,"ERRO: tipo de operacao nao cadastrado",IF(COUNTIF(LST_STATUS,$E746)=0,"ERRO: status invalido",IF(AND($G746="EXTERNO",$I746="EXTERNO"),"ERRO: origem e destino externos",IF(AND($G746&lt;&gt;"EXTERNO",COUNTIFS(ENT_ID,$H746,ENT_TIPO,$G746)=0),"ERRO: origem inexistente",IF(AND($I746&lt;&gt;"EXTERNO",COUNTIFS(ENT_ID,$J746,ENT_TIPO,$I746)=0),"ERRO: destino inexistente",IF(AND($K746&lt;&gt;"",COUNTIF(CAT_ID,$K746)=0),"ERRO: categoria inexistente",IF(AND($L746&lt;&gt;"",COUNTIF(SUB_ID,$L746)=0),"ERRO: subcategoria inexistente",IF(AND($L746&lt;&gt;"",$K746&lt;&gt;"",IFERROR(INDEX(SUB_CATID,MATCH($L746,SUB_ID,0)),"")&lt;&gt;$K746),"ERRO: subcategoria nao pertence a categoria",IF(AND($O746&lt;&gt;"",COUNTIF(P_ID,$O746)=0),"ERRO: parcela inexistente",IF(AND($N746&lt;&gt;"",COUNTIF(CM_ID,$N746)=0),"ERRO: compromisso inexistente","OK")))))))))))))</f>
        <v/>
      </c>
      <c r="AK746" s="35" t="str">
        <f aca="false">IF($B746="","",IF(AND($N746="",$O746="",$P746="",$Q746="",$R746=""),"","VINCULADO: "&amp;TRIM(IF($N746&lt;&gt;"",$N746&amp;" ","")&amp;IF($O746&lt;&gt;"",$O746&amp;" ","")&amp;IF($P746&lt;&gt;"",$P746&amp;" ","")&amp;IF($Q746&lt;&gt;"",$Q746&amp;" ","")&amp;IF($R746&lt;&gt;"",$R746,""))))</f>
        <v/>
      </c>
    </row>
    <row r="747" customFormat="false" ht="15" hidden="false" customHeight="false" outlineLevel="0" collapsed="false">
      <c r="A747" s="30" t="str">
        <f aca="false">IF($B747="","","LAN-"&amp;TEXT(ROW()-4,"000000"))</f>
        <v/>
      </c>
      <c r="B747" s="31"/>
      <c r="C747" s="32"/>
      <c r="D747" s="32"/>
      <c r="E747" s="32"/>
      <c r="F747" s="33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4" t="str">
        <f aca="false">IF($B747="","",YEAR($B747))</f>
        <v/>
      </c>
      <c r="U747" s="34" t="str">
        <f aca="false">IF($B747="","",MONTH($B747))</f>
        <v/>
      </c>
      <c r="V747" s="34" t="str">
        <f aca="false">IF($B747="","",YEAR($B747)*100+MONTH($B747))</f>
        <v/>
      </c>
      <c r="W747" s="35" t="str">
        <f aca="false">IF($D747="","",IFERROR(INDEX(MAP_CLASS,MATCH($D747,MAP_TIPO,0)),"TIPO INVALIDO"))</f>
        <v/>
      </c>
      <c r="X747" s="35" t="str">
        <f aca="false">IF($K747="","",IFERROR(INDEX(CAT_NOME,MATCH($K747,CAT_ID,0)),"?"))</f>
        <v/>
      </c>
      <c r="Y747" s="35" t="str">
        <f aca="false">IF($L747="","",IFERROR(INDEX(SUB_NOME,MATCH($L747,SUB_ID,0)),"?"))</f>
        <v/>
      </c>
      <c r="Z747" s="35" t="str">
        <f aca="false">IF($G747="","",IF($G747="EXTERNO","(Externo)",IFERROR(INDEX(ENT_NOME,MATCH($H747,ENT_ID,0)),"?")))</f>
        <v/>
      </c>
      <c r="AA747" s="35" t="str">
        <f aca="false">IF($I747="","",IF($I747="EXTERNO","(Externo)",IFERROR(INDEX(ENT_NOME,MATCH($J747,ENT_ID,0)),"?")))</f>
        <v/>
      </c>
      <c r="AB747" s="36" t="n">
        <f aca="false">IF($B747="",0,IF(AND($I747="CONTA",$G747&lt;&gt;"CONTA"),$F747,0))</f>
        <v>0</v>
      </c>
      <c r="AC747" s="36" t="n">
        <f aca="false">IF($B747="",0,IF(AND($G747="CONTA",$I747&lt;&gt;"CONTA"),$F747,0))</f>
        <v>0</v>
      </c>
      <c r="AD747" s="36" t="n">
        <f aca="false">IF($W747="RECEITA",$F747,0)</f>
        <v>0</v>
      </c>
      <c r="AE747" s="36" t="n">
        <f aca="false">IF($W747="DESPESA",$F747,0)</f>
        <v>0</v>
      </c>
      <c r="AF747" s="36" t="n">
        <f aca="false">IF($W747="RECEITA_FINANCEIRA",$F747,0)</f>
        <v>0</v>
      </c>
      <c r="AG747" s="36" t="n">
        <f aca="false">IF($B747="",0,IF($I747="CONTA",$F747,0)-IF($G747="CONTA",$F747,0))</f>
        <v>0</v>
      </c>
      <c r="AH747" s="36" t="n">
        <f aca="false">IF($B747="",0,IF($G747="CARTAO",$F747,0)-IF($I747="CARTAO",$F747,0))</f>
        <v>0</v>
      </c>
      <c r="AI747" s="36" t="n">
        <f aca="false">IF($B747="",0,IF($I747="INVESTIMENTO",$F747,0)-IF($G747="INVESTIMENTO",$F747,0))</f>
        <v>0</v>
      </c>
      <c r="AJ747" s="35" t="str">
        <f aca="false">IF($B747="","",IF(NOT(ISNUMBER($F747)),"ERRO: valor nao numerico",IF($F747&lt;=0,"ERRO: valor deve ser maior que zero",IF(COUNTIF(MAP_TIPO,$D747)=0,"ERRO: tipo de operacao nao cadastrado",IF(COUNTIF(LST_STATUS,$E747)=0,"ERRO: status invalido",IF(AND($G747="EXTERNO",$I747="EXTERNO"),"ERRO: origem e destino externos",IF(AND($G747&lt;&gt;"EXTERNO",COUNTIFS(ENT_ID,$H747,ENT_TIPO,$G747)=0),"ERRO: origem inexistente",IF(AND($I747&lt;&gt;"EXTERNO",COUNTIFS(ENT_ID,$J747,ENT_TIPO,$I747)=0),"ERRO: destino inexistente",IF(AND($K747&lt;&gt;"",COUNTIF(CAT_ID,$K747)=0),"ERRO: categoria inexistente",IF(AND($L747&lt;&gt;"",COUNTIF(SUB_ID,$L747)=0),"ERRO: subcategoria inexistente",IF(AND($L747&lt;&gt;"",$K747&lt;&gt;"",IFERROR(INDEX(SUB_CATID,MATCH($L747,SUB_ID,0)),"")&lt;&gt;$K747),"ERRO: subcategoria nao pertence a categoria",IF(AND($O747&lt;&gt;"",COUNTIF(P_ID,$O747)=0),"ERRO: parcela inexistente",IF(AND($N747&lt;&gt;"",COUNTIF(CM_ID,$N747)=0),"ERRO: compromisso inexistente","OK")))))))))))))</f>
        <v/>
      </c>
      <c r="AK747" s="35" t="str">
        <f aca="false">IF($B747="","",IF(AND($N747="",$O747="",$P747="",$Q747="",$R747=""),"","VINCULADO: "&amp;TRIM(IF($N747&lt;&gt;"",$N747&amp;" ","")&amp;IF($O747&lt;&gt;"",$O747&amp;" ","")&amp;IF($P747&lt;&gt;"",$P747&amp;" ","")&amp;IF($Q747&lt;&gt;"",$Q747&amp;" ","")&amp;IF($R747&lt;&gt;"",$R747,""))))</f>
        <v/>
      </c>
    </row>
    <row r="748" customFormat="false" ht="15" hidden="false" customHeight="false" outlineLevel="0" collapsed="false">
      <c r="A748" s="30" t="str">
        <f aca="false">IF($B748="","","LAN-"&amp;TEXT(ROW()-4,"000000"))</f>
        <v/>
      </c>
      <c r="B748" s="31"/>
      <c r="C748" s="32"/>
      <c r="D748" s="32"/>
      <c r="E748" s="32"/>
      <c r="F748" s="33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4" t="str">
        <f aca="false">IF($B748="","",YEAR($B748))</f>
        <v/>
      </c>
      <c r="U748" s="34" t="str">
        <f aca="false">IF($B748="","",MONTH($B748))</f>
        <v/>
      </c>
      <c r="V748" s="34" t="str">
        <f aca="false">IF($B748="","",YEAR($B748)*100+MONTH($B748))</f>
        <v/>
      </c>
      <c r="W748" s="35" t="str">
        <f aca="false">IF($D748="","",IFERROR(INDEX(MAP_CLASS,MATCH($D748,MAP_TIPO,0)),"TIPO INVALIDO"))</f>
        <v/>
      </c>
      <c r="X748" s="35" t="str">
        <f aca="false">IF($K748="","",IFERROR(INDEX(CAT_NOME,MATCH($K748,CAT_ID,0)),"?"))</f>
        <v/>
      </c>
      <c r="Y748" s="35" t="str">
        <f aca="false">IF($L748="","",IFERROR(INDEX(SUB_NOME,MATCH($L748,SUB_ID,0)),"?"))</f>
        <v/>
      </c>
      <c r="Z748" s="35" t="str">
        <f aca="false">IF($G748="","",IF($G748="EXTERNO","(Externo)",IFERROR(INDEX(ENT_NOME,MATCH($H748,ENT_ID,0)),"?")))</f>
        <v/>
      </c>
      <c r="AA748" s="35" t="str">
        <f aca="false">IF($I748="","",IF($I748="EXTERNO","(Externo)",IFERROR(INDEX(ENT_NOME,MATCH($J748,ENT_ID,0)),"?")))</f>
        <v/>
      </c>
      <c r="AB748" s="36" t="n">
        <f aca="false">IF($B748="",0,IF(AND($I748="CONTA",$G748&lt;&gt;"CONTA"),$F748,0))</f>
        <v>0</v>
      </c>
      <c r="AC748" s="36" t="n">
        <f aca="false">IF($B748="",0,IF(AND($G748="CONTA",$I748&lt;&gt;"CONTA"),$F748,0))</f>
        <v>0</v>
      </c>
      <c r="AD748" s="36" t="n">
        <f aca="false">IF($W748="RECEITA",$F748,0)</f>
        <v>0</v>
      </c>
      <c r="AE748" s="36" t="n">
        <f aca="false">IF($W748="DESPESA",$F748,0)</f>
        <v>0</v>
      </c>
      <c r="AF748" s="36" t="n">
        <f aca="false">IF($W748="RECEITA_FINANCEIRA",$F748,0)</f>
        <v>0</v>
      </c>
      <c r="AG748" s="36" t="n">
        <f aca="false">IF($B748="",0,IF($I748="CONTA",$F748,0)-IF($G748="CONTA",$F748,0))</f>
        <v>0</v>
      </c>
      <c r="AH748" s="36" t="n">
        <f aca="false">IF($B748="",0,IF($G748="CARTAO",$F748,0)-IF($I748="CARTAO",$F748,0))</f>
        <v>0</v>
      </c>
      <c r="AI748" s="36" t="n">
        <f aca="false">IF($B748="",0,IF($I748="INVESTIMENTO",$F748,0)-IF($G748="INVESTIMENTO",$F748,0))</f>
        <v>0</v>
      </c>
      <c r="AJ748" s="35" t="str">
        <f aca="false">IF($B748="","",IF(NOT(ISNUMBER($F748)),"ERRO: valor nao numerico",IF($F748&lt;=0,"ERRO: valor deve ser maior que zero",IF(COUNTIF(MAP_TIPO,$D748)=0,"ERRO: tipo de operacao nao cadastrado",IF(COUNTIF(LST_STATUS,$E748)=0,"ERRO: status invalido",IF(AND($G748="EXTERNO",$I748="EXTERNO"),"ERRO: origem e destino externos",IF(AND($G748&lt;&gt;"EXTERNO",COUNTIFS(ENT_ID,$H748,ENT_TIPO,$G748)=0),"ERRO: origem inexistente",IF(AND($I748&lt;&gt;"EXTERNO",COUNTIFS(ENT_ID,$J748,ENT_TIPO,$I748)=0),"ERRO: destino inexistente",IF(AND($K748&lt;&gt;"",COUNTIF(CAT_ID,$K748)=0),"ERRO: categoria inexistente",IF(AND($L748&lt;&gt;"",COUNTIF(SUB_ID,$L748)=0),"ERRO: subcategoria inexistente",IF(AND($L748&lt;&gt;"",$K748&lt;&gt;"",IFERROR(INDEX(SUB_CATID,MATCH($L748,SUB_ID,0)),"")&lt;&gt;$K748),"ERRO: subcategoria nao pertence a categoria",IF(AND($O748&lt;&gt;"",COUNTIF(P_ID,$O748)=0),"ERRO: parcela inexistente",IF(AND($N748&lt;&gt;"",COUNTIF(CM_ID,$N748)=0),"ERRO: compromisso inexistente","OK")))))))))))))</f>
        <v/>
      </c>
      <c r="AK748" s="35" t="str">
        <f aca="false">IF($B748="","",IF(AND($N748="",$O748="",$P748="",$Q748="",$R748=""),"","VINCULADO: "&amp;TRIM(IF($N748&lt;&gt;"",$N748&amp;" ","")&amp;IF($O748&lt;&gt;"",$O748&amp;" ","")&amp;IF($P748&lt;&gt;"",$P748&amp;" ","")&amp;IF($Q748&lt;&gt;"",$Q748&amp;" ","")&amp;IF($R748&lt;&gt;"",$R748,""))))</f>
        <v/>
      </c>
    </row>
    <row r="749" customFormat="false" ht="15" hidden="false" customHeight="false" outlineLevel="0" collapsed="false">
      <c r="A749" s="30" t="str">
        <f aca="false">IF($B749="","","LAN-"&amp;TEXT(ROW()-4,"000000"))</f>
        <v/>
      </c>
      <c r="B749" s="31"/>
      <c r="C749" s="32"/>
      <c r="D749" s="32"/>
      <c r="E749" s="32"/>
      <c r="F749" s="33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4" t="str">
        <f aca="false">IF($B749="","",YEAR($B749))</f>
        <v/>
      </c>
      <c r="U749" s="34" t="str">
        <f aca="false">IF($B749="","",MONTH($B749))</f>
        <v/>
      </c>
      <c r="V749" s="34" t="str">
        <f aca="false">IF($B749="","",YEAR($B749)*100+MONTH($B749))</f>
        <v/>
      </c>
      <c r="W749" s="35" t="str">
        <f aca="false">IF($D749="","",IFERROR(INDEX(MAP_CLASS,MATCH($D749,MAP_TIPO,0)),"TIPO INVALIDO"))</f>
        <v/>
      </c>
      <c r="X749" s="35" t="str">
        <f aca="false">IF($K749="","",IFERROR(INDEX(CAT_NOME,MATCH($K749,CAT_ID,0)),"?"))</f>
        <v/>
      </c>
      <c r="Y749" s="35" t="str">
        <f aca="false">IF($L749="","",IFERROR(INDEX(SUB_NOME,MATCH($L749,SUB_ID,0)),"?"))</f>
        <v/>
      </c>
      <c r="Z749" s="35" t="str">
        <f aca="false">IF($G749="","",IF($G749="EXTERNO","(Externo)",IFERROR(INDEX(ENT_NOME,MATCH($H749,ENT_ID,0)),"?")))</f>
        <v/>
      </c>
      <c r="AA749" s="35" t="str">
        <f aca="false">IF($I749="","",IF($I749="EXTERNO","(Externo)",IFERROR(INDEX(ENT_NOME,MATCH($J749,ENT_ID,0)),"?")))</f>
        <v/>
      </c>
      <c r="AB749" s="36" t="n">
        <f aca="false">IF($B749="",0,IF(AND($I749="CONTA",$G749&lt;&gt;"CONTA"),$F749,0))</f>
        <v>0</v>
      </c>
      <c r="AC749" s="36" t="n">
        <f aca="false">IF($B749="",0,IF(AND($G749="CONTA",$I749&lt;&gt;"CONTA"),$F749,0))</f>
        <v>0</v>
      </c>
      <c r="AD749" s="36" t="n">
        <f aca="false">IF($W749="RECEITA",$F749,0)</f>
        <v>0</v>
      </c>
      <c r="AE749" s="36" t="n">
        <f aca="false">IF($W749="DESPESA",$F749,0)</f>
        <v>0</v>
      </c>
      <c r="AF749" s="36" t="n">
        <f aca="false">IF($W749="RECEITA_FINANCEIRA",$F749,0)</f>
        <v>0</v>
      </c>
      <c r="AG749" s="36" t="n">
        <f aca="false">IF($B749="",0,IF($I749="CONTA",$F749,0)-IF($G749="CONTA",$F749,0))</f>
        <v>0</v>
      </c>
      <c r="AH749" s="36" t="n">
        <f aca="false">IF($B749="",0,IF($G749="CARTAO",$F749,0)-IF($I749="CARTAO",$F749,0))</f>
        <v>0</v>
      </c>
      <c r="AI749" s="36" t="n">
        <f aca="false">IF($B749="",0,IF($I749="INVESTIMENTO",$F749,0)-IF($G749="INVESTIMENTO",$F749,0))</f>
        <v>0</v>
      </c>
      <c r="AJ749" s="35" t="str">
        <f aca="false">IF($B749="","",IF(NOT(ISNUMBER($F749)),"ERRO: valor nao numerico",IF($F749&lt;=0,"ERRO: valor deve ser maior que zero",IF(COUNTIF(MAP_TIPO,$D749)=0,"ERRO: tipo de operacao nao cadastrado",IF(COUNTIF(LST_STATUS,$E749)=0,"ERRO: status invalido",IF(AND($G749="EXTERNO",$I749="EXTERNO"),"ERRO: origem e destino externos",IF(AND($G749&lt;&gt;"EXTERNO",COUNTIFS(ENT_ID,$H749,ENT_TIPO,$G749)=0),"ERRO: origem inexistente",IF(AND($I749&lt;&gt;"EXTERNO",COUNTIFS(ENT_ID,$J749,ENT_TIPO,$I749)=0),"ERRO: destino inexistente",IF(AND($K749&lt;&gt;"",COUNTIF(CAT_ID,$K749)=0),"ERRO: categoria inexistente",IF(AND($L749&lt;&gt;"",COUNTIF(SUB_ID,$L749)=0),"ERRO: subcategoria inexistente",IF(AND($L749&lt;&gt;"",$K749&lt;&gt;"",IFERROR(INDEX(SUB_CATID,MATCH($L749,SUB_ID,0)),"")&lt;&gt;$K749),"ERRO: subcategoria nao pertence a categoria",IF(AND($O749&lt;&gt;"",COUNTIF(P_ID,$O749)=0),"ERRO: parcela inexistente",IF(AND($N749&lt;&gt;"",COUNTIF(CM_ID,$N749)=0),"ERRO: compromisso inexistente","OK")))))))))))))</f>
        <v/>
      </c>
      <c r="AK749" s="35" t="str">
        <f aca="false">IF($B749="","",IF(AND($N749="",$O749="",$P749="",$Q749="",$R749=""),"","VINCULADO: "&amp;TRIM(IF($N749&lt;&gt;"",$N749&amp;" ","")&amp;IF($O749&lt;&gt;"",$O749&amp;" ","")&amp;IF($P749&lt;&gt;"",$P749&amp;" ","")&amp;IF($Q749&lt;&gt;"",$Q749&amp;" ","")&amp;IF($R749&lt;&gt;"",$R749,""))))</f>
        <v/>
      </c>
    </row>
    <row r="750" customFormat="false" ht="15" hidden="false" customHeight="false" outlineLevel="0" collapsed="false">
      <c r="A750" s="30" t="str">
        <f aca="false">IF($B750="","","LAN-"&amp;TEXT(ROW()-4,"000000"))</f>
        <v/>
      </c>
      <c r="B750" s="31"/>
      <c r="C750" s="32"/>
      <c r="D750" s="32"/>
      <c r="E750" s="32"/>
      <c r="F750" s="33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4" t="str">
        <f aca="false">IF($B750="","",YEAR($B750))</f>
        <v/>
      </c>
      <c r="U750" s="34" t="str">
        <f aca="false">IF($B750="","",MONTH($B750))</f>
        <v/>
      </c>
      <c r="V750" s="34" t="str">
        <f aca="false">IF($B750="","",YEAR($B750)*100+MONTH($B750))</f>
        <v/>
      </c>
      <c r="W750" s="35" t="str">
        <f aca="false">IF($D750="","",IFERROR(INDEX(MAP_CLASS,MATCH($D750,MAP_TIPO,0)),"TIPO INVALIDO"))</f>
        <v/>
      </c>
      <c r="X750" s="35" t="str">
        <f aca="false">IF($K750="","",IFERROR(INDEX(CAT_NOME,MATCH($K750,CAT_ID,0)),"?"))</f>
        <v/>
      </c>
      <c r="Y750" s="35" t="str">
        <f aca="false">IF($L750="","",IFERROR(INDEX(SUB_NOME,MATCH($L750,SUB_ID,0)),"?"))</f>
        <v/>
      </c>
      <c r="Z750" s="35" t="str">
        <f aca="false">IF($G750="","",IF($G750="EXTERNO","(Externo)",IFERROR(INDEX(ENT_NOME,MATCH($H750,ENT_ID,0)),"?")))</f>
        <v/>
      </c>
      <c r="AA750" s="35" t="str">
        <f aca="false">IF($I750="","",IF($I750="EXTERNO","(Externo)",IFERROR(INDEX(ENT_NOME,MATCH($J750,ENT_ID,0)),"?")))</f>
        <v/>
      </c>
      <c r="AB750" s="36" t="n">
        <f aca="false">IF($B750="",0,IF(AND($I750="CONTA",$G750&lt;&gt;"CONTA"),$F750,0))</f>
        <v>0</v>
      </c>
      <c r="AC750" s="36" t="n">
        <f aca="false">IF($B750="",0,IF(AND($G750="CONTA",$I750&lt;&gt;"CONTA"),$F750,0))</f>
        <v>0</v>
      </c>
      <c r="AD750" s="36" t="n">
        <f aca="false">IF($W750="RECEITA",$F750,0)</f>
        <v>0</v>
      </c>
      <c r="AE750" s="36" t="n">
        <f aca="false">IF($W750="DESPESA",$F750,0)</f>
        <v>0</v>
      </c>
      <c r="AF750" s="36" t="n">
        <f aca="false">IF($W750="RECEITA_FINANCEIRA",$F750,0)</f>
        <v>0</v>
      </c>
      <c r="AG750" s="36" t="n">
        <f aca="false">IF($B750="",0,IF($I750="CONTA",$F750,0)-IF($G750="CONTA",$F750,0))</f>
        <v>0</v>
      </c>
      <c r="AH750" s="36" t="n">
        <f aca="false">IF($B750="",0,IF($G750="CARTAO",$F750,0)-IF($I750="CARTAO",$F750,0))</f>
        <v>0</v>
      </c>
      <c r="AI750" s="36" t="n">
        <f aca="false">IF($B750="",0,IF($I750="INVESTIMENTO",$F750,0)-IF($G750="INVESTIMENTO",$F750,0))</f>
        <v>0</v>
      </c>
      <c r="AJ750" s="35" t="str">
        <f aca="false">IF($B750="","",IF(NOT(ISNUMBER($F750)),"ERRO: valor nao numerico",IF($F750&lt;=0,"ERRO: valor deve ser maior que zero",IF(COUNTIF(MAP_TIPO,$D750)=0,"ERRO: tipo de operacao nao cadastrado",IF(COUNTIF(LST_STATUS,$E750)=0,"ERRO: status invalido",IF(AND($G750="EXTERNO",$I750="EXTERNO"),"ERRO: origem e destino externos",IF(AND($G750&lt;&gt;"EXTERNO",COUNTIFS(ENT_ID,$H750,ENT_TIPO,$G750)=0),"ERRO: origem inexistente",IF(AND($I750&lt;&gt;"EXTERNO",COUNTIFS(ENT_ID,$J750,ENT_TIPO,$I750)=0),"ERRO: destino inexistente",IF(AND($K750&lt;&gt;"",COUNTIF(CAT_ID,$K750)=0),"ERRO: categoria inexistente",IF(AND($L750&lt;&gt;"",COUNTIF(SUB_ID,$L750)=0),"ERRO: subcategoria inexistente",IF(AND($L750&lt;&gt;"",$K750&lt;&gt;"",IFERROR(INDEX(SUB_CATID,MATCH($L750,SUB_ID,0)),"")&lt;&gt;$K750),"ERRO: subcategoria nao pertence a categoria",IF(AND($O750&lt;&gt;"",COUNTIF(P_ID,$O750)=0),"ERRO: parcela inexistente",IF(AND($N750&lt;&gt;"",COUNTIF(CM_ID,$N750)=0),"ERRO: compromisso inexistente","OK")))))))))))))</f>
        <v/>
      </c>
      <c r="AK750" s="35" t="str">
        <f aca="false">IF($B750="","",IF(AND($N750="",$O750="",$P750="",$Q750="",$R750=""),"","VINCULADO: "&amp;TRIM(IF($N750&lt;&gt;"",$N750&amp;" ","")&amp;IF($O750&lt;&gt;"",$O750&amp;" ","")&amp;IF($P750&lt;&gt;"",$P750&amp;" ","")&amp;IF($Q750&lt;&gt;"",$Q750&amp;" ","")&amp;IF($R750&lt;&gt;"",$R750,""))))</f>
        <v/>
      </c>
    </row>
    <row r="751" customFormat="false" ht="15" hidden="false" customHeight="false" outlineLevel="0" collapsed="false">
      <c r="A751" s="30" t="str">
        <f aca="false">IF($B751="","","LAN-"&amp;TEXT(ROW()-4,"000000"))</f>
        <v/>
      </c>
      <c r="B751" s="31"/>
      <c r="C751" s="32"/>
      <c r="D751" s="32"/>
      <c r="E751" s="32"/>
      <c r="F751" s="33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4" t="str">
        <f aca="false">IF($B751="","",YEAR($B751))</f>
        <v/>
      </c>
      <c r="U751" s="34" t="str">
        <f aca="false">IF($B751="","",MONTH($B751))</f>
        <v/>
      </c>
      <c r="V751" s="34" t="str">
        <f aca="false">IF($B751="","",YEAR($B751)*100+MONTH($B751))</f>
        <v/>
      </c>
      <c r="W751" s="35" t="str">
        <f aca="false">IF($D751="","",IFERROR(INDEX(MAP_CLASS,MATCH($D751,MAP_TIPO,0)),"TIPO INVALIDO"))</f>
        <v/>
      </c>
      <c r="X751" s="35" t="str">
        <f aca="false">IF($K751="","",IFERROR(INDEX(CAT_NOME,MATCH($K751,CAT_ID,0)),"?"))</f>
        <v/>
      </c>
      <c r="Y751" s="35" t="str">
        <f aca="false">IF($L751="","",IFERROR(INDEX(SUB_NOME,MATCH($L751,SUB_ID,0)),"?"))</f>
        <v/>
      </c>
      <c r="Z751" s="35" t="str">
        <f aca="false">IF($G751="","",IF($G751="EXTERNO","(Externo)",IFERROR(INDEX(ENT_NOME,MATCH($H751,ENT_ID,0)),"?")))</f>
        <v/>
      </c>
      <c r="AA751" s="35" t="str">
        <f aca="false">IF($I751="","",IF($I751="EXTERNO","(Externo)",IFERROR(INDEX(ENT_NOME,MATCH($J751,ENT_ID,0)),"?")))</f>
        <v/>
      </c>
      <c r="AB751" s="36" t="n">
        <f aca="false">IF($B751="",0,IF(AND($I751="CONTA",$G751&lt;&gt;"CONTA"),$F751,0))</f>
        <v>0</v>
      </c>
      <c r="AC751" s="36" t="n">
        <f aca="false">IF($B751="",0,IF(AND($G751="CONTA",$I751&lt;&gt;"CONTA"),$F751,0))</f>
        <v>0</v>
      </c>
      <c r="AD751" s="36" t="n">
        <f aca="false">IF($W751="RECEITA",$F751,0)</f>
        <v>0</v>
      </c>
      <c r="AE751" s="36" t="n">
        <f aca="false">IF($W751="DESPESA",$F751,0)</f>
        <v>0</v>
      </c>
      <c r="AF751" s="36" t="n">
        <f aca="false">IF($W751="RECEITA_FINANCEIRA",$F751,0)</f>
        <v>0</v>
      </c>
      <c r="AG751" s="36" t="n">
        <f aca="false">IF($B751="",0,IF($I751="CONTA",$F751,0)-IF($G751="CONTA",$F751,0))</f>
        <v>0</v>
      </c>
      <c r="AH751" s="36" t="n">
        <f aca="false">IF($B751="",0,IF($G751="CARTAO",$F751,0)-IF($I751="CARTAO",$F751,0))</f>
        <v>0</v>
      </c>
      <c r="AI751" s="36" t="n">
        <f aca="false">IF($B751="",0,IF($I751="INVESTIMENTO",$F751,0)-IF($G751="INVESTIMENTO",$F751,0))</f>
        <v>0</v>
      </c>
      <c r="AJ751" s="35" t="str">
        <f aca="false">IF($B751="","",IF(NOT(ISNUMBER($F751)),"ERRO: valor nao numerico",IF($F751&lt;=0,"ERRO: valor deve ser maior que zero",IF(COUNTIF(MAP_TIPO,$D751)=0,"ERRO: tipo de operacao nao cadastrado",IF(COUNTIF(LST_STATUS,$E751)=0,"ERRO: status invalido",IF(AND($G751="EXTERNO",$I751="EXTERNO"),"ERRO: origem e destino externos",IF(AND($G751&lt;&gt;"EXTERNO",COUNTIFS(ENT_ID,$H751,ENT_TIPO,$G751)=0),"ERRO: origem inexistente",IF(AND($I751&lt;&gt;"EXTERNO",COUNTIFS(ENT_ID,$J751,ENT_TIPO,$I751)=0),"ERRO: destino inexistente",IF(AND($K751&lt;&gt;"",COUNTIF(CAT_ID,$K751)=0),"ERRO: categoria inexistente",IF(AND($L751&lt;&gt;"",COUNTIF(SUB_ID,$L751)=0),"ERRO: subcategoria inexistente",IF(AND($L751&lt;&gt;"",$K751&lt;&gt;"",IFERROR(INDEX(SUB_CATID,MATCH($L751,SUB_ID,0)),"")&lt;&gt;$K751),"ERRO: subcategoria nao pertence a categoria",IF(AND($O751&lt;&gt;"",COUNTIF(P_ID,$O751)=0),"ERRO: parcela inexistente",IF(AND($N751&lt;&gt;"",COUNTIF(CM_ID,$N751)=0),"ERRO: compromisso inexistente","OK")))))))))))))</f>
        <v/>
      </c>
      <c r="AK751" s="35" t="str">
        <f aca="false">IF($B751="","",IF(AND($N751="",$O751="",$P751="",$Q751="",$R751=""),"","VINCULADO: "&amp;TRIM(IF($N751&lt;&gt;"",$N751&amp;" ","")&amp;IF($O751&lt;&gt;"",$O751&amp;" ","")&amp;IF($P751&lt;&gt;"",$P751&amp;" ","")&amp;IF($Q751&lt;&gt;"",$Q751&amp;" ","")&amp;IF($R751&lt;&gt;"",$R751,""))))</f>
        <v/>
      </c>
    </row>
    <row r="752" customFormat="false" ht="15" hidden="false" customHeight="false" outlineLevel="0" collapsed="false">
      <c r="A752" s="30" t="str">
        <f aca="false">IF($B752="","","LAN-"&amp;TEXT(ROW()-4,"000000"))</f>
        <v/>
      </c>
      <c r="B752" s="31"/>
      <c r="C752" s="32"/>
      <c r="D752" s="32"/>
      <c r="E752" s="32"/>
      <c r="F752" s="33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4" t="str">
        <f aca="false">IF($B752="","",YEAR($B752))</f>
        <v/>
      </c>
      <c r="U752" s="34" t="str">
        <f aca="false">IF($B752="","",MONTH($B752))</f>
        <v/>
      </c>
      <c r="V752" s="34" t="str">
        <f aca="false">IF($B752="","",YEAR($B752)*100+MONTH($B752))</f>
        <v/>
      </c>
      <c r="W752" s="35" t="str">
        <f aca="false">IF($D752="","",IFERROR(INDEX(MAP_CLASS,MATCH($D752,MAP_TIPO,0)),"TIPO INVALIDO"))</f>
        <v/>
      </c>
      <c r="X752" s="35" t="str">
        <f aca="false">IF($K752="","",IFERROR(INDEX(CAT_NOME,MATCH($K752,CAT_ID,0)),"?"))</f>
        <v/>
      </c>
      <c r="Y752" s="35" t="str">
        <f aca="false">IF($L752="","",IFERROR(INDEX(SUB_NOME,MATCH($L752,SUB_ID,0)),"?"))</f>
        <v/>
      </c>
      <c r="Z752" s="35" t="str">
        <f aca="false">IF($G752="","",IF($G752="EXTERNO","(Externo)",IFERROR(INDEX(ENT_NOME,MATCH($H752,ENT_ID,0)),"?")))</f>
        <v/>
      </c>
      <c r="AA752" s="35" t="str">
        <f aca="false">IF($I752="","",IF($I752="EXTERNO","(Externo)",IFERROR(INDEX(ENT_NOME,MATCH($J752,ENT_ID,0)),"?")))</f>
        <v/>
      </c>
      <c r="AB752" s="36" t="n">
        <f aca="false">IF($B752="",0,IF(AND($I752="CONTA",$G752&lt;&gt;"CONTA"),$F752,0))</f>
        <v>0</v>
      </c>
      <c r="AC752" s="36" t="n">
        <f aca="false">IF($B752="",0,IF(AND($G752="CONTA",$I752&lt;&gt;"CONTA"),$F752,0))</f>
        <v>0</v>
      </c>
      <c r="AD752" s="36" t="n">
        <f aca="false">IF($W752="RECEITA",$F752,0)</f>
        <v>0</v>
      </c>
      <c r="AE752" s="36" t="n">
        <f aca="false">IF($W752="DESPESA",$F752,0)</f>
        <v>0</v>
      </c>
      <c r="AF752" s="36" t="n">
        <f aca="false">IF($W752="RECEITA_FINANCEIRA",$F752,0)</f>
        <v>0</v>
      </c>
      <c r="AG752" s="36" t="n">
        <f aca="false">IF($B752="",0,IF($I752="CONTA",$F752,0)-IF($G752="CONTA",$F752,0))</f>
        <v>0</v>
      </c>
      <c r="AH752" s="36" t="n">
        <f aca="false">IF($B752="",0,IF($G752="CARTAO",$F752,0)-IF($I752="CARTAO",$F752,0))</f>
        <v>0</v>
      </c>
      <c r="AI752" s="36" t="n">
        <f aca="false">IF($B752="",0,IF($I752="INVESTIMENTO",$F752,0)-IF($G752="INVESTIMENTO",$F752,0))</f>
        <v>0</v>
      </c>
      <c r="AJ752" s="35" t="str">
        <f aca="false">IF($B752="","",IF(NOT(ISNUMBER($F752)),"ERRO: valor nao numerico",IF($F752&lt;=0,"ERRO: valor deve ser maior que zero",IF(COUNTIF(MAP_TIPO,$D752)=0,"ERRO: tipo de operacao nao cadastrado",IF(COUNTIF(LST_STATUS,$E752)=0,"ERRO: status invalido",IF(AND($G752="EXTERNO",$I752="EXTERNO"),"ERRO: origem e destino externos",IF(AND($G752&lt;&gt;"EXTERNO",COUNTIFS(ENT_ID,$H752,ENT_TIPO,$G752)=0),"ERRO: origem inexistente",IF(AND($I752&lt;&gt;"EXTERNO",COUNTIFS(ENT_ID,$J752,ENT_TIPO,$I752)=0),"ERRO: destino inexistente",IF(AND($K752&lt;&gt;"",COUNTIF(CAT_ID,$K752)=0),"ERRO: categoria inexistente",IF(AND($L752&lt;&gt;"",COUNTIF(SUB_ID,$L752)=0),"ERRO: subcategoria inexistente",IF(AND($L752&lt;&gt;"",$K752&lt;&gt;"",IFERROR(INDEX(SUB_CATID,MATCH($L752,SUB_ID,0)),"")&lt;&gt;$K752),"ERRO: subcategoria nao pertence a categoria",IF(AND($O752&lt;&gt;"",COUNTIF(P_ID,$O752)=0),"ERRO: parcela inexistente",IF(AND($N752&lt;&gt;"",COUNTIF(CM_ID,$N752)=0),"ERRO: compromisso inexistente","OK")))))))))))))</f>
        <v/>
      </c>
      <c r="AK752" s="35" t="str">
        <f aca="false">IF($B752="","",IF(AND($N752="",$O752="",$P752="",$Q752="",$R752=""),"","VINCULADO: "&amp;TRIM(IF($N752&lt;&gt;"",$N752&amp;" ","")&amp;IF($O752&lt;&gt;"",$O752&amp;" ","")&amp;IF($P752&lt;&gt;"",$P752&amp;" ","")&amp;IF($Q752&lt;&gt;"",$Q752&amp;" ","")&amp;IF($R752&lt;&gt;"",$R752,""))))</f>
        <v/>
      </c>
    </row>
    <row r="753" customFormat="false" ht="15" hidden="false" customHeight="false" outlineLevel="0" collapsed="false">
      <c r="A753" s="30" t="str">
        <f aca="false">IF($B753="","","LAN-"&amp;TEXT(ROW()-4,"000000"))</f>
        <v/>
      </c>
      <c r="B753" s="31"/>
      <c r="C753" s="32"/>
      <c r="D753" s="32"/>
      <c r="E753" s="32"/>
      <c r="F753" s="33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4" t="str">
        <f aca="false">IF($B753="","",YEAR($B753))</f>
        <v/>
      </c>
      <c r="U753" s="34" t="str">
        <f aca="false">IF($B753="","",MONTH($B753))</f>
        <v/>
      </c>
      <c r="V753" s="34" t="str">
        <f aca="false">IF($B753="","",YEAR($B753)*100+MONTH($B753))</f>
        <v/>
      </c>
      <c r="W753" s="35" t="str">
        <f aca="false">IF($D753="","",IFERROR(INDEX(MAP_CLASS,MATCH($D753,MAP_TIPO,0)),"TIPO INVALIDO"))</f>
        <v/>
      </c>
      <c r="X753" s="35" t="str">
        <f aca="false">IF($K753="","",IFERROR(INDEX(CAT_NOME,MATCH($K753,CAT_ID,0)),"?"))</f>
        <v/>
      </c>
      <c r="Y753" s="35" t="str">
        <f aca="false">IF($L753="","",IFERROR(INDEX(SUB_NOME,MATCH($L753,SUB_ID,0)),"?"))</f>
        <v/>
      </c>
      <c r="Z753" s="35" t="str">
        <f aca="false">IF($G753="","",IF($G753="EXTERNO","(Externo)",IFERROR(INDEX(ENT_NOME,MATCH($H753,ENT_ID,0)),"?")))</f>
        <v/>
      </c>
      <c r="AA753" s="35" t="str">
        <f aca="false">IF($I753="","",IF($I753="EXTERNO","(Externo)",IFERROR(INDEX(ENT_NOME,MATCH($J753,ENT_ID,0)),"?")))</f>
        <v/>
      </c>
      <c r="AB753" s="36" t="n">
        <f aca="false">IF($B753="",0,IF(AND($I753="CONTA",$G753&lt;&gt;"CONTA"),$F753,0))</f>
        <v>0</v>
      </c>
      <c r="AC753" s="36" t="n">
        <f aca="false">IF($B753="",0,IF(AND($G753="CONTA",$I753&lt;&gt;"CONTA"),$F753,0))</f>
        <v>0</v>
      </c>
      <c r="AD753" s="36" t="n">
        <f aca="false">IF($W753="RECEITA",$F753,0)</f>
        <v>0</v>
      </c>
      <c r="AE753" s="36" t="n">
        <f aca="false">IF($W753="DESPESA",$F753,0)</f>
        <v>0</v>
      </c>
      <c r="AF753" s="36" t="n">
        <f aca="false">IF($W753="RECEITA_FINANCEIRA",$F753,0)</f>
        <v>0</v>
      </c>
      <c r="AG753" s="36" t="n">
        <f aca="false">IF($B753="",0,IF($I753="CONTA",$F753,0)-IF($G753="CONTA",$F753,0))</f>
        <v>0</v>
      </c>
      <c r="AH753" s="36" t="n">
        <f aca="false">IF($B753="",0,IF($G753="CARTAO",$F753,0)-IF($I753="CARTAO",$F753,0))</f>
        <v>0</v>
      </c>
      <c r="AI753" s="36" t="n">
        <f aca="false">IF($B753="",0,IF($I753="INVESTIMENTO",$F753,0)-IF($G753="INVESTIMENTO",$F753,0))</f>
        <v>0</v>
      </c>
      <c r="AJ753" s="35" t="str">
        <f aca="false">IF($B753="","",IF(NOT(ISNUMBER($F753)),"ERRO: valor nao numerico",IF($F753&lt;=0,"ERRO: valor deve ser maior que zero",IF(COUNTIF(MAP_TIPO,$D753)=0,"ERRO: tipo de operacao nao cadastrado",IF(COUNTIF(LST_STATUS,$E753)=0,"ERRO: status invalido",IF(AND($G753="EXTERNO",$I753="EXTERNO"),"ERRO: origem e destino externos",IF(AND($G753&lt;&gt;"EXTERNO",COUNTIFS(ENT_ID,$H753,ENT_TIPO,$G753)=0),"ERRO: origem inexistente",IF(AND($I753&lt;&gt;"EXTERNO",COUNTIFS(ENT_ID,$J753,ENT_TIPO,$I753)=0),"ERRO: destino inexistente",IF(AND($K753&lt;&gt;"",COUNTIF(CAT_ID,$K753)=0),"ERRO: categoria inexistente",IF(AND($L753&lt;&gt;"",COUNTIF(SUB_ID,$L753)=0),"ERRO: subcategoria inexistente",IF(AND($L753&lt;&gt;"",$K753&lt;&gt;"",IFERROR(INDEX(SUB_CATID,MATCH($L753,SUB_ID,0)),"")&lt;&gt;$K753),"ERRO: subcategoria nao pertence a categoria",IF(AND($O753&lt;&gt;"",COUNTIF(P_ID,$O753)=0),"ERRO: parcela inexistente",IF(AND($N753&lt;&gt;"",COUNTIF(CM_ID,$N753)=0),"ERRO: compromisso inexistente","OK")))))))))))))</f>
        <v/>
      </c>
      <c r="AK753" s="35" t="str">
        <f aca="false">IF($B753="","",IF(AND($N753="",$O753="",$P753="",$Q753="",$R753=""),"","VINCULADO: "&amp;TRIM(IF($N753&lt;&gt;"",$N753&amp;" ","")&amp;IF($O753&lt;&gt;"",$O753&amp;" ","")&amp;IF($P753&lt;&gt;"",$P753&amp;" ","")&amp;IF($Q753&lt;&gt;"",$Q753&amp;" ","")&amp;IF($R753&lt;&gt;"",$R753,""))))</f>
        <v/>
      </c>
    </row>
    <row r="754" customFormat="false" ht="15" hidden="false" customHeight="false" outlineLevel="0" collapsed="false">
      <c r="A754" s="30" t="str">
        <f aca="false">IF($B754="","","LAN-"&amp;TEXT(ROW()-4,"000000"))</f>
        <v/>
      </c>
      <c r="B754" s="31"/>
      <c r="C754" s="32"/>
      <c r="D754" s="32"/>
      <c r="E754" s="32"/>
      <c r="F754" s="33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4" t="str">
        <f aca="false">IF($B754="","",YEAR($B754))</f>
        <v/>
      </c>
      <c r="U754" s="34" t="str">
        <f aca="false">IF($B754="","",MONTH($B754))</f>
        <v/>
      </c>
      <c r="V754" s="34" t="str">
        <f aca="false">IF($B754="","",YEAR($B754)*100+MONTH($B754))</f>
        <v/>
      </c>
      <c r="W754" s="35" t="str">
        <f aca="false">IF($D754="","",IFERROR(INDEX(MAP_CLASS,MATCH($D754,MAP_TIPO,0)),"TIPO INVALIDO"))</f>
        <v/>
      </c>
      <c r="X754" s="35" t="str">
        <f aca="false">IF($K754="","",IFERROR(INDEX(CAT_NOME,MATCH($K754,CAT_ID,0)),"?"))</f>
        <v/>
      </c>
      <c r="Y754" s="35" t="str">
        <f aca="false">IF($L754="","",IFERROR(INDEX(SUB_NOME,MATCH($L754,SUB_ID,0)),"?"))</f>
        <v/>
      </c>
      <c r="Z754" s="35" t="str">
        <f aca="false">IF($G754="","",IF($G754="EXTERNO","(Externo)",IFERROR(INDEX(ENT_NOME,MATCH($H754,ENT_ID,0)),"?")))</f>
        <v/>
      </c>
      <c r="AA754" s="35" t="str">
        <f aca="false">IF($I754="","",IF($I754="EXTERNO","(Externo)",IFERROR(INDEX(ENT_NOME,MATCH($J754,ENT_ID,0)),"?")))</f>
        <v/>
      </c>
      <c r="AB754" s="36" t="n">
        <f aca="false">IF($B754="",0,IF(AND($I754="CONTA",$G754&lt;&gt;"CONTA"),$F754,0))</f>
        <v>0</v>
      </c>
      <c r="AC754" s="36" t="n">
        <f aca="false">IF($B754="",0,IF(AND($G754="CONTA",$I754&lt;&gt;"CONTA"),$F754,0))</f>
        <v>0</v>
      </c>
      <c r="AD754" s="36" t="n">
        <f aca="false">IF($W754="RECEITA",$F754,0)</f>
        <v>0</v>
      </c>
      <c r="AE754" s="36" t="n">
        <f aca="false">IF($W754="DESPESA",$F754,0)</f>
        <v>0</v>
      </c>
      <c r="AF754" s="36" t="n">
        <f aca="false">IF($W754="RECEITA_FINANCEIRA",$F754,0)</f>
        <v>0</v>
      </c>
      <c r="AG754" s="36" t="n">
        <f aca="false">IF($B754="",0,IF($I754="CONTA",$F754,0)-IF($G754="CONTA",$F754,0))</f>
        <v>0</v>
      </c>
      <c r="AH754" s="36" t="n">
        <f aca="false">IF($B754="",0,IF($G754="CARTAO",$F754,0)-IF($I754="CARTAO",$F754,0))</f>
        <v>0</v>
      </c>
      <c r="AI754" s="36" t="n">
        <f aca="false">IF($B754="",0,IF($I754="INVESTIMENTO",$F754,0)-IF($G754="INVESTIMENTO",$F754,0))</f>
        <v>0</v>
      </c>
      <c r="AJ754" s="35" t="str">
        <f aca="false">IF($B754="","",IF(NOT(ISNUMBER($F754)),"ERRO: valor nao numerico",IF($F754&lt;=0,"ERRO: valor deve ser maior que zero",IF(COUNTIF(MAP_TIPO,$D754)=0,"ERRO: tipo de operacao nao cadastrado",IF(COUNTIF(LST_STATUS,$E754)=0,"ERRO: status invalido",IF(AND($G754="EXTERNO",$I754="EXTERNO"),"ERRO: origem e destino externos",IF(AND($G754&lt;&gt;"EXTERNO",COUNTIFS(ENT_ID,$H754,ENT_TIPO,$G754)=0),"ERRO: origem inexistente",IF(AND($I754&lt;&gt;"EXTERNO",COUNTIFS(ENT_ID,$J754,ENT_TIPO,$I754)=0),"ERRO: destino inexistente",IF(AND($K754&lt;&gt;"",COUNTIF(CAT_ID,$K754)=0),"ERRO: categoria inexistente",IF(AND($L754&lt;&gt;"",COUNTIF(SUB_ID,$L754)=0),"ERRO: subcategoria inexistente",IF(AND($L754&lt;&gt;"",$K754&lt;&gt;"",IFERROR(INDEX(SUB_CATID,MATCH($L754,SUB_ID,0)),"")&lt;&gt;$K754),"ERRO: subcategoria nao pertence a categoria",IF(AND($O754&lt;&gt;"",COUNTIF(P_ID,$O754)=0),"ERRO: parcela inexistente",IF(AND($N754&lt;&gt;"",COUNTIF(CM_ID,$N754)=0),"ERRO: compromisso inexistente","OK")))))))))))))</f>
        <v/>
      </c>
      <c r="AK754" s="35" t="str">
        <f aca="false">IF($B754="","",IF(AND($N754="",$O754="",$P754="",$Q754="",$R754=""),"","VINCULADO: "&amp;TRIM(IF($N754&lt;&gt;"",$N754&amp;" ","")&amp;IF($O754&lt;&gt;"",$O754&amp;" ","")&amp;IF($P754&lt;&gt;"",$P754&amp;" ","")&amp;IF($Q754&lt;&gt;"",$Q754&amp;" ","")&amp;IF($R754&lt;&gt;"",$R754,""))))</f>
        <v/>
      </c>
    </row>
    <row r="755" customFormat="false" ht="15" hidden="false" customHeight="false" outlineLevel="0" collapsed="false">
      <c r="A755" s="30" t="str">
        <f aca="false">IF($B755="","","LAN-"&amp;TEXT(ROW()-4,"000000"))</f>
        <v/>
      </c>
      <c r="B755" s="31"/>
      <c r="C755" s="32"/>
      <c r="D755" s="32"/>
      <c r="E755" s="32"/>
      <c r="F755" s="33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4" t="str">
        <f aca="false">IF($B755="","",YEAR($B755))</f>
        <v/>
      </c>
      <c r="U755" s="34" t="str">
        <f aca="false">IF($B755="","",MONTH($B755))</f>
        <v/>
      </c>
      <c r="V755" s="34" t="str">
        <f aca="false">IF($B755="","",YEAR($B755)*100+MONTH($B755))</f>
        <v/>
      </c>
      <c r="W755" s="35" t="str">
        <f aca="false">IF($D755="","",IFERROR(INDEX(MAP_CLASS,MATCH($D755,MAP_TIPO,0)),"TIPO INVALIDO"))</f>
        <v/>
      </c>
      <c r="X755" s="35" t="str">
        <f aca="false">IF($K755="","",IFERROR(INDEX(CAT_NOME,MATCH($K755,CAT_ID,0)),"?"))</f>
        <v/>
      </c>
      <c r="Y755" s="35" t="str">
        <f aca="false">IF($L755="","",IFERROR(INDEX(SUB_NOME,MATCH($L755,SUB_ID,0)),"?"))</f>
        <v/>
      </c>
      <c r="Z755" s="35" t="str">
        <f aca="false">IF($G755="","",IF($G755="EXTERNO","(Externo)",IFERROR(INDEX(ENT_NOME,MATCH($H755,ENT_ID,0)),"?")))</f>
        <v/>
      </c>
      <c r="AA755" s="35" t="str">
        <f aca="false">IF($I755="","",IF($I755="EXTERNO","(Externo)",IFERROR(INDEX(ENT_NOME,MATCH($J755,ENT_ID,0)),"?")))</f>
        <v/>
      </c>
      <c r="AB755" s="36" t="n">
        <f aca="false">IF($B755="",0,IF(AND($I755="CONTA",$G755&lt;&gt;"CONTA"),$F755,0))</f>
        <v>0</v>
      </c>
      <c r="AC755" s="36" t="n">
        <f aca="false">IF($B755="",0,IF(AND($G755="CONTA",$I755&lt;&gt;"CONTA"),$F755,0))</f>
        <v>0</v>
      </c>
      <c r="AD755" s="36" t="n">
        <f aca="false">IF($W755="RECEITA",$F755,0)</f>
        <v>0</v>
      </c>
      <c r="AE755" s="36" t="n">
        <f aca="false">IF($W755="DESPESA",$F755,0)</f>
        <v>0</v>
      </c>
      <c r="AF755" s="36" t="n">
        <f aca="false">IF($W755="RECEITA_FINANCEIRA",$F755,0)</f>
        <v>0</v>
      </c>
      <c r="AG755" s="36" t="n">
        <f aca="false">IF($B755="",0,IF($I755="CONTA",$F755,0)-IF($G755="CONTA",$F755,0))</f>
        <v>0</v>
      </c>
      <c r="AH755" s="36" t="n">
        <f aca="false">IF($B755="",0,IF($G755="CARTAO",$F755,0)-IF($I755="CARTAO",$F755,0))</f>
        <v>0</v>
      </c>
      <c r="AI755" s="36" t="n">
        <f aca="false">IF($B755="",0,IF($I755="INVESTIMENTO",$F755,0)-IF($G755="INVESTIMENTO",$F755,0))</f>
        <v>0</v>
      </c>
      <c r="AJ755" s="35" t="str">
        <f aca="false">IF($B755="","",IF(NOT(ISNUMBER($F755)),"ERRO: valor nao numerico",IF($F755&lt;=0,"ERRO: valor deve ser maior que zero",IF(COUNTIF(MAP_TIPO,$D755)=0,"ERRO: tipo de operacao nao cadastrado",IF(COUNTIF(LST_STATUS,$E755)=0,"ERRO: status invalido",IF(AND($G755="EXTERNO",$I755="EXTERNO"),"ERRO: origem e destino externos",IF(AND($G755&lt;&gt;"EXTERNO",COUNTIFS(ENT_ID,$H755,ENT_TIPO,$G755)=0),"ERRO: origem inexistente",IF(AND($I755&lt;&gt;"EXTERNO",COUNTIFS(ENT_ID,$J755,ENT_TIPO,$I755)=0),"ERRO: destino inexistente",IF(AND($K755&lt;&gt;"",COUNTIF(CAT_ID,$K755)=0),"ERRO: categoria inexistente",IF(AND($L755&lt;&gt;"",COUNTIF(SUB_ID,$L755)=0),"ERRO: subcategoria inexistente",IF(AND($L755&lt;&gt;"",$K755&lt;&gt;"",IFERROR(INDEX(SUB_CATID,MATCH($L755,SUB_ID,0)),"")&lt;&gt;$K755),"ERRO: subcategoria nao pertence a categoria",IF(AND($O755&lt;&gt;"",COUNTIF(P_ID,$O755)=0),"ERRO: parcela inexistente",IF(AND($N755&lt;&gt;"",COUNTIF(CM_ID,$N755)=0),"ERRO: compromisso inexistente","OK")))))))))))))</f>
        <v/>
      </c>
      <c r="AK755" s="35" t="str">
        <f aca="false">IF($B755="","",IF(AND($N755="",$O755="",$P755="",$Q755="",$R755=""),"","VINCULADO: "&amp;TRIM(IF($N755&lt;&gt;"",$N755&amp;" ","")&amp;IF($O755&lt;&gt;"",$O755&amp;" ","")&amp;IF($P755&lt;&gt;"",$P755&amp;" ","")&amp;IF($Q755&lt;&gt;"",$Q755&amp;" ","")&amp;IF($R755&lt;&gt;"",$R755,""))))</f>
        <v/>
      </c>
    </row>
    <row r="756" customFormat="false" ht="15" hidden="false" customHeight="false" outlineLevel="0" collapsed="false">
      <c r="A756" s="30" t="str">
        <f aca="false">IF($B756="","","LAN-"&amp;TEXT(ROW()-4,"000000"))</f>
        <v/>
      </c>
      <c r="B756" s="31"/>
      <c r="C756" s="32"/>
      <c r="D756" s="32"/>
      <c r="E756" s="32"/>
      <c r="F756" s="33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4" t="str">
        <f aca="false">IF($B756="","",YEAR($B756))</f>
        <v/>
      </c>
      <c r="U756" s="34" t="str">
        <f aca="false">IF($B756="","",MONTH($B756))</f>
        <v/>
      </c>
      <c r="V756" s="34" t="str">
        <f aca="false">IF($B756="","",YEAR($B756)*100+MONTH($B756))</f>
        <v/>
      </c>
      <c r="W756" s="35" t="str">
        <f aca="false">IF($D756="","",IFERROR(INDEX(MAP_CLASS,MATCH($D756,MAP_TIPO,0)),"TIPO INVALIDO"))</f>
        <v/>
      </c>
      <c r="X756" s="35" t="str">
        <f aca="false">IF($K756="","",IFERROR(INDEX(CAT_NOME,MATCH($K756,CAT_ID,0)),"?"))</f>
        <v/>
      </c>
      <c r="Y756" s="35" t="str">
        <f aca="false">IF($L756="","",IFERROR(INDEX(SUB_NOME,MATCH($L756,SUB_ID,0)),"?"))</f>
        <v/>
      </c>
      <c r="Z756" s="35" t="str">
        <f aca="false">IF($G756="","",IF($G756="EXTERNO","(Externo)",IFERROR(INDEX(ENT_NOME,MATCH($H756,ENT_ID,0)),"?")))</f>
        <v/>
      </c>
      <c r="AA756" s="35" t="str">
        <f aca="false">IF($I756="","",IF($I756="EXTERNO","(Externo)",IFERROR(INDEX(ENT_NOME,MATCH($J756,ENT_ID,0)),"?")))</f>
        <v/>
      </c>
      <c r="AB756" s="36" t="n">
        <f aca="false">IF($B756="",0,IF(AND($I756="CONTA",$G756&lt;&gt;"CONTA"),$F756,0))</f>
        <v>0</v>
      </c>
      <c r="AC756" s="36" t="n">
        <f aca="false">IF($B756="",0,IF(AND($G756="CONTA",$I756&lt;&gt;"CONTA"),$F756,0))</f>
        <v>0</v>
      </c>
      <c r="AD756" s="36" t="n">
        <f aca="false">IF($W756="RECEITA",$F756,0)</f>
        <v>0</v>
      </c>
      <c r="AE756" s="36" t="n">
        <f aca="false">IF($W756="DESPESA",$F756,0)</f>
        <v>0</v>
      </c>
      <c r="AF756" s="36" t="n">
        <f aca="false">IF($W756="RECEITA_FINANCEIRA",$F756,0)</f>
        <v>0</v>
      </c>
      <c r="AG756" s="36" t="n">
        <f aca="false">IF($B756="",0,IF($I756="CONTA",$F756,0)-IF($G756="CONTA",$F756,0))</f>
        <v>0</v>
      </c>
      <c r="AH756" s="36" t="n">
        <f aca="false">IF($B756="",0,IF($G756="CARTAO",$F756,0)-IF($I756="CARTAO",$F756,0))</f>
        <v>0</v>
      </c>
      <c r="AI756" s="36" t="n">
        <f aca="false">IF($B756="",0,IF($I756="INVESTIMENTO",$F756,0)-IF($G756="INVESTIMENTO",$F756,0))</f>
        <v>0</v>
      </c>
      <c r="AJ756" s="35" t="str">
        <f aca="false">IF($B756="","",IF(NOT(ISNUMBER($F756)),"ERRO: valor nao numerico",IF($F756&lt;=0,"ERRO: valor deve ser maior que zero",IF(COUNTIF(MAP_TIPO,$D756)=0,"ERRO: tipo de operacao nao cadastrado",IF(COUNTIF(LST_STATUS,$E756)=0,"ERRO: status invalido",IF(AND($G756="EXTERNO",$I756="EXTERNO"),"ERRO: origem e destino externos",IF(AND($G756&lt;&gt;"EXTERNO",COUNTIFS(ENT_ID,$H756,ENT_TIPO,$G756)=0),"ERRO: origem inexistente",IF(AND($I756&lt;&gt;"EXTERNO",COUNTIFS(ENT_ID,$J756,ENT_TIPO,$I756)=0),"ERRO: destino inexistente",IF(AND($K756&lt;&gt;"",COUNTIF(CAT_ID,$K756)=0),"ERRO: categoria inexistente",IF(AND($L756&lt;&gt;"",COUNTIF(SUB_ID,$L756)=0),"ERRO: subcategoria inexistente",IF(AND($L756&lt;&gt;"",$K756&lt;&gt;"",IFERROR(INDEX(SUB_CATID,MATCH($L756,SUB_ID,0)),"")&lt;&gt;$K756),"ERRO: subcategoria nao pertence a categoria",IF(AND($O756&lt;&gt;"",COUNTIF(P_ID,$O756)=0),"ERRO: parcela inexistente",IF(AND($N756&lt;&gt;"",COUNTIF(CM_ID,$N756)=0),"ERRO: compromisso inexistente","OK")))))))))))))</f>
        <v/>
      </c>
      <c r="AK756" s="35" t="str">
        <f aca="false">IF($B756="","",IF(AND($N756="",$O756="",$P756="",$Q756="",$R756=""),"","VINCULADO: "&amp;TRIM(IF($N756&lt;&gt;"",$N756&amp;" ","")&amp;IF($O756&lt;&gt;"",$O756&amp;" ","")&amp;IF($P756&lt;&gt;"",$P756&amp;" ","")&amp;IF($Q756&lt;&gt;"",$Q756&amp;" ","")&amp;IF($R756&lt;&gt;"",$R756,""))))</f>
        <v/>
      </c>
    </row>
    <row r="757" customFormat="false" ht="15" hidden="false" customHeight="false" outlineLevel="0" collapsed="false">
      <c r="A757" s="30" t="str">
        <f aca="false">IF($B757="","","LAN-"&amp;TEXT(ROW()-4,"000000"))</f>
        <v/>
      </c>
      <c r="B757" s="31"/>
      <c r="C757" s="32"/>
      <c r="D757" s="32"/>
      <c r="E757" s="32"/>
      <c r="F757" s="33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4" t="str">
        <f aca="false">IF($B757="","",YEAR($B757))</f>
        <v/>
      </c>
      <c r="U757" s="34" t="str">
        <f aca="false">IF($B757="","",MONTH($B757))</f>
        <v/>
      </c>
      <c r="V757" s="34" t="str">
        <f aca="false">IF($B757="","",YEAR($B757)*100+MONTH($B757))</f>
        <v/>
      </c>
      <c r="W757" s="35" t="str">
        <f aca="false">IF($D757="","",IFERROR(INDEX(MAP_CLASS,MATCH($D757,MAP_TIPO,0)),"TIPO INVALIDO"))</f>
        <v/>
      </c>
      <c r="X757" s="35" t="str">
        <f aca="false">IF($K757="","",IFERROR(INDEX(CAT_NOME,MATCH($K757,CAT_ID,0)),"?"))</f>
        <v/>
      </c>
      <c r="Y757" s="35" t="str">
        <f aca="false">IF($L757="","",IFERROR(INDEX(SUB_NOME,MATCH($L757,SUB_ID,0)),"?"))</f>
        <v/>
      </c>
      <c r="Z757" s="35" t="str">
        <f aca="false">IF($G757="","",IF($G757="EXTERNO","(Externo)",IFERROR(INDEX(ENT_NOME,MATCH($H757,ENT_ID,0)),"?")))</f>
        <v/>
      </c>
      <c r="AA757" s="35" t="str">
        <f aca="false">IF($I757="","",IF($I757="EXTERNO","(Externo)",IFERROR(INDEX(ENT_NOME,MATCH($J757,ENT_ID,0)),"?")))</f>
        <v/>
      </c>
      <c r="AB757" s="36" t="n">
        <f aca="false">IF($B757="",0,IF(AND($I757="CONTA",$G757&lt;&gt;"CONTA"),$F757,0))</f>
        <v>0</v>
      </c>
      <c r="AC757" s="36" t="n">
        <f aca="false">IF($B757="",0,IF(AND($G757="CONTA",$I757&lt;&gt;"CONTA"),$F757,0))</f>
        <v>0</v>
      </c>
      <c r="AD757" s="36" t="n">
        <f aca="false">IF($W757="RECEITA",$F757,0)</f>
        <v>0</v>
      </c>
      <c r="AE757" s="36" t="n">
        <f aca="false">IF($W757="DESPESA",$F757,0)</f>
        <v>0</v>
      </c>
      <c r="AF757" s="36" t="n">
        <f aca="false">IF($W757="RECEITA_FINANCEIRA",$F757,0)</f>
        <v>0</v>
      </c>
      <c r="AG757" s="36" t="n">
        <f aca="false">IF($B757="",0,IF($I757="CONTA",$F757,0)-IF($G757="CONTA",$F757,0))</f>
        <v>0</v>
      </c>
      <c r="AH757" s="36" t="n">
        <f aca="false">IF($B757="",0,IF($G757="CARTAO",$F757,0)-IF($I757="CARTAO",$F757,0))</f>
        <v>0</v>
      </c>
      <c r="AI757" s="36" t="n">
        <f aca="false">IF($B757="",0,IF($I757="INVESTIMENTO",$F757,0)-IF($G757="INVESTIMENTO",$F757,0))</f>
        <v>0</v>
      </c>
      <c r="AJ757" s="35" t="str">
        <f aca="false">IF($B757="","",IF(NOT(ISNUMBER($F757)),"ERRO: valor nao numerico",IF($F757&lt;=0,"ERRO: valor deve ser maior que zero",IF(COUNTIF(MAP_TIPO,$D757)=0,"ERRO: tipo de operacao nao cadastrado",IF(COUNTIF(LST_STATUS,$E757)=0,"ERRO: status invalido",IF(AND($G757="EXTERNO",$I757="EXTERNO"),"ERRO: origem e destino externos",IF(AND($G757&lt;&gt;"EXTERNO",COUNTIFS(ENT_ID,$H757,ENT_TIPO,$G757)=0),"ERRO: origem inexistente",IF(AND($I757&lt;&gt;"EXTERNO",COUNTIFS(ENT_ID,$J757,ENT_TIPO,$I757)=0),"ERRO: destino inexistente",IF(AND($K757&lt;&gt;"",COUNTIF(CAT_ID,$K757)=0),"ERRO: categoria inexistente",IF(AND($L757&lt;&gt;"",COUNTIF(SUB_ID,$L757)=0),"ERRO: subcategoria inexistente",IF(AND($L757&lt;&gt;"",$K757&lt;&gt;"",IFERROR(INDEX(SUB_CATID,MATCH($L757,SUB_ID,0)),"")&lt;&gt;$K757),"ERRO: subcategoria nao pertence a categoria",IF(AND($O757&lt;&gt;"",COUNTIF(P_ID,$O757)=0),"ERRO: parcela inexistente",IF(AND($N757&lt;&gt;"",COUNTIF(CM_ID,$N757)=0),"ERRO: compromisso inexistente","OK")))))))))))))</f>
        <v/>
      </c>
      <c r="AK757" s="35" t="str">
        <f aca="false">IF($B757="","",IF(AND($N757="",$O757="",$P757="",$Q757="",$R757=""),"","VINCULADO: "&amp;TRIM(IF($N757&lt;&gt;"",$N757&amp;" ","")&amp;IF($O757&lt;&gt;"",$O757&amp;" ","")&amp;IF($P757&lt;&gt;"",$P757&amp;" ","")&amp;IF($Q757&lt;&gt;"",$Q757&amp;" ","")&amp;IF($R757&lt;&gt;"",$R757,""))))</f>
        <v/>
      </c>
    </row>
    <row r="758" customFormat="false" ht="15" hidden="false" customHeight="false" outlineLevel="0" collapsed="false">
      <c r="A758" s="30" t="str">
        <f aca="false">IF($B758="","","LAN-"&amp;TEXT(ROW()-4,"000000"))</f>
        <v/>
      </c>
      <c r="B758" s="31"/>
      <c r="C758" s="32"/>
      <c r="D758" s="32"/>
      <c r="E758" s="32"/>
      <c r="F758" s="33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4" t="str">
        <f aca="false">IF($B758="","",YEAR($B758))</f>
        <v/>
      </c>
      <c r="U758" s="34" t="str">
        <f aca="false">IF($B758="","",MONTH($B758))</f>
        <v/>
      </c>
      <c r="V758" s="34" t="str">
        <f aca="false">IF($B758="","",YEAR($B758)*100+MONTH($B758))</f>
        <v/>
      </c>
      <c r="W758" s="35" t="str">
        <f aca="false">IF($D758="","",IFERROR(INDEX(MAP_CLASS,MATCH($D758,MAP_TIPO,0)),"TIPO INVALIDO"))</f>
        <v/>
      </c>
      <c r="X758" s="35" t="str">
        <f aca="false">IF($K758="","",IFERROR(INDEX(CAT_NOME,MATCH($K758,CAT_ID,0)),"?"))</f>
        <v/>
      </c>
      <c r="Y758" s="35" t="str">
        <f aca="false">IF($L758="","",IFERROR(INDEX(SUB_NOME,MATCH($L758,SUB_ID,0)),"?"))</f>
        <v/>
      </c>
      <c r="Z758" s="35" t="str">
        <f aca="false">IF($G758="","",IF($G758="EXTERNO","(Externo)",IFERROR(INDEX(ENT_NOME,MATCH($H758,ENT_ID,0)),"?")))</f>
        <v/>
      </c>
      <c r="AA758" s="35" t="str">
        <f aca="false">IF($I758="","",IF($I758="EXTERNO","(Externo)",IFERROR(INDEX(ENT_NOME,MATCH($J758,ENT_ID,0)),"?")))</f>
        <v/>
      </c>
      <c r="AB758" s="36" t="n">
        <f aca="false">IF($B758="",0,IF(AND($I758="CONTA",$G758&lt;&gt;"CONTA"),$F758,0))</f>
        <v>0</v>
      </c>
      <c r="AC758" s="36" t="n">
        <f aca="false">IF($B758="",0,IF(AND($G758="CONTA",$I758&lt;&gt;"CONTA"),$F758,0))</f>
        <v>0</v>
      </c>
      <c r="AD758" s="36" t="n">
        <f aca="false">IF($W758="RECEITA",$F758,0)</f>
        <v>0</v>
      </c>
      <c r="AE758" s="36" t="n">
        <f aca="false">IF($W758="DESPESA",$F758,0)</f>
        <v>0</v>
      </c>
      <c r="AF758" s="36" t="n">
        <f aca="false">IF($W758="RECEITA_FINANCEIRA",$F758,0)</f>
        <v>0</v>
      </c>
      <c r="AG758" s="36" t="n">
        <f aca="false">IF($B758="",0,IF($I758="CONTA",$F758,0)-IF($G758="CONTA",$F758,0))</f>
        <v>0</v>
      </c>
      <c r="AH758" s="36" t="n">
        <f aca="false">IF($B758="",0,IF($G758="CARTAO",$F758,0)-IF($I758="CARTAO",$F758,0))</f>
        <v>0</v>
      </c>
      <c r="AI758" s="36" t="n">
        <f aca="false">IF($B758="",0,IF($I758="INVESTIMENTO",$F758,0)-IF($G758="INVESTIMENTO",$F758,0))</f>
        <v>0</v>
      </c>
      <c r="AJ758" s="35" t="str">
        <f aca="false">IF($B758="","",IF(NOT(ISNUMBER($F758)),"ERRO: valor nao numerico",IF($F758&lt;=0,"ERRO: valor deve ser maior que zero",IF(COUNTIF(MAP_TIPO,$D758)=0,"ERRO: tipo de operacao nao cadastrado",IF(COUNTIF(LST_STATUS,$E758)=0,"ERRO: status invalido",IF(AND($G758="EXTERNO",$I758="EXTERNO"),"ERRO: origem e destino externos",IF(AND($G758&lt;&gt;"EXTERNO",COUNTIFS(ENT_ID,$H758,ENT_TIPO,$G758)=0),"ERRO: origem inexistente",IF(AND($I758&lt;&gt;"EXTERNO",COUNTIFS(ENT_ID,$J758,ENT_TIPO,$I758)=0),"ERRO: destino inexistente",IF(AND($K758&lt;&gt;"",COUNTIF(CAT_ID,$K758)=0),"ERRO: categoria inexistente",IF(AND($L758&lt;&gt;"",COUNTIF(SUB_ID,$L758)=0),"ERRO: subcategoria inexistente",IF(AND($L758&lt;&gt;"",$K758&lt;&gt;"",IFERROR(INDEX(SUB_CATID,MATCH($L758,SUB_ID,0)),"")&lt;&gt;$K758),"ERRO: subcategoria nao pertence a categoria",IF(AND($O758&lt;&gt;"",COUNTIF(P_ID,$O758)=0),"ERRO: parcela inexistente",IF(AND($N758&lt;&gt;"",COUNTIF(CM_ID,$N758)=0),"ERRO: compromisso inexistente","OK")))))))))))))</f>
        <v/>
      </c>
      <c r="AK758" s="35" t="str">
        <f aca="false">IF($B758="","",IF(AND($N758="",$O758="",$P758="",$Q758="",$R758=""),"","VINCULADO: "&amp;TRIM(IF($N758&lt;&gt;"",$N758&amp;" ","")&amp;IF($O758&lt;&gt;"",$O758&amp;" ","")&amp;IF($P758&lt;&gt;"",$P758&amp;" ","")&amp;IF($Q758&lt;&gt;"",$Q758&amp;" ","")&amp;IF($R758&lt;&gt;"",$R758,""))))</f>
        <v/>
      </c>
    </row>
    <row r="759" customFormat="false" ht="15" hidden="false" customHeight="false" outlineLevel="0" collapsed="false">
      <c r="A759" s="30" t="str">
        <f aca="false">IF($B759="","","LAN-"&amp;TEXT(ROW()-4,"000000"))</f>
        <v/>
      </c>
      <c r="B759" s="31"/>
      <c r="C759" s="32"/>
      <c r="D759" s="32"/>
      <c r="E759" s="32"/>
      <c r="F759" s="33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4" t="str">
        <f aca="false">IF($B759="","",YEAR($B759))</f>
        <v/>
      </c>
      <c r="U759" s="34" t="str">
        <f aca="false">IF($B759="","",MONTH($B759))</f>
        <v/>
      </c>
      <c r="V759" s="34" t="str">
        <f aca="false">IF($B759="","",YEAR($B759)*100+MONTH($B759))</f>
        <v/>
      </c>
      <c r="W759" s="35" t="str">
        <f aca="false">IF($D759="","",IFERROR(INDEX(MAP_CLASS,MATCH($D759,MAP_TIPO,0)),"TIPO INVALIDO"))</f>
        <v/>
      </c>
      <c r="X759" s="35" t="str">
        <f aca="false">IF($K759="","",IFERROR(INDEX(CAT_NOME,MATCH($K759,CAT_ID,0)),"?"))</f>
        <v/>
      </c>
      <c r="Y759" s="35" t="str">
        <f aca="false">IF($L759="","",IFERROR(INDEX(SUB_NOME,MATCH($L759,SUB_ID,0)),"?"))</f>
        <v/>
      </c>
      <c r="Z759" s="35" t="str">
        <f aca="false">IF($G759="","",IF($G759="EXTERNO","(Externo)",IFERROR(INDEX(ENT_NOME,MATCH($H759,ENT_ID,0)),"?")))</f>
        <v/>
      </c>
      <c r="AA759" s="35" t="str">
        <f aca="false">IF($I759="","",IF($I759="EXTERNO","(Externo)",IFERROR(INDEX(ENT_NOME,MATCH($J759,ENT_ID,0)),"?")))</f>
        <v/>
      </c>
      <c r="AB759" s="36" t="n">
        <f aca="false">IF($B759="",0,IF(AND($I759="CONTA",$G759&lt;&gt;"CONTA"),$F759,0))</f>
        <v>0</v>
      </c>
      <c r="AC759" s="36" t="n">
        <f aca="false">IF($B759="",0,IF(AND($G759="CONTA",$I759&lt;&gt;"CONTA"),$F759,0))</f>
        <v>0</v>
      </c>
      <c r="AD759" s="36" t="n">
        <f aca="false">IF($W759="RECEITA",$F759,0)</f>
        <v>0</v>
      </c>
      <c r="AE759" s="36" t="n">
        <f aca="false">IF($W759="DESPESA",$F759,0)</f>
        <v>0</v>
      </c>
      <c r="AF759" s="36" t="n">
        <f aca="false">IF($W759="RECEITA_FINANCEIRA",$F759,0)</f>
        <v>0</v>
      </c>
      <c r="AG759" s="36" t="n">
        <f aca="false">IF($B759="",0,IF($I759="CONTA",$F759,0)-IF($G759="CONTA",$F759,0))</f>
        <v>0</v>
      </c>
      <c r="AH759" s="36" t="n">
        <f aca="false">IF($B759="",0,IF($G759="CARTAO",$F759,0)-IF($I759="CARTAO",$F759,0))</f>
        <v>0</v>
      </c>
      <c r="AI759" s="36" t="n">
        <f aca="false">IF($B759="",0,IF($I759="INVESTIMENTO",$F759,0)-IF($G759="INVESTIMENTO",$F759,0))</f>
        <v>0</v>
      </c>
      <c r="AJ759" s="35" t="str">
        <f aca="false">IF($B759="","",IF(NOT(ISNUMBER($F759)),"ERRO: valor nao numerico",IF($F759&lt;=0,"ERRO: valor deve ser maior que zero",IF(COUNTIF(MAP_TIPO,$D759)=0,"ERRO: tipo de operacao nao cadastrado",IF(COUNTIF(LST_STATUS,$E759)=0,"ERRO: status invalido",IF(AND($G759="EXTERNO",$I759="EXTERNO"),"ERRO: origem e destino externos",IF(AND($G759&lt;&gt;"EXTERNO",COUNTIFS(ENT_ID,$H759,ENT_TIPO,$G759)=0),"ERRO: origem inexistente",IF(AND($I759&lt;&gt;"EXTERNO",COUNTIFS(ENT_ID,$J759,ENT_TIPO,$I759)=0),"ERRO: destino inexistente",IF(AND($K759&lt;&gt;"",COUNTIF(CAT_ID,$K759)=0),"ERRO: categoria inexistente",IF(AND($L759&lt;&gt;"",COUNTIF(SUB_ID,$L759)=0),"ERRO: subcategoria inexistente",IF(AND($L759&lt;&gt;"",$K759&lt;&gt;"",IFERROR(INDEX(SUB_CATID,MATCH($L759,SUB_ID,0)),"")&lt;&gt;$K759),"ERRO: subcategoria nao pertence a categoria",IF(AND($O759&lt;&gt;"",COUNTIF(P_ID,$O759)=0),"ERRO: parcela inexistente",IF(AND($N759&lt;&gt;"",COUNTIF(CM_ID,$N759)=0),"ERRO: compromisso inexistente","OK")))))))))))))</f>
        <v/>
      </c>
      <c r="AK759" s="35" t="str">
        <f aca="false">IF($B759="","",IF(AND($N759="",$O759="",$P759="",$Q759="",$R759=""),"","VINCULADO: "&amp;TRIM(IF($N759&lt;&gt;"",$N759&amp;" ","")&amp;IF($O759&lt;&gt;"",$O759&amp;" ","")&amp;IF($P759&lt;&gt;"",$P759&amp;" ","")&amp;IF($Q759&lt;&gt;"",$Q759&amp;" ","")&amp;IF($R759&lt;&gt;"",$R759,""))))</f>
        <v/>
      </c>
    </row>
    <row r="760" customFormat="false" ht="15" hidden="false" customHeight="false" outlineLevel="0" collapsed="false">
      <c r="A760" s="30" t="str">
        <f aca="false">IF($B760="","","LAN-"&amp;TEXT(ROW()-4,"000000"))</f>
        <v/>
      </c>
      <c r="B760" s="31"/>
      <c r="C760" s="32"/>
      <c r="D760" s="32"/>
      <c r="E760" s="32"/>
      <c r="F760" s="33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4" t="str">
        <f aca="false">IF($B760="","",YEAR($B760))</f>
        <v/>
      </c>
      <c r="U760" s="34" t="str">
        <f aca="false">IF($B760="","",MONTH($B760))</f>
        <v/>
      </c>
      <c r="V760" s="34" t="str">
        <f aca="false">IF($B760="","",YEAR($B760)*100+MONTH($B760))</f>
        <v/>
      </c>
      <c r="W760" s="35" t="str">
        <f aca="false">IF($D760="","",IFERROR(INDEX(MAP_CLASS,MATCH($D760,MAP_TIPO,0)),"TIPO INVALIDO"))</f>
        <v/>
      </c>
      <c r="X760" s="35" t="str">
        <f aca="false">IF($K760="","",IFERROR(INDEX(CAT_NOME,MATCH($K760,CAT_ID,0)),"?"))</f>
        <v/>
      </c>
      <c r="Y760" s="35" t="str">
        <f aca="false">IF($L760="","",IFERROR(INDEX(SUB_NOME,MATCH($L760,SUB_ID,0)),"?"))</f>
        <v/>
      </c>
      <c r="Z760" s="35" t="str">
        <f aca="false">IF($G760="","",IF($G760="EXTERNO","(Externo)",IFERROR(INDEX(ENT_NOME,MATCH($H760,ENT_ID,0)),"?")))</f>
        <v/>
      </c>
      <c r="AA760" s="35" t="str">
        <f aca="false">IF($I760="","",IF($I760="EXTERNO","(Externo)",IFERROR(INDEX(ENT_NOME,MATCH($J760,ENT_ID,0)),"?")))</f>
        <v/>
      </c>
      <c r="AB760" s="36" t="n">
        <f aca="false">IF($B760="",0,IF(AND($I760="CONTA",$G760&lt;&gt;"CONTA"),$F760,0))</f>
        <v>0</v>
      </c>
      <c r="AC760" s="36" t="n">
        <f aca="false">IF($B760="",0,IF(AND($G760="CONTA",$I760&lt;&gt;"CONTA"),$F760,0))</f>
        <v>0</v>
      </c>
      <c r="AD760" s="36" t="n">
        <f aca="false">IF($W760="RECEITA",$F760,0)</f>
        <v>0</v>
      </c>
      <c r="AE760" s="36" t="n">
        <f aca="false">IF($W760="DESPESA",$F760,0)</f>
        <v>0</v>
      </c>
      <c r="AF760" s="36" t="n">
        <f aca="false">IF($W760="RECEITA_FINANCEIRA",$F760,0)</f>
        <v>0</v>
      </c>
      <c r="AG760" s="36" t="n">
        <f aca="false">IF($B760="",0,IF($I760="CONTA",$F760,0)-IF($G760="CONTA",$F760,0))</f>
        <v>0</v>
      </c>
      <c r="AH760" s="36" t="n">
        <f aca="false">IF($B760="",0,IF($G760="CARTAO",$F760,0)-IF($I760="CARTAO",$F760,0))</f>
        <v>0</v>
      </c>
      <c r="AI760" s="36" t="n">
        <f aca="false">IF($B760="",0,IF($I760="INVESTIMENTO",$F760,0)-IF($G760="INVESTIMENTO",$F760,0))</f>
        <v>0</v>
      </c>
      <c r="AJ760" s="35" t="str">
        <f aca="false">IF($B760="","",IF(NOT(ISNUMBER($F760)),"ERRO: valor nao numerico",IF($F760&lt;=0,"ERRO: valor deve ser maior que zero",IF(COUNTIF(MAP_TIPO,$D760)=0,"ERRO: tipo de operacao nao cadastrado",IF(COUNTIF(LST_STATUS,$E760)=0,"ERRO: status invalido",IF(AND($G760="EXTERNO",$I760="EXTERNO"),"ERRO: origem e destino externos",IF(AND($G760&lt;&gt;"EXTERNO",COUNTIFS(ENT_ID,$H760,ENT_TIPO,$G760)=0),"ERRO: origem inexistente",IF(AND($I760&lt;&gt;"EXTERNO",COUNTIFS(ENT_ID,$J760,ENT_TIPO,$I760)=0),"ERRO: destino inexistente",IF(AND($K760&lt;&gt;"",COUNTIF(CAT_ID,$K760)=0),"ERRO: categoria inexistente",IF(AND($L760&lt;&gt;"",COUNTIF(SUB_ID,$L760)=0),"ERRO: subcategoria inexistente",IF(AND($L760&lt;&gt;"",$K760&lt;&gt;"",IFERROR(INDEX(SUB_CATID,MATCH($L760,SUB_ID,0)),"")&lt;&gt;$K760),"ERRO: subcategoria nao pertence a categoria",IF(AND($O760&lt;&gt;"",COUNTIF(P_ID,$O760)=0),"ERRO: parcela inexistente",IF(AND($N760&lt;&gt;"",COUNTIF(CM_ID,$N760)=0),"ERRO: compromisso inexistente","OK")))))))))))))</f>
        <v/>
      </c>
      <c r="AK760" s="35" t="str">
        <f aca="false">IF($B760="","",IF(AND($N760="",$O760="",$P760="",$Q760="",$R760=""),"","VINCULADO: "&amp;TRIM(IF($N760&lt;&gt;"",$N760&amp;" ","")&amp;IF($O760&lt;&gt;"",$O760&amp;" ","")&amp;IF($P760&lt;&gt;"",$P760&amp;" ","")&amp;IF($Q760&lt;&gt;"",$Q760&amp;" ","")&amp;IF($R760&lt;&gt;"",$R760,""))))</f>
        <v/>
      </c>
    </row>
    <row r="761" customFormat="false" ht="15" hidden="false" customHeight="false" outlineLevel="0" collapsed="false">
      <c r="A761" s="30" t="str">
        <f aca="false">IF($B761="","","LAN-"&amp;TEXT(ROW()-4,"000000"))</f>
        <v/>
      </c>
      <c r="B761" s="31"/>
      <c r="C761" s="32"/>
      <c r="D761" s="32"/>
      <c r="E761" s="32"/>
      <c r="F761" s="33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4" t="str">
        <f aca="false">IF($B761="","",YEAR($B761))</f>
        <v/>
      </c>
      <c r="U761" s="34" t="str">
        <f aca="false">IF($B761="","",MONTH($B761))</f>
        <v/>
      </c>
      <c r="V761" s="34" t="str">
        <f aca="false">IF($B761="","",YEAR($B761)*100+MONTH($B761))</f>
        <v/>
      </c>
      <c r="W761" s="35" t="str">
        <f aca="false">IF($D761="","",IFERROR(INDEX(MAP_CLASS,MATCH($D761,MAP_TIPO,0)),"TIPO INVALIDO"))</f>
        <v/>
      </c>
      <c r="X761" s="35" t="str">
        <f aca="false">IF($K761="","",IFERROR(INDEX(CAT_NOME,MATCH($K761,CAT_ID,0)),"?"))</f>
        <v/>
      </c>
      <c r="Y761" s="35" t="str">
        <f aca="false">IF($L761="","",IFERROR(INDEX(SUB_NOME,MATCH($L761,SUB_ID,0)),"?"))</f>
        <v/>
      </c>
      <c r="Z761" s="35" t="str">
        <f aca="false">IF($G761="","",IF($G761="EXTERNO","(Externo)",IFERROR(INDEX(ENT_NOME,MATCH($H761,ENT_ID,0)),"?")))</f>
        <v/>
      </c>
      <c r="AA761" s="35" t="str">
        <f aca="false">IF($I761="","",IF($I761="EXTERNO","(Externo)",IFERROR(INDEX(ENT_NOME,MATCH($J761,ENT_ID,0)),"?")))</f>
        <v/>
      </c>
      <c r="AB761" s="36" t="n">
        <f aca="false">IF($B761="",0,IF(AND($I761="CONTA",$G761&lt;&gt;"CONTA"),$F761,0))</f>
        <v>0</v>
      </c>
      <c r="AC761" s="36" t="n">
        <f aca="false">IF($B761="",0,IF(AND($G761="CONTA",$I761&lt;&gt;"CONTA"),$F761,0))</f>
        <v>0</v>
      </c>
      <c r="AD761" s="36" t="n">
        <f aca="false">IF($W761="RECEITA",$F761,0)</f>
        <v>0</v>
      </c>
      <c r="AE761" s="36" t="n">
        <f aca="false">IF($W761="DESPESA",$F761,0)</f>
        <v>0</v>
      </c>
      <c r="AF761" s="36" t="n">
        <f aca="false">IF($W761="RECEITA_FINANCEIRA",$F761,0)</f>
        <v>0</v>
      </c>
      <c r="AG761" s="36" t="n">
        <f aca="false">IF($B761="",0,IF($I761="CONTA",$F761,0)-IF($G761="CONTA",$F761,0))</f>
        <v>0</v>
      </c>
      <c r="AH761" s="36" t="n">
        <f aca="false">IF($B761="",0,IF($G761="CARTAO",$F761,0)-IF($I761="CARTAO",$F761,0))</f>
        <v>0</v>
      </c>
      <c r="AI761" s="36" t="n">
        <f aca="false">IF($B761="",0,IF($I761="INVESTIMENTO",$F761,0)-IF($G761="INVESTIMENTO",$F761,0))</f>
        <v>0</v>
      </c>
      <c r="AJ761" s="35" t="str">
        <f aca="false">IF($B761="","",IF(NOT(ISNUMBER($F761)),"ERRO: valor nao numerico",IF($F761&lt;=0,"ERRO: valor deve ser maior que zero",IF(COUNTIF(MAP_TIPO,$D761)=0,"ERRO: tipo de operacao nao cadastrado",IF(COUNTIF(LST_STATUS,$E761)=0,"ERRO: status invalido",IF(AND($G761="EXTERNO",$I761="EXTERNO"),"ERRO: origem e destino externos",IF(AND($G761&lt;&gt;"EXTERNO",COUNTIFS(ENT_ID,$H761,ENT_TIPO,$G761)=0),"ERRO: origem inexistente",IF(AND($I761&lt;&gt;"EXTERNO",COUNTIFS(ENT_ID,$J761,ENT_TIPO,$I761)=0),"ERRO: destino inexistente",IF(AND($K761&lt;&gt;"",COUNTIF(CAT_ID,$K761)=0),"ERRO: categoria inexistente",IF(AND($L761&lt;&gt;"",COUNTIF(SUB_ID,$L761)=0),"ERRO: subcategoria inexistente",IF(AND($L761&lt;&gt;"",$K761&lt;&gt;"",IFERROR(INDEX(SUB_CATID,MATCH($L761,SUB_ID,0)),"")&lt;&gt;$K761),"ERRO: subcategoria nao pertence a categoria",IF(AND($O761&lt;&gt;"",COUNTIF(P_ID,$O761)=0),"ERRO: parcela inexistente",IF(AND($N761&lt;&gt;"",COUNTIF(CM_ID,$N761)=0),"ERRO: compromisso inexistente","OK")))))))))))))</f>
        <v/>
      </c>
      <c r="AK761" s="35" t="str">
        <f aca="false">IF($B761="","",IF(AND($N761="",$O761="",$P761="",$Q761="",$R761=""),"","VINCULADO: "&amp;TRIM(IF($N761&lt;&gt;"",$N761&amp;" ","")&amp;IF($O761&lt;&gt;"",$O761&amp;" ","")&amp;IF($P761&lt;&gt;"",$P761&amp;" ","")&amp;IF($Q761&lt;&gt;"",$Q761&amp;" ","")&amp;IF($R761&lt;&gt;"",$R761,""))))</f>
        <v/>
      </c>
    </row>
    <row r="762" customFormat="false" ht="15" hidden="false" customHeight="false" outlineLevel="0" collapsed="false">
      <c r="A762" s="30" t="str">
        <f aca="false">IF($B762="","","LAN-"&amp;TEXT(ROW()-4,"000000"))</f>
        <v/>
      </c>
      <c r="B762" s="31"/>
      <c r="C762" s="32"/>
      <c r="D762" s="32"/>
      <c r="E762" s="32"/>
      <c r="F762" s="33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4" t="str">
        <f aca="false">IF($B762="","",YEAR($B762))</f>
        <v/>
      </c>
      <c r="U762" s="34" t="str">
        <f aca="false">IF($B762="","",MONTH($B762))</f>
        <v/>
      </c>
      <c r="V762" s="34" t="str">
        <f aca="false">IF($B762="","",YEAR($B762)*100+MONTH($B762))</f>
        <v/>
      </c>
      <c r="W762" s="35" t="str">
        <f aca="false">IF($D762="","",IFERROR(INDEX(MAP_CLASS,MATCH($D762,MAP_TIPO,0)),"TIPO INVALIDO"))</f>
        <v/>
      </c>
      <c r="X762" s="35" t="str">
        <f aca="false">IF($K762="","",IFERROR(INDEX(CAT_NOME,MATCH($K762,CAT_ID,0)),"?"))</f>
        <v/>
      </c>
      <c r="Y762" s="35" t="str">
        <f aca="false">IF($L762="","",IFERROR(INDEX(SUB_NOME,MATCH($L762,SUB_ID,0)),"?"))</f>
        <v/>
      </c>
      <c r="Z762" s="35" t="str">
        <f aca="false">IF($G762="","",IF($G762="EXTERNO","(Externo)",IFERROR(INDEX(ENT_NOME,MATCH($H762,ENT_ID,0)),"?")))</f>
        <v/>
      </c>
      <c r="AA762" s="35" t="str">
        <f aca="false">IF($I762="","",IF($I762="EXTERNO","(Externo)",IFERROR(INDEX(ENT_NOME,MATCH($J762,ENT_ID,0)),"?")))</f>
        <v/>
      </c>
      <c r="AB762" s="36" t="n">
        <f aca="false">IF($B762="",0,IF(AND($I762="CONTA",$G762&lt;&gt;"CONTA"),$F762,0))</f>
        <v>0</v>
      </c>
      <c r="AC762" s="36" t="n">
        <f aca="false">IF($B762="",0,IF(AND($G762="CONTA",$I762&lt;&gt;"CONTA"),$F762,0))</f>
        <v>0</v>
      </c>
      <c r="AD762" s="36" t="n">
        <f aca="false">IF($W762="RECEITA",$F762,0)</f>
        <v>0</v>
      </c>
      <c r="AE762" s="36" t="n">
        <f aca="false">IF($W762="DESPESA",$F762,0)</f>
        <v>0</v>
      </c>
      <c r="AF762" s="36" t="n">
        <f aca="false">IF($W762="RECEITA_FINANCEIRA",$F762,0)</f>
        <v>0</v>
      </c>
      <c r="AG762" s="36" t="n">
        <f aca="false">IF($B762="",0,IF($I762="CONTA",$F762,0)-IF($G762="CONTA",$F762,0))</f>
        <v>0</v>
      </c>
      <c r="AH762" s="36" t="n">
        <f aca="false">IF($B762="",0,IF($G762="CARTAO",$F762,0)-IF($I762="CARTAO",$F762,0))</f>
        <v>0</v>
      </c>
      <c r="AI762" s="36" t="n">
        <f aca="false">IF($B762="",0,IF($I762="INVESTIMENTO",$F762,0)-IF($G762="INVESTIMENTO",$F762,0))</f>
        <v>0</v>
      </c>
      <c r="AJ762" s="35" t="str">
        <f aca="false">IF($B762="","",IF(NOT(ISNUMBER($F762)),"ERRO: valor nao numerico",IF($F762&lt;=0,"ERRO: valor deve ser maior que zero",IF(COUNTIF(MAP_TIPO,$D762)=0,"ERRO: tipo de operacao nao cadastrado",IF(COUNTIF(LST_STATUS,$E762)=0,"ERRO: status invalido",IF(AND($G762="EXTERNO",$I762="EXTERNO"),"ERRO: origem e destino externos",IF(AND($G762&lt;&gt;"EXTERNO",COUNTIFS(ENT_ID,$H762,ENT_TIPO,$G762)=0),"ERRO: origem inexistente",IF(AND($I762&lt;&gt;"EXTERNO",COUNTIFS(ENT_ID,$J762,ENT_TIPO,$I762)=0),"ERRO: destino inexistente",IF(AND($K762&lt;&gt;"",COUNTIF(CAT_ID,$K762)=0),"ERRO: categoria inexistente",IF(AND($L762&lt;&gt;"",COUNTIF(SUB_ID,$L762)=0),"ERRO: subcategoria inexistente",IF(AND($L762&lt;&gt;"",$K762&lt;&gt;"",IFERROR(INDEX(SUB_CATID,MATCH($L762,SUB_ID,0)),"")&lt;&gt;$K762),"ERRO: subcategoria nao pertence a categoria",IF(AND($O762&lt;&gt;"",COUNTIF(P_ID,$O762)=0),"ERRO: parcela inexistente",IF(AND($N762&lt;&gt;"",COUNTIF(CM_ID,$N762)=0),"ERRO: compromisso inexistente","OK")))))))))))))</f>
        <v/>
      </c>
      <c r="AK762" s="35" t="str">
        <f aca="false">IF($B762="","",IF(AND($N762="",$O762="",$P762="",$Q762="",$R762=""),"","VINCULADO: "&amp;TRIM(IF($N762&lt;&gt;"",$N762&amp;" ","")&amp;IF($O762&lt;&gt;"",$O762&amp;" ","")&amp;IF($P762&lt;&gt;"",$P762&amp;" ","")&amp;IF($Q762&lt;&gt;"",$Q762&amp;" ","")&amp;IF($R762&lt;&gt;"",$R762,""))))</f>
        <v/>
      </c>
    </row>
    <row r="763" customFormat="false" ht="15" hidden="false" customHeight="false" outlineLevel="0" collapsed="false">
      <c r="A763" s="30" t="str">
        <f aca="false">IF($B763="","","LAN-"&amp;TEXT(ROW()-4,"000000"))</f>
        <v/>
      </c>
      <c r="B763" s="31"/>
      <c r="C763" s="32"/>
      <c r="D763" s="32"/>
      <c r="E763" s="32"/>
      <c r="F763" s="33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4" t="str">
        <f aca="false">IF($B763="","",YEAR($B763))</f>
        <v/>
      </c>
      <c r="U763" s="34" t="str">
        <f aca="false">IF($B763="","",MONTH($B763))</f>
        <v/>
      </c>
      <c r="V763" s="34" t="str">
        <f aca="false">IF($B763="","",YEAR($B763)*100+MONTH($B763))</f>
        <v/>
      </c>
      <c r="W763" s="35" t="str">
        <f aca="false">IF($D763="","",IFERROR(INDEX(MAP_CLASS,MATCH($D763,MAP_TIPO,0)),"TIPO INVALIDO"))</f>
        <v/>
      </c>
      <c r="X763" s="35" t="str">
        <f aca="false">IF($K763="","",IFERROR(INDEX(CAT_NOME,MATCH($K763,CAT_ID,0)),"?"))</f>
        <v/>
      </c>
      <c r="Y763" s="35" t="str">
        <f aca="false">IF($L763="","",IFERROR(INDEX(SUB_NOME,MATCH($L763,SUB_ID,0)),"?"))</f>
        <v/>
      </c>
      <c r="Z763" s="35" t="str">
        <f aca="false">IF($G763="","",IF($G763="EXTERNO","(Externo)",IFERROR(INDEX(ENT_NOME,MATCH($H763,ENT_ID,0)),"?")))</f>
        <v/>
      </c>
      <c r="AA763" s="35" t="str">
        <f aca="false">IF($I763="","",IF($I763="EXTERNO","(Externo)",IFERROR(INDEX(ENT_NOME,MATCH($J763,ENT_ID,0)),"?")))</f>
        <v/>
      </c>
      <c r="AB763" s="36" t="n">
        <f aca="false">IF($B763="",0,IF(AND($I763="CONTA",$G763&lt;&gt;"CONTA"),$F763,0))</f>
        <v>0</v>
      </c>
      <c r="AC763" s="36" t="n">
        <f aca="false">IF($B763="",0,IF(AND($G763="CONTA",$I763&lt;&gt;"CONTA"),$F763,0))</f>
        <v>0</v>
      </c>
      <c r="AD763" s="36" t="n">
        <f aca="false">IF($W763="RECEITA",$F763,0)</f>
        <v>0</v>
      </c>
      <c r="AE763" s="36" t="n">
        <f aca="false">IF($W763="DESPESA",$F763,0)</f>
        <v>0</v>
      </c>
      <c r="AF763" s="36" t="n">
        <f aca="false">IF($W763="RECEITA_FINANCEIRA",$F763,0)</f>
        <v>0</v>
      </c>
      <c r="AG763" s="36" t="n">
        <f aca="false">IF($B763="",0,IF($I763="CONTA",$F763,0)-IF($G763="CONTA",$F763,0))</f>
        <v>0</v>
      </c>
      <c r="AH763" s="36" t="n">
        <f aca="false">IF($B763="",0,IF($G763="CARTAO",$F763,0)-IF($I763="CARTAO",$F763,0))</f>
        <v>0</v>
      </c>
      <c r="AI763" s="36" t="n">
        <f aca="false">IF($B763="",0,IF($I763="INVESTIMENTO",$F763,0)-IF($G763="INVESTIMENTO",$F763,0))</f>
        <v>0</v>
      </c>
      <c r="AJ763" s="35" t="str">
        <f aca="false">IF($B763="","",IF(NOT(ISNUMBER($F763)),"ERRO: valor nao numerico",IF($F763&lt;=0,"ERRO: valor deve ser maior que zero",IF(COUNTIF(MAP_TIPO,$D763)=0,"ERRO: tipo de operacao nao cadastrado",IF(COUNTIF(LST_STATUS,$E763)=0,"ERRO: status invalido",IF(AND($G763="EXTERNO",$I763="EXTERNO"),"ERRO: origem e destino externos",IF(AND($G763&lt;&gt;"EXTERNO",COUNTIFS(ENT_ID,$H763,ENT_TIPO,$G763)=0),"ERRO: origem inexistente",IF(AND($I763&lt;&gt;"EXTERNO",COUNTIFS(ENT_ID,$J763,ENT_TIPO,$I763)=0),"ERRO: destino inexistente",IF(AND($K763&lt;&gt;"",COUNTIF(CAT_ID,$K763)=0),"ERRO: categoria inexistente",IF(AND($L763&lt;&gt;"",COUNTIF(SUB_ID,$L763)=0),"ERRO: subcategoria inexistente",IF(AND($L763&lt;&gt;"",$K763&lt;&gt;"",IFERROR(INDEX(SUB_CATID,MATCH($L763,SUB_ID,0)),"")&lt;&gt;$K763),"ERRO: subcategoria nao pertence a categoria",IF(AND($O763&lt;&gt;"",COUNTIF(P_ID,$O763)=0),"ERRO: parcela inexistente",IF(AND($N763&lt;&gt;"",COUNTIF(CM_ID,$N763)=0),"ERRO: compromisso inexistente","OK")))))))))))))</f>
        <v/>
      </c>
      <c r="AK763" s="35" t="str">
        <f aca="false">IF($B763="","",IF(AND($N763="",$O763="",$P763="",$Q763="",$R763=""),"","VINCULADO: "&amp;TRIM(IF($N763&lt;&gt;"",$N763&amp;" ","")&amp;IF($O763&lt;&gt;"",$O763&amp;" ","")&amp;IF($P763&lt;&gt;"",$P763&amp;" ","")&amp;IF($Q763&lt;&gt;"",$Q763&amp;" ","")&amp;IF($R763&lt;&gt;"",$R763,""))))</f>
        <v/>
      </c>
    </row>
    <row r="764" customFormat="false" ht="15" hidden="false" customHeight="false" outlineLevel="0" collapsed="false">
      <c r="A764" s="30" t="str">
        <f aca="false">IF($B764="","","LAN-"&amp;TEXT(ROW()-4,"000000"))</f>
        <v/>
      </c>
      <c r="B764" s="31"/>
      <c r="C764" s="32"/>
      <c r="D764" s="32"/>
      <c r="E764" s="32"/>
      <c r="F764" s="33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4" t="str">
        <f aca="false">IF($B764="","",YEAR($B764))</f>
        <v/>
      </c>
      <c r="U764" s="34" t="str">
        <f aca="false">IF($B764="","",MONTH($B764))</f>
        <v/>
      </c>
      <c r="V764" s="34" t="str">
        <f aca="false">IF($B764="","",YEAR($B764)*100+MONTH($B764))</f>
        <v/>
      </c>
      <c r="W764" s="35" t="str">
        <f aca="false">IF($D764="","",IFERROR(INDEX(MAP_CLASS,MATCH($D764,MAP_TIPO,0)),"TIPO INVALIDO"))</f>
        <v/>
      </c>
      <c r="X764" s="35" t="str">
        <f aca="false">IF($K764="","",IFERROR(INDEX(CAT_NOME,MATCH($K764,CAT_ID,0)),"?"))</f>
        <v/>
      </c>
      <c r="Y764" s="35" t="str">
        <f aca="false">IF($L764="","",IFERROR(INDEX(SUB_NOME,MATCH($L764,SUB_ID,0)),"?"))</f>
        <v/>
      </c>
      <c r="Z764" s="35" t="str">
        <f aca="false">IF($G764="","",IF($G764="EXTERNO","(Externo)",IFERROR(INDEX(ENT_NOME,MATCH($H764,ENT_ID,0)),"?")))</f>
        <v/>
      </c>
      <c r="AA764" s="35" t="str">
        <f aca="false">IF($I764="","",IF($I764="EXTERNO","(Externo)",IFERROR(INDEX(ENT_NOME,MATCH($J764,ENT_ID,0)),"?")))</f>
        <v/>
      </c>
      <c r="AB764" s="36" t="n">
        <f aca="false">IF($B764="",0,IF(AND($I764="CONTA",$G764&lt;&gt;"CONTA"),$F764,0))</f>
        <v>0</v>
      </c>
      <c r="AC764" s="36" t="n">
        <f aca="false">IF($B764="",0,IF(AND($G764="CONTA",$I764&lt;&gt;"CONTA"),$F764,0))</f>
        <v>0</v>
      </c>
      <c r="AD764" s="36" t="n">
        <f aca="false">IF($W764="RECEITA",$F764,0)</f>
        <v>0</v>
      </c>
      <c r="AE764" s="36" t="n">
        <f aca="false">IF($W764="DESPESA",$F764,0)</f>
        <v>0</v>
      </c>
      <c r="AF764" s="36" t="n">
        <f aca="false">IF($W764="RECEITA_FINANCEIRA",$F764,0)</f>
        <v>0</v>
      </c>
      <c r="AG764" s="36" t="n">
        <f aca="false">IF($B764="",0,IF($I764="CONTA",$F764,0)-IF($G764="CONTA",$F764,0))</f>
        <v>0</v>
      </c>
      <c r="AH764" s="36" t="n">
        <f aca="false">IF($B764="",0,IF($G764="CARTAO",$F764,0)-IF($I764="CARTAO",$F764,0))</f>
        <v>0</v>
      </c>
      <c r="AI764" s="36" t="n">
        <f aca="false">IF($B764="",0,IF($I764="INVESTIMENTO",$F764,0)-IF($G764="INVESTIMENTO",$F764,0))</f>
        <v>0</v>
      </c>
      <c r="AJ764" s="35" t="str">
        <f aca="false">IF($B764="","",IF(NOT(ISNUMBER($F764)),"ERRO: valor nao numerico",IF($F764&lt;=0,"ERRO: valor deve ser maior que zero",IF(COUNTIF(MAP_TIPO,$D764)=0,"ERRO: tipo de operacao nao cadastrado",IF(COUNTIF(LST_STATUS,$E764)=0,"ERRO: status invalido",IF(AND($G764="EXTERNO",$I764="EXTERNO"),"ERRO: origem e destino externos",IF(AND($G764&lt;&gt;"EXTERNO",COUNTIFS(ENT_ID,$H764,ENT_TIPO,$G764)=0),"ERRO: origem inexistente",IF(AND($I764&lt;&gt;"EXTERNO",COUNTIFS(ENT_ID,$J764,ENT_TIPO,$I764)=0),"ERRO: destino inexistente",IF(AND($K764&lt;&gt;"",COUNTIF(CAT_ID,$K764)=0),"ERRO: categoria inexistente",IF(AND($L764&lt;&gt;"",COUNTIF(SUB_ID,$L764)=0),"ERRO: subcategoria inexistente",IF(AND($L764&lt;&gt;"",$K764&lt;&gt;"",IFERROR(INDEX(SUB_CATID,MATCH($L764,SUB_ID,0)),"")&lt;&gt;$K764),"ERRO: subcategoria nao pertence a categoria",IF(AND($O764&lt;&gt;"",COUNTIF(P_ID,$O764)=0),"ERRO: parcela inexistente",IF(AND($N764&lt;&gt;"",COUNTIF(CM_ID,$N764)=0),"ERRO: compromisso inexistente","OK")))))))))))))</f>
        <v/>
      </c>
      <c r="AK764" s="35" t="str">
        <f aca="false">IF($B764="","",IF(AND($N764="",$O764="",$P764="",$Q764="",$R764=""),"","VINCULADO: "&amp;TRIM(IF($N764&lt;&gt;"",$N764&amp;" ","")&amp;IF($O764&lt;&gt;"",$O764&amp;" ","")&amp;IF($P764&lt;&gt;"",$P764&amp;" ","")&amp;IF($Q764&lt;&gt;"",$Q764&amp;" ","")&amp;IF($R764&lt;&gt;"",$R764,""))))</f>
        <v/>
      </c>
    </row>
    <row r="765" customFormat="false" ht="15" hidden="false" customHeight="false" outlineLevel="0" collapsed="false">
      <c r="A765" s="30" t="str">
        <f aca="false">IF($B765="","","LAN-"&amp;TEXT(ROW()-4,"000000"))</f>
        <v/>
      </c>
      <c r="B765" s="31"/>
      <c r="C765" s="32"/>
      <c r="D765" s="32"/>
      <c r="E765" s="32"/>
      <c r="F765" s="33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4" t="str">
        <f aca="false">IF($B765="","",YEAR($B765))</f>
        <v/>
      </c>
      <c r="U765" s="34" t="str">
        <f aca="false">IF($B765="","",MONTH($B765))</f>
        <v/>
      </c>
      <c r="V765" s="34" t="str">
        <f aca="false">IF($B765="","",YEAR($B765)*100+MONTH($B765))</f>
        <v/>
      </c>
      <c r="W765" s="35" t="str">
        <f aca="false">IF($D765="","",IFERROR(INDEX(MAP_CLASS,MATCH($D765,MAP_TIPO,0)),"TIPO INVALIDO"))</f>
        <v/>
      </c>
      <c r="X765" s="35" t="str">
        <f aca="false">IF($K765="","",IFERROR(INDEX(CAT_NOME,MATCH($K765,CAT_ID,0)),"?"))</f>
        <v/>
      </c>
      <c r="Y765" s="35" t="str">
        <f aca="false">IF($L765="","",IFERROR(INDEX(SUB_NOME,MATCH($L765,SUB_ID,0)),"?"))</f>
        <v/>
      </c>
      <c r="Z765" s="35" t="str">
        <f aca="false">IF($G765="","",IF($G765="EXTERNO","(Externo)",IFERROR(INDEX(ENT_NOME,MATCH($H765,ENT_ID,0)),"?")))</f>
        <v/>
      </c>
      <c r="AA765" s="35" t="str">
        <f aca="false">IF($I765="","",IF($I765="EXTERNO","(Externo)",IFERROR(INDEX(ENT_NOME,MATCH($J765,ENT_ID,0)),"?")))</f>
        <v/>
      </c>
      <c r="AB765" s="36" t="n">
        <f aca="false">IF($B765="",0,IF(AND($I765="CONTA",$G765&lt;&gt;"CONTA"),$F765,0))</f>
        <v>0</v>
      </c>
      <c r="AC765" s="36" t="n">
        <f aca="false">IF($B765="",0,IF(AND($G765="CONTA",$I765&lt;&gt;"CONTA"),$F765,0))</f>
        <v>0</v>
      </c>
      <c r="AD765" s="36" t="n">
        <f aca="false">IF($W765="RECEITA",$F765,0)</f>
        <v>0</v>
      </c>
      <c r="AE765" s="36" t="n">
        <f aca="false">IF($W765="DESPESA",$F765,0)</f>
        <v>0</v>
      </c>
      <c r="AF765" s="36" t="n">
        <f aca="false">IF($W765="RECEITA_FINANCEIRA",$F765,0)</f>
        <v>0</v>
      </c>
      <c r="AG765" s="36" t="n">
        <f aca="false">IF($B765="",0,IF($I765="CONTA",$F765,0)-IF($G765="CONTA",$F765,0))</f>
        <v>0</v>
      </c>
      <c r="AH765" s="36" t="n">
        <f aca="false">IF($B765="",0,IF($G765="CARTAO",$F765,0)-IF($I765="CARTAO",$F765,0))</f>
        <v>0</v>
      </c>
      <c r="AI765" s="36" t="n">
        <f aca="false">IF($B765="",0,IF($I765="INVESTIMENTO",$F765,0)-IF($G765="INVESTIMENTO",$F765,0))</f>
        <v>0</v>
      </c>
      <c r="AJ765" s="35" t="str">
        <f aca="false">IF($B765="","",IF(NOT(ISNUMBER($F765)),"ERRO: valor nao numerico",IF($F765&lt;=0,"ERRO: valor deve ser maior que zero",IF(COUNTIF(MAP_TIPO,$D765)=0,"ERRO: tipo de operacao nao cadastrado",IF(COUNTIF(LST_STATUS,$E765)=0,"ERRO: status invalido",IF(AND($G765="EXTERNO",$I765="EXTERNO"),"ERRO: origem e destino externos",IF(AND($G765&lt;&gt;"EXTERNO",COUNTIFS(ENT_ID,$H765,ENT_TIPO,$G765)=0),"ERRO: origem inexistente",IF(AND($I765&lt;&gt;"EXTERNO",COUNTIFS(ENT_ID,$J765,ENT_TIPO,$I765)=0),"ERRO: destino inexistente",IF(AND($K765&lt;&gt;"",COUNTIF(CAT_ID,$K765)=0),"ERRO: categoria inexistente",IF(AND($L765&lt;&gt;"",COUNTIF(SUB_ID,$L765)=0),"ERRO: subcategoria inexistente",IF(AND($L765&lt;&gt;"",$K765&lt;&gt;"",IFERROR(INDEX(SUB_CATID,MATCH($L765,SUB_ID,0)),"")&lt;&gt;$K765),"ERRO: subcategoria nao pertence a categoria",IF(AND($O765&lt;&gt;"",COUNTIF(P_ID,$O765)=0),"ERRO: parcela inexistente",IF(AND($N765&lt;&gt;"",COUNTIF(CM_ID,$N765)=0),"ERRO: compromisso inexistente","OK")))))))))))))</f>
        <v/>
      </c>
      <c r="AK765" s="35" t="str">
        <f aca="false">IF($B765="","",IF(AND($N765="",$O765="",$P765="",$Q765="",$R765=""),"","VINCULADO: "&amp;TRIM(IF($N765&lt;&gt;"",$N765&amp;" ","")&amp;IF($O765&lt;&gt;"",$O765&amp;" ","")&amp;IF($P765&lt;&gt;"",$P765&amp;" ","")&amp;IF($Q765&lt;&gt;"",$Q765&amp;" ","")&amp;IF($R765&lt;&gt;"",$R765,""))))</f>
        <v/>
      </c>
    </row>
    <row r="766" customFormat="false" ht="15" hidden="false" customHeight="false" outlineLevel="0" collapsed="false">
      <c r="A766" s="30" t="str">
        <f aca="false">IF($B766="","","LAN-"&amp;TEXT(ROW()-4,"000000"))</f>
        <v/>
      </c>
      <c r="B766" s="31"/>
      <c r="C766" s="32"/>
      <c r="D766" s="32"/>
      <c r="E766" s="32"/>
      <c r="F766" s="33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4" t="str">
        <f aca="false">IF($B766="","",YEAR($B766))</f>
        <v/>
      </c>
      <c r="U766" s="34" t="str">
        <f aca="false">IF($B766="","",MONTH($B766))</f>
        <v/>
      </c>
      <c r="V766" s="34" t="str">
        <f aca="false">IF($B766="","",YEAR($B766)*100+MONTH($B766))</f>
        <v/>
      </c>
      <c r="W766" s="35" t="str">
        <f aca="false">IF($D766="","",IFERROR(INDEX(MAP_CLASS,MATCH($D766,MAP_TIPO,0)),"TIPO INVALIDO"))</f>
        <v/>
      </c>
      <c r="X766" s="35" t="str">
        <f aca="false">IF($K766="","",IFERROR(INDEX(CAT_NOME,MATCH($K766,CAT_ID,0)),"?"))</f>
        <v/>
      </c>
      <c r="Y766" s="35" t="str">
        <f aca="false">IF($L766="","",IFERROR(INDEX(SUB_NOME,MATCH($L766,SUB_ID,0)),"?"))</f>
        <v/>
      </c>
      <c r="Z766" s="35" t="str">
        <f aca="false">IF($G766="","",IF($G766="EXTERNO","(Externo)",IFERROR(INDEX(ENT_NOME,MATCH($H766,ENT_ID,0)),"?")))</f>
        <v/>
      </c>
      <c r="AA766" s="35" t="str">
        <f aca="false">IF($I766="","",IF($I766="EXTERNO","(Externo)",IFERROR(INDEX(ENT_NOME,MATCH($J766,ENT_ID,0)),"?")))</f>
        <v/>
      </c>
      <c r="AB766" s="36" t="n">
        <f aca="false">IF($B766="",0,IF(AND($I766="CONTA",$G766&lt;&gt;"CONTA"),$F766,0))</f>
        <v>0</v>
      </c>
      <c r="AC766" s="36" t="n">
        <f aca="false">IF($B766="",0,IF(AND($G766="CONTA",$I766&lt;&gt;"CONTA"),$F766,0))</f>
        <v>0</v>
      </c>
      <c r="AD766" s="36" t="n">
        <f aca="false">IF($W766="RECEITA",$F766,0)</f>
        <v>0</v>
      </c>
      <c r="AE766" s="36" t="n">
        <f aca="false">IF($W766="DESPESA",$F766,0)</f>
        <v>0</v>
      </c>
      <c r="AF766" s="36" t="n">
        <f aca="false">IF($W766="RECEITA_FINANCEIRA",$F766,0)</f>
        <v>0</v>
      </c>
      <c r="AG766" s="36" t="n">
        <f aca="false">IF($B766="",0,IF($I766="CONTA",$F766,0)-IF($G766="CONTA",$F766,0))</f>
        <v>0</v>
      </c>
      <c r="AH766" s="36" t="n">
        <f aca="false">IF($B766="",0,IF($G766="CARTAO",$F766,0)-IF($I766="CARTAO",$F766,0))</f>
        <v>0</v>
      </c>
      <c r="AI766" s="36" t="n">
        <f aca="false">IF($B766="",0,IF($I766="INVESTIMENTO",$F766,0)-IF($G766="INVESTIMENTO",$F766,0))</f>
        <v>0</v>
      </c>
      <c r="AJ766" s="35" t="str">
        <f aca="false">IF($B766="","",IF(NOT(ISNUMBER($F766)),"ERRO: valor nao numerico",IF($F766&lt;=0,"ERRO: valor deve ser maior que zero",IF(COUNTIF(MAP_TIPO,$D766)=0,"ERRO: tipo de operacao nao cadastrado",IF(COUNTIF(LST_STATUS,$E766)=0,"ERRO: status invalido",IF(AND($G766="EXTERNO",$I766="EXTERNO"),"ERRO: origem e destino externos",IF(AND($G766&lt;&gt;"EXTERNO",COUNTIFS(ENT_ID,$H766,ENT_TIPO,$G766)=0),"ERRO: origem inexistente",IF(AND($I766&lt;&gt;"EXTERNO",COUNTIFS(ENT_ID,$J766,ENT_TIPO,$I766)=0),"ERRO: destino inexistente",IF(AND($K766&lt;&gt;"",COUNTIF(CAT_ID,$K766)=0),"ERRO: categoria inexistente",IF(AND($L766&lt;&gt;"",COUNTIF(SUB_ID,$L766)=0),"ERRO: subcategoria inexistente",IF(AND($L766&lt;&gt;"",$K766&lt;&gt;"",IFERROR(INDEX(SUB_CATID,MATCH($L766,SUB_ID,0)),"")&lt;&gt;$K766),"ERRO: subcategoria nao pertence a categoria",IF(AND($O766&lt;&gt;"",COUNTIF(P_ID,$O766)=0),"ERRO: parcela inexistente",IF(AND($N766&lt;&gt;"",COUNTIF(CM_ID,$N766)=0),"ERRO: compromisso inexistente","OK")))))))))))))</f>
        <v/>
      </c>
      <c r="AK766" s="35" t="str">
        <f aca="false">IF($B766="","",IF(AND($N766="",$O766="",$P766="",$Q766="",$R766=""),"","VINCULADO: "&amp;TRIM(IF($N766&lt;&gt;"",$N766&amp;" ","")&amp;IF($O766&lt;&gt;"",$O766&amp;" ","")&amp;IF($P766&lt;&gt;"",$P766&amp;" ","")&amp;IF($Q766&lt;&gt;"",$Q766&amp;" ","")&amp;IF($R766&lt;&gt;"",$R766,""))))</f>
        <v/>
      </c>
    </row>
    <row r="767" customFormat="false" ht="15" hidden="false" customHeight="false" outlineLevel="0" collapsed="false">
      <c r="A767" s="30" t="str">
        <f aca="false">IF($B767="","","LAN-"&amp;TEXT(ROW()-4,"000000"))</f>
        <v/>
      </c>
      <c r="B767" s="31"/>
      <c r="C767" s="32"/>
      <c r="D767" s="32"/>
      <c r="E767" s="32"/>
      <c r="F767" s="33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4" t="str">
        <f aca="false">IF($B767="","",YEAR($B767))</f>
        <v/>
      </c>
      <c r="U767" s="34" t="str">
        <f aca="false">IF($B767="","",MONTH($B767))</f>
        <v/>
      </c>
      <c r="V767" s="34" t="str">
        <f aca="false">IF($B767="","",YEAR($B767)*100+MONTH($B767))</f>
        <v/>
      </c>
      <c r="W767" s="35" t="str">
        <f aca="false">IF($D767="","",IFERROR(INDEX(MAP_CLASS,MATCH($D767,MAP_TIPO,0)),"TIPO INVALIDO"))</f>
        <v/>
      </c>
      <c r="X767" s="35" t="str">
        <f aca="false">IF($K767="","",IFERROR(INDEX(CAT_NOME,MATCH($K767,CAT_ID,0)),"?"))</f>
        <v/>
      </c>
      <c r="Y767" s="35" t="str">
        <f aca="false">IF($L767="","",IFERROR(INDEX(SUB_NOME,MATCH($L767,SUB_ID,0)),"?"))</f>
        <v/>
      </c>
      <c r="Z767" s="35" t="str">
        <f aca="false">IF($G767="","",IF($G767="EXTERNO","(Externo)",IFERROR(INDEX(ENT_NOME,MATCH($H767,ENT_ID,0)),"?")))</f>
        <v/>
      </c>
      <c r="AA767" s="35" t="str">
        <f aca="false">IF($I767="","",IF($I767="EXTERNO","(Externo)",IFERROR(INDEX(ENT_NOME,MATCH($J767,ENT_ID,0)),"?")))</f>
        <v/>
      </c>
      <c r="AB767" s="36" t="n">
        <f aca="false">IF($B767="",0,IF(AND($I767="CONTA",$G767&lt;&gt;"CONTA"),$F767,0))</f>
        <v>0</v>
      </c>
      <c r="AC767" s="36" t="n">
        <f aca="false">IF($B767="",0,IF(AND($G767="CONTA",$I767&lt;&gt;"CONTA"),$F767,0))</f>
        <v>0</v>
      </c>
      <c r="AD767" s="36" t="n">
        <f aca="false">IF($W767="RECEITA",$F767,0)</f>
        <v>0</v>
      </c>
      <c r="AE767" s="36" t="n">
        <f aca="false">IF($W767="DESPESA",$F767,0)</f>
        <v>0</v>
      </c>
      <c r="AF767" s="36" t="n">
        <f aca="false">IF($W767="RECEITA_FINANCEIRA",$F767,0)</f>
        <v>0</v>
      </c>
      <c r="AG767" s="36" t="n">
        <f aca="false">IF($B767="",0,IF($I767="CONTA",$F767,0)-IF($G767="CONTA",$F767,0))</f>
        <v>0</v>
      </c>
      <c r="AH767" s="36" t="n">
        <f aca="false">IF($B767="",0,IF($G767="CARTAO",$F767,0)-IF($I767="CARTAO",$F767,0))</f>
        <v>0</v>
      </c>
      <c r="AI767" s="36" t="n">
        <f aca="false">IF($B767="",0,IF($I767="INVESTIMENTO",$F767,0)-IF($G767="INVESTIMENTO",$F767,0))</f>
        <v>0</v>
      </c>
      <c r="AJ767" s="35" t="str">
        <f aca="false">IF($B767="","",IF(NOT(ISNUMBER($F767)),"ERRO: valor nao numerico",IF($F767&lt;=0,"ERRO: valor deve ser maior que zero",IF(COUNTIF(MAP_TIPO,$D767)=0,"ERRO: tipo de operacao nao cadastrado",IF(COUNTIF(LST_STATUS,$E767)=0,"ERRO: status invalido",IF(AND($G767="EXTERNO",$I767="EXTERNO"),"ERRO: origem e destino externos",IF(AND($G767&lt;&gt;"EXTERNO",COUNTIFS(ENT_ID,$H767,ENT_TIPO,$G767)=0),"ERRO: origem inexistente",IF(AND($I767&lt;&gt;"EXTERNO",COUNTIFS(ENT_ID,$J767,ENT_TIPO,$I767)=0),"ERRO: destino inexistente",IF(AND($K767&lt;&gt;"",COUNTIF(CAT_ID,$K767)=0),"ERRO: categoria inexistente",IF(AND($L767&lt;&gt;"",COUNTIF(SUB_ID,$L767)=0),"ERRO: subcategoria inexistente",IF(AND($L767&lt;&gt;"",$K767&lt;&gt;"",IFERROR(INDEX(SUB_CATID,MATCH($L767,SUB_ID,0)),"")&lt;&gt;$K767),"ERRO: subcategoria nao pertence a categoria",IF(AND($O767&lt;&gt;"",COUNTIF(P_ID,$O767)=0),"ERRO: parcela inexistente",IF(AND($N767&lt;&gt;"",COUNTIF(CM_ID,$N767)=0),"ERRO: compromisso inexistente","OK")))))))))))))</f>
        <v/>
      </c>
      <c r="AK767" s="35" t="str">
        <f aca="false">IF($B767="","",IF(AND($N767="",$O767="",$P767="",$Q767="",$R767=""),"","VINCULADO: "&amp;TRIM(IF($N767&lt;&gt;"",$N767&amp;" ","")&amp;IF($O767&lt;&gt;"",$O767&amp;" ","")&amp;IF($P767&lt;&gt;"",$P767&amp;" ","")&amp;IF($Q767&lt;&gt;"",$Q767&amp;" ","")&amp;IF($R767&lt;&gt;"",$R767,""))))</f>
        <v/>
      </c>
    </row>
    <row r="768" customFormat="false" ht="15" hidden="false" customHeight="false" outlineLevel="0" collapsed="false">
      <c r="A768" s="30" t="str">
        <f aca="false">IF($B768="","","LAN-"&amp;TEXT(ROW()-4,"000000"))</f>
        <v/>
      </c>
      <c r="B768" s="31"/>
      <c r="C768" s="32"/>
      <c r="D768" s="32"/>
      <c r="E768" s="32"/>
      <c r="F768" s="33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4" t="str">
        <f aca="false">IF($B768="","",YEAR($B768))</f>
        <v/>
      </c>
      <c r="U768" s="34" t="str">
        <f aca="false">IF($B768="","",MONTH($B768))</f>
        <v/>
      </c>
      <c r="V768" s="34" t="str">
        <f aca="false">IF($B768="","",YEAR($B768)*100+MONTH($B768))</f>
        <v/>
      </c>
      <c r="W768" s="35" t="str">
        <f aca="false">IF($D768="","",IFERROR(INDEX(MAP_CLASS,MATCH($D768,MAP_TIPO,0)),"TIPO INVALIDO"))</f>
        <v/>
      </c>
      <c r="X768" s="35" t="str">
        <f aca="false">IF($K768="","",IFERROR(INDEX(CAT_NOME,MATCH($K768,CAT_ID,0)),"?"))</f>
        <v/>
      </c>
      <c r="Y768" s="35" t="str">
        <f aca="false">IF($L768="","",IFERROR(INDEX(SUB_NOME,MATCH($L768,SUB_ID,0)),"?"))</f>
        <v/>
      </c>
      <c r="Z768" s="35" t="str">
        <f aca="false">IF($G768="","",IF($G768="EXTERNO","(Externo)",IFERROR(INDEX(ENT_NOME,MATCH($H768,ENT_ID,0)),"?")))</f>
        <v/>
      </c>
      <c r="AA768" s="35" t="str">
        <f aca="false">IF($I768="","",IF($I768="EXTERNO","(Externo)",IFERROR(INDEX(ENT_NOME,MATCH($J768,ENT_ID,0)),"?")))</f>
        <v/>
      </c>
      <c r="AB768" s="36" t="n">
        <f aca="false">IF($B768="",0,IF(AND($I768="CONTA",$G768&lt;&gt;"CONTA"),$F768,0))</f>
        <v>0</v>
      </c>
      <c r="AC768" s="36" t="n">
        <f aca="false">IF($B768="",0,IF(AND($G768="CONTA",$I768&lt;&gt;"CONTA"),$F768,0))</f>
        <v>0</v>
      </c>
      <c r="AD768" s="36" t="n">
        <f aca="false">IF($W768="RECEITA",$F768,0)</f>
        <v>0</v>
      </c>
      <c r="AE768" s="36" t="n">
        <f aca="false">IF($W768="DESPESA",$F768,0)</f>
        <v>0</v>
      </c>
      <c r="AF768" s="36" t="n">
        <f aca="false">IF($W768="RECEITA_FINANCEIRA",$F768,0)</f>
        <v>0</v>
      </c>
      <c r="AG768" s="36" t="n">
        <f aca="false">IF($B768="",0,IF($I768="CONTA",$F768,0)-IF($G768="CONTA",$F768,0))</f>
        <v>0</v>
      </c>
      <c r="AH768" s="36" t="n">
        <f aca="false">IF($B768="",0,IF($G768="CARTAO",$F768,0)-IF($I768="CARTAO",$F768,0))</f>
        <v>0</v>
      </c>
      <c r="AI768" s="36" t="n">
        <f aca="false">IF($B768="",0,IF($I768="INVESTIMENTO",$F768,0)-IF($G768="INVESTIMENTO",$F768,0))</f>
        <v>0</v>
      </c>
      <c r="AJ768" s="35" t="str">
        <f aca="false">IF($B768="","",IF(NOT(ISNUMBER($F768)),"ERRO: valor nao numerico",IF($F768&lt;=0,"ERRO: valor deve ser maior que zero",IF(COUNTIF(MAP_TIPO,$D768)=0,"ERRO: tipo de operacao nao cadastrado",IF(COUNTIF(LST_STATUS,$E768)=0,"ERRO: status invalido",IF(AND($G768="EXTERNO",$I768="EXTERNO"),"ERRO: origem e destino externos",IF(AND($G768&lt;&gt;"EXTERNO",COUNTIFS(ENT_ID,$H768,ENT_TIPO,$G768)=0),"ERRO: origem inexistente",IF(AND($I768&lt;&gt;"EXTERNO",COUNTIFS(ENT_ID,$J768,ENT_TIPO,$I768)=0),"ERRO: destino inexistente",IF(AND($K768&lt;&gt;"",COUNTIF(CAT_ID,$K768)=0),"ERRO: categoria inexistente",IF(AND($L768&lt;&gt;"",COUNTIF(SUB_ID,$L768)=0),"ERRO: subcategoria inexistente",IF(AND($L768&lt;&gt;"",$K768&lt;&gt;"",IFERROR(INDEX(SUB_CATID,MATCH($L768,SUB_ID,0)),"")&lt;&gt;$K768),"ERRO: subcategoria nao pertence a categoria",IF(AND($O768&lt;&gt;"",COUNTIF(P_ID,$O768)=0),"ERRO: parcela inexistente",IF(AND($N768&lt;&gt;"",COUNTIF(CM_ID,$N768)=0),"ERRO: compromisso inexistente","OK")))))))))))))</f>
        <v/>
      </c>
      <c r="AK768" s="35" t="str">
        <f aca="false">IF($B768="","",IF(AND($N768="",$O768="",$P768="",$Q768="",$R768=""),"","VINCULADO: "&amp;TRIM(IF($N768&lt;&gt;"",$N768&amp;" ","")&amp;IF($O768&lt;&gt;"",$O768&amp;" ","")&amp;IF($P768&lt;&gt;"",$P768&amp;" ","")&amp;IF($Q768&lt;&gt;"",$Q768&amp;" ","")&amp;IF($R768&lt;&gt;"",$R768,""))))</f>
        <v/>
      </c>
    </row>
    <row r="769" customFormat="false" ht="15" hidden="false" customHeight="false" outlineLevel="0" collapsed="false">
      <c r="A769" s="30" t="str">
        <f aca="false">IF($B769="","","LAN-"&amp;TEXT(ROW()-4,"000000"))</f>
        <v/>
      </c>
      <c r="B769" s="31"/>
      <c r="C769" s="32"/>
      <c r="D769" s="32"/>
      <c r="E769" s="32"/>
      <c r="F769" s="33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4" t="str">
        <f aca="false">IF($B769="","",YEAR($B769))</f>
        <v/>
      </c>
      <c r="U769" s="34" t="str">
        <f aca="false">IF($B769="","",MONTH($B769))</f>
        <v/>
      </c>
      <c r="V769" s="34" t="str">
        <f aca="false">IF($B769="","",YEAR($B769)*100+MONTH($B769))</f>
        <v/>
      </c>
      <c r="W769" s="35" t="str">
        <f aca="false">IF($D769="","",IFERROR(INDEX(MAP_CLASS,MATCH($D769,MAP_TIPO,0)),"TIPO INVALIDO"))</f>
        <v/>
      </c>
      <c r="X769" s="35" t="str">
        <f aca="false">IF($K769="","",IFERROR(INDEX(CAT_NOME,MATCH($K769,CAT_ID,0)),"?"))</f>
        <v/>
      </c>
      <c r="Y769" s="35" t="str">
        <f aca="false">IF($L769="","",IFERROR(INDEX(SUB_NOME,MATCH($L769,SUB_ID,0)),"?"))</f>
        <v/>
      </c>
      <c r="Z769" s="35" t="str">
        <f aca="false">IF($G769="","",IF($G769="EXTERNO","(Externo)",IFERROR(INDEX(ENT_NOME,MATCH($H769,ENT_ID,0)),"?")))</f>
        <v/>
      </c>
      <c r="AA769" s="35" t="str">
        <f aca="false">IF($I769="","",IF($I769="EXTERNO","(Externo)",IFERROR(INDEX(ENT_NOME,MATCH($J769,ENT_ID,0)),"?")))</f>
        <v/>
      </c>
      <c r="AB769" s="36" t="n">
        <f aca="false">IF($B769="",0,IF(AND($I769="CONTA",$G769&lt;&gt;"CONTA"),$F769,0))</f>
        <v>0</v>
      </c>
      <c r="AC769" s="36" t="n">
        <f aca="false">IF($B769="",0,IF(AND($G769="CONTA",$I769&lt;&gt;"CONTA"),$F769,0))</f>
        <v>0</v>
      </c>
      <c r="AD769" s="36" t="n">
        <f aca="false">IF($W769="RECEITA",$F769,0)</f>
        <v>0</v>
      </c>
      <c r="AE769" s="36" t="n">
        <f aca="false">IF($W769="DESPESA",$F769,0)</f>
        <v>0</v>
      </c>
      <c r="AF769" s="36" t="n">
        <f aca="false">IF($W769="RECEITA_FINANCEIRA",$F769,0)</f>
        <v>0</v>
      </c>
      <c r="AG769" s="36" t="n">
        <f aca="false">IF($B769="",0,IF($I769="CONTA",$F769,0)-IF($G769="CONTA",$F769,0))</f>
        <v>0</v>
      </c>
      <c r="AH769" s="36" t="n">
        <f aca="false">IF($B769="",0,IF($G769="CARTAO",$F769,0)-IF($I769="CARTAO",$F769,0))</f>
        <v>0</v>
      </c>
      <c r="AI769" s="36" t="n">
        <f aca="false">IF($B769="",0,IF($I769="INVESTIMENTO",$F769,0)-IF($G769="INVESTIMENTO",$F769,0))</f>
        <v>0</v>
      </c>
      <c r="AJ769" s="35" t="str">
        <f aca="false">IF($B769="","",IF(NOT(ISNUMBER($F769)),"ERRO: valor nao numerico",IF($F769&lt;=0,"ERRO: valor deve ser maior que zero",IF(COUNTIF(MAP_TIPO,$D769)=0,"ERRO: tipo de operacao nao cadastrado",IF(COUNTIF(LST_STATUS,$E769)=0,"ERRO: status invalido",IF(AND($G769="EXTERNO",$I769="EXTERNO"),"ERRO: origem e destino externos",IF(AND($G769&lt;&gt;"EXTERNO",COUNTIFS(ENT_ID,$H769,ENT_TIPO,$G769)=0),"ERRO: origem inexistente",IF(AND($I769&lt;&gt;"EXTERNO",COUNTIFS(ENT_ID,$J769,ENT_TIPO,$I769)=0),"ERRO: destino inexistente",IF(AND($K769&lt;&gt;"",COUNTIF(CAT_ID,$K769)=0),"ERRO: categoria inexistente",IF(AND($L769&lt;&gt;"",COUNTIF(SUB_ID,$L769)=0),"ERRO: subcategoria inexistente",IF(AND($L769&lt;&gt;"",$K769&lt;&gt;"",IFERROR(INDEX(SUB_CATID,MATCH($L769,SUB_ID,0)),"")&lt;&gt;$K769),"ERRO: subcategoria nao pertence a categoria",IF(AND($O769&lt;&gt;"",COUNTIF(P_ID,$O769)=0),"ERRO: parcela inexistente",IF(AND($N769&lt;&gt;"",COUNTIF(CM_ID,$N769)=0),"ERRO: compromisso inexistente","OK")))))))))))))</f>
        <v/>
      </c>
      <c r="AK769" s="35" t="str">
        <f aca="false">IF($B769="","",IF(AND($N769="",$O769="",$P769="",$Q769="",$R769=""),"","VINCULADO: "&amp;TRIM(IF($N769&lt;&gt;"",$N769&amp;" ","")&amp;IF($O769&lt;&gt;"",$O769&amp;" ","")&amp;IF($P769&lt;&gt;"",$P769&amp;" ","")&amp;IF($Q769&lt;&gt;"",$Q769&amp;" ","")&amp;IF($R769&lt;&gt;"",$R769,""))))</f>
        <v/>
      </c>
    </row>
    <row r="770" customFormat="false" ht="15" hidden="false" customHeight="false" outlineLevel="0" collapsed="false">
      <c r="A770" s="30" t="str">
        <f aca="false">IF($B770="","","LAN-"&amp;TEXT(ROW()-4,"000000"))</f>
        <v/>
      </c>
      <c r="B770" s="31"/>
      <c r="C770" s="32"/>
      <c r="D770" s="32"/>
      <c r="E770" s="32"/>
      <c r="F770" s="33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4" t="str">
        <f aca="false">IF($B770="","",YEAR($B770))</f>
        <v/>
      </c>
      <c r="U770" s="34" t="str">
        <f aca="false">IF($B770="","",MONTH($B770))</f>
        <v/>
      </c>
      <c r="V770" s="34" t="str">
        <f aca="false">IF($B770="","",YEAR($B770)*100+MONTH($B770))</f>
        <v/>
      </c>
      <c r="W770" s="35" t="str">
        <f aca="false">IF($D770="","",IFERROR(INDEX(MAP_CLASS,MATCH($D770,MAP_TIPO,0)),"TIPO INVALIDO"))</f>
        <v/>
      </c>
      <c r="X770" s="35" t="str">
        <f aca="false">IF($K770="","",IFERROR(INDEX(CAT_NOME,MATCH($K770,CAT_ID,0)),"?"))</f>
        <v/>
      </c>
      <c r="Y770" s="35" t="str">
        <f aca="false">IF($L770="","",IFERROR(INDEX(SUB_NOME,MATCH($L770,SUB_ID,0)),"?"))</f>
        <v/>
      </c>
      <c r="Z770" s="35" t="str">
        <f aca="false">IF($G770="","",IF($G770="EXTERNO","(Externo)",IFERROR(INDEX(ENT_NOME,MATCH($H770,ENT_ID,0)),"?")))</f>
        <v/>
      </c>
      <c r="AA770" s="35" t="str">
        <f aca="false">IF($I770="","",IF($I770="EXTERNO","(Externo)",IFERROR(INDEX(ENT_NOME,MATCH($J770,ENT_ID,0)),"?")))</f>
        <v/>
      </c>
      <c r="AB770" s="36" t="n">
        <f aca="false">IF($B770="",0,IF(AND($I770="CONTA",$G770&lt;&gt;"CONTA"),$F770,0))</f>
        <v>0</v>
      </c>
      <c r="AC770" s="36" t="n">
        <f aca="false">IF($B770="",0,IF(AND($G770="CONTA",$I770&lt;&gt;"CONTA"),$F770,0))</f>
        <v>0</v>
      </c>
      <c r="AD770" s="36" t="n">
        <f aca="false">IF($W770="RECEITA",$F770,0)</f>
        <v>0</v>
      </c>
      <c r="AE770" s="36" t="n">
        <f aca="false">IF($W770="DESPESA",$F770,0)</f>
        <v>0</v>
      </c>
      <c r="AF770" s="36" t="n">
        <f aca="false">IF($W770="RECEITA_FINANCEIRA",$F770,0)</f>
        <v>0</v>
      </c>
      <c r="AG770" s="36" t="n">
        <f aca="false">IF($B770="",0,IF($I770="CONTA",$F770,0)-IF($G770="CONTA",$F770,0))</f>
        <v>0</v>
      </c>
      <c r="AH770" s="36" t="n">
        <f aca="false">IF($B770="",0,IF($G770="CARTAO",$F770,0)-IF($I770="CARTAO",$F770,0))</f>
        <v>0</v>
      </c>
      <c r="AI770" s="36" t="n">
        <f aca="false">IF($B770="",0,IF($I770="INVESTIMENTO",$F770,0)-IF($G770="INVESTIMENTO",$F770,0))</f>
        <v>0</v>
      </c>
      <c r="AJ770" s="35" t="str">
        <f aca="false">IF($B770="","",IF(NOT(ISNUMBER($F770)),"ERRO: valor nao numerico",IF($F770&lt;=0,"ERRO: valor deve ser maior que zero",IF(COUNTIF(MAP_TIPO,$D770)=0,"ERRO: tipo de operacao nao cadastrado",IF(COUNTIF(LST_STATUS,$E770)=0,"ERRO: status invalido",IF(AND($G770="EXTERNO",$I770="EXTERNO"),"ERRO: origem e destino externos",IF(AND($G770&lt;&gt;"EXTERNO",COUNTIFS(ENT_ID,$H770,ENT_TIPO,$G770)=0),"ERRO: origem inexistente",IF(AND($I770&lt;&gt;"EXTERNO",COUNTIFS(ENT_ID,$J770,ENT_TIPO,$I770)=0),"ERRO: destino inexistente",IF(AND($K770&lt;&gt;"",COUNTIF(CAT_ID,$K770)=0),"ERRO: categoria inexistente",IF(AND($L770&lt;&gt;"",COUNTIF(SUB_ID,$L770)=0),"ERRO: subcategoria inexistente",IF(AND($L770&lt;&gt;"",$K770&lt;&gt;"",IFERROR(INDEX(SUB_CATID,MATCH($L770,SUB_ID,0)),"")&lt;&gt;$K770),"ERRO: subcategoria nao pertence a categoria",IF(AND($O770&lt;&gt;"",COUNTIF(P_ID,$O770)=0),"ERRO: parcela inexistente",IF(AND($N770&lt;&gt;"",COUNTIF(CM_ID,$N770)=0),"ERRO: compromisso inexistente","OK")))))))))))))</f>
        <v/>
      </c>
      <c r="AK770" s="35" t="str">
        <f aca="false">IF($B770="","",IF(AND($N770="",$O770="",$P770="",$Q770="",$R770=""),"","VINCULADO: "&amp;TRIM(IF($N770&lt;&gt;"",$N770&amp;" ","")&amp;IF($O770&lt;&gt;"",$O770&amp;" ","")&amp;IF($P770&lt;&gt;"",$P770&amp;" ","")&amp;IF($Q770&lt;&gt;"",$Q770&amp;" ","")&amp;IF($R770&lt;&gt;"",$R770,""))))</f>
        <v/>
      </c>
    </row>
    <row r="771" customFormat="false" ht="15" hidden="false" customHeight="false" outlineLevel="0" collapsed="false">
      <c r="A771" s="30" t="str">
        <f aca="false">IF($B771="","","LAN-"&amp;TEXT(ROW()-4,"000000"))</f>
        <v/>
      </c>
      <c r="B771" s="31"/>
      <c r="C771" s="32"/>
      <c r="D771" s="32"/>
      <c r="E771" s="32"/>
      <c r="F771" s="33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4" t="str">
        <f aca="false">IF($B771="","",YEAR($B771))</f>
        <v/>
      </c>
      <c r="U771" s="34" t="str">
        <f aca="false">IF($B771="","",MONTH($B771))</f>
        <v/>
      </c>
      <c r="V771" s="34" t="str">
        <f aca="false">IF($B771="","",YEAR($B771)*100+MONTH($B771))</f>
        <v/>
      </c>
      <c r="W771" s="35" t="str">
        <f aca="false">IF($D771="","",IFERROR(INDEX(MAP_CLASS,MATCH($D771,MAP_TIPO,0)),"TIPO INVALIDO"))</f>
        <v/>
      </c>
      <c r="X771" s="35" t="str">
        <f aca="false">IF($K771="","",IFERROR(INDEX(CAT_NOME,MATCH($K771,CAT_ID,0)),"?"))</f>
        <v/>
      </c>
      <c r="Y771" s="35" t="str">
        <f aca="false">IF($L771="","",IFERROR(INDEX(SUB_NOME,MATCH($L771,SUB_ID,0)),"?"))</f>
        <v/>
      </c>
      <c r="Z771" s="35" t="str">
        <f aca="false">IF($G771="","",IF($G771="EXTERNO","(Externo)",IFERROR(INDEX(ENT_NOME,MATCH($H771,ENT_ID,0)),"?")))</f>
        <v/>
      </c>
      <c r="AA771" s="35" t="str">
        <f aca="false">IF($I771="","",IF($I771="EXTERNO","(Externo)",IFERROR(INDEX(ENT_NOME,MATCH($J771,ENT_ID,0)),"?")))</f>
        <v/>
      </c>
      <c r="AB771" s="36" t="n">
        <f aca="false">IF($B771="",0,IF(AND($I771="CONTA",$G771&lt;&gt;"CONTA"),$F771,0))</f>
        <v>0</v>
      </c>
      <c r="AC771" s="36" t="n">
        <f aca="false">IF($B771="",0,IF(AND($G771="CONTA",$I771&lt;&gt;"CONTA"),$F771,0))</f>
        <v>0</v>
      </c>
      <c r="AD771" s="36" t="n">
        <f aca="false">IF($W771="RECEITA",$F771,0)</f>
        <v>0</v>
      </c>
      <c r="AE771" s="36" t="n">
        <f aca="false">IF($W771="DESPESA",$F771,0)</f>
        <v>0</v>
      </c>
      <c r="AF771" s="36" t="n">
        <f aca="false">IF($W771="RECEITA_FINANCEIRA",$F771,0)</f>
        <v>0</v>
      </c>
      <c r="AG771" s="36" t="n">
        <f aca="false">IF($B771="",0,IF($I771="CONTA",$F771,0)-IF($G771="CONTA",$F771,0))</f>
        <v>0</v>
      </c>
      <c r="AH771" s="36" t="n">
        <f aca="false">IF($B771="",0,IF($G771="CARTAO",$F771,0)-IF($I771="CARTAO",$F771,0))</f>
        <v>0</v>
      </c>
      <c r="AI771" s="36" t="n">
        <f aca="false">IF($B771="",0,IF($I771="INVESTIMENTO",$F771,0)-IF($G771="INVESTIMENTO",$F771,0))</f>
        <v>0</v>
      </c>
      <c r="AJ771" s="35" t="str">
        <f aca="false">IF($B771="","",IF(NOT(ISNUMBER($F771)),"ERRO: valor nao numerico",IF($F771&lt;=0,"ERRO: valor deve ser maior que zero",IF(COUNTIF(MAP_TIPO,$D771)=0,"ERRO: tipo de operacao nao cadastrado",IF(COUNTIF(LST_STATUS,$E771)=0,"ERRO: status invalido",IF(AND($G771="EXTERNO",$I771="EXTERNO"),"ERRO: origem e destino externos",IF(AND($G771&lt;&gt;"EXTERNO",COUNTIFS(ENT_ID,$H771,ENT_TIPO,$G771)=0),"ERRO: origem inexistente",IF(AND($I771&lt;&gt;"EXTERNO",COUNTIFS(ENT_ID,$J771,ENT_TIPO,$I771)=0),"ERRO: destino inexistente",IF(AND($K771&lt;&gt;"",COUNTIF(CAT_ID,$K771)=0),"ERRO: categoria inexistente",IF(AND($L771&lt;&gt;"",COUNTIF(SUB_ID,$L771)=0),"ERRO: subcategoria inexistente",IF(AND($L771&lt;&gt;"",$K771&lt;&gt;"",IFERROR(INDEX(SUB_CATID,MATCH($L771,SUB_ID,0)),"")&lt;&gt;$K771),"ERRO: subcategoria nao pertence a categoria",IF(AND($O771&lt;&gt;"",COUNTIF(P_ID,$O771)=0),"ERRO: parcela inexistente",IF(AND($N771&lt;&gt;"",COUNTIF(CM_ID,$N771)=0),"ERRO: compromisso inexistente","OK")))))))))))))</f>
        <v/>
      </c>
      <c r="AK771" s="35" t="str">
        <f aca="false">IF($B771="","",IF(AND($N771="",$O771="",$P771="",$Q771="",$R771=""),"","VINCULADO: "&amp;TRIM(IF($N771&lt;&gt;"",$N771&amp;" ","")&amp;IF($O771&lt;&gt;"",$O771&amp;" ","")&amp;IF($P771&lt;&gt;"",$P771&amp;" ","")&amp;IF($Q771&lt;&gt;"",$Q771&amp;" ","")&amp;IF($R771&lt;&gt;"",$R771,""))))</f>
        <v/>
      </c>
    </row>
    <row r="772" customFormat="false" ht="15" hidden="false" customHeight="false" outlineLevel="0" collapsed="false">
      <c r="A772" s="30" t="str">
        <f aca="false">IF($B772="","","LAN-"&amp;TEXT(ROW()-4,"000000"))</f>
        <v/>
      </c>
      <c r="B772" s="31"/>
      <c r="C772" s="32"/>
      <c r="D772" s="32"/>
      <c r="E772" s="32"/>
      <c r="F772" s="33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4" t="str">
        <f aca="false">IF($B772="","",YEAR($B772))</f>
        <v/>
      </c>
      <c r="U772" s="34" t="str">
        <f aca="false">IF($B772="","",MONTH($B772))</f>
        <v/>
      </c>
      <c r="V772" s="34" t="str">
        <f aca="false">IF($B772="","",YEAR($B772)*100+MONTH($B772))</f>
        <v/>
      </c>
      <c r="W772" s="35" t="str">
        <f aca="false">IF($D772="","",IFERROR(INDEX(MAP_CLASS,MATCH($D772,MAP_TIPO,0)),"TIPO INVALIDO"))</f>
        <v/>
      </c>
      <c r="X772" s="35" t="str">
        <f aca="false">IF($K772="","",IFERROR(INDEX(CAT_NOME,MATCH($K772,CAT_ID,0)),"?"))</f>
        <v/>
      </c>
      <c r="Y772" s="35" t="str">
        <f aca="false">IF($L772="","",IFERROR(INDEX(SUB_NOME,MATCH($L772,SUB_ID,0)),"?"))</f>
        <v/>
      </c>
      <c r="Z772" s="35" t="str">
        <f aca="false">IF($G772="","",IF($G772="EXTERNO","(Externo)",IFERROR(INDEX(ENT_NOME,MATCH($H772,ENT_ID,0)),"?")))</f>
        <v/>
      </c>
      <c r="AA772" s="35" t="str">
        <f aca="false">IF($I772="","",IF($I772="EXTERNO","(Externo)",IFERROR(INDEX(ENT_NOME,MATCH($J772,ENT_ID,0)),"?")))</f>
        <v/>
      </c>
      <c r="AB772" s="36" t="n">
        <f aca="false">IF($B772="",0,IF(AND($I772="CONTA",$G772&lt;&gt;"CONTA"),$F772,0))</f>
        <v>0</v>
      </c>
      <c r="AC772" s="36" t="n">
        <f aca="false">IF($B772="",0,IF(AND($G772="CONTA",$I772&lt;&gt;"CONTA"),$F772,0))</f>
        <v>0</v>
      </c>
      <c r="AD772" s="36" t="n">
        <f aca="false">IF($W772="RECEITA",$F772,0)</f>
        <v>0</v>
      </c>
      <c r="AE772" s="36" t="n">
        <f aca="false">IF($W772="DESPESA",$F772,0)</f>
        <v>0</v>
      </c>
      <c r="AF772" s="36" t="n">
        <f aca="false">IF($W772="RECEITA_FINANCEIRA",$F772,0)</f>
        <v>0</v>
      </c>
      <c r="AG772" s="36" t="n">
        <f aca="false">IF($B772="",0,IF($I772="CONTA",$F772,0)-IF($G772="CONTA",$F772,0))</f>
        <v>0</v>
      </c>
      <c r="AH772" s="36" t="n">
        <f aca="false">IF($B772="",0,IF($G772="CARTAO",$F772,0)-IF($I772="CARTAO",$F772,0))</f>
        <v>0</v>
      </c>
      <c r="AI772" s="36" t="n">
        <f aca="false">IF($B772="",0,IF($I772="INVESTIMENTO",$F772,0)-IF($G772="INVESTIMENTO",$F772,0))</f>
        <v>0</v>
      </c>
      <c r="AJ772" s="35" t="str">
        <f aca="false">IF($B772="","",IF(NOT(ISNUMBER($F772)),"ERRO: valor nao numerico",IF($F772&lt;=0,"ERRO: valor deve ser maior que zero",IF(COUNTIF(MAP_TIPO,$D772)=0,"ERRO: tipo de operacao nao cadastrado",IF(COUNTIF(LST_STATUS,$E772)=0,"ERRO: status invalido",IF(AND($G772="EXTERNO",$I772="EXTERNO"),"ERRO: origem e destino externos",IF(AND($G772&lt;&gt;"EXTERNO",COUNTIFS(ENT_ID,$H772,ENT_TIPO,$G772)=0),"ERRO: origem inexistente",IF(AND($I772&lt;&gt;"EXTERNO",COUNTIFS(ENT_ID,$J772,ENT_TIPO,$I772)=0),"ERRO: destino inexistente",IF(AND($K772&lt;&gt;"",COUNTIF(CAT_ID,$K772)=0),"ERRO: categoria inexistente",IF(AND($L772&lt;&gt;"",COUNTIF(SUB_ID,$L772)=0),"ERRO: subcategoria inexistente",IF(AND($L772&lt;&gt;"",$K772&lt;&gt;"",IFERROR(INDEX(SUB_CATID,MATCH($L772,SUB_ID,0)),"")&lt;&gt;$K772),"ERRO: subcategoria nao pertence a categoria",IF(AND($O772&lt;&gt;"",COUNTIF(P_ID,$O772)=0),"ERRO: parcela inexistente",IF(AND($N772&lt;&gt;"",COUNTIF(CM_ID,$N772)=0),"ERRO: compromisso inexistente","OK")))))))))))))</f>
        <v/>
      </c>
      <c r="AK772" s="35" t="str">
        <f aca="false">IF($B772="","",IF(AND($N772="",$O772="",$P772="",$Q772="",$R772=""),"","VINCULADO: "&amp;TRIM(IF($N772&lt;&gt;"",$N772&amp;" ","")&amp;IF($O772&lt;&gt;"",$O772&amp;" ","")&amp;IF($P772&lt;&gt;"",$P772&amp;" ","")&amp;IF($Q772&lt;&gt;"",$Q772&amp;" ","")&amp;IF($R772&lt;&gt;"",$R772,""))))</f>
        <v/>
      </c>
    </row>
    <row r="773" customFormat="false" ht="15" hidden="false" customHeight="false" outlineLevel="0" collapsed="false">
      <c r="A773" s="30" t="str">
        <f aca="false">IF($B773="","","LAN-"&amp;TEXT(ROW()-4,"000000"))</f>
        <v/>
      </c>
      <c r="B773" s="31"/>
      <c r="C773" s="32"/>
      <c r="D773" s="32"/>
      <c r="E773" s="32"/>
      <c r="F773" s="33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4" t="str">
        <f aca="false">IF($B773="","",YEAR($B773))</f>
        <v/>
      </c>
      <c r="U773" s="34" t="str">
        <f aca="false">IF($B773="","",MONTH($B773))</f>
        <v/>
      </c>
      <c r="V773" s="34" t="str">
        <f aca="false">IF($B773="","",YEAR($B773)*100+MONTH($B773))</f>
        <v/>
      </c>
      <c r="W773" s="35" t="str">
        <f aca="false">IF($D773="","",IFERROR(INDEX(MAP_CLASS,MATCH($D773,MAP_TIPO,0)),"TIPO INVALIDO"))</f>
        <v/>
      </c>
      <c r="X773" s="35" t="str">
        <f aca="false">IF($K773="","",IFERROR(INDEX(CAT_NOME,MATCH($K773,CAT_ID,0)),"?"))</f>
        <v/>
      </c>
      <c r="Y773" s="35" t="str">
        <f aca="false">IF($L773="","",IFERROR(INDEX(SUB_NOME,MATCH($L773,SUB_ID,0)),"?"))</f>
        <v/>
      </c>
      <c r="Z773" s="35" t="str">
        <f aca="false">IF($G773="","",IF($G773="EXTERNO","(Externo)",IFERROR(INDEX(ENT_NOME,MATCH($H773,ENT_ID,0)),"?")))</f>
        <v/>
      </c>
      <c r="AA773" s="35" t="str">
        <f aca="false">IF($I773="","",IF($I773="EXTERNO","(Externo)",IFERROR(INDEX(ENT_NOME,MATCH($J773,ENT_ID,0)),"?")))</f>
        <v/>
      </c>
      <c r="AB773" s="36" t="n">
        <f aca="false">IF($B773="",0,IF(AND($I773="CONTA",$G773&lt;&gt;"CONTA"),$F773,0))</f>
        <v>0</v>
      </c>
      <c r="AC773" s="36" t="n">
        <f aca="false">IF($B773="",0,IF(AND($G773="CONTA",$I773&lt;&gt;"CONTA"),$F773,0))</f>
        <v>0</v>
      </c>
      <c r="AD773" s="36" t="n">
        <f aca="false">IF($W773="RECEITA",$F773,0)</f>
        <v>0</v>
      </c>
      <c r="AE773" s="36" t="n">
        <f aca="false">IF($W773="DESPESA",$F773,0)</f>
        <v>0</v>
      </c>
      <c r="AF773" s="36" t="n">
        <f aca="false">IF($W773="RECEITA_FINANCEIRA",$F773,0)</f>
        <v>0</v>
      </c>
      <c r="AG773" s="36" t="n">
        <f aca="false">IF($B773="",0,IF($I773="CONTA",$F773,0)-IF($G773="CONTA",$F773,0))</f>
        <v>0</v>
      </c>
      <c r="AH773" s="36" t="n">
        <f aca="false">IF($B773="",0,IF($G773="CARTAO",$F773,0)-IF($I773="CARTAO",$F773,0))</f>
        <v>0</v>
      </c>
      <c r="AI773" s="36" t="n">
        <f aca="false">IF($B773="",0,IF($I773="INVESTIMENTO",$F773,0)-IF($G773="INVESTIMENTO",$F773,0))</f>
        <v>0</v>
      </c>
      <c r="AJ773" s="35" t="str">
        <f aca="false">IF($B773="","",IF(NOT(ISNUMBER($F773)),"ERRO: valor nao numerico",IF($F773&lt;=0,"ERRO: valor deve ser maior que zero",IF(COUNTIF(MAP_TIPO,$D773)=0,"ERRO: tipo de operacao nao cadastrado",IF(COUNTIF(LST_STATUS,$E773)=0,"ERRO: status invalido",IF(AND($G773="EXTERNO",$I773="EXTERNO"),"ERRO: origem e destino externos",IF(AND($G773&lt;&gt;"EXTERNO",COUNTIFS(ENT_ID,$H773,ENT_TIPO,$G773)=0),"ERRO: origem inexistente",IF(AND($I773&lt;&gt;"EXTERNO",COUNTIFS(ENT_ID,$J773,ENT_TIPO,$I773)=0),"ERRO: destino inexistente",IF(AND($K773&lt;&gt;"",COUNTIF(CAT_ID,$K773)=0),"ERRO: categoria inexistente",IF(AND($L773&lt;&gt;"",COUNTIF(SUB_ID,$L773)=0),"ERRO: subcategoria inexistente",IF(AND($L773&lt;&gt;"",$K773&lt;&gt;"",IFERROR(INDEX(SUB_CATID,MATCH($L773,SUB_ID,0)),"")&lt;&gt;$K773),"ERRO: subcategoria nao pertence a categoria",IF(AND($O773&lt;&gt;"",COUNTIF(P_ID,$O773)=0),"ERRO: parcela inexistente",IF(AND($N773&lt;&gt;"",COUNTIF(CM_ID,$N773)=0),"ERRO: compromisso inexistente","OK")))))))))))))</f>
        <v/>
      </c>
      <c r="AK773" s="35" t="str">
        <f aca="false">IF($B773="","",IF(AND($N773="",$O773="",$P773="",$Q773="",$R773=""),"","VINCULADO: "&amp;TRIM(IF($N773&lt;&gt;"",$N773&amp;" ","")&amp;IF($O773&lt;&gt;"",$O773&amp;" ","")&amp;IF($P773&lt;&gt;"",$P773&amp;" ","")&amp;IF($Q773&lt;&gt;"",$Q773&amp;" ","")&amp;IF($R773&lt;&gt;"",$R773,""))))</f>
        <v/>
      </c>
    </row>
    <row r="774" customFormat="false" ht="15" hidden="false" customHeight="false" outlineLevel="0" collapsed="false">
      <c r="A774" s="30" t="str">
        <f aca="false">IF($B774="","","LAN-"&amp;TEXT(ROW()-4,"000000"))</f>
        <v/>
      </c>
      <c r="B774" s="31"/>
      <c r="C774" s="32"/>
      <c r="D774" s="32"/>
      <c r="E774" s="32"/>
      <c r="F774" s="33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4" t="str">
        <f aca="false">IF($B774="","",YEAR($B774))</f>
        <v/>
      </c>
      <c r="U774" s="34" t="str">
        <f aca="false">IF($B774="","",MONTH($B774))</f>
        <v/>
      </c>
      <c r="V774" s="34" t="str">
        <f aca="false">IF($B774="","",YEAR($B774)*100+MONTH($B774))</f>
        <v/>
      </c>
      <c r="W774" s="35" t="str">
        <f aca="false">IF($D774="","",IFERROR(INDEX(MAP_CLASS,MATCH($D774,MAP_TIPO,0)),"TIPO INVALIDO"))</f>
        <v/>
      </c>
      <c r="X774" s="35" t="str">
        <f aca="false">IF($K774="","",IFERROR(INDEX(CAT_NOME,MATCH($K774,CAT_ID,0)),"?"))</f>
        <v/>
      </c>
      <c r="Y774" s="35" t="str">
        <f aca="false">IF($L774="","",IFERROR(INDEX(SUB_NOME,MATCH($L774,SUB_ID,0)),"?"))</f>
        <v/>
      </c>
      <c r="Z774" s="35" t="str">
        <f aca="false">IF($G774="","",IF($G774="EXTERNO","(Externo)",IFERROR(INDEX(ENT_NOME,MATCH($H774,ENT_ID,0)),"?")))</f>
        <v/>
      </c>
      <c r="AA774" s="35" t="str">
        <f aca="false">IF($I774="","",IF($I774="EXTERNO","(Externo)",IFERROR(INDEX(ENT_NOME,MATCH($J774,ENT_ID,0)),"?")))</f>
        <v/>
      </c>
      <c r="AB774" s="36" t="n">
        <f aca="false">IF($B774="",0,IF(AND($I774="CONTA",$G774&lt;&gt;"CONTA"),$F774,0))</f>
        <v>0</v>
      </c>
      <c r="AC774" s="36" t="n">
        <f aca="false">IF($B774="",0,IF(AND($G774="CONTA",$I774&lt;&gt;"CONTA"),$F774,0))</f>
        <v>0</v>
      </c>
      <c r="AD774" s="36" t="n">
        <f aca="false">IF($W774="RECEITA",$F774,0)</f>
        <v>0</v>
      </c>
      <c r="AE774" s="36" t="n">
        <f aca="false">IF($W774="DESPESA",$F774,0)</f>
        <v>0</v>
      </c>
      <c r="AF774" s="36" t="n">
        <f aca="false">IF($W774="RECEITA_FINANCEIRA",$F774,0)</f>
        <v>0</v>
      </c>
      <c r="AG774" s="36" t="n">
        <f aca="false">IF($B774="",0,IF($I774="CONTA",$F774,0)-IF($G774="CONTA",$F774,0))</f>
        <v>0</v>
      </c>
      <c r="AH774" s="36" t="n">
        <f aca="false">IF($B774="",0,IF($G774="CARTAO",$F774,0)-IF($I774="CARTAO",$F774,0))</f>
        <v>0</v>
      </c>
      <c r="AI774" s="36" t="n">
        <f aca="false">IF($B774="",0,IF($I774="INVESTIMENTO",$F774,0)-IF($G774="INVESTIMENTO",$F774,0))</f>
        <v>0</v>
      </c>
      <c r="AJ774" s="35" t="str">
        <f aca="false">IF($B774="","",IF(NOT(ISNUMBER($F774)),"ERRO: valor nao numerico",IF($F774&lt;=0,"ERRO: valor deve ser maior que zero",IF(COUNTIF(MAP_TIPO,$D774)=0,"ERRO: tipo de operacao nao cadastrado",IF(COUNTIF(LST_STATUS,$E774)=0,"ERRO: status invalido",IF(AND($G774="EXTERNO",$I774="EXTERNO"),"ERRO: origem e destino externos",IF(AND($G774&lt;&gt;"EXTERNO",COUNTIFS(ENT_ID,$H774,ENT_TIPO,$G774)=0),"ERRO: origem inexistente",IF(AND($I774&lt;&gt;"EXTERNO",COUNTIFS(ENT_ID,$J774,ENT_TIPO,$I774)=0),"ERRO: destino inexistente",IF(AND($K774&lt;&gt;"",COUNTIF(CAT_ID,$K774)=0),"ERRO: categoria inexistente",IF(AND($L774&lt;&gt;"",COUNTIF(SUB_ID,$L774)=0),"ERRO: subcategoria inexistente",IF(AND($L774&lt;&gt;"",$K774&lt;&gt;"",IFERROR(INDEX(SUB_CATID,MATCH($L774,SUB_ID,0)),"")&lt;&gt;$K774),"ERRO: subcategoria nao pertence a categoria",IF(AND($O774&lt;&gt;"",COUNTIF(P_ID,$O774)=0),"ERRO: parcela inexistente",IF(AND($N774&lt;&gt;"",COUNTIF(CM_ID,$N774)=0),"ERRO: compromisso inexistente","OK")))))))))))))</f>
        <v/>
      </c>
      <c r="AK774" s="35" t="str">
        <f aca="false">IF($B774="","",IF(AND($N774="",$O774="",$P774="",$Q774="",$R774=""),"","VINCULADO: "&amp;TRIM(IF($N774&lt;&gt;"",$N774&amp;" ","")&amp;IF($O774&lt;&gt;"",$O774&amp;" ","")&amp;IF($P774&lt;&gt;"",$P774&amp;" ","")&amp;IF($Q774&lt;&gt;"",$Q774&amp;" ","")&amp;IF($R774&lt;&gt;"",$R774,""))))</f>
        <v/>
      </c>
    </row>
    <row r="775" customFormat="false" ht="15" hidden="false" customHeight="false" outlineLevel="0" collapsed="false">
      <c r="A775" s="30" t="str">
        <f aca="false">IF($B775="","","LAN-"&amp;TEXT(ROW()-4,"000000"))</f>
        <v/>
      </c>
      <c r="B775" s="31"/>
      <c r="C775" s="32"/>
      <c r="D775" s="32"/>
      <c r="E775" s="32"/>
      <c r="F775" s="33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4" t="str">
        <f aca="false">IF($B775="","",YEAR($B775))</f>
        <v/>
      </c>
      <c r="U775" s="34" t="str">
        <f aca="false">IF($B775="","",MONTH($B775))</f>
        <v/>
      </c>
      <c r="V775" s="34" t="str">
        <f aca="false">IF($B775="","",YEAR($B775)*100+MONTH($B775))</f>
        <v/>
      </c>
      <c r="W775" s="35" t="str">
        <f aca="false">IF($D775="","",IFERROR(INDEX(MAP_CLASS,MATCH($D775,MAP_TIPO,0)),"TIPO INVALIDO"))</f>
        <v/>
      </c>
      <c r="X775" s="35" t="str">
        <f aca="false">IF($K775="","",IFERROR(INDEX(CAT_NOME,MATCH($K775,CAT_ID,0)),"?"))</f>
        <v/>
      </c>
      <c r="Y775" s="35" t="str">
        <f aca="false">IF($L775="","",IFERROR(INDEX(SUB_NOME,MATCH($L775,SUB_ID,0)),"?"))</f>
        <v/>
      </c>
      <c r="Z775" s="35" t="str">
        <f aca="false">IF($G775="","",IF($G775="EXTERNO","(Externo)",IFERROR(INDEX(ENT_NOME,MATCH($H775,ENT_ID,0)),"?")))</f>
        <v/>
      </c>
      <c r="AA775" s="35" t="str">
        <f aca="false">IF($I775="","",IF($I775="EXTERNO","(Externo)",IFERROR(INDEX(ENT_NOME,MATCH($J775,ENT_ID,0)),"?")))</f>
        <v/>
      </c>
      <c r="AB775" s="36" t="n">
        <f aca="false">IF($B775="",0,IF(AND($I775="CONTA",$G775&lt;&gt;"CONTA"),$F775,0))</f>
        <v>0</v>
      </c>
      <c r="AC775" s="36" t="n">
        <f aca="false">IF($B775="",0,IF(AND($G775="CONTA",$I775&lt;&gt;"CONTA"),$F775,0))</f>
        <v>0</v>
      </c>
      <c r="AD775" s="36" t="n">
        <f aca="false">IF($W775="RECEITA",$F775,0)</f>
        <v>0</v>
      </c>
      <c r="AE775" s="36" t="n">
        <f aca="false">IF($W775="DESPESA",$F775,0)</f>
        <v>0</v>
      </c>
      <c r="AF775" s="36" t="n">
        <f aca="false">IF($W775="RECEITA_FINANCEIRA",$F775,0)</f>
        <v>0</v>
      </c>
      <c r="AG775" s="36" t="n">
        <f aca="false">IF($B775="",0,IF($I775="CONTA",$F775,0)-IF($G775="CONTA",$F775,0))</f>
        <v>0</v>
      </c>
      <c r="AH775" s="36" t="n">
        <f aca="false">IF($B775="",0,IF($G775="CARTAO",$F775,0)-IF($I775="CARTAO",$F775,0))</f>
        <v>0</v>
      </c>
      <c r="AI775" s="36" t="n">
        <f aca="false">IF($B775="",0,IF($I775="INVESTIMENTO",$F775,0)-IF($G775="INVESTIMENTO",$F775,0))</f>
        <v>0</v>
      </c>
      <c r="AJ775" s="35" t="str">
        <f aca="false">IF($B775="","",IF(NOT(ISNUMBER($F775)),"ERRO: valor nao numerico",IF($F775&lt;=0,"ERRO: valor deve ser maior que zero",IF(COUNTIF(MAP_TIPO,$D775)=0,"ERRO: tipo de operacao nao cadastrado",IF(COUNTIF(LST_STATUS,$E775)=0,"ERRO: status invalido",IF(AND($G775="EXTERNO",$I775="EXTERNO"),"ERRO: origem e destino externos",IF(AND($G775&lt;&gt;"EXTERNO",COUNTIFS(ENT_ID,$H775,ENT_TIPO,$G775)=0),"ERRO: origem inexistente",IF(AND($I775&lt;&gt;"EXTERNO",COUNTIFS(ENT_ID,$J775,ENT_TIPO,$I775)=0),"ERRO: destino inexistente",IF(AND($K775&lt;&gt;"",COUNTIF(CAT_ID,$K775)=0),"ERRO: categoria inexistente",IF(AND($L775&lt;&gt;"",COUNTIF(SUB_ID,$L775)=0),"ERRO: subcategoria inexistente",IF(AND($L775&lt;&gt;"",$K775&lt;&gt;"",IFERROR(INDEX(SUB_CATID,MATCH($L775,SUB_ID,0)),"")&lt;&gt;$K775),"ERRO: subcategoria nao pertence a categoria",IF(AND($O775&lt;&gt;"",COUNTIF(P_ID,$O775)=0),"ERRO: parcela inexistente",IF(AND($N775&lt;&gt;"",COUNTIF(CM_ID,$N775)=0),"ERRO: compromisso inexistente","OK")))))))))))))</f>
        <v/>
      </c>
      <c r="AK775" s="35" t="str">
        <f aca="false">IF($B775="","",IF(AND($N775="",$O775="",$P775="",$Q775="",$R775=""),"","VINCULADO: "&amp;TRIM(IF($N775&lt;&gt;"",$N775&amp;" ","")&amp;IF($O775&lt;&gt;"",$O775&amp;" ","")&amp;IF($P775&lt;&gt;"",$P775&amp;" ","")&amp;IF($Q775&lt;&gt;"",$Q775&amp;" ","")&amp;IF($R775&lt;&gt;"",$R775,""))))</f>
        <v/>
      </c>
    </row>
    <row r="776" customFormat="false" ht="15" hidden="false" customHeight="false" outlineLevel="0" collapsed="false">
      <c r="A776" s="30" t="str">
        <f aca="false">IF($B776="","","LAN-"&amp;TEXT(ROW()-4,"000000"))</f>
        <v/>
      </c>
      <c r="B776" s="31"/>
      <c r="C776" s="32"/>
      <c r="D776" s="32"/>
      <c r="E776" s="32"/>
      <c r="F776" s="33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4" t="str">
        <f aca="false">IF($B776="","",YEAR($B776))</f>
        <v/>
      </c>
      <c r="U776" s="34" t="str">
        <f aca="false">IF($B776="","",MONTH($B776))</f>
        <v/>
      </c>
      <c r="V776" s="34" t="str">
        <f aca="false">IF($B776="","",YEAR($B776)*100+MONTH($B776))</f>
        <v/>
      </c>
      <c r="W776" s="35" t="str">
        <f aca="false">IF($D776="","",IFERROR(INDEX(MAP_CLASS,MATCH($D776,MAP_TIPO,0)),"TIPO INVALIDO"))</f>
        <v/>
      </c>
      <c r="X776" s="35" t="str">
        <f aca="false">IF($K776="","",IFERROR(INDEX(CAT_NOME,MATCH($K776,CAT_ID,0)),"?"))</f>
        <v/>
      </c>
      <c r="Y776" s="35" t="str">
        <f aca="false">IF($L776="","",IFERROR(INDEX(SUB_NOME,MATCH($L776,SUB_ID,0)),"?"))</f>
        <v/>
      </c>
      <c r="Z776" s="35" t="str">
        <f aca="false">IF($G776="","",IF($G776="EXTERNO","(Externo)",IFERROR(INDEX(ENT_NOME,MATCH($H776,ENT_ID,0)),"?")))</f>
        <v/>
      </c>
      <c r="AA776" s="35" t="str">
        <f aca="false">IF($I776="","",IF($I776="EXTERNO","(Externo)",IFERROR(INDEX(ENT_NOME,MATCH($J776,ENT_ID,0)),"?")))</f>
        <v/>
      </c>
      <c r="AB776" s="36" t="n">
        <f aca="false">IF($B776="",0,IF(AND($I776="CONTA",$G776&lt;&gt;"CONTA"),$F776,0))</f>
        <v>0</v>
      </c>
      <c r="AC776" s="36" t="n">
        <f aca="false">IF($B776="",0,IF(AND($G776="CONTA",$I776&lt;&gt;"CONTA"),$F776,0))</f>
        <v>0</v>
      </c>
      <c r="AD776" s="36" t="n">
        <f aca="false">IF($W776="RECEITA",$F776,0)</f>
        <v>0</v>
      </c>
      <c r="AE776" s="36" t="n">
        <f aca="false">IF($W776="DESPESA",$F776,0)</f>
        <v>0</v>
      </c>
      <c r="AF776" s="36" t="n">
        <f aca="false">IF($W776="RECEITA_FINANCEIRA",$F776,0)</f>
        <v>0</v>
      </c>
      <c r="AG776" s="36" t="n">
        <f aca="false">IF($B776="",0,IF($I776="CONTA",$F776,0)-IF($G776="CONTA",$F776,0))</f>
        <v>0</v>
      </c>
      <c r="AH776" s="36" t="n">
        <f aca="false">IF($B776="",0,IF($G776="CARTAO",$F776,0)-IF($I776="CARTAO",$F776,0))</f>
        <v>0</v>
      </c>
      <c r="AI776" s="36" t="n">
        <f aca="false">IF($B776="",0,IF($I776="INVESTIMENTO",$F776,0)-IF($G776="INVESTIMENTO",$F776,0))</f>
        <v>0</v>
      </c>
      <c r="AJ776" s="35" t="str">
        <f aca="false">IF($B776="","",IF(NOT(ISNUMBER($F776)),"ERRO: valor nao numerico",IF($F776&lt;=0,"ERRO: valor deve ser maior que zero",IF(COUNTIF(MAP_TIPO,$D776)=0,"ERRO: tipo de operacao nao cadastrado",IF(COUNTIF(LST_STATUS,$E776)=0,"ERRO: status invalido",IF(AND($G776="EXTERNO",$I776="EXTERNO"),"ERRO: origem e destino externos",IF(AND($G776&lt;&gt;"EXTERNO",COUNTIFS(ENT_ID,$H776,ENT_TIPO,$G776)=0),"ERRO: origem inexistente",IF(AND($I776&lt;&gt;"EXTERNO",COUNTIFS(ENT_ID,$J776,ENT_TIPO,$I776)=0),"ERRO: destino inexistente",IF(AND($K776&lt;&gt;"",COUNTIF(CAT_ID,$K776)=0),"ERRO: categoria inexistente",IF(AND($L776&lt;&gt;"",COUNTIF(SUB_ID,$L776)=0),"ERRO: subcategoria inexistente",IF(AND($L776&lt;&gt;"",$K776&lt;&gt;"",IFERROR(INDEX(SUB_CATID,MATCH($L776,SUB_ID,0)),"")&lt;&gt;$K776),"ERRO: subcategoria nao pertence a categoria",IF(AND($O776&lt;&gt;"",COUNTIF(P_ID,$O776)=0),"ERRO: parcela inexistente",IF(AND($N776&lt;&gt;"",COUNTIF(CM_ID,$N776)=0),"ERRO: compromisso inexistente","OK")))))))))))))</f>
        <v/>
      </c>
      <c r="AK776" s="35" t="str">
        <f aca="false">IF($B776="","",IF(AND($N776="",$O776="",$P776="",$Q776="",$R776=""),"","VINCULADO: "&amp;TRIM(IF($N776&lt;&gt;"",$N776&amp;" ","")&amp;IF($O776&lt;&gt;"",$O776&amp;" ","")&amp;IF($P776&lt;&gt;"",$P776&amp;" ","")&amp;IF($Q776&lt;&gt;"",$Q776&amp;" ","")&amp;IF($R776&lt;&gt;"",$R776,""))))</f>
        <v/>
      </c>
    </row>
    <row r="777" customFormat="false" ht="15" hidden="false" customHeight="false" outlineLevel="0" collapsed="false">
      <c r="A777" s="30" t="str">
        <f aca="false">IF($B777="","","LAN-"&amp;TEXT(ROW()-4,"000000"))</f>
        <v/>
      </c>
      <c r="B777" s="31"/>
      <c r="C777" s="32"/>
      <c r="D777" s="32"/>
      <c r="E777" s="32"/>
      <c r="F777" s="33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4" t="str">
        <f aca="false">IF($B777="","",YEAR($B777))</f>
        <v/>
      </c>
      <c r="U777" s="34" t="str">
        <f aca="false">IF($B777="","",MONTH($B777))</f>
        <v/>
      </c>
      <c r="V777" s="34" t="str">
        <f aca="false">IF($B777="","",YEAR($B777)*100+MONTH($B777))</f>
        <v/>
      </c>
      <c r="W777" s="35" t="str">
        <f aca="false">IF($D777="","",IFERROR(INDEX(MAP_CLASS,MATCH($D777,MAP_TIPO,0)),"TIPO INVALIDO"))</f>
        <v/>
      </c>
      <c r="X777" s="35" t="str">
        <f aca="false">IF($K777="","",IFERROR(INDEX(CAT_NOME,MATCH($K777,CAT_ID,0)),"?"))</f>
        <v/>
      </c>
      <c r="Y777" s="35" t="str">
        <f aca="false">IF($L777="","",IFERROR(INDEX(SUB_NOME,MATCH($L777,SUB_ID,0)),"?"))</f>
        <v/>
      </c>
      <c r="Z777" s="35" t="str">
        <f aca="false">IF($G777="","",IF($G777="EXTERNO","(Externo)",IFERROR(INDEX(ENT_NOME,MATCH($H777,ENT_ID,0)),"?")))</f>
        <v/>
      </c>
      <c r="AA777" s="35" t="str">
        <f aca="false">IF($I777="","",IF($I777="EXTERNO","(Externo)",IFERROR(INDEX(ENT_NOME,MATCH($J777,ENT_ID,0)),"?")))</f>
        <v/>
      </c>
      <c r="AB777" s="36" t="n">
        <f aca="false">IF($B777="",0,IF(AND($I777="CONTA",$G777&lt;&gt;"CONTA"),$F777,0))</f>
        <v>0</v>
      </c>
      <c r="AC777" s="36" t="n">
        <f aca="false">IF($B777="",0,IF(AND($G777="CONTA",$I777&lt;&gt;"CONTA"),$F777,0))</f>
        <v>0</v>
      </c>
      <c r="AD777" s="36" t="n">
        <f aca="false">IF($W777="RECEITA",$F777,0)</f>
        <v>0</v>
      </c>
      <c r="AE777" s="36" t="n">
        <f aca="false">IF($W777="DESPESA",$F777,0)</f>
        <v>0</v>
      </c>
      <c r="AF777" s="36" t="n">
        <f aca="false">IF($W777="RECEITA_FINANCEIRA",$F777,0)</f>
        <v>0</v>
      </c>
      <c r="AG777" s="36" t="n">
        <f aca="false">IF($B777="",0,IF($I777="CONTA",$F777,0)-IF($G777="CONTA",$F777,0))</f>
        <v>0</v>
      </c>
      <c r="AH777" s="36" t="n">
        <f aca="false">IF($B777="",0,IF($G777="CARTAO",$F777,0)-IF($I777="CARTAO",$F777,0))</f>
        <v>0</v>
      </c>
      <c r="AI777" s="36" t="n">
        <f aca="false">IF($B777="",0,IF($I777="INVESTIMENTO",$F777,0)-IF($G777="INVESTIMENTO",$F777,0))</f>
        <v>0</v>
      </c>
      <c r="AJ777" s="35" t="str">
        <f aca="false">IF($B777="","",IF(NOT(ISNUMBER($F777)),"ERRO: valor nao numerico",IF($F777&lt;=0,"ERRO: valor deve ser maior que zero",IF(COUNTIF(MAP_TIPO,$D777)=0,"ERRO: tipo de operacao nao cadastrado",IF(COUNTIF(LST_STATUS,$E777)=0,"ERRO: status invalido",IF(AND($G777="EXTERNO",$I777="EXTERNO"),"ERRO: origem e destino externos",IF(AND($G777&lt;&gt;"EXTERNO",COUNTIFS(ENT_ID,$H777,ENT_TIPO,$G777)=0),"ERRO: origem inexistente",IF(AND($I777&lt;&gt;"EXTERNO",COUNTIFS(ENT_ID,$J777,ENT_TIPO,$I777)=0),"ERRO: destino inexistente",IF(AND($K777&lt;&gt;"",COUNTIF(CAT_ID,$K777)=0),"ERRO: categoria inexistente",IF(AND($L777&lt;&gt;"",COUNTIF(SUB_ID,$L777)=0),"ERRO: subcategoria inexistente",IF(AND($L777&lt;&gt;"",$K777&lt;&gt;"",IFERROR(INDEX(SUB_CATID,MATCH($L777,SUB_ID,0)),"")&lt;&gt;$K777),"ERRO: subcategoria nao pertence a categoria",IF(AND($O777&lt;&gt;"",COUNTIF(P_ID,$O777)=0),"ERRO: parcela inexistente",IF(AND($N777&lt;&gt;"",COUNTIF(CM_ID,$N777)=0),"ERRO: compromisso inexistente","OK")))))))))))))</f>
        <v/>
      </c>
      <c r="AK777" s="35" t="str">
        <f aca="false">IF($B777="","",IF(AND($N777="",$O777="",$P777="",$Q777="",$R777=""),"","VINCULADO: "&amp;TRIM(IF($N777&lt;&gt;"",$N777&amp;" ","")&amp;IF($O777&lt;&gt;"",$O777&amp;" ","")&amp;IF($P777&lt;&gt;"",$P777&amp;" ","")&amp;IF($Q777&lt;&gt;"",$Q777&amp;" ","")&amp;IF($R777&lt;&gt;"",$R777,""))))</f>
        <v/>
      </c>
    </row>
    <row r="778" customFormat="false" ht="15" hidden="false" customHeight="false" outlineLevel="0" collapsed="false">
      <c r="A778" s="30" t="str">
        <f aca="false">IF($B778="","","LAN-"&amp;TEXT(ROW()-4,"000000"))</f>
        <v/>
      </c>
      <c r="B778" s="31"/>
      <c r="C778" s="32"/>
      <c r="D778" s="32"/>
      <c r="E778" s="32"/>
      <c r="F778" s="33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4" t="str">
        <f aca="false">IF($B778="","",YEAR($B778))</f>
        <v/>
      </c>
      <c r="U778" s="34" t="str">
        <f aca="false">IF($B778="","",MONTH($B778))</f>
        <v/>
      </c>
      <c r="V778" s="34" t="str">
        <f aca="false">IF($B778="","",YEAR($B778)*100+MONTH($B778))</f>
        <v/>
      </c>
      <c r="W778" s="35" t="str">
        <f aca="false">IF($D778="","",IFERROR(INDEX(MAP_CLASS,MATCH($D778,MAP_TIPO,0)),"TIPO INVALIDO"))</f>
        <v/>
      </c>
      <c r="X778" s="35" t="str">
        <f aca="false">IF($K778="","",IFERROR(INDEX(CAT_NOME,MATCH($K778,CAT_ID,0)),"?"))</f>
        <v/>
      </c>
      <c r="Y778" s="35" t="str">
        <f aca="false">IF($L778="","",IFERROR(INDEX(SUB_NOME,MATCH($L778,SUB_ID,0)),"?"))</f>
        <v/>
      </c>
      <c r="Z778" s="35" t="str">
        <f aca="false">IF($G778="","",IF($G778="EXTERNO","(Externo)",IFERROR(INDEX(ENT_NOME,MATCH($H778,ENT_ID,0)),"?")))</f>
        <v/>
      </c>
      <c r="AA778" s="35" t="str">
        <f aca="false">IF($I778="","",IF($I778="EXTERNO","(Externo)",IFERROR(INDEX(ENT_NOME,MATCH($J778,ENT_ID,0)),"?")))</f>
        <v/>
      </c>
      <c r="AB778" s="36" t="n">
        <f aca="false">IF($B778="",0,IF(AND($I778="CONTA",$G778&lt;&gt;"CONTA"),$F778,0))</f>
        <v>0</v>
      </c>
      <c r="AC778" s="36" t="n">
        <f aca="false">IF($B778="",0,IF(AND($G778="CONTA",$I778&lt;&gt;"CONTA"),$F778,0))</f>
        <v>0</v>
      </c>
      <c r="AD778" s="36" t="n">
        <f aca="false">IF($W778="RECEITA",$F778,0)</f>
        <v>0</v>
      </c>
      <c r="AE778" s="36" t="n">
        <f aca="false">IF($W778="DESPESA",$F778,0)</f>
        <v>0</v>
      </c>
      <c r="AF778" s="36" t="n">
        <f aca="false">IF($W778="RECEITA_FINANCEIRA",$F778,0)</f>
        <v>0</v>
      </c>
      <c r="AG778" s="36" t="n">
        <f aca="false">IF($B778="",0,IF($I778="CONTA",$F778,0)-IF($G778="CONTA",$F778,0))</f>
        <v>0</v>
      </c>
      <c r="AH778" s="36" t="n">
        <f aca="false">IF($B778="",0,IF($G778="CARTAO",$F778,0)-IF($I778="CARTAO",$F778,0))</f>
        <v>0</v>
      </c>
      <c r="AI778" s="36" t="n">
        <f aca="false">IF($B778="",0,IF($I778="INVESTIMENTO",$F778,0)-IF($G778="INVESTIMENTO",$F778,0))</f>
        <v>0</v>
      </c>
      <c r="AJ778" s="35" t="str">
        <f aca="false">IF($B778="","",IF(NOT(ISNUMBER($F778)),"ERRO: valor nao numerico",IF($F778&lt;=0,"ERRO: valor deve ser maior que zero",IF(COUNTIF(MAP_TIPO,$D778)=0,"ERRO: tipo de operacao nao cadastrado",IF(COUNTIF(LST_STATUS,$E778)=0,"ERRO: status invalido",IF(AND($G778="EXTERNO",$I778="EXTERNO"),"ERRO: origem e destino externos",IF(AND($G778&lt;&gt;"EXTERNO",COUNTIFS(ENT_ID,$H778,ENT_TIPO,$G778)=0),"ERRO: origem inexistente",IF(AND($I778&lt;&gt;"EXTERNO",COUNTIFS(ENT_ID,$J778,ENT_TIPO,$I778)=0),"ERRO: destino inexistente",IF(AND($K778&lt;&gt;"",COUNTIF(CAT_ID,$K778)=0),"ERRO: categoria inexistente",IF(AND($L778&lt;&gt;"",COUNTIF(SUB_ID,$L778)=0),"ERRO: subcategoria inexistente",IF(AND($L778&lt;&gt;"",$K778&lt;&gt;"",IFERROR(INDEX(SUB_CATID,MATCH($L778,SUB_ID,0)),"")&lt;&gt;$K778),"ERRO: subcategoria nao pertence a categoria",IF(AND($O778&lt;&gt;"",COUNTIF(P_ID,$O778)=0),"ERRO: parcela inexistente",IF(AND($N778&lt;&gt;"",COUNTIF(CM_ID,$N778)=0),"ERRO: compromisso inexistente","OK")))))))))))))</f>
        <v/>
      </c>
      <c r="AK778" s="35" t="str">
        <f aca="false">IF($B778="","",IF(AND($N778="",$O778="",$P778="",$Q778="",$R778=""),"","VINCULADO: "&amp;TRIM(IF($N778&lt;&gt;"",$N778&amp;" ","")&amp;IF($O778&lt;&gt;"",$O778&amp;" ","")&amp;IF($P778&lt;&gt;"",$P778&amp;" ","")&amp;IF($Q778&lt;&gt;"",$Q778&amp;" ","")&amp;IF($R778&lt;&gt;"",$R778,""))))</f>
        <v/>
      </c>
    </row>
    <row r="779" customFormat="false" ht="15" hidden="false" customHeight="false" outlineLevel="0" collapsed="false">
      <c r="A779" s="30" t="str">
        <f aca="false">IF($B779="","","LAN-"&amp;TEXT(ROW()-4,"000000"))</f>
        <v/>
      </c>
      <c r="B779" s="31"/>
      <c r="C779" s="32"/>
      <c r="D779" s="32"/>
      <c r="E779" s="32"/>
      <c r="F779" s="33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4" t="str">
        <f aca="false">IF($B779="","",YEAR($B779))</f>
        <v/>
      </c>
      <c r="U779" s="34" t="str">
        <f aca="false">IF($B779="","",MONTH($B779))</f>
        <v/>
      </c>
      <c r="V779" s="34" t="str">
        <f aca="false">IF($B779="","",YEAR($B779)*100+MONTH($B779))</f>
        <v/>
      </c>
      <c r="W779" s="35" t="str">
        <f aca="false">IF($D779="","",IFERROR(INDEX(MAP_CLASS,MATCH($D779,MAP_TIPO,0)),"TIPO INVALIDO"))</f>
        <v/>
      </c>
      <c r="X779" s="35" t="str">
        <f aca="false">IF($K779="","",IFERROR(INDEX(CAT_NOME,MATCH($K779,CAT_ID,0)),"?"))</f>
        <v/>
      </c>
      <c r="Y779" s="35" t="str">
        <f aca="false">IF($L779="","",IFERROR(INDEX(SUB_NOME,MATCH($L779,SUB_ID,0)),"?"))</f>
        <v/>
      </c>
      <c r="Z779" s="35" t="str">
        <f aca="false">IF($G779="","",IF($G779="EXTERNO","(Externo)",IFERROR(INDEX(ENT_NOME,MATCH($H779,ENT_ID,0)),"?")))</f>
        <v/>
      </c>
      <c r="AA779" s="35" t="str">
        <f aca="false">IF($I779="","",IF($I779="EXTERNO","(Externo)",IFERROR(INDEX(ENT_NOME,MATCH($J779,ENT_ID,0)),"?")))</f>
        <v/>
      </c>
      <c r="AB779" s="36" t="n">
        <f aca="false">IF($B779="",0,IF(AND($I779="CONTA",$G779&lt;&gt;"CONTA"),$F779,0))</f>
        <v>0</v>
      </c>
      <c r="AC779" s="36" t="n">
        <f aca="false">IF($B779="",0,IF(AND($G779="CONTA",$I779&lt;&gt;"CONTA"),$F779,0))</f>
        <v>0</v>
      </c>
      <c r="AD779" s="36" t="n">
        <f aca="false">IF($W779="RECEITA",$F779,0)</f>
        <v>0</v>
      </c>
      <c r="AE779" s="36" t="n">
        <f aca="false">IF($W779="DESPESA",$F779,0)</f>
        <v>0</v>
      </c>
      <c r="AF779" s="36" t="n">
        <f aca="false">IF($W779="RECEITA_FINANCEIRA",$F779,0)</f>
        <v>0</v>
      </c>
      <c r="AG779" s="36" t="n">
        <f aca="false">IF($B779="",0,IF($I779="CONTA",$F779,0)-IF($G779="CONTA",$F779,0))</f>
        <v>0</v>
      </c>
      <c r="AH779" s="36" t="n">
        <f aca="false">IF($B779="",0,IF($G779="CARTAO",$F779,0)-IF($I779="CARTAO",$F779,0))</f>
        <v>0</v>
      </c>
      <c r="AI779" s="36" t="n">
        <f aca="false">IF($B779="",0,IF($I779="INVESTIMENTO",$F779,0)-IF($G779="INVESTIMENTO",$F779,0))</f>
        <v>0</v>
      </c>
      <c r="AJ779" s="35" t="str">
        <f aca="false">IF($B779="","",IF(NOT(ISNUMBER($F779)),"ERRO: valor nao numerico",IF($F779&lt;=0,"ERRO: valor deve ser maior que zero",IF(COUNTIF(MAP_TIPO,$D779)=0,"ERRO: tipo de operacao nao cadastrado",IF(COUNTIF(LST_STATUS,$E779)=0,"ERRO: status invalido",IF(AND($G779="EXTERNO",$I779="EXTERNO"),"ERRO: origem e destino externos",IF(AND($G779&lt;&gt;"EXTERNO",COUNTIFS(ENT_ID,$H779,ENT_TIPO,$G779)=0),"ERRO: origem inexistente",IF(AND($I779&lt;&gt;"EXTERNO",COUNTIFS(ENT_ID,$J779,ENT_TIPO,$I779)=0),"ERRO: destino inexistente",IF(AND($K779&lt;&gt;"",COUNTIF(CAT_ID,$K779)=0),"ERRO: categoria inexistente",IF(AND($L779&lt;&gt;"",COUNTIF(SUB_ID,$L779)=0),"ERRO: subcategoria inexistente",IF(AND($L779&lt;&gt;"",$K779&lt;&gt;"",IFERROR(INDEX(SUB_CATID,MATCH($L779,SUB_ID,0)),"")&lt;&gt;$K779),"ERRO: subcategoria nao pertence a categoria",IF(AND($O779&lt;&gt;"",COUNTIF(P_ID,$O779)=0),"ERRO: parcela inexistente",IF(AND($N779&lt;&gt;"",COUNTIF(CM_ID,$N779)=0),"ERRO: compromisso inexistente","OK")))))))))))))</f>
        <v/>
      </c>
      <c r="AK779" s="35" t="str">
        <f aca="false">IF($B779="","",IF(AND($N779="",$O779="",$P779="",$Q779="",$R779=""),"","VINCULADO: "&amp;TRIM(IF($N779&lt;&gt;"",$N779&amp;" ","")&amp;IF($O779&lt;&gt;"",$O779&amp;" ","")&amp;IF($P779&lt;&gt;"",$P779&amp;" ","")&amp;IF($Q779&lt;&gt;"",$Q779&amp;" ","")&amp;IF($R779&lt;&gt;"",$R779,""))))</f>
        <v/>
      </c>
    </row>
    <row r="780" customFormat="false" ht="15" hidden="false" customHeight="false" outlineLevel="0" collapsed="false">
      <c r="A780" s="30" t="str">
        <f aca="false">IF($B780="","","LAN-"&amp;TEXT(ROW()-4,"000000"))</f>
        <v/>
      </c>
      <c r="B780" s="31"/>
      <c r="C780" s="32"/>
      <c r="D780" s="32"/>
      <c r="E780" s="32"/>
      <c r="F780" s="33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4" t="str">
        <f aca="false">IF($B780="","",YEAR($B780))</f>
        <v/>
      </c>
      <c r="U780" s="34" t="str">
        <f aca="false">IF($B780="","",MONTH($B780))</f>
        <v/>
      </c>
      <c r="V780" s="34" t="str">
        <f aca="false">IF($B780="","",YEAR($B780)*100+MONTH($B780))</f>
        <v/>
      </c>
      <c r="W780" s="35" t="str">
        <f aca="false">IF($D780="","",IFERROR(INDEX(MAP_CLASS,MATCH($D780,MAP_TIPO,0)),"TIPO INVALIDO"))</f>
        <v/>
      </c>
      <c r="X780" s="35" t="str">
        <f aca="false">IF($K780="","",IFERROR(INDEX(CAT_NOME,MATCH($K780,CAT_ID,0)),"?"))</f>
        <v/>
      </c>
      <c r="Y780" s="35" t="str">
        <f aca="false">IF($L780="","",IFERROR(INDEX(SUB_NOME,MATCH($L780,SUB_ID,0)),"?"))</f>
        <v/>
      </c>
      <c r="Z780" s="35" t="str">
        <f aca="false">IF($G780="","",IF($G780="EXTERNO","(Externo)",IFERROR(INDEX(ENT_NOME,MATCH($H780,ENT_ID,0)),"?")))</f>
        <v/>
      </c>
      <c r="AA780" s="35" t="str">
        <f aca="false">IF($I780="","",IF($I780="EXTERNO","(Externo)",IFERROR(INDEX(ENT_NOME,MATCH($J780,ENT_ID,0)),"?")))</f>
        <v/>
      </c>
      <c r="AB780" s="36" t="n">
        <f aca="false">IF($B780="",0,IF(AND($I780="CONTA",$G780&lt;&gt;"CONTA"),$F780,0))</f>
        <v>0</v>
      </c>
      <c r="AC780" s="36" t="n">
        <f aca="false">IF($B780="",0,IF(AND($G780="CONTA",$I780&lt;&gt;"CONTA"),$F780,0))</f>
        <v>0</v>
      </c>
      <c r="AD780" s="36" t="n">
        <f aca="false">IF($W780="RECEITA",$F780,0)</f>
        <v>0</v>
      </c>
      <c r="AE780" s="36" t="n">
        <f aca="false">IF($W780="DESPESA",$F780,0)</f>
        <v>0</v>
      </c>
      <c r="AF780" s="36" t="n">
        <f aca="false">IF($W780="RECEITA_FINANCEIRA",$F780,0)</f>
        <v>0</v>
      </c>
      <c r="AG780" s="36" t="n">
        <f aca="false">IF($B780="",0,IF($I780="CONTA",$F780,0)-IF($G780="CONTA",$F780,0))</f>
        <v>0</v>
      </c>
      <c r="AH780" s="36" t="n">
        <f aca="false">IF($B780="",0,IF($G780="CARTAO",$F780,0)-IF($I780="CARTAO",$F780,0))</f>
        <v>0</v>
      </c>
      <c r="AI780" s="36" t="n">
        <f aca="false">IF($B780="",0,IF($I780="INVESTIMENTO",$F780,0)-IF($G780="INVESTIMENTO",$F780,0))</f>
        <v>0</v>
      </c>
      <c r="AJ780" s="35" t="str">
        <f aca="false">IF($B780="","",IF(NOT(ISNUMBER($F780)),"ERRO: valor nao numerico",IF($F780&lt;=0,"ERRO: valor deve ser maior que zero",IF(COUNTIF(MAP_TIPO,$D780)=0,"ERRO: tipo de operacao nao cadastrado",IF(COUNTIF(LST_STATUS,$E780)=0,"ERRO: status invalido",IF(AND($G780="EXTERNO",$I780="EXTERNO"),"ERRO: origem e destino externos",IF(AND($G780&lt;&gt;"EXTERNO",COUNTIFS(ENT_ID,$H780,ENT_TIPO,$G780)=0),"ERRO: origem inexistente",IF(AND($I780&lt;&gt;"EXTERNO",COUNTIFS(ENT_ID,$J780,ENT_TIPO,$I780)=0),"ERRO: destino inexistente",IF(AND($K780&lt;&gt;"",COUNTIF(CAT_ID,$K780)=0),"ERRO: categoria inexistente",IF(AND($L780&lt;&gt;"",COUNTIF(SUB_ID,$L780)=0),"ERRO: subcategoria inexistente",IF(AND($L780&lt;&gt;"",$K780&lt;&gt;"",IFERROR(INDEX(SUB_CATID,MATCH($L780,SUB_ID,0)),"")&lt;&gt;$K780),"ERRO: subcategoria nao pertence a categoria",IF(AND($O780&lt;&gt;"",COUNTIF(P_ID,$O780)=0),"ERRO: parcela inexistente",IF(AND($N780&lt;&gt;"",COUNTIF(CM_ID,$N780)=0),"ERRO: compromisso inexistente","OK")))))))))))))</f>
        <v/>
      </c>
      <c r="AK780" s="35" t="str">
        <f aca="false">IF($B780="","",IF(AND($N780="",$O780="",$P780="",$Q780="",$R780=""),"","VINCULADO: "&amp;TRIM(IF($N780&lt;&gt;"",$N780&amp;" ","")&amp;IF($O780&lt;&gt;"",$O780&amp;" ","")&amp;IF($P780&lt;&gt;"",$P780&amp;" ","")&amp;IF($Q780&lt;&gt;"",$Q780&amp;" ","")&amp;IF($R780&lt;&gt;"",$R780,""))))</f>
        <v/>
      </c>
    </row>
    <row r="781" customFormat="false" ht="15" hidden="false" customHeight="false" outlineLevel="0" collapsed="false">
      <c r="A781" s="30" t="str">
        <f aca="false">IF($B781="","","LAN-"&amp;TEXT(ROW()-4,"000000"))</f>
        <v/>
      </c>
      <c r="B781" s="31"/>
      <c r="C781" s="32"/>
      <c r="D781" s="32"/>
      <c r="E781" s="32"/>
      <c r="F781" s="33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4" t="str">
        <f aca="false">IF($B781="","",YEAR($B781))</f>
        <v/>
      </c>
      <c r="U781" s="34" t="str">
        <f aca="false">IF($B781="","",MONTH($B781))</f>
        <v/>
      </c>
      <c r="V781" s="34" t="str">
        <f aca="false">IF($B781="","",YEAR($B781)*100+MONTH($B781))</f>
        <v/>
      </c>
      <c r="W781" s="35" t="str">
        <f aca="false">IF($D781="","",IFERROR(INDEX(MAP_CLASS,MATCH($D781,MAP_TIPO,0)),"TIPO INVALIDO"))</f>
        <v/>
      </c>
      <c r="X781" s="35" t="str">
        <f aca="false">IF($K781="","",IFERROR(INDEX(CAT_NOME,MATCH($K781,CAT_ID,0)),"?"))</f>
        <v/>
      </c>
      <c r="Y781" s="35" t="str">
        <f aca="false">IF($L781="","",IFERROR(INDEX(SUB_NOME,MATCH($L781,SUB_ID,0)),"?"))</f>
        <v/>
      </c>
      <c r="Z781" s="35" t="str">
        <f aca="false">IF($G781="","",IF($G781="EXTERNO","(Externo)",IFERROR(INDEX(ENT_NOME,MATCH($H781,ENT_ID,0)),"?")))</f>
        <v/>
      </c>
      <c r="AA781" s="35" t="str">
        <f aca="false">IF($I781="","",IF($I781="EXTERNO","(Externo)",IFERROR(INDEX(ENT_NOME,MATCH($J781,ENT_ID,0)),"?")))</f>
        <v/>
      </c>
      <c r="AB781" s="36" t="n">
        <f aca="false">IF($B781="",0,IF(AND($I781="CONTA",$G781&lt;&gt;"CONTA"),$F781,0))</f>
        <v>0</v>
      </c>
      <c r="AC781" s="36" t="n">
        <f aca="false">IF($B781="",0,IF(AND($G781="CONTA",$I781&lt;&gt;"CONTA"),$F781,0))</f>
        <v>0</v>
      </c>
      <c r="AD781" s="36" t="n">
        <f aca="false">IF($W781="RECEITA",$F781,0)</f>
        <v>0</v>
      </c>
      <c r="AE781" s="36" t="n">
        <f aca="false">IF($W781="DESPESA",$F781,0)</f>
        <v>0</v>
      </c>
      <c r="AF781" s="36" t="n">
        <f aca="false">IF($W781="RECEITA_FINANCEIRA",$F781,0)</f>
        <v>0</v>
      </c>
      <c r="AG781" s="36" t="n">
        <f aca="false">IF($B781="",0,IF($I781="CONTA",$F781,0)-IF($G781="CONTA",$F781,0))</f>
        <v>0</v>
      </c>
      <c r="AH781" s="36" t="n">
        <f aca="false">IF($B781="",0,IF($G781="CARTAO",$F781,0)-IF($I781="CARTAO",$F781,0))</f>
        <v>0</v>
      </c>
      <c r="AI781" s="36" t="n">
        <f aca="false">IF($B781="",0,IF($I781="INVESTIMENTO",$F781,0)-IF($G781="INVESTIMENTO",$F781,0))</f>
        <v>0</v>
      </c>
      <c r="AJ781" s="35" t="str">
        <f aca="false">IF($B781="","",IF(NOT(ISNUMBER($F781)),"ERRO: valor nao numerico",IF($F781&lt;=0,"ERRO: valor deve ser maior que zero",IF(COUNTIF(MAP_TIPO,$D781)=0,"ERRO: tipo de operacao nao cadastrado",IF(COUNTIF(LST_STATUS,$E781)=0,"ERRO: status invalido",IF(AND($G781="EXTERNO",$I781="EXTERNO"),"ERRO: origem e destino externos",IF(AND($G781&lt;&gt;"EXTERNO",COUNTIFS(ENT_ID,$H781,ENT_TIPO,$G781)=0),"ERRO: origem inexistente",IF(AND($I781&lt;&gt;"EXTERNO",COUNTIFS(ENT_ID,$J781,ENT_TIPO,$I781)=0),"ERRO: destino inexistente",IF(AND($K781&lt;&gt;"",COUNTIF(CAT_ID,$K781)=0),"ERRO: categoria inexistente",IF(AND($L781&lt;&gt;"",COUNTIF(SUB_ID,$L781)=0),"ERRO: subcategoria inexistente",IF(AND($L781&lt;&gt;"",$K781&lt;&gt;"",IFERROR(INDEX(SUB_CATID,MATCH($L781,SUB_ID,0)),"")&lt;&gt;$K781),"ERRO: subcategoria nao pertence a categoria",IF(AND($O781&lt;&gt;"",COUNTIF(P_ID,$O781)=0),"ERRO: parcela inexistente",IF(AND($N781&lt;&gt;"",COUNTIF(CM_ID,$N781)=0),"ERRO: compromisso inexistente","OK")))))))))))))</f>
        <v/>
      </c>
      <c r="AK781" s="35" t="str">
        <f aca="false">IF($B781="","",IF(AND($N781="",$O781="",$P781="",$Q781="",$R781=""),"","VINCULADO: "&amp;TRIM(IF($N781&lt;&gt;"",$N781&amp;" ","")&amp;IF($O781&lt;&gt;"",$O781&amp;" ","")&amp;IF($P781&lt;&gt;"",$P781&amp;" ","")&amp;IF($Q781&lt;&gt;"",$Q781&amp;" ","")&amp;IF($R781&lt;&gt;"",$R781,""))))</f>
        <v/>
      </c>
    </row>
    <row r="782" customFormat="false" ht="15" hidden="false" customHeight="false" outlineLevel="0" collapsed="false">
      <c r="A782" s="30" t="str">
        <f aca="false">IF($B782="","","LAN-"&amp;TEXT(ROW()-4,"000000"))</f>
        <v/>
      </c>
      <c r="B782" s="31"/>
      <c r="C782" s="32"/>
      <c r="D782" s="32"/>
      <c r="E782" s="32"/>
      <c r="F782" s="33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4" t="str">
        <f aca="false">IF($B782="","",YEAR($B782))</f>
        <v/>
      </c>
      <c r="U782" s="34" t="str">
        <f aca="false">IF($B782="","",MONTH($B782))</f>
        <v/>
      </c>
      <c r="V782" s="34" t="str">
        <f aca="false">IF($B782="","",YEAR($B782)*100+MONTH($B782))</f>
        <v/>
      </c>
      <c r="W782" s="35" t="str">
        <f aca="false">IF($D782="","",IFERROR(INDEX(MAP_CLASS,MATCH($D782,MAP_TIPO,0)),"TIPO INVALIDO"))</f>
        <v/>
      </c>
      <c r="X782" s="35" t="str">
        <f aca="false">IF($K782="","",IFERROR(INDEX(CAT_NOME,MATCH($K782,CAT_ID,0)),"?"))</f>
        <v/>
      </c>
      <c r="Y782" s="35" t="str">
        <f aca="false">IF($L782="","",IFERROR(INDEX(SUB_NOME,MATCH($L782,SUB_ID,0)),"?"))</f>
        <v/>
      </c>
      <c r="Z782" s="35" t="str">
        <f aca="false">IF($G782="","",IF($G782="EXTERNO","(Externo)",IFERROR(INDEX(ENT_NOME,MATCH($H782,ENT_ID,0)),"?")))</f>
        <v/>
      </c>
      <c r="AA782" s="35" t="str">
        <f aca="false">IF($I782="","",IF($I782="EXTERNO","(Externo)",IFERROR(INDEX(ENT_NOME,MATCH($J782,ENT_ID,0)),"?")))</f>
        <v/>
      </c>
      <c r="AB782" s="36" t="n">
        <f aca="false">IF($B782="",0,IF(AND($I782="CONTA",$G782&lt;&gt;"CONTA"),$F782,0))</f>
        <v>0</v>
      </c>
      <c r="AC782" s="36" t="n">
        <f aca="false">IF($B782="",0,IF(AND($G782="CONTA",$I782&lt;&gt;"CONTA"),$F782,0))</f>
        <v>0</v>
      </c>
      <c r="AD782" s="36" t="n">
        <f aca="false">IF($W782="RECEITA",$F782,0)</f>
        <v>0</v>
      </c>
      <c r="AE782" s="36" t="n">
        <f aca="false">IF($W782="DESPESA",$F782,0)</f>
        <v>0</v>
      </c>
      <c r="AF782" s="36" t="n">
        <f aca="false">IF($W782="RECEITA_FINANCEIRA",$F782,0)</f>
        <v>0</v>
      </c>
      <c r="AG782" s="36" t="n">
        <f aca="false">IF($B782="",0,IF($I782="CONTA",$F782,0)-IF($G782="CONTA",$F782,0))</f>
        <v>0</v>
      </c>
      <c r="AH782" s="36" t="n">
        <f aca="false">IF($B782="",0,IF($G782="CARTAO",$F782,0)-IF($I782="CARTAO",$F782,0))</f>
        <v>0</v>
      </c>
      <c r="AI782" s="36" t="n">
        <f aca="false">IF($B782="",0,IF($I782="INVESTIMENTO",$F782,0)-IF($G782="INVESTIMENTO",$F782,0))</f>
        <v>0</v>
      </c>
      <c r="AJ782" s="35" t="str">
        <f aca="false">IF($B782="","",IF(NOT(ISNUMBER($F782)),"ERRO: valor nao numerico",IF($F782&lt;=0,"ERRO: valor deve ser maior que zero",IF(COUNTIF(MAP_TIPO,$D782)=0,"ERRO: tipo de operacao nao cadastrado",IF(COUNTIF(LST_STATUS,$E782)=0,"ERRO: status invalido",IF(AND($G782="EXTERNO",$I782="EXTERNO"),"ERRO: origem e destino externos",IF(AND($G782&lt;&gt;"EXTERNO",COUNTIFS(ENT_ID,$H782,ENT_TIPO,$G782)=0),"ERRO: origem inexistente",IF(AND($I782&lt;&gt;"EXTERNO",COUNTIFS(ENT_ID,$J782,ENT_TIPO,$I782)=0),"ERRO: destino inexistente",IF(AND($K782&lt;&gt;"",COUNTIF(CAT_ID,$K782)=0),"ERRO: categoria inexistente",IF(AND($L782&lt;&gt;"",COUNTIF(SUB_ID,$L782)=0),"ERRO: subcategoria inexistente",IF(AND($L782&lt;&gt;"",$K782&lt;&gt;"",IFERROR(INDEX(SUB_CATID,MATCH($L782,SUB_ID,0)),"")&lt;&gt;$K782),"ERRO: subcategoria nao pertence a categoria",IF(AND($O782&lt;&gt;"",COUNTIF(P_ID,$O782)=0),"ERRO: parcela inexistente",IF(AND($N782&lt;&gt;"",COUNTIF(CM_ID,$N782)=0),"ERRO: compromisso inexistente","OK")))))))))))))</f>
        <v/>
      </c>
      <c r="AK782" s="35" t="str">
        <f aca="false">IF($B782="","",IF(AND($N782="",$O782="",$P782="",$Q782="",$R782=""),"","VINCULADO: "&amp;TRIM(IF($N782&lt;&gt;"",$N782&amp;" ","")&amp;IF($O782&lt;&gt;"",$O782&amp;" ","")&amp;IF($P782&lt;&gt;"",$P782&amp;" ","")&amp;IF($Q782&lt;&gt;"",$Q782&amp;" ","")&amp;IF($R782&lt;&gt;"",$R782,""))))</f>
        <v/>
      </c>
    </row>
    <row r="783" customFormat="false" ht="15" hidden="false" customHeight="false" outlineLevel="0" collapsed="false">
      <c r="A783" s="30" t="str">
        <f aca="false">IF($B783="","","LAN-"&amp;TEXT(ROW()-4,"000000"))</f>
        <v/>
      </c>
      <c r="B783" s="31"/>
      <c r="C783" s="32"/>
      <c r="D783" s="32"/>
      <c r="E783" s="32"/>
      <c r="F783" s="33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4" t="str">
        <f aca="false">IF($B783="","",YEAR($B783))</f>
        <v/>
      </c>
      <c r="U783" s="34" t="str">
        <f aca="false">IF($B783="","",MONTH($B783))</f>
        <v/>
      </c>
      <c r="V783" s="34" t="str">
        <f aca="false">IF($B783="","",YEAR($B783)*100+MONTH($B783))</f>
        <v/>
      </c>
      <c r="W783" s="35" t="str">
        <f aca="false">IF($D783="","",IFERROR(INDEX(MAP_CLASS,MATCH($D783,MAP_TIPO,0)),"TIPO INVALIDO"))</f>
        <v/>
      </c>
      <c r="X783" s="35" t="str">
        <f aca="false">IF($K783="","",IFERROR(INDEX(CAT_NOME,MATCH($K783,CAT_ID,0)),"?"))</f>
        <v/>
      </c>
      <c r="Y783" s="35" t="str">
        <f aca="false">IF($L783="","",IFERROR(INDEX(SUB_NOME,MATCH($L783,SUB_ID,0)),"?"))</f>
        <v/>
      </c>
      <c r="Z783" s="35" t="str">
        <f aca="false">IF($G783="","",IF($G783="EXTERNO","(Externo)",IFERROR(INDEX(ENT_NOME,MATCH($H783,ENT_ID,0)),"?")))</f>
        <v/>
      </c>
      <c r="AA783" s="35" t="str">
        <f aca="false">IF($I783="","",IF($I783="EXTERNO","(Externo)",IFERROR(INDEX(ENT_NOME,MATCH($J783,ENT_ID,0)),"?")))</f>
        <v/>
      </c>
      <c r="AB783" s="36" t="n">
        <f aca="false">IF($B783="",0,IF(AND($I783="CONTA",$G783&lt;&gt;"CONTA"),$F783,0))</f>
        <v>0</v>
      </c>
      <c r="AC783" s="36" t="n">
        <f aca="false">IF($B783="",0,IF(AND($G783="CONTA",$I783&lt;&gt;"CONTA"),$F783,0))</f>
        <v>0</v>
      </c>
      <c r="AD783" s="36" t="n">
        <f aca="false">IF($W783="RECEITA",$F783,0)</f>
        <v>0</v>
      </c>
      <c r="AE783" s="36" t="n">
        <f aca="false">IF($W783="DESPESA",$F783,0)</f>
        <v>0</v>
      </c>
      <c r="AF783" s="36" t="n">
        <f aca="false">IF($W783="RECEITA_FINANCEIRA",$F783,0)</f>
        <v>0</v>
      </c>
      <c r="AG783" s="36" t="n">
        <f aca="false">IF($B783="",0,IF($I783="CONTA",$F783,0)-IF($G783="CONTA",$F783,0))</f>
        <v>0</v>
      </c>
      <c r="AH783" s="36" t="n">
        <f aca="false">IF($B783="",0,IF($G783="CARTAO",$F783,0)-IF($I783="CARTAO",$F783,0))</f>
        <v>0</v>
      </c>
      <c r="AI783" s="36" t="n">
        <f aca="false">IF($B783="",0,IF($I783="INVESTIMENTO",$F783,0)-IF($G783="INVESTIMENTO",$F783,0))</f>
        <v>0</v>
      </c>
      <c r="AJ783" s="35" t="str">
        <f aca="false">IF($B783="","",IF(NOT(ISNUMBER($F783)),"ERRO: valor nao numerico",IF($F783&lt;=0,"ERRO: valor deve ser maior que zero",IF(COUNTIF(MAP_TIPO,$D783)=0,"ERRO: tipo de operacao nao cadastrado",IF(COUNTIF(LST_STATUS,$E783)=0,"ERRO: status invalido",IF(AND($G783="EXTERNO",$I783="EXTERNO"),"ERRO: origem e destino externos",IF(AND($G783&lt;&gt;"EXTERNO",COUNTIFS(ENT_ID,$H783,ENT_TIPO,$G783)=0),"ERRO: origem inexistente",IF(AND($I783&lt;&gt;"EXTERNO",COUNTIFS(ENT_ID,$J783,ENT_TIPO,$I783)=0),"ERRO: destino inexistente",IF(AND($K783&lt;&gt;"",COUNTIF(CAT_ID,$K783)=0),"ERRO: categoria inexistente",IF(AND($L783&lt;&gt;"",COUNTIF(SUB_ID,$L783)=0),"ERRO: subcategoria inexistente",IF(AND($L783&lt;&gt;"",$K783&lt;&gt;"",IFERROR(INDEX(SUB_CATID,MATCH($L783,SUB_ID,0)),"")&lt;&gt;$K783),"ERRO: subcategoria nao pertence a categoria",IF(AND($O783&lt;&gt;"",COUNTIF(P_ID,$O783)=0),"ERRO: parcela inexistente",IF(AND($N783&lt;&gt;"",COUNTIF(CM_ID,$N783)=0),"ERRO: compromisso inexistente","OK")))))))))))))</f>
        <v/>
      </c>
      <c r="AK783" s="35" t="str">
        <f aca="false">IF($B783="","",IF(AND($N783="",$O783="",$P783="",$Q783="",$R783=""),"","VINCULADO: "&amp;TRIM(IF($N783&lt;&gt;"",$N783&amp;" ","")&amp;IF($O783&lt;&gt;"",$O783&amp;" ","")&amp;IF($P783&lt;&gt;"",$P783&amp;" ","")&amp;IF($Q783&lt;&gt;"",$Q783&amp;" ","")&amp;IF($R783&lt;&gt;"",$R783,""))))</f>
        <v/>
      </c>
    </row>
    <row r="784" customFormat="false" ht="15" hidden="false" customHeight="false" outlineLevel="0" collapsed="false">
      <c r="A784" s="30" t="str">
        <f aca="false">IF($B784="","","LAN-"&amp;TEXT(ROW()-4,"000000"))</f>
        <v/>
      </c>
      <c r="B784" s="31"/>
      <c r="C784" s="32"/>
      <c r="D784" s="32"/>
      <c r="E784" s="32"/>
      <c r="F784" s="33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4" t="str">
        <f aca="false">IF($B784="","",YEAR($B784))</f>
        <v/>
      </c>
      <c r="U784" s="34" t="str">
        <f aca="false">IF($B784="","",MONTH($B784))</f>
        <v/>
      </c>
      <c r="V784" s="34" t="str">
        <f aca="false">IF($B784="","",YEAR($B784)*100+MONTH($B784))</f>
        <v/>
      </c>
      <c r="W784" s="35" t="str">
        <f aca="false">IF($D784="","",IFERROR(INDEX(MAP_CLASS,MATCH($D784,MAP_TIPO,0)),"TIPO INVALIDO"))</f>
        <v/>
      </c>
      <c r="X784" s="35" t="str">
        <f aca="false">IF($K784="","",IFERROR(INDEX(CAT_NOME,MATCH($K784,CAT_ID,0)),"?"))</f>
        <v/>
      </c>
      <c r="Y784" s="35" t="str">
        <f aca="false">IF($L784="","",IFERROR(INDEX(SUB_NOME,MATCH($L784,SUB_ID,0)),"?"))</f>
        <v/>
      </c>
      <c r="Z784" s="35" t="str">
        <f aca="false">IF($G784="","",IF($G784="EXTERNO","(Externo)",IFERROR(INDEX(ENT_NOME,MATCH($H784,ENT_ID,0)),"?")))</f>
        <v/>
      </c>
      <c r="AA784" s="35" t="str">
        <f aca="false">IF($I784="","",IF($I784="EXTERNO","(Externo)",IFERROR(INDEX(ENT_NOME,MATCH($J784,ENT_ID,0)),"?")))</f>
        <v/>
      </c>
      <c r="AB784" s="36" t="n">
        <f aca="false">IF($B784="",0,IF(AND($I784="CONTA",$G784&lt;&gt;"CONTA"),$F784,0))</f>
        <v>0</v>
      </c>
      <c r="AC784" s="36" t="n">
        <f aca="false">IF($B784="",0,IF(AND($G784="CONTA",$I784&lt;&gt;"CONTA"),$F784,0))</f>
        <v>0</v>
      </c>
      <c r="AD784" s="36" t="n">
        <f aca="false">IF($W784="RECEITA",$F784,0)</f>
        <v>0</v>
      </c>
      <c r="AE784" s="36" t="n">
        <f aca="false">IF($W784="DESPESA",$F784,0)</f>
        <v>0</v>
      </c>
      <c r="AF784" s="36" t="n">
        <f aca="false">IF($W784="RECEITA_FINANCEIRA",$F784,0)</f>
        <v>0</v>
      </c>
      <c r="AG784" s="36" t="n">
        <f aca="false">IF($B784="",0,IF($I784="CONTA",$F784,0)-IF($G784="CONTA",$F784,0))</f>
        <v>0</v>
      </c>
      <c r="AH784" s="36" t="n">
        <f aca="false">IF($B784="",0,IF($G784="CARTAO",$F784,0)-IF($I784="CARTAO",$F784,0))</f>
        <v>0</v>
      </c>
      <c r="AI784" s="36" t="n">
        <f aca="false">IF($B784="",0,IF($I784="INVESTIMENTO",$F784,0)-IF($G784="INVESTIMENTO",$F784,0))</f>
        <v>0</v>
      </c>
      <c r="AJ784" s="35" t="str">
        <f aca="false">IF($B784="","",IF(NOT(ISNUMBER($F784)),"ERRO: valor nao numerico",IF($F784&lt;=0,"ERRO: valor deve ser maior que zero",IF(COUNTIF(MAP_TIPO,$D784)=0,"ERRO: tipo de operacao nao cadastrado",IF(COUNTIF(LST_STATUS,$E784)=0,"ERRO: status invalido",IF(AND($G784="EXTERNO",$I784="EXTERNO"),"ERRO: origem e destino externos",IF(AND($G784&lt;&gt;"EXTERNO",COUNTIFS(ENT_ID,$H784,ENT_TIPO,$G784)=0),"ERRO: origem inexistente",IF(AND($I784&lt;&gt;"EXTERNO",COUNTIFS(ENT_ID,$J784,ENT_TIPO,$I784)=0),"ERRO: destino inexistente",IF(AND($K784&lt;&gt;"",COUNTIF(CAT_ID,$K784)=0),"ERRO: categoria inexistente",IF(AND($L784&lt;&gt;"",COUNTIF(SUB_ID,$L784)=0),"ERRO: subcategoria inexistente",IF(AND($L784&lt;&gt;"",$K784&lt;&gt;"",IFERROR(INDEX(SUB_CATID,MATCH($L784,SUB_ID,0)),"")&lt;&gt;$K784),"ERRO: subcategoria nao pertence a categoria",IF(AND($O784&lt;&gt;"",COUNTIF(P_ID,$O784)=0),"ERRO: parcela inexistente",IF(AND($N784&lt;&gt;"",COUNTIF(CM_ID,$N784)=0),"ERRO: compromisso inexistente","OK")))))))))))))</f>
        <v/>
      </c>
      <c r="AK784" s="35" t="str">
        <f aca="false">IF($B784="","",IF(AND($N784="",$O784="",$P784="",$Q784="",$R784=""),"","VINCULADO: "&amp;TRIM(IF($N784&lt;&gt;"",$N784&amp;" ","")&amp;IF($O784&lt;&gt;"",$O784&amp;" ","")&amp;IF($P784&lt;&gt;"",$P784&amp;" ","")&amp;IF($Q784&lt;&gt;"",$Q784&amp;" ","")&amp;IF($R784&lt;&gt;"",$R784,""))))</f>
        <v/>
      </c>
    </row>
    <row r="785" customFormat="false" ht="15" hidden="false" customHeight="false" outlineLevel="0" collapsed="false">
      <c r="A785" s="30" t="str">
        <f aca="false">IF($B785="","","LAN-"&amp;TEXT(ROW()-4,"000000"))</f>
        <v/>
      </c>
      <c r="B785" s="31"/>
      <c r="C785" s="32"/>
      <c r="D785" s="32"/>
      <c r="E785" s="32"/>
      <c r="F785" s="33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4" t="str">
        <f aca="false">IF($B785="","",YEAR($B785))</f>
        <v/>
      </c>
      <c r="U785" s="34" t="str">
        <f aca="false">IF($B785="","",MONTH($B785))</f>
        <v/>
      </c>
      <c r="V785" s="34" t="str">
        <f aca="false">IF($B785="","",YEAR($B785)*100+MONTH($B785))</f>
        <v/>
      </c>
      <c r="W785" s="35" t="str">
        <f aca="false">IF($D785="","",IFERROR(INDEX(MAP_CLASS,MATCH($D785,MAP_TIPO,0)),"TIPO INVALIDO"))</f>
        <v/>
      </c>
      <c r="X785" s="35" t="str">
        <f aca="false">IF($K785="","",IFERROR(INDEX(CAT_NOME,MATCH($K785,CAT_ID,0)),"?"))</f>
        <v/>
      </c>
      <c r="Y785" s="35" t="str">
        <f aca="false">IF($L785="","",IFERROR(INDEX(SUB_NOME,MATCH($L785,SUB_ID,0)),"?"))</f>
        <v/>
      </c>
      <c r="Z785" s="35" t="str">
        <f aca="false">IF($G785="","",IF($G785="EXTERNO","(Externo)",IFERROR(INDEX(ENT_NOME,MATCH($H785,ENT_ID,0)),"?")))</f>
        <v/>
      </c>
      <c r="AA785" s="35" t="str">
        <f aca="false">IF($I785="","",IF($I785="EXTERNO","(Externo)",IFERROR(INDEX(ENT_NOME,MATCH($J785,ENT_ID,0)),"?")))</f>
        <v/>
      </c>
      <c r="AB785" s="36" t="n">
        <f aca="false">IF($B785="",0,IF(AND($I785="CONTA",$G785&lt;&gt;"CONTA"),$F785,0))</f>
        <v>0</v>
      </c>
      <c r="AC785" s="36" t="n">
        <f aca="false">IF($B785="",0,IF(AND($G785="CONTA",$I785&lt;&gt;"CONTA"),$F785,0))</f>
        <v>0</v>
      </c>
      <c r="AD785" s="36" t="n">
        <f aca="false">IF($W785="RECEITA",$F785,0)</f>
        <v>0</v>
      </c>
      <c r="AE785" s="36" t="n">
        <f aca="false">IF($W785="DESPESA",$F785,0)</f>
        <v>0</v>
      </c>
      <c r="AF785" s="36" t="n">
        <f aca="false">IF($W785="RECEITA_FINANCEIRA",$F785,0)</f>
        <v>0</v>
      </c>
      <c r="AG785" s="36" t="n">
        <f aca="false">IF($B785="",0,IF($I785="CONTA",$F785,0)-IF($G785="CONTA",$F785,0))</f>
        <v>0</v>
      </c>
      <c r="AH785" s="36" t="n">
        <f aca="false">IF($B785="",0,IF($G785="CARTAO",$F785,0)-IF($I785="CARTAO",$F785,0))</f>
        <v>0</v>
      </c>
      <c r="AI785" s="36" t="n">
        <f aca="false">IF($B785="",0,IF($I785="INVESTIMENTO",$F785,0)-IF($G785="INVESTIMENTO",$F785,0))</f>
        <v>0</v>
      </c>
      <c r="AJ785" s="35" t="str">
        <f aca="false">IF($B785="","",IF(NOT(ISNUMBER($F785)),"ERRO: valor nao numerico",IF($F785&lt;=0,"ERRO: valor deve ser maior que zero",IF(COUNTIF(MAP_TIPO,$D785)=0,"ERRO: tipo de operacao nao cadastrado",IF(COUNTIF(LST_STATUS,$E785)=0,"ERRO: status invalido",IF(AND($G785="EXTERNO",$I785="EXTERNO"),"ERRO: origem e destino externos",IF(AND($G785&lt;&gt;"EXTERNO",COUNTIFS(ENT_ID,$H785,ENT_TIPO,$G785)=0),"ERRO: origem inexistente",IF(AND($I785&lt;&gt;"EXTERNO",COUNTIFS(ENT_ID,$J785,ENT_TIPO,$I785)=0),"ERRO: destino inexistente",IF(AND($K785&lt;&gt;"",COUNTIF(CAT_ID,$K785)=0),"ERRO: categoria inexistente",IF(AND($L785&lt;&gt;"",COUNTIF(SUB_ID,$L785)=0),"ERRO: subcategoria inexistente",IF(AND($L785&lt;&gt;"",$K785&lt;&gt;"",IFERROR(INDEX(SUB_CATID,MATCH($L785,SUB_ID,0)),"")&lt;&gt;$K785),"ERRO: subcategoria nao pertence a categoria",IF(AND($O785&lt;&gt;"",COUNTIF(P_ID,$O785)=0),"ERRO: parcela inexistente",IF(AND($N785&lt;&gt;"",COUNTIF(CM_ID,$N785)=0),"ERRO: compromisso inexistente","OK")))))))))))))</f>
        <v/>
      </c>
      <c r="AK785" s="35" t="str">
        <f aca="false">IF($B785="","",IF(AND($N785="",$O785="",$P785="",$Q785="",$R785=""),"","VINCULADO: "&amp;TRIM(IF($N785&lt;&gt;"",$N785&amp;" ","")&amp;IF($O785&lt;&gt;"",$O785&amp;" ","")&amp;IF($P785&lt;&gt;"",$P785&amp;" ","")&amp;IF($Q785&lt;&gt;"",$Q785&amp;" ","")&amp;IF($R785&lt;&gt;"",$R785,""))))</f>
        <v/>
      </c>
    </row>
    <row r="786" customFormat="false" ht="15" hidden="false" customHeight="false" outlineLevel="0" collapsed="false">
      <c r="A786" s="30" t="str">
        <f aca="false">IF($B786="","","LAN-"&amp;TEXT(ROW()-4,"000000"))</f>
        <v/>
      </c>
      <c r="B786" s="31"/>
      <c r="C786" s="32"/>
      <c r="D786" s="32"/>
      <c r="E786" s="32"/>
      <c r="F786" s="33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4" t="str">
        <f aca="false">IF($B786="","",YEAR($B786))</f>
        <v/>
      </c>
      <c r="U786" s="34" t="str">
        <f aca="false">IF($B786="","",MONTH($B786))</f>
        <v/>
      </c>
      <c r="V786" s="34" t="str">
        <f aca="false">IF($B786="","",YEAR($B786)*100+MONTH($B786))</f>
        <v/>
      </c>
      <c r="W786" s="35" t="str">
        <f aca="false">IF($D786="","",IFERROR(INDEX(MAP_CLASS,MATCH($D786,MAP_TIPO,0)),"TIPO INVALIDO"))</f>
        <v/>
      </c>
      <c r="X786" s="35" t="str">
        <f aca="false">IF($K786="","",IFERROR(INDEX(CAT_NOME,MATCH($K786,CAT_ID,0)),"?"))</f>
        <v/>
      </c>
      <c r="Y786" s="35" t="str">
        <f aca="false">IF($L786="","",IFERROR(INDEX(SUB_NOME,MATCH($L786,SUB_ID,0)),"?"))</f>
        <v/>
      </c>
      <c r="Z786" s="35" t="str">
        <f aca="false">IF($G786="","",IF($G786="EXTERNO","(Externo)",IFERROR(INDEX(ENT_NOME,MATCH($H786,ENT_ID,0)),"?")))</f>
        <v/>
      </c>
      <c r="AA786" s="35" t="str">
        <f aca="false">IF($I786="","",IF($I786="EXTERNO","(Externo)",IFERROR(INDEX(ENT_NOME,MATCH($J786,ENT_ID,0)),"?")))</f>
        <v/>
      </c>
      <c r="AB786" s="36" t="n">
        <f aca="false">IF($B786="",0,IF(AND($I786="CONTA",$G786&lt;&gt;"CONTA"),$F786,0))</f>
        <v>0</v>
      </c>
      <c r="AC786" s="36" t="n">
        <f aca="false">IF($B786="",0,IF(AND($G786="CONTA",$I786&lt;&gt;"CONTA"),$F786,0))</f>
        <v>0</v>
      </c>
      <c r="AD786" s="36" t="n">
        <f aca="false">IF($W786="RECEITA",$F786,0)</f>
        <v>0</v>
      </c>
      <c r="AE786" s="36" t="n">
        <f aca="false">IF($W786="DESPESA",$F786,0)</f>
        <v>0</v>
      </c>
      <c r="AF786" s="36" t="n">
        <f aca="false">IF($W786="RECEITA_FINANCEIRA",$F786,0)</f>
        <v>0</v>
      </c>
      <c r="AG786" s="36" t="n">
        <f aca="false">IF($B786="",0,IF($I786="CONTA",$F786,0)-IF($G786="CONTA",$F786,0))</f>
        <v>0</v>
      </c>
      <c r="AH786" s="36" t="n">
        <f aca="false">IF($B786="",0,IF($G786="CARTAO",$F786,0)-IF($I786="CARTAO",$F786,0))</f>
        <v>0</v>
      </c>
      <c r="AI786" s="36" t="n">
        <f aca="false">IF($B786="",0,IF($I786="INVESTIMENTO",$F786,0)-IF($G786="INVESTIMENTO",$F786,0))</f>
        <v>0</v>
      </c>
      <c r="AJ786" s="35" t="str">
        <f aca="false">IF($B786="","",IF(NOT(ISNUMBER($F786)),"ERRO: valor nao numerico",IF($F786&lt;=0,"ERRO: valor deve ser maior que zero",IF(COUNTIF(MAP_TIPO,$D786)=0,"ERRO: tipo de operacao nao cadastrado",IF(COUNTIF(LST_STATUS,$E786)=0,"ERRO: status invalido",IF(AND($G786="EXTERNO",$I786="EXTERNO"),"ERRO: origem e destino externos",IF(AND($G786&lt;&gt;"EXTERNO",COUNTIFS(ENT_ID,$H786,ENT_TIPO,$G786)=0),"ERRO: origem inexistente",IF(AND($I786&lt;&gt;"EXTERNO",COUNTIFS(ENT_ID,$J786,ENT_TIPO,$I786)=0),"ERRO: destino inexistente",IF(AND($K786&lt;&gt;"",COUNTIF(CAT_ID,$K786)=0),"ERRO: categoria inexistente",IF(AND($L786&lt;&gt;"",COUNTIF(SUB_ID,$L786)=0),"ERRO: subcategoria inexistente",IF(AND($L786&lt;&gt;"",$K786&lt;&gt;"",IFERROR(INDEX(SUB_CATID,MATCH($L786,SUB_ID,0)),"")&lt;&gt;$K786),"ERRO: subcategoria nao pertence a categoria",IF(AND($O786&lt;&gt;"",COUNTIF(P_ID,$O786)=0),"ERRO: parcela inexistente",IF(AND($N786&lt;&gt;"",COUNTIF(CM_ID,$N786)=0),"ERRO: compromisso inexistente","OK")))))))))))))</f>
        <v/>
      </c>
      <c r="AK786" s="35" t="str">
        <f aca="false">IF($B786="","",IF(AND($N786="",$O786="",$P786="",$Q786="",$R786=""),"","VINCULADO: "&amp;TRIM(IF($N786&lt;&gt;"",$N786&amp;" ","")&amp;IF($O786&lt;&gt;"",$O786&amp;" ","")&amp;IF($P786&lt;&gt;"",$P786&amp;" ","")&amp;IF($Q786&lt;&gt;"",$Q786&amp;" ","")&amp;IF($R786&lt;&gt;"",$R786,""))))</f>
        <v/>
      </c>
    </row>
    <row r="787" customFormat="false" ht="15" hidden="false" customHeight="false" outlineLevel="0" collapsed="false">
      <c r="A787" s="30" t="str">
        <f aca="false">IF($B787="","","LAN-"&amp;TEXT(ROW()-4,"000000"))</f>
        <v/>
      </c>
      <c r="B787" s="31"/>
      <c r="C787" s="32"/>
      <c r="D787" s="32"/>
      <c r="E787" s="32"/>
      <c r="F787" s="33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4" t="str">
        <f aca="false">IF($B787="","",YEAR($B787))</f>
        <v/>
      </c>
      <c r="U787" s="34" t="str">
        <f aca="false">IF($B787="","",MONTH($B787))</f>
        <v/>
      </c>
      <c r="V787" s="34" t="str">
        <f aca="false">IF($B787="","",YEAR($B787)*100+MONTH($B787))</f>
        <v/>
      </c>
      <c r="W787" s="35" t="str">
        <f aca="false">IF($D787="","",IFERROR(INDEX(MAP_CLASS,MATCH($D787,MAP_TIPO,0)),"TIPO INVALIDO"))</f>
        <v/>
      </c>
      <c r="X787" s="35" t="str">
        <f aca="false">IF($K787="","",IFERROR(INDEX(CAT_NOME,MATCH($K787,CAT_ID,0)),"?"))</f>
        <v/>
      </c>
      <c r="Y787" s="35" t="str">
        <f aca="false">IF($L787="","",IFERROR(INDEX(SUB_NOME,MATCH($L787,SUB_ID,0)),"?"))</f>
        <v/>
      </c>
      <c r="Z787" s="35" t="str">
        <f aca="false">IF($G787="","",IF($G787="EXTERNO","(Externo)",IFERROR(INDEX(ENT_NOME,MATCH($H787,ENT_ID,0)),"?")))</f>
        <v/>
      </c>
      <c r="AA787" s="35" t="str">
        <f aca="false">IF($I787="","",IF($I787="EXTERNO","(Externo)",IFERROR(INDEX(ENT_NOME,MATCH($J787,ENT_ID,0)),"?")))</f>
        <v/>
      </c>
      <c r="AB787" s="36" t="n">
        <f aca="false">IF($B787="",0,IF(AND($I787="CONTA",$G787&lt;&gt;"CONTA"),$F787,0))</f>
        <v>0</v>
      </c>
      <c r="AC787" s="36" t="n">
        <f aca="false">IF($B787="",0,IF(AND($G787="CONTA",$I787&lt;&gt;"CONTA"),$F787,0))</f>
        <v>0</v>
      </c>
      <c r="AD787" s="36" t="n">
        <f aca="false">IF($W787="RECEITA",$F787,0)</f>
        <v>0</v>
      </c>
      <c r="AE787" s="36" t="n">
        <f aca="false">IF($W787="DESPESA",$F787,0)</f>
        <v>0</v>
      </c>
      <c r="AF787" s="36" t="n">
        <f aca="false">IF($W787="RECEITA_FINANCEIRA",$F787,0)</f>
        <v>0</v>
      </c>
      <c r="AG787" s="36" t="n">
        <f aca="false">IF($B787="",0,IF($I787="CONTA",$F787,0)-IF($G787="CONTA",$F787,0))</f>
        <v>0</v>
      </c>
      <c r="AH787" s="36" t="n">
        <f aca="false">IF($B787="",0,IF($G787="CARTAO",$F787,0)-IF($I787="CARTAO",$F787,0))</f>
        <v>0</v>
      </c>
      <c r="AI787" s="36" t="n">
        <f aca="false">IF($B787="",0,IF($I787="INVESTIMENTO",$F787,0)-IF($G787="INVESTIMENTO",$F787,0))</f>
        <v>0</v>
      </c>
      <c r="AJ787" s="35" t="str">
        <f aca="false">IF($B787="","",IF(NOT(ISNUMBER($F787)),"ERRO: valor nao numerico",IF($F787&lt;=0,"ERRO: valor deve ser maior que zero",IF(COUNTIF(MAP_TIPO,$D787)=0,"ERRO: tipo de operacao nao cadastrado",IF(COUNTIF(LST_STATUS,$E787)=0,"ERRO: status invalido",IF(AND($G787="EXTERNO",$I787="EXTERNO"),"ERRO: origem e destino externos",IF(AND($G787&lt;&gt;"EXTERNO",COUNTIFS(ENT_ID,$H787,ENT_TIPO,$G787)=0),"ERRO: origem inexistente",IF(AND($I787&lt;&gt;"EXTERNO",COUNTIFS(ENT_ID,$J787,ENT_TIPO,$I787)=0),"ERRO: destino inexistente",IF(AND($K787&lt;&gt;"",COUNTIF(CAT_ID,$K787)=0),"ERRO: categoria inexistente",IF(AND($L787&lt;&gt;"",COUNTIF(SUB_ID,$L787)=0),"ERRO: subcategoria inexistente",IF(AND($L787&lt;&gt;"",$K787&lt;&gt;"",IFERROR(INDEX(SUB_CATID,MATCH($L787,SUB_ID,0)),"")&lt;&gt;$K787),"ERRO: subcategoria nao pertence a categoria",IF(AND($O787&lt;&gt;"",COUNTIF(P_ID,$O787)=0),"ERRO: parcela inexistente",IF(AND($N787&lt;&gt;"",COUNTIF(CM_ID,$N787)=0),"ERRO: compromisso inexistente","OK")))))))))))))</f>
        <v/>
      </c>
      <c r="AK787" s="35" t="str">
        <f aca="false">IF($B787="","",IF(AND($N787="",$O787="",$P787="",$Q787="",$R787=""),"","VINCULADO: "&amp;TRIM(IF($N787&lt;&gt;"",$N787&amp;" ","")&amp;IF($O787&lt;&gt;"",$O787&amp;" ","")&amp;IF($P787&lt;&gt;"",$P787&amp;" ","")&amp;IF($Q787&lt;&gt;"",$Q787&amp;" ","")&amp;IF($R787&lt;&gt;"",$R787,""))))</f>
        <v/>
      </c>
    </row>
    <row r="788" customFormat="false" ht="15" hidden="false" customHeight="false" outlineLevel="0" collapsed="false">
      <c r="A788" s="30" t="str">
        <f aca="false">IF($B788="","","LAN-"&amp;TEXT(ROW()-4,"000000"))</f>
        <v/>
      </c>
      <c r="B788" s="31"/>
      <c r="C788" s="32"/>
      <c r="D788" s="32"/>
      <c r="E788" s="32"/>
      <c r="F788" s="33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4" t="str">
        <f aca="false">IF($B788="","",YEAR($B788))</f>
        <v/>
      </c>
      <c r="U788" s="34" t="str">
        <f aca="false">IF($B788="","",MONTH($B788))</f>
        <v/>
      </c>
      <c r="V788" s="34" t="str">
        <f aca="false">IF($B788="","",YEAR($B788)*100+MONTH($B788))</f>
        <v/>
      </c>
      <c r="W788" s="35" t="str">
        <f aca="false">IF($D788="","",IFERROR(INDEX(MAP_CLASS,MATCH($D788,MAP_TIPO,0)),"TIPO INVALIDO"))</f>
        <v/>
      </c>
      <c r="X788" s="35" t="str">
        <f aca="false">IF($K788="","",IFERROR(INDEX(CAT_NOME,MATCH($K788,CAT_ID,0)),"?"))</f>
        <v/>
      </c>
      <c r="Y788" s="35" t="str">
        <f aca="false">IF($L788="","",IFERROR(INDEX(SUB_NOME,MATCH($L788,SUB_ID,0)),"?"))</f>
        <v/>
      </c>
      <c r="Z788" s="35" t="str">
        <f aca="false">IF($G788="","",IF($G788="EXTERNO","(Externo)",IFERROR(INDEX(ENT_NOME,MATCH($H788,ENT_ID,0)),"?")))</f>
        <v/>
      </c>
      <c r="AA788" s="35" t="str">
        <f aca="false">IF($I788="","",IF($I788="EXTERNO","(Externo)",IFERROR(INDEX(ENT_NOME,MATCH($J788,ENT_ID,0)),"?")))</f>
        <v/>
      </c>
      <c r="AB788" s="36" t="n">
        <f aca="false">IF($B788="",0,IF(AND($I788="CONTA",$G788&lt;&gt;"CONTA"),$F788,0))</f>
        <v>0</v>
      </c>
      <c r="AC788" s="36" t="n">
        <f aca="false">IF($B788="",0,IF(AND($G788="CONTA",$I788&lt;&gt;"CONTA"),$F788,0))</f>
        <v>0</v>
      </c>
      <c r="AD788" s="36" t="n">
        <f aca="false">IF($W788="RECEITA",$F788,0)</f>
        <v>0</v>
      </c>
      <c r="AE788" s="36" t="n">
        <f aca="false">IF($W788="DESPESA",$F788,0)</f>
        <v>0</v>
      </c>
      <c r="AF788" s="36" t="n">
        <f aca="false">IF($W788="RECEITA_FINANCEIRA",$F788,0)</f>
        <v>0</v>
      </c>
      <c r="AG788" s="36" t="n">
        <f aca="false">IF($B788="",0,IF($I788="CONTA",$F788,0)-IF($G788="CONTA",$F788,0))</f>
        <v>0</v>
      </c>
      <c r="AH788" s="36" t="n">
        <f aca="false">IF($B788="",0,IF($G788="CARTAO",$F788,0)-IF($I788="CARTAO",$F788,0))</f>
        <v>0</v>
      </c>
      <c r="AI788" s="36" t="n">
        <f aca="false">IF($B788="",0,IF($I788="INVESTIMENTO",$F788,0)-IF($G788="INVESTIMENTO",$F788,0))</f>
        <v>0</v>
      </c>
      <c r="AJ788" s="35" t="str">
        <f aca="false">IF($B788="","",IF(NOT(ISNUMBER($F788)),"ERRO: valor nao numerico",IF($F788&lt;=0,"ERRO: valor deve ser maior que zero",IF(COUNTIF(MAP_TIPO,$D788)=0,"ERRO: tipo de operacao nao cadastrado",IF(COUNTIF(LST_STATUS,$E788)=0,"ERRO: status invalido",IF(AND($G788="EXTERNO",$I788="EXTERNO"),"ERRO: origem e destino externos",IF(AND($G788&lt;&gt;"EXTERNO",COUNTIFS(ENT_ID,$H788,ENT_TIPO,$G788)=0),"ERRO: origem inexistente",IF(AND($I788&lt;&gt;"EXTERNO",COUNTIFS(ENT_ID,$J788,ENT_TIPO,$I788)=0),"ERRO: destino inexistente",IF(AND($K788&lt;&gt;"",COUNTIF(CAT_ID,$K788)=0),"ERRO: categoria inexistente",IF(AND($L788&lt;&gt;"",COUNTIF(SUB_ID,$L788)=0),"ERRO: subcategoria inexistente",IF(AND($L788&lt;&gt;"",$K788&lt;&gt;"",IFERROR(INDEX(SUB_CATID,MATCH($L788,SUB_ID,0)),"")&lt;&gt;$K788),"ERRO: subcategoria nao pertence a categoria",IF(AND($O788&lt;&gt;"",COUNTIF(P_ID,$O788)=0),"ERRO: parcela inexistente",IF(AND($N788&lt;&gt;"",COUNTIF(CM_ID,$N788)=0),"ERRO: compromisso inexistente","OK")))))))))))))</f>
        <v/>
      </c>
      <c r="AK788" s="35" t="str">
        <f aca="false">IF($B788="","",IF(AND($N788="",$O788="",$P788="",$Q788="",$R788=""),"","VINCULADO: "&amp;TRIM(IF($N788&lt;&gt;"",$N788&amp;" ","")&amp;IF($O788&lt;&gt;"",$O788&amp;" ","")&amp;IF($P788&lt;&gt;"",$P788&amp;" ","")&amp;IF($Q788&lt;&gt;"",$Q788&amp;" ","")&amp;IF($R788&lt;&gt;"",$R788,""))))</f>
        <v/>
      </c>
    </row>
    <row r="789" customFormat="false" ht="15" hidden="false" customHeight="false" outlineLevel="0" collapsed="false">
      <c r="A789" s="30" t="str">
        <f aca="false">IF($B789="","","LAN-"&amp;TEXT(ROW()-4,"000000"))</f>
        <v/>
      </c>
      <c r="B789" s="31"/>
      <c r="C789" s="32"/>
      <c r="D789" s="32"/>
      <c r="E789" s="32"/>
      <c r="F789" s="33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4" t="str">
        <f aca="false">IF($B789="","",YEAR($B789))</f>
        <v/>
      </c>
      <c r="U789" s="34" t="str">
        <f aca="false">IF($B789="","",MONTH($B789))</f>
        <v/>
      </c>
      <c r="V789" s="34" t="str">
        <f aca="false">IF($B789="","",YEAR($B789)*100+MONTH($B789))</f>
        <v/>
      </c>
      <c r="W789" s="35" t="str">
        <f aca="false">IF($D789="","",IFERROR(INDEX(MAP_CLASS,MATCH($D789,MAP_TIPO,0)),"TIPO INVALIDO"))</f>
        <v/>
      </c>
      <c r="X789" s="35" t="str">
        <f aca="false">IF($K789="","",IFERROR(INDEX(CAT_NOME,MATCH($K789,CAT_ID,0)),"?"))</f>
        <v/>
      </c>
      <c r="Y789" s="35" t="str">
        <f aca="false">IF($L789="","",IFERROR(INDEX(SUB_NOME,MATCH($L789,SUB_ID,0)),"?"))</f>
        <v/>
      </c>
      <c r="Z789" s="35" t="str">
        <f aca="false">IF($G789="","",IF($G789="EXTERNO","(Externo)",IFERROR(INDEX(ENT_NOME,MATCH($H789,ENT_ID,0)),"?")))</f>
        <v/>
      </c>
      <c r="AA789" s="35" t="str">
        <f aca="false">IF($I789="","",IF($I789="EXTERNO","(Externo)",IFERROR(INDEX(ENT_NOME,MATCH($J789,ENT_ID,0)),"?")))</f>
        <v/>
      </c>
      <c r="AB789" s="36" t="n">
        <f aca="false">IF($B789="",0,IF(AND($I789="CONTA",$G789&lt;&gt;"CONTA"),$F789,0))</f>
        <v>0</v>
      </c>
      <c r="AC789" s="36" t="n">
        <f aca="false">IF($B789="",0,IF(AND($G789="CONTA",$I789&lt;&gt;"CONTA"),$F789,0))</f>
        <v>0</v>
      </c>
      <c r="AD789" s="36" t="n">
        <f aca="false">IF($W789="RECEITA",$F789,0)</f>
        <v>0</v>
      </c>
      <c r="AE789" s="36" t="n">
        <f aca="false">IF($W789="DESPESA",$F789,0)</f>
        <v>0</v>
      </c>
      <c r="AF789" s="36" t="n">
        <f aca="false">IF($W789="RECEITA_FINANCEIRA",$F789,0)</f>
        <v>0</v>
      </c>
      <c r="AG789" s="36" t="n">
        <f aca="false">IF($B789="",0,IF($I789="CONTA",$F789,0)-IF($G789="CONTA",$F789,0))</f>
        <v>0</v>
      </c>
      <c r="AH789" s="36" t="n">
        <f aca="false">IF($B789="",0,IF($G789="CARTAO",$F789,0)-IF($I789="CARTAO",$F789,0))</f>
        <v>0</v>
      </c>
      <c r="AI789" s="36" t="n">
        <f aca="false">IF($B789="",0,IF($I789="INVESTIMENTO",$F789,0)-IF($G789="INVESTIMENTO",$F789,0))</f>
        <v>0</v>
      </c>
      <c r="AJ789" s="35" t="str">
        <f aca="false">IF($B789="","",IF(NOT(ISNUMBER($F789)),"ERRO: valor nao numerico",IF($F789&lt;=0,"ERRO: valor deve ser maior que zero",IF(COUNTIF(MAP_TIPO,$D789)=0,"ERRO: tipo de operacao nao cadastrado",IF(COUNTIF(LST_STATUS,$E789)=0,"ERRO: status invalido",IF(AND($G789="EXTERNO",$I789="EXTERNO"),"ERRO: origem e destino externos",IF(AND($G789&lt;&gt;"EXTERNO",COUNTIFS(ENT_ID,$H789,ENT_TIPO,$G789)=0),"ERRO: origem inexistente",IF(AND($I789&lt;&gt;"EXTERNO",COUNTIFS(ENT_ID,$J789,ENT_TIPO,$I789)=0),"ERRO: destino inexistente",IF(AND($K789&lt;&gt;"",COUNTIF(CAT_ID,$K789)=0),"ERRO: categoria inexistente",IF(AND($L789&lt;&gt;"",COUNTIF(SUB_ID,$L789)=0),"ERRO: subcategoria inexistente",IF(AND($L789&lt;&gt;"",$K789&lt;&gt;"",IFERROR(INDEX(SUB_CATID,MATCH($L789,SUB_ID,0)),"")&lt;&gt;$K789),"ERRO: subcategoria nao pertence a categoria",IF(AND($O789&lt;&gt;"",COUNTIF(P_ID,$O789)=0),"ERRO: parcela inexistente",IF(AND($N789&lt;&gt;"",COUNTIF(CM_ID,$N789)=0),"ERRO: compromisso inexistente","OK")))))))))))))</f>
        <v/>
      </c>
      <c r="AK789" s="35" t="str">
        <f aca="false">IF($B789="","",IF(AND($N789="",$O789="",$P789="",$Q789="",$R789=""),"","VINCULADO: "&amp;TRIM(IF($N789&lt;&gt;"",$N789&amp;" ","")&amp;IF($O789&lt;&gt;"",$O789&amp;" ","")&amp;IF($P789&lt;&gt;"",$P789&amp;" ","")&amp;IF($Q789&lt;&gt;"",$Q789&amp;" ","")&amp;IF($R789&lt;&gt;"",$R789,""))))</f>
        <v/>
      </c>
    </row>
    <row r="790" customFormat="false" ht="15" hidden="false" customHeight="false" outlineLevel="0" collapsed="false">
      <c r="A790" s="30" t="str">
        <f aca="false">IF($B790="","","LAN-"&amp;TEXT(ROW()-4,"000000"))</f>
        <v/>
      </c>
      <c r="B790" s="31"/>
      <c r="C790" s="32"/>
      <c r="D790" s="32"/>
      <c r="E790" s="32"/>
      <c r="F790" s="33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4" t="str">
        <f aca="false">IF($B790="","",YEAR($B790))</f>
        <v/>
      </c>
      <c r="U790" s="34" t="str">
        <f aca="false">IF($B790="","",MONTH($B790))</f>
        <v/>
      </c>
      <c r="V790" s="34" t="str">
        <f aca="false">IF($B790="","",YEAR($B790)*100+MONTH($B790))</f>
        <v/>
      </c>
      <c r="W790" s="35" t="str">
        <f aca="false">IF($D790="","",IFERROR(INDEX(MAP_CLASS,MATCH($D790,MAP_TIPO,0)),"TIPO INVALIDO"))</f>
        <v/>
      </c>
      <c r="X790" s="35" t="str">
        <f aca="false">IF($K790="","",IFERROR(INDEX(CAT_NOME,MATCH($K790,CAT_ID,0)),"?"))</f>
        <v/>
      </c>
      <c r="Y790" s="35" t="str">
        <f aca="false">IF($L790="","",IFERROR(INDEX(SUB_NOME,MATCH($L790,SUB_ID,0)),"?"))</f>
        <v/>
      </c>
      <c r="Z790" s="35" t="str">
        <f aca="false">IF($G790="","",IF($G790="EXTERNO","(Externo)",IFERROR(INDEX(ENT_NOME,MATCH($H790,ENT_ID,0)),"?")))</f>
        <v/>
      </c>
      <c r="AA790" s="35" t="str">
        <f aca="false">IF($I790="","",IF($I790="EXTERNO","(Externo)",IFERROR(INDEX(ENT_NOME,MATCH($J790,ENT_ID,0)),"?")))</f>
        <v/>
      </c>
      <c r="AB790" s="36" t="n">
        <f aca="false">IF($B790="",0,IF(AND($I790="CONTA",$G790&lt;&gt;"CONTA"),$F790,0))</f>
        <v>0</v>
      </c>
      <c r="AC790" s="36" t="n">
        <f aca="false">IF($B790="",0,IF(AND($G790="CONTA",$I790&lt;&gt;"CONTA"),$F790,0))</f>
        <v>0</v>
      </c>
      <c r="AD790" s="36" t="n">
        <f aca="false">IF($W790="RECEITA",$F790,0)</f>
        <v>0</v>
      </c>
      <c r="AE790" s="36" t="n">
        <f aca="false">IF($W790="DESPESA",$F790,0)</f>
        <v>0</v>
      </c>
      <c r="AF790" s="36" t="n">
        <f aca="false">IF($W790="RECEITA_FINANCEIRA",$F790,0)</f>
        <v>0</v>
      </c>
      <c r="AG790" s="36" t="n">
        <f aca="false">IF($B790="",0,IF($I790="CONTA",$F790,0)-IF($G790="CONTA",$F790,0))</f>
        <v>0</v>
      </c>
      <c r="AH790" s="36" t="n">
        <f aca="false">IF($B790="",0,IF($G790="CARTAO",$F790,0)-IF($I790="CARTAO",$F790,0))</f>
        <v>0</v>
      </c>
      <c r="AI790" s="36" t="n">
        <f aca="false">IF($B790="",0,IF($I790="INVESTIMENTO",$F790,0)-IF($G790="INVESTIMENTO",$F790,0))</f>
        <v>0</v>
      </c>
      <c r="AJ790" s="35" t="str">
        <f aca="false">IF($B790="","",IF(NOT(ISNUMBER($F790)),"ERRO: valor nao numerico",IF($F790&lt;=0,"ERRO: valor deve ser maior que zero",IF(COUNTIF(MAP_TIPO,$D790)=0,"ERRO: tipo de operacao nao cadastrado",IF(COUNTIF(LST_STATUS,$E790)=0,"ERRO: status invalido",IF(AND($G790="EXTERNO",$I790="EXTERNO"),"ERRO: origem e destino externos",IF(AND($G790&lt;&gt;"EXTERNO",COUNTIFS(ENT_ID,$H790,ENT_TIPO,$G790)=0),"ERRO: origem inexistente",IF(AND($I790&lt;&gt;"EXTERNO",COUNTIFS(ENT_ID,$J790,ENT_TIPO,$I790)=0),"ERRO: destino inexistente",IF(AND($K790&lt;&gt;"",COUNTIF(CAT_ID,$K790)=0),"ERRO: categoria inexistente",IF(AND($L790&lt;&gt;"",COUNTIF(SUB_ID,$L790)=0),"ERRO: subcategoria inexistente",IF(AND($L790&lt;&gt;"",$K790&lt;&gt;"",IFERROR(INDEX(SUB_CATID,MATCH($L790,SUB_ID,0)),"")&lt;&gt;$K790),"ERRO: subcategoria nao pertence a categoria",IF(AND($O790&lt;&gt;"",COUNTIF(P_ID,$O790)=0),"ERRO: parcela inexistente",IF(AND($N790&lt;&gt;"",COUNTIF(CM_ID,$N790)=0),"ERRO: compromisso inexistente","OK")))))))))))))</f>
        <v/>
      </c>
      <c r="AK790" s="35" t="str">
        <f aca="false">IF($B790="","",IF(AND($N790="",$O790="",$P790="",$Q790="",$R790=""),"","VINCULADO: "&amp;TRIM(IF($N790&lt;&gt;"",$N790&amp;" ","")&amp;IF($O790&lt;&gt;"",$O790&amp;" ","")&amp;IF($P790&lt;&gt;"",$P790&amp;" ","")&amp;IF($Q790&lt;&gt;"",$Q790&amp;" ","")&amp;IF($R790&lt;&gt;"",$R790,""))))</f>
        <v/>
      </c>
    </row>
    <row r="791" customFormat="false" ht="15" hidden="false" customHeight="false" outlineLevel="0" collapsed="false">
      <c r="A791" s="30" t="str">
        <f aca="false">IF($B791="","","LAN-"&amp;TEXT(ROW()-4,"000000"))</f>
        <v/>
      </c>
      <c r="B791" s="31"/>
      <c r="C791" s="32"/>
      <c r="D791" s="32"/>
      <c r="E791" s="32"/>
      <c r="F791" s="33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4" t="str">
        <f aca="false">IF($B791="","",YEAR($B791))</f>
        <v/>
      </c>
      <c r="U791" s="34" t="str">
        <f aca="false">IF($B791="","",MONTH($B791))</f>
        <v/>
      </c>
      <c r="V791" s="34" t="str">
        <f aca="false">IF($B791="","",YEAR($B791)*100+MONTH($B791))</f>
        <v/>
      </c>
      <c r="W791" s="35" t="str">
        <f aca="false">IF($D791="","",IFERROR(INDEX(MAP_CLASS,MATCH($D791,MAP_TIPO,0)),"TIPO INVALIDO"))</f>
        <v/>
      </c>
      <c r="X791" s="35" t="str">
        <f aca="false">IF($K791="","",IFERROR(INDEX(CAT_NOME,MATCH($K791,CAT_ID,0)),"?"))</f>
        <v/>
      </c>
      <c r="Y791" s="35" t="str">
        <f aca="false">IF($L791="","",IFERROR(INDEX(SUB_NOME,MATCH($L791,SUB_ID,0)),"?"))</f>
        <v/>
      </c>
      <c r="Z791" s="35" t="str">
        <f aca="false">IF($G791="","",IF($G791="EXTERNO","(Externo)",IFERROR(INDEX(ENT_NOME,MATCH($H791,ENT_ID,0)),"?")))</f>
        <v/>
      </c>
      <c r="AA791" s="35" t="str">
        <f aca="false">IF($I791="","",IF($I791="EXTERNO","(Externo)",IFERROR(INDEX(ENT_NOME,MATCH($J791,ENT_ID,0)),"?")))</f>
        <v/>
      </c>
      <c r="AB791" s="36" t="n">
        <f aca="false">IF($B791="",0,IF(AND($I791="CONTA",$G791&lt;&gt;"CONTA"),$F791,0))</f>
        <v>0</v>
      </c>
      <c r="AC791" s="36" t="n">
        <f aca="false">IF($B791="",0,IF(AND($G791="CONTA",$I791&lt;&gt;"CONTA"),$F791,0))</f>
        <v>0</v>
      </c>
      <c r="AD791" s="36" t="n">
        <f aca="false">IF($W791="RECEITA",$F791,0)</f>
        <v>0</v>
      </c>
      <c r="AE791" s="36" t="n">
        <f aca="false">IF($W791="DESPESA",$F791,0)</f>
        <v>0</v>
      </c>
      <c r="AF791" s="36" t="n">
        <f aca="false">IF($W791="RECEITA_FINANCEIRA",$F791,0)</f>
        <v>0</v>
      </c>
      <c r="AG791" s="36" t="n">
        <f aca="false">IF($B791="",0,IF($I791="CONTA",$F791,0)-IF($G791="CONTA",$F791,0))</f>
        <v>0</v>
      </c>
      <c r="AH791" s="36" t="n">
        <f aca="false">IF($B791="",0,IF($G791="CARTAO",$F791,0)-IF($I791="CARTAO",$F791,0))</f>
        <v>0</v>
      </c>
      <c r="AI791" s="36" t="n">
        <f aca="false">IF($B791="",0,IF($I791="INVESTIMENTO",$F791,0)-IF($G791="INVESTIMENTO",$F791,0))</f>
        <v>0</v>
      </c>
      <c r="AJ791" s="35" t="str">
        <f aca="false">IF($B791="","",IF(NOT(ISNUMBER($F791)),"ERRO: valor nao numerico",IF($F791&lt;=0,"ERRO: valor deve ser maior que zero",IF(COUNTIF(MAP_TIPO,$D791)=0,"ERRO: tipo de operacao nao cadastrado",IF(COUNTIF(LST_STATUS,$E791)=0,"ERRO: status invalido",IF(AND($G791="EXTERNO",$I791="EXTERNO"),"ERRO: origem e destino externos",IF(AND($G791&lt;&gt;"EXTERNO",COUNTIFS(ENT_ID,$H791,ENT_TIPO,$G791)=0),"ERRO: origem inexistente",IF(AND($I791&lt;&gt;"EXTERNO",COUNTIFS(ENT_ID,$J791,ENT_TIPO,$I791)=0),"ERRO: destino inexistente",IF(AND($K791&lt;&gt;"",COUNTIF(CAT_ID,$K791)=0),"ERRO: categoria inexistente",IF(AND($L791&lt;&gt;"",COUNTIF(SUB_ID,$L791)=0),"ERRO: subcategoria inexistente",IF(AND($L791&lt;&gt;"",$K791&lt;&gt;"",IFERROR(INDEX(SUB_CATID,MATCH($L791,SUB_ID,0)),"")&lt;&gt;$K791),"ERRO: subcategoria nao pertence a categoria",IF(AND($O791&lt;&gt;"",COUNTIF(P_ID,$O791)=0),"ERRO: parcela inexistente",IF(AND($N791&lt;&gt;"",COUNTIF(CM_ID,$N791)=0),"ERRO: compromisso inexistente","OK")))))))))))))</f>
        <v/>
      </c>
      <c r="AK791" s="35" t="str">
        <f aca="false">IF($B791="","",IF(AND($N791="",$O791="",$P791="",$Q791="",$R791=""),"","VINCULADO: "&amp;TRIM(IF($N791&lt;&gt;"",$N791&amp;" ","")&amp;IF($O791&lt;&gt;"",$O791&amp;" ","")&amp;IF($P791&lt;&gt;"",$P791&amp;" ","")&amp;IF($Q791&lt;&gt;"",$Q791&amp;" ","")&amp;IF($R791&lt;&gt;"",$R791,""))))</f>
        <v/>
      </c>
    </row>
    <row r="792" customFormat="false" ht="15" hidden="false" customHeight="false" outlineLevel="0" collapsed="false">
      <c r="A792" s="30" t="str">
        <f aca="false">IF($B792="","","LAN-"&amp;TEXT(ROW()-4,"000000"))</f>
        <v/>
      </c>
      <c r="B792" s="31"/>
      <c r="C792" s="32"/>
      <c r="D792" s="32"/>
      <c r="E792" s="32"/>
      <c r="F792" s="33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4" t="str">
        <f aca="false">IF($B792="","",YEAR($B792))</f>
        <v/>
      </c>
      <c r="U792" s="34" t="str">
        <f aca="false">IF($B792="","",MONTH($B792))</f>
        <v/>
      </c>
      <c r="V792" s="34" t="str">
        <f aca="false">IF($B792="","",YEAR($B792)*100+MONTH($B792))</f>
        <v/>
      </c>
      <c r="W792" s="35" t="str">
        <f aca="false">IF($D792="","",IFERROR(INDEX(MAP_CLASS,MATCH($D792,MAP_TIPO,0)),"TIPO INVALIDO"))</f>
        <v/>
      </c>
      <c r="X792" s="35" t="str">
        <f aca="false">IF($K792="","",IFERROR(INDEX(CAT_NOME,MATCH($K792,CAT_ID,0)),"?"))</f>
        <v/>
      </c>
      <c r="Y792" s="35" t="str">
        <f aca="false">IF($L792="","",IFERROR(INDEX(SUB_NOME,MATCH($L792,SUB_ID,0)),"?"))</f>
        <v/>
      </c>
      <c r="Z792" s="35" t="str">
        <f aca="false">IF($G792="","",IF($G792="EXTERNO","(Externo)",IFERROR(INDEX(ENT_NOME,MATCH($H792,ENT_ID,0)),"?")))</f>
        <v/>
      </c>
      <c r="AA792" s="35" t="str">
        <f aca="false">IF($I792="","",IF($I792="EXTERNO","(Externo)",IFERROR(INDEX(ENT_NOME,MATCH($J792,ENT_ID,0)),"?")))</f>
        <v/>
      </c>
      <c r="AB792" s="36" t="n">
        <f aca="false">IF($B792="",0,IF(AND($I792="CONTA",$G792&lt;&gt;"CONTA"),$F792,0))</f>
        <v>0</v>
      </c>
      <c r="AC792" s="36" t="n">
        <f aca="false">IF($B792="",0,IF(AND($G792="CONTA",$I792&lt;&gt;"CONTA"),$F792,0))</f>
        <v>0</v>
      </c>
      <c r="AD792" s="36" t="n">
        <f aca="false">IF($W792="RECEITA",$F792,0)</f>
        <v>0</v>
      </c>
      <c r="AE792" s="36" t="n">
        <f aca="false">IF($W792="DESPESA",$F792,0)</f>
        <v>0</v>
      </c>
      <c r="AF792" s="36" t="n">
        <f aca="false">IF($W792="RECEITA_FINANCEIRA",$F792,0)</f>
        <v>0</v>
      </c>
      <c r="AG792" s="36" t="n">
        <f aca="false">IF($B792="",0,IF($I792="CONTA",$F792,0)-IF($G792="CONTA",$F792,0))</f>
        <v>0</v>
      </c>
      <c r="AH792" s="36" t="n">
        <f aca="false">IF($B792="",0,IF($G792="CARTAO",$F792,0)-IF($I792="CARTAO",$F792,0))</f>
        <v>0</v>
      </c>
      <c r="AI792" s="36" t="n">
        <f aca="false">IF($B792="",0,IF($I792="INVESTIMENTO",$F792,0)-IF($G792="INVESTIMENTO",$F792,0))</f>
        <v>0</v>
      </c>
      <c r="AJ792" s="35" t="str">
        <f aca="false">IF($B792="","",IF(NOT(ISNUMBER($F792)),"ERRO: valor nao numerico",IF($F792&lt;=0,"ERRO: valor deve ser maior que zero",IF(COUNTIF(MAP_TIPO,$D792)=0,"ERRO: tipo de operacao nao cadastrado",IF(COUNTIF(LST_STATUS,$E792)=0,"ERRO: status invalido",IF(AND($G792="EXTERNO",$I792="EXTERNO"),"ERRO: origem e destino externos",IF(AND($G792&lt;&gt;"EXTERNO",COUNTIFS(ENT_ID,$H792,ENT_TIPO,$G792)=0),"ERRO: origem inexistente",IF(AND($I792&lt;&gt;"EXTERNO",COUNTIFS(ENT_ID,$J792,ENT_TIPO,$I792)=0),"ERRO: destino inexistente",IF(AND($K792&lt;&gt;"",COUNTIF(CAT_ID,$K792)=0),"ERRO: categoria inexistente",IF(AND($L792&lt;&gt;"",COUNTIF(SUB_ID,$L792)=0),"ERRO: subcategoria inexistente",IF(AND($L792&lt;&gt;"",$K792&lt;&gt;"",IFERROR(INDEX(SUB_CATID,MATCH($L792,SUB_ID,0)),"")&lt;&gt;$K792),"ERRO: subcategoria nao pertence a categoria",IF(AND($O792&lt;&gt;"",COUNTIF(P_ID,$O792)=0),"ERRO: parcela inexistente",IF(AND($N792&lt;&gt;"",COUNTIF(CM_ID,$N792)=0),"ERRO: compromisso inexistente","OK")))))))))))))</f>
        <v/>
      </c>
      <c r="AK792" s="35" t="str">
        <f aca="false">IF($B792="","",IF(AND($N792="",$O792="",$P792="",$Q792="",$R792=""),"","VINCULADO: "&amp;TRIM(IF($N792&lt;&gt;"",$N792&amp;" ","")&amp;IF($O792&lt;&gt;"",$O792&amp;" ","")&amp;IF($P792&lt;&gt;"",$P792&amp;" ","")&amp;IF($Q792&lt;&gt;"",$Q792&amp;" ","")&amp;IF($R792&lt;&gt;"",$R792,""))))</f>
        <v/>
      </c>
    </row>
    <row r="793" customFormat="false" ht="15" hidden="false" customHeight="false" outlineLevel="0" collapsed="false">
      <c r="A793" s="30" t="str">
        <f aca="false">IF($B793="","","LAN-"&amp;TEXT(ROW()-4,"000000"))</f>
        <v/>
      </c>
      <c r="B793" s="31"/>
      <c r="C793" s="32"/>
      <c r="D793" s="32"/>
      <c r="E793" s="32"/>
      <c r="F793" s="33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4" t="str">
        <f aca="false">IF($B793="","",YEAR($B793))</f>
        <v/>
      </c>
      <c r="U793" s="34" t="str">
        <f aca="false">IF($B793="","",MONTH($B793))</f>
        <v/>
      </c>
      <c r="V793" s="34" t="str">
        <f aca="false">IF($B793="","",YEAR($B793)*100+MONTH($B793))</f>
        <v/>
      </c>
      <c r="W793" s="35" t="str">
        <f aca="false">IF($D793="","",IFERROR(INDEX(MAP_CLASS,MATCH($D793,MAP_TIPO,0)),"TIPO INVALIDO"))</f>
        <v/>
      </c>
      <c r="X793" s="35" t="str">
        <f aca="false">IF($K793="","",IFERROR(INDEX(CAT_NOME,MATCH($K793,CAT_ID,0)),"?"))</f>
        <v/>
      </c>
      <c r="Y793" s="35" t="str">
        <f aca="false">IF($L793="","",IFERROR(INDEX(SUB_NOME,MATCH($L793,SUB_ID,0)),"?"))</f>
        <v/>
      </c>
      <c r="Z793" s="35" t="str">
        <f aca="false">IF($G793="","",IF($G793="EXTERNO","(Externo)",IFERROR(INDEX(ENT_NOME,MATCH($H793,ENT_ID,0)),"?")))</f>
        <v/>
      </c>
      <c r="AA793" s="35" t="str">
        <f aca="false">IF($I793="","",IF($I793="EXTERNO","(Externo)",IFERROR(INDEX(ENT_NOME,MATCH($J793,ENT_ID,0)),"?")))</f>
        <v/>
      </c>
      <c r="AB793" s="36" t="n">
        <f aca="false">IF($B793="",0,IF(AND($I793="CONTA",$G793&lt;&gt;"CONTA"),$F793,0))</f>
        <v>0</v>
      </c>
      <c r="AC793" s="36" t="n">
        <f aca="false">IF($B793="",0,IF(AND($G793="CONTA",$I793&lt;&gt;"CONTA"),$F793,0))</f>
        <v>0</v>
      </c>
      <c r="AD793" s="36" t="n">
        <f aca="false">IF($W793="RECEITA",$F793,0)</f>
        <v>0</v>
      </c>
      <c r="AE793" s="36" t="n">
        <f aca="false">IF($W793="DESPESA",$F793,0)</f>
        <v>0</v>
      </c>
      <c r="AF793" s="36" t="n">
        <f aca="false">IF($W793="RECEITA_FINANCEIRA",$F793,0)</f>
        <v>0</v>
      </c>
      <c r="AG793" s="36" t="n">
        <f aca="false">IF($B793="",0,IF($I793="CONTA",$F793,0)-IF($G793="CONTA",$F793,0))</f>
        <v>0</v>
      </c>
      <c r="AH793" s="36" t="n">
        <f aca="false">IF($B793="",0,IF($G793="CARTAO",$F793,0)-IF($I793="CARTAO",$F793,0))</f>
        <v>0</v>
      </c>
      <c r="AI793" s="36" t="n">
        <f aca="false">IF($B793="",0,IF($I793="INVESTIMENTO",$F793,0)-IF($G793="INVESTIMENTO",$F793,0))</f>
        <v>0</v>
      </c>
      <c r="AJ793" s="35" t="str">
        <f aca="false">IF($B793="","",IF(NOT(ISNUMBER($F793)),"ERRO: valor nao numerico",IF($F793&lt;=0,"ERRO: valor deve ser maior que zero",IF(COUNTIF(MAP_TIPO,$D793)=0,"ERRO: tipo de operacao nao cadastrado",IF(COUNTIF(LST_STATUS,$E793)=0,"ERRO: status invalido",IF(AND($G793="EXTERNO",$I793="EXTERNO"),"ERRO: origem e destino externos",IF(AND($G793&lt;&gt;"EXTERNO",COUNTIFS(ENT_ID,$H793,ENT_TIPO,$G793)=0),"ERRO: origem inexistente",IF(AND($I793&lt;&gt;"EXTERNO",COUNTIFS(ENT_ID,$J793,ENT_TIPO,$I793)=0),"ERRO: destino inexistente",IF(AND($K793&lt;&gt;"",COUNTIF(CAT_ID,$K793)=0),"ERRO: categoria inexistente",IF(AND($L793&lt;&gt;"",COUNTIF(SUB_ID,$L793)=0),"ERRO: subcategoria inexistente",IF(AND($L793&lt;&gt;"",$K793&lt;&gt;"",IFERROR(INDEX(SUB_CATID,MATCH($L793,SUB_ID,0)),"")&lt;&gt;$K793),"ERRO: subcategoria nao pertence a categoria",IF(AND($O793&lt;&gt;"",COUNTIF(P_ID,$O793)=0),"ERRO: parcela inexistente",IF(AND($N793&lt;&gt;"",COUNTIF(CM_ID,$N793)=0),"ERRO: compromisso inexistente","OK")))))))))))))</f>
        <v/>
      </c>
      <c r="AK793" s="35" t="str">
        <f aca="false">IF($B793="","",IF(AND($N793="",$O793="",$P793="",$Q793="",$R793=""),"","VINCULADO: "&amp;TRIM(IF($N793&lt;&gt;"",$N793&amp;" ","")&amp;IF($O793&lt;&gt;"",$O793&amp;" ","")&amp;IF($P793&lt;&gt;"",$P793&amp;" ","")&amp;IF($Q793&lt;&gt;"",$Q793&amp;" ","")&amp;IF($R793&lt;&gt;"",$R793,""))))</f>
        <v/>
      </c>
    </row>
    <row r="794" customFormat="false" ht="15" hidden="false" customHeight="false" outlineLevel="0" collapsed="false">
      <c r="A794" s="30" t="str">
        <f aca="false">IF($B794="","","LAN-"&amp;TEXT(ROW()-4,"000000"))</f>
        <v/>
      </c>
      <c r="B794" s="31"/>
      <c r="C794" s="32"/>
      <c r="D794" s="32"/>
      <c r="E794" s="32"/>
      <c r="F794" s="33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4" t="str">
        <f aca="false">IF($B794="","",YEAR($B794))</f>
        <v/>
      </c>
      <c r="U794" s="34" t="str">
        <f aca="false">IF($B794="","",MONTH($B794))</f>
        <v/>
      </c>
      <c r="V794" s="34" t="str">
        <f aca="false">IF($B794="","",YEAR($B794)*100+MONTH($B794))</f>
        <v/>
      </c>
      <c r="W794" s="35" t="str">
        <f aca="false">IF($D794="","",IFERROR(INDEX(MAP_CLASS,MATCH($D794,MAP_TIPO,0)),"TIPO INVALIDO"))</f>
        <v/>
      </c>
      <c r="X794" s="35" t="str">
        <f aca="false">IF($K794="","",IFERROR(INDEX(CAT_NOME,MATCH($K794,CAT_ID,0)),"?"))</f>
        <v/>
      </c>
      <c r="Y794" s="35" t="str">
        <f aca="false">IF($L794="","",IFERROR(INDEX(SUB_NOME,MATCH($L794,SUB_ID,0)),"?"))</f>
        <v/>
      </c>
      <c r="Z794" s="35" t="str">
        <f aca="false">IF($G794="","",IF($G794="EXTERNO","(Externo)",IFERROR(INDEX(ENT_NOME,MATCH($H794,ENT_ID,0)),"?")))</f>
        <v/>
      </c>
      <c r="AA794" s="35" t="str">
        <f aca="false">IF($I794="","",IF($I794="EXTERNO","(Externo)",IFERROR(INDEX(ENT_NOME,MATCH($J794,ENT_ID,0)),"?")))</f>
        <v/>
      </c>
      <c r="AB794" s="36" t="n">
        <f aca="false">IF($B794="",0,IF(AND($I794="CONTA",$G794&lt;&gt;"CONTA"),$F794,0))</f>
        <v>0</v>
      </c>
      <c r="AC794" s="36" t="n">
        <f aca="false">IF($B794="",0,IF(AND($G794="CONTA",$I794&lt;&gt;"CONTA"),$F794,0))</f>
        <v>0</v>
      </c>
      <c r="AD794" s="36" t="n">
        <f aca="false">IF($W794="RECEITA",$F794,0)</f>
        <v>0</v>
      </c>
      <c r="AE794" s="36" t="n">
        <f aca="false">IF($W794="DESPESA",$F794,0)</f>
        <v>0</v>
      </c>
      <c r="AF794" s="36" t="n">
        <f aca="false">IF($W794="RECEITA_FINANCEIRA",$F794,0)</f>
        <v>0</v>
      </c>
      <c r="AG794" s="36" t="n">
        <f aca="false">IF($B794="",0,IF($I794="CONTA",$F794,0)-IF($G794="CONTA",$F794,0))</f>
        <v>0</v>
      </c>
      <c r="AH794" s="36" t="n">
        <f aca="false">IF($B794="",0,IF($G794="CARTAO",$F794,0)-IF($I794="CARTAO",$F794,0))</f>
        <v>0</v>
      </c>
      <c r="AI794" s="36" t="n">
        <f aca="false">IF($B794="",0,IF($I794="INVESTIMENTO",$F794,0)-IF($G794="INVESTIMENTO",$F794,0))</f>
        <v>0</v>
      </c>
      <c r="AJ794" s="35" t="str">
        <f aca="false">IF($B794="","",IF(NOT(ISNUMBER($F794)),"ERRO: valor nao numerico",IF($F794&lt;=0,"ERRO: valor deve ser maior que zero",IF(COUNTIF(MAP_TIPO,$D794)=0,"ERRO: tipo de operacao nao cadastrado",IF(COUNTIF(LST_STATUS,$E794)=0,"ERRO: status invalido",IF(AND($G794="EXTERNO",$I794="EXTERNO"),"ERRO: origem e destino externos",IF(AND($G794&lt;&gt;"EXTERNO",COUNTIFS(ENT_ID,$H794,ENT_TIPO,$G794)=0),"ERRO: origem inexistente",IF(AND($I794&lt;&gt;"EXTERNO",COUNTIFS(ENT_ID,$J794,ENT_TIPO,$I794)=0),"ERRO: destino inexistente",IF(AND($K794&lt;&gt;"",COUNTIF(CAT_ID,$K794)=0),"ERRO: categoria inexistente",IF(AND($L794&lt;&gt;"",COUNTIF(SUB_ID,$L794)=0),"ERRO: subcategoria inexistente",IF(AND($L794&lt;&gt;"",$K794&lt;&gt;"",IFERROR(INDEX(SUB_CATID,MATCH($L794,SUB_ID,0)),"")&lt;&gt;$K794),"ERRO: subcategoria nao pertence a categoria",IF(AND($O794&lt;&gt;"",COUNTIF(P_ID,$O794)=0),"ERRO: parcela inexistente",IF(AND($N794&lt;&gt;"",COUNTIF(CM_ID,$N794)=0),"ERRO: compromisso inexistente","OK")))))))))))))</f>
        <v/>
      </c>
      <c r="AK794" s="35" t="str">
        <f aca="false">IF($B794="","",IF(AND($N794="",$O794="",$P794="",$Q794="",$R794=""),"","VINCULADO: "&amp;TRIM(IF($N794&lt;&gt;"",$N794&amp;" ","")&amp;IF($O794&lt;&gt;"",$O794&amp;" ","")&amp;IF($P794&lt;&gt;"",$P794&amp;" ","")&amp;IF($Q794&lt;&gt;"",$Q794&amp;" ","")&amp;IF($R794&lt;&gt;"",$R794,""))))</f>
        <v/>
      </c>
    </row>
    <row r="795" customFormat="false" ht="15" hidden="false" customHeight="false" outlineLevel="0" collapsed="false">
      <c r="A795" s="30" t="str">
        <f aca="false">IF($B795="","","LAN-"&amp;TEXT(ROW()-4,"000000"))</f>
        <v/>
      </c>
      <c r="B795" s="31"/>
      <c r="C795" s="32"/>
      <c r="D795" s="32"/>
      <c r="E795" s="32"/>
      <c r="F795" s="33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4" t="str">
        <f aca="false">IF($B795="","",YEAR($B795))</f>
        <v/>
      </c>
      <c r="U795" s="34" t="str">
        <f aca="false">IF($B795="","",MONTH($B795))</f>
        <v/>
      </c>
      <c r="V795" s="34" t="str">
        <f aca="false">IF($B795="","",YEAR($B795)*100+MONTH($B795))</f>
        <v/>
      </c>
      <c r="W795" s="35" t="str">
        <f aca="false">IF($D795="","",IFERROR(INDEX(MAP_CLASS,MATCH($D795,MAP_TIPO,0)),"TIPO INVALIDO"))</f>
        <v/>
      </c>
      <c r="X795" s="35" t="str">
        <f aca="false">IF($K795="","",IFERROR(INDEX(CAT_NOME,MATCH($K795,CAT_ID,0)),"?"))</f>
        <v/>
      </c>
      <c r="Y795" s="35" t="str">
        <f aca="false">IF($L795="","",IFERROR(INDEX(SUB_NOME,MATCH($L795,SUB_ID,0)),"?"))</f>
        <v/>
      </c>
      <c r="Z795" s="35" t="str">
        <f aca="false">IF($G795="","",IF($G795="EXTERNO","(Externo)",IFERROR(INDEX(ENT_NOME,MATCH($H795,ENT_ID,0)),"?")))</f>
        <v/>
      </c>
      <c r="AA795" s="35" t="str">
        <f aca="false">IF($I795="","",IF($I795="EXTERNO","(Externo)",IFERROR(INDEX(ENT_NOME,MATCH($J795,ENT_ID,0)),"?")))</f>
        <v/>
      </c>
      <c r="AB795" s="36" t="n">
        <f aca="false">IF($B795="",0,IF(AND($I795="CONTA",$G795&lt;&gt;"CONTA"),$F795,0))</f>
        <v>0</v>
      </c>
      <c r="AC795" s="36" t="n">
        <f aca="false">IF($B795="",0,IF(AND($G795="CONTA",$I795&lt;&gt;"CONTA"),$F795,0))</f>
        <v>0</v>
      </c>
      <c r="AD795" s="36" t="n">
        <f aca="false">IF($W795="RECEITA",$F795,0)</f>
        <v>0</v>
      </c>
      <c r="AE795" s="36" t="n">
        <f aca="false">IF($W795="DESPESA",$F795,0)</f>
        <v>0</v>
      </c>
      <c r="AF795" s="36" t="n">
        <f aca="false">IF($W795="RECEITA_FINANCEIRA",$F795,0)</f>
        <v>0</v>
      </c>
      <c r="AG795" s="36" t="n">
        <f aca="false">IF($B795="",0,IF($I795="CONTA",$F795,0)-IF($G795="CONTA",$F795,0))</f>
        <v>0</v>
      </c>
      <c r="AH795" s="36" t="n">
        <f aca="false">IF($B795="",0,IF($G795="CARTAO",$F795,0)-IF($I795="CARTAO",$F795,0))</f>
        <v>0</v>
      </c>
      <c r="AI795" s="36" t="n">
        <f aca="false">IF($B795="",0,IF($I795="INVESTIMENTO",$F795,0)-IF($G795="INVESTIMENTO",$F795,0))</f>
        <v>0</v>
      </c>
      <c r="AJ795" s="35" t="str">
        <f aca="false">IF($B795="","",IF(NOT(ISNUMBER($F795)),"ERRO: valor nao numerico",IF($F795&lt;=0,"ERRO: valor deve ser maior que zero",IF(COUNTIF(MAP_TIPO,$D795)=0,"ERRO: tipo de operacao nao cadastrado",IF(COUNTIF(LST_STATUS,$E795)=0,"ERRO: status invalido",IF(AND($G795="EXTERNO",$I795="EXTERNO"),"ERRO: origem e destino externos",IF(AND($G795&lt;&gt;"EXTERNO",COUNTIFS(ENT_ID,$H795,ENT_TIPO,$G795)=0),"ERRO: origem inexistente",IF(AND($I795&lt;&gt;"EXTERNO",COUNTIFS(ENT_ID,$J795,ENT_TIPO,$I795)=0),"ERRO: destino inexistente",IF(AND($K795&lt;&gt;"",COUNTIF(CAT_ID,$K795)=0),"ERRO: categoria inexistente",IF(AND($L795&lt;&gt;"",COUNTIF(SUB_ID,$L795)=0),"ERRO: subcategoria inexistente",IF(AND($L795&lt;&gt;"",$K795&lt;&gt;"",IFERROR(INDEX(SUB_CATID,MATCH($L795,SUB_ID,0)),"")&lt;&gt;$K795),"ERRO: subcategoria nao pertence a categoria",IF(AND($O795&lt;&gt;"",COUNTIF(P_ID,$O795)=0),"ERRO: parcela inexistente",IF(AND($N795&lt;&gt;"",COUNTIF(CM_ID,$N795)=0),"ERRO: compromisso inexistente","OK")))))))))))))</f>
        <v/>
      </c>
      <c r="AK795" s="35" t="str">
        <f aca="false">IF($B795="","",IF(AND($N795="",$O795="",$P795="",$Q795="",$R795=""),"","VINCULADO: "&amp;TRIM(IF($N795&lt;&gt;"",$N795&amp;" ","")&amp;IF($O795&lt;&gt;"",$O795&amp;" ","")&amp;IF($P795&lt;&gt;"",$P795&amp;" ","")&amp;IF($Q795&lt;&gt;"",$Q795&amp;" ","")&amp;IF($R795&lt;&gt;"",$R795,""))))</f>
        <v/>
      </c>
    </row>
    <row r="796" customFormat="false" ht="15" hidden="false" customHeight="false" outlineLevel="0" collapsed="false">
      <c r="A796" s="30" t="str">
        <f aca="false">IF($B796="","","LAN-"&amp;TEXT(ROW()-4,"000000"))</f>
        <v/>
      </c>
      <c r="B796" s="31"/>
      <c r="C796" s="32"/>
      <c r="D796" s="32"/>
      <c r="E796" s="32"/>
      <c r="F796" s="33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4" t="str">
        <f aca="false">IF($B796="","",YEAR($B796))</f>
        <v/>
      </c>
      <c r="U796" s="34" t="str">
        <f aca="false">IF($B796="","",MONTH($B796))</f>
        <v/>
      </c>
      <c r="V796" s="34" t="str">
        <f aca="false">IF($B796="","",YEAR($B796)*100+MONTH($B796))</f>
        <v/>
      </c>
      <c r="W796" s="35" t="str">
        <f aca="false">IF($D796="","",IFERROR(INDEX(MAP_CLASS,MATCH($D796,MAP_TIPO,0)),"TIPO INVALIDO"))</f>
        <v/>
      </c>
      <c r="X796" s="35" t="str">
        <f aca="false">IF($K796="","",IFERROR(INDEX(CAT_NOME,MATCH($K796,CAT_ID,0)),"?"))</f>
        <v/>
      </c>
      <c r="Y796" s="35" t="str">
        <f aca="false">IF($L796="","",IFERROR(INDEX(SUB_NOME,MATCH($L796,SUB_ID,0)),"?"))</f>
        <v/>
      </c>
      <c r="Z796" s="35" t="str">
        <f aca="false">IF($G796="","",IF($G796="EXTERNO","(Externo)",IFERROR(INDEX(ENT_NOME,MATCH($H796,ENT_ID,0)),"?")))</f>
        <v/>
      </c>
      <c r="AA796" s="35" t="str">
        <f aca="false">IF($I796="","",IF($I796="EXTERNO","(Externo)",IFERROR(INDEX(ENT_NOME,MATCH($J796,ENT_ID,0)),"?")))</f>
        <v/>
      </c>
      <c r="AB796" s="36" t="n">
        <f aca="false">IF($B796="",0,IF(AND($I796="CONTA",$G796&lt;&gt;"CONTA"),$F796,0))</f>
        <v>0</v>
      </c>
      <c r="AC796" s="36" t="n">
        <f aca="false">IF($B796="",0,IF(AND($G796="CONTA",$I796&lt;&gt;"CONTA"),$F796,0))</f>
        <v>0</v>
      </c>
      <c r="AD796" s="36" t="n">
        <f aca="false">IF($W796="RECEITA",$F796,0)</f>
        <v>0</v>
      </c>
      <c r="AE796" s="36" t="n">
        <f aca="false">IF($W796="DESPESA",$F796,0)</f>
        <v>0</v>
      </c>
      <c r="AF796" s="36" t="n">
        <f aca="false">IF($W796="RECEITA_FINANCEIRA",$F796,0)</f>
        <v>0</v>
      </c>
      <c r="AG796" s="36" t="n">
        <f aca="false">IF($B796="",0,IF($I796="CONTA",$F796,0)-IF($G796="CONTA",$F796,0))</f>
        <v>0</v>
      </c>
      <c r="AH796" s="36" t="n">
        <f aca="false">IF($B796="",0,IF($G796="CARTAO",$F796,0)-IF($I796="CARTAO",$F796,0))</f>
        <v>0</v>
      </c>
      <c r="AI796" s="36" t="n">
        <f aca="false">IF($B796="",0,IF($I796="INVESTIMENTO",$F796,0)-IF($G796="INVESTIMENTO",$F796,0))</f>
        <v>0</v>
      </c>
      <c r="AJ796" s="35" t="str">
        <f aca="false">IF($B796="","",IF(NOT(ISNUMBER($F796)),"ERRO: valor nao numerico",IF($F796&lt;=0,"ERRO: valor deve ser maior que zero",IF(COUNTIF(MAP_TIPO,$D796)=0,"ERRO: tipo de operacao nao cadastrado",IF(COUNTIF(LST_STATUS,$E796)=0,"ERRO: status invalido",IF(AND($G796="EXTERNO",$I796="EXTERNO"),"ERRO: origem e destino externos",IF(AND($G796&lt;&gt;"EXTERNO",COUNTIFS(ENT_ID,$H796,ENT_TIPO,$G796)=0),"ERRO: origem inexistente",IF(AND($I796&lt;&gt;"EXTERNO",COUNTIFS(ENT_ID,$J796,ENT_TIPO,$I796)=0),"ERRO: destino inexistente",IF(AND($K796&lt;&gt;"",COUNTIF(CAT_ID,$K796)=0),"ERRO: categoria inexistente",IF(AND($L796&lt;&gt;"",COUNTIF(SUB_ID,$L796)=0),"ERRO: subcategoria inexistente",IF(AND($L796&lt;&gt;"",$K796&lt;&gt;"",IFERROR(INDEX(SUB_CATID,MATCH($L796,SUB_ID,0)),"")&lt;&gt;$K796),"ERRO: subcategoria nao pertence a categoria",IF(AND($O796&lt;&gt;"",COUNTIF(P_ID,$O796)=0),"ERRO: parcela inexistente",IF(AND($N796&lt;&gt;"",COUNTIF(CM_ID,$N796)=0),"ERRO: compromisso inexistente","OK")))))))))))))</f>
        <v/>
      </c>
      <c r="AK796" s="35" t="str">
        <f aca="false">IF($B796="","",IF(AND($N796="",$O796="",$P796="",$Q796="",$R796=""),"","VINCULADO: "&amp;TRIM(IF($N796&lt;&gt;"",$N796&amp;" ","")&amp;IF($O796&lt;&gt;"",$O796&amp;" ","")&amp;IF($P796&lt;&gt;"",$P796&amp;" ","")&amp;IF($Q796&lt;&gt;"",$Q796&amp;" ","")&amp;IF($R796&lt;&gt;"",$R796,""))))</f>
        <v/>
      </c>
    </row>
    <row r="797" customFormat="false" ht="15" hidden="false" customHeight="false" outlineLevel="0" collapsed="false">
      <c r="A797" s="30" t="str">
        <f aca="false">IF($B797="","","LAN-"&amp;TEXT(ROW()-4,"000000"))</f>
        <v/>
      </c>
      <c r="B797" s="31"/>
      <c r="C797" s="32"/>
      <c r="D797" s="32"/>
      <c r="E797" s="32"/>
      <c r="F797" s="33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4" t="str">
        <f aca="false">IF($B797="","",YEAR($B797))</f>
        <v/>
      </c>
      <c r="U797" s="34" t="str">
        <f aca="false">IF($B797="","",MONTH($B797))</f>
        <v/>
      </c>
      <c r="V797" s="34" t="str">
        <f aca="false">IF($B797="","",YEAR($B797)*100+MONTH($B797))</f>
        <v/>
      </c>
      <c r="W797" s="35" t="str">
        <f aca="false">IF($D797="","",IFERROR(INDEX(MAP_CLASS,MATCH($D797,MAP_TIPO,0)),"TIPO INVALIDO"))</f>
        <v/>
      </c>
      <c r="X797" s="35" t="str">
        <f aca="false">IF($K797="","",IFERROR(INDEX(CAT_NOME,MATCH($K797,CAT_ID,0)),"?"))</f>
        <v/>
      </c>
      <c r="Y797" s="35" t="str">
        <f aca="false">IF($L797="","",IFERROR(INDEX(SUB_NOME,MATCH($L797,SUB_ID,0)),"?"))</f>
        <v/>
      </c>
      <c r="Z797" s="35" t="str">
        <f aca="false">IF($G797="","",IF($G797="EXTERNO","(Externo)",IFERROR(INDEX(ENT_NOME,MATCH($H797,ENT_ID,0)),"?")))</f>
        <v/>
      </c>
      <c r="AA797" s="35" t="str">
        <f aca="false">IF($I797="","",IF($I797="EXTERNO","(Externo)",IFERROR(INDEX(ENT_NOME,MATCH($J797,ENT_ID,0)),"?")))</f>
        <v/>
      </c>
      <c r="AB797" s="36" t="n">
        <f aca="false">IF($B797="",0,IF(AND($I797="CONTA",$G797&lt;&gt;"CONTA"),$F797,0))</f>
        <v>0</v>
      </c>
      <c r="AC797" s="36" t="n">
        <f aca="false">IF($B797="",0,IF(AND($G797="CONTA",$I797&lt;&gt;"CONTA"),$F797,0))</f>
        <v>0</v>
      </c>
      <c r="AD797" s="36" t="n">
        <f aca="false">IF($W797="RECEITA",$F797,0)</f>
        <v>0</v>
      </c>
      <c r="AE797" s="36" t="n">
        <f aca="false">IF($W797="DESPESA",$F797,0)</f>
        <v>0</v>
      </c>
      <c r="AF797" s="36" t="n">
        <f aca="false">IF($W797="RECEITA_FINANCEIRA",$F797,0)</f>
        <v>0</v>
      </c>
      <c r="AG797" s="36" t="n">
        <f aca="false">IF($B797="",0,IF($I797="CONTA",$F797,0)-IF($G797="CONTA",$F797,0))</f>
        <v>0</v>
      </c>
      <c r="AH797" s="36" t="n">
        <f aca="false">IF($B797="",0,IF($G797="CARTAO",$F797,0)-IF($I797="CARTAO",$F797,0))</f>
        <v>0</v>
      </c>
      <c r="AI797" s="36" t="n">
        <f aca="false">IF($B797="",0,IF($I797="INVESTIMENTO",$F797,0)-IF($G797="INVESTIMENTO",$F797,0))</f>
        <v>0</v>
      </c>
      <c r="AJ797" s="35" t="str">
        <f aca="false">IF($B797="","",IF(NOT(ISNUMBER($F797)),"ERRO: valor nao numerico",IF($F797&lt;=0,"ERRO: valor deve ser maior que zero",IF(COUNTIF(MAP_TIPO,$D797)=0,"ERRO: tipo de operacao nao cadastrado",IF(COUNTIF(LST_STATUS,$E797)=0,"ERRO: status invalido",IF(AND($G797="EXTERNO",$I797="EXTERNO"),"ERRO: origem e destino externos",IF(AND($G797&lt;&gt;"EXTERNO",COUNTIFS(ENT_ID,$H797,ENT_TIPO,$G797)=0),"ERRO: origem inexistente",IF(AND($I797&lt;&gt;"EXTERNO",COUNTIFS(ENT_ID,$J797,ENT_TIPO,$I797)=0),"ERRO: destino inexistente",IF(AND($K797&lt;&gt;"",COUNTIF(CAT_ID,$K797)=0),"ERRO: categoria inexistente",IF(AND($L797&lt;&gt;"",COUNTIF(SUB_ID,$L797)=0),"ERRO: subcategoria inexistente",IF(AND($L797&lt;&gt;"",$K797&lt;&gt;"",IFERROR(INDEX(SUB_CATID,MATCH($L797,SUB_ID,0)),"")&lt;&gt;$K797),"ERRO: subcategoria nao pertence a categoria",IF(AND($O797&lt;&gt;"",COUNTIF(P_ID,$O797)=0),"ERRO: parcela inexistente",IF(AND($N797&lt;&gt;"",COUNTIF(CM_ID,$N797)=0),"ERRO: compromisso inexistente","OK")))))))))))))</f>
        <v/>
      </c>
      <c r="AK797" s="35" t="str">
        <f aca="false">IF($B797="","",IF(AND($N797="",$O797="",$P797="",$Q797="",$R797=""),"","VINCULADO: "&amp;TRIM(IF($N797&lt;&gt;"",$N797&amp;" ","")&amp;IF($O797&lt;&gt;"",$O797&amp;" ","")&amp;IF($P797&lt;&gt;"",$P797&amp;" ","")&amp;IF($Q797&lt;&gt;"",$Q797&amp;" ","")&amp;IF($R797&lt;&gt;"",$R797,""))))</f>
        <v/>
      </c>
    </row>
    <row r="798" customFormat="false" ht="15" hidden="false" customHeight="false" outlineLevel="0" collapsed="false">
      <c r="A798" s="30" t="str">
        <f aca="false">IF($B798="","","LAN-"&amp;TEXT(ROW()-4,"000000"))</f>
        <v/>
      </c>
      <c r="B798" s="31"/>
      <c r="C798" s="32"/>
      <c r="D798" s="32"/>
      <c r="E798" s="32"/>
      <c r="F798" s="33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4" t="str">
        <f aca="false">IF($B798="","",YEAR($B798))</f>
        <v/>
      </c>
      <c r="U798" s="34" t="str">
        <f aca="false">IF($B798="","",MONTH($B798))</f>
        <v/>
      </c>
      <c r="V798" s="34" t="str">
        <f aca="false">IF($B798="","",YEAR($B798)*100+MONTH($B798))</f>
        <v/>
      </c>
      <c r="W798" s="35" t="str">
        <f aca="false">IF($D798="","",IFERROR(INDEX(MAP_CLASS,MATCH($D798,MAP_TIPO,0)),"TIPO INVALIDO"))</f>
        <v/>
      </c>
      <c r="X798" s="35" t="str">
        <f aca="false">IF($K798="","",IFERROR(INDEX(CAT_NOME,MATCH($K798,CAT_ID,0)),"?"))</f>
        <v/>
      </c>
      <c r="Y798" s="35" t="str">
        <f aca="false">IF($L798="","",IFERROR(INDEX(SUB_NOME,MATCH($L798,SUB_ID,0)),"?"))</f>
        <v/>
      </c>
      <c r="Z798" s="35" t="str">
        <f aca="false">IF($G798="","",IF($G798="EXTERNO","(Externo)",IFERROR(INDEX(ENT_NOME,MATCH($H798,ENT_ID,0)),"?")))</f>
        <v/>
      </c>
      <c r="AA798" s="35" t="str">
        <f aca="false">IF($I798="","",IF($I798="EXTERNO","(Externo)",IFERROR(INDEX(ENT_NOME,MATCH($J798,ENT_ID,0)),"?")))</f>
        <v/>
      </c>
      <c r="AB798" s="36" t="n">
        <f aca="false">IF($B798="",0,IF(AND($I798="CONTA",$G798&lt;&gt;"CONTA"),$F798,0))</f>
        <v>0</v>
      </c>
      <c r="AC798" s="36" t="n">
        <f aca="false">IF($B798="",0,IF(AND($G798="CONTA",$I798&lt;&gt;"CONTA"),$F798,0))</f>
        <v>0</v>
      </c>
      <c r="AD798" s="36" t="n">
        <f aca="false">IF($W798="RECEITA",$F798,0)</f>
        <v>0</v>
      </c>
      <c r="AE798" s="36" t="n">
        <f aca="false">IF($W798="DESPESA",$F798,0)</f>
        <v>0</v>
      </c>
      <c r="AF798" s="36" t="n">
        <f aca="false">IF($W798="RECEITA_FINANCEIRA",$F798,0)</f>
        <v>0</v>
      </c>
      <c r="AG798" s="36" t="n">
        <f aca="false">IF($B798="",0,IF($I798="CONTA",$F798,0)-IF($G798="CONTA",$F798,0))</f>
        <v>0</v>
      </c>
      <c r="AH798" s="36" t="n">
        <f aca="false">IF($B798="",0,IF($G798="CARTAO",$F798,0)-IF($I798="CARTAO",$F798,0))</f>
        <v>0</v>
      </c>
      <c r="AI798" s="36" t="n">
        <f aca="false">IF($B798="",0,IF($I798="INVESTIMENTO",$F798,0)-IF($G798="INVESTIMENTO",$F798,0))</f>
        <v>0</v>
      </c>
      <c r="AJ798" s="35" t="str">
        <f aca="false">IF($B798="","",IF(NOT(ISNUMBER($F798)),"ERRO: valor nao numerico",IF($F798&lt;=0,"ERRO: valor deve ser maior que zero",IF(COUNTIF(MAP_TIPO,$D798)=0,"ERRO: tipo de operacao nao cadastrado",IF(COUNTIF(LST_STATUS,$E798)=0,"ERRO: status invalido",IF(AND($G798="EXTERNO",$I798="EXTERNO"),"ERRO: origem e destino externos",IF(AND($G798&lt;&gt;"EXTERNO",COUNTIFS(ENT_ID,$H798,ENT_TIPO,$G798)=0),"ERRO: origem inexistente",IF(AND($I798&lt;&gt;"EXTERNO",COUNTIFS(ENT_ID,$J798,ENT_TIPO,$I798)=0),"ERRO: destino inexistente",IF(AND($K798&lt;&gt;"",COUNTIF(CAT_ID,$K798)=0),"ERRO: categoria inexistente",IF(AND($L798&lt;&gt;"",COUNTIF(SUB_ID,$L798)=0),"ERRO: subcategoria inexistente",IF(AND($L798&lt;&gt;"",$K798&lt;&gt;"",IFERROR(INDEX(SUB_CATID,MATCH($L798,SUB_ID,0)),"")&lt;&gt;$K798),"ERRO: subcategoria nao pertence a categoria",IF(AND($O798&lt;&gt;"",COUNTIF(P_ID,$O798)=0),"ERRO: parcela inexistente",IF(AND($N798&lt;&gt;"",COUNTIF(CM_ID,$N798)=0),"ERRO: compromisso inexistente","OK")))))))))))))</f>
        <v/>
      </c>
      <c r="AK798" s="35" t="str">
        <f aca="false">IF($B798="","",IF(AND($N798="",$O798="",$P798="",$Q798="",$R798=""),"","VINCULADO: "&amp;TRIM(IF($N798&lt;&gt;"",$N798&amp;" ","")&amp;IF($O798&lt;&gt;"",$O798&amp;" ","")&amp;IF($P798&lt;&gt;"",$P798&amp;" ","")&amp;IF($Q798&lt;&gt;"",$Q798&amp;" ","")&amp;IF($R798&lt;&gt;"",$R798,""))))</f>
        <v/>
      </c>
    </row>
    <row r="799" customFormat="false" ht="15" hidden="false" customHeight="false" outlineLevel="0" collapsed="false">
      <c r="A799" s="30" t="str">
        <f aca="false">IF($B799="","","LAN-"&amp;TEXT(ROW()-4,"000000"))</f>
        <v/>
      </c>
      <c r="B799" s="31"/>
      <c r="C799" s="32"/>
      <c r="D799" s="32"/>
      <c r="E799" s="32"/>
      <c r="F799" s="33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4" t="str">
        <f aca="false">IF($B799="","",YEAR($B799))</f>
        <v/>
      </c>
      <c r="U799" s="34" t="str">
        <f aca="false">IF($B799="","",MONTH($B799))</f>
        <v/>
      </c>
      <c r="V799" s="34" t="str">
        <f aca="false">IF($B799="","",YEAR($B799)*100+MONTH($B799))</f>
        <v/>
      </c>
      <c r="W799" s="35" t="str">
        <f aca="false">IF($D799="","",IFERROR(INDEX(MAP_CLASS,MATCH($D799,MAP_TIPO,0)),"TIPO INVALIDO"))</f>
        <v/>
      </c>
      <c r="X799" s="35" t="str">
        <f aca="false">IF($K799="","",IFERROR(INDEX(CAT_NOME,MATCH($K799,CAT_ID,0)),"?"))</f>
        <v/>
      </c>
      <c r="Y799" s="35" t="str">
        <f aca="false">IF($L799="","",IFERROR(INDEX(SUB_NOME,MATCH($L799,SUB_ID,0)),"?"))</f>
        <v/>
      </c>
      <c r="Z799" s="35" t="str">
        <f aca="false">IF($G799="","",IF($G799="EXTERNO","(Externo)",IFERROR(INDEX(ENT_NOME,MATCH($H799,ENT_ID,0)),"?")))</f>
        <v/>
      </c>
      <c r="AA799" s="35" t="str">
        <f aca="false">IF($I799="","",IF($I799="EXTERNO","(Externo)",IFERROR(INDEX(ENT_NOME,MATCH($J799,ENT_ID,0)),"?")))</f>
        <v/>
      </c>
      <c r="AB799" s="36" t="n">
        <f aca="false">IF($B799="",0,IF(AND($I799="CONTA",$G799&lt;&gt;"CONTA"),$F799,0))</f>
        <v>0</v>
      </c>
      <c r="AC799" s="36" t="n">
        <f aca="false">IF($B799="",0,IF(AND($G799="CONTA",$I799&lt;&gt;"CONTA"),$F799,0))</f>
        <v>0</v>
      </c>
      <c r="AD799" s="36" t="n">
        <f aca="false">IF($W799="RECEITA",$F799,0)</f>
        <v>0</v>
      </c>
      <c r="AE799" s="36" t="n">
        <f aca="false">IF($W799="DESPESA",$F799,0)</f>
        <v>0</v>
      </c>
      <c r="AF799" s="36" t="n">
        <f aca="false">IF($W799="RECEITA_FINANCEIRA",$F799,0)</f>
        <v>0</v>
      </c>
      <c r="AG799" s="36" t="n">
        <f aca="false">IF($B799="",0,IF($I799="CONTA",$F799,0)-IF($G799="CONTA",$F799,0))</f>
        <v>0</v>
      </c>
      <c r="AH799" s="36" t="n">
        <f aca="false">IF($B799="",0,IF($G799="CARTAO",$F799,0)-IF($I799="CARTAO",$F799,0))</f>
        <v>0</v>
      </c>
      <c r="AI799" s="36" t="n">
        <f aca="false">IF($B799="",0,IF($I799="INVESTIMENTO",$F799,0)-IF($G799="INVESTIMENTO",$F799,0))</f>
        <v>0</v>
      </c>
      <c r="AJ799" s="35" t="str">
        <f aca="false">IF($B799="","",IF(NOT(ISNUMBER($F799)),"ERRO: valor nao numerico",IF($F799&lt;=0,"ERRO: valor deve ser maior que zero",IF(COUNTIF(MAP_TIPO,$D799)=0,"ERRO: tipo de operacao nao cadastrado",IF(COUNTIF(LST_STATUS,$E799)=0,"ERRO: status invalido",IF(AND($G799="EXTERNO",$I799="EXTERNO"),"ERRO: origem e destino externos",IF(AND($G799&lt;&gt;"EXTERNO",COUNTIFS(ENT_ID,$H799,ENT_TIPO,$G799)=0),"ERRO: origem inexistente",IF(AND($I799&lt;&gt;"EXTERNO",COUNTIFS(ENT_ID,$J799,ENT_TIPO,$I799)=0),"ERRO: destino inexistente",IF(AND($K799&lt;&gt;"",COUNTIF(CAT_ID,$K799)=0),"ERRO: categoria inexistente",IF(AND($L799&lt;&gt;"",COUNTIF(SUB_ID,$L799)=0),"ERRO: subcategoria inexistente",IF(AND($L799&lt;&gt;"",$K799&lt;&gt;"",IFERROR(INDEX(SUB_CATID,MATCH($L799,SUB_ID,0)),"")&lt;&gt;$K799),"ERRO: subcategoria nao pertence a categoria",IF(AND($O799&lt;&gt;"",COUNTIF(P_ID,$O799)=0),"ERRO: parcela inexistente",IF(AND($N799&lt;&gt;"",COUNTIF(CM_ID,$N799)=0),"ERRO: compromisso inexistente","OK")))))))))))))</f>
        <v/>
      </c>
      <c r="AK799" s="35" t="str">
        <f aca="false">IF($B799="","",IF(AND($N799="",$O799="",$P799="",$Q799="",$R799=""),"","VINCULADO: "&amp;TRIM(IF($N799&lt;&gt;"",$N799&amp;" ","")&amp;IF($O799&lt;&gt;"",$O799&amp;" ","")&amp;IF($P799&lt;&gt;"",$P799&amp;" ","")&amp;IF($Q799&lt;&gt;"",$Q799&amp;" ","")&amp;IF($R799&lt;&gt;"",$R799,""))))</f>
        <v/>
      </c>
    </row>
    <row r="800" customFormat="false" ht="15" hidden="false" customHeight="false" outlineLevel="0" collapsed="false">
      <c r="A800" s="30" t="str">
        <f aca="false">IF($B800="","","LAN-"&amp;TEXT(ROW()-4,"000000"))</f>
        <v/>
      </c>
      <c r="B800" s="31"/>
      <c r="C800" s="32"/>
      <c r="D800" s="32"/>
      <c r="E800" s="32"/>
      <c r="F800" s="33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4" t="str">
        <f aca="false">IF($B800="","",YEAR($B800))</f>
        <v/>
      </c>
      <c r="U800" s="34" t="str">
        <f aca="false">IF($B800="","",MONTH($B800))</f>
        <v/>
      </c>
      <c r="V800" s="34" t="str">
        <f aca="false">IF($B800="","",YEAR($B800)*100+MONTH($B800))</f>
        <v/>
      </c>
      <c r="W800" s="35" t="str">
        <f aca="false">IF($D800="","",IFERROR(INDEX(MAP_CLASS,MATCH($D800,MAP_TIPO,0)),"TIPO INVALIDO"))</f>
        <v/>
      </c>
      <c r="X800" s="35" t="str">
        <f aca="false">IF($K800="","",IFERROR(INDEX(CAT_NOME,MATCH($K800,CAT_ID,0)),"?"))</f>
        <v/>
      </c>
      <c r="Y800" s="35" t="str">
        <f aca="false">IF($L800="","",IFERROR(INDEX(SUB_NOME,MATCH($L800,SUB_ID,0)),"?"))</f>
        <v/>
      </c>
      <c r="Z800" s="35" t="str">
        <f aca="false">IF($G800="","",IF($G800="EXTERNO","(Externo)",IFERROR(INDEX(ENT_NOME,MATCH($H800,ENT_ID,0)),"?")))</f>
        <v/>
      </c>
      <c r="AA800" s="35" t="str">
        <f aca="false">IF($I800="","",IF($I800="EXTERNO","(Externo)",IFERROR(INDEX(ENT_NOME,MATCH($J800,ENT_ID,0)),"?")))</f>
        <v/>
      </c>
      <c r="AB800" s="36" t="n">
        <f aca="false">IF($B800="",0,IF(AND($I800="CONTA",$G800&lt;&gt;"CONTA"),$F800,0))</f>
        <v>0</v>
      </c>
      <c r="AC800" s="36" t="n">
        <f aca="false">IF($B800="",0,IF(AND($G800="CONTA",$I800&lt;&gt;"CONTA"),$F800,0))</f>
        <v>0</v>
      </c>
      <c r="AD800" s="36" t="n">
        <f aca="false">IF($W800="RECEITA",$F800,0)</f>
        <v>0</v>
      </c>
      <c r="AE800" s="36" t="n">
        <f aca="false">IF($W800="DESPESA",$F800,0)</f>
        <v>0</v>
      </c>
      <c r="AF800" s="36" t="n">
        <f aca="false">IF($W800="RECEITA_FINANCEIRA",$F800,0)</f>
        <v>0</v>
      </c>
      <c r="AG800" s="36" t="n">
        <f aca="false">IF($B800="",0,IF($I800="CONTA",$F800,0)-IF($G800="CONTA",$F800,0))</f>
        <v>0</v>
      </c>
      <c r="AH800" s="36" t="n">
        <f aca="false">IF($B800="",0,IF($G800="CARTAO",$F800,0)-IF($I800="CARTAO",$F800,0))</f>
        <v>0</v>
      </c>
      <c r="AI800" s="36" t="n">
        <f aca="false">IF($B800="",0,IF($I800="INVESTIMENTO",$F800,0)-IF($G800="INVESTIMENTO",$F800,0))</f>
        <v>0</v>
      </c>
      <c r="AJ800" s="35" t="str">
        <f aca="false">IF($B800="","",IF(NOT(ISNUMBER($F800)),"ERRO: valor nao numerico",IF($F800&lt;=0,"ERRO: valor deve ser maior que zero",IF(COUNTIF(MAP_TIPO,$D800)=0,"ERRO: tipo de operacao nao cadastrado",IF(COUNTIF(LST_STATUS,$E800)=0,"ERRO: status invalido",IF(AND($G800="EXTERNO",$I800="EXTERNO"),"ERRO: origem e destino externos",IF(AND($G800&lt;&gt;"EXTERNO",COUNTIFS(ENT_ID,$H800,ENT_TIPO,$G800)=0),"ERRO: origem inexistente",IF(AND($I800&lt;&gt;"EXTERNO",COUNTIFS(ENT_ID,$J800,ENT_TIPO,$I800)=0),"ERRO: destino inexistente",IF(AND($K800&lt;&gt;"",COUNTIF(CAT_ID,$K800)=0),"ERRO: categoria inexistente",IF(AND($L800&lt;&gt;"",COUNTIF(SUB_ID,$L800)=0),"ERRO: subcategoria inexistente",IF(AND($L800&lt;&gt;"",$K800&lt;&gt;"",IFERROR(INDEX(SUB_CATID,MATCH($L800,SUB_ID,0)),"")&lt;&gt;$K800),"ERRO: subcategoria nao pertence a categoria",IF(AND($O800&lt;&gt;"",COUNTIF(P_ID,$O800)=0),"ERRO: parcela inexistente",IF(AND($N800&lt;&gt;"",COUNTIF(CM_ID,$N800)=0),"ERRO: compromisso inexistente","OK")))))))))))))</f>
        <v/>
      </c>
      <c r="AK800" s="35" t="str">
        <f aca="false">IF($B800="","",IF(AND($N800="",$O800="",$P800="",$Q800="",$R800=""),"","VINCULADO: "&amp;TRIM(IF($N800&lt;&gt;"",$N800&amp;" ","")&amp;IF($O800&lt;&gt;"",$O800&amp;" ","")&amp;IF($P800&lt;&gt;"",$P800&amp;" ","")&amp;IF($Q800&lt;&gt;"",$Q800&amp;" ","")&amp;IF($R800&lt;&gt;"",$R800,""))))</f>
        <v/>
      </c>
    </row>
    <row r="801" customFormat="false" ht="15" hidden="false" customHeight="false" outlineLevel="0" collapsed="false">
      <c r="A801" s="30" t="str">
        <f aca="false">IF($B801="","","LAN-"&amp;TEXT(ROW()-4,"000000"))</f>
        <v/>
      </c>
      <c r="B801" s="31"/>
      <c r="C801" s="32"/>
      <c r="D801" s="32"/>
      <c r="E801" s="32"/>
      <c r="F801" s="33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4" t="str">
        <f aca="false">IF($B801="","",YEAR($B801))</f>
        <v/>
      </c>
      <c r="U801" s="34" t="str">
        <f aca="false">IF($B801="","",MONTH($B801))</f>
        <v/>
      </c>
      <c r="V801" s="34" t="str">
        <f aca="false">IF($B801="","",YEAR($B801)*100+MONTH($B801))</f>
        <v/>
      </c>
      <c r="W801" s="35" t="str">
        <f aca="false">IF($D801="","",IFERROR(INDEX(MAP_CLASS,MATCH($D801,MAP_TIPO,0)),"TIPO INVALIDO"))</f>
        <v/>
      </c>
      <c r="X801" s="35" t="str">
        <f aca="false">IF($K801="","",IFERROR(INDEX(CAT_NOME,MATCH($K801,CAT_ID,0)),"?"))</f>
        <v/>
      </c>
      <c r="Y801" s="35" t="str">
        <f aca="false">IF($L801="","",IFERROR(INDEX(SUB_NOME,MATCH($L801,SUB_ID,0)),"?"))</f>
        <v/>
      </c>
      <c r="Z801" s="35" t="str">
        <f aca="false">IF($G801="","",IF($G801="EXTERNO","(Externo)",IFERROR(INDEX(ENT_NOME,MATCH($H801,ENT_ID,0)),"?")))</f>
        <v/>
      </c>
      <c r="AA801" s="35" t="str">
        <f aca="false">IF($I801="","",IF($I801="EXTERNO","(Externo)",IFERROR(INDEX(ENT_NOME,MATCH($J801,ENT_ID,0)),"?")))</f>
        <v/>
      </c>
      <c r="AB801" s="36" t="n">
        <f aca="false">IF($B801="",0,IF(AND($I801="CONTA",$G801&lt;&gt;"CONTA"),$F801,0))</f>
        <v>0</v>
      </c>
      <c r="AC801" s="36" t="n">
        <f aca="false">IF($B801="",0,IF(AND($G801="CONTA",$I801&lt;&gt;"CONTA"),$F801,0))</f>
        <v>0</v>
      </c>
      <c r="AD801" s="36" t="n">
        <f aca="false">IF($W801="RECEITA",$F801,0)</f>
        <v>0</v>
      </c>
      <c r="AE801" s="36" t="n">
        <f aca="false">IF($W801="DESPESA",$F801,0)</f>
        <v>0</v>
      </c>
      <c r="AF801" s="36" t="n">
        <f aca="false">IF($W801="RECEITA_FINANCEIRA",$F801,0)</f>
        <v>0</v>
      </c>
      <c r="AG801" s="36" t="n">
        <f aca="false">IF($B801="",0,IF($I801="CONTA",$F801,0)-IF($G801="CONTA",$F801,0))</f>
        <v>0</v>
      </c>
      <c r="AH801" s="36" t="n">
        <f aca="false">IF($B801="",0,IF($G801="CARTAO",$F801,0)-IF($I801="CARTAO",$F801,0))</f>
        <v>0</v>
      </c>
      <c r="AI801" s="36" t="n">
        <f aca="false">IF($B801="",0,IF($I801="INVESTIMENTO",$F801,0)-IF($G801="INVESTIMENTO",$F801,0))</f>
        <v>0</v>
      </c>
      <c r="AJ801" s="35" t="str">
        <f aca="false">IF($B801="","",IF(NOT(ISNUMBER($F801)),"ERRO: valor nao numerico",IF($F801&lt;=0,"ERRO: valor deve ser maior que zero",IF(COUNTIF(MAP_TIPO,$D801)=0,"ERRO: tipo de operacao nao cadastrado",IF(COUNTIF(LST_STATUS,$E801)=0,"ERRO: status invalido",IF(AND($G801="EXTERNO",$I801="EXTERNO"),"ERRO: origem e destino externos",IF(AND($G801&lt;&gt;"EXTERNO",COUNTIFS(ENT_ID,$H801,ENT_TIPO,$G801)=0),"ERRO: origem inexistente",IF(AND($I801&lt;&gt;"EXTERNO",COUNTIFS(ENT_ID,$J801,ENT_TIPO,$I801)=0),"ERRO: destino inexistente",IF(AND($K801&lt;&gt;"",COUNTIF(CAT_ID,$K801)=0),"ERRO: categoria inexistente",IF(AND($L801&lt;&gt;"",COUNTIF(SUB_ID,$L801)=0),"ERRO: subcategoria inexistente",IF(AND($L801&lt;&gt;"",$K801&lt;&gt;"",IFERROR(INDEX(SUB_CATID,MATCH($L801,SUB_ID,0)),"")&lt;&gt;$K801),"ERRO: subcategoria nao pertence a categoria",IF(AND($O801&lt;&gt;"",COUNTIF(P_ID,$O801)=0),"ERRO: parcela inexistente",IF(AND($N801&lt;&gt;"",COUNTIF(CM_ID,$N801)=0),"ERRO: compromisso inexistente","OK")))))))))))))</f>
        <v/>
      </c>
      <c r="AK801" s="35" t="str">
        <f aca="false">IF($B801="","",IF(AND($N801="",$O801="",$P801="",$Q801="",$R801=""),"","VINCULADO: "&amp;TRIM(IF($N801&lt;&gt;"",$N801&amp;" ","")&amp;IF($O801&lt;&gt;"",$O801&amp;" ","")&amp;IF($P801&lt;&gt;"",$P801&amp;" ","")&amp;IF($Q801&lt;&gt;"",$Q801&amp;" ","")&amp;IF($R801&lt;&gt;"",$R801,""))))</f>
        <v/>
      </c>
    </row>
    <row r="802" customFormat="false" ht="15" hidden="false" customHeight="false" outlineLevel="0" collapsed="false">
      <c r="A802" s="30" t="str">
        <f aca="false">IF($B802="","","LAN-"&amp;TEXT(ROW()-4,"000000"))</f>
        <v/>
      </c>
      <c r="B802" s="31"/>
      <c r="C802" s="32"/>
      <c r="D802" s="32"/>
      <c r="E802" s="32"/>
      <c r="F802" s="33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4" t="str">
        <f aca="false">IF($B802="","",YEAR($B802))</f>
        <v/>
      </c>
      <c r="U802" s="34" t="str">
        <f aca="false">IF($B802="","",MONTH($B802))</f>
        <v/>
      </c>
      <c r="V802" s="34" t="str">
        <f aca="false">IF($B802="","",YEAR($B802)*100+MONTH($B802))</f>
        <v/>
      </c>
      <c r="W802" s="35" t="str">
        <f aca="false">IF($D802="","",IFERROR(INDEX(MAP_CLASS,MATCH($D802,MAP_TIPO,0)),"TIPO INVALIDO"))</f>
        <v/>
      </c>
      <c r="X802" s="35" t="str">
        <f aca="false">IF($K802="","",IFERROR(INDEX(CAT_NOME,MATCH($K802,CAT_ID,0)),"?"))</f>
        <v/>
      </c>
      <c r="Y802" s="35" t="str">
        <f aca="false">IF($L802="","",IFERROR(INDEX(SUB_NOME,MATCH($L802,SUB_ID,0)),"?"))</f>
        <v/>
      </c>
      <c r="Z802" s="35" t="str">
        <f aca="false">IF($G802="","",IF($G802="EXTERNO","(Externo)",IFERROR(INDEX(ENT_NOME,MATCH($H802,ENT_ID,0)),"?")))</f>
        <v/>
      </c>
      <c r="AA802" s="35" t="str">
        <f aca="false">IF($I802="","",IF($I802="EXTERNO","(Externo)",IFERROR(INDEX(ENT_NOME,MATCH($J802,ENT_ID,0)),"?")))</f>
        <v/>
      </c>
      <c r="AB802" s="36" t="n">
        <f aca="false">IF($B802="",0,IF(AND($I802="CONTA",$G802&lt;&gt;"CONTA"),$F802,0))</f>
        <v>0</v>
      </c>
      <c r="AC802" s="36" t="n">
        <f aca="false">IF($B802="",0,IF(AND($G802="CONTA",$I802&lt;&gt;"CONTA"),$F802,0))</f>
        <v>0</v>
      </c>
      <c r="AD802" s="36" t="n">
        <f aca="false">IF($W802="RECEITA",$F802,0)</f>
        <v>0</v>
      </c>
      <c r="AE802" s="36" t="n">
        <f aca="false">IF($W802="DESPESA",$F802,0)</f>
        <v>0</v>
      </c>
      <c r="AF802" s="36" t="n">
        <f aca="false">IF($W802="RECEITA_FINANCEIRA",$F802,0)</f>
        <v>0</v>
      </c>
      <c r="AG802" s="36" t="n">
        <f aca="false">IF($B802="",0,IF($I802="CONTA",$F802,0)-IF($G802="CONTA",$F802,0))</f>
        <v>0</v>
      </c>
      <c r="AH802" s="36" t="n">
        <f aca="false">IF($B802="",0,IF($G802="CARTAO",$F802,0)-IF($I802="CARTAO",$F802,0))</f>
        <v>0</v>
      </c>
      <c r="AI802" s="36" t="n">
        <f aca="false">IF($B802="",0,IF($I802="INVESTIMENTO",$F802,0)-IF($G802="INVESTIMENTO",$F802,0))</f>
        <v>0</v>
      </c>
      <c r="AJ802" s="35" t="str">
        <f aca="false">IF($B802="","",IF(NOT(ISNUMBER($F802)),"ERRO: valor nao numerico",IF($F802&lt;=0,"ERRO: valor deve ser maior que zero",IF(COUNTIF(MAP_TIPO,$D802)=0,"ERRO: tipo de operacao nao cadastrado",IF(COUNTIF(LST_STATUS,$E802)=0,"ERRO: status invalido",IF(AND($G802="EXTERNO",$I802="EXTERNO"),"ERRO: origem e destino externos",IF(AND($G802&lt;&gt;"EXTERNO",COUNTIFS(ENT_ID,$H802,ENT_TIPO,$G802)=0),"ERRO: origem inexistente",IF(AND($I802&lt;&gt;"EXTERNO",COUNTIFS(ENT_ID,$J802,ENT_TIPO,$I802)=0),"ERRO: destino inexistente",IF(AND($K802&lt;&gt;"",COUNTIF(CAT_ID,$K802)=0),"ERRO: categoria inexistente",IF(AND($L802&lt;&gt;"",COUNTIF(SUB_ID,$L802)=0),"ERRO: subcategoria inexistente",IF(AND($L802&lt;&gt;"",$K802&lt;&gt;"",IFERROR(INDEX(SUB_CATID,MATCH($L802,SUB_ID,0)),"")&lt;&gt;$K802),"ERRO: subcategoria nao pertence a categoria",IF(AND($O802&lt;&gt;"",COUNTIF(P_ID,$O802)=0),"ERRO: parcela inexistente",IF(AND($N802&lt;&gt;"",COUNTIF(CM_ID,$N802)=0),"ERRO: compromisso inexistente","OK")))))))))))))</f>
        <v/>
      </c>
      <c r="AK802" s="35" t="str">
        <f aca="false">IF($B802="","",IF(AND($N802="",$O802="",$P802="",$Q802="",$R802=""),"","VINCULADO: "&amp;TRIM(IF($N802&lt;&gt;"",$N802&amp;" ","")&amp;IF($O802&lt;&gt;"",$O802&amp;" ","")&amp;IF($P802&lt;&gt;"",$P802&amp;" ","")&amp;IF($Q802&lt;&gt;"",$Q802&amp;" ","")&amp;IF($R802&lt;&gt;"",$R802,""))))</f>
        <v/>
      </c>
    </row>
    <row r="803" customFormat="false" ht="15" hidden="false" customHeight="false" outlineLevel="0" collapsed="false">
      <c r="A803" s="30" t="str">
        <f aca="false">IF($B803="","","LAN-"&amp;TEXT(ROW()-4,"000000"))</f>
        <v/>
      </c>
      <c r="B803" s="31"/>
      <c r="C803" s="32"/>
      <c r="D803" s="32"/>
      <c r="E803" s="32"/>
      <c r="F803" s="33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4" t="str">
        <f aca="false">IF($B803="","",YEAR($B803))</f>
        <v/>
      </c>
      <c r="U803" s="34" t="str">
        <f aca="false">IF($B803="","",MONTH($B803))</f>
        <v/>
      </c>
      <c r="V803" s="34" t="str">
        <f aca="false">IF($B803="","",YEAR($B803)*100+MONTH($B803))</f>
        <v/>
      </c>
      <c r="W803" s="35" t="str">
        <f aca="false">IF($D803="","",IFERROR(INDEX(MAP_CLASS,MATCH($D803,MAP_TIPO,0)),"TIPO INVALIDO"))</f>
        <v/>
      </c>
      <c r="X803" s="35" t="str">
        <f aca="false">IF($K803="","",IFERROR(INDEX(CAT_NOME,MATCH($K803,CAT_ID,0)),"?"))</f>
        <v/>
      </c>
      <c r="Y803" s="35" t="str">
        <f aca="false">IF($L803="","",IFERROR(INDEX(SUB_NOME,MATCH($L803,SUB_ID,0)),"?"))</f>
        <v/>
      </c>
      <c r="Z803" s="35" t="str">
        <f aca="false">IF($G803="","",IF($G803="EXTERNO","(Externo)",IFERROR(INDEX(ENT_NOME,MATCH($H803,ENT_ID,0)),"?")))</f>
        <v/>
      </c>
      <c r="AA803" s="35" t="str">
        <f aca="false">IF($I803="","",IF($I803="EXTERNO","(Externo)",IFERROR(INDEX(ENT_NOME,MATCH($J803,ENT_ID,0)),"?")))</f>
        <v/>
      </c>
      <c r="AB803" s="36" t="n">
        <f aca="false">IF($B803="",0,IF(AND($I803="CONTA",$G803&lt;&gt;"CONTA"),$F803,0))</f>
        <v>0</v>
      </c>
      <c r="AC803" s="36" t="n">
        <f aca="false">IF($B803="",0,IF(AND($G803="CONTA",$I803&lt;&gt;"CONTA"),$F803,0))</f>
        <v>0</v>
      </c>
      <c r="AD803" s="36" t="n">
        <f aca="false">IF($W803="RECEITA",$F803,0)</f>
        <v>0</v>
      </c>
      <c r="AE803" s="36" t="n">
        <f aca="false">IF($W803="DESPESA",$F803,0)</f>
        <v>0</v>
      </c>
      <c r="AF803" s="36" t="n">
        <f aca="false">IF($W803="RECEITA_FINANCEIRA",$F803,0)</f>
        <v>0</v>
      </c>
      <c r="AG803" s="36" t="n">
        <f aca="false">IF($B803="",0,IF($I803="CONTA",$F803,0)-IF($G803="CONTA",$F803,0))</f>
        <v>0</v>
      </c>
      <c r="AH803" s="36" t="n">
        <f aca="false">IF($B803="",0,IF($G803="CARTAO",$F803,0)-IF($I803="CARTAO",$F803,0))</f>
        <v>0</v>
      </c>
      <c r="AI803" s="36" t="n">
        <f aca="false">IF($B803="",0,IF($I803="INVESTIMENTO",$F803,0)-IF($G803="INVESTIMENTO",$F803,0))</f>
        <v>0</v>
      </c>
      <c r="AJ803" s="35" t="str">
        <f aca="false">IF($B803="","",IF(NOT(ISNUMBER($F803)),"ERRO: valor nao numerico",IF($F803&lt;=0,"ERRO: valor deve ser maior que zero",IF(COUNTIF(MAP_TIPO,$D803)=0,"ERRO: tipo de operacao nao cadastrado",IF(COUNTIF(LST_STATUS,$E803)=0,"ERRO: status invalido",IF(AND($G803="EXTERNO",$I803="EXTERNO"),"ERRO: origem e destino externos",IF(AND($G803&lt;&gt;"EXTERNO",COUNTIFS(ENT_ID,$H803,ENT_TIPO,$G803)=0),"ERRO: origem inexistente",IF(AND($I803&lt;&gt;"EXTERNO",COUNTIFS(ENT_ID,$J803,ENT_TIPO,$I803)=0),"ERRO: destino inexistente",IF(AND($K803&lt;&gt;"",COUNTIF(CAT_ID,$K803)=0),"ERRO: categoria inexistente",IF(AND($L803&lt;&gt;"",COUNTIF(SUB_ID,$L803)=0),"ERRO: subcategoria inexistente",IF(AND($L803&lt;&gt;"",$K803&lt;&gt;"",IFERROR(INDEX(SUB_CATID,MATCH($L803,SUB_ID,0)),"")&lt;&gt;$K803),"ERRO: subcategoria nao pertence a categoria",IF(AND($O803&lt;&gt;"",COUNTIF(P_ID,$O803)=0),"ERRO: parcela inexistente",IF(AND($N803&lt;&gt;"",COUNTIF(CM_ID,$N803)=0),"ERRO: compromisso inexistente","OK")))))))))))))</f>
        <v/>
      </c>
      <c r="AK803" s="35" t="str">
        <f aca="false">IF($B803="","",IF(AND($N803="",$O803="",$P803="",$Q803="",$R803=""),"","VINCULADO: "&amp;TRIM(IF($N803&lt;&gt;"",$N803&amp;" ","")&amp;IF($O803&lt;&gt;"",$O803&amp;" ","")&amp;IF($P803&lt;&gt;"",$P803&amp;" ","")&amp;IF($Q803&lt;&gt;"",$Q803&amp;" ","")&amp;IF($R803&lt;&gt;"",$R803,""))))</f>
        <v/>
      </c>
    </row>
    <row r="804" customFormat="false" ht="15" hidden="false" customHeight="false" outlineLevel="0" collapsed="false">
      <c r="A804" s="30" t="str">
        <f aca="false">IF($B804="","","LAN-"&amp;TEXT(ROW()-4,"000000"))</f>
        <v/>
      </c>
      <c r="B804" s="31"/>
      <c r="C804" s="32"/>
      <c r="D804" s="32"/>
      <c r="E804" s="32"/>
      <c r="F804" s="33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4" t="str">
        <f aca="false">IF($B804="","",YEAR($B804))</f>
        <v/>
      </c>
      <c r="U804" s="34" t="str">
        <f aca="false">IF($B804="","",MONTH($B804))</f>
        <v/>
      </c>
      <c r="V804" s="34" t="str">
        <f aca="false">IF($B804="","",YEAR($B804)*100+MONTH($B804))</f>
        <v/>
      </c>
      <c r="W804" s="35" t="str">
        <f aca="false">IF($D804="","",IFERROR(INDEX(MAP_CLASS,MATCH($D804,MAP_TIPO,0)),"TIPO INVALIDO"))</f>
        <v/>
      </c>
      <c r="X804" s="35" t="str">
        <f aca="false">IF($K804="","",IFERROR(INDEX(CAT_NOME,MATCH($K804,CAT_ID,0)),"?"))</f>
        <v/>
      </c>
      <c r="Y804" s="35" t="str">
        <f aca="false">IF($L804="","",IFERROR(INDEX(SUB_NOME,MATCH($L804,SUB_ID,0)),"?"))</f>
        <v/>
      </c>
      <c r="Z804" s="35" t="str">
        <f aca="false">IF($G804="","",IF($G804="EXTERNO","(Externo)",IFERROR(INDEX(ENT_NOME,MATCH($H804,ENT_ID,0)),"?")))</f>
        <v/>
      </c>
      <c r="AA804" s="35" t="str">
        <f aca="false">IF($I804="","",IF($I804="EXTERNO","(Externo)",IFERROR(INDEX(ENT_NOME,MATCH($J804,ENT_ID,0)),"?")))</f>
        <v/>
      </c>
      <c r="AB804" s="36" t="n">
        <f aca="false">IF($B804="",0,IF(AND($I804="CONTA",$G804&lt;&gt;"CONTA"),$F804,0))</f>
        <v>0</v>
      </c>
      <c r="AC804" s="36" t="n">
        <f aca="false">IF($B804="",0,IF(AND($G804="CONTA",$I804&lt;&gt;"CONTA"),$F804,0))</f>
        <v>0</v>
      </c>
      <c r="AD804" s="36" t="n">
        <f aca="false">IF($W804="RECEITA",$F804,0)</f>
        <v>0</v>
      </c>
      <c r="AE804" s="36" t="n">
        <f aca="false">IF($W804="DESPESA",$F804,0)</f>
        <v>0</v>
      </c>
      <c r="AF804" s="36" t="n">
        <f aca="false">IF($W804="RECEITA_FINANCEIRA",$F804,0)</f>
        <v>0</v>
      </c>
      <c r="AG804" s="36" t="n">
        <f aca="false">IF($B804="",0,IF($I804="CONTA",$F804,0)-IF($G804="CONTA",$F804,0))</f>
        <v>0</v>
      </c>
      <c r="AH804" s="36" t="n">
        <f aca="false">IF($B804="",0,IF($G804="CARTAO",$F804,0)-IF($I804="CARTAO",$F804,0))</f>
        <v>0</v>
      </c>
      <c r="AI804" s="36" t="n">
        <f aca="false">IF($B804="",0,IF($I804="INVESTIMENTO",$F804,0)-IF($G804="INVESTIMENTO",$F804,0))</f>
        <v>0</v>
      </c>
      <c r="AJ804" s="35" t="str">
        <f aca="false">IF($B804="","",IF(NOT(ISNUMBER($F804)),"ERRO: valor nao numerico",IF($F804&lt;=0,"ERRO: valor deve ser maior que zero",IF(COUNTIF(MAP_TIPO,$D804)=0,"ERRO: tipo de operacao nao cadastrado",IF(COUNTIF(LST_STATUS,$E804)=0,"ERRO: status invalido",IF(AND($G804="EXTERNO",$I804="EXTERNO"),"ERRO: origem e destino externos",IF(AND($G804&lt;&gt;"EXTERNO",COUNTIFS(ENT_ID,$H804,ENT_TIPO,$G804)=0),"ERRO: origem inexistente",IF(AND($I804&lt;&gt;"EXTERNO",COUNTIFS(ENT_ID,$J804,ENT_TIPO,$I804)=0),"ERRO: destino inexistente",IF(AND($K804&lt;&gt;"",COUNTIF(CAT_ID,$K804)=0),"ERRO: categoria inexistente",IF(AND($L804&lt;&gt;"",COUNTIF(SUB_ID,$L804)=0),"ERRO: subcategoria inexistente",IF(AND($L804&lt;&gt;"",$K804&lt;&gt;"",IFERROR(INDEX(SUB_CATID,MATCH($L804,SUB_ID,0)),"")&lt;&gt;$K804),"ERRO: subcategoria nao pertence a categoria",IF(AND($O804&lt;&gt;"",COUNTIF(P_ID,$O804)=0),"ERRO: parcela inexistente",IF(AND($N804&lt;&gt;"",COUNTIF(CM_ID,$N804)=0),"ERRO: compromisso inexistente","OK")))))))))))))</f>
        <v/>
      </c>
      <c r="AK804" s="35" t="str">
        <f aca="false">IF($B804="","",IF(AND($N804="",$O804="",$P804="",$Q804="",$R804=""),"","VINCULADO: "&amp;TRIM(IF($N804&lt;&gt;"",$N804&amp;" ","")&amp;IF($O804&lt;&gt;"",$O804&amp;" ","")&amp;IF($P804&lt;&gt;"",$P804&amp;" ","")&amp;IF($Q804&lt;&gt;"",$Q804&amp;" ","")&amp;IF($R804&lt;&gt;"",$R804,""))))</f>
        <v/>
      </c>
    </row>
    <row r="805" customFormat="false" ht="15" hidden="false" customHeight="false" outlineLevel="0" collapsed="false">
      <c r="A805" s="30" t="str">
        <f aca="false">IF($B805="","","LAN-"&amp;TEXT(ROW()-4,"000000"))</f>
        <v/>
      </c>
      <c r="B805" s="31"/>
      <c r="C805" s="32"/>
      <c r="D805" s="32"/>
      <c r="E805" s="32"/>
      <c r="F805" s="33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4" t="str">
        <f aca="false">IF($B805="","",YEAR($B805))</f>
        <v/>
      </c>
      <c r="U805" s="34" t="str">
        <f aca="false">IF($B805="","",MONTH($B805))</f>
        <v/>
      </c>
      <c r="V805" s="34" t="str">
        <f aca="false">IF($B805="","",YEAR($B805)*100+MONTH($B805))</f>
        <v/>
      </c>
      <c r="W805" s="35" t="str">
        <f aca="false">IF($D805="","",IFERROR(INDEX(MAP_CLASS,MATCH($D805,MAP_TIPO,0)),"TIPO INVALIDO"))</f>
        <v/>
      </c>
      <c r="X805" s="35" t="str">
        <f aca="false">IF($K805="","",IFERROR(INDEX(CAT_NOME,MATCH($K805,CAT_ID,0)),"?"))</f>
        <v/>
      </c>
      <c r="Y805" s="35" t="str">
        <f aca="false">IF($L805="","",IFERROR(INDEX(SUB_NOME,MATCH($L805,SUB_ID,0)),"?"))</f>
        <v/>
      </c>
      <c r="Z805" s="35" t="str">
        <f aca="false">IF($G805="","",IF($G805="EXTERNO","(Externo)",IFERROR(INDEX(ENT_NOME,MATCH($H805,ENT_ID,0)),"?")))</f>
        <v/>
      </c>
      <c r="AA805" s="35" t="str">
        <f aca="false">IF($I805="","",IF($I805="EXTERNO","(Externo)",IFERROR(INDEX(ENT_NOME,MATCH($J805,ENT_ID,0)),"?")))</f>
        <v/>
      </c>
      <c r="AB805" s="36" t="n">
        <f aca="false">IF($B805="",0,IF(AND($I805="CONTA",$G805&lt;&gt;"CONTA"),$F805,0))</f>
        <v>0</v>
      </c>
      <c r="AC805" s="36" t="n">
        <f aca="false">IF($B805="",0,IF(AND($G805="CONTA",$I805&lt;&gt;"CONTA"),$F805,0))</f>
        <v>0</v>
      </c>
      <c r="AD805" s="36" t="n">
        <f aca="false">IF($W805="RECEITA",$F805,0)</f>
        <v>0</v>
      </c>
      <c r="AE805" s="36" t="n">
        <f aca="false">IF($W805="DESPESA",$F805,0)</f>
        <v>0</v>
      </c>
      <c r="AF805" s="36" t="n">
        <f aca="false">IF($W805="RECEITA_FINANCEIRA",$F805,0)</f>
        <v>0</v>
      </c>
      <c r="AG805" s="36" t="n">
        <f aca="false">IF($B805="",0,IF($I805="CONTA",$F805,0)-IF($G805="CONTA",$F805,0))</f>
        <v>0</v>
      </c>
      <c r="AH805" s="36" t="n">
        <f aca="false">IF($B805="",0,IF($G805="CARTAO",$F805,0)-IF($I805="CARTAO",$F805,0))</f>
        <v>0</v>
      </c>
      <c r="AI805" s="36" t="n">
        <f aca="false">IF($B805="",0,IF($I805="INVESTIMENTO",$F805,0)-IF($G805="INVESTIMENTO",$F805,0))</f>
        <v>0</v>
      </c>
      <c r="AJ805" s="35" t="str">
        <f aca="false">IF($B805="","",IF(NOT(ISNUMBER($F805)),"ERRO: valor nao numerico",IF($F805&lt;=0,"ERRO: valor deve ser maior que zero",IF(COUNTIF(MAP_TIPO,$D805)=0,"ERRO: tipo de operacao nao cadastrado",IF(COUNTIF(LST_STATUS,$E805)=0,"ERRO: status invalido",IF(AND($G805="EXTERNO",$I805="EXTERNO"),"ERRO: origem e destino externos",IF(AND($G805&lt;&gt;"EXTERNO",COUNTIFS(ENT_ID,$H805,ENT_TIPO,$G805)=0),"ERRO: origem inexistente",IF(AND($I805&lt;&gt;"EXTERNO",COUNTIFS(ENT_ID,$J805,ENT_TIPO,$I805)=0),"ERRO: destino inexistente",IF(AND($K805&lt;&gt;"",COUNTIF(CAT_ID,$K805)=0),"ERRO: categoria inexistente",IF(AND($L805&lt;&gt;"",COUNTIF(SUB_ID,$L805)=0),"ERRO: subcategoria inexistente",IF(AND($L805&lt;&gt;"",$K805&lt;&gt;"",IFERROR(INDEX(SUB_CATID,MATCH($L805,SUB_ID,0)),"")&lt;&gt;$K805),"ERRO: subcategoria nao pertence a categoria",IF(AND($O805&lt;&gt;"",COUNTIF(P_ID,$O805)=0),"ERRO: parcela inexistente",IF(AND($N805&lt;&gt;"",COUNTIF(CM_ID,$N805)=0),"ERRO: compromisso inexistente","OK")))))))))))))</f>
        <v/>
      </c>
      <c r="AK805" s="35" t="str">
        <f aca="false">IF($B805="","",IF(AND($N805="",$O805="",$P805="",$Q805="",$R805=""),"","VINCULADO: "&amp;TRIM(IF($N805&lt;&gt;"",$N805&amp;" ","")&amp;IF($O805&lt;&gt;"",$O805&amp;" ","")&amp;IF($P805&lt;&gt;"",$P805&amp;" ","")&amp;IF($Q805&lt;&gt;"",$Q805&amp;" ","")&amp;IF($R805&lt;&gt;"",$R805,""))))</f>
        <v/>
      </c>
    </row>
    <row r="806" customFormat="false" ht="15" hidden="false" customHeight="false" outlineLevel="0" collapsed="false">
      <c r="A806" s="30" t="str">
        <f aca="false">IF($B806="","","LAN-"&amp;TEXT(ROW()-4,"000000"))</f>
        <v/>
      </c>
      <c r="B806" s="31"/>
      <c r="C806" s="32"/>
      <c r="D806" s="32"/>
      <c r="E806" s="32"/>
      <c r="F806" s="33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4" t="str">
        <f aca="false">IF($B806="","",YEAR($B806))</f>
        <v/>
      </c>
      <c r="U806" s="34" t="str">
        <f aca="false">IF($B806="","",MONTH($B806))</f>
        <v/>
      </c>
      <c r="V806" s="34" t="str">
        <f aca="false">IF($B806="","",YEAR($B806)*100+MONTH($B806))</f>
        <v/>
      </c>
      <c r="W806" s="35" t="str">
        <f aca="false">IF($D806="","",IFERROR(INDEX(MAP_CLASS,MATCH($D806,MAP_TIPO,0)),"TIPO INVALIDO"))</f>
        <v/>
      </c>
      <c r="X806" s="35" t="str">
        <f aca="false">IF($K806="","",IFERROR(INDEX(CAT_NOME,MATCH($K806,CAT_ID,0)),"?"))</f>
        <v/>
      </c>
      <c r="Y806" s="35" t="str">
        <f aca="false">IF($L806="","",IFERROR(INDEX(SUB_NOME,MATCH($L806,SUB_ID,0)),"?"))</f>
        <v/>
      </c>
      <c r="Z806" s="35" t="str">
        <f aca="false">IF($G806="","",IF($G806="EXTERNO","(Externo)",IFERROR(INDEX(ENT_NOME,MATCH($H806,ENT_ID,0)),"?")))</f>
        <v/>
      </c>
      <c r="AA806" s="35" t="str">
        <f aca="false">IF($I806="","",IF($I806="EXTERNO","(Externo)",IFERROR(INDEX(ENT_NOME,MATCH($J806,ENT_ID,0)),"?")))</f>
        <v/>
      </c>
      <c r="AB806" s="36" t="n">
        <f aca="false">IF($B806="",0,IF(AND($I806="CONTA",$G806&lt;&gt;"CONTA"),$F806,0))</f>
        <v>0</v>
      </c>
      <c r="AC806" s="36" t="n">
        <f aca="false">IF($B806="",0,IF(AND($G806="CONTA",$I806&lt;&gt;"CONTA"),$F806,0))</f>
        <v>0</v>
      </c>
      <c r="AD806" s="36" t="n">
        <f aca="false">IF($W806="RECEITA",$F806,0)</f>
        <v>0</v>
      </c>
      <c r="AE806" s="36" t="n">
        <f aca="false">IF($W806="DESPESA",$F806,0)</f>
        <v>0</v>
      </c>
      <c r="AF806" s="36" t="n">
        <f aca="false">IF($W806="RECEITA_FINANCEIRA",$F806,0)</f>
        <v>0</v>
      </c>
      <c r="AG806" s="36" t="n">
        <f aca="false">IF($B806="",0,IF($I806="CONTA",$F806,0)-IF($G806="CONTA",$F806,0))</f>
        <v>0</v>
      </c>
      <c r="AH806" s="36" t="n">
        <f aca="false">IF($B806="",0,IF($G806="CARTAO",$F806,0)-IF($I806="CARTAO",$F806,0))</f>
        <v>0</v>
      </c>
      <c r="AI806" s="36" t="n">
        <f aca="false">IF($B806="",0,IF($I806="INVESTIMENTO",$F806,0)-IF($G806="INVESTIMENTO",$F806,0))</f>
        <v>0</v>
      </c>
      <c r="AJ806" s="35" t="str">
        <f aca="false">IF($B806="","",IF(NOT(ISNUMBER($F806)),"ERRO: valor nao numerico",IF($F806&lt;=0,"ERRO: valor deve ser maior que zero",IF(COUNTIF(MAP_TIPO,$D806)=0,"ERRO: tipo de operacao nao cadastrado",IF(COUNTIF(LST_STATUS,$E806)=0,"ERRO: status invalido",IF(AND($G806="EXTERNO",$I806="EXTERNO"),"ERRO: origem e destino externos",IF(AND($G806&lt;&gt;"EXTERNO",COUNTIFS(ENT_ID,$H806,ENT_TIPO,$G806)=0),"ERRO: origem inexistente",IF(AND($I806&lt;&gt;"EXTERNO",COUNTIFS(ENT_ID,$J806,ENT_TIPO,$I806)=0),"ERRO: destino inexistente",IF(AND($K806&lt;&gt;"",COUNTIF(CAT_ID,$K806)=0),"ERRO: categoria inexistente",IF(AND($L806&lt;&gt;"",COUNTIF(SUB_ID,$L806)=0),"ERRO: subcategoria inexistente",IF(AND($L806&lt;&gt;"",$K806&lt;&gt;"",IFERROR(INDEX(SUB_CATID,MATCH($L806,SUB_ID,0)),"")&lt;&gt;$K806),"ERRO: subcategoria nao pertence a categoria",IF(AND($O806&lt;&gt;"",COUNTIF(P_ID,$O806)=0),"ERRO: parcela inexistente",IF(AND($N806&lt;&gt;"",COUNTIF(CM_ID,$N806)=0),"ERRO: compromisso inexistente","OK")))))))))))))</f>
        <v/>
      </c>
      <c r="AK806" s="35" t="str">
        <f aca="false">IF($B806="","",IF(AND($N806="",$O806="",$P806="",$Q806="",$R806=""),"","VINCULADO: "&amp;TRIM(IF($N806&lt;&gt;"",$N806&amp;" ","")&amp;IF($O806&lt;&gt;"",$O806&amp;" ","")&amp;IF($P806&lt;&gt;"",$P806&amp;" ","")&amp;IF($Q806&lt;&gt;"",$Q806&amp;" ","")&amp;IF($R806&lt;&gt;"",$R806,""))))</f>
        <v/>
      </c>
    </row>
    <row r="807" customFormat="false" ht="15" hidden="false" customHeight="false" outlineLevel="0" collapsed="false">
      <c r="A807" s="30" t="str">
        <f aca="false">IF($B807="","","LAN-"&amp;TEXT(ROW()-4,"000000"))</f>
        <v/>
      </c>
      <c r="B807" s="31"/>
      <c r="C807" s="32"/>
      <c r="D807" s="32"/>
      <c r="E807" s="32"/>
      <c r="F807" s="33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4" t="str">
        <f aca="false">IF($B807="","",YEAR($B807))</f>
        <v/>
      </c>
      <c r="U807" s="34" t="str">
        <f aca="false">IF($B807="","",MONTH($B807))</f>
        <v/>
      </c>
      <c r="V807" s="34" t="str">
        <f aca="false">IF($B807="","",YEAR($B807)*100+MONTH($B807))</f>
        <v/>
      </c>
      <c r="W807" s="35" t="str">
        <f aca="false">IF($D807="","",IFERROR(INDEX(MAP_CLASS,MATCH($D807,MAP_TIPO,0)),"TIPO INVALIDO"))</f>
        <v/>
      </c>
      <c r="X807" s="35" t="str">
        <f aca="false">IF($K807="","",IFERROR(INDEX(CAT_NOME,MATCH($K807,CAT_ID,0)),"?"))</f>
        <v/>
      </c>
      <c r="Y807" s="35" t="str">
        <f aca="false">IF($L807="","",IFERROR(INDEX(SUB_NOME,MATCH($L807,SUB_ID,0)),"?"))</f>
        <v/>
      </c>
      <c r="Z807" s="35" t="str">
        <f aca="false">IF($G807="","",IF($G807="EXTERNO","(Externo)",IFERROR(INDEX(ENT_NOME,MATCH($H807,ENT_ID,0)),"?")))</f>
        <v/>
      </c>
      <c r="AA807" s="35" t="str">
        <f aca="false">IF($I807="","",IF($I807="EXTERNO","(Externo)",IFERROR(INDEX(ENT_NOME,MATCH($J807,ENT_ID,0)),"?")))</f>
        <v/>
      </c>
      <c r="AB807" s="36" t="n">
        <f aca="false">IF($B807="",0,IF(AND($I807="CONTA",$G807&lt;&gt;"CONTA"),$F807,0))</f>
        <v>0</v>
      </c>
      <c r="AC807" s="36" t="n">
        <f aca="false">IF($B807="",0,IF(AND($G807="CONTA",$I807&lt;&gt;"CONTA"),$F807,0))</f>
        <v>0</v>
      </c>
      <c r="AD807" s="36" t="n">
        <f aca="false">IF($W807="RECEITA",$F807,0)</f>
        <v>0</v>
      </c>
      <c r="AE807" s="36" t="n">
        <f aca="false">IF($W807="DESPESA",$F807,0)</f>
        <v>0</v>
      </c>
      <c r="AF807" s="36" t="n">
        <f aca="false">IF($W807="RECEITA_FINANCEIRA",$F807,0)</f>
        <v>0</v>
      </c>
      <c r="AG807" s="36" t="n">
        <f aca="false">IF($B807="",0,IF($I807="CONTA",$F807,0)-IF($G807="CONTA",$F807,0))</f>
        <v>0</v>
      </c>
      <c r="AH807" s="36" t="n">
        <f aca="false">IF($B807="",0,IF($G807="CARTAO",$F807,0)-IF($I807="CARTAO",$F807,0))</f>
        <v>0</v>
      </c>
      <c r="AI807" s="36" t="n">
        <f aca="false">IF($B807="",0,IF($I807="INVESTIMENTO",$F807,0)-IF($G807="INVESTIMENTO",$F807,0))</f>
        <v>0</v>
      </c>
      <c r="AJ807" s="35" t="str">
        <f aca="false">IF($B807="","",IF(NOT(ISNUMBER($F807)),"ERRO: valor nao numerico",IF($F807&lt;=0,"ERRO: valor deve ser maior que zero",IF(COUNTIF(MAP_TIPO,$D807)=0,"ERRO: tipo de operacao nao cadastrado",IF(COUNTIF(LST_STATUS,$E807)=0,"ERRO: status invalido",IF(AND($G807="EXTERNO",$I807="EXTERNO"),"ERRO: origem e destino externos",IF(AND($G807&lt;&gt;"EXTERNO",COUNTIFS(ENT_ID,$H807,ENT_TIPO,$G807)=0),"ERRO: origem inexistente",IF(AND($I807&lt;&gt;"EXTERNO",COUNTIFS(ENT_ID,$J807,ENT_TIPO,$I807)=0),"ERRO: destino inexistente",IF(AND($K807&lt;&gt;"",COUNTIF(CAT_ID,$K807)=0),"ERRO: categoria inexistente",IF(AND($L807&lt;&gt;"",COUNTIF(SUB_ID,$L807)=0),"ERRO: subcategoria inexistente",IF(AND($L807&lt;&gt;"",$K807&lt;&gt;"",IFERROR(INDEX(SUB_CATID,MATCH($L807,SUB_ID,0)),"")&lt;&gt;$K807),"ERRO: subcategoria nao pertence a categoria",IF(AND($O807&lt;&gt;"",COUNTIF(P_ID,$O807)=0),"ERRO: parcela inexistente",IF(AND($N807&lt;&gt;"",COUNTIF(CM_ID,$N807)=0),"ERRO: compromisso inexistente","OK")))))))))))))</f>
        <v/>
      </c>
      <c r="AK807" s="35" t="str">
        <f aca="false">IF($B807="","",IF(AND($N807="",$O807="",$P807="",$Q807="",$R807=""),"","VINCULADO: "&amp;TRIM(IF($N807&lt;&gt;"",$N807&amp;" ","")&amp;IF($O807&lt;&gt;"",$O807&amp;" ","")&amp;IF($P807&lt;&gt;"",$P807&amp;" ","")&amp;IF($Q807&lt;&gt;"",$Q807&amp;" ","")&amp;IF($R807&lt;&gt;"",$R807,""))))</f>
        <v/>
      </c>
    </row>
    <row r="808" customFormat="false" ht="15" hidden="false" customHeight="false" outlineLevel="0" collapsed="false">
      <c r="A808" s="30" t="str">
        <f aca="false">IF($B808="","","LAN-"&amp;TEXT(ROW()-4,"000000"))</f>
        <v/>
      </c>
      <c r="B808" s="31"/>
      <c r="C808" s="32"/>
      <c r="D808" s="32"/>
      <c r="E808" s="32"/>
      <c r="F808" s="33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4" t="str">
        <f aca="false">IF($B808="","",YEAR($B808))</f>
        <v/>
      </c>
      <c r="U808" s="34" t="str">
        <f aca="false">IF($B808="","",MONTH($B808))</f>
        <v/>
      </c>
      <c r="V808" s="34" t="str">
        <f aca="false">IF($B808="","",YEAR($B808)*100+MONTH($B808))</f>
        <v/>
      </c>
      <c r="W808" s="35" t="str">
        <f aca="false">IF($D808="","",IFERROR(INDEX(MAP_CLASS,MATCH($D808,MAP_TIPO,0)),"TIPO INVALIDO"))</f>
        <v/>
      </c>
      <c r="X808" s="35" t="str">
        <f aca="false">IF($K808="","",IFERROR(INDEX(CAT_NOME,MATCH($K808,CAT_ID,0)),"?"))</f>
        <v/>
      </c>
      <c r="Y808" s="35" t="str">
        <f aca="false">IF($L808="","",IFERROR(INDEX(SUB_NOME,MATCH($L808,SUB_ID,0)),"?"))</f>
        <v/>
      </c>
      <c r="Z808" s="35" t="str">
        <f aca="false">IF($G808="","",IF($G808="EXTERNO","(Externo)",IFERROR(INDEX(ENT_NOME,MATCH($H808,ENT_ID,0)),"?")))</f>
        <v/>
      </c>
      <c r="AA808" s="35" t="str">
        <f aca="false">IF($I808="","",IF($I808="EXTERNO","(Externo)",IFERROR(INDEX(ENT_NOME,MATCH($J808,ENT_ID,0)),"?")))</f>
        <v/>
      </c>
      <c r="AB808" s="36" t="n">
        <f aca="false">IF($B808="",0,IF(AND($I808="CONTA",$G808&lt;&gt;"CONTA"),$F808,0))</f>
        <v>0</v>
      </c>
      <c r="AC808" s="36" t="n">
        <f aca="false">IF($B808="",0,IF(AND($G808="CONTA",$I808&lt;&gt;"CONTA"),$F808,0))</f>
        <v>0</v>
      </c>
      <c r="AD808" s="36" t="n">
        <f aca="false">IF($W808="RECEITA",$F808,0)</f>
        <v>0</v>
      </c>
      <c r="AE808" s="36" t="n">
        <f aca="false">IF($W808="DESPESA",$F808,0)</f>
        <v>0</v>
      </c>
      <c r="AF808" s="36" t="n">
        <f aca="false">IF($W808="RECEITA_FINANCEIRA",$F808,0)</f>
        <v>0</v>
      </c>
      <c r="AG808" s="36" t="n">
        <f aca="false">IF($B808="",0,IF($I808="CONTA",$F808,0)-IF($G808="CONTA",$F808,0))</f>
        <v>0</v>
      </c>
      <c r="AH808" s="36" t="n">
        <f aca="false">IF($B808="",0,IF($G808="CARTAO",$F808,0)-IF($I808="CARTAO",$F808,0))</f>
        <v>0</v>
      </c>
      <c r="AI808" s="36" t="n">
        <f aca="false">IF($B808="",0,IF($I808="INVESTIMENTO",$F808,0)-IF($G808="INVESTIMENTO",$F808,0))</f>
        <v>0</v>
      </c>
      <c r="AJ808" s="35" t="str">
        <f aca="false">IF($B808="","",IF(NOT(ISNUMBER($F808)),"ERRO: valor nao numerico",IF($F808&lt;=0,"ERRO: valor deve ser maior que zero",IF(COUNTIF(MAP_TIPO,$D808)=0,"ERRO: tipo de operacao nao cadastrado",IF(COUNTIF(LST_STATUS,$E808)=0,"ERRO: status invalido",IF(AND($G808="EXTERNO",$I808="EXTERNO"),"ERRO: origem e destino externos",IF(AND($G808&lt;&gt;"EXTERNO",COUNTIFS(ENT_ID,$H808,ENT_TIPO,$G808)=0),"ERRO: origem inexistente",IF(AND($I808&lt;&gt;"EXTERNO",COUNTIFS(ENT_ID,$J808,ENT_TIPO,$I808)=0),"ERRO: destino inexistente",IF(AND($K808&lt;&gt;"",COUNTIF(CAT_ID,$K808)=0),"ERRO: categoria inexistente",IF(AND($L808&lt;&gt;"",COUNTIF(SUB_ID,$L808)=0),"ERRO: subcategoria inexistente",IF(AND($L808&lt;&gt;"",$K808&lt;&gt;"",IFERROR(INDEX(SUB_CATID,MATCH($L808,SUB_ID,0)),"")&lt;&gt;$K808),"ERRO: subcategoria nao pertence a categoria",IF(AND($O808&lt;&gt;"",COUNTIF(P_ID,$O808)=0),"ERRO: parcela inexistente",IF(AND($N808&lt;&gt;"",COUNTIF(CM_ID,$N808)=0),"ERRO: compromisso inexistente","OK")))))))))))))</f>
        <v/>
      </c>
      <c r="AK808" s="35" t="str">
        <f aca="false">IF($B808="","",IF(AND($N808="",$O808="",$P808="",$Q808="",$R808=""),"","VINCULADO: "&amp;TRIM(IF($N808&lt;&gt;"",$N808&amp;" ","")&amp;IF($O808&lt;&gt;"",$O808&amp;" ","")&amp;IF($P808&lt;&gt;"",$P808&amp;" ","")&amp;IF($Q808&lt;&gt;"",$Q808&amp;" ","")&amp;IF($R808&lt;&gt;"",$R808,""))))</f>
        <v/>
      </c>
    </row>
    <row r="809" customFormat="false" ht="15" hidden="false" customHeight="false" outlineLevel="0" collapsed="false">
      <c r="A809" s="30" t="str">
        <f aca="false">IF($B809="","","LAN-"&amp;TEXT(ROW()-4,"000000"))</f>
        <v/>
      </c>
      <c r="B809" s="31"/>
      <c r="C809" s="32"/>
      <c r="D809" s="32"/>
      <c r="E809" s="32"/>
      <c r="F809" s="33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4" t="str">
        <f aca="false">IF($B809="","",YEAR($B809))</f>
        <v/>
      </c>
      <c r="U809" s="34" t="str">
        <f aca="false">IF($B809="","",MONTH($B809))</f>
        <v/>
      </c>
      <c r="V809" s="34" t="str">
        <f aca="false">IF($B809="","",YEAR($B809)*100+MONTH($B809))</f>
        <v/>
      </c>
      <c r="W809" s="35" t="str">
        <f aca="false">IF($D809="","",IFERROR(INDEX(MAP_CLASS,MATCH($D809,MAP_TIPO,0)),"TIPO INVALIDO"))</f>
        <v/>
      </c>
      <c r="X809" s="35" t="str">
        <f aca="false">IF($K809="","",IFERROR(INDEX(CAT_NOME,MATCH($K809,CAT_ID,0)),"?"))</f>
        <v/>
      </c>
      <c r="Y809" s="35" t="str">
        <f aca="false">IF($L809="","",IFERROR(INDEX(SUB_NOME,MATCH($L809,SUB_ID,0)),"?"))</f>
        <v/>
      </c>
      <c r="Z809" s="35" t="str">
        <f aca="false">IF($G809="","",IF($G809="EXTERNO","(Externo)",IFERROR(INDEX(ENT_NOME,MATCH($H809,ENT_ID,0)),"?")))</f>
        <v/>
      </c>
      <c r="AA809" s="35" t="str">
        <f aca="false">IF($I809="","",IF($I809="EXTERNO","(Externo)",IFERROR(INDEX(ENT_NOME,MATCH($J809,ENT_ID,0)),"?")))</f>
        <v/>
      </c>
      <c r="AB809" s="36" t="n">
        <f aca="false">IF($B809="",0,IF(AND($I809="CONTA",$G809&lt;&gt;"CONTA"),$F809,0))</f>
        <v>0</v>
      </c>
      <c r="AC809" s="36" t="n">
        <f aca="false">IF($B809="",0,IF(AND($G809="CONTA",$I809&lt;&gt;"CONTA"),$F809,0))</f>
        <v>0</v>
      </c>
      <c r="AD809" s="36" t="n">
        <f aca="false">IF($W809="RECEITA",$F809,0)</f>
        <v>0</v>
      </c>
      <c r="AE809" s="36" t="n">
        <f aca="false">IF($W809="DESPESA",$F809,0)</f>
        <v>0</v>
      </c>
      <c r="AF809" s="36" t="n">
        <f aca="false">IF($W809="RECEITA_FINANCEIRA",$F809,0)</f>
        <v>0</v>
      </c>
      <c r="AG809" s="36" t="n">
        <f aca="false">IF($B809="",0,IF($I809="CONTA",$F809,0)-IF($G809="CONTA",$F809,0))</f>
        <v>0</v>
      </c>
      <c r="AH809" s="36" t="n">
        <f aca="false">IF($B809="",0,IF($G809="CARTAO",$F809,0)-IF($I809="CARTAO",$F809,0))</f>
        <v>0</v>
      </c>
      <c r="AI809" s="36" t="n">
        <f aca="false">IF($B809="",0,IF($I809="INVESTIMENTO",$F809,0)-IF($G809="INVESTIMENTO",$F809,0))</f>
        <v>0</v>
      </c>
      <c r="AJ809" s="35" t="str">
        <f aca="false">IF($B809="","",IF(NOT(ISNUMBER($F809)),"ERRO: valor nao numerico",IF($F809&lt;=0,"ERRO: valor deve ser maior que zero",IF(COUNTIF(MAP_TIPO,$D809)=0,"ERRO: tipo de operacao nao cadastrado",IF(COUNTIF(LST_STATUS,$E809)=0,"ERRO: status invalido",IF(AND($G809="EXTERNO",$I809="EXTERNO"),"ERRO: origem e destino externos",IF(AND($G809&lt;&gt;"EXTERNO",COUNTIFS(ENT_ID,$H809,ENT_TIPO,$G809)=0),"ERRO: origem inexistente",IF(AND($I809&lt;&gt;"EXTERNO",COUNTIFS(ENT_ID,$J809,ENT_TIPO,$I809)=0),"ERRO: destino inexistente",IF(AND($K809&lt;&gt;"",COUNTIF(CAT_ID,$K809)=0),"ERRO: categoria inexistente",IF(AND($L809&lt;&gt;"",COUNTIF(SUB_ID,$L809)=0),"ERRO: subcategoria inexistente",IF(AND($L809&lt;&gt;"",$K809&lt;&gt;"",IFERROR(INDEX(SUB_CATID,MATCH($L809,SUB_ID,0)),"")&lt;&gt;$K809),"ERRO: subcategoria nao pertence a categoria",IF(AND($O809&lt;&gt;"",COUNTIF(P_ID,$O809)=0),"ERRO: parcela inexistente",IF(AND($N809&lt;&gt;"",COUNTIF(CM_ID,$N809)=0),"ERRO: compromisso inexistente","OK")))))))))))))</f>
        <v/>
      </c>
      <c r="AK809" s="35" t="str">
        <f aca="false">IF($B809="","",IF(AND($N809="",$O809="",$P809="",$Q809="",$R809=""),"","VINCULADO: "&amp;TRIM(IF($N809&lt;&gt;"",$N809&amp;" ","")&amp;IF($O809&lt;&gt;"",$O809&amp;" ","")&amp;IF($P809&lt;&gt;"",$P809&amp;" ","")&amp;IF($Q809&lt;&gt;"",$Q809&amp;" ","")&amp;IF($R809&lt;&gt;"",$R809,""))))</f>
        <v/>
      </c>
    </row>
    <row r="810" customFormat="false" ht="15" hidden="false" customHeight="false" outlineLevel="0" collapsed="false">
      <c r="A810" s="30" t="str">
        <f aca="false">IF($B810="","","LAN-"&amp;TEXT(ROW()-4,"000000"))</f>
        <v/>
      </c>
      <c r="B810" s="31"/>
      <c r="C810" s="32"/>
      <c r="D810" s="32"/>
      <c r="E810" s="32"/>
      <c r="F810" s="33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4" t="str">
        <f aca="false">IF($B810="","",YEAR($B810))</f>
        <v/>
      </c>
      <c r="U810" s="34" t="str">
        <f aca="false">IF($B810="","",MONTH($B810))</f>
        <v/>
      </c>
      <c r="V810" s="34" t="str">
        <f aca="false">IF($B810="","",YEAR($B810)*100+MONTH($B810))</f>
        <v/>
      </c>
      <c r="W810" s="35" t="str">
        <f aca="false">IF($D810="","",IFERROR(INDEX(MAP_CLASS,MATCH($D810,MAP_TIPO,0)),"TIPO INVALIDO"))</f>
        <v/>
      </c>
      <c r="X810" s="35" t="str">
        <f aca="false">IF($K810="","",IFERROR(INDEX(CAT_NOME,MATCH($K810,CAT_ID,0)),"?"))</f>
        <v/>
      </c>
      <c r="Y810" s="35" t="str">
        <f aca="false">IF($L810="","",IFERROR(INDEX(SUB_NOME,MATCH($L810,SUB_ID,0)),"?"))</f>
        <v/>
      </c>
      <c r="Z810" s="35" t="str">
        <f aca="false">IF($G810="","",IF($G810="EXTERNO","(Externo)",IFERROR(INDEX(ENT_NOME,MATCH($H810,ENT_ID,0)),"?")))</f>
        <v/>
      </c>
      <c r="AA810" s="35" t="str">
        <f aca="false">IF($I810="","",IF($I810="EXTERNO","(Externo)",IFERROR(INDEX(ENT_NOME,MATCH($J810,ENT_ID,0)),"?")))</f>
        <v/>
      </c>
      <c r="AB810" s="36" t="n">
        <f aca="false">IF($B810="",0,IF(AND($I810="CONTA",$G810&lt;&gt;"CONTA"),$F810,0))</f>
        <v>0</v>
      </c>
      <c r="AC810" s="36" t="n">
        <f aca="false">IF($B810="",0,IF(AND($G810="CONTA",$I810&lt;&gt;"CONTA"),$F810,0))</f>
        <v>0</v>
      </c>
      <c r="AD810" s="36" t="n">
        <f aca="false">IF($W810="RECEITA",$F810,0)</f>
        <v>0</v>
      </c>
      <c r="AE810" s="36" t="n">
        <f aca="false">IF($W810="DESPESA",$F810,0)</f>
        <v>0</v>
      </c>
      <c r="AF810" s="36" t="n">
        <f aca="false">IF($W810="RECEITA_FINANCEIRA",$F810,0)</f>
        <v>0</v>
      </c>
      <c r="AG810" s="36" t="n">
        <f aca="false">IF($B810="",0,IF($I810="CONTA",$F810,0)-IF($G810="CONTA",$F810,0))</f>
        <v>0</v>
      </c>
      <c r="AH810" s="36" t="n">
        <f aca="false">IF($B810="",0,IF($G810="CARTAO",$F810,0)-IF($I810="CARTAO",$F810,0))</f>
        <v>0</v>
      </c>
      <c r="AI810" s="36" t="n">
        <f aca="false">IF($B810="",0,IF($I810="INVESTIMENTO",$F810,0)-IF($G810="INVESTIMENTO",$F810,0))</f>
        <v>0</v>
      </c>
      <c r="AJ810" s="35" t="str">
        <f aca="false">IF($B810="","",IF(NOT(ISNUMBER($F810)),"ERRO: valor nao numerico",IF($F810&lt;=0,"ERRO: valor deve ser maior que zero",IF(COUNTIF(MAP_TIPO,$D810)=0,"ERRO: tipo de operacao nao cadastrado",IF(COUNTIF(LST_STATUS,$E810)=0,"ERRO: status invalido",IF(AND($G810="EXTERNO",$I810="EXTERNO"),"ERRO: origem e destino externos",IF(AND($G810&lt;&gt;"EXTERNO",COUNTIFS(ENT_ID,$H810,ENT_TIPO,$G810)=0),"ERRO: origem inexistente",IF(AND($I810&lt;&gt;"EXTERNO",COUNTIFS(ENT_ID,$J810,ENT_TIPO,$I810)=0),"ERRO: destino inexistente",IF(AND($K810&lt;&gt;"",COUNTIF(CAT_ID,$K810)=0),"ERRO: categoria inexistente",IF(AND($L810&lt;&gt;"",COUNTIF(SUB_ID,$L810)=0),"ERRO: subcategoria inexistente",IF(AND($L810&lt;&gt;"",$K810&lt;&gt;"",IFERROR(INDEX(SUB_CATID,MATCH($L810,SUB_ID,0)),"")&lt;&gt;$K810),"ERRO: subcategoria nao pertence a categoria",IF(AND($O810&lt;&gt;"",COUNTIF(P_ID,$O810)=0),"ERRO: parcela inexistente",IF(AND($N810&lt;&gt;"",COUNTIF(CM_ID,$N810)=0),"ERRO: compromisso inexistente","OK")))))))))))))</f>
        <v/>
      </c>
      <c r="AK810" s="35" t="str">
        <f aca="false">IF($B810="","",IF(AND($N810="",$O810="",$P810="",$Q810="",$R810=""),"","VINCULADO: "&amp;TRIM(IF($N810&lt;&gt;"",$N810&amp;" ","")&amp;IF($O810&lt;&gt;"",$O810&amp;" ","")&amp;IF($P810&lt;&gt;"",$P810&amp;" ","")&amp;IF($Q810&lt;&gt;"",$Q810&amp;" ","")&amp;IF($R810&lt;&gt;"",$R810,""))))</f>
        <v/>
      </c>
    </row>
    <row r="811" customFormat="false" ht="15" hidden="false" customHeight="false" outlineLevel="0" collapsed="false">
      <c r="A811" s="30" t="str">
        <f aca="false">IF($B811="","","LAN-"&amp;TEXT(ROW()-4,"000000"))</f>
        <v/>
      </c>
      <c r="B811" s="31"/>
      <c r="C811" s="32"/>
      <c r="D811" s="32"/>
      <c r="E811" s="32"/>
      <c r="F811" s="33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4" t="str">
        <f aca="false">IF($B811="","",YEAR($B811))</f>
        <v/>
      </c>
      <c r="U811" s="34" t="str">
        <f aca="false">IF($B811="","",MONTH($B811))</f>
        <v/>
      </c>
      <c r="V811" s="34" t="str">
        <f aca="false">IF($B811="","",YEAR($B811)*100+MONTH($B811))</f>
        <v/>
      </c>
      <c r="W811" s="35" t="str">
        <f aca="false">IF($D811="","",IFERROR(INDEX(MAP_CLASS,MATCH($D811,MAP_TIPO,0)),"TIPO INVALIDO"))</f>
        <v/>
      </c>
      <c r="X811" s="35" t="str">
        <f aca="false">IF($K811="","",IFERROR(INDEX(CAT_NOME,MATCH($K811,CAT_ID,0)),"?"))</f>
        <v/>
      </c>
      <c r="Y811" s="35" t="str">
        <f aca="false">IF($L811="","",IFERROR(INDEX(SUB_NOME,MATCH($L811,SUB_ID,0)),"?"))</f>
        <v/>
      </c>
      <c r="Z811" s="35" t="str">
        <f aca="false">IF($G811="","",IF($G811="EXTERNO","(Externo)",IFERROR(INDEX(ENT_NOME,MATCH($H811,ENT_ID,0)),"?")))</f>
        <v/>
      </c>
      <c r="AA811" s="35" t="str">
        <f aca="false">IF($I811="","",IF($I811="EXTERNO","(Externo)",IFERROR(INDEX(ENT_NOME,MATCH($J811,ENT_ID,0)),"?")))</f>
        <v/>
      </c>
      <c r="AB811" s="36" t="n">
        <f aca="false">IF($B811="",0,IF(AND($I811="CONTA",$G811&lt;&gt;"CONTA"),$F811,0))</f>
        <v>0</v>
      </c>
      <c r="AC811" s="36" t="n">
        <f aca="false">IF($B811="",0,IF(AND($G811="CONTA",$I811&lt;&gt;"CONTA"),$F811,0))</f>
        <v>0</v>
      </c>
      <c r="AD811" s="36" t="n">
        <f aca="false">IF($W811="RECEITA",$F811,0)</f>
        <v>0</v>
      </c>
      <c r="AE811" s="36" t="n">
        <f aca="false">IF($W811="DESPESA",$F811,0)</f>
        <v>0</v>
      </c>
      <c r="AF811" s="36" t="n">
        <f aca="false">IF($W811="RECEITA_FINANCEIRA",$F811,0)</f>
        <v>0</v>
      </c>
      <c r="AG811" s="36" t="n">
        <f aca="false">IF($B811="",0,IF($I811="CONTA",$F811,0)-IF($G811="CONTA",$F811,0))</f>
        <v>0</v>
      </c>
      <c r="AH811" s="36" t="n">
        <f aca="false">IF($B811="",0,IF($G811="CARTAO",$F811,0)-IF($I811="CARTAO",$F811,0))</f>
        <v>0</v>
      </c>
      <c r="AI811" s="36" t="n">
        <f aca="false">IF($B811="",0,IF($I811="INVESTIMENTO",$F811,0)-IF($G811="INVESTIMENTO",$F811,0))</f>
        <v>0</v>
      </c>
      <c r="AJ811" s="35" t="str">
        <f aca="false">IF($B811="","",IF(NOT(ISNUMBER($F811)),"ERRO: valor nao numerico",IF($F811&lt;=0,"ERRO: valor deve ser maior que zero",IF(COUNTIF(MAP_TIPO,$D811)=0,"ERRO: tipo de operacao nao cadastrado",IF(COUNTIF(LST_STATUS,$E811)=0,"ERRO: status invalido",IF(AND($G811="EXTERNO",$I811="EXTERNO"),"ERRO: origem e destino externos",IF(AND($G811&lt;&gt;"EXTERNO",COUNTIFS(ENT_ID,$H811,ENT_TIPO,$G811)=0),"ERRO: origem inexistente",IF(AND($I811&lt;&gt;"EXTERNO",COUNTIFS(ENT_ID,$J811,ENT_TIPO,$I811)=0),"ERRO: destino inexistente",IF(AND($K811&lt;&gt;"",COUNTIF(CAT_ID,$K811)=0),"ERRO: categoria inexistente",IF(AND($L811&lt;&gt;"",COUNTIF(SUB_ID,$L811)=0),"ERRO: subcategoria inexistente",IF(AND($L811&lt;&gt;"",$K811&lt;&gt;"",IFERROR(INDEX(SUB_CATID,MATCH($L811,SUB_ID,0)),"")&lt;&gt;$K811),"ERRO: subcategoria nao pertence a categoria",IF(AND($O811&lt;&gt;"",COUNTIF(P_ID,$O811)=0),"ERRO: parcela inexistente",IF(AND($N811&lt;&gt;"",COUNTIF(CM_ID,$N811)=0),"ERRO: compromisso inexistente","OK")))))))))))))</f>
        <v/>
      </c>
      <c r="AK811" s="35" t="str">
        <f aca="false">IF($B811="","",IF(AND($N811="",$O811="",$P811="",$Q811="",$R811=""),"","VINCULADO: "&amp;TRIM(IF($N811&lt;&gt;"",$N811&amp;" ","")&amp;IF($O811&lt;&gt;"",$O811&amp;" ","")&amp;IF($P811&lt;&gt;"",$P811&amp;" ","")&amp;IF($Q811&lt;&gt;"",$Q811&amp;" ","")&amp;IF($R811&lt;&gt;"",$R811,""))))</f>
        <v/>
      </c>
    </row>
    <row r="812" customFormat="false" ht="15" hidden="false" customHeight="false" outlineLevel="0" collapsed="false">
      <c r="A812" s="30" t="str">
        <f aca="false">IF($B812="","","LAN-"&amp;TEXT(ROW()-4,"000000"))</f>
        <v/>
      </c>
      <c r="B812" s="31"/>
      <c r="C812" s="32"/>
      <c r="D812" s="32"/>
      <c r="E812" s="32"/>
      <c r="F812" s="33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4" t="str">
        <f aca="false">IF($B812="","",YEAR($B812))</f>
        <v/>
      </c>
      <c r="U812" s="34" t="str">
        <f aca="false">IF($B812="","",MONTH($B812))</f>
        <v/>
      </c>
      <c r="V812" s="34" t="str">
        <f aca="false">IF($B812="","",YEAR($B812)*100+MONTH($B812))</f>
        <v/>
      </c>
      <c r="W812" s="35" t="str">
        <f aca="false">IF($D812="","",IFERROR(INDEX(MAP_CLASS,MATCH($D812,MAP_TIPO,0)),"TIPO INVALIDO"))</f>
        <v/>
      </c>
      <c r="X812" s="35" t="str">
        <f aca="false">IF($K812="","",IFERROR(INDEX(CAT_NOME,MATCH($K812,CAT_ID,0)),"?"))</f>
        <v/>
      </c>
      <c r="Y812" s="35" t="str">
        <f aca="false">IF($L812="","",IFERROR(INDEX(SUB_NOME,MATCH($L812,SUB_ID,0)),"?"))</f>
        <v/>
      </c>
      <c r="Z812" s="35" t="str">
        <f aca="false">IF($G812="","",IF($G812="EXTERNO","(Externo)",IFERROR(INDEX(ENT_NOME,MATCH($H812,ENT_ID,0)),"?")))</f>
        <v/>
      </c>
      <c r="AA812" s="35" t="str">
        <f aca="false">IF($I812="","",IF($I812="EXTERNO","(Externo)",IFERROR(INDEX(ENT_NOME,MATCH($J812,ENT_ID,0)),"?")))</f>
        <v/>
      </c>
      <c r="AB812" s="36" t="n">
        <f aca="false">IF($B812="",0,IF(AND($I812="CONTA",$G812&lt;&gt;"CONTA"),$F812,0))</f>
        <v>0</v>
      </c>
      <c r="AC812" s="36" t="n">
        <f aca="false">IF($B812="",0,IF(AND($G812="CONTA",$I812&lt;&gt;"CONTA"),$F812,0))</f>
        <v>0</v>
      </c>
      <c r="AD812" s="36" t="n">
        <f aca="false">IF($W812="RECEITA",$F812,0)</f>
        <v>0</v>
      </c>
      <c r="AE812" s="36" t="n">
        <f aca="false">IF($W812="DESPESA",$F812,0)</f>
        <v>0</v>
      </c>
      <c r="AF812" s="36" t="n">
        <f aca="false">IF($W812="RECEITA_FINANCEIRA",$F812,0)</f>
        <v>0</v>
      </c>
      <c r="AG812" s="36" t="n">
        <f aca="false">IF($B812="",0,IF($I812="CONTA",$F812,0)-IF($G812="CONTA",$F812,0))</f>
        <v>0</v>
      </c>
      <c r="AH812" s="36" t="n">
        <f aca="false">IF($B812="",0,IF($G812="CARTAO",$F812,0)-IF($I812="CARTAO",$F812,0))</f>
        <v>0</v>
      </c>
      <c r="AI812" s="36" t="n">
        <f aca="false">IF($B812="",0,IF($I812="INVESTIMENTO",$F812,0)-IF($G812="INVESTIMENTO",$F812,0))</f>
        <v>0</v>
      </c>
      <c r="AJ812" s="35" t="str">
        <f aca="false">IF($B812="","",IF(NOT(ISNUMBER($F812)),"ERRO: valor nao numerico",IF($F812&lt;=0,"ERRO: valor deve ser maior que zero",IF(COUNTIF(MAP_TIPO,$D812)=0,"ERRO: tipo de operacao nao cadastrado",IF(COUNTIF(LST_STATUS,$E812)=0,"ERRO: status invalido",IF(AND($G812="EXTERNO",$I812="EXTERNO"),"ERRO: origem e destino externos",IF(AND($G812&lt;&gt;"EXTERNO",COUNTIFS(ENT_ID,$H812,ENT_TIPO,$G812)=0),"ERRO: origem inexistente",IF(AND($I812&lt;&gt;"EXTERNO",COUNTIFS(ENT_ID,$J812,ENT_TIPO,$I812)=0),"ERRO: destino inexistente",IF(AND($K812&lt;&gt;"",COUNTIF(CAT_ID,$K812)=0),"ERRO: categoria inexistente",IF(AND($L812&lt;&gt;"",COUNTIF(SUB_ID,$L812)=0),"ERRO: subcategoria inexistente",IF(AND($L812&lt;&gt;"",$K812&lt;&gt;"",IFERROR(INDEX(SUB_CATID,MATCH($L812,SUB_ID,0)),"")&lt;&gt;$K812),"ERRO: subcategoria nao pertence a categoria",IF(AND($O812&lt;&gt;"",COUNTIF(P_ID,$O812)=0),"ERRO: parcela inexistente",IF(AND($N812&lt;&gt;"",COUNTIF(CM_ID,$N812)=0),"ERRO: compromisso inexistente","OK")))))))))))))</f>
        <v/>
      </c>
      <c r="AK812" s="35" t="str">
        <f aca="false">IF($B812="","",IF(AND($N812="",$O812="",$P812="",$Q812="",$R812=""),"","VINCULADO: "&amp;TRIM(IF($N812&lt;&gt;"",$N812&amp;" ","")&amp;IF($O812&lt;&gt;"",$O812&amp;" ","")&amp;IF($P812&lt;&gt;"",$P812&amp;" ","")&amp;IF($Q812&lt;&gt;"",$Q812&amp;" ","")&amp;IF($R812&lt;&gt;"",$R812,""))))</f>
        <v/>
      </c>
    </row>
    <row r="813" customFormat="false" ht="15" hidden="false" customHeight="false" outlineLevel="0" collapsed="false">
      <c r="A813" s="30" t="str">
        <f aca="false">IF($B813="","","LAN-"&amp;TEXT(ROW()-4,"000000"))</f>
        <v/>
      </c>
      <c r="B813" s="31"/>
      <c r="C813" s="32"/>
      <c r="D813" s="32"/>
      <c r="E813" s="32"/>
      <c r="F813" s="33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4" t="str">
        <f aca="false">IF($B813="","",YEAR($B813))</f>
        <v/>
      </c>
      <c r="U813" s="34" t="str">
        <f aca="false">IF($B813="","",MONTH($B813))</f>
        <v/>
      </c>
      <c r="V813" s="34" t="str">
        <f aca="false">IF($B813="","",YEAR($B813)*100+MONTH($B813))</f>
        <v/>
      </c>
      <c r="W813" s="35" t="str">
        <f aca="false">IF($D813="","",IFERROR(INDEX(MAP_CLASS,MATCH($D813,MAP_TIPO,0)),"TIPO INVALIDO"))</f>
        <v/>
      </c>
      <c r="X813" s="35" t="str">
        <f aca="false">IF($K813="","",IFERROR(INDEX(CAT_NOME,MATCH($K813,CAT_ID,0)),"?"))</f>
        <v/>
      </c>
      <c r="Y813" s="35" t="str">
        <f aca="false">IF($L813="","",IFERROR(INDEX(SUB_NOME,MATCH($L813,SUB_ID,0)),"?"))</f>
        <v/>
      </c>
      <c r="Z813" s="35" t="str">
        <f aca="false">IF($G813="","",IF($G813="EXTERNO","(Externo)",IFERROR(INDEX(ENT_NOME,MATCH($H813,ENT_ID,0)),"?")))</f>
        <v/>
      </c>
      <c r="AA813" s="35" t="str">
        <f aca="false">IF($I813="","",IF($I813="EXTERNO","(Externo)",IFERROR(INDEX(ENT_NOME,MATCH($J813,ENT_ID,0)),"?")))</f>
        <v/>
      </c>
      <c r="AB813" s="36" t="n">
        <f aca="false">IF($B813="",0,IF(AND($I813="CONTA",$G813&lt;&gt;"CONTA"),$F813,0))</f>
        <v>0</v>
      </c>
      <c r="AC813" s="36" t="n">
        <f aca="false">IF($B813="",0,IF(AND($G813="CONTA",$I813&lt;&gt;"CONTA"),$F813,0))</f>
        <v>0</v>
      </c>
      <c r="AD813" s="36" t="n">
        <f aca="false">IF($W813="RECEITA",$F813,0)</f>
        <v>0</v>
      </c>
      <c r="AE813" s="36" t="n">
        <f aca="false">IF($W813="DESPESA",$F813,0)</f>
        <v>0</v>
      </c>
      <c r="AF813" s="36" t="n">
        <f aca="false">IF($W813="RECEITA_FINANCEIRA",$F813,0)</f>
        <v>0</v>
      </c>
      <c r="AG813" s="36" t="n">
        <f aca="false">IF($B813="",0,IF($I813="CONTA",$F813,0)-IF($G813="CONTA",$F813,0))</f>
        <v>0</v>
      </c>
      <c r="AH813" s="36" t="n">
        <f aca="false">IF($B813="",0,IF($G813="CARTAO",$F813,0)-IF($I813="CARTAO",$F813,0))</f>
        <v>0</v>
      </c>
      <c r="AI813" s="36" t="n">
        <f aca="false">IF($B813="",0,IF($I813="INVESTIMENTO",$F813,0)-IF($G813="INVESTIMENTO",$F813,0))</f>
        <v>0</v>
      </c>
      <c r="AJ813" s="35" t="str">
        <f aca="false">IF($B813="","",IF(NOT(ISNUMBER($F813)),"ERRO: valor nao numerico",IF($F813&lt;=0,"ERRO: valor deve ser maior que zero",IF(COUNTIF(MAP_TIPO,$D813)=0,"ERRO: tipo de operacao nao cadastrado",IF(COUNTIF(LST_STATUS,$E813)=0,"ERRO: status invalido",IF(AND($G813="EXTERNO",$I813="EXTERNO"),"ERRO: origem e destino externos",IF(AND($G813&lt;&gt;"EXTERNO",COUNTIFS(ENT_ID,$H813,ENT_TIPO,$G813)=0),"ERRO: origem inexistente",IF(AND($I813&lt;&gt;"EXTERNO",COUNTIFS(ENT_ID,$J813,ENT_TIPO,$I813)=0),"ERRO: destino inexistente",IF(AND($K813&lt;&gt;"",COUNTIF(CAT_ID,$K813)=0),"ERRO: categoria inexistente",IF(AND($L813&lt;&gt;"",COUNTIF(SUB_ID,$L813)=0),"ERRO: subcategoria inexistente",IF(AND($L813&lt;&gt;"",$K813&lt;&gt;"",IFERROR(INDEX(SUB_CATID,MATCH($L813,SUB_ID,0)),"")&lt;&gt;$K813),"ERRO: subcategoria nao pertence a categoria",IF(AND($O813&lt;&gt;"",COUNTIF(P_ID,$O813)=0),"ERRO: parcela inexistente",IF(AND($N813&lt;&gt;"",COUNTIF(CM_ID,$N813)=0),"ERRO: compromisso inexistente","OK")))))))))))))</f>
        <v/>
      </c>
      <c r="AK813" s="35" t="str">
        <f aca="false">IF($B813="","",IF(AND($N813="",$O813="",$P813="",$Q813="",$R813=""),"","VINCULADO: "&amp;TRIM(IF($N813&lt;&gt;"",$N813&amp;" ","")&amp;IF($O813&lt;&gt;"",$O813&amp;" ","")&amp;IF($P813&lt;&gt;"",$P813&amp;" ","")&amp;IF($Q813&lt;&gt;"",$Q813&amp;" ","")&amp;IF($R813&lt;&gt;"",$R813,""))))</f>
        <v/>
      </c>
    </row>
    <row r="814" customFormat="false" ht="15" hidden="false" customHeight="false" outlineLevel="0" collapsed="false">
      <c r="A814" s="30" t="str">
        <f aca="false">IF($B814="","","LAN-"&amp;TEXT(ROW()-4,"000000"))</f>
        <v/>
      </c>
      <c r="B814" s="31"/>
      <c r="C814" s="32"/>
      <c r="D814" s="32"/>
      <c r="E814" s="32"/>
      <c r="F814" s="33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4" t="str">
        <f aca="false">IF($B814="","",YEAR($B814))</f>
        <v/>
      </c>
      <c r="U814" s="34" t="str">
        <f aca="false">IF($B814="","",MONTH($B814))</f>
        <v/>
      </c>
      <c r="V814" s="34" t="str">
        <f aca="false">IF($B814="","",YEAR($B814)*100+MONTH($B814))</f>
        <v/>
      </c>
      <c r="W814" s="35" t="str">
        <f aca="false">IF($D814="","",IFERROR(INDEX(MAP_CLASS,MATCH($D814,MAP_TIPO,0)),"TIPO INVALIDO"))</f>
        <v/>
      </c>
      <c r="X814" s="35" t="str">
        <f aca="false">IF($K814="","",IFERROR(INDEX(CAT_NOME,MATCH($K814,CAT_ID,0)),"?"))</f>
        <v/>
      </c>
      <c r="Y814" s="35" t="str">
        <f aca="false">IF($L814="","",IFERROR(INDEX(SUB_NOME,MATCH($L814,SUB_ID,0)),"?"))</f>
        <v/>
      </c>
      <c r="Z814" s="35" t="str">
        <f aca="false">IF($G814="","",IF($G814="EXTERNO","(Externo)",IFERROR(INDEX(ENT_NOME,MATCH($H814,ENT_ID,0)),"?")))</f>
        <v/>
      </c>
      <c r="AA814" s="35" t="str">
        <f aca="false">IF($I814="","",IF($I814="EXTERNO","(Externo)",IFERROR(INDEX(ENT_NOME,MATCH($J814,ENT_ID,0)),"?")))</f>
        <v/>
      </c>
      <c r="AB814" s="36" t="n">
        <f aca="false">IF($B814="",0,IF(AND($I814="CONTA",$G814&lt;&gt;"CONTA"),$F814,0))</f>
        <v>0</v>
      </c>
      <c r="AC814" s="36" t="n">
        <f aca="false">IF($B814="",0,IF(AND($G814="CONTA",$I814&lt;&gt;"CONTA"),$F814,0))</f>
        <v>0</v>
      </c>
      <c r="AD814" s="36" t="n">
        <f aca="false">IF($W814="RECEITA",$F814,0)</f>
        <v>0</v>
      </c>
      <c r="AE814" s="36" t="n">
        <f aca="false">IF($W814="DESPESA",$F814,0)</f>
        <v>0</v>
      </c>
      <c r="AF814" s="36" t="n">
        <f aca="false">IF($W814="RECEITA_FINANCEIRA",$F814,0)</f>
        <v>0</v>
      </c>
      <c r="AG814" s="36" t="n">
        <f aca="false">IF($B814="",0,IF($I814="CONTA",$F814,0)-IF($G814="CONTA",$F814,0))</f>
        <v>0</v>
      </c>
      <c r="AH814" s="36" t="n">
        <f aca="false">IF($B814="",0,IF($G814="CARTAO",$F814,0)-IF($I814="CARTAO",$F814,0))</f>
        <v>0</v>
      </c>
      <c r="AI814" s="36" t="n">
        <f aca="false">IF($B814="",0,IF($I814="INVESTIMENTO",$F814,0)-IF($G814="INVESTIMENTO",$F814,0))</f>
        <v>0</v>
      </c>
      <c r="AJ814" s="35" t="str">
        <f aca="false">IF($B814="","",IF(NOT(ISNUMBER($F814)),"ERRO: valor nao numerico",IF($F814&lt;=0,"ERRO: valor deve ser maior que zero",IF(COUNTIF(MAP_TIPO,$D814)=0,"ERRO: tipo de operacao nao cadastrado",IF(COUNTIF(LST_STATUS,$E814)=0,"ERRO: status invalido",IF(AND($G814="EXTERNO",$I814="EXTERNO"),"ERRO: origem e destino externos",IF(AND($G814&lt;&gt;"EXTERNO",COUNTIFS(ENT_ID,$H814,ENT_TIPO,$G814)=0),"ERRO: origem inexistente",IF(AND($I814&lt;&gt;"EXTERNO",COUNTIFS(ENT_ID,$J814,ENT_TIPO,$I814)=0),"ERRO: destino inexistente",IF(AND($K814&lt;&gt;"",COUNTIF(CAT_ID,$K814)=0),"ERRO: categoria inexistente",IF(AND($L814&lt;&gt;"",COUNTIF(SUB_ID,$L814)=0),"ERRO: subcategoria inexistente",IF(AND($L814&lt;&gt;"",$K814&lt;&gt;"",IFERROR(INDEX(SUB_CATID,MATCH($L814,SUB_ID,0)),"")&lt;&gt;$K814),"ERRO: subcategoria nao pertence a categoria",IF(AND($O814&lt;&gt;"",COUNTIF(P_ID,$O814)=0),"ERRO: parcela inexistente",IF(AND($N814&lt;&gt;"",COUNTIF(CM_ID,$N814)=0),"ERRO: compromisso inexistente","OK")))))))))))))</f>
        <v/>
      </c>
      <c r="AK814" s="35" t="str">
        <f aca="false">IF($B814="","",IF(AND($N814="",$O814="",$P814="",$Q814="",$R814=""),"","VINCULADO: "&amp;TRIM(IF($N814&lt;&gt;"",$N814&amp;" ","")&amp;IF($O814&lt;&gt;"",$O814&amp;" ","")&amp;IF($P814&lt;&gt;"",$P814&amp;" ","")&amp;IF($Q814&lt;&gt;"",$Q814&amp;" ","")&amp;IF($R814&lt;&gt;"",$R814,""))))</f>
        <v/>
      </c>
    </row>
    <row r="815" customFormat="false" ht="15" hidden="false" customHeight="false" outlineLevel="0" collapsed="false">
      <c r="A815" s="30" t="str">
        <f aca="false">IF($B815="","","LAN-"&amp;TEXT(ROW()-4,"000000"))</f>
        <v/>
      </c>
      <c r="B815" s="31"/>
      <c r="C815" s="32"/>
      <c r="D815" s="32"/>
      <c r="E815" s="32"/>
      <c r="F815" s="33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4" t="str">
        <f aca="false">IF($B815="","",YEAR($B815))</f>
        <v/>
      </c>
      <c r="U815" s="34" t="str">
        <f aca="false">IF($B815="","",MONTH($B815))</f>
        <v/>
      </c>
      <c r="V815" s="34" t="str">
        <f aca="false">IF($B815="","",YEAR($B815)*100+MONTH($B815))</f>
        <v/>
      </c>
      <c r="W815" s="35" t="str">
        <f aca="false">IF($D815="","",IFERROR(INDEX(MAP_CLASS,MATCH($D815,MAP_TIPO,0)),"TIPO INVALIDO"))</f>
        <v/>
      </c>
      <c r="X815" s="35" t="str">
        <f aca="false">IF($K815="","",IFERROR(INDEX(CAT_NOME,MATCH($K815,CAT_ID,0)),"?"))</f>
        <v/>
      </c>
      <c r="Y815" s="35" t="str">
        <f aca="false">IF($L815="","",IFERROR(INDEX(SUB_NOME,MATCH($L815,SUB_ID,0)),"?"))</f>
        <v/>
      </c>
      <c r="Z815" s="35" t="str">
        <f aca="false">IF($G815="","",IF($G815="EXTERNO","(Externo)",IFERROR(INDEX(ENT_NOME,MATCH($H815,ENT_ID,0)),"?")))</f>
        <v/>
      </c>
      <c r="AA815" s="35" t="str">
        <f aca="false">IF($I815="","",IF($I815="EXTERNO","(Externo)",IFERROR(INDEX(ENT_NOME,MATCH($J815,ENT_ID,0)),"?")))</f>
        <v/>
      </c>
      <c r="AB815" s="36" t="n">
        <f aca="false">IF($B815="",0,IF(AND($I815="CONTA",$G815&lt;&gt;"CONTA"),$F815,0))</f>
        <v>0</v>
      </c>
      <c r="AC815" s="36" t="n">
        <f aca="false">IF($B815="",0,IF(AND($G815="CONTA",$I815&lt;&gt;"CONTA"),$F815,0))</f>
        <v>0</v>
      </c>
      <c r="AD815" s="36" t="n">
        <f aca="false">IF($W815="RECEITA",$F815,0)</f>
        <v>0</v>
      </c>
      <c r="AE815" s="36" t="n">
        <f aca="false">IF($W815="DESPESA",$F815,0)</f>
        <v>0</v>
      </c>
      <c r="AF815" s="36" t="n">
        <f aca="false">IF($W815="RECEITA_FINANCEIRA",$F815,0)</f>
        <v>0</v>
      </c>
      <c r="AG815" s="36" t="n">
        <f aca="false">IF($B815="",0,IF($I815="CONTA",$F815,0)-IF($G815="CONTA",$F815,0))</f>
        <v>0</v>
      </c>
      <c r="AH815" s="36" t="n">
        <f aca="false">IF($B815="",0,IF($G815="CARTAO",$F815,0)-IF($I815="CARTAO",$F815,0))</f>
        <v>0</v>
      </c>
      <c r="AI815" s="36" t="n">
        <f aca="false">IF($B815="",0,IF($I815="INVESTIMENTO",$F815,0)-IF($G815="INVESTIMENTO",$F815,0))</f>
        <v>0</v>
      </c>
      <c r="AJ815" s="35" t="str">
        <f aca="false">IF($B815="","",IF(NOT(ISNUMBER($F815)),"ERRO: valor nao numerico",IF($F815&lt;=0,"ERRO: valor deve ser maior que zero",IF(COUNTIF(MAP_TIPO,$D815)=0,"ERRO: tipo de operacao nao cadastrado",IF(COUNTIF(LST_STATUS,$E815)=0,"ERRO: status invalido",IF(AND($G815="EXTERNO",$I815="EXTERNO"),"ERRO: origem e destino externos",IF(AND($G815&lt;&gt;"EXTERNO",COUNTIFS(ENT_ID,$H815,ENT_TIPO,$G815)=0),"ERRO: origem inexistente",IF(AND($I815&lt;&gt;"EXTERNO",COUNTIFS(ENT_ID,$J815,ENT_TIPO,$I815)=0),"ERRO: destino inexistente",IF(AND($K815&lt;&gt;"",COUNTIF(CAT_ID,$K815)=0),"ERRO: categoria inexistente",IF(AND($L815&lt;&gt;"",COUNTIF(SUB_ID,$L815)=0),"ERRO: subcategoria inexistente",IF(AND($L815&lt;&gt;"",$K815&lt;&gt;"",IFERROR(INDEX(SUB_CATID,MATCH($L815,SUB_ID,0)),"")&lt;&gt;$K815),"ERRO: subcategoria nao pertence a categoria",IF(AND($O815&lt;&gt;"",COUNTIF(P_ID,$O815)=0),"ERRO: parcela inexistente",IF(AND($N815&lt;&gt;"",COUNTIF(CM_ID,$N815)=0),"ERRO: compromisso inexistente","OK")))))))))))))</f>
        <v/>
      </c>
      <c r="AK815" s="35" t="str">
        <f aca="false">IF($B815="","",IF(AND($N815="",$O815="",$P815="",$Q815="",$R815=""),"","VINCULADO: "&amp;TRIM(IF($N815&lt;&gt;"",$N815&amp;" ","")&amp;IF($O815&lt;&gt;"",$O815&amp;" ","")&amp;IF($P815&lt;&gt;"",$P815&amp;" ","")&amp;IF($Q815&lt;&gt;"",$Q815&amp;" ","")&amp;IF($R815&lt;&gt;"",$R815,""))))</f>
        <v/>
      </c>
    </row>
    <row r="816" customFormat="false" ht="15" hidden="false" customHeight="false" outlineLevel="0" collapsed="false">
      <c r="A816" s="30" t="str">
        <f aca="false">IF($B816="","","LAN-"&amp;TEXT(ROW()-4,"000000"))</f>
        <v/>
      </c>
      <c r="B816" s="31"/>
      <c r="C816" s="32"/>
      <c r="D816" s="32"/>
      <c r="E816" s="32"/>
      <c r="F816" s="33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4" t="str">
        <f aca="false">IF($B816="","",YEAR($B816))</f>
        <v/>
      </c>
      <c r="U816" s="34" t="str">
        <f aca="false">IF($B816="","",MONTH($B816))</f>
        <v/>
      </c>
      <c r="V816" s="34" t="str">
        <f aca="false">IF($B816="","",YEAR($B816)*100+MONTH($B816))</f>
        <v/>
      </c>
      <c r="W816" s="35" t="str">
        <f aca="false">IF($D816="","",IFERROR(INDEX(MAP_CLASS,MATCH($D816,MAP_TIPO,0)),"TIPO INVALIDO"))</f>
        <v/>
      </c>
      <c r="X816" s="35" t="str">
        <f aca="false">IF($K816="","",IFERROR(INDEX(CAT_NOME,MATCH($K816,CAT_ID,0)),"?"))</f>
        <v/>
      </c>
      <c r="Y816" s="35" t="str">
        <f aca="false">IF($L816="","",IFERROR(INDEX(SUB_NOME,MATCH($L816,SUB_ID,0)),"?"))</f>
        <v/>
      </c>
      <c r="Z816" s="35" t="str">
        <f aca="false">IF($G816="","",IF($G816="EXTERNO","(Externo)",IFERROR(INDEX(ENT_NOME,MATCH($H816,ENT_ID,0)),"?")))</f>
        <v/>
      </c>
      <c r="AA816" s="35" t="str">
        <f aca="false">IF($I816="","",IF($I816="EXTERNO","(Externo)",IFERROR(INDEX(ENT_NOME,MATCH($J816,ENT_ID,0)),"?")))</f>
        <v/>
      </c>
      <c r="AB816" s="36" t="n">
        <f aca="false">IF($B816="",0,IF(AND($I816="CONTA",$G816&lt;&gt;"CONTA"),$F816,0))</f>
        <v>0</v>
      </c>
      <c r="AC816" s="36" t="n">
        <f aca="false">IF($B816="",0,IF(AND($G816="CONTA",$I816&lt;&gt;"CONTA"),$F816,0))</f>
        <v>0</v>
      </c>
      <c r="AD816" s="36" t="n">
        <f aca="false">IF($W816="RECEITA",$F816,0)</f>
        <v>0</v>
      </c>
      <c r="AE816" s="36" t="n">
        <f aca="false">IF($W816="DESPESA",$F816,0)</f>
        <v>0</v>
      </c>
      <c r="AF816" s="36" t="n">
        <f aca="false">IF($W816="RECEITA_FINANCEIRA",$F816,0)</f>
        <v>0</v>
      </c>
      <c r="AG816" s="36" t="n">
        <f aca="false">IF($B816="",0,IF($I816="CONTA",$F816,0)-IF($G816="CONTA",$F816,0))</f>
        <v>0</v>
      </c>
      <c r="AH816" s="36" t="n">
        <f aca="false">IF($B816="",0,IF($G816="CARTAO",$F816,0)-IF($I816="CARTAO",$F816,0))</f>
        <v>0</v>
      </c>
      <c r="AI816" s="36" t="n">
        <f aca="false">IF($B816="",0,IF($I816="INVESTIMENTO",$F816,0)-IF($G816="INVESTIMENTO",$F816,0))</f>
        <v>0</v>
      </c>
      <c r="AJ816" s="35" t="str">
        <f aca="false">IF($B816="","",IF(NOT(ISNUMBER($F816)),"ERRO: valor nao numerico",IF($F816&lt;=0,"ERRO: valor deve ser maior que zero",IF(COUNTIF(MAP_TIPO,$D816)=0,"ERRO: tipo de operacao nao cadastrado",IF(COUNTIF(LST_STATUS,$E816)=0,"ERRO: status invalido",IF(AND($G816="EXTERNO",$I816="EXTERNO"),"ERRO: origem e destino externos",IF(AND($G816&lt;&gt;"EXTERNO",COUNTIFS(ENT_ID,$H816,ENT_TIPO,$G816)=0),"ERRO: origem inexistente",IF(AND($I816&lt;&gt;"EXTERNO",COUNTIFS(ENT_ID,$J816,ENT_TIPO,$I816)=0),"ERRO: destino inexistente",IF(AND($K816&lt;&gt;"",COUNTIF(CAT_ID,$K816)=0),"ERRO: categoria inexistente",IF(AND($L816&lt;&gt;"",COUNTIF(SUB_ID,$L816)=0),"ERRO: subcategoria inexistente",IF(AND($L816&lt;&gt;"",$K816&lt;&gt;"",IFERROR(INDEX(SUB_CATID,MATCH($L816,SUB_ID,0)),"")&lt;&gt;$K816),"ERRO: subcategoria nao pertence a categoria",IF(AND($O816&lt;&gt;"",COUNTIF(P_ID,$O816)=0),"ERRO: parcela inexistente",IF(AND($N816&lt;&gt;"",COUNTIF(CM_ID,$N816)=0),"ERRO: compromisso inexistente","OK")))))))))))))</f>
        <v/>
      </c>
      <c r="AK816" s="35" t="str">
        <f aca="false">IF($B816="","",IF(AND($N816="",$O816="",$P816="",$Q816="",$R816=""),"","VINCULADO: "&amp;TRIM(IF($N816&lt;&gt;"",$N816&amp;" ","")&amp;IF($O816&lt;&gt;"",$O816&amp;" ","")&amp;IF($P816&lt;&gt;"",$P816&amp;" ","")&amp;IF($Q816&lt;&gt;"",$Q816&amp;" ","")&amp;IF($R816&lt;&gt;"",$R816,""))))</f>
        <v/>
      </c>
    </row>
    <row r="817" customFormat="false" ht="15" hidden="false" customHeight="false" outlineLevel="0" collapsed="false">
      <c r="A817" s="30" t="str">
        <f aca="false">IF($B817="","","LAN-"&amp;TEXT(ROW()-4,"000000"))</f>
        <v/>
      </c>
      <c r="B817" s="31"/>
      <c r="C817" s="32"/>
      <c r="D817" s="32"/>
      <c r="E817" s="32"/>
      <c r="F817" s="33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4" t="str">
        <f aca="false">IF($B817="","",YEAR($B817))</f>
        <v/>
      </c>
      <c r="U817" s="34" t="str">
        <f aca="false">IF($B817="","",MONTH($B817))</f>
        <v/>
      </c>
      <c r="V817" s="34" t="str">
        <f aca="false">IF($B817="","",YEAR($B817)*100+MONTH($B817))</f>
        <v/>
      </c>
      <c r="W817" s="35" t="str">
        <f aca="false">IF($D817="","",IFERROR(INDEX(MAP_CLASS,MATCH($D817,MAP_TIPO,0)),"TIPO INVALIDO"))</f>
        <v/>
      </c>
      <c r="X817" s="35" t="str">
        <f aca="false">IF($K817="","",IFERROR(INDEX(CAT_NOME,MATCH($K817,CAT_ID,0)),"?"))</f>
        <v/>
      </c>
      <c r="Y817" s="35" t="str">
        <f aca="false">IF($L817="","",IFERROR(INDEX(SUB_NOME,MATCH($L817,SUB_ID,0)),"?"))</f>
        <v/>
      </c>
      <c r="Z817" s="35" t="str">
        <f aca="false">IF($G817="","",IF($G817="EXTERNO","(Externo)",IFERROR(INDEX(ENT_NOME,MATCH($H817,ENT_ID,0)),"?")))</f>
        <v/>
      </c>
      <c r="AA817" s="35" t="str">
        <f aca="false">IF($I817="","",IF($I817="EXTERNO","(Externo)",IFERROR(INDEX(ENT_NOME,MATCH($J817,ENT_ID,0)),"?")))</f>
        <v/>
      </c>
      <c r="AB817" s="36" t="n">
        <f aca="false">IF($B817="",0,IF(AND($I817="CONTA",$G817&lt;&gt;"CONTA"),$F817,0))</f>
        <v>0</v>
      </c>
      <c r="AC817" s="36" t="n">
        <f aca="false">IF($B817="",0,IF(AND($G817="CONTA",$I817&lt;&gt;"CONTA"),$F817,0))</f>
        <v>0</v>
      </c>
      <c r="AD817" s="36" t="n">
        <f aca="false">IF($W817="RECEITA",$F817,0)</f>
        <v>0</v>
      </c>
      <c r="AE817" s="36" t="n">
        <f aca="false">IF($W817="DESPESA",$F817,0)</f>
        <v>0</v>
      </c>
      <c r="AF817" s="36" t="n">
        <f aca="false">IF($W817="RECEITA_FINANCEIRA",$F817,0)</f>
        <v>0</v>
      </c>
      <c r="AG817" s="36" t="n">
        <f aca="false">IF($B817="",0,IF($I817="CONTA",$F817,0)-IF($G817="CONTA",$F817,0))</f>
        <v>0</v>
      </c>
      <c r="AH817" s="36" t="n">
        <f aca="false">IF($B817="",0,IF($G817="CARTAO",$F817,0)-IF($I817="CARTAO",$F817,0))</f>
        <v>0</v>
      </c>
      <c r="AI817" s="36" t="n">
        <f aca="false">IF($B817="",0,IF($I817="INVESTIMENTO",$F817,0)-IF($G817="INVESTIMENTO",$F817,0))</f>
        <v>0</v>
      </c>
      <c r="AJ817" s="35" t="str">
        <f aca="false">IF($B817="","",IF(NOT(ISNUMBER($F817)),"ERRO: valor nao numerico",IF($F817&lt;=0,"ERRO: valor deve ser maior que zero",IF(COUNTIF(MAP_TIPO,$D817)=0,"ERRO: tipo de operacao nao cadastrado",IF(COUNTIF(LST_STATUS,$E817)=0,"ERRO: status invalido",IF(AND($G817="EXTERNO",$I817="EXTERNO"),"ERRO: origem e destino externos",IF(AND($G817&lt;&gt;"EXTERNO",COUNTIFS(ENT_ID,$H817,ENT_TIPO,$G817)=0),"ERRO: origem inexistente",IF(AND($I817&lt;&gt;"EXTERNO",COUNTIFS(ENT_ID,$J817,ENT_TIPO,$I817)=0),"ERRO: destino inexistente",IF(AND($K817&lt;&gt;"",COUNTIF(CAT_ID,$K817)=0),"ERRO: categoria inexistente",IF(AND($L817&lt;&gt;"",COUNTIF(SUB_ID,$L817)=0),"ERRO: subcategoria inexistente",IF(AND($L817&lt;&gt;"",$K817&lt;&gt;"",IFERROR(INDEX(SUB_CATID,MATCH($L817,SUB_ID,0)),"")&lt;&gt;$K817),"ERRO: subcategoria nao pertence a categoria",IF(AND($O817&lt;&gt;"",COUNTIF(P_ID,$O817)=0),"ERRO: parcela inexistente",IF(AND($N817&lt;&gt;"",COUNTIF(CM_ID,$N817)=0),"ERRO: compromisso inexistente","OK")))))))))))))</f>
        <v/>
      </c>
      <c r="AK817" s="35" t="str">
        <f aca="false">IF($B817="","",IF(AND($N817="",$O817="",$P817="",$Q817="",$R817=""),"","VINCULADO: "&amp;TRIM(IF($N817&lt;&gt;"",$N817&amp;" ","")&amp;IF($O817&lt;&gt;"",$O817&amp;" ","")&amp;IF($P817&lt;&gt;"",$P817&amp;" ","")&amp;IF($Q817&lt;&gt;"",$Q817&amp;" ","")&amp;IF($R817&lt;&gt;"",$R817,""))))</f>
        <v/>
      </c>
    </row>
    <row r="818" customFormat="false" ht="15" hidden="false" customHeight="false" outlineLevel="0" collapsed="false">
      <c r="A818" s="30" t="str">
        <f aca="false">IF($B818="","","LAN-"&amp;TEXT(ROW()-4,"000000"))</f>
        <v/>
      </c>
      <c r="B818" s="31"/>
      <c r="C818" s="32"/>
      <c r="D818" s="32"/>
      <c r="E818" s="32"/>
      <c r="F818" s="33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4" t="str">
        <f aca="false">IF($B818="","",YEAR($B818))</f>
        <v/>
      </c>
      <c r="U818" s="34" t="str">
        <f aca="false">IF($B818="","",MONTH($B818))</f>
        <v/>
      </c>
      <c r="V818" s="34" t="str">
        <f aca="false">IF($B818="","",YEAR($B818)*100+MONTH($B818))</f>
        <v/>
      </c>
      <c r="W818" s="35" t="str">
        <f aca="false">IF($D818="","",IFERROR(INDEX(MAP_CLASS,MATCH($D818,MAP_TIPO,0)),"TIPO INVALIDO"))</f>
        <v/>
      </c>
      <c r="X818" s="35" t="str">
        <f aca="false">IF($K818="","",IFERROR(INDEX(CAT_NOME,MATCH($K818,CAT_ID,0)),"?"))</f>
        <v/>
      </c>
      <c r="Y818" s="35" t="str">
        <f aca="false">IF($L818="","",IFERROR(INDEX(SUB_NOME,MATCH($L818,SUB_ID,0)),"?"))</f>
        <v/>
      </c>
      <c r="Z818" s="35" t="str">
        <f aca="false">IF($G818="","",IF($G818="EXTERNO","(Externo)",IFERROR(INDEX(ENT_NOME,MATCH($H818,ENT_ID,0)),"?")))</f>
        <v/>
      </c>
      <c r="AA818" s="35" t="str">
        <f aca="false">IF($I818="","",IF($I818="EXTERNO","(Externo)",IFERROR(INDEX(ENT_NOME,MATCH($J818,ENT_ID,0)),"?")))</f>
        <v/>
      </c>
      <c r="AB818" s="36" t="n">
        <f aca="false">IF($B818="",0,IF(AND($I818="CONTA",$G818&lt;&gt;"CONTA"),$F818,0))</f>
        <v>0</v>
      </c>
      <c r="AC818" s="36" t="n">
        <f aca="false">IF($B818="",0,IF(AND($G818="CONTA",$I818&lt;&gt;"CONTA"),$F818,0))</f>
        <v>0</v>
      </c>
      <c r="AD818" s="36" t="n">
        <f aca="false">IF($W818="RECEITA",$F818,0)</f>
        <v>0</v>
      </c>
      <c r="AE818" s="36" t="n">
        <f aca="false">IF($W818="DESPESA",$F818,0)</f>
        <v>0</v>
      </c>
      <c r="AF818" s="36" t="n">
        <f aca="false">IF($W818="RECEITA_FINANCEIRA",$F818,0)</f>
        <v>0</v>
      </c>
      <c r="AG818" s="36" t="n">
        <f aca="false">IF($B818="",0,IF($I818="CONTA",$F818,0)-IF($G818="CONTA",$F818,0))</f>
        <v>0</v>
      </c>
      <c r="AH818" s="36" t="n">
        <f aca="false">IF($B818="",0,IF($G818="CARTAO",$F818,0)-IF($I818="CARTAO",$F818,0))</f>
        <v>0</v>
      </c>
      <c r="AI818" s="36" t="n">
        <f aca="false">IF($B818="",0,IF($I818="INVESTIMENTO",$F818,0)-IF($G818="INVESTIMENTO",$F818,0))</f>
        <v>0</v>
      </c>
      <c r="AJ818" s="35" t="str">
        <f aca="false">IF($B818="","",IF(NOT(ISNUMBER($F818)),"ERRO: valor nao numerico",IF($F818&lt;=0,"ERRO: valor deve ser maior que zero",IF(COUNTIF(MAP_TIPO,$D818)=0,"ERRO: tipo de operacao nao cadastrado",IF(COUNTIF(LST_STATUS,$E818)=0,"ERRO: status invalido",IF(AND($G818="EXTERNO",$I818="EXTERNO"),"ERRO: origem e destino externos",IF(AND($G818&lt;&gt;"EXTERNO",COUNTIFS(ENT_ID,$H818,ENT_TIPO,$G818)=0),"ERRO: origem inexistente",IF(AND($I818&lt;&gt;"EXTERNO",COUNTIFS(ENT_ID,$J818,ENT_TIPO,$I818)=0),"ERRO: destino inexistente",IF(AND($K818&lt;&gt;"",COUNTIF(CAT_ID,$K818)=0),"ERRO: categoria inexistente",IF(AND($L818&lt;&gt;"",COUNTIF(SUB_ID,$L818)=0),"ERRO: subcategoria inexistente",IF(AND($L818&lt;&gt;"",$K818&lt;&gt;"",IFERROR(INDEX(SUB_CATID,MATCH($L818,SUB_ID,0)),"")&lt;&gt;$K818),"ERRO: subcategoria nao pertence a categoria",IF(AND($O818&lt;&gt;"",COUNTIF(P_ID,$O818)=0),"ERRO: parcela inexistente",IF(AND($N818&lt;&gt;"",COUNTIF(CM_ID,$N818)=0),"ERRO: compromisso inexistente","OK")))))))))))))</f>
        <v/>
      </c>
      <c r="AK818" s="35" t="str">
        <f aca="false">IF($B818="","",IF(AND($N818="",$O818="",$P818="",$Q818="",$R818=""),"","VINCULADO: "&amp;TRIM(IF($N818&lt;&gt;"",$N818&amp;" ","")&amp;IF($O818&lt;&gt;"",$O818&amp;" ","")&amp;IF($P818&lt;&gt;"",$P818&amp;" ","")&amp;IF($Q818&lt;&gt;"",$Q818&amp;" ","")&amp;IF($R818&lt;&gt;"",$R818,""))))</f>
        <v/>
      </c>
    </row>
    <row r="819" customFormat="false" ht="15" hidden="false" customHeight="false" outlineLevel="0" collapsed="false">
      <c r="A819" s="30" t="str">
        <f aca="false">IF($B819="","","LAN-"&amp;TEXT(ROW()-4,"000000"))</f>
        <v/>
      </c>
      <c r="B819" s="31"/>
      <c r="C819" s="32"/>
      <c r="D819" s="32"/>
      <c r="E819" s="32"/>
      <c r="F819" s="33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4" t="str">
        <f aca="false">IF($B819="","",YEAR($B819))</f>
        <v/>
      </c>
      <c r="U819" s="34" t="str">
        <f aca="false">IF($B819="","",MONTH($B819))</f>
        <v/>
      </c>
      <c r="V819" s="34" t="str">
        <f aca="false">IF($B819="","",YEAR($B819)*100+MONTH($B819))</f>
        <v/>
      </c>
      <c r="W819" s="35" t="str">
        <f aca="false">IF($D819="","",IFERROR(INDEX(MAP_CLASS,MATCH($D819,MAP_TIPO,0)),"TIPO INVALIDO"))</f>
        <v/>
      </c>
      <c r="X819" s="35" t="str">
        <f aca="false">IF($K819="","",IFERROR(INDEX(CAT_NOME,MATCH($K819,CAT_ID,0)),"?"))</f>
        <v/>
      </c>
      <c r="Y819" s="35" t="str">
        <f aca="false">IF($L819="","",IFERROR(INDEX(SUB_NOME,MATCH($L819,SUB_ID,0)),"?"))</f>
        <v/>
      </c>
      <c r="Z819" s="35" t="str">
        <f aca="false">IF($G819="","",IF($G819="EXTERNO","(Externo)",IFERROR(INDEX(ENT_NOME,MATCH($H819,ENT_ID,0)),"?")))</f>
        <v/>
      </c>
      <c r="AA819" s="35" t="str">
        <f aca="false">IF($I819="","",IF($I819="EXTERNO","(Externo)",IFERROR(INDEX(ENT_NOME,MATCH($J819,ENT_ID,0)),"?")))</f>
        <v/>
      </c>
      <c r="AB819" s="36" t="n">
        <f aca="false">IF($B819="",0,IF(AND($I819="CONTA",$G819&lt;&gt;"CONTA"),$F819,0))</f>
        <v>0</v>
      </c>
      <c r="AC819" s="36" t="n">
        <f aca="false">IF($B819="",0,IF(AND($G819="CONTA",$I819&lt;&gt;"CONTA"),$F819,0))</f>
        <v>0</v>
      </c>
      <c r="AD819" s="36" t="n">
        <f aca="false">IF($W819="RECEITA",$F819,0)</f>
        <v>0</v>
      </c>
      <c r="AE819" s="36" t="n">
        <f aca="false">IF($W819="DESPESA",$F819,0)</f>
        <v>0</v>
      </c>
      <c r="AF819" s="36" t="n">
        <f aca="false">IF($W819="RECEITA_FINANCEIRA",$F819,0)</f>
        <v>0</v>
      </c>
      <c r="AG819" s="36" t="n">
        <f aca="false">IF($B819="",0,IF($I819="CONTA",$F819,0)-IF($G819="CONTA",$F819,0))</f>
        <v>0</v>
      </c>
      <c r="AH819" s="36" t="n">
        <f aca="false">IF($B819="",0,IF($G819="CARTAO",$F819,0)-IF($I819="CARTAO",$F819,0))</f>
        <v>0</v>
      </c>
      <c r="AI819" s="36" t="n">
        <f aca="false">IF($B819="",0,IF($I819="INVESTIMENTO",$F819,0)-IF($G819="INVESTIMENTO",$F819,0))</f>
        <v>0</v>
      </c>
      <c r="AJ819" s="35" t="str">
        <f aca="false">IF($B819="","",IF(NOT(ISNUMBER($F819)),"ERRO: valor nao numerico",IF($F819&lt;=0,"ERRO: valor deve ser maior que zero",IF(COUNTIF(MAP_TIPO,$D819)=0,"ERRO: tipo de operacao nao cadastrado",IF(COUNTIF(LST_STATUS,$E819)=0,"ERRO: status invalido",IF(AND($G819="EXTERNO",$I819="EXTERNO"),"ERRO: origem e destino externos",IF(AND($G819&lt;&gt;"EXTERNO",COUNTIFS(ENT_ID,$H819,ENT_TIPO,$G819)=0),"ERRO: origem inexistente",IF(AND($I819&lt;&gt;"EXTERNO",COUNTIFS(ENT_ID,$J819,ENT_TIPO,$I819)=0),"ERRO: destino inexistente",IF(AND($K819&lt;&gt;"",COUNTIF(CAT_ID,$K819)=0),"ERRO: categoria inexistente",IF(AND($L819&lt;&gt;"",COUNTIF(SUB_ID,$L819)=0),"ERRO: subcategoria inexistente",IF(AND($L819&lt;&gt;"",$K819&lt;&gt;"",IFERROR(INDEX(SUB_CATID,MATCH($L819,SUB_ID,0)),"")&lt;&gt;$K819),"ERRO: subcategoria nao pertence a categoria",IF(AND($O819&lt;&gt;"",COUNTIF(P_ID,$O819)=0),"ERRO: parcela inexistente",IF(AND($N819&lt;&gt;"",COUNTIF(CM_ID,$N819)=0),"ERRO: compromisso inexistente","OK")))))))))))))</f>
        <v/>
      </c>
      <c r="AK819" s="35" t="str">
        <f aca="false">IF($B819="","",IF(AND($N819="",$O819="",$P819="",$Q819="",$R819=""),"","VINCULADO: "&amp;TRIM(IF($N819&lt;&gt;"",$N819&amp;" ","")&amp;IF($O819&lt;&gt;"",$O819&amp;" ","")&amp;IF($P819&lt;&gt;"",$P819&amp;" ","")&amp;IF($Q819&lt;&gt;"",$Q819&amp;" ","")&amp;IF($R819&lt;&gt;"",$R819,""))))</f>
        <v/>
      </c>
    </row>
    <row r="820" customFormat="false" ht="15" hidden="false" customHeight="false" outlineLevel="0" collapsed="false">
      <c r="A820" s="30" t="str">
        <f aca="false">IF($B820="","","LAN-"&amp;TEXT(ROW()-4,"000000"))</f>
        <v/>
      </c>
      <c r="B820" s="31"/>
      <c r="C820" s="32"/>
      <c r="D820" s="32"/>
      <c r="E820" s="32"/>
      <c r="F820" s="33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4" t="str">
        <f aca="false">IF($B820="","",YEAR($B820))</f>
        <v/>
      </c>
      <c r="U820" s="34" t="str">
        <f aca="false">IF($B820="","",MONTH($B820))</f>
        <v/>
      </c>
      <c r="V820" s="34" t="str">
        <f aca="false">IF($B820="","",YEAR($B820)*100+MONTH($B820))</f>
        <v/>
      </c>
      <c r="W820" s="35" t="str">
        <f aca="false">IF($D820="","",IFERROR(INDEX(MAP_CLASS,MATCH($D820,MAP_TIPO,0)),"TIPO INVALIDO"))</f>
        <v/>
      </c>
      <c r="X820" s="35" t="str">
        <f aca="false">IF($K820="","",IFERROR(INDEX(CAT_NOME,MATCH($K820,CAT_ID,0)),"?"))</f>
        <v/>
      </c>
      <c r="Y820" s="35" t="str">
        <f aca="false">IF($L820="","",IFERROR(INDEX(SUB_NOME,MATCH($L820,SUB_ID,0)),"?"))</f>
        <v/>
      </c>
      <c r="Z820" s="35" t="str">
        <f aca="false">IF($G820="","",IF($G820="EXTERNO","(Externo)",IFERROR(INDEX(ENT_NOME,MATCH($H820,ENT_ID,0)),"?")))</f>
        <v/>
      </c>
      <c r="AA820" s="35" t="str">
        <f aca="false">IF($I820="","",IF($I820="EXTERNO","(Externo)",IFERROR(INDEX(ENT_NOME,MATCH($J820,ENT_ID,0)),"?")))</f>
        <v/>
      </c>
      <c r="AB820" s="36" t="n">
        <f aca="false">IF($B820="",0,IF(AND($I820="CONTA",$G820&lt;&gt;"CONTA"),$F820,0))</f>
        <v>0</v>
      </c>
      <c r="AC820" s="36" t="n">
        <f aca="false">IF($B820="",0,IF(AND($G820="CONTA",$I820&lt;&gt;"CONTA"),$F820,0))</f>
        <v>0</v>
      </c>
      <c r="AD820" s="36" t="n">
        <f aca="false">IF($W820="RECEITA",$F820,0)</f>
        <v>0</v>
      </c>
      <c r="AE820" s="36" t="n">
        <f aca="false">IF($W820="DESPESA",$F820,0)</f>
        <v>0</v>
      </c>
      <c r="AF820" s="36" t="n">
        <f aca="false">IF($W820="RECEITA_FINANCEIRA",$F820,0)</f>
        <v>0</v>
      </c>
      <c r="AG820" s="36" t="n">
        <f aca="false">IF($B820="",0,IF($I820="CONTA",$F820,0)-IF($G820="CONTA",$F820,0))</f>
        <v>0</v>
      </c>
      <c r="AH820" s="36" t="n">
        <f aca="false">IF($B820="",0,IF($G820="CARTAO",$F820,0)-IF($I820="CARTAO",$F820,0))</f>
        <v>0</v>
      </c>
      <c r="AI820" s="36" t="n">
        <f aca="false">IF($B820="",0,IF($I820="INVESTIMENTO",$F820,0)-IF($G820="INVESTIMENTO",$F820,0))</f>
        <v>0</v>
      </c>
      <c r="AJ820" s="35" t="str">
        <f aca="false">IF($B820="","",IF(NOT(ISNUMBER($F820)),"ERRO: valor nao numerico",IF($F820&lt;=0,"ERRO: valor deve ser maior que zero",IF(COUNTIF(MAP_TIPO,$D820)=0,"ERRO: tipo de operacao nao cadastrado",IF(COUNTIF(LST_STATUS,$E820)=0,"ERRO: status invalido",IF(AND($G820="EXTERNO",$I820="EXTERNO"),"ERRO: origem e destino externos",IF(AND($G820&lt;&gt;"EXTERNO",COUNTIFS(ENT_ID,$H820,ENT_TIPO,$G820)=0),"ERRO: origem inexistente",IF(AND($I820&lt;&gt;"EXTERNO",COUNTIFS(ENT_ID,$J820,ENT_TIPO,$I820)=0),"ERRO: destino inexistente",IF(AND($K820&lt;&gt;"",COUNTIF(CAT_ID,$K820)=0),"ERRO: categoria inexistente",IF(AND($L820&lt;&gt;"",COUNTIF(SUB_ID,$L820)=0),"ERRO: subcategoria inexistente",IF(AND($L820&lt;&gt;"",$K820&lt;&gt;"",IFERROR(INDEX(SUB_CATID,MATCH($L820,SUB_ID,0)),"")&lt;&gt;$K820),"ERRO: subcategoria nao pertence a categoria",IF(AND($O820&lt;&gt;"",COUNTIF(P_ID,$O820)=0),"ERRO: parcela inexistente",IF(AND($N820&lt;&gt;"",COUNTIF(CM_ID,$N820)=0),"ERRO: compromisso inexistente","OK")))))))))))))</f>
        <v/>
      </c>
      <c r="AK820" s="35" t="str">
        <f aca="false">IF($B820="","",IF(AND($N820="",$O820="",$P820="",$Q820="",$R820=""),"","VINCULADO: "&amp;TRIM(IF($N820&lt;&gt;"",$N820&amp;" ","")&amp;IF($O820&lt;&gt;"",$O820&amp;" ","")&amp;IF($P820&lt;&gt;"",$P820&amp;" ","")&amp;IF($Q820&lt;&gt;"",$Q820&amp;" ","")&amp;IF($R820&lt;&gt;"",$R820,""))))</f>
        <v/>
      </c>
    </row>
    <row r="821" customFormat="false" ht="15" hidden="false" customHeight="false" outlineLevel="0" collapsed="false">
      <c r="A821" s="30" t="str">
        <f aca="false">IF($B821="","","LAN-"&amp;TEXT(ROW()-4,"000000"))</f>
        <v/>
      </c>
      <c r="B821" s="31"/>
      <c r="C821" s="32"/>
      <c r="D821" s="32"/>
      <c r="E821" s="32"/>
      <c r="F821" s="33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4" t="str">
        <f aca="false">IF($B821="","",YEAR($B821))</f>
        <v/>
      </c>
      <c r="U821" s="34" t="str">
        <f aca="false">IF($B821="","",MONTH($B821))</f>
        <v/>
      </c>
      <c r="V821" s="34" t="str">
        <f aca="false">IF($B821="","",YEAR($B821)*100+MONTH($B821))</f>
        <v/>
      </c>
      <c r="W821" s="35" t="str">
        <f aca="false">IF($D821="","",IFERROR(INDEX(MAP_CLASS,MATCH($D821,MAP_TIPO,0)),"TIPO INVALIDO"))</f>
        <v/>
      </c>
      <c r="X821" s="35" t="str">
        <f aca="false">IF($K821="","",IFERROR(INDEX(CAT_NOME,MATCH($K821,CAT_ID,0)),"?"))</f>
        <v/>
      </c>
      <c r="Y821" s="35" t="str">
        <f aca="false">IF($L821="","",IFERROR(INDEX(SUB_NOME,MATCH($L821,SUB_ID,0)),"?"))</f>
        <v/>
      </c>
      <c r="Z821" s="35" t="str">
        <f aca="false">IF($G821="","",IF($G821="EXTERNO","(Externo)",IFERROR(INDEX(ENT_NOME,MATCH($H821,ENT_ID,0)),"?")))</f>
        <v/>
      </c>
      <c r="AA821" s="35" t="str">
        <f aca="false">IF($I821="","",IF($I821="EXTERNO","(Externo)",IFERROR(INDEX(ENT_NOME,MATCH($J821,ENT_ID,0)),"?")))</f>
        <v/>
      </c>
      <c r="AB821" s="36" t="n">
        <f aca="false">IF($B821="",0,IF(AND($I821="CONTA",$G821&lt;&gt;"CONTA"),$F821,0))</f>
        <v>0</v>
      </c>
      <c r="AC821" s="36" t="n">
        <f aca="false">IF($B821="",0,IF(AND($G821="CONTA",$I821&lt;&gt;"CONTA"),$F821,0))</f>
        <v>0</v>
      </c>
      <c r="AD821" s="36" t="n">
        <f aca="false">IF($W821="RECEITA",$F821,0)</f>
        <v>0</v>
      </c>
      <c r="AE821" s="36" t="n">
        <f aca="false">IF($W821="DESPESA",$F821,0)</f>
        <v>0</v>
      </c>
      <c r="AF821" s="36" t="n">
        <f aca="false">IF($W821="RECEITA_FINANCEIRA",$F821,0)</f>
        <v>0</v>
      </c>
      <c r="AG821" s="36" t="n">
        <f aca="false">IF($B821="",0,IF($I821="CONTA",$F821,0)-IF($G821="CONTA",$F821,0))</f>
        <v>0</v>
      </c>
      <c r="AH821" s="36" t="n">
        <f aca="false">IF($B821="",0,IF($G821="CARTAO",$F821,0)-IF($I821="CARTAO",$F821,0))</f>
        <v>0</v>
      </c>
      <c r="AI821" s="36" t="n">
        <f aca="false">IF($B821="",0,IF($I821="INVESTIMENTO",$F821,0)-IF($G821="INVESTIMENTO",$F821,0))</f>
        <v>0</v>
      </c>
      <c r="AJ821" s="35" t="str">
        <f aca="false">IF($B821="","",IF(NOT(ISNUMBER($F821)),"ERRO: valor nao numerico",IF($F821&lt;=0,"ERRO: valor deve ser maior que zero",IF(COUNTIF(MAP_TIPO,$D821)=0,"ERRO: tipo de operacao nao cadastrado",IF(COUNTIF(LST_STATUS,$E821)=0,"ERRO: status invalido",IF(AND($G821="EXTERNO",$I821="EXTERNO"),"ERRO: origem e destino externos",IF(AND($G821&lt;&gt;"EXTERNO",COUNTIFS(ENT_ID,$H821,ENT_TIPO,$G821)=0),"ERRO: origem inexistente",IF(AND($I821&lt;&gt;"EXTERNO",COUNTIFS(ENT_ID,$J821,ENT_TIPO,$I821)=0),"ERRO: destino inexistente",IF(AND($K821&lt;&gt;"",COUNTIF(CAT_ID,$K821)=0),"ERRO: categoria inexistente",IF(AND($L821&lt;&gt;"",COUNTIF(SUB_ID,$L821)=0),"ERRO: subcategoria inexistente",IF(AND($L821&lt;&gt;"",$K821&lt;&gt;"",IFERROR(INDEX(SUB_CATID,MATCH($L821,SUB_ID,0)),"")&lt;&gt;$K821),"ERRO: subcategoria nao pertence a categoria",IF(AND($O821&lt;&gt;"",COUNTIF(P_ID,$O821)=0),"ERRO: parcela inexistente",IF(AND($N821&lt;&gt;"",COUNTIF(CM_ID,$N821)=0),"ERRO: compromisso inexistente","OK")))))))))))))</f>
        <v/>
      </c>
      <c r="AK821" s="35" t="str">
        <f aca="false">IF($B821="","",IF(AND($N821="",$O821="",$P821="",$Q821="",$R821=""),"","VINCULADO: "&amp;TRIM(IF($N821&lt;&gt;"",$N821&amp;" ","")&amp;IF($O821&lt;&gt;"",$O821&amp;" ","")&amp;IF($P821&lt;&gt;"",$P821&amp;" ","")&amp;IF($Q821&lt;&gt;"",$Q821&amp;" ","")&amp;IF($R821&lt;&gt;"",$R821,""))))</f>
        <v/>
      </c>
    </row>
    <row r="822" customFormat="false" ht="15" hidden="false" customHeight="false" outlineLevel="0" collapsed="false">
      <c r="A822" s="30" t="str">
        <f aca="false">IF($B822="","","LAN-"&amp;TEXT(ROW()-4,"000000"))</f>
        <v/>
      </c>
      <c r="B822" s="31"/>
      <c r="C822" s="32"/>
      <c r="D822" s="32"/>
      <c r="E822" s="32"/>
      <c r="F822" s="33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4" t="str">
        <f aca="false">IF($B822="","",YEAR($B822))</f>
        <v/>
      </c>
      <c r="U822" s="34" t="str">
        <f aca="false">IF($B822="","",MONTH($B822))</f>
        <v/>
      </c>
      <c r="V822" s="34" t="str">
        <f aca="false">IF($B822="","",YEAR($B822)*100+MONTH($B822))</f>
        <v/>
      </c>
      <c r="W822" s="35" t="str">
        <f aca="false">IF($D822="","",IFERROR(INDEX(MAP_CLASS,MATCH($D822,MAP_TIPO,0)),"TIPO INVALIDO"))</f>
        <v/>
      </c>
      <c r="X822" s="35" t="str">
        <f aca="false">IF($K822="","",IFERROR(INDEX(CAT_NOME,MATCH($K822,CAT_ID,0)),"?"))</f>
        <v/>
      </c>
      <c r="Y822" s="35" t="str">
        <f aca="false">IF($L822="","",IFERROR(INDEX(SUB_NOME,MATCH($L822,SUB_ID,0)),"?"))</f>
        <v/>
      </c>
      <c r="Z822" s="35" t="str">
        <f aca="false">IF($G822="","",IF($G822="EXTERNO","(Externo)",IFERROR(INDEX(ENT_NOME,MATCH($H822,ENT_ID,0)),"?")))</f>
        <v/>
      </c>
      <c r="AA822" s="35" t="str">
        <f aca="false">IF($I822="","",IF($I822="EXTERNO","(Externo)",IFERROR(INDEX(ENT_NOME,MATCH($J822,ENT_ID,0)),"?")))</f>
        <v/>
      </c>
      <c r="AB822" s="36" t="n">
        <f aca="false">IF($B822="",0,IF(AND($I822="CONTA",$G822&lt;&gt;"CONTA"),$F822,0))</f>
        <v>0</v>
      </c>
      <c r="AC822" s="36" t="n">
        <f aca="false">IF($B822="",0,IF(AND($G822="CONTA",$I822&lt;&gt;"CONTA"),$F822,0))</f>
        <v>0</v>
      </c>
      <c r="AD822" s="36" t="n">
        <f aca="false">IF($W822="RECEITA",$F822,0)</f>
        <v>0</v>
      </c>
      <c r="AE822" s="36" t="n">
        <f aca="false">IF($W822="DESPESA",$F822,0)</f>
        <v>0</v>
      </c>
      <c r="AF822" s="36" t="n">
        <f aca="false">IF($W822="RECEITA_FINANCEIRA",$F822,0)</f>
        <v>0</v>
      </c>
      <c r="AG822" s="36" t="n">
        <f aca="false">IF($B822="",0,IF($I822="CONTA",$F822,0)-IF($G822="CONTA",$F822,0))</f>
        <v>0</v>
      </c>
      <c r="AH822" s="36" t="n">
        <f aca="false">IF($B822="",0,IF($G822="CARTAO",$F822,0)-IF($I822="CARTAO",$F822,0))</f>
        <v>0</v>
      </c>
      <c r="AI822" s="36" t="n">
        <f aca="false">IF($B822="",0,IF($I822="INVESTIMENTO",$F822,0)-IF($G822="INVESTIMENTO",$F822,0))</f>
        <v>0</v>
      </c>
      <c r="AJ822" s="35" t="str">
        <f aca="false">IF($B822="","",IF(NOT(ISNUMBER($F822)),"ERRO: valor nao numerico",IF($F822&lt;=0,"ERRO: valor deve ser maior que zero",IF(COUNTIF(MAP_TIPO,$D822)=0,"ERRO: tipo de operacao nao cadastrado",IF(COUNTIF(LST_STATUS,$E822)=0,"ERRO: status invalido",IF(AND($G822="EXTERNO",$I822="EXTERNO"),"ERRO: origem e destino externos",IF(AND($G822&lt;&gt;"EXTERNO",COUNTIFS(ENT_ID,$H822,ENT_TIPO,$G822)=0),"ERRO: origem inexistente",IF(AND($I822&lt;&gt;"EXTERNO",COUNTIFS(ENT_ID,$J822,ENT_TIPO,$I822)=0),"ERRO: destino inexistente",IF(AND($K822&lt;&gt;"",COUNTIF(CAT_ID,$K822)=0),"ERRO: categoria inexistente",IF(AND($L822&lt;&gt;"",COUNTIF(SUB_ID,$L822)=0),"ERRO: subcategoria inexistente",IF(AND($L822&lt;&gt;"",$K822&lt;&gt;"",IFERROR(INDEX(SUB_CATID,MATCH($L822,SUB_ID,0)),"")&lt;&gt;$K822),"ERRO: subcategoria nao pertence a categoria",IF(AND($O822&lt;&gt;"",COUNTIF(P_ID,$O822)=0),"ERRO: parcela inexistente",IF(AND($N822&lt;&gt;"",COUNTIF(CM_ID,$N822)=0),"ERRO: compromisso inexistente","OK")))))))))))))</f>
        <v/>
      </c>
      <c r="AK822" s="35" t="str">
        <f aca="false">IF($B822="","",IF(AND($N822="",$O822="",$P822="",$Q822="",$R822=""),"","VINCULADO: "&amp;TRIM(IF($N822&lt;&gt;"",$N822&amp;" ","")&amp;IF($O822&lt;&gt;"",$O822&amp;" ","")&amp;IF($P822&lt;&gt;"",$P822&amp;" ","")&amp;IF($Q822&lt;&gt;"",$Q822&amp;" ","")&amp;IF($R822&lt;&gt;"",$R822,""))))</f>
        <v/>
      </c>
    </row>
    <row r="823" customFormat="false" ht="15" hidden="false" customHeight="false" outlineLevel="0" collapsed="false">
      <c r="A823" s="30" t="str">
        <f aca="false">IF($B823="","","LAN-"&amp;TEXT(ROW()-4,"000000"))</f>
        <v/>
      </c>
      <c r="B823" s="31"/>
      <c r="C823" s="32"/>
      <c r="D823" s="32"/>
      <c r="E823" s="32"/>
      <c r="F823" s="33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4" t="str">
        <f aca="false">IF($B823="","",YEAR($B823))</f>
        <v/>
      </c>
      <c r="U823" s="34" t="str">
        <f aca="false">IF($B823="","",MONTH($B823))</f>
        <v/>
      </c>
      <c r="V823" s="34" t="str">
        <f aca="false">IF($B823="","",YEAR($B823)*100+MONTH($B823))</f>
        <v/>
      </c>
      <c r="W823" s="35" t="str">
        <f aca="false">IF($D823="","",IFERROR(INDEX(MAP_CLASS,MATCH($D823,MAP_TIPO,0)),"TIPO INVALIDO"))</f>
        <v/>
      </c>
      <c r="X823" s="35" t="str">
        <f aca="false">IF($K823="","",IFERROR(INDEX(CAT_NOME,MATCH($K823,CAT_ID,0)),"?"))</f>
        <v/>
      </c>
      <c r="Y823" s="35" t="str">
        <f aca="false">IF($L823="","",IFERROR(INDEX(SUB_NOME,MATCH($L823,SUB_ID,0)),"?"))</f>
        <v/>
      </c>
      <c r="Z823" s="35" t="str">
        <f aca="false">IF($G823="","",IF($G823="EXTERNO","(Externo)",IFERROR(INDEX(ENT_NOME,MATCH($H823,ENT_ID,0)),"?")))</f>
        <v/>
      </c>
      <c r="AA823" s="35" t="str">
        <f aca="false">IF($I823="","",IF($I823="EXTERNO","(Externo)",IFERROR(INDEX(ENT_NOME,MATCH($J823,ENT_ID,0)),"?")))</f>
        <v/>
      </c>
      <c r="AB823" s="36" t="n">
        <f aca="false">IF($B823="",0,IF(AND($I823="CONTA",$G823&lt;&gt;"CONTA"),$F823,0))</f>
        <v>0</v>
      </c>
      <c r="AC823" s="36" t="n">
        <f aca="false">IF($B823="",0,IF(AND($G823="CONTA",$I823&lt;&gt;"CONTA"),$F823,0))</f>
        <v>0</v>
      </c>
      <c r="AD823" s="36" t="n">
        <f aca="false">IF($W823="RECEITA",$F823,0)</f>
        <v>0</v>
      </c>
      <c r="AE823" s="36" t="n">
        <f aca="false">IF($W823="DESPESA",$F823,0)</f>
        <v>0</v>
      </c>
      <c r="AF823" s="36" t="n">
        <f aca="false">IF($W823="RECEITA_FINANCEIRA",$F823,0)</f>
        <v>0</v>
      </c>
      <c r="AG823" s="36" t="n">
        <f aca="false">IF($B823="",0,IF($I823="CONTA",$F823,0)-IF($G823="CONTA",$F823,0))</f>
        <v>0</v>
      </c>
      <c r="AH823" s="36" t="n">
        <f aca="false">IF($B823="",0,IF($G823="CARTAO",$F823,0)-IF($I823="CARTAO",$F823,0))</f>
        <v>0</v>
      </c>
      <c r="AI823" s="36" t="n">
        <f aca="false">IF($B823="",0,IF($I823="INVESTIMENTO",$F823,0)-IF($G823="INVESTIMENTO",$F823,0))</f>
        <v>0</v>
      </c>
      <c r="AJ823" s="35" t="str">
        <f aca="false">IF($B823="","",IF(NOT(ISNUMBER($F823)),"ERRO: valor nao numerico",IF($F823&lt;=0,"ERRO: valor deve ser maior que zero",IF(COUNTIF(MAP_TIPO,$D823)=0,"ERRO: tipo de operacao nao cadastrado",IF(COUNTIF(LST_STATUS,$E823)=0,"ERRO: status invalido",IF(AND($G823="EXTERNO",$I823="EXTERNO"),"ERRO: origem e destino externos",IF(AND($G823&lt;&gt;"EXTERNO",COUNTIFS(ENT_ID,$H823,ENT_TIPO,$G823)=0),"ERRO: origem inexistente",IF(AND($I823&lt;&gt;"EXTERNO",COUNTIFS(ENT_ID,$J823,ENT_TIPO,$I823)=0),"ERRO: destino inexistente",IF(AND($K823&lt;&gt;"",COUNTIF(CAT_ID,$K823)=0),"ERRO: categoria inexistente",IF(AND($L823&lt;&gt;"",COUNTIF(SUB_ID,$L823)=0),"ERRO: subcategoria inexistente",IF(AND($L823&lt;&gt;"",$K823&lt;&gt;"",IFERROR(INDEX(SUB_CATID,MATCH($L823,SUB_ID,0)),"")&lt;&gt;$K823),"ERRO: subcategoria nao pertence a categoria",IF(AND($O823&lt;&gt;"",COUNTIF(P_ID,$O823)=0),"ERRO: parcela inexistente",IF(AND($N823&lt;&gt;"",COUNTIF(CM_ID,$N823)=0),"ERRO: compromisso inexistente","OK")))))))))))))</f>
        <v/>
      </c>
      <c r="AK823" s="35" t="str">
        <f aca="false">IF($B823="","",IF(AND($N823="",$O823="",$P823="",$Q823="",$R823=""),"","VINCULADO: "&amp;TRIM(IF($N823&lt;&gt;"",$N823&amp;" ","")&amp;IF($O823&lt;&gt;"",$O823&amp;" ","")&amp;IF($P823&lt;&gt;"",$P823&amp;" ","")&amp;IF($Q823&lt;&gt;"",$Q823&amp;" ","")&amp;IF($R823&lt;&gt;"",$R823,""))))</f>
        <v/>
      </c>
    </row>
    <row r="824" customFormat="false" ht="15" hidden="false" customHeight="false" outlineLevel="0" collapsed="false">
      <c r="A824" s="30" t="str">
        <f aca="false">IF($B824="","","LAN-"&amp;TEXT(ROW()-4,"000000"))</f>
        <v/>
      </c>
      <c r="B824" s="31"/>
      <c r="C824" s="32"/>
      <c r="D824" s="32"/>
      <c r="E824" s="32"/>
      <c r="F824" s="33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4" t="str">
        <f aca="false">IF($B824="","",YEAR($B824))</f>
        <v/>
      </c>
      <c r="U824" s="34" t="str">
        <f aca="false">IF($B824="","",MONTH($B824))</f>
        <v/>
      </c>
      <c r="V824" s="34" t="str">
        <f aca="false">IF($B824="","",YEAR($B824)*100+MONTH($B824))</f>
        <v/>
      </c>
      <c r="W824" s="35" t="str">
        <f aca="false">IF($D824="","",IFERROR(INDEX(MAP_CLASS,MATCH($D824,MAP_TIPO,0)),"TIPO INVALIDO"))</f>
        <v/>
      </c>
      <c r="X824" s="35" t="str">
        <f aca="false">IF($K824="","",IFERROR(INDEX(CAT_NOME,MATCH($K824,CAT_ID,0)),"?"))</f>
        <v/>
      </c>
      <c r="Y824" s="35" t="str">
        <f aca="false">IF($L824="","",IFERROR(INDEX(SUB_NOME,MATCH($L824,SUB_ID,0)),"?"))</f>
        <v/>
      </c>
      <c r="Z824" s="35" t="str">
        <f aca="false">IF($G824="","",IF($G824="EXTERNO","(Externo)",IFERROR(INDEX(ENT_NOME,MATCH($H824,ENT_ID,0)),"?")))</f>
        <v/>
      </c>
      <c r="AA824" s="35" t="str">
        <f aca="false">IF($I824="","",IF($I824="EXTERNO","(Externo)",IFERROR(INDEX(ENT_NOME,MATCH($J824,ENT_ID,0)),"?")))</f>
        <v/>
      </c>
      <c r="AB824" s="36" t="n">
        <f aca="false">IF($B824="",0,IF(AND($I824="CONTA",$G824&lt;&gt;"CONTA"),$F824,0))</f>
        <v>0</v>
      </c>
      <c r="AC824" s="36" t="n">
        <f aca="false">IF($B824="",0,IF(AND($G824="CONTA",$I824&lt;&gt;"CONTA"),$F824,0))</f>
        <v>0</v>
      </c>
      <c r="AD824" s="36" t="n">
        <f aca="false">IF($W824="RECEITA",$F824,0)</f>
        <v>0</v>
      </c>
      <c r="AE824" s="36" t="n">
        <f aca="false">IF($W824="DESPESA",$F824,0)</f>
        <v>0</v>
      </c>
      <c r="AF824" s="36" t="n">
        <f aca="false">IF($W824="RECEITA_FINANCEIRA",$F824,0)</f>
        <v>0</v>
      </c>
      <c r="AG824" s="36" t="n">
        <f aca="false">IF($B824="",0,IF($I824="CONTA",$F824,0)-IF($G824="CONTA",$F824,0))</f>
        <v>0</v>
      </c>
      <c r="AH824" s="36" t="n">
        <f aca="false">IF($B824="",0,IF($G824="CARTAO",$F824,0)-IF($I824="CARTAO",$F824,0))</f>
        <v>0</v>
      </c>
      <c r="AI824" s="36" t="n">
        <f aca="false">IF($B824="",0,IF($I824="INVESTIMENTO",$F824,0)-IF($G824="INVESTIMENTO",$F824,0))</f>
        <v>0</v>
      </c>
      <c r="AJ824" s="35" t="str">
        <f aca="false">IF($B824="","",IF(NOT(ISNUMBER($F824)),"ERRO: valor nao numerico",IF($F824&lt;=0,"ERRO: valor deve ser maior que zero",IF(COUNTIF(MAP_TIPO,$D824)=0,"ERRO: tipo de operacao nao cadastrado",IF(COUNTIF(LST_STATUS,$E824)=0,"ERRO: status invalido",IF(AND($G824="EXTERNO",$I824="EXTERNO"),"ERRO: origem e destino externos",IF(AND($G824&lt;&gt;"EXTERNO",COUNTIFS(ENT_ID,$H824,ENT_TIPO,$G824)=0),"ERRO: origem inexistente",IF(AND($I824&lt;&gt;"EXTERNO",COUNTIFS(ENT_ID,$J824,ENT_TIPO,$I824)=0),"ERRO: destino inexistente",IF(AND($K824&lt;&gt;"",COUNTIF(CAT_ID,$K824)=0),"ERRO: categoria inexistente",IF(AND($L824&lt;&gt;"",COUNTIF(SUB_ID,$L824)=0),"ERRO: subcategoria inexistente",IF(AND($L824&lt;&gt;"",$K824&lt;&gt;"",IFERROR(INDEX(SUB_CATID,MATCH($L824,SUB_ID,0)),"")&lt;&gt;$K824),"ERRO: subcategoria nao pertence a categoria",IF(AND($O824&lt;&gt;"",COUNTIF(P_ID,$O824)=0),"ERRO: parcela inexistente",IF(AND($N824&lt;&gt;"",COUNTIF(CM_ID,$N824)=0),"ERRO: compromisso inexistente","OK")))))))))))))</f>
        <v/>
      </c>
      <c r="AK824" s="35" t="str">
        <f aca="false">IF($B824="","",IF(AND($N824="",$O824="",$P824="",$Q824="",$R824=""),"","VINCULADO: "&amp;TRIM(IF($N824&lt;&gt;"",$N824&amp;" ","")&amp;IF($O824&lt;&gt;"",$O824&amp;" ","")&amp;IF($P824&lt;&gt;"",$P824&amp;" ","")&amp;IF($Q824&lt;&gt;"",$Q824&amp;" ","")&amp;IF($R824&lt;&gt;"",$R824,""))))</f>
        <v/>
      </c>
    </row>
    <row r="825" customFormat="false" ht="15" hidden="false" customHeight="false" outlineLevel="0" collapsed="false">
      <c r="A825" s="30" t="str">
        <f aca="false">IF($B825="","","LAN-"&amp;TEXT(ROW()-4,"000000"))</f>
        <v/>
      </c>
      <c r="B825" s="31"/>
      <c r="C825" s="32"/>
      <c r="D825" s="32"/>
      <c r="E825" s="32"/>
      <c r="F825" s="33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4" t="str">
        <f aca="false">IF($B825="","",YEAR($B825))</f>
        <v/>
      </c>
      <c r="U825" s="34" t="str">
        <f aca="false">IF($B825="","",MONTH($B825))</f>
        <v/>
      </c>
      <c r="V825" s="34" t="str">
        <f aca="false">IF($B825="","",YEAR($B825)*100+MONTH($B825))</f>
        <v/>
      </c>
      <c r="W825" s="35" t="str">
        <f aca="false">IF($D825="","",IFERROR(INDEX(MAP_CLASS,MATCH($D825,MAP_TIPO,0)),"TIPO INVALIDO"))</f>
        <v/>
      </c>
      <c r="X825" s="35" t="str">
        <f aca="false">IF($K825="","",IFERROR(INDEX(CAT_NOME,MATCH($K825,CAT_ID,0)),"?"))</f>
        <v/>
      </c>
      <c r="Y825" s="35" t="str">
        <f aca="false">IF($L825="","",IFERROR(INDEX(SUB_NOME,MATCH($L825,SUB_ID,0)),"?"))</f>
        <v/>
      </c>
      <c r="Z825" s="35" t="str">
        <f aca="false">IF($G825="","",IF($G825="EXTERNO","(Externo)",IFERROR(INDEX(ENT_NOME,MATCH($H825,ENT_ID,0)),"?")))</f>
        <v/>
      </c>
      <c r="AA825" s="35" t="str">
        <f aca="false">IF($I825="","",IF($I825="EXTERNO","(Externo)",IFERROR(INDEX(ENT_NOME,MATCH($J825,ENT_ID,0)),"?")))</f>
        <v/>
      </c>
      <c r="AB825" s="36" t="n">
        <f aca="false">IF($B825="",0,IF(AND($I825="CONTA",$G825&lt;&gt;"CONTA"),$F825,0))</f>
        <v>0</v>
      </c>
      <c r="AC825" s="36" t="n">
        <f aca="false">IF($B825="",0,IF(AND($G825="CONTA",$I825&lt;&gt;"CONTA"),$F825,0))</f>
        <v>0</v>
      </c>
      <c r="AD825" s="36" t="n">
        <f aca="false">IF($W825="RECEITA",$F825,0)</f>
        <v>0</v>
      </c>
      <c r="AE825" s="36" t="n">
        <f aca="false">IF($W825="DESPESA",$F825,0)</f>
        <v>0</v>
      </c>
      <c r="AF825" s="36" t="n">
        <f aca="false">IF($W825="RECEITA_FINANCEIRA",$F825,0)</f>
        <v>0</v>
      </c>
      <c r="AG825" s="36" t="n">
        <f aca="false">IF($B825="",0,IF($I825="CONTA",$F825,0)-IF($G825="CONTA",$F825,0))</f>
        <v>0</v>
      </c>
      <c r="AH825" s="36" t="n">
        <f aca="false">IF($B825="",0,IF($G825="CARTAO",$F825,0)-IF($I825="CARTAO",$F825,0))</f>
        <v>0</v>
      </c>
      <c r="AI825" s="36" t="n">
        <f aca="false">IF($B825="",0,IF($I825="INVESTIMENTO",$F825,0)-IF($G825="INVESTIMENTO",$F825,0))</f>
        <v>0</v>
      </c>
      <c r="AJ825" s="35" t="str">
        <f aca="false">IF($B825="","",IF(NOT(ISNUMBER($F825)),"ERRO: valor nao numerico",IF($F825&lt;=0,"ERRO: valor deve ser maior que zero",IF(COUNTIF(MAP_TIPO,$D825)=0,"ERRO: tipo de operacao nao cadastrado",IF(COUNTIF(LST_STATUS,$E825)=0,"ERRO: status invalido",IF(AND($G825="EXTERNO",$I825="EXTERNO"),"ERRO: origem e destino externos",IF(AND($G825&lt;&gt;"EXTERNO",COUNTIFS(ENT_ID,$H825,ENT_TIPO,$G825)=0),"ERRO: origem inexistente",IF(AND($I825&lt;&gt;"EXTERNO",COUNTIFS(ENT_ID,$J825,ENT_TIPO,$I825)=0),"ERRO: destino inexistente",IF(AND($K825&lt;&gt;"",COUNTIF(CAT_ID,$K825)=0),"ERRO: categoria inexistente",IF(AND($L825&lt;&gt;"",COUNTIF(SUB_ID,$L825)=0),"ERRO: subcategoria inexistente",IF(AND($L825&lt;&gt;"",$K825&lt;&gt;"",IFERROR(INDEX(SUB_CATID,MATCH($L825,SUB_ID,0)),"")&lt;&gt;$K825),"ERRO: subcategoria nao pertence a categoria",IF(AND($O825&lt;&gt;"",COUNTIF(P_ID,$O825)=0),"ERRO: parcela inexistente",IF(AND($N825&lt;&gt;"",COUNTIF(CM_ID,$N825)=0),"ERRO: compromisso inexistente","OK")))))))))))))</f>
        <v/>
      </c>
      <c r="AK825" s="35" t="str">
        <f aca="false">IF($B825="","",IF(AND($N825="",$O825="",$P825="",$Q825="",$R825=""),"","VINCULADO: "&amp;TRIM(IF($N825&lt;&gt;"",$N825&amp;" ","")&amp;IF($O825&lt;&gt;"",$O825&amp;" ","")&amp;IF($P825&lt;&gt;"",$P825&amp;" ","")&amp;IF($Q825&lt;&gt;"",$Q825&amp;" ","")&amp;IF($R825&lt;&gt;"",$R825,""))))</f>
        <v/>
      </c>
    </row>
    <row r="826" customFormat="false" ht="15" hidden="false" customHeight="false" outlineLevel="0" collapsed="false">
      <c r="A826" s="30" t="str">
        <f aca="false">IF($B826="","","LAN-"&amp;TEXT(ROW()-4,"000000"))</f>
        <v/>
      </c>
      <c r="B826" s="31"/>
      <c r="C826" s="32"/>
      <c r="D826" s="32"/>
      <c r="E826" s="32"/>
      <c r="F826" s="33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4" t="str">
        <f aca="false">IF($B826="","",YEAR($B826))</f>
        <v/>
      </c>
      <c r="U826" s="34" t="str">
        <f aca="false">IF($B826="","",MONTH($B826))</f>
        <v/>
      </c>
      <c r="V826" s="34" t="str">
        <f aca="false">IF($B826="","",YEAR($B826)*100+MONTH($B826))</f>
        <v/>
      </c>
      <c r="W826" s="35" t="str">
        <f aca="false">IF($D826="","",IFERROR(INDEX(MAP_CLASS,MATCH($D826,MAP_TIPO,0)),"TIPO INVALIDO"))</f>
        <v/>
      </c>
      <c r="X826" s="35" t="str">
        <f aca="false">IF($K826="","",IFERROR(INDEX(CAT_NOME,MATCH($K826,CAT_ID,0)),"?"))</f>
        <v/>
      </c>
      <c r="Y826" s="35" t="str">
        <f aca="false">IF($L826="","",IFERROR(INDEX(SUB_NOME,MATCH($L826,SUB_ID,0)),"?"))</f>
        <v/>
      </c>
      <c r="Z826" s="35" t="str">
        <f aca="false">IF($G826="","",IF($G826="EXTERNO","(Externo)",IFERROR(INDEX(ENT_NOME,MATCH($H826,ENT_ID,0)),"?")))</f>
        <v/>
      </c>
      <c r="AA826" s="35" t="str">
        <f aca="false">IF($I826="","",IF($I826="EXTERNO","(Externo)",IFERROR(INDEX(ENT_NOME,MATCH($J826,ENT_ID,0)),"?")))</f>
        <v/>
      </c>
      <c r="AB826" s="36" t="n">
        <f aca="false">IF($B826="",0,IF(AND($I826="CONTA",$G826&lt;&gt;"CONTA"),$F826,0))</f>
        <v>0</v>
      </c>
      <c r="AC826" s="36" t="n">
        <f aca="false">IF($B826="",0,IF(AND($G826="CONTA",$I826&lt;&gt;"CONTA"),$F826,0))</f>
        <v>0</v>
      </c>
      <c r="AD826" s="36" t="n">
        <f aca="false">IF($W826="RECEITA",$F826,0)</f>
        <v>0</v>
      </c>
      <c r="AE826" s="36" t="n">
        <f aca="false">IF($W826="DESPESA",$F826,0)</f>
        <v>0</v>
      </c>
      <c r="AF826" s="36" t="n">
        <f aca="false">IF($W826="RECEITA_FINANCEIRA",$F826,0)</f>
        <v>0</v>
      </c>
      <c r="AG826" s="36" t="n">
        <f aca="false">IF($B826="",0,IF($I826="CONTA",$F826,0)-IF($G826="CONTA",$F826,0))</f>
        <v>0</v>
      </c>
      <c r="AH826" s="36" t="n">
        <f aca="false">IF($B826="",0,IF($G826="CARTAO",$F826,0)-IF($I826="CARTAO",$F826,0))</f>
        <v>0</v>
      </c>
      <c r="AI826" s="36" t="n">
        <f aca="false">IF($B826="",0,IF($I826="INVESTIMENTO",$F826,0)-IF($G826="INVESTIMENTO",$F826,0))</f>
        <v>0</v>
      </c>
      <c r="AJ826" s="35" t="str">
        <f aca="false">IF($B826="","",IF(NOT(ISNUMBER($F826)),"ERRO: valor nao numerico",IF($F826&lt;=0,"ERRO: valor deve ser maior que zero",IF(COUNTIF(MAP_TIPO,$D826)=0,"ERRO: tipo de operacao nao cadastrado",IF(COUNTIF(LST_STATUS,$E826)=0,"ERRO: status invalido",IF(AND($G826="EXTERNO",$I826="EXTERNO"),"ERRO: origem e destino externos",IF(AND($G826&lt;&gt;"EXTERNO",COUNTIFS(ENT_ID,$H826,ENT_TIPO,$G826)=0),"ERRO: origem inexistente",IF(AND($I826&lt;&gt;"EXTERNO",COUNTIFS(ENT_ID,$J826,ENT_TIPO,$I826)=0),"ERRO: destino inexistente",IF(AND($K826&lt;&gt;"",COUNTIF(CAT_ID,$K826)=0),"ERRO: categoria inexistente",IF(AND($L826&lt;&gt;"",COUNTIF(SUB_ID,$L826)=0),"ERRO: subcategoria inexistente",IF(AND($L826&lt;&gt;"",$K826&lt;&gt;"",IFERROR(INDEX(SUB_CATID,MATCH($L826,SUB_ID,0)),"")&lt;&gt;$K826),"ERRO: subcategoria nao pertence a categoria",IF(AND($O826&lt;&gt;"",COUNTIF(P_ID,$O826)=0),"ERRO: parcela inexistente",IF(AND($N826&lt;&gt;"",COUNTIF(CM_ID,$N826)=0),"ERRO: compromisso inexistente","OK")))))))))))))</f>
        <v/>
      </c>
      <c r="AK826" s="35" t="str">
        <f aca="false">IF($B826="","",IF(AND($N826="",$O826="",$P826="",$Q826="",$R826=""),"","VINCULADO: "&amp;TRIM(IF($N826&lt;&gt;"",$N826&amp;" ","")&amp;IF($O826&lt;&gt;"",$O826&amp;" ","")&amp;IF($P826&lt;&gt;"",$P826&amp;" ","")&amp;IF($Q826&lt;&gt;"",$Q826&amp;" ","")&amp;IF($R826&lt;&gt;"",$R826,""))))</f>
        <v/>
      </c>
    </row>
    <row r="827" customFormat="false" ht="15" hidden="false" customHeight="false" outlineLevel="0" collapsed="false">
      <c r="A827" s="30" t="str">
        <f aca="false">IF($B827="","","LAN-"&amp;TEXT(ROW()-4,"000000"))</f>
        <v/>
      </c>
      <c r="B827" s="31"/>
      <c r="C827" s="32"/>
      <c r="D827" s="32"/>
      <c r="E827" s="32"/>
      <c r="F827" s="33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4" t="str">
        <f aca="false">IF($B827="","",YEAR($B827))</f>
        <v/>
      </c>
      <c r="U827" s="34" t="str">
        <f aca="false">IF($B827="","",MONTH($B827))</f>
        <v/>
      </c>
      <c r="V827" s="34" t="str">
        <f aca="false">IF($B827="","",YEAR($B827)*100+MONTH($B827))</f>
        <v/>
      </c>
      <c r="W827" s="35" t="str">
        <f aca="false">IF($D827="","",IFERROR(INDEX(MAP_CLASS,MATCH($D827,MAP_TIPO,0)),"TIPO INVALIDO"))</f>
        <v/>
      </c>
      <c r="X827" s="35" t="str">
        <f aca="false">IF($K827="","",IFERROR(INDEX(CAT_NOME,MATCH($K827,CAT_ID,0)),"?"))</f>
        <v/>
      </c>
      <c r="Y827" s="35" t="str">
        <f aca="false">IF($L827="","",IFERROR(INDEX(SUB_NOME,MATCH($L827,SUB_ID,0)),"?"))</f>
        <v/>
      </c>
      <c r="Z827" s="35" t="str">
        <f aca="false">IF($G827="","",IF($G827="EXTERNO","(Externo)",IFERROR(INDEX(ENT_NOME,MATCH($H827,ENT_ID,0)),"?")))</f>
        <v/>
      </c>
      <c r="AA827" s="35" t="str">
        <f aca="false">IF($I827="","",IF($I827="EXTERNO","(Externo)",IFERROR(INDEX(ENT_NOME,MATCH($J827,ENT_ID,0)),"?")))</f>
        <v/>
      </c>
      <c r="AB827" s="36" t="n">
        <f aca="false">IF($B827="",0,IF(AND($I827="CONTA",$G827&lt;&gt;"CONTA"),$F827,0))</f>
        <v>0</v>
      </c>
      <c r="AC827" s="36" t="n">
        <f aca="false">IF($B827="",0,IF(AND($G827="CONTA",$I827&lt;&gt;"CONTA"),$F827,0))</f>
        <v>0</v>
      </c>
      <c r="AD827" s="36" t="n">
        <f aca="false">IF($W827="RECEITA",$F827,0)</f>
        <v>0</v>
      </c>
      <c r="AE827" s="36" t="n">
        <f aca="false">IF($W827="DESPESA",$F827,0)</f>
        <v>0</v>
      </c>
      <c r="AF827" s="36" t="n">
        <f aca="false">IF($W827="RECEITA_FINANCEIRA",$F827,0)</f>
        <v>0</v>
      </c>
      <c r="AG827" s="36" t="n">
        <f aca="false">IF($B827="",0,IF($I827="CONTA",$F827,0)-IF($G827="CONTA",$F827,0))</f>
        <v>0</v>
      </c>
      <c r="AH827" s="36" t="n">
        <f aca="false">IF($B827="",0,IF($G827="CARTAO",$F827,0)-IF($I827="CARTAO",$F827,0))</f>
        <v>0</v>
      </c>
      <c r="AI827" s="36" t="n">
        <f aca="false">IF($B827="",0,IF($I827="INVESTIMENTO",$F827,0)-IF($G827="INVESTIMENTO",$F827,0))</f>
        <v>0</v>
      </c>
      <c r="AJ827" s="35" t="str">
        <f aca="false">IF($B827="","",IF(NOT(ISNUMBER($F827)),"ERRO: valor nao numerico",IF($F827&lt;=0,"ERRO: valor deve ser maior que zero",IF(COUNTIF(MAP_TIPO,$D827)=0,"ERRO: tipo de operacao nao cadastrado",IF(COUNTIF(LST_STATUS,$E827)=0,"ERRO: status invalido",IF(AND($G827="EXTERNO",$I827="EXTERNO"),"ERRO: origem e destino externos",IF(AND($G827&lt;&gt;"EXTERNO",COUNTIFS(ENT_ID,$H827,ENT_TIPO,$G827)=0),"ERRO: origem inexistente",IF(AND($I827&lt;&gt;"EXTERNO",COUNTIFS(ENT_ID,$J827,ENT_TIPO,$I827)=0),"ERRO: destino inexistente",IF(AND($K827&lt;&gt;"",COUNTIF(CAT_ID,$K827)=0),"ERRO: categoria inexistente",IF(AND($L827&lt;&gt;"",COUNTIF(SUB_ID,$L827)=0),"ERRO: subcategoria inexistente",IF(AND($L827&lt;&gt;"",$K827&lt;&gt;"",IFERROR(INDEX(SUB_CATID,MATCH($L827,SUB_ID,0)),"")&lt;&gt;$K827),"ERRO: subcategoria nao pertence a categoria",IF(AND($O827&lt;&gt;"",COUNTIF(P_ID,$O827)=0),"ERRO: parcela inexistente",IF(AND($N827&lt;&gt;"",COUNTIF(CM_ID,$N827)=0),"ERRO: compromisso inexistente","OK")))))))))))))</f>
        <v/>
      </c>
      <c r="AK827" s="35" t="str">
        <f aca="false">IF($B827="","",IF(AND($N827="",$O827="",$P827="",$Q827="",$R827=""),"","VINCULADO: "&amp;TRIM(IF($N827&lt;&gt;"",$N827&amp;" ","")&amp;IF($O827&lt;&gt;"",$O827&amp;" ","")&amp;IF($P827&lt;&gt;"",$P827&amp;" ","")&amp;IF($Q827&lt;&gt;"",$Q827&amp;" ","")&amp;IF($R827&lt;&gt;"",$R827,""))))</f>
        <v/>
      </c>
    </row>
    <row r="828" customFormat="false" ht="15" hidden="false" customHeight="false" outlineLevel="0" collapsed="false">
      <c r="A828" s="30" t="str">
        <f aca="false">IF($B828="","","LAN-"&amp;TEXT(ROW()-4,"000000"))</f>
        <v/>
      </c>
      <c r="B828" s="31"/>
      <c r="C828" s="32"/>
      <c r="D828" s="32"/>
      <c r="E828" s="32"/>
      <c r="F828" s="33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4" t="str">
        <f aca="false">IF($B828="","",YEAR($B828))</f>
        <v/>
      </c>
      <c r="U828" s="34" t="str">
        <f aca="false">IF($B828="","",MONTH($B828))</f>
        <v/>
      </c>
      <c r="V828" s="34" t="str">
        <f aca="false">IF($B828="","",YEAR($B828)*100+MONTH($B828))</f>
        <v/>
      </c>
      <c r="W828" s="35" t="str">
        <f aca="false">IF($D828="","",IFERROR(INDEX(MAP_CLASS,MATCH($D828,MAP_TIPO,0)),"TIPO INVALIDO"))</f>
        <v/>
      </c>
      <c r="X828" s="35" t="str">
        <f aca="false">IF($K828="","",IFERROR(INDEX(CAT_NOME,MATCH($K828,CAT_ID,0)),"?"))</f>
        <v/>
      </c>
      <c r="Y828" s="35" t="str">
        <f aca="false">IF($L828="","",IFERROR(INDEX(SUB_NOME,MATCH($L828,SUB_ID,0)),"?"))</f>
        <v/>
      </c>
      <c r="Z828" s="35" t="str">
        <f aca="false">IF($G828="","",IF($G828="EXTERNO","(Externo)",IFERROR(INDEX(ENT_NOME,MATCH($H828,ENT_ID,0)),"?")))</f>
        <v/>
      </c>
      <c r="AA828" s="35" t="str">
        <f aca="false">IF($I828="","",IF($I828="EXTERNO","(Externo)",IFERROR(INDEX(ENT_NOME,MATCH($J828,ENT_ID,0)),"?")))</f>
        <v/>
      </c>
      <c r="AB828" s="36" t="n">
        <f aca="false">IF($B828="",0,IF(AND($I828="CONTA",$G828&lt;&gt;"CONTA"),$F828,0))</f>
        <v>0</v>
      </c>
      <c r="AC828" s="36" t="n">
        <f aca="false">IF($B828="",0,IF(AND($G828="CONTA",$I828&lt;&gt;"CONTA"),$F828,0))</f>
        <v>0</v>
      </c>
      <c r="AD828" s="36" t="n">
        <f aca="false">IF($W828="RECEITA",$F828,0)</f>
        <v>0</v>
      </c>
      <c r="AE828" s="36" t="n">
        <f aca="false">IF($W828="DESPESA",$F828,0)</f>
        <v>0</v>
      </c>
      <c r="AF828" s="36" t="n">
        <f aca="false">IF($W828="RECEITA_FINANCEIRA",$F828,0)</f>
        <v>0</v>
      </c>
      <c r="AG828" s="36" t="n">
        <f aca="false">IF($B828="",0,IF($I828="CONTA",$F828,0)-IF($G828="CONTA",$F828,0))</f>
        <v>0</v>
      </c>
      <c r="AH828" s="36" t="n">
        <f aca="false">IF($B828="",0,IF($G828="CARTAO",$F828,0)-IF($I828="CARTAO",$F828,0))</f>
        <v>0</v>
      </c>
      <c r="AI828" s="36" t="n">
        <f aca="false">IF($B828="",0,IF($I828="INVESTIMENTO",$F828,0)-IF($G828="INVESTIMENTO",$F828,0))</f>
        <v>0</v>
      </c>
      <c r="AJ828" s="35" t="str">
        <f aca="false">IF($B828="","",IF(NOT(ISNUMBER($F828)),"ERRO: valor nao numerico",IF($F828&lt;=0,"ERRO: valor deve ser maior que zero",IF(COUNTIF(MAP_TIPO,$D828)=0,"ERRO: tipo de operacao nao cadastrado",IF(COUNTIF(LST_STATUS,$E828)=0,"ERRO: status invalido",IF(AND($G828="EXTERNO",$I828="EXTERNO"),"ERRO: origem e destino externos",IF(AND($G828&lt;&gt;"EXTERNO",COUNTIFS(ENT_ID,$H828,ENT_TIPO,$G828)=0),"ERRO: origem inexistente",IF(AND($I828&lt;&gt;"EXTERNO",COUNTIFS(ENT_ID,$J828,ENT_TIPO,$I828)=0),"ERRO: destino inexistente",IF(AND($K828&lt;&gt;"",COUNTIF(CAT_ID,$K828)=0),"ERRO: categoria inexistente",IF(AND($L828&lt;&gt;"",COUNTIF(SUB_ID,$L828)=0),"ERRO: subcategoria inexistente",IF(AND($L828&lt;&gt;"",$K828&lt;&gt;"",IFERROR(INDEX(SUB_CATID,MATCH($L828,SUB_ID,0)),"")&lt;&gt;$K828),"ERRO: subcategoria nao pertence a categoria",IF(AND($O828&lt;&gt;"",COUNTIF(P_ID,$O828)=0),"ERRO: parcela inexistente",IF(AND($N828&lt;&gt;"",COUNTIF(CM_ID,$N828)=0),"ERRO: compromisso inexistente","OK")))))))))))))</f>
        <v/>
      </c>
      <c r="AK828" s="35" t="str">
        <f aca="false">IF($B828="","",IF(AND($N828="",$O828="",$P828="",$Q828="",$R828=""),"","VINCULADO: "&amp;TRIM(IF($N828&lt;&gt;"",$N828&amp;" ","")&amp;IF($O828&lt;&gt;"",$O828&amp;" ","")&amp;IF($P828&lt;&gt;"",$P828&amp;" ","")&amp;IF($Q828&lt;&gt;"",$Q828&amp;" ","")&amp;IF($R828&lt;&gt;"",$R828,""))))</f>
        <v/>
      </c>
    </row>
    <row r="829" customFormat="false" ht="15" hidden="false" customHeight="false" outlineLevel="0" collapsed="false">
      <c r="A829" s="30" t="str">
        <f aca="false">IF($B829="","","LAN-"&amp;TEXT(ROW()-4,"000000"))</f>
        <v/>
      </c>
      <c r="B829" s="31"/>
      <c r="C829" s="32"/>
      <c r="D829" s="32"/>
      <c r="E829" s="32"/>
      <c r="F829" s="33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4" t="str">
        <f aca="false">IF($B829="","",YEAR($B829))</f>
        <v/>
      </c>
      <c r="U829" s="34" t="str">
        <f aca="false">IF($B829="","",MONTH($B829))</f>
        <v/>
      </c>
      <c r="V829" s="34" t="str">
        <f aca="false">IF($B829="","",YEAR($B829)*100+MONTH($B829))</f>
        <v/>
      </c>
      <c r="W829" s="35" t="str">
        <f aca="false">IF($D829="","",IFERROR(INDEX(MAP_CLASS,MATCH($D829,MAP_TIPO,0)),"TIPO INVALIDO"))</f>
        <v/>
      </c>
      <c r="X829" s="35" t="str">
        <f aca="false">IF($K829="","",IFERROR(INDEX(CAT_NOME,MATCH($K829,CAT_ID,0)),"?"))</f>
        <v/>
      </c>
      <c r="Y829" s="35" t="str">
        <f aca="false">IF($L829="","",IFERROR(INDEX(SUB_NOME,MATCH($L829,SUB_ID,0)),"?"))</f>
        <v/>
      </c>
      <c r="Z829" s="35" t="str">
        <f aca="false">IF($G829="","",IF($G829="EXTERNO","(Externo)",IFERROR(INDEX(ENT_NOME,MATCH($H829,ENT_ID,0)),"?")))</f>
        <v/>
      </c>
      <c r="AA829" s="35" t="str">
        <f aca="false">IF($I829="","",IF($I829="EXTERNO","(Externo)",IFERROR(INDEX(ENT_NOME,MATCH($J829,ENT_ID,0)),"?")))</f>
        <v/>
      </c>
      <c r="AB829" s="36" t="n">
        <f aca="false">IF($B829="",0,IF(AND($I829="CONTA",$G829&lt;&gt;"CONTA"),$F829,0))</f>
        <v>0</v>
      </c>
      <c r="AC829" s="36" t="n">
        <f aca="false">IF($B829="",0,IF(AND($G829="CONTA",$I829&lt;&gt;"CONTA"),$F829,0))</f>
        <v>0</v>
      </c>
      <c r="AD829" s="36" t="n">
        <f aca="false">IF($W829="RECEITA",$F829,0)</f>
        <v>0</v>
      </c>
      <c r="AE829" s="36" t="n">
        <f aca="false">IF($W829="DESPESA",$F829,0)</f>
        <v>0</v>
      </c>
      <c r="AF829" s="36" t="n">
        <f aca="false">IF($W829="RECEITA_FINANCEIRA",$F829,0)</f>
        <v>0</v>
      </c>
      <c r="AG829" s="36" t="n">
        <f aca="false">IF($B829="",0,IF($I829="CONTA",$F829,0)-IF($G829="CONTA",$F829,0))</f>
        <v>0</v>
      </c>
      <c r="AH829" s="36" t="n">
        <f aca="false">IF($B829="",0,IF($G829="CARTAO",$F829,0)-IF($I829="CARTAO",$F829,0))</f>
        <v>0</v>
      </c>
      <c r="AI829" s="36" t="n">
        <f aca="false">IF($B829="",0,IF($I829="INVESTIMENTO",$F829,0)-IF($G829="INVESTIMENTO",$F829,0))</f>
        <v>0</v>
      </c>
      <c r="AJ829" s="35" t="str">
        <f aca="false">IF($B829="","",IF(NOT(ISNUMBER($F829)),"ERRO: valor nao numerico",IF($F829&lt;=0,"ERRO: valor deve ser maior que zero",IF(COUNTIF(MAP_TIPO,$D829)=0,"ERRO: tipo de operacao nao cadastrado",IF(COUNTIF(LST_STATUS,$E829)=0,"ERRO: status invalido",IF(AND($G829="EXTERNO",$I829="EXTERNO"),"ERRO: origem e destino externos",IF(AND($G829&lt;&gt;"EXTERNO",COUNTIFS(ENT_ID,$H829,ENT_TIPO,$G829)=0),"ERRO: origem inexistente",IF(AND($I829&lt;&gt;"EXTERNO",COUNTIFS(ENT_ID,$J829,ENT_TIPO,$I829)=0),"ERRO: destino inexistente",IF(AND($K829&lt;&gt;"",COUNTIF(CAT_ID,$K829)=0),"ERRO: categoria inexistente",IF(AND($L829&lt;&gt;"",COUNTIF(SUB_ID,$L829)=0),"ERRO: subcategoria inexistente",IF(AND($L829&lt;&gt;"",$K829&lt;&gt;"",IFERROR(INDEX(SUB_CATID,MATCH($L829,SUB_ID,0)),"")&lt;&gt;$K829),"ERRO: subcategoria nao pertence a categoria",IF(AND($O829&lt;&gt;"",COUNTIF(P_ID,$O829)=0),"ERRO: parcela inexistente",IF(AND($N829&lt;&gt;"",COUNTIF(CM_ID,$N829)=0),"ERRO: compromisso inexistente","OK")))))))))))))</f>
        <v/>
      </c>
      <c r="AK829" s="35" t="str">
        <f aca="false">IF($B829="","",IF(AND($N829="",$O829="",$P829="",$Q829="",$R829=""),"","VINCULADO: "&amp;TRIM(IF($N829&lt;&gt;"",$N829&amp;" ","")&amp;IF($O829&lt;&gt;"",$O829&amp;" ","")&amp;IF($P829&lt;&gt;"",$P829&amp;" ","")&amp;IF($Q829&lt;&gt;"",$Q829&amp;" ","")&amp;IF($R829&lt;&gt;"",$R829,""))))</f>
        <v/>
      </c>
    </row>
    <row r="830" customFormat="false" ht="15" hidden="false" customHeight="false" outlineLevel="0" collapsed="false">
      <c r="A830" s="30" t="str">
        <f aca="false">IF($B830="","","LAN-"&amp;TEXT(ROW()-4,"000000"))</f>
        <v/>
      </c>
      <c r="B830" s="31"/>
      <c r="C830" s="32"/>
      <c r="D830" s="32"/>
      <c r="E830" s="32"/>
      <c r="F830" s="33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4" t="str">
        <f aca="false">IF($B830="","",YEAR($B830))</f>
        <v/>
      </c>
      <c r="U830" s="34" t="str">
        <f aca="false">IF($B830="","",MONTH($B830))</f>
        <v/>
      </c>
      <c r="V830" s="34" t="str">
        <f aca="false">IF($B830="","",YEAR($B830)*100+MONTH($B830))</f>
        <v/>
      </c>
      <c r="W830" s="35" t="str">
        <f aca="false">IF($D830="","",IFERROR(INDEX(MAP_CLASS,MATCH($D830,MAP_TIPO,0)),"TIPO INVALIDO"))</f>
        <v/>
      </c>
      <c r="X830" s="35" t="str">
        <f aca="false">IF($K830="","",IFERROR(INDEX(CAT_NOME,MATCH($K830,CAT_ID,0)),"?"))</f>
        <v/>
      </c>
      <c r="Y830" s="35" t="str">
        <f aca="false">IF($L830="","",IFERROR(INDEX(SUB_NOME,MATCH($L830,SUB_ID,0)),"?"))</f>
        <v/>
      </c>
      <c r="Z830" s="35" t="str">
        <f aca="false">IF($G830="","",IF($G830="EXTERNO","(Externo)",IFERROR(INDEX(ENT_NOME,MATCH($H830,ENT_ID,0)),"?")))</f>
        <v/>
      </c>
      <c r="AA830" s="35" t="str">
        <f aca="false">IF($I830="","",IF($I830="EXTERNO","(Externo)",IFERROR(INDEX(ENT_NOME,MATCH($J830,ENT_ID,0)),"?")))</f>
        <v/>
      </c>
      <c r="AB830" s="36" t="n">
        <f aca="false">IF($B830="",0,IF(AND($I830="CONTA",$G830&lt;&gt;"CONTA"),$F830,0))</f>
        <v>0</v>
      </c>
      <c r="AC830" s="36" t="n">
        <f aca="false">IF($B830="",0,IF(AND($G830="CONTA",$I830&lt;&gt;"CONTA"),$F830,0))</f>
        <v>0</v>
      </c>
      <c r="AD830" s="36" t="n">
        <f aca="false">IF($W830="RECEITA",$F830,0)</f>
        <v>0</v>
      </c>
      <c r="AE830" s="36" t="n">
        <f aca="false">IF($W830="DESPESA",$F830,0)</f>
        <v>0</v>
      </c>
      <c r="AF830" s="36" t="n">
        <f aca="false">IF($W830="RECEITA_FINANCEIRA",$F830,0)</f>
        <v>0</v>
      </c>
      <c r="AG830" s="36" t="n">
        <f aca="false">IF($B830="",0,IF($I830="CONTA",$F830,0)-IF($G830="CONTA",$F830,0))</f>
        <v>0</v>
      </c>
      <c r="AH830" s="36" t="n">
        <f aca="false">IF($B830="",0,IF($G830="CARTAO",$F830,0)-IF($I830="CARTAO",$F830,0))</f>
        <v>0</v>
      </c>
      <c r="AI830" s="36" t="n">
        <f aca="false">IF($B830="",0,IF($I830="INVESTIMENTO",$F830,0)-IF($G830="INVESTIMENTO",$F830,0))</f>
        <v>0</v>
      </c>
      <c r="AJ830" s="35" t="str">
        <f aca="false">IF($B830="","",IF(NOT(ISNUMBER($F830)),"ERRO: valor nao numerico",IF($F830&lt;=0,"ERRO: valor deve ser maior que zero",IF(COUNTIF(MAP_TIPO,$D830)=0,"ERRO: tipo de operacao nao cadastrado",IF(COUNTIF(LST_STATUS,$E830)=0,"ERRO: status invalido",IF(AND($G830="EXTERNO",$I830="EXTERNO"),"ERRO: origem e destino externos",IF(AND($G830&lt;&gt;"EXTERNO",COUNTIFS(ENT_ID,$H830,ENT_TIPO,$G830)=0),"ERRO: origem inexistente",IF(AND($I830&lt;&gt;"EXTERNO",COUNTIFS(ENT_ID,$J830,ENT_TIPO,$I830)=0),"ERRO: destino inexistente",IF(AND($K830&lt;&gt;"",COUNTIF(CAT_ID,$K830)=0),"ERRO: categoria inexistente",IF(AND($L830&lt;&gt;"",COUNTIF(SUB_ID,$L830)=0),"ERRO: subcategoria inexistente",IF(AND($L830&lt;&gt;"",$K830&lt;&gt;"",IFERROR(INDEX(SUB_CATID,MATCH($L830,SUB_ID,0)),"")&lt;&gt;$K830),"ERRO: subcategoria nao pertence a categoria",IF(AND($O830&lt;&gt;"",COUNTIF(P_ID,$O830)=0),"ERRO: parcela inexistente",IF(AND($N830&lt;&gt;"",COUNTIF(CM_ID,$N830)=0),"ERRO: compromisso inexistente","OK")))))))))))))</f>
        <v/>
      </c>
      <c r="AK830" s="35" t="str">
        <f aca="false">IF($B830="","",IF(AND($N830="",$O830="",$P830="",$Q830="",$R830=""),"","VINCULADO: "&amp;TRIM(IF($N830&lt;&gt;"",$N830&amp;" ","")&amp;IF($O830&lt;&gt;"",$O830&amp;" ","")&amp;IF($P830&lt;&gt;"",$P830&amp;" ","")&amp;IF($Q830&lt;&gt;"",$Q830&amp;" ","")&amp;IF($R830&lt;&gt;"",$R830,""))))</f>
        <v/>
      </c>
    </row>
    <row r="831" customFormat="false" ht="15" hidden="false" customHeight="false" outlineLevel="0" collapsed="false">
      <c r="A831" s="30" t="str">
        <f aca="false">IF($B831="","","LAN-"&amp;TEXT(ROW()-4,"000000"))</f>
        <v/>
      </c>
      <c r="B831" s="31"/>
      <c r="C831" s="32"/>
      <c r="D831" s="32"/>
      <c r="E831" s="32"/>
      <c r="F831" s="33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4" t="str">
        <f aca="false">IF($B831="","",YEAR($B831))</f>
        <v/>
      </c>
      <c r="U831" s="34" t="str">
        <f aca="false">IF($B831="","",MONTH($B831))</f>
        <v/>
      </c>
      <c r="V831" s="34" t="str">
        <f aca="false">IF($B831="","",YEAR($B831)*100+MONTH($B831))</f>
        <v/>
      </c>
      <c r="W831" s="35" t="str">
        <f aca="false">IF($D831="","",IFERROR(INDEX(MAP_CLASS,MATCH($D831,MAP_TIPO,0)),"TIPO INVALIDO"))</f>
        <v/>
      </c>
      <c r="X831" s="35" t="str">
        <f aca="false">IF($K831="","",IFERROR(INDEX(CAT_NOME,MATCH($K831,CAT_ID,0)),"?"))</f>
        <v/>
      </c>
      <c r="Y831" s="35" t="str">
        <f aca="false">IF($L831="","",IFERROR(INDEX(SUB_NOME,MATCH($L831,SUB_ID,0)),"?"))</f>
        <v/>
      </c>
      <c r="Z831" s="35" t="str">
        <f aca="false">IF($G831="","",IF($G831="EXTERNO","(Externo)",IFERROR(INDEX(ENT_NOME,MATCH($H831,ENT_ID,0)),"?")))</f>
        <v/>
      </c>
      <c r="AA831" s="35" t="str">
        <f aca="false">IF($I831="","",IF($I831="EXTERNO","(Externo)",IFERROR(INDEX(ENT_NOME,MATCH($J831,ENT_ID,0)),"?")))</f>
        <v/>
      </c>
      <c r="AB831" s="36" t="n">
        <f aca="false">IF($B831="",0,IF(AND($I831="CONTA",$G831&lt;&gt;"CONTA"),$F831,0))</f>
        <v>0</v>
      </c>
      <c r="AC831" s="36" t="n">
        <f aca="false">IF($B831="",0,IF(AND($G831="CONTA",$I831&lt;&gt;"CONTA"),$F831,0))</f>
        <v>0</v>
      </c>
      <c r="AD831" s="36" t="n">
        <f aca="false">IF($W831="RECEITA",$F831,0)</f>
        <v>0</v>
      </c>
      <c r="AE831" s="36" t="n">
        <f aca="false">IF($W831="DESPESA",$F831,0)</f>
        <v>0</v>
      </c>
      <c r="AF831" s="36" t="n">
        <f aca="false">IF($W831="RECEITA_FINANCEIRA",$F831,0)</f>
        <v>0</v>
      </c>
      <c r="AG831" s="36" t="n">
        <f aca="false">IF($B831="",0,IF($I831="CONTA",$F831,0)-IF($G831="CONTA",$F831,0))</f>
        <v>0</v>
      </c>
      <c r="AH831" s="36" t="n">
        <f aca="false">IF($B831="",0,IF($G831="CARTAO",$F831,0)-IF($I831="CARTAO",$F831,0))</f>
        <v>0</v>
      </c>
      <c r="AI831" s="36" t="n">
        <f aca="false">IF($B831="",0,IF($I831="INVESTIMENTO",$F831,0)-IF($G831="INVESTIMENTO",$F831,0))</f>
        <v>0</v>
      </c>
      <c r="AJ831" s="35" t="str">
        <f aca="false">IF($B831="","",IF(NOT(ISNUMBER($F831)),"ERRO: valor nao numerico",IF($F831&lt;=0,"ERRO: valor deve ser maior que zero",IF(COUNTIF(MAP_TIPO,$D831)=0,"ERRO: tipo de operacao nao cadastrado",IF(COUNTIF(LST_STATUS,$E831)=0,"ERRO: status invalido",IF(AND($G831="EXTERNO",$I831="EXTERNO"),"ERRO: origem e destino externos",IF(AND($G831&lt;&gt;"EXTERNO",COUNTIFS(ENT_ID,$H831,ENT_TIPO,$G831)=0),"ERRO: origem inexistente",IF(AND($I831&lt;&gt;"EXTERNO",COUNTIFS(ENT_ID,$J831,ENT_TIPO,$I831)=0),"ERRO: destino inexistente",IF(AND($K831&lt;&gt;"",COUNTIF(CAT_ID,$K831)=0),"ERRO: categoria inexistente",IF(AND($L831&lt;&gt;"",COUNTIF(SUB_ID,$L831)=0),"ERRO: subcategoria inexistente",IF(AND($L831&lt;&gt;"",$K831&lt;&gt;"",IFERROR(INDEX(SUB_CATID,MATCH($L831,SUB_ID,0)),"")&lt;&gt;$K831),"ERRO: subcategoria nao pertence a categoria",IF(AND($O831&lt;&gt;"",COUNTIF(P_ID,$O831)=0),"ERRO: parcela inexistente",IF(AND($N831&lt;&gt;"",COUNTIF(CM_ID,$N831)=0),"ERRO: compromisso inexistente","OK")))))))))))))</f>
        <v/>
      </c>
      <c r="AK831" s="35" t="str">
        <f aca="false">IF($B831="","",IF(AND($N831="",$O831="",$P831="",$Q831="",$R831=""),"","VINCULADO: "&amp;TRIM(IF($N831&lt;&gt;"",$N831&amp;" ","")&amp;IF($O831&lt;&gt;"",$O831&amp;" ","")&amp;IF($P831&lt;&gt;"",$P831&amp;" ","")&amp;IF($Q831&lt;&gt;"",$Q831&amp;" ","")&amp;IF($R831&lt;&gt;"",$R831,""))))</f>
        <v/>
      </c>
    </row>
    <row r="832" customFormat="false" ht="15" hidden="false" customHeight="false" outlineLevel="0" collapsed="false">
      <c r="A832" s="30" t="str">
        <f aca="false">IF($B832="","","LAN-"&amp;TEXT(ROW()-4,"000000"))</f>
        <v/>
      </c>
      <c r="B832" s="31"/>
      <c r="C832" s="32"/>
      <c r="D832" s="32"/>
      <c r="E832" s="32"/>
      <c r="F832" s="33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4" t="str">
        <f aca="false">IF($B832="","",YEAR($B832))</f>
        <v/>
      </c>
      <c r="U832" s="34" t="str">
        <f aca="false">IF($B832="","",MONTH($B832))</f>
        <v/>
      </c>
      <c r="V832" s="34" t="str">
        <f aca="false">IF($B832="","",YEAR($B832)*100+MONTH($B832))</f>
        <v/>
      </c>
      <c r="W832" s="35" t="str">
        <f aca="false">IF($D832="","",IFERROR(INDEX(MAP_CLASS,MATCH($D832,MAP_TIPO,0)),"TIPO INVALIDO"))</f>
        <v/>
      </c>
      <c r="X832" s="35" t="str">
        <f aca="false">IF($K832="","",IFERROR(INDEX(CAT_NOME,MATCH($K832,CAT_ID,0)),"?"))</f>
        <v/>
      </c>
      <c r="Y832" s="35" t="str">
        <f aca="false">IF($L832="","",IFERROR(INDEX(SUB_NOME,MATCH($L832,SUB_ID,0)),"?"))</f>
        <v/>
      </c>
      <c r="Z832" s="35" t="str">
        <f aca="false">IF($G832="","",IF($G832="EXTERNO","(Externo)",IFERROR(INDEX(ENT_NOME,MATCH($H832,ENT_ID,0)),"?")))</f>
        <v/>
      </c>
      <c r="AA832" s="35" t="str">
        <f aca="false">IF($I832="","",IF($I832="EXTERNO","(Externo)",IFERROR(INDEX(ENT_NOME,MATCH($J832,ENT_ID,0)),"?")))</f>
        <v/>
      </c>
      <c r="AB832" s="36" t="n">
        <f aca="false">IF($B832="",0,IF(AND($I832="CONTA",$G832&lt;&gt;"CONTA"),$F832,0))</f>
        <v>0</v>
      </c>
      <c r="AC832" s="36" t="n">
        <f aca="false">IF($B832="",0,IF(AND($G832="CONTA",$I832&lt;&gt;"CONTA"),$F832,0))</f>
        <v>0</v>
      </c>
      <c r="AD832" s="36" t="n">
        <f aca="false">IF($W832="RECEITA",$F832,0)</f>
        <v>0</v>
      </c>
      <c r="AE832" s="36" t="n">
        <f aca="false">IF($W832="DESPESA",$F832,0)</f>
        <v>0</v>
      </c>
      <c r="AF832" s="36" t="n">
        <f aca="false">IF($W832="RECEITA_FINANCEIRA",$F832,0)</f>
        <v>0</v>
      </c>
      <c r="AG832" s="36" t="n">
        <f aca="false">IF($B832="",0,IF($I832="CONTA",$F832,0)-IF($G832="CONTA",$F832,0))</f>
        <v>0</v>
      </c>
      <c r="AH832" s="36" t="n">
        <f aca="false">IF($B832="",0,IF($G832="CARTAO",$F832,0)-IF($I832="CARTAO",$F832,0))</f>
        <v>0</v>
      </c>
      <c r="AI832" s="36" t="n">
        <f aca="false">IF($B832="",0,IF($I832="INVESTIMENTO",$F832,0)-IF($G832="INVESTIMENTO",$F832,0))</f>
        <v>0</v>
      </c>
      <c r="AJ832" s="35" t="str">
        <f aca="false">IF($B832="","",IF(NOT(ISNUMBER($F832)),"ERRO: valor nao numerico",IF($F832&lt;=0,"ERRO: valor deve ser maior que zero",IF(COUNTIF(MAP_TIPO,$D832)=0,"ERRO: tipo de operacao nao cadastrado",IF(COUNTIF(LST_STATUS,$E832)=0,"ERRO: status invalido",IF(AND($G832="EXTERNO",$I832="EXTERNO"),"ERRO: origem e destino externos",IF(AND($G832&lt;&gt;"EXTERNO",COUNTIFS(ENT_ID,$H832,ENT_TIPO,$G832)=0),"ERRO: origem inexistente",IF(AND($I832&lt;&gt;"EXTERNO",COUNTIFS(ENT_ID,$J832,ENT_TIPO,$I832)=0),"ERRO: destino inexistente",IF(AND($K832&lt;&gt;"",COUNTIF(CAT_ID,$K832)=0),"ERRO: categoria inexistente",IF(AND($L832&lt;&gt;"",COUNTIF(SUB_ID,$L832)=0),"ERRO: subcategoria inexistente",IF(AND($L832&lt;&gt;"",$K832&lt;&gt;"",IFERROR(INDEX(SUB_CATID,MATCH($L832,SUB_ID,0)),"")&lt;&gt;$K832),"ERRO: subcategoria nao pertence a categoria",IF(AND($O832&lt;&gt;"",COUNTIF(P_ID,$O832)=0),"ERRO: parcela inexistente",IF(AND($N832&lt;&gt;"",COUNTIF(CM_ID,$N832)=0),"ERRO: compromisso inexistente","OK")))))))))))))</f>
        <v/>
      </c>
      <c r="AK832" s="35" t="str">
        <f aca="false">IF($B832="","",IF(AND($N832="",$O832="",$P832="",$Q832="",$R832=""),"","VINCULADO: "&amp;TRIM(IF($N832&lt;&gt;"",$N832&amp;" ","")&amp;IF($O832&lt;&gt;"",$O832&amp;" ","")&amp;IF($P832&lt;&gt;"",$P832&amp;" ","")&amp;IF($Q832&lt;&gt;"",$Q832&amp;" ","")&amp;IF($R832&lt;&gt;"",$R832,""))))</f>
        <v/>
      </c>
    </row>
    <row r="833" customFormat="false" ht="15" hidden="false" customHeight="false" outlineLevel="0" collapsed="false">
      <c r="A833" s="30" t="str">
        <f aca="false">IF($B833="","","LAN-"&amp;TEXT(ROW()-4,"000000"))</f>
        <v/>
      </c>
      <c r="B833" s="31"/>
      <c r="C833" s="32"/>
      <c r="D833" s="32"/>
      <c r="E833" s="32"/>
      <c r="F833" s="33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4" t="str">
        <f aca="false">IF($B833="","",YEAR($B833))</f>
        <v/>
      </c>
      <c r="U833" s="34" t="str">
        <f aca="false">IF($B833="","",MONTH($B833))</f>
        <v/>
      </c>
      <c r="V833" s="34" t="str">
        <f aca="false">IF($B833="","",YEAR($B833)*100+MONTH($B833))</f>
        <v/>
      </c>
      <c r="W833" s="35" t="str">
        <f aca="false">IF($D833="","",IFERROR(INDEX(MAP_CLASS,MATCH($D833,MAP_TIPO,0)),"TIPO INVALIDO"))</f>
        <v/>
      </c>
      <c r="X833" s="35" t="str">
        <f aca="false">IF($K833="","",IFERROR(INDEX(CAT_NOME,MATCH($K833,CAT_ID,0)),"?"))</f>
        <v/>
      </c>
      <c r="Y833" s="35" t="str">
        <f aca="false">IF($L833="","",IFERROR(INDEX(SUB_NOME,MATCH($L833,SUB_ID,0)),"?"))</f>
        <v/>
      </c>
      <c r="Z833" s="35" t="str">
        <f aca="false">IF($G833="","",IF($G833="EXTERNO","(Externo)",IFERROR(INDEX(ENT_NOME,MATCH($H833,ENT_ID,0)),"?")))</f>
        <v/>
      </c>
      <c r="AA833" s="35" t="str">
        <f aca="false">IF($I833="","",IF($I833="EXTERNO","(Externo)",IFERROR(INDEX(ENT_NOME,MATCH($J833,ENT_ID,0)),"?")))</f>
        <v/>
      </c>
      <c r="AB833" s="36" t="n">
        <f aca="false">IF($B833="",0,IF(AND($I833="CONTA",$G833&lt;&gt;"CONTA"),$F833,0))</f>
        <v>0</v>
      </c>
      <c r="AC833" s="36" t="n">
        <f aca="false">IF($B833="",0,IF(AND($G833="CONTA",$I833&lt;&gt;"CONTA"),$F833,0))</f>
        <v>0</v>
      </c>
      <c r="AD833" s="36" t="n">
        <f aca="false">IF($W833="RECEITA",$F833,0)</f>
        <v>0</v>
      </c>
      <c r="AE833" s="36" t="n">
        <f aca="false">IF($W833="DESPESA",$F833,0)</f>
        <v>0</v>
      </c>
      <c r="AF833" s="36" t="n">
        <f aca="false">IF($W833="RECEITA_FINANCEIRA",$F833,0)</f>
        <v>0</v>
      </c>
      <c r="AG833" s="36" t="n">
        <f aca="false">IF($B833="",0,IF($I833="CONTA",$F833,0)-IF($G833="CONTA",$F833,0))</f>
        <v>0</v>
      </c>
      <c r="AH833" s="36" t="n">
        <f aca="false">IF($B833="",0,IF($G833="CARTAO",$F833,0)-IF($I833="CARTAO",$F833,0))</f>
        <v>0</v>
      </c>
      <c r="AI833" s="36" t="n">
        <f aca="false">IF($B833="",0,IF($I833="INVESTIMENTO",$F833,0)-IF($G833="INVESTIMENTO",$F833,0))</f>
        <v>0</v>
      </c>
      <c r="AJ833" s="35" t="str">
        <f aca="false">IF($B833="","",IF(NOT(ISNUMBER($F833)),"ERRO: valor nao numerico",IF($F833&lt;=0,"ERRO: valor deve ser maior que zero",IF(COUNTIF(MAP_TIPO,$D833)=0,"ERRO: tipo de operacao nao cadastrado",IF(COUNTIF(LST_STATUS,$E833)=0,"ERRO: status invalido",IF(AND($G833="EXTERNO",$I833="EXTERNO"),"ERRO: origem e destino externos",IF(AND($G833&lt;&gt;"EXTERNO",COUNTIFS(ENT_ID,$H833,ENT_TIPO,$G833)=0),"ERRO: origem inexistente",IF(AND($I833&lt;&gt;"EXTERNO",COUNTIFS(ENT_ID,$J833,ENT_TIPO,$I833)=0),"ERRO: destino inexistente",IF(AND($K833&lt;&gt;"",COUNTIF(CAT_ID,$K833)=0),"ERRO: categoria inexistente",IF(AND($L833&lt;&gt;"",COUNTIF(SUB_ID,$L833)=0),"ERRO: subcategoria inexistente",IF(AND($L833&lt;&gt;"",$K833&lt;&gt;"",IFERROR(INDEX(SUB_CATID,MATCH($L833,SUB_ID,0)),"")&lt;&gt;$K833),"ERRO: subcategoria nao pertence a categoria",IF(AND($O833&lt;&gt;"",COUNTIF(P_ID,$O833)=0),"ERRO: parcela inexistente",IF(AND($N833&lt;&gt;"",COUNTIF(CM_ID,$N833)=0),"ERRO: compromisso inexistente","OK")))))))))))))</f>
        <v/>
      </c>
      <c r="AK833" s="35" t="str">
        <f aca="false">IF($B833="","",IF(AND($N833="",$O833="",$P833="",$Q833="",$R833=""),"","VINCULADO: "&amp;TRIM(IF($N833&lt;&gt;"",$N833&amp;" ","")&amp;IF($O833&lt;&gt;"",$O833&amp;" ","")&amp;IF($P833&lt;&gt;"",$P833&amp;" ","")&amp;IF($Q833&lt;&gt;"",$Q833&amp;" ","")&amp;IF($R833&lt;&gt;"",$R833,""))))</f>
        <v/>
      </c>
    </row>
    <row r="834" customFormat="false" ht="15" hidden="false" customHeight="false" outlineLevel="0" collapsed="false">
      <c r="A834" s="30" t="str">
        <f aca="false">IF($B834="","","LAN-"&amp;TEXT(ROW()-4,"000000"))</f>
        <v/>
      </c>
      <c r="B834" s="31"/>
      <c r="C834" s="32"/>
      <c r="D834" s="32"/>
      <c r="E834" s="32"/>
      <c r="F834" s="33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4" t="str">
        <f aca="false">IF($B834="","",YEAR($B834))</f>
        <v/>
      </c>
      <c r="U834" s="34" t="str">
        <f aca="false">IF($B834="","",MONTH($B834))</f>
        <v/>
      </c>
      <c r="V834" s="34" t="str">
        <f aca="false">IF($B834="","",YEAR($B834)*100+MONTH($B834))</f>
        <v/>
      </c>
      <c r="W834" s="35" t="str">
        <f aca="false">IF($D834="","",IFERROR(INDEX(MAP_CLASS,MATCH($D834,MAP_TIPO,0)),"TIPO INVALIDO"))</f>
        <v/>
      </c>
      <c r="X834" s="35" t="str">
        <f aca="false">IF($K834="","",IFERROR(INDEX(CAT_NOME,MATCH($K834,CAT_ID,0)),"?"))</f>
        <v/>
      </c>
      <c r="Y834" s="35" t="str">
        <f aca="false">IF($L834="","",IFERROR(INDEX(SUB_NOME,MATCH($L834,SUB_ID,0)),"?"))</f>
        <v/>
      </c>
      <c r="Z834" s="35" t="str">
        <f aca="false">IF($G834="","",IF($G834="EXTERNO","(Externo)",IFERROR(INDEX(ENT_NOME,MATCH($H834,ENT_ID,0)),"?")))</f>
        <v/>
      </c>
      <c r="AA834" s="35" t="str">
        <f aca="false">IF($I834="","",IF($I834="EXTERNO","(Externo)",IFERROR(INDEX(ENT_NOME,MATCH($J834,ENT_ID,0)),"?")))</f>
        <v/>
      </c>
      <c r="AB834" s="36" t="n">
        <f aca="false">IF($B834="",0,IF(AND($I834="CONTA",$G834&lt;&gt;"CONTA"),$F834,0))</f>
        <v>0</v>
      </c>
      <c r="AC834" s="36" t="n">
        <f aca="false">IF($B834="",0,IF(AND($G834="CONTA",$I834&lt;&gt;"CONTA"),$F834,0))</f>
        <v>0</v>
      </c>
      <c r="AD834" s="36" t="n">
        <f aca="false">IF($W834="RECEITA",$F834,0)</f>
        <v>0</v>
      </c>
      <c r="AE834" s="36" t="n">
        <f aca="false">IF($W834="DESPESA",$F834,0)</f>
        <v>0</v>
      </c>
      <c r="AF834" s="36" t="n">
        <f aca="false">IF($W834="RECEITA_FINANCEIRA",$F834,0)</f>
        <v>0</v>
      </c>
      <c r="AG834" s="36" t="n">
        <f aca="false">IF($B834="",0,IF($I834="CONTA",$F834,0)-IF($G834="CONTA",$F834,0))</f>
        <v>0</v>
      </c>
      <c r="AH834" s="36" t="n">
        <f aca="false">IF($B834="",0,IF($G834="CARTAO",$F834,0)-IF($I834="CARTAO",$F834,0))</f>
        <v>0</v>
      </c>
      <c r="AI834" s="36" t="n">
        <f aca="false">IF($B834="",0,IF($I834="INVESTIMENTO",$F834,0)-IF($G834="INVESTIMENTO",$F834,0))</f>
        <v>0</v>
      </c>
      <c r="AJ834" s="35" t="str">
        <f aca="false">IF($B834="","",IF(NOT(ISNUMBER($F834)),"ERRO: valor nao numerico",IF($F834&lt;=0,"ERRO: valor deve ser maior que zero",IF(COUNTIF(MAP_TIPO,$D834)=0,"ERRO: tipo de operacao nao cadastrado",IF(COUNTIF(LST_STATUS,$E834)=0,"ERRO: status invalido",IF(AND($G834="EXTERNO",$I834="EXTERNO"),"ERRO: origem e destino externos",IF(AND($G834&lt;&gt;"EXTERNO",COUNTIFS(ENT_ID,$H834,ENT_TIPO,$G834)=0),"ERRO: origem inexistente",IF(AND($I834&lt;&gt;"EXTERNO",COUNTIFS(ENT_ID,$J834,ENT_TIPO,$I834)=0),"ERRO: destino inexistente",IF(AND($K834&lt;&gt;"",COUNTIF(CAT_ID,$K834)=0),"ERRO: categoria inexistente",IF(AND($L834&lt;&gt;"",COUNTIF(SUB_ID,$L834)=0),"ERRO: subcategoria inexistente",IF(AND($L834&lt;&gt;"",$K834&lt;&gt;"",IFERROR(INDEX(SUB_CATID,MATCH($L834,SUB_ID,0)),"")&lt;&gt;$K834),"ERRO: subcategoria nao pertence a categoria",IF(AND($O834&lt;&gt;"",COUNTIF(P_ID,$O834)=0),"ERRO: parcela inexistente",IF(AND($N834&lt;&gt;"",COUNTIF(CM_ID,$N834)=0),"ERRO: compromisso inexistente","OK")))))))))))))</f>
        <v/>
      </c>
      <c r="AK834" s="35" t="str">
        <f aca="false">IF($B834="","",IF(AND($N834="",$O834="",$P834="",$Q834="",$R834=""),"","VINCULADO: "&amp;TRIM(IF($N834&lt;&gt;"",$N834&amp;" ","")&amp;IF($O834&lt;&gt;"",$O834&amp;" ","")&amp;IF($P834&lt;&gt;"",$P834&amp;" ","")&amp;IF($Q834&lt;&gt;"",$Q834&amp;" ","")&amp;IF($R834&lt;&gt;"",$R834,""))))</f>
        <v/>
      </c>
    </row>
    <row r="835" customFormat="false" ht="15" hidden="false" customHeight="false" outlineLevel="0" collapsed="false">
      <c r="A835" s="30" t="str">
        <f aca="false">IF($B835="","","LAN-"&amp;TEXT(ROW()-4,"000000"))</f>
        <v/>
      </c>
      <c r="B835" s="31"/>
      <c r="C835" s="32"/>
      <c r="D835" s="32"/>
      <c r="E835" s="32"/>
      <c r="F835" s="33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4" t="str">
        <f aca="false">IF($B835="","",YEAR($B835))</f>
        <v/>
      </c>
      <c r="U835" s="34" t="str">
        <f aca="false">IF($B835="","",MONTH($B835))</f>
        <v/>
      </c>
      <c r="V835" s="34" t="str">
        <f aca="false">IF($B835="","",YEAR($B835)*100+MONTH($B835))</f>
        <v/>
      </c>
      <c r="W835" s="35" t="str">
        <f aca="false">IF($D835="","",IFERROR(INDEX(MAP_CLASS,MATCH($D835,MAP_TIPO,0)),"TIPO INVALIDO"))</f>
        <v/>
      </c>
      <c r="X835" s="35" t="str">
        <f aca="false">IF($K835="","",IFERROR(INDEX(CAT_NOME,MATCH($K835,CAT_ID,0)),"?"))</f>
        <v/>
      </c>
      <c r="Y835" s="35" t="str">
        <f aca="false">IF($L835="","",IFERROR(INDEX(SUB_NOME,MATCH($L835,SUB_ID,0)),"?"))</f>
        <v/>
      </c>
      <c r="Z835" s="35" t="str">
        <f aca="false">IF($G835="","",IF($G835="EXTERNO","(Externo)",IFERROR(INDEX(ENT_NOME,MATCH($H835,ENT_ID,0)),"?")))</f>
        <v/>
      </c>
      <c r="AA835" s="35" t="str">
        <f aca="false">IF($I835="","",IF($I835="EXTERNO","(Externo)",IFERROR(INDEX(ENT_NOME,MATCH($J835,ENT_ID,0)),"?")))</f>
        <v/>
      </c>
      <c r="AB835" s="36" t="n">
        <f aca="false">IF($B835="",0,IF(AND($I835="CONTA",$G835&lt;&gt;"CONTA"),$F835,0))</f>
        <v>0</v>
      </c>
      <c r="AC835" s="36" t="n">
        <f aca="false">IF($B835="",0,IF(AND($G835="CONTA",$I835&lt;&gt;"CONTA"),$F835,0))</f>
        <v>0</v>
      </c>
      <c r="AD835" s="36" t="n">
        <f aca="false">IF($W835="RECEITA",$F835,0)</f>
        <v>0</v>
      </c>
      <c r="AE835" s="36" t="n">
        <f aca="false">IF($W835="DESPESA",$F835,0)</f>
        <v>0</v>
      </c>
      <c r="AF835" s="36" t="n">
        <f aca="false">IF($W835="RECEITA_FINANCEIRA",$F835,0)</f>
        <v>0</v>
      </c>
      <c r="AG835" s="36" t="n">
        <f aca="false">IF($B835="",0,IF($I835="CONTA",$F835,0)-IF($G835="CONTA",$F835,0))</f>
        <v>0</v>
      </c>
      <c r="AH835" s="36" t="n">
        <f aca="false">IF($B835="",0,IF($G835="CARTAO",$F835,0)-IF($I835="CARTAO",$F835,0))</f>
        <v>0</v>
      </c>
      <c r="AI835" s="36" t="n">
        <f aca="false">IF($B835="",0,IF($I835="INVESTIMENTO",$F835,0)-IF($G835="INVESTIMENTO",$F835,0))</f>
        <v>0</v>
      </c>
      <c r="AJ835" s="35" t="str">
        <f aca="false">IF($B835="","",IF(NOT(ISNUMBER($F835)),"ERRO: valor nao numerico",IF($F835&lt;=0,"ERRO: valor deve ser maior que zero",IF(COUNTIF(MAP_TIPO,$D835)=0,"ERRO: tipo de operacao nao cadastrado",IF(COUNTIF(LST_STATUS,$E835)=0,"ERRO: status invalido",IF(AND($G835="EXTERNO",$I835="EXTERNO"),"ERRO: origem e destino externos",IF(AND($G835&lt;&gt;"EXTERNO",COUNTIFS(ENT_ID,$H835,ENT_TIPO,$G835)=0),"ERRO: origem inexistente",IF(AND($I835&lt;&gt;"EXTERNO",COUNTIFS(ENT_ID,$J835,ENT_TIPO,$I835)=0),"ERRO: destino inexistente",IF(AND($K835&lt;&gt;"",COUNTIF(CAT_ID,$K835)=0),"ERRO: categoria inexistente",IF(AND($L835&lt;&gt;"",COUNTIF(SUB_ID,$L835)=0),"ERRO: subcategoria inexistente",IF(AND($L835&lt;&gt;"",$K835&lt;&gt;"",IFERROR(INDEX(SUB_CATID,MATCH($L835,SUB_ID,0)),"")&lt;&gt;$K835),"ERRO: subcategoria nao pertence a categoria",IF(AND($O835&lt;&gt;"",COUNTIF(P_ID,$O835)=0),"ERRO: parcela inexistente",IF(AND($N835&lt;&gt;"",COUNTIF(CM_ID,$N835)=0),"ERRO: compromisso inexistente","OK")))))))))))))</f>
        <v/>
      </c>
      <c r="AK835" s="35" t="str">
        <f aca="false">IF($B835="","",IF(AND($N835="",$O835="",$P835="",$Q835="",$R835=""),"","VINCULADO: "&amp;TRIM(IF($N835&lt;&gt;"",$N835&amp;" ","")&amp;IF($O835&lt;&gt;"",$O835&amp;" ","")&amp;IF($P835&lt;&gt;"",$P835&amp;" ","")&amp;IF($Q835&lt;&gt;"",$Q835&amp;" ","")&amp;IF($R835&lt;&gt;"",$R835,""))))</f>
        <v/>
      </c>
    </row>
    <row r="836" customFormat="false" ht="15" hidden="false" customHeight="false" outlineLevel="0" collapsed="false">
      <c r="A836" s="30" t="str">
        <f aca="false">IF($B836="","","LAN-"&amp;TEXT(ROW()-4,"000000"))</f>
        <v/>
      </c>
      <c r="B836" s="31"/>
      <c r="C836" s="32"/>
      <c r="D836" s="32"/>
      <c r="E836" s="32"/>
      <c r="F836" s="33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4" t="str">
        <f aca="false">IF($B836="","",YEAR($B836))</f>
        <v/>
      </c>
      <c r="U836" s="34" t="str">
        <f aca="false">IF($B836="","",MONTH($B836))</f>
        <v/>
      </c>
      <c r="V836" s="34" t="str">
        <f aca="false">IF($B836="","",YEAR($B836)*100+MONTH($B836))</f>
        <v/>
      </c>
      <c r="W836" s="35" t="str">
        <f aca="false">IF($D836="","",IFERROR(INDEX(MAP_CLASS,MATCH($D836,MAP_TIPO,0)),"TIPO INVALIDO"))</f>
        <v/>
      </c>
      <c r="X836" s="35" t="str">
        <f aca="false">IF($K836="","",IFERROR(INDEX(CAT_NOME,MATCH($K836,CAT_ID,0)),"?"))</f>
        <v/>
      </c>
      <c r="Y836" s="35" t="str">
        <f aca="false">IF($L836="","",IFERROR(INDEX(SUB_NOME,MATCH($L836,SUB_ID,0)),"?"))</f>
        <v/>
      </c>
      <c r="Z836" s="35" t="str">
        <f aca="false">IF($G836="","",IF($G836="EXTERNO","(Externo)",IFERROR(INDEX(ENT_NOME,MATCH($H836,ENT_ID,0)),"?")))</f>
        <v/>
      </c>
      <c r="AA836" s="35" t="str">
        <f aca="false">IF($I836="","",IF($I836="EXTERNO","(Externo)",IFERROR(INDEX(ENT_NOME,MATCH($J836,ENT_ID,0)),"?")))</f>
        <v/>
      </c>
      <c r="AB836" s="36" t="n">
        <f aca="false">IF($B836="",0,IF(AND($I836="CONTA",$G836&lt;&gt;"CONTA"),$F836,0))</f>
        <v>0</v>
      </c>
      <c r="AC836" s="36" t="n">
        <f aca="false">IF($B836="",0,IF(AND($G836="CONTA",$I836&lt;&gt;"CONTA"),$F836,0))</f>
        <v>0</v>
      </c>
      <c r="AD836" s="36" t="n">
        <f aca="false">IF($W836="RECEITA",$F836,0)</f>
        <v>0</v>
      </c>
      <c r="AE836" s="36" t="n">
        <f aca="false">IF($W836="DESPESA",$F836,0)</f>
        <v>0</v>
      </c>
      <c r="AF836" s="36" t="n">
        <f aca="false">IF($W836="RECEITA_FINANCEIRA",$F836,0)</f>
        <v>0</v>
      </c>
      <c r="AG836" s="36" t="n">
        <f aca="false">IF($B836="",0,IF($I836="CONTA",$F836,0)-IF($G836="CONTA",$F836,0))</f>
        <v>0</v>
      </c>
      <c r="AH836" s="36" t="n">
        <f aca="false">IF($B836="",0,IF($G836="CARTAO",$F836,0)-IF($I836="CARTAO",$F836,0))</f>
        <v>0</v>
      </c>
      <c r="AI836" s="36" t="n">
        <f aca="false">IF($B836="",0,IF($I836="INVESTIMENTO",$F836,0)-IF($G836="INVESTIMENTO",$F836,0))</f>
        <v>0</v>
      </c>
      <c r="AJ836" s="35" t="str">
        <f aca="false">IF($B836="","",IF(NOT(ISNUMBER($F836)),"ERRO: valor nao numerico",IF($F836&lt;=0,"ERRO: valor deve ser maior que zero",IF(COUNTIF(MAP_TIPO,$D836)=0,"ERRO: tipo de operacao nao cadastrado",IF(COUNTIF(LST_STATUS,$E836)=0,"ERRO: status invalido",IF(AND($G836="EXTERNO",$I836="EXTERNO"),"ERRO: origem e destino externos",IF(AND($G836&lt;&gt;"EXTERNO",COUNTIFS(ENT_ID,$H836,ENT_TIPO,$G836)=0),"ERRO: origem inexistente",IF(AND($I836&lt;&gt;"EXTERNO",COUNTIFS(ENT_ID,$J836,ENT_TIPO,$I836)=0),"ERRO: destino inexistente",IF(AND($K836&lt;&gt;"",COUNTIF(CAT_ID,$K836)=0),"ERRO: categoria inexistente",IF(AND($L836&lt;&gt;"",COUNTIF(SUB_ID,$L836)=0),"ERRO: subcategoria inexistente",IF(AND($L836&lt;&gt;"",$K836&lt;&gt;"",IFERROR(INDEX(SUB_CATID,MATCH($L836,SUB_ID,0)),"")&lt;&gt;$K836),"ERRO: subcategoria nao pertence a categoria",IF(AND($O836&lt;&gt;"",COUNTIF(P_ID,$O836)=0),"ERRO: parcela inexistente",IF(AND($N836&lt;&gt;"",COUNTIF(CM_ID,$N836)=0),"ERRO: compromisso inexistente","OK")))))))))))))</f>
        <v/>
      </c>
      <c r="AK836" s="35" t="str">
        <f aca="false">IF($B836="","",IF(AND($N836="",$O836="",$P836="",$Q836="",$R836=""),"","VINCULADO: "&amp;TRIM(IF($N836&lt;&gt;"",$N836&amp;" ","")&amp;IF($O836&lt;&gt;"",$O836&amp;" ","")&amp;IF($P836&lt;&gt;"",$P836&amp;" ","")&amp;IF($Q836&lt;&gt;"",$Q836&amp;" ","")&amp;IF($R836&lt;&gt;"",$R836,""))))</f>
        <v/>
      </c>
    </row>
    <row r="837" customFormat="false" ht="15" hidden="false" customHeight="false" outlineLevel="0" collapsed="false">
      <c r="A837" s="30" t="str">
        <f aca="false">IF($B837="","","LAN-"&amp;TEXT(ROW()-4,"000000"))</f>
        <v/>
      </c>
      <c r="B837" s="31"/>
      <c r="C837" s="32"/>
      <c r="D837" s="32"/>
      <c r="E837" s="32"/>
      <c r="F837" s="33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4" t="str">
        <f aca="false">IF($B837="","",YEAR($B837))</f>
        <v/>
      </c>
      <c r="U837" s="34" t="str">
        <f aca="false">IF($B837="","",MONTH($B837))</f>
        <v/>
      </c>
      <c r="V837" s="34" t="str">
        <f aca="false">IF($B837="","",YEAR($B837)*100+MONTH($B837))</f>
        <v/>
      </c>
      <c r="W837" s="35" t="str">
        <f aca="false">IF($D837="","",IFERROR(INDEX(MAP_CLASS,MATCH($D837,MAP_TIPO,0)),"TIPO INVALIDO"))</f>
        <v/>
      </c>
      <c r="X837" s="35" t="str">
        <f aca="false">IF($K837="","",IFERROR(INDEX(CAT_NOME,MATCH($K837,CAT_ID,0)),"?"))</f>
        <v/>
      </c>
      <c r="Y837" s="35" t="str">
        <f aca="false">IF($L837="","",IFERROR(INDEX(SUB_NOME,MATCH($L837,SUB_ID,0)),"?"))</f>
        <v/>
      </c>
      <c r="Z837" s="35" t="str">
        <f aca="false">IF($G837="","",IF($G837="EXTERNO","(Externo)",IFERROR(INDEX(ENT_NOME,MATCH($H837,ENT_ID,0)),"?")))</f>
        <v/>
      </c>
      <c r="AA837" s="35" t="str">
        <f aca="false">IF($I837="","",IF($I837="EXTERNO","(Externo)",IFERROR(INDEX(ENT_NOME,MATCH($J837,ENT_ID,0)),"?")))</f>
        <v/>
      </c>
      <c r="AB837" s="36" t="n">
        <f aca="false">IF($B837="",0,IF(AND($I837="CONTA",$G837&lt;&gt;"CONTA"),$F837,0))</f>
        <v>0</v>
      </c>
      <c r="AC837" s="36" t="n">
        <f aca="false">IF($B837="",0,IF(AND($G837="CONTA",$I837&lt;&gt;"CONTA"),$F837,0))</f>
        <v>0</v>
      </c>
      <c r="AD837" s="36" t="n">
        <f aca="false">IF($W837="RECEITA",$F837,0)</f>
        <v>0</v>
      </c>
      <c r="AE837" s="36" t="n">
        <f aca="false">IF($W837="DESPESA",$F837,0)</f>
        <v>0</v>
      </c>
      <c r="AF837" s="36" t="n">
        <f aca="false">IF($W837="RECEITA_FINANCEIRA",$F837,0)</f>
        <v>0</v>
      </c>
      <c r="AG837" s="36" t="n">
        <f aca="false">IF($B837="",0,IF($I837="CONTA",$F837,0)-IF($G837="CONTA",$F837,0))</f>
        <v>0</v>
      </c>
      <c r="AH837" s="36" t="n">
        <f aca="false">IF($B837="",0,IF($G837="CARTAO",$F837,0)-IF($I837="CARTAO",$F837,0))</f>
        <v>0</v>
      </c>
      <c r="AI837" s="36" t="n">
        <f aca="false">IF($B837="",0,IF($I837="INVESTIMENTO",$F837,0)-IF($G837="INVESTIMENTO",$F837,0))</f>
        <v>0</v>
      </c>
      <c r="AJ837" s="35" t="str">
        <f aca="false">IF($B837="","",IF(NOT(ISNUMBER($F837)),"ERRO: valor nao numerico",IF($F837&lt;=0,"ERRO: valor deve ser maior que zero",IF(COUNTIF(MAP_TIPO,$D837)=0,"ERRO: tipo de operacao nao cadastrado",IF(COUNTIF(LST_STATUS,$E837)=0,"ERRO: status invalido",IF(AND($G837="EXTERNO",$I837="EXTERNO"),"ERRO: origem e destino externos",IF(AND($G837&lt;&gt;"EXTERNO",COUNTIFS(ENT_ID,$H837,ENT_TIPO,$G837)=0),"ERRO: origem inexistente",IF(AND($I837&lt;&gt;"EXTERNO",COUNTIFS(ENT_ID,$J837,ENT_TIPO,$I837)=0),"ERRO: destino inexistente",IF(AND($K837&lt;&gt;"",COUNTIF(CAT_ID,$K837)=0),"ERRO: categoria inexistente",IF(AND($L837&lt;&gt;"",COUNTIF(SUB_ID,$L837)=0),"ERRO: subcategoria inexistente",IF(AND($L837&lt;&gt;"",$K837&lt;&gt;"",IFERROR(INDEX(SUB_CATID,MATCH($L837,SUB_ID,0)),"")&lt;&gt;$K837),"ERRO: subcategoria nao pertence a categoria",IF(AND($O837&lt;&gt;"",COUNTIF(P_ID,$O837)=0),"ERRO: parcela inexistente",IF(AND($N837&lt;&gt;"",COUNTIF(CM_ID,$N837)=0),"ERRO: compromisso inexistente","OK")))))))))))))</f>
        <v/>
      </c>
      <c r="AK837" s="35" t="str">
        <f aca="false">IF($B837="","",IF(AND($N837="",$O837="",$P837="",$Q837="",$R837=""),"","VINCULADO: "&amp;TRIM(IF($N837&lt;&gt;"",$N837&amp;" ","")&amp;IF($O837&lt;&gt;"",$O837&amp;" ","")&amp;IF($P837&lt;&gt;"",$P837&amp;" ","")&amp;IF($Q837&lt;&gt;"",$Q837&amp;" ","")&amp;IF($R837&lt;&gt;"",$R837,""))))</f>
        <v/>
      </c>
    </row>
    <row r="838" customFormat="false" ht="15" hidden="false" customHeight="false" outlineLevel="0" collapsed="false">
      <c r="A838" s="30" t="str">
        <f aca="false">IF($B838="","","LAN-"&amp;TEXT(ROW()-4,"000000"))</f>
        <v/>
      </c>
      <c r="B838" s="31"/>
      <c r="C838" s="32"/>
      <c r="D838" s="32"/>
      <c r="E838" s="32"/>
      <c r="F838" s="33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4" t="str">
        <f aca="false">IF($B838="","",YEAR($B838))</f>
        <v/>
      </c>
      <c r="U838" s="34" t="str">
        <f aca="false">IF($B838="","",MONTH($B838))</f>
        <v/>
      </c>
      <c r="V838" s="34" t="str">
        <f aca="false">IF($B838="","",YEAR($B838)*100+MONTH($B838))</f>
        <v/>
      </c>
      <c r="W838" s="35" t="str">
        <f aca="false">IF($D838="","",IFERROR(INDEX(MAP_CLASS,MATCH($D838,MAP_TIPO,0)),"TIPO INVALIDO"))</f>
        <v/>
      </c>
      <c r="X838" s="35" t="str">
        <f aca="false">IF($K838="","",IFERROR(INDEX(CAT_NOME,MATCH($K838,CAT_ID,0)),"?"))</f>
        <v/>
      </c>
      <c r="Y838" s="35" t="str">
        <f aca="false">IF($L838="","",IFERROR(INDEX(SUB_NOME,MATCH($L838,SUB_ID,0)),"?"))</f>
        <v/>
      </c>
      <c r="Z838" s="35" t="str">
        <f aca="false">IF($G838="","",IF($G838="EXTERNO","(Externo)",IFERROR(INDEX(ENT_NOME,MATCH($H838,ENT_ID,0)),"?")))</f>
        <v/>
      </c>
      <c r="AA838" s="35" t="str">
        <f aca="false">IF($I838="","",IF($I838="EXTERNO","(Externo)",IFERROR(INDEX(ENT_NOME,MATCH($J838,ENT_ID,0)),"?")))</f>
        <v/>
      </c>
      <c r="AB838" s="36" t="n">
        <f aca="false">IF($B838="",0,IF(AND($I838="CONTA",$G838&lt;&gt;"CONTA"),$F838,0))</f>
        <v>0</v>
      </c>
      <c r="AC838" s="36" t="n">
        <f aca="false">IF($B838="",0,IF(AND($G838="CONTA",$I838&lt;&gt;"CONTA"),$F838,0))</f>
        <v>0</v>
      </c>
      <c r="AD838" s="36" t="n">
        <f aca="false">IF($W838="RECEITA",$F838,0)</f>
        <v>0</v>
      </c>
      <c r="AE838" s="36" t="n">
        <f aca="false">IF($W838="DESPESA",$F838,0)</f>
        <v>0</v>
      </c>
      <c r="AF838" s="36" t="n">
        <f aca="false">IF($W838="RECEITA_FINANCEIRA",$F838,0)</f>
        <v>0</v>
      </c>
      <c r="AG838" s="36" t="n">
        <f aca="false">IF($B838="",0,IF($I838="CONTA",$F838,0)-IF($G838="CONTA",$F838,0))</f>
        <v>0</v>
      </c>
      <c r="AH838" s="36" t="n">
        <f aca="false">IF($B838="",0,IF($G838="CARTAO",$F838,0)-IF($I838="CARTAO",$F838,0))</f>
        <v>0</v>
      </c>
      <c r="AI838" s="36" t="n">
        <f aca="false">IF($B838="",0,IF($I838="INVESTIMENTO",$F838,0)-IF($G838="INVESTIMENTO",$F838,0))</f>
        <v>0</v>
      </c>
      <c r="AJ838" s="35" t="str">
        <f aca="false">IF($B838="","",IF(NOT(ISNUMBER($F838)),"ERRO: valor nao numerico",IF($F838&lt;=0,"ERRO: valor deve ser maior que zero",IF(COUNTIF(MAP_TIPO,$D838)=0,"ERRO: tipo de operacao nao cadastrado",IF(COUNTIF(LST_STATUS,$E838)=0,"ERRO: status invalido",IF(AND($G838="EXTERNO",$I838="EXTERNO"),"ERRO: origem e destino externos",IF(AND($G838&lt;&gt;"EXTERNO",COUNTIFS(ENT_ID,$H838,ENT_TIPO,$G838)=0),"ERRO: origem inexistente",IF(AND($I838&lt;&gt;"EXTERNO",COUNTIFS(ENT_ID,$J838,ENT_TIPO,$I838)=0),"ERRO: destino inexistente",IF(AND($K838&lt;&gt;"",COUNTIF(CAT_ID,$K838)=0),"ERRO: categoria inexistente",IF(AND($L838&lt;&gt;"",COUNTIF(SUB_ID,$L838)=0),"ERRO: subcategoria inexistente",IF(AND($L838&lt;&gt;"",$K838&lt;&gt;"",IFERROR(INDEX(SUB_CATID,MATCH($L838,SUB_ID,0)),"")&lt;&gt;$K838),"ERRO: subcategoria nao pertence a categoria",IF(AND($O838&lt;&gt;"",COUNTIF(P_ID,$O838)=0),"ERRO: parcela inexistente",IF(AND($N838&lt;&gt;"",COUNTIF(CM_ID,$N838)=0),"ERRO: compromisso inexistente","OK")))))))))))))</f>
        <v/>
      </c>
      <c r="AK838" s="35" t="str">
        <f aca="false">IF($B838="","",IF(AND($N838="",$O838="",$P838="",$Q838="",$R838=""),"","VINCULADO: "&amp;TRIM(IF($N838&lt;&gt;"",$N838&amp;" ","")&amp;IF($O838&lt;&gt;"",$O838&amp;" ","")&amp;IF($P838&lt;&gt;"",$P838&amp;" ","")&amp;IF($Q838&lt;&gt;"",$Q838&amp;" ","")&amp;IF($R838&lt;&gt;"",$R838,""))))</f>
        <v/>
      </c>
    </row>
    <row r="839" customFormat="false" ht="15" hidden="false" customHeight="false" outlineLevel="0" collapsed="false">
      <c r="A839" s="30" t="str">
        <f aca="false">IF($B839="","","LAN-"&amp;TEXT(ROW()-4,"000000"))</f>
        <v/>
      </c>
      <c r="B839" s="31"/>
      <c r="C839" s="32"/>
      <c r="D839" s="32"/>
      <c r="E839" s="32"/>
      <c r="F839" s="33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4" t="str">
        <f aca="false">IF($B839="","",YEAR($B839))</f>
        <v/>
      </c>
      <c r="U839" s="34" t="str">
        <f aca="false">IF($B839="","",MONTH($B839))</f>
        <v/>
      </c>
      <c r="V839" s="34" t="str">
        <f aca="false">IF($B839="","",YEAR($B839)*100+MONTH($B839))</f>
        <v/>
      </c>
      <c r="W839" s="35" t="str">
        <f aca="false">IF($D839="","",IFERROR(INDEX(MAP_CLASS,MATCH($D839,MAP_TIPO,0)),"TIPO INVALIDO"))</f>
        <v/>
      </c>
      <c r="X839" s="35" t="str">
        <f aca="false">IF($K839="","",IFERROR(INDEX(CAT_NOME,MATCH($K839,CAT_ID,0)),"?"))</f>
        <v/>
      </c>
      <c r="Y839" s="35" t="str">
        <f aca="false">IF($L839="","",IFERROR(INDEX(SUB_NOME,MATCH($L839,SUB_ID,0)),"?"))</f>
        <v/>
      </c>
      <c r="Z839" s="35" t="str">
        <f aca="false">IF($G839="","",IF($G839="EXTERNO","(Externo)",IFERROR(INDEX(ENT_NOME,MATCH($H839,ENT_ID,0)),"?")))</f>
        <v/>
      </c>
      <c r="AA839" s="35" t="str">
        <f aca="false">IF($I839="","",IF($I839="EXTERNO","(Externo)",IFERROR(INDEX(ENT_NOME,MATCH($J839,ENT_ID,0)),"?")))</f>
        <v/>
      </c>
      <c r="AB839" s="36" t="n">
        <f aca="false">IF($B839="",0,IF(AND($I839="CONTA",$G839&lt;&gt;"CONTA"),$F839,0))</f>
        <v>0</v>
      </c>
      <c r="AC839" s="36" t="n">
        <f aca="false">IF($B839="",0,IF(AND($G839="CONTA",$I839&lt;&gt;"CONTA"),$F839,0))</f>
        <v>0</v>
      </c>
      <c r="AD839" s="36" t="n">
        <f aca="false">IF($W839="RECEITA",$F839,0)</f>
        <v>0</v>
      </c>
      <c r="AE839" s="36" t="n">
        <f aca="false">IF($W839="DESPESA",$F839,0)</f>
        <v>0</v>
      </c>
      <c r="AF839" s="36" t="n">
        <f aca="false">IF($W839="RECEITA_FINANCEIRA",$F839,0)</f>
        <v>0</v>
      </c>
      <c r="AG839" s="36" t="n">
        <f aca="false">IF($B839="",0,IF($I839="CONTA",$F839,0)-IF($G839="CONTA",$F839,0))</f>
        <v>0</v>
      </c>
      <c r="AH839" s="36" t="n">
        <f aca="false">IF($B839="",0,IF($G839="CARTAO",$F839,0)-IF($I839="CARTAO",$F839,0))</f>
        <v>0</v>
      </c>
      <c r="AI839" s="36" t="n">
        <f aca="false">IF($B839="",0,IF($I839="INVESTIMENTO",$F839,0)-IF($G839="INVESTIMENTO",$F839,0))</f>
        <v>0</v>
      </c>
      <c r="AJ839" s="35" t="str">
        <f aca="false">IF($B839="","",IF(NOT(ISNUMBER($F839)),"ERRO: valor nao numerico",IF($F839&lt;=0,"ERRO: valor deve ser maior que zero",IF(COUNTIF(MAP_TIPO,$D839)=0,"ERRO: tipo de operacao nao cadastrado",IF(COUNTIF(LST_STATUS,$E839)=0,"ERRO: status invalido",IF(AND($G839="EXTERNO",$I839="EXTERNO"),"ERRO: origem e destino externos",IF(AND($G839&lt;&gt;"EXTERNO",COUNTIFS(ENT_ID,$H839,ENT_TIPO,$G839)=0),"ERRO: origem inexistente",IF(AND($I839&lt;&gt;"EXTERNO",COUNTIFS(ENT_ID,$J839,ENT_TIPO,$I839)=0),"ERRO: destino inexistente",IF(AND($K839&lt;&gt;"",COUNTIF(CAT_ID,$K839)=0),"ERRO: categoria inexistente",IF(AND($L839&lt;&gt;"",COUNTIF(SUB_ID,$L839)=0),"ERRO: subcategoria inexistente",IF(AND($L839&lt;&gt;"",$K839&lt;&gt;"",IFERROR(INDEX(SUB_CATID,MATCH($L839,SUB_ID,0)),"")&lt;&gt;$K839),"ERRO: subcategoria nao pertence a categoria",IF(AND($O839&lt;&gt;"",COUNTIF(P_ID,$O839)=0),"ERRO: parcela inexistente",IF(AND($N839&lt;&gt;"",COUNTIF(CM_ID,$N839)=0),"ERRO: compromisso inexistente","OK")))))))))))))</f>
        <v/>
      </c>
      <c r="AK839" s="35" t="str">
        <f aca="false">IF($B839="","",IF(AND($N839="",$O839="",$P839="",$Q839="",$R839=""),"","VINCULADO: "&amp;TRIM(IF($N839&lt;&gt;"",$N839&amp;" ","")&amp;IF($O839&lt;&gt;"",$O839&amp;" ","")&amp;IF($P839&lt;&gt;"",$P839&amp;" ","")&amp;IF($Q839&lt;&gt;"",$Q839&amp;" ","")&amp;IF($R839&lt;&gt;"",$R839,""))))</f>
        <v/>
      </c>
    </row>
    <row r="840" customFormat="false" ht="15" hidden="false" customHeight="false" outlineLevel="0" collapsed="false">
      <c r="A840" s="30" t="str">
        <f aca="false">IF($B840="","","LAN-"&amp;TEXT(ROW()-4,"000000"))</f>
        <v/>
      </c>
      <c r="B840" s="31"/>
      <c r="C840" s="32"/>
      <c r="D840" s="32"/>
      <c r="E840" s="32"/>
      <c r="F840" s="33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4" t="str">
        <f aca="false">IF($B840="","",YEAR($B840))</f>
        <v/>
      </c>
      <c r="U840" s="34" t="str">
        <f aca="false">IF($B840="","",MONTH($B840))</f>
        <v/>
      </c>
      <c r="V840" s="34" t="str">
        <f aca="false">IF($B840="","",YEAR($B840)*100+MONTH($B840))</f>
        <v/>
      </c>
      <c r="W840" s="35" t="str">
        <f aca="false">IF($D840="","",IFERROR(INDEX(MAP_CLASS,MATCH($D840,MAP_TIPO,0)),"TIPO INVALIDO"))</f>
        <v/>
      </c>
      <c r="X840" s="35" t="str">
        <f aca="false">IF($K840="","",IFERROR(INDEX(CAT_NOME,MATCH($K840,CAT_ID,0)),"?"))</f>
        <v/>
      </c>
      <c r="Y840" s="35" t="str">
        <f aca="false">IF($L840="","",IFERROR(INDEX(SUB_NOME,MATCH($L840,SUB_ID,0)),"?"))</f>
        <v/>
      </c>
      <c r="Z840" s="35" t="str">
        <f aca="false">IF($G840="","",IF($G840="EXTERNO","(Externo)",IFERROR(INDEX(ENT_NOME,MATCH($H840,ENT_ID,0)),"?")))</f>
        <v/>
      </c>
      <c r="AA840" s="35" t="str">
        <f aca="false">IF($I840="","",IF($I840="EXTERNO","(Externo)",IFERROR(INDEX(ENT_NOME,MATCH($J840,ENT_ID,0)),"?")))</f>
        <v/>
      </c>
      <c r="AB840" s="36" t="n">
        <f aca="false">IF($B840="",0,IF(AND($I840="CONTA",$G840&lt;&gt;"CONTA"),$F840,0))</f>
        <v>0</v>
      </c>
      <c r="AC840" s="36" t="n">
        <f aca="false">IF($B840="",0,IF(AND($G840="CONTA",$I840&lt;&gt;"CONTA"),$F840,0))</f>
        <v>0</v>
      </c>
      <c r="AD840" s="36" t="n">
        <f aca="false">IF($W840="RECEITA",$F840,0)</f>
        <v>0</v>
      </c>
      <c r="AE840" s="36" t="n">
        <f aca="false">IF($W840="DESPESA",$F840,0)</f>
        <v>0</v>
      </c>
      <c r="AF840" s="36" t="n">
        <f aca="false">IF($W840="RECEITA_FINANCEIRA",$F840,0)</f>
        <v>0</v>
      </c>
      <c r="AG840" s="36" t="n">
        <f aca="false">IF($B840="",0,IF($I840="CONTA",$F840,0)-IF($G840="CONTA",$F840,0))</f>
        <v>0</v>
      </c>
      <c r="AH840" s="36" t="n">
        <f aca="false">IF($B840="",0,IF($G840="CARTAO",$F840,0)-IF($I840="CARTAO",$F840,0))</f>
        <v>0</v>
      </c>
      <c r="AI840" s="36" t="n">
        <f aca="false">IF($B840="",0,IF($I840="INVESTIMENTO",$F840,0)-IF($G840="INVESTIMENTO",$F840,0))</f>
        <v>0</v>
      </c>
      <c r="AJ840" s="35" t="str">
        <f aca="false">IF($B840="","",IF(NOT(ISNUMBER($F840)),"ERRO: valor nao numerico",IF($F840&lt;=0,"ERRO: valor deve ser maior que zero",IF(COUNTIF(MAP_TIPO,$D840)=0,"ERRO: tipo de operacao nao cadastrado",IF(COUNTIF(LST_STATUS,$E840)=0,"ERRO: status invalido",IF(AND($G840="EXTERNO",$I840="EXTERNO"),"ERRO: origem e destino externos",IF(AND($G840&lt;&gt;"EXTERNO",COUNTIFS(ENT_ID,$H840,ENT_TIPO,$G840)=0),"ERRO: origem inexistente",IF(AND($I840&lt;&gt;"EXTERNO",COUNTIFS(ENT_ID,$J840,ENT_TIPO,$I840)=0),"ERRO: destino inexistente",IF(AND($K840&lt;&gt;"",COUNTIF(CAT_ID,$K840)=0),"ERRO: categoria inexistente",IF(AND($L840&lt;&gt;"",COUNTIF(SUB_ID,$L840)=0),"ERRO: subcategoria inexistente",IF(AND($L840&lt;&gt;"",$K840&lt;&gt;"",IFERROR(INDEX(SUB_CATID,MATCH($L840,SUB_ID,0)),"")&lt;&gt;$K840),"ERRO: subcategoria nao pertence a categoria",IF(AND($O840&lt;&gt;"",COUNTIF(P_ID,$O840)=0),"ERRO: parcela inexistente",IF(AND($N840&lt;&gt;"",COUNTIF(CM_ID,$N840)=0),"ERRO: compromisso inexistente","OK")))))))))))))</f>
        <v/>
      </c>
      <c r="AK840" s="35" t="str">
        <f aca="false">IF($B840="","",IF(AND($N840="",$O840="",$P840="",$Q840="",$R840=""),"","VINCULADO: "&amp;TRIM(IF($N840&lt;&gt;"",$N840&amp;" ","")&amp;IF($O840&lt;&gt;"",$O840&amp;" ","")&amp;IF($P840&lt;&gt;"",$P840&amp;" ","")&amp;IF($Q840&lt;&gt;"",$Q840&amp;" ","")&amp;IF($R840&lt;&gt;"",$R840,""))))</f>
        <v/>
      </c>
    </row>
    <row r="841" customFormat="false" ht="15" hidden="false" customHeight="false" outlineLevel="0" collapsed="false">
      <c r="A841" s="30" t="str">
        <f aca="false">IF($B841="","","LAN-"&amp;TEXT(ROW()-4,"000000"))</f>
        <v/>
      </c>
      <c r="B841" s="31"/>
      <c r="C841" s="32"/>
      <c r="D841" s="32"/>
      <c r="E841" s="32"/>
      <c r="F841" s="33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4" t="str">
        <f aca="false">IF($B841="","",YEAR($B841))</f>
        <v/>
      </c>
      <c r="U841" s="34" t="str">
        <f aca="false">IF($B841="","",MONTH($B841))</f>
        <v/>
      </c>
      <c r="V841" s="34" t="str">
        <f aca="false">IF($B841="","",YEAR($B841)*100+MONTH($B841))</f>
        <v/>
      </c>
      <c r="W841" s="35" t="str">
        <f aca="false">IF($D841="","",IFERROR(INDEX(MAP_CLASS,MATCH($D841,MAP_TIPO,0)),"TIPO INVALIDO"))</f>
        <v/>
      </c>
      <c r="X841" s="35" t="str">
        <f aca="false">IF($K841="","",IFERROR(INDEX(CAT_NOME,MATCH($K841,CAT_ID,0)),"?"))</f>
        <v/>
      </c>
      <c r="Y841" s="35" t="str">
        <f aca="false">IF($L841="","",IFERROR(INDEX(SUB_NOME,MATCH($L841,SUB_ID,0)),"?"))</f>
        <v/>
      </c>
      <c r="Z841" s="35" t="str">
        <f aca="false">IF($G841="","",IF($G841="EXTERNO","(Externo)",IFERROR(INDEX(ENT_NOME,MATCH($H841,ENT_ID,0)),"?")))</f>
        <v/>
      </c>
      <c r="AA841" s="35" t="str">
        <f aca="false">IF($I841="","",IF($I841="EXTERNO","(Externo)",IFERROR(INDEX(ENT_NOME,MATCH($J841,ENT_ID,0)),"?")))</f>
        <v/>
      </c>
      <c r="AB841" s="36" t="n">
        <f aca="false">IF($B841="",0,IF(AND($I841="CONTA",$G841&lt;&gt;"CONTA"),$F841,0))</f>
        <v>0</v>
      </c>
      <c r="AC841" s="36" t="n">
        <f aca="false">IF($B841="",0,IF(AND($G841="CONTA",$I841&lt;&gt;"CONTA"),$F841,0))</f>
        <v>0</v>
      </c>
      <c r="AD841" s="36" t="n">
        <f aca="false">IF($W841="RECEITA",$F841,0)</f>
        <v>0</v>
      </c>
      <c r="AE841" s="36" t="n">
        <f aca="false">IF($W841="DESPESA",$F841,0)</f>
        <v>0</v>
      </c>
      <c r="AF841" s="36" t="n">
        <f aca="false">IF($W841="RECEITA_FINANCEIRA",$F841,0)</f>
        <v>0</v>
      </c>
      <c r="AG841" s="36" t="n">
        <f aca="false">IF($B841="",0,IF($I841="CONTA",$F841,0)-IF($G841="CONTA",$F841,0))</f>
        <v>0</v>
      </c>
      <c r="AH841" s="36" t="n">
        <f aca="false">IF($B841="",0,IF($G841="CARTAO",$F841,0)-IF($I841="CARTAO",$F841,0))</f>
        <v>0</v>
      </c>
      <c r="AI841" s="36" t="n">
        <f aca="false">IF($B841="",0,IF($I841="INVESTIMENTO",$F841,0)-IF($G841="INVESTIMENTO",$F841,0))</f>
        <v>0</v>
      </c>
      <c r="AJ841" s="35" t="str">
        <f aca="false">IF($B841="","",IF(NOT(ISNUMBER($F841)),"ERRO: valor nao numerico",IF($F841&lt;=0,"ERRO: valor deve ser maior que zero",IF(COUNTIF(MAP_TIPO,$D841)=0,"ERRO: tipo de operacao nao cadastrado",IF(COUNTIF(LST_STATUS,$E841)=0,"ERRO: status invalido",IF(AND($G841="EXTERNO",$I841="EXTERNO"),"ERRO: origem e destino externos",IF(AND($G841&lt;&gt;"EXTERNO",COUNTIFS(ENT_ID,$H841,ENT_TIPO,$G841)=0),"ERRO: origem inexistente",IF(AND($I841&lt;&gt;"EXTERNO",COUNTIFS(ENT_ID,$J841,ENT_TIPO,$I841)=0),"ERRO: destino inexistente",IF(AND($K841&lt;&gt;"",COUNTIF(CAT_ID,$K841)=0),"ERRO: categoria inexistente",IF(AND($L841&lt;&gt;"",COUNTIF(SUB_ID,$L841)=0),"ERRO: subcategoria inexistente",IF(AND($L841&lt;&gt;"",$K841&lt;&gt;"",IFERROR(INDEX(SUB_CATID,MATCH($L841,SUB_ID,0)),"")&lt;&gt;$K841),"ERRO: subcategoria nao pertence a categoria",IF(AND($O841&lt;&gt;"",COUNTIF(P_ID,$O841)=0),"ERRO: parcela inexistente",IF(AND($N841&lt;&gt;"",COUNTIF(CM_ID,$N841)=0),"ERRO: compromisso inexistente","OK")))))))))))))</f>
        <v/>
      </c>
      <c r="AK841" s="35" t="str">
        <f aca="false">IF($B841="","",IF(AND($N841="",$O841="",$P841="",$Q841="",$R841=""),"","VINCULADO: "&amp;TRIM(IF($N841&lt;&gt;"",$N841&amp;" ","")&amp;IF($O841&lt;&gt;"",$O841&amp;" ","")&amp;IF($P841&lt;&gt;"",$P841&amp;" ","")&amp;IF($Q841&lt;&gt;"",$Q841&amp;" ","")&amp;IF($R841&lt;&gt;"",$R841,""))))</f>
        <v/>
      </c>
    </row>
    <row r="842" customFormat="false" ht="15" hidden="false" customHeight="false" outlineLevel="0" collapsed="false">
      <c r="A842" s="30" t="str">
        <f aca="false">IF($B842="","","LAN-"&amp;TEXT(ROW()-4,"000000"))</f>
        <v/>
      </c>
      <c r="B842" s="31"/>
      <c r="C842" s="32"/>
      <c r="D842" s="32"/>
      <c r="E842" s="32"/>
      <c r="F842" s="33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4" t="str">
        <f aca="false">IF($B842="","",YEAR($B842))</f>
        <v/>
      </c>
      <c r="U842" s="34" t="str">
        <f aca="false">IF($B842="","",MONTH($B842))</f>
        <v/>
      </c>
      <c r="V842" s="34" t="str">
        <f aca="false">IF($B842="","",YEAR($B842)*100+MONTH($B842))</f>
        <v/>
      </c>
      <c r="W842" s="35" t="str">
        <f aca="false">IF($D842="","",IFERROR(INDEX(MAP_CLASS,MATCH($D842,MAP_TIPO,0)),"TIPO INVALIDO"))</f>
        <v/>
      </c>
      <c r="X842" s="35" t="str">
        <f aca="false">IF($K842="","",IFERROR(INDEX(CAT_NOME,MATCH($K842,CAT_ID,0)),"?"))</f>
        <v/>
      </c>
      <c r="Y842" s="35" t="str">
        <f aca="false">IF($L842="","",IFERROR(INDEX(SUB_NOME,MATCH($L842,SUB_ID,0)),"?"))</f>
        <v/>
      </c>
      <c r="Z842" s="35" t="str">
        <f aca="false">IF($G842="","",IF($G842="EXTERNO","(Externo)",IFERROR(INDEX(ENT_NOME,MATCH($H842,ENT_ID,0)),"?")))</f>
        <v/>
      </c>
      <c r="AA842" s="35" t="str">
        <f aca="false">IF($I842="","",IF($I842="EXTERNO","(Externo)",IFERROR(INDEX(ENT_NOME,MATCH($J842,ENT_ID,0)),"?")))</f>
        <v/>
      </c>
      <c r="AB842" s="36" t="n">
        <f aca="false">IF($B842="",0,IF(AND($I842="CONTA",$G842&lt;&gt;"CONTA"),$F842,0))</f>
        <v>0</v>
      </c>
      <c r="AC842" s="36" t="n">
        <f aca="false">IF($B842="",0,IF(AND($G842="CONTA",$I842&lt;&gt;"CONTA"),$F842,0))</f>
        <v>0</v>
      </c>
      <c r="AD842" s="36" t="n">
        <f aca="false">IF($W842="RECEITA",$F842,0)</f>
        <v>0</v>
      </c>
      <c r="AE842" s="36" t="n">
        <f aca="false">IF($W842="DESPESA",$F842,0)</f>
        <v>0</v>
      </c>
      <c r="AF842" s="36" t="n">
        <f aca="false">IF($W842="RECEITA_FINANCEIRA",$F842,0)</f>
        <v>0</v>
      </c>
      <c r="AG842" s="36" t="n">
        <f aca="false">IF($B842="",0,IF($I842="CONTA",$F842,0)-IF($G842="CONTA",$F842,0))</f>
        <v>0</v>
      </c>
      <c r="AH842" s="36" t="n">
        <f aca="false">IF($B842="",0,IF($G842="CARTAO",$F842,0)-IF($I842="CARTAO",$F842,0))</f>
        <v>0</v>
      </c>
      <c r="AI842" s="36" t="n">
        <f aca="false">IF($B842="",0,IF($I842="INVESTIMENTO",$F842,0)-IF($G842="INVESTIMENTO",$F842,0))</f>
        <v>0</v>
      </c>
      <c r="AJ842" s="35" t="str">
        <f aca="false">IF($B842="","",IF(NOT(ISNUMBER($F842)),"ERRO: valor nao numerico",IF($F842&lt;=0,"ERRO: valor deve ser maior que zero",IF(COUNTIF(MAP_TIPO,$D842)=0,"ERRO: tipo de operacao nao cadastrado",IF(COUNTIF(LST_STATUS,$E842)=0,"ERRO: status invalido",IF(AND($G842="EXTERNO",$I842="EXTERNO"),"ERRO: origem e destino externos",IF(AND($G842&lt;&gt;"EXTERNO",COUNTIFS(ENT_ID,$H842,ENT_TIPO,$G842)=0),"ERRO: origem inexistente",IF(AND($I842&lt;&gt;"EXTERNO",COUNTIFS(ENT_ID,$J842,ENT_TIPO,$I842)=0),"ERRO: destino inexistente",IF(AND($K842&lt;&gt;"",COUNTIF(CAT_ID,$K842)=0),"ERRO: categoria inexistente",IF(AND($L842&lt;&gt;"",COUNTIF(SUB_ID,$L842)=0),"ERRO: subcategoria inexistente",IF(AND($L842&lt;&gt;"",$K842&lt;&gt;"",IFERROR(INDEX(SUB_CATID,MATCH($L842,SUB_ID,0)),"")&lt;&gt;$K842),"ERRO: subcategoria nao pertence a categoria",IF(AND($O842&lt;&gt;"",COUNTIF(P_ID,$O842)=0),"ERRO: parcela inexistente",IF(AND($N842&lt;&gt;"",COUNTIF(CM_ID,$N842)=0),"ERRO: compromisso inexistente","OK")))))))))))))</f>
        <v/>
      </c>
      <c r="AK842" s="35" t="str">
        <f aca="false">IF($B842="","",IF(AND($N842="",$O842="",$P842="",$Q842="",$R842=""),"","VINCULADO: "&amp;TRIM(IF($N842&lt;&gt;"",$N842&amp;" ","")&amp;IF($O842&lt;&gt;"",$O842&amp;" ","")&amp;IF($P842&lt;&gt;"",$P842&amp;" ","")&amp;IF($Q842&lt;&gt;"",$Q842&amp;" ","")&amp;IF($R842&lt;&gt;"",$R842,""))))</f>
        <v/>
      </c>
    </row>
    <row r="843" customFormat="false" ht="15" hidden="false" customHeight="false" outlineLevel="0" collapsed="false">
      <c r="A843" s="30" t="str">
        <f aca="false">IF($B843="","","LAN-"&amp;TEXT(ROW()-4,"000000"))</f>
        <v/>
      </c>
      <c r="B843" s="31"/>
      <c r="C843" s="32"/>
      <c r="D843" s="32"/>
      <c r="E843" s="32"/>
      <c r="F843" s="33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4" t="str">
        <f aca="false">IF($B843="","",YEAR($B843))</f>
        <v/>
      </c>
      <c r="U843" s="34" t="str">
        <f aca="false">IF($B843="","",MONTH($B843))</f>
        <v/>
      </c>
      <c r="V843" s="34" t="str">
        <f aca="false">IF($B843="","",YEAR($B843)*100+MONTH($B843))</f>
        <v/>
      </c>
      <c r="W843" s="35" t="str">
        <f aca="false">IF($D843="","",IFERROR(INDEX(MAP_CLASS,MATCH($D843,MAP_TIPO,0)),"TIPO INVALIDO"))</f>
        <v/>
      </c>
      <c r="X843" s="35" t="str">
        <f aca="false">IF($K843="","",IFERROR(INDEX(CAT_NOME,MATCH($K843,CAT_ID,0)),"?"))</f>
        <v/>
      </c>
      <c r="Y843" s="35" t="str">
        <f aca="false">IF($L843="","",IFERROR(INDEX(SUB_NOME,MATCH($L843,SUB_ID,0)),"?"))</f>
        <v/>
      </c>
      <c r="Z843" s="35" t="str">
        <f aca="false">IF($G843="","",IF($G843="EXTERNO","(Externo)",IFERROR(INDEX(ENT_NOME,MATCH($H843,ENT_ID,0)),"?")))</f>
        <v/>
      </c>
      <c r="AA843" s="35" t="str">
        <f aca="false">IF($I843="","",IF($I843="EXTERNO","(Externo)",IFERROR(INDEX(ENT_NOME,MATCH($J843,ENT_ID,0)),"?")))</f>
        <v/>
      </c>
      <c r="AB843" s="36" t="n">
        <f aca="false">IF($B843="",0,IF(AND($I843="CONTA",$G843&lt;&gt;"CONTA"),$F843,0))</f>
        <v>0</v>
      </c>
      <c r="AC843" s="36" t="n">
        <f aca="false">IF($B843="",0,IF(AND($G843="CONTA",$I843&lt;&gt;"CONTA"),$F843,0))</f>
        <v>0</v>
      </c>
      <c r="AD843" s="36" t="n">
        <f aca="false">IF($W843="RECEITA",$F843,0)</f>
        <v>0</v>
      </c>
      <c r="AE843" s="36" t="n">
        <f aca="false">IF($W843="DESPESA",$F843,0)</f>
        <v>0</v>
      </c>
      <c r="AF843" s="36" t="n">
        <f aca="false">IF($W843="RECEITA_FINANCEIRA",$F843,0)</f>
        <v>0</v>
      </c>
      <c r="AG843" s="36" t="n">
        <f aca="false">IF($B843="",0,IF($I843="CONTA",$F843,0)-IF($G843="CONTA",$F843,0))</f>
        <v>0</v>
      </c>
      <c r="AH843" s="36" t="n">
        <f aca="false">IF($B843="",0,IF($G843="CARTAO",$F843,0)-IF($I843="CARTAO",$F843,0))</f>
        <v>0</v>
      </c>
      <c r="AI843" s="36" t="n">
        <f aca="false">IF($B843="",0,IF($I843="INVESTIMENTO",$F843,0)-IF($G843="INVESTIMENTO",$F843,0))</f>
        <v>0</v>
      </c>
      <c r="AJ843" s="35" t="str">
        <f aca="false">IF($B843="","",IF(NOT(ISNUMBER($F843)),"ERRO: valor nao numerico",IF($F843&lt;=0,"ERRO: valor deve ser maior que zero",IF(COUNTIF(MAP_TIPO,$D843)=0,"ERRO: tipo de operacao nao cadastrado",IF(COUNTIF(LST_STATUS,$E843)=0,"ERRO: status invalido",IF(AND($G843="EXTERNO",$I843="EXTERNO"),"ERRO: origem e destino externos",IF(AND($G843&lt;&gt;"EXTERNO",COUNTIFS(ENT_ID,$H843,ENT_TIPO,$G843)=0),"ERRO: origem inexistente",IF(AND($I843&lt;&gt;"EXTERNO",COUNTIFS(ENT_ID,$J843,ENT_TIPO,$I843)=0),"ERRO: destino inexistente",IF(AND($K843&lt;&gt;"",COUNTIF(CAT_ID,$K843)=0),"ERRO: categoria inexistente",IF(AND($L843&lt;&gt;"",COUNTIF(SUB_ID,$L843)=0),"ERRO: subcategoria inexistente",IF(AND($L843&lt;&gt;"",$K843&lt;&gt;"",IFERROR(INDEX(SUB_CATID,MATCH($L843,SUB_ID,0)),"")&lt;&gt;$K843),"ERRO: subcategoria nao pertence a categoria",IF(AND($O843&lt;&gt;"",COUNTIF(P_ID,$O843)=0),"ERRO: parcela inexistente",IF(AND($N843&lt;&gt;"",COUNTIF(CM_ID,$N843)=0),"ERRO: compromisso inexistente","OK")))))))))))))</f>
        <v/>
      </c>
      <c r="AK843" s="35" t="str">
        <f aca="false">IF($B843="","",IF(AND($N843="",$O843="",$P843="",$Q843="",$R843=""),"","VINCULADO: "&amp;TRIM(IF($N843&lt;&gt;"",$N843&amp;" ","")&amp;IF($O843&lt;&gt;"",$O843&amp;" ","")&amp;IF($P843&lt;&gt;"",$P843&amp;" ","")&amp;IF($Q843&lt;&gt;"",$Q843&amp;" ","")&amp;IF($R843&lt;&gt;"",$R843,""))))</f>
        <v/>
      </c>
    </row>
    <row r="844" customFormat="false" ht="15" hidden="false" customHeight="false" outlineLevel="0" collapsed="false">
      <c r="A844" s="30" t="str">
        <f aca="false">IF($B844="","","LAN-"&amp;TEXT(ROW()-4,"000000"))</f>
        <v/>
      </c>
      <c r="B844" s="31"/>
      <c r="C844" s="32"/>
      <c r="D844" s="32"/>
      <c r="E844" s="32"/>
      <c r="F844" s="33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4" t="str">
        <f aca="false">IF($B844="","",YEAR($B844))</f>
        <v/>
      </c>
      <c r="U844" s="34" t="str">
        <f aca="false">IF($B844="","",MONTH($B844))</f>
        <v/>
      </c>
      <c r="V844" s="34" t="str">
        <f aca="false">IF($B844="","",YEAR($B844)*100+MONTH($B844))</f>
        <v/>
      </c>
      <c r="W844" s="35" t="str">
        <f aca="false">IF($D844="","",IFERROR(INDEX(MAP_CLASS,MATCH($D844,MAP_TIPO,0)),"TIPO INVALIDO"))</f>
        <v/>
      </c>
      <c r="X844" s="35" t="str">
        <f aca="false">IF($K844="","",IFERROR(INDEX(CAT_NOME,MATCH($K844,CAT_ID,0)),"?"))</f>
        <v/>
      </c>
      <c r="Y844" s="35" t="str">
        <f aca="false">IF($L844="","",IFERROR(INDEX(SUB_NOME,MATCH($L844,SUB_ID,0)),"?"))</f>
        <v/>
      </c>
      <c r="Z844" s="35" t="str">
        <f aca="false">IF($G844="","",IF($G844="EXTERNO","(Externo)",IFERROR(INDEX(ENT_NOME,MATCH($H844,ENT_ID,0)),"?")))</f>
        <v/>
      </c>
      <c r="AA844" s="35" t="str">
        <f aca="false">IF($I844="","",IF($I844="EXTERNO","(Externo)",IFERROR(INDEX(ENT_NOME,MATCH($J844,ENT_ID,0)),"?")))</f>
        <v/>
      </c>
      <c r="AB844" s="36" t="n">
        <f aca="false">IF($B844="",0,IF(AND($I844="CONTA",$G844&lt;&gt;"CONTA"),$F844,0))</f>
        <v>0</v>
      </c>
      <c r="AC844" s="36" t="n">
        <f aca="false">IF($B844="",0,IF(AND($G844="CONTA",$I844&lt;&gt;"CONTA"),$F844,0))</f>
        <v>0</v>
      </c>
      <c r="AD844" s="36" t="n">
        <f aca="false">IF($W844="RECEITA",$F844,0)</f>
        <v>0</v>
      </c>
      <c r="AE844" s="36" t="n">
        <f aca="false">IF($W844="DESPESA",$F844,0)</f>
        <v>0</v>
      </c>
      <c r="AF844" s="36" t="n">
        <f aca="false">IF($W844="RECEITA_FINANCEIRA",$F844,0)</f>
        <v>0</v>
      </c>
      <c r="AG844" s="36" t="n">
        <f aca="false">IF($B844="",0,IF($I844="CONTA",$F844,0)-IF($G844="CONTA",$F844,0))</f>
        <v>0</v>
      </c>
      <c r="AH844" s="36" t="n">
        <f aca="false">IF($B844="",0,IF($G844="CARTAO",$F844,0)-IF($I844="CARTAO",$F844,0))</f>
        <v>0</v>
      </c>
      <c r="AI844" s="36" t="n">
        <f aca="false">IF($B844="",0,IF($I844="INVESTIMENTO",$F844,0)-IF($G844="INVESTIMENTO",$F844,0))</f>
        <v>0</v>
      </c>
      <c r="AJ844" s="35" t="str">
        <f aca="false">IF($B844="","",IF(NOT(ISNUMBER($F844)),"ERRO: valor nao numerico",IF($F844&lt;=0,"ERRO: valor deve ser maior que zero",IF(COUNTIF(MAP_TIPO,$D844)=0,"ERRO: tipo de operacao nao cadastrado",IF(COUNTIF(LST_STATUS,$E844)=0,"ERRO: status invalido",IF(AND($G844="EXTERNO",$I844="EXTERNO"),"ERRO: origem e destino externos",IF(AND($G844&lt;&gt;"EXTERNO",COUNTIFS(ENT_ID,$H844,ENT_TIPO,$G844)=0),"ERRO: origem inexistente",IF(AND($I844&lt;&gt;"EXTERNO",COUNTIFS(ENT_ID,$J844,ENT_TIPO,$I844)=0),"ERRO: destino inexistente",IF(AND($K844&lt;&gt;"",COUNTIF(CAT_ID,$K844)=0),"ERRO: categoria inexistente",IF(AND($L844&lt;&gt;"",COUNTIF(SUB_ID,$L844)=0),"ERRO: subcategoria inexistente",IF(AND($L844&lt;&gt;"",$K844&lt;&gt;"",IFERROR(INDEX(SUB_CATID,MATCH($L844,SUB_ID,0)),"")&lt;&gt;$K844),"ERRO: subcategoria nao pertence a categoria",IF(AND($O844&lt;&gt;"",COUNTIF(P_ID,$O844)=0),"ERRO: parcela inexistente",IF(AND($N844&lt;&gt;"",COUNTIF(CM_ID,$N844)=0),"ERRO: compromisso inexistente","OK")))))))))))))</f>
        <v/>
      </c>
      <c r="AK844" s="35" t="str">
        <f aca="false">IF($B844="","",IF(AND($N844="",$O844="",$P844="",$Q844="",$R844=""),"","VINCULADO: "&amp;TRIM(IF($N844&lt;&gt;"",$N844&amp;" ","")&amp;IF($O844&lt;&gt;"",$O844&amp;" ","")&amp;IF($P844&lt;&gt;"",$P844&amp;" ","")&amp;IF($Q844&lt;&gt;"",$Q844&amp;" ","")&amp;IF($R844&lt;&gt;"",$R844,""))))</f>
        <v/>
      </c>
    </row>
    <row r="845" customFormat="false" ht="15" hidden="false" customHeight="false" outlineLevel="0" collapsed="false">
      <c r="A845" s="30" t="str">
        <f aca="false">IF($B845="","","LAN-"&amp;TEXT(ROW()-4,"000000"))</f>
        <v/>
      </c>
      <c r="B845" s="31"/>
      <c r="C845" s="32"/>
      <c r="D845" s="32"/>
      <c r="E845" s="32"/>
      <c r="F845" s="33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4" t="str">
        <f aca="false">IF($B845="","",YEAR($B845))</f>
        <v/>
      </c>
      <c r="U845" s="34" t="str">
        <f aca="false">IF($B845="","",MONTH($B845))</f>
        <v/>
      </c>
      <c r="V845" s="34" t="str">
        <f aca="false">IF($B845="","",YEAR($B845)*100+MONTH($B845))</f>
        <v/>
      </c>
      <c r="W845" s="35" t="str">
        <f aca="false">IF($D845="","",IFERROR(INDEX(MAP_CLASS,MATCH($D845,MAP_TIPO,0)),"TIPO INVALIDO"))</f>
        <v/>
      </c>
      <c r="X845" s="35" t="str">
        <f aca="false">IF($K845="","",IFERROR(INDEX(CAT_NOME,MATCH($K845,CAT_ID,0)),"?"))</f>
        <v/>
      </c>
      <c r="Y845" s="35" t="str">
        <f aca="false">IF($L845="","",IFERROR(INDEX(SUB_NOME,MATCH($L845,SUB_ID,0)),"?"))</f>
        <v/>
      </c>
      <c r="Z845" s="35" t="str">
        <f aca="false">IF($G845="","",IF($G845="EXTERNO","(Externo)",IFERROR(INDEX(ENT_NOME,MATCH($H845,ENT_ID,0)),"?")))</f>
        <v/>
      </c>
      <c r="AA845" s="35" t="str">
        <f aca="false">IF($I845="","",IF($I845="EXTERNO","(Externo)",IFERROR(INDEX(ENT_NOME,MATCH($J845,ENT_ID,0)),"?")))</f>
        <v/>
      </c>
      <c r="AB845" s="36" t="n">
        <f aca="false">IF($B845="",0,IF(AND($I845="CONTA",$G845&lt;&gt;"CONTA"),$F845,0))</f>
        <v>0</v>
      </c>
      <c r="AC845" s="36" t="n">
        <f aca="false">IF($B845="",0,IF(AND($G845="CONTA",$I845&lt;&gt;"CONTA"),$F845,0))</f>
        <v>0</v>
      </c>
      <c r="AD845" s="36" t="n">
        <f aca="false">IF($W845="RECEITA",$F845,0)</f>
        <v>0</v>
      </c>
      <c r="AE845" s="36" t="n">
        <f aca="false">IF($W845="DESPESA",$F845,0)</f>
        <v>0</v>
      </c>
      <c r="AF845" s="36" t="n">
        <f aca="false">IF($W845="RECEITA_FINANCEIRA",$F845,0)</f>
        <v>0</v>
      </c>
      <c r="AG845" s="36" t="n">
        <f aca="false">IF($B845="",0,IF($I845="CONTA",$F845,0)-IF($G845="CONTA",$F845,0))</f>
        <v>0</v>
      </c>
      <c r="AH845" s="36" t="n">
        <f aca="false">IF($B845="",0,IF($G845="CARTAO",$F845,0)-IF($I845="CARTAO",$F845,0))</f>
        <v>0</v>
      </c>
      <c r="AI845" s="36" t="n">
        <f aca="false">IF($B845="",0,IF($I845="INVESTIMENTO",$F845,0)-IF($G845="INVESTIMENTO",$F845,0))</f>
        <v>0</v>
      </c>
      <c r="AJ845" s="35" t="str">
        <f aca="false">IF($B845="","",IF(NOT(ISNUMBER($F845)),"ERRO: valor nao numerico",IF($F845&lt;=0,"ERRO: valor deve ser maior que zero",IF(COUNTIF(MAP_TIPO,$D845)=0,"ERRO: tipo de operacao nao cadastrado",IF(COUNTIF(LST_STATUS,$E845)=0,"ERRO: status invalido",IF(AND($G845="EXTERNO",$I845="EXTERNO"),"ERRO: origem e destino externos",IF(AND($G845&lt;&gt;"EXTERNO",COUNTIFS(ENT_ID,$H845,ENT_TIPO,$G845)=0),"ERRO: origem inexistente",IF(AND($I845&lt;&gt;"EXTERNO",COUNTIFS(ENT_ID,$J845,ENT_TIPO,$I845)=0),"ERRO: destino inexistente",IF(AND($K845&lt;&gt;"",COUNTIF(CAT_ID,$K845)=0),"ERRO: categoria inexistente",IF(AND($L845&lt;&gt;"",COUNTIF(SUB_ID,$L845)=0),"ERRO: subcategoria inexistente",IF(AND($L845&lt;&gt;"",$K845&lt;&gt;"",IFERROR(INDEX(SUB_CATID,MATCH($L845,SUB_ID,0)),"")&lt;&gt;$K845),"ERRO: subcategoria nao pertence a categoria",IF(AND($O845&lt;&gt;"",COUNTIF(P_ID,$O845)=0),"ERRO: parcela inexistente",IF(AND($N845&lt;&gt;"",COUNTIF(CM_ID,$N845)=0),"ERRO: compromisso inexistente","OK")))))))))))))</f>
        <v/>
      </c>
      <c r="AK845" s="35" t="str">
        <f aca="false">IF($B845="","",IF(AND($N845="",$O845="",$P845="",$Q845="",$R845=""),"","VINCULADO: "&amp;TRIM(IF($N845&lt;&gt;"",$N845&amp;" ","")&amp;IF($O845&lt;&gt;"",$O845&amp;" ","")&amp;IF($P845&lt;&gt;"",$P845&amp;" ","")&amp;IF($Q845&lt;&gt;"",$Q845&amp;" ","")&amp;IF($R845&lt;&gt;"",$R845,""))))</f>
        <v/>
      </c>
    </row>
    <row r="846" customFormat="false" ht="15" hidden="false" customHeight="false" outlineLevel="0" collapsed="false">
      <c r="A846" s="30" t="str">
        <f aca="false">IF($B846="","","LAN-"&amp;TEXT(ROW()-4,"000000"))</f>
        <v/>
      </c>
      <c r="B846" s="31"/>
      <c r="C846" s="32"/>
      <c r="D846" s="32"/>
      <c r="E846" s="32"/>
      <c r="F846" s="33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4" t="str">
        <f aca="false">IF($B846="","",YEAR($B846))</f>
        <v/>
      </c>
      <c r="U846" s="34" t="str">
        <f aca="false">IF($B846="","",MONTH($B846))</f>
        <v/>
      </c>
      <c r="V846" s="34" t="str">
        <f aca="false">IF($B846="","",YEAR($B846)*100+MONTH($B846))</f>
        <v/>
      </c>
      <c r="W846" s="35" t="str">
        <f aca="false">IF($D846="","",IFERROR(INDEX(MAP_CLASS,MATCH($D846,MAP_TIPO,0)),"TIPO INVALIDO"))</f>
        <v/>
      </c>
      <c r="X846" s="35" t="str">
        <f aca="false">IF($K846="","",IFERROR(INDEX(CAT_NOME,MATCH($K846,CAT_ID,0)),"?"))</f>
        <v/>
      </c>
      <c r="Y846" s="35" t="str">
        <f aca="false">IF($L846="","",IFERROR(INDEX(SUB_NOME,MATCH($L846,SUB_ID,0)),"?"))</f>
        <v/>
      </c>
      <c r="Z846" s="35" t="str">
        <f aca="false">IF($G846="","",IF($G846="EXTERNO","(Externo)",IFERROR(INDEX(ENT_NOME,MATCH($H846,ENT_ID,0)),"?")))</f>
        <v/>
      </c>
      <c r="AA846" s="35" t="str">
        <f aca="false">IF($I846="","",IF($I846="EXTERNO","(Externo)",IFERROR(INDEX(ENT_NOME,MATCH($J846,ENT_ID,0)),"?")))</f>
        <v/>
      </c>
      <c r="AB846" s="36" t="n">
        <f aca="false">IF($B846="",0,IF(AND($I846="CONTA",$G846&lt;&gt;"CONTA"),$F846,0))</f>
        <v>0</v>
      </c>
      <c r="AC846" s="36" t="n">
        <f aca="false">IF($B846="",0,IF(AND($G846="CONTA",$I846&lt;&gt;"CONTA"),$F846,0))</f>
        <v>0</v>
      </c>
      <c r="AD846" s="36" t="n">
        <f aca="false">IF($W846="RECEITA",$F846,0)</f>
        <v>0</v>
      </c>
      <c r="AE846" s="36" t="n">
        <f aca="false">IF($W846="DESPESA",$F846,0)</f>
        <v>0</v>
      </c>
      <c r="AF846" s="36" t="n">
        <f aca="false">IF($W846="RECEITA_FINANCEIRA",$F846,0)</f>
        <v>0</v>
      </c>
      <c r="AG846" s="36" t="n">
        <f aca="false">IF($B846="",0,IF($I846="CONTA",$F846,0)-IF($G846="CONTA",$F846,0))</f>
        <v>0</v>
      </c>
      <c r="AH846" s="36" t="n">
        <f aca="false">IF($B846="",0,IF($G846="CARTAO",$F846,0)-IF($I846="CARTAO",$F846,0))</f>
        <v>0</v>
      </c>
      <c r="AI846" s="36" t="n">
        <f aca="false">IF($B846="",0,IF($I846="INVESTIMENTO",$F846,0)-IF($G846="INVESTIMENTO",$F846,0))</f>
        <v>0</v>
      </c>
      <c r="AJ846" s="35" t="str">
        <f aca="false">IF($B846="","",IF(NOT(ISNUMBER($F846)),"ERRO: valor nao numerico",IF($F846&lt;=0,"ERRO: valor deve ser maior que zero",IF(COUNTIF(MAP_TIPO,$D846)=0,"ERRO: tipo de operacao nao cadastrado",IF(COUNTIF(LST_STATUS,$E846)=0,"ERRO: status invalido",IF(AND($G846="EXTERNO",$I846="EXTERNO"),"ERRO: origem e destino externos",IF(AND($G846&lt;&gt;"EXTERNO",COUNTIFS(ENT_ID,$H846,ENT_TIPO,$G846)=0),"ERRO: origem inexistente",IF(AND($I846&lt;&gt;"EXTERNO",COUNTIFS(ENT_ID,$J846,ENT_TIPO,$I846)=0),"ERRO: destino inexistente",IF(AND($K846&lt;&gt;"",COUNTIF(CAT_ID,$K846)=0),"ERRO: categoria inexistente",IF(AND($L846&lt;&gt;"",COUNTIF(SUB_ID,$L846)=0),"ERRO: subcategoria inexistente",IF(AND($L846&lt;&gt;"",$K846&lt;&gt;"",IFERROR(INDEX(SUB_CATID,MATCH($L846,SUB_ID,0)),"")&lt;&gt;$K846),"ERRO: subcategoria nao pertence a categoria",IF(AND($O846&lt;&gt;"",COUNTIF(P_ID,$O846)=0),"ERRO: parcela inexistente",IF(AND($N846&lt;&gt;"",COUNTIF(CM_ID,$N846)=0),"ERRO: compromisso inexistente","OK")))))))))))))</f>
        <v/>
      </c>
      <c r="AK846" s="35" t="str">
        <f aca="false">IF($B846="","",IF(AND($N846="",$O846="",$P846="",$Q846="",$R846=""),"","VINCULADO: "&amp;TRIM(IF($N846&lt;&gt;"",$N846&amp;" ","")&amp;IF($O846&lt;&gt;"",$O846&amp;" ","")&amp;IF($P846&lt;&gt;"",$P846&amp;" ","")&amp;IF($Q846&lt;&gt;"",$Q846&amp;" ","")&amp;IF($R846&lt;&gt;"",$R846,""))))</f>
        <v/>
      </c>
    </row>
    <row r="847" customFormat="false" ht="15" hidden="false" customHeight="false" outlineLevel="0" collapsed="false">
      <c r="A847" s="30" t="str">
        <f aca="false">IF($B847="","","LAN-"&amp;TEXT(ROW()-4,"000000"))</f>
        <v/>
      </c>
      <c r="B847" s="31"/>
      <c r="C847" s="32"/>
      <c r="D847" s="32"/>
      <c r="E847" s="32"/>
      <c r="F847" s="33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4" t="str">
        <f aca="false">IF($B847="","",YEAR($B847))</f>
        <v/>
      </c>
      <c r="U847" s="34" t="str">
        <f aca="false">IF($B847="","",MONTH($B847))</f>
        <v/>
      </c>
      <c r="V847" s="34" t="str">
        <f aca="false">IF($B847="","",YEAR($B847)*100+MONTH($B847))</f>
        <v/>
      </c>
      <c r="W847" s="35" t="str">
        <f aca="false">IF($D847="","",IFERROR(INDEX(MAP_CLASS,MATCH($D847,MAP_TIPO,0)),"TIPO INVALIDO"))</f>
        <v/>
      </c>
      <c r="X847" s="35" t="str">
        <f aca="false">IF($K847="","",IFERROR(INDEX(CAT_NOME,MATCH($K847,CAT_ID,0)),"?"))</f>
        <v/>
      </c>
      <c r="Y847" s="35" t="str">
        <f aca="false">IF($L847="","",IFERROR(INDEX(SUB_NOME,MATCH($L847,SUB_ID,0)),"?"))</f>
        <v/>
      </c>
      <c r="Z847" s="35" t="str">
        <f aca="false">IF($G847="","",IF($G847="EXTERNO","(Externo)",IFERROR(INDEX(ENT_NOME,MATCH($H847,ENT_ID,0)),"?")))</f>
        <v/>
      </c>
      <c r="AA847" s="35" t="str">
        <f aca="false">IF($I847="","",IF($I847="EXTERNO","(Externo)",IFERROR(INDEX(ENT_NOME,MATCH($J847,ENT_ID,0)),"?")))</f>
        <v/>
      </c>
      <c r="AB847" s="36" t="n">
        <f aca="false">IF($B847="",0,IF(AND($I847="CONTA",$G847&lt;&gt;"CONTA"),$F847,0))</f>
        <v>0</v>
      </c>
      <c r="AC847" s="36" t="n">
        <f aca="false">IF($B847="",0,IF(AND($G847="CONTA",$I847&lt;&gt;"CONTA"),$F847,0))</f>
        <v>0</v>
      </c>
      <c r="AD847" s="36" t="n">
        <f aca="false">IF($W847="RECEITA",$F847,0)</f>
        <v>0</v>
      </c>
      <c r="AE847" s="36" t="n">
        <f aca="false">IF($W847="DESPESA",$F847,0)</f>
        <v>0</v>
      </c>
      <c r="AF847" s="36" t="n">
        <f aca="false">IF($W847="RECEITA_FINANCEIRA",$F847,0)</f>
        <v>0</v>
      </c>
      <c r="AG847" s="36" t="n">
        <f aca="false">IF($B847="",0,IF($I847="CONTA",$F847,0)-IF($G847="CONTA",$F847,0))</f>
        <v>0</v>
      </c>
      <c r="AH847" s="36" t="n">
        <f aca="false">IF($B847="",0,IF($G847="CARTAO",$F847,0)-IF($I847="CARTAO",$F847,0))</f>
        <v>0</v>
      </c>
      <c r="AI847" s="36" t="n">
        <f aca="false">IF($B847="",0,IF($I847="INVESTIMENTO",$F847,0)-IF($G847="INVESTIMENTO",$F847,0))</f>
        <v>0</v>
      </c>
      <c r="AJ847" s="35" t="str">
        <f aca="false">IF($B847="","",IF(NOT(ISNUMBER($F847)),"ERRO: valor nao numerico",IF($F847&lt;=0,"ERRO: valor deve ser maior que zero",IF(COUNTIF(MAP_TIPO,$D847)=0,"ERRO: tipo de operacao nao cadastrado",IF(COUNTIF(LST_STATUS,$E847)=0,"ERRO: status invalido",IF(AND($G847="EXTERNO",$I847="EXTERNO"),"ERRO: origem e destino externos",IF(AND($G847&lt;&gt;"EXTERNO",COUNTIFS(ENT_ID,$H847,ENT_TIPO,$G847)=0),"ERRO: origem inexistente",IF(AND($I847&lt;&gt;"EXTERNO",COUNTIFS(ENT_ID,$J847,ENT_TIPO,$I847)=0),"ERRO: destino inexistente",IF(AND($K847&lt;&gt;"",COUNTIF(CAT_ID,$K847)=0),"ERRO: categoria inexistente",IF(AND($L847&lt;&gt;"",COUNTIF(SUB_ID,$L847)=0),"ERRO: subcategoria inexistente",IF(AND($L847&lt;&gt;"",$K847&lt;&gt;"",IFERROR(INDEX(SUB_CATID,MATCH($L847,SUB_ID,0)),"")&lt;&gt;$K847),"ERRO: subcategoria nao pertence a categoria",IF(AND($O847&lt;&gt;"",COUNTIF(P_ID,$O847)=0),"ERRO: parcela inexistente",IF(AND($N847&lt;&gt;"",COUNTIF(CM_ID,$N847)=0),"ERRO: compromisso inexistente","OK")))))))))))))</f>
        <v/>
      </c>
      <c r="AK847" s="35" t="str">
        <f aca="false">IF($B847="","",IF(AND($N847="",$O847="",$P847="",$Q847="",$R847=""),"","VINCULADO: "&amp;TRIM(IF($N847&lt;&gt;"",$N847&amp;" ","")&amp;IF($O847&lt;&gt;"",$O847&amp;" ","")&amp;IF($P847&lt;&gt;"",$P847&amp;" ","")&amp;IF($Q847&lt;&gt;"",$Q847&amp;" ","")&amp;IF($R847&lt;&gt;"",$R847,""))))</f>
        <v/>
      </c>
    </row>
    <row r="848" customFormat="false" ht="15" hidden="false" customHeight="false" outlineLevel="0" collapsed="false">
      <c r="A848" s="30" t="str">
        <f aca="false">IF($B848="","","LAN-"&amp;TEXT(ROW()-4,"000000"))</f>
        <v/>
      </c>
      <c r="B848" s="31"/>
      <c r="C848" s="32"/>
      <c r="D848" s="32"/>
      <c r="E848" s="32"/>
      <c r="F848" s="33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4" t="str">
        <f aca="false">IF($B848="","",YEAR($B848))</f>
        <v/>
      </c>
      <c r="U848" s="34" t="str">
        <f aca="false">IF($B848="","",MONTH($B848))</f>
        <v/>
      </c>
      <c r="V848" s="34" t="str">
        <f aca="false">IF($B848="","",YEAR($B848)*100+MONTH($B848))</f>
        <v/>
      </c>
      <c r="W848" s="35" t="str">
        <f aca="false">IF($D848="","",IFERROR(INDEX(MAP_CLASS,MATCH($D848,MAP_TIPO,0)),"TIPO INVALIDO"))</f>
        <v/>
      </c>
      <c r="X848" s="35" t="str">
        <f aca="false">IF($K848="","",IFERROR(INDEX(CAT_NOME,MATCH($K848,CAT_ID,0)),"?"))</f>
        <v/>
      </c>
      <c r="Y848" s="35" t="str">
        <f aca="false">IF($L848="","",IFERROR(INDEX(SUB_NOME,MATCH($L848,SUB_ID,0)),"?"))</f>
        <v/>
      </c>
      <c r="Z848" s="35" t="str">
        <f aca="false">IF($G848="","",IF($G848="EXTERNO","(Externo)",IFERROR(INDEX(ENT_NOME,MATCH($H848,ENT_ID,0)),"?")))</f>
        <v/>
      </c>
      <c r="AA848" s="35" t="str">
        <f aca="false">IF($I848="","",IF($I848="EXTERNO","(Externo)",IFERROR(INDEX(ENT_NOME,MATCH($J848,ENT_ID,0)),"?")))</f>
        <v/>
      </c>
      <c r="AB848" s="36" t="n">
        <f aca="false">IF($B848="",0,IF(AND($I848="CONTA",$G848&lt;&gt;"CONTA"),$F848,0))</f>
        <v>0</v>
      </c>
      <c r="AC848" s="36" t="n">
        <f aca="false">IF($B848="",0,IF(AND($G848="CONTA",$I848&lt;&gt;"CONTA"),$F848,0))</f>
        <v>0</v>
      </c>
      <c r="AD848" s="36" t="n">
        <f aca="false">IF($W848="RECEITA",$F848,0)</f>
        <v>0</v>
      </c>
      <c r="AE848" s="36" t="n">
        <f aca="false">IF($W848="DESPESA",$F848,0)</f>
        <v>0</v>
      </c>
      <c r="AF848" s="36" t="n">
        <f aca="false">IF($W848="RECEITA_FINANCEIRA",$F848,0)</f>
        <v>0</v>
      </c>
      <c r="AG848" s="36" t="n">
        <f aca="false">IF($B848="",0,IF($I848="CONTA",$F848,0)-IF($G848="CONTA",$F848,0))</f>
        <v>0</v>
      </c>
      <c r="AH848" s="36" t="n">
        <f aca="false">IF($B848="",0,IF($G848="CARTAO",$F848,0)-IF($I848="CARTAO",$F848,0))</f>
        <v>0</v>
      </c>
      <c r="AI848" s="36" t="n">
        <f aca="false">IF($B848="",0,IF($I848="INVESTIMENTO",$F848,0)-IF($G848="INVESTIMENTO",$F848,0))</f>
        <v>0</v>
      </c>
      <c r="AJ848" s="35" t="str">
        <f aca="false">IF($B848="","",IF(NOT(ISNUMBER($F848)),"ERRO: valor nao numerico",IF($F848&lt;=0,"ERRO: valor deve ser maior que zero",IF(COUNTIF(MAP_TIPO,$D848)=0,"ERRO: tipo de operacao nao cadastrado",IF(COUNTIF(LST_STATUS,$E848)=0,"ERRO: status invalido",IF(AND($G848="EXTERNO",$I848="EXTERNO"),"ERRO: origem e destino externos",IF(AND($G848&lt;&gt;"EXTERNO",COUNTIFS(ENT_ID,$H848,ENT_TIPO,$G848)=0),"ERRO: origem inexistente",IF(AND($I848&lt;&gt;"EXTERNO",COUNTIFS(ENT_ID,$J848,ENT_TIPO,$I848)=0),"ERRO: destino inexistente",IF(AND($K848&lt;&gt;"",COUNTIF(CAT_ID,$K848)=0),"ERRO: categoria inexistente",IF(AND($L848&lt;&gt;"",COUNTIF(SUB_ID,$L848)=0),"ERRO: subcategoria inexistente",IF(AND($L848&lt;&gt;"",$K848&lt;&gt;"",IFERROR(INDEX(SUB_CATID,MATCH($L848,SUB_ID,0)),"")&lt;&gt;$K848),"ERRO: subcategoria nao pertence a categoria",IF(AND($O848&lt;&gt;"",COUNTIF(P_ID,$O848)=0),"ERRO: parcela inexistente",IF(AND($N848&lt;&gt;"",COUNTIF(CM_ID,$N848)=0),"ERRO: compromisso inexistente","OK")))))))))))))</f>
        <v/>
      </c>
      <c r="AK848" s="35" t="str">
        <f aca="false">IF($B848="","",IF(AND($N848="",$O848="",$P848="",$Q848="",$R848=""),"","VINCULADO: "&amp;TRIM(IF($N848&lt;&gt;"",$N848&amp;" ","")&amp;IF($O848&lt;&gt;"",$O848&amp;" ","")&amp;IF($P848&lt;&gt;"",$P848&amp;" ","")&amp;IF($Q848&lt;&gt;"",$Q848&amp;" ","")&amp;IF($R848&lt;&gt;"",$R848,""))))</f>
        <v/>
      </c>
    </row>
    <row r="849" customFormat="false" ht="15" hidden="false" customHeight="false" outlineLevel="0" collapsed="false">
      <c r="A849" s="30" t="str">
        <f aca="false">IF($B849="","","LAN-"&amp;TEXT(ROW()-4,"000000"))</f>
        <v/>
      </c>
      <c r="B849" s="31"/>
      <c r="C849" s="32"/>
      <c r="D849" s="32"/>
      <c r="E849" s="32"/>
      <c r="F849" s="33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4" t="str">
        <f aca="false">IF($B849="","",YEAR($B849))</f>
        <v/>
      </c>
      <c r="U849" s="34" t="str">
        <f aca="false">IF($B849="","",MONTH($B849))</f>
        <v/>
      </c>
      <c r="V849" s="34" t="str">
        <f aca="false">IF($B849="","",YEAR($B849)*100+MONTH($B849))</f>
        <v/>
      </c>
      <c r="W849" s="35" t="str">
        <f aca="false">IF($D849="","",IFERROR(INDEX(MAP_CLASS,MATCH($D849,MAP_TIPO,0)),"TIPO INVALIDO"))</f>
        <v/>
      </c>
      <c r="X849" s="35" t="str">
        <f aca="false">IF($K849="","",IFERROR(INDEX(CAT_NOME,MATCH($K849,CAT_ID,0)),"?"))</f>
        <v/>
      </c>
      <c r="Y849" s="35" t="str">
        <f aca="false">IF($L849="","",IFERROR(INDEX(SUB_NOME,MATCH($L849,SUB_ID,0)),"?"))</f>
        <v/>
      </c>
      <c r="Z849" s="35" t="str">
        <f aca="false">IF($G849="","",IF($G849="EXTERNO","(Externo)",IFERROR(INDEX(ENT_NOME,MATCH($H849,ENT_ID,0)),"?")))</f>
        <v/>
      </c>
      <c r="AA849" s="35" t="str">
        <f aca="false">IF($I849="","",IF($I849="EXTERNO","(Externo)",IFERROR(INDEX(ENT_NOME,MATCH($J849,ENT_ID,0)),"?")))</f>
        <v/>
      </c>
      <c r="AB849" s="36" t="n">
        <f aca="false">IF($B849="",0,IF(AND($I849="CONTA",$G849&lt;&gt;"CONTA"),$F849,0))</f>
        <v>0</v>
      </c>
      <c r="AC849" s="36" t="n">
        <f aca="false">IF($B849="",0,IF(AND($G849="CONTA",$I849&lt;&gt;"CONTA"),$F849,0))</f>
        <v>0</v>
      </c>
      <c r="AD849" s="36" t="n">
        <f aca="false">IF($W849="RECEITA",$F849,0)</f>
        <v>0</v>
      </c>
      <c r="AE849" s="36" t="n">
        <f aca="false">IF($W849="DESPESA",$F849,0)</f>
        <v>0</v>
      </c>
      <c r="AF849" s="36" t="n">
        <f aca="false">IF($W849="RECEITA_FINANCEIRA",$F849,0)</f>
        <v>0</v>
      </c>
      <c r="AG849" s="36" t="n">
        <f aca="false">IF($B849="",0,IF($I849="CONTA",$F849,0)-IF($G849="CONTA",$F849,0))</f>
        <v>0</v>
      </c>
      <c r="AH849" s="36" t="n">
        <f aca="false">IF($B849="",0,IF($G849="CARTAO",$F849,0)-IF($I849="CARTAO",$F849,0))</f>
        <v>0</v>
      </c>
      <c r="AI849" s="36" t="n">
        <f aca="false">IF($B849="",0,IF($I849="INVESTIMENTO",$F849,0)-IF($G849="INVESTIMENTO",$F849,0))</f>
        <v>0</v>
      </c>
      <c r="AJ849" s="35" t="str">
        <f aca="false">IF($B849="","",IF(NOT(ISNUMBER($F849)),"ERRO: valor nao numerico",IF($F849&lt;=0,"ERRO: valor deve ser maior que zero",IF(COUNTIF(MAP_TIPO,$D849)=0,"ERRO: tipo de operacao nao cadastrado",IF(COUNTIF(LST_STATUS,$E849)=0,"ERRO: status invalido",IF(AND($G849="EXTERNO",$I849="EXTERNO"),"ERRO: origem e destino externos",IF(AND($G849&lt;&gt;"EXTERNO",COUNTIFS(ENT_ID,$H849,ENT_TIPO,$G849)=0),"ERRO: origem inexistente",IF(AND($I849&lt;&gt;"EXTERNO",COUNTIFS(ENT_ID,$J849,ENT_TIPO,$I849)=0),"ERRO: destino inexistente",IF(AND($K849&lt;&gt;"",COUNTIF(CAT_ID,$K849)=0),"ERRO: categoria inexistente",IF(AND($L849&lt;&gt;"",COUNTIF(SUB_ID,$L849)=0),"ERRO: subcategoria inexistente",IF(AND($L849&lt;&gt;"",$K849&lt;&gt;"",IFERROR(INDEX(SUB_CATID,MATCH($L849,SUB_ID,0)),"")&lt;&gt;$K849),"ERRO: subcategoria nao pertence a categoria",IF(AND($O849&lt;&gt;"",COUNTIF(P_ID,$O849)=0),"ERRO: parcela inexistente",IF(AND($N849&lt;&gt;"",COUNTIF(CM_ID,$N849)=0),"ERRO: compromisso inexistente","OK")))))))))))))</f>
        <v/>
      </c>
      <c r="AK849" s="35" t="str">
        <f aca="false">IF($B849="","",IF(AND($N849="",$O849="",$P849="",$Q849="",$R849=""),"","VINCULADO: "&amp;TRIM(IF($N849&lt;&gt;"",$N849&amp;" ","")&amp;IF($O849&lt;&gt;"",$O849&amp;" ","")&amp;IF($P849&lt;&gt;"",$P849&amp;" ","")&amp;IF($Q849&lt;&gt;"",$Q849&amp;" ","")&amp;IF($R849&lt;&gt;"",$R849,""))))</f>
        <v/>
      </c>
    </row>
    <row r="850" customFormat="false" ht="15" hidden="false" customHeight="false" outlineLevel="0" collapsed="false">
      <c r="A850" s="30" t="str">
        <f aca="false">IF($B850="","","LAN-"&amp;TEXT(ROW()-4,"000000"))</f>
        <v/>
      </c>
      <c r="B850" s="31"/>
      <c r="C850" s="32"/>
      <c r="D850" s="32"/>
      <c r="E850" s="32"/>
      <c r="F850" s="33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4" t="str">
        <f aca="false">IF($B850="","",YEAR($B850))</f>
        <v/>
      </c>
      <c r="U850" s="34" t="str">
        <f aca="false">IF($B850="","",MONTH($B850))</f>
        <v/>
      </c>
      <c r="V850" s="34" t="str">
        <f aca="false">IF($B850="","",YEAR($B850)*100+MONTH($B850))</f>
        <v/>
      </c>
      <c r="W850" s="35" t="str">
        <f aca="false">IF($D850="","",IFERROR(INDEX(MAP_CLASS,MATCH($D850,MAP_TIPO,0)),"TIPO INVALIDO"))</f>
        <v/>
      </c>
      <c r="X850" s="35" t="str">
        <f aca="false">IF($K850="","",IFERROR(INDEX(CAT_NOME,MATCH($K850,CAT_ID,0)),"?"))</f>
        <v/>
      </c>
      <c r="Y850" s="35" t="str">
        <f aca="false">IF($L850="","",IFERROR(INDEX(SUB_NOME,MATCH($L850,SUB_ID,0)),"?"))</f>
        <v/>
      </c>
      <c r="Z850" s="35" t="str">
        <f aca="false">IF($G850="","",IF($G850="EXTERNO","(Externo)",IFERROR(INDEX(ENT_NOME,MATCH($H850,ENT_ID,0)),"?")))</f>
        <v/>
      </c>
      <c r="AA850" s="35" t="str">
        <f aca="false">IF($I850="","",IF($I850="EXTERNO","(Externo)",IFERROR(INDEX(ENT_NOME,MATCH($J850,ENT_ID,0)),"?")))</f>
        <v/>
      </c>
      <c r="AB850" s="36" t="n">
        <f aca="false">IF($B850="",0,IF(AND($I850="CONTA",$G850&lt;&gt;"CONTA"),$F850,0))</f>
        <v>0</v>
      </c>
      <c r="AC850" s="36" t="n">
        <f aca="false">IF($B850="",0,IF(AND($G850="CONTA",$I850&lt;&gt;"CONTA"),$F850,0))</f>
        <v>0</v>
      </c>
      <c r="AD850" s="36" t="n">
        <f aca="false">IF($W850="RECEITA",$F850,0)</f>
        <v>0</v>
      </c>
      <c r="AE850" s="36" t="n">
        <f aca="false">IF($W850="DESPESA",$F850,0)</f>
        <v>0</v>
      </c>
      <c r="AF850" s="36" t="n">
        <f aca="false">IF($W850="RECEITA_FINANCEIRA",$F850,0)</f>
        <v>0</v>
      </c>
      <c r="AG850" s="36" t="n">
        <f aca="false">IF($B850="",0,IF($I850="CONTA",$F850,0)-IF($G850="CONTA",$F850,0))</f>
        <v>0</v>
      </c>
      <c r="AH850" s="36" t="n">
        <f aca="false">IF($B850="",0,IF($G850="CARTAO",$F850,0)-IF($I850="CARTAO",$F850,0))</f>
        <v>0</v>
      </c>
      <c r="AI850" s="36" t="n">
        <f aca="false">IF($B850="",0,IF($I850="INVESTIMENTO",$F850,0)-IF($G850="INVESTIMENTO",$F850,0))</f>
        <v>0</v>
      </c>
      <c r="AJ850" s="35" t="str">
        <f aca="false">IF($B850="","",IF(NOT(ISNUMBER($F850)),"ERRO: valor nao numerico",IF($F850&lt;=0,"ERRO: valor deve ser maior que zero",IF(COUNTIF(MAP_TIPO,$D850)=0,"ERRO: tipo de operacao nao cadastrado",IF(COUNTIF(LST_STATUS,$E850)=0,"ERRO: status invalido",IF(AND($G850="EXTERNO",$I850="EXTERNO"),"ERRO: origem e destino externos",IF(AND($G850&lt;&gt;"EXTERNO",COUNTIFS(ENT_ID,$H850,ENT_TIPO,$G850)=0),"ERRO: origem inexistente",IF(AND($I850&lt;&gt;"EXTERNO",COUNTIFS(ENT_ID,$J850,ENT_TIPO,$I850)=0),"ERRO: destino inexistente",IF(AND($K850&lt;&gt;"",COUNTIF(CAT_ID,$K850)=0),"ERRO: categoria inexistente",IF(AND($L850&lt;&gt;"",COUNTIF(SUB_ID,$L850)=0),"ERRO: subcategoria inexistente",IF(AND($L850&lt;&gt;"",$K850&lt;&gt;"",IFERROR(INDEX(SUB_CATID,MATCH($L850,SUB_ID,0)),"")&lt;&gt;$K850),"ERRO: subcategoria nao pertence a categoria",IF(AND($O850&lt;&gt;"",COUNTIF(P_ID,$O850)=0),"ERRO: parcela inexistente",IF(AND($N850&lt;&gt;"",COUNTIF(CM_ID,$N850)=0),"ERRO: compromisso inexistente","OK")))))))))))))</f>
        <v/>
      </c>
      <c r="AK850" s="35" t="str">
        <f aca="false">IF($B850="","",IF(AND($N850="",$O850="",$P850="",$Q850="",$R850=""),"","VINCULADO: "&amp;TRIM(IF($N850&lt;&gt;"",$N850&amp;" ","")&amp;IF($O850&lt;&gt;"",$O850&amp;" ","")&amp;IF($P850&lt;&gt;"",$P850&amp;" ","")&amp;IF($Q850&lt;&gt;"",$Q850&amp;" ","")&amp;IF($R850&lt;&gt;"",$R850,""))))</f>
        <v/>
      </c>
    </row>
    <row r="851" customFormat="false" ht="15" hidden="false" customHeight="false" outlineLevel="0" collapsed="false">
      <c r="A851" s="30" t="str">
        <f aca="false">IF($B851="","","LAN-"&amp;TEXT(ROW()-4,"000000"))</f>
        <v/>
      </c>
      <c r="B851" s="31"/>
      <c r="C851" s="32"/>
      <c r="D851" s="32"/>
      <c r="E851" s="32"/>
      <c r="F851" s="33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4" t="str">
        <f aca="false">IF($B851="","",YEAR($B851))</f>
        <v/>
      </c>
      <c r="U851" s="34" t="str">
        <f aca="false">IF($B851="","",MONTH($B851))</f>
        <v/>
      </c>
      <c r="V851" s="34" t="str">
        <f aca="false">IF($B851="","",YEAR($B851)*100+MONTH($B851))</f>
        <v/>
      </c>
      <c r="W851" s="35" t="str">
        <f aca="false">IF($D851="","",IFERROR(INDEX(MAP_CLASS,MATCH($D851,MAP_TIPO,0)),"TIPO INVALIDO"))</f>
        <v/>
      </c>
      <c r="X851" s="35" t="str">
        <f aca="false">IF($K851="","",IFERROR(INDEX(CAT_NOME,MATCH($K851,CAT_ID,0)),"?"))</f>
        <v/>
      </c>
      <c r="Y851" s="35" t="str">
        <f aca="false">IF($L851="","",IFERROR(INDEX(SUB_NOME,MATCH($L851,SUB_ID,0)),"?"))</f>
        <v/>
      </c>
      <c r="Z851" s="35" t="str">
        <f aca="false">IF($G851="","",IF($G851="EXTERNO","(Externo)",IFERROR(INDEX(ENT_NOME,MATCH($H851,ENT_ID,0)),"?")))</f>
        <v/>
      </c>
      <c r="AA851" s="35" t="str">
        <f aca="false">IF($I851="","",IF($I851="EXTERNO","(Externo)",IFERROR(INDEX(ENT_NOME,MATCH($J851,ENT_ID,0)),"?")))</f>
        <v/>
      </c>
      <c r="AB851" s="36" t="n">
        <f aca="false">IF($B851="",0,IF(AND($I851="CONTA",$G851&lt;&gt;"CONTA"),$F851,0))</f>
        <v>0</v>
      </c>
      <c r="AC851" s="36" t="n">
        <f aca="false">IF($B851="",0,IF(AND($G851="CONTA",$I851&lt;&gt;"CONTA"),$F851,0))</f>
        <v>0</v>
      </c>
      <c r="AD851" s="36" t="n">
        <f aca="false">IF($W851="RECEITA",$F851,0)</f>
        <v>0</v>
      </c>
      <c r="AE851" s="36" t="n">
        <f aca="false">IF($W851="DESPESA",$F851,0)</f>
        <v>0</v>
      </c>
      <c r="AF851" s="36" t="n">
        <f aca="false">IF($W851="RECEITA_FINANCEIRA",$F851,0)</f>
        <v>0</v>
      </c>
      <c r="AG851" s="36" t="n">
        <f aca="false">IF($B851="",0,IF($I851="CONTA",$F851,0)-IF($G851="CONTA",$F851,0))</f>
        <v>0</v>
      </c>
      <c r="AH851" s="36" t="n">
        <f aca="false">IF($B851="",0,IF($G851="CARTAO",$F851,0)-IF($I851="CARTAO",$F851,0))</f>
        <v>0</v>
      </c>
      <c r="AI851" s="36" t="n">
        <f aca="false">IF($B851="",0,IF($I851="INVESTIMENTO",$F851,0)-IF($G851="INVESTIMENTO",$F851,0))</f>
        <v>0</v>
      </c>
      <c r="AJ851" s="35" t="str">
        <f aca="false">IF($B851="","",IF(NOT(ISNUMBER($F851)),"ERRO: valor nao numerico",IF($F851&lt;=0,"ERRO: valor deve ser maior que zero",IF(COUNTIF(MAP_TIPO,$D851)=0,"ERRO: tipo de operacao nao cadastrado",IF(COUNTIF(LST_STATUS,$E851)=0,"ERRO: status invalido",IF(AND($G851="EXTERNO",$I851="EXTERNO"),"ERRO: origem e destino externos",IF(AND($G851&lt;&gt;"EXTERNO",COUNTIFS(ENT_ID,$H851,ENT_TIPO,$G851)=0),"ERRO: origem inexistente",IF(AND($I851&lt;&gt;"EXTERNO",COUNTIFS(ENT_ID,$J851,ENT_TIPO,$I851)=0),"ERRO: destino inexistente",IF(AND($K851&lt;&gt;"",COUNTIF(CAT_ID,$K851)=0),"ERRO: categoria inexistente",IF(AND($L851&lt;&gt;"",COUNTIF(SUB_ID,$L851)=0),"ERRO: subcategoria inexistente",IF(AND($L851&lt;&gt;"",$K851&lt;&gt;"",IFERROR(INDEX(SUB_CATID,MATCH($L851,SUB_ID,0)),"")&lt;&gt;$K851),"ERRO: subcategoria nao pertence a categoria",IF(AND($O851&lt;&gt;"",COUNTIF(P_ID,$O851)=0),"ERRO: parcela inexistente",IF(AND($N851&lt;&gt;"",COUNTIF(CM_ID,$N851)=0),"ERRO: compromisso inexistente","OK")))))))))))))</f>
        <v/>
      </c>
      <c r="AK851" s="35" t="str">
        <f aca="false">IF($B851="","",IF(AND($N851="",$O851="",$P851="",$Q851="",$R851=""),"","VINCULADO: "&amp;TRIM(IF($N851&lt;&gt;"",$N851&amp;" ","")&amp;IF($O851&lt;&gt;"",$O851&amp;" ","")&amp;IF($P851&lt;&gt;"",$P851&amp;" ","")&amp;IF($Q851&lt;&gt;"",$Q851&amp;" ","")&amp;IF($R851&lt;&gt;"",$R851,""))))</f>
        <v/>
      </c>
    </row>
    <row r="852" customFormat="false" ht="15" hidden="false" customHeight="false" outlineLevel="0" collapsed="false">
      <c r="A852" s="30" t="str">
        <f aca="false">IF($B852="","","LAN-"&amp;TEXT(ROW()-4,"000000"))</f>
        <v/>
      </c>
      <c r="B852" s="31"/>
      <c r="C852" s="32"/>
      <c r="D852" s="32"/>
      <c r="E852" s="32"/>
      <c r="F852" s="33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4" t="str">
        <f aca="false">IF($B852="","",YEAR($B852))</f>
        <v/>
      </c>
      <c r="U852" s="34" t="str">
        <f aca="false">IF($B852="","",MONTH($B852))</f>
        <v/>
      </c>
      <c r="V852" s="34" t="str">
        <f aca="false">IF($B852="","",YEAR($B852)*100+MONTH($B852))</f>
        <v/>
      </c>
      <c r="W852" s="35" t="str">
        <f aca="false">IF($D852="","",IFERROR(INDEX(MAP_CLASS,MATCH($D852,MAP_TIPO,0)),"TIPO INVALIDO"))</f>
        <v/>
      </c>
      <c r="X852" s="35" t="str">
        <f aca="false">IF($K852="","",IFERROR(INDEX(CAT_NOME,MATCH($K852,CAT_ID,0)),"?"))</f>
        <v/>
      </c>
      <c r="Y852" s="35" t="str">
        <f aca="false">IF($L852="","",IFERROR(INDEX(SUB_NOME,MATCH($L852,SUB_ID,0)),"?"))</f>
        <v/>
      </c>
      <c r="Z852" s="35" t="str">
        <f aca="false">IF($G852="","",IF($G852="EXTERNO","(Externo)",IFERROR(INDEX(ENT_NOME,MATCH($H852,ENT_ID,0)),"?")))</f>
        <v/>
      </c>
      <c r="AA852" s="35" t="str">
        <f aca="false">IF($I852="","",IF($I852="EXTERNO","(Externo)",IFERROR(INDEX(ENT_NOME,MATCH($J852,ENT_ID,0)),"?")))</f>
        <v/>
      </c>
      <c r="AB852" s="36" t="n">
        <f aca="false">IF($B852="",0,IF(AND($I852="CONTA",$G852&lt;&gt;"CONTA"),$F852,0))</f>
        <v>0</v>
      </c>
      <c r="AC852" s="36" t="n">
        <f aca="false">IF($B852="",0,IF(AND($G852="CONTA",$I852&lt;&gt;"CONTA"),$F852,0))</f>
        <v>0</v>
      </c>
      <c r="AD852" s="36" t="n">
        <f aca="false">IF($W852="RECEITA",$F852,0)</f>
        <v>0</v>
      </c>
      <c r="AE852" s="36" t="n">
        <f aca="false">IF($W852="DESPESA",$F852,0)</f>
        <v>0</v>
      </c>
      <c r="AF852" s="36" t="n">
        <f aca="false">IF($W852="RECEITA_FINANCEIRA",$F852,0)</f>
        <v>0</v>
      </c>
      <c r="AG852" s="36" t="n">
        <f aca="false">IF($B852="",0,IF($I852="CONTA",$F852,0)-IF($G852="CONTA",$F852,0))</f>
        <v>0</v>
      </c>
      <c r="AH852" s="36" t="n">
        <f aca="false">IF($B852="",0,IF($G852="CARTAO",$F852,0)-IF($I852="CARTAO",$F852,0))</f>
        <v>0</v>
      </c>
      <c r="AI852" s="36" t="n">
        <f aca="false">IF($B852="",0,IF($I852="INVESTIMENTO",$F852,0)-IF($G852="INVESTIMENTO",$F852,0))</f>
        <v>0</v>
      </c>
      <c r="AJ852" s="35" t="str">
        <f aca="false">IF($B852="","",IF(NOT(ISNUMBER($F852)),"ERRO: valor nao numerico",IF($F852&lt;=0,"ERRO: valor deve ser maior que zero",IF(COUNTIF(MAP_TIPO,$D852)=0,"ERRO: tipo de operacao nao cadastrado",IF(COUNTIF(LST_STATUS,$E852)=0,"ERRO: status invalido",IF(AND($G852="EXTERNO",$I852="EXTERNO"),"ERRO: origem e destino externos",IF(AND($G852&lt;&gt;"EXTERNO",COUNTIFS(ENT_ID,$H852,ENT_TIPO,$G852)=0),"ERRO: origem inexistente",IF(AND($I852&lt;&gt;"EXTERNO",COUNTIFS(ENT_ID,$J852,ENT_TIPO,$I852)=0),"ERRO: destino inexistente",IF(AND($K852&lt;&gt;"",COUNTIF(CAT_ID,$K852)=0),"ERRO: categoria inexistente",IF(AND($L852&lt;&gt;"",COUNTIF(SUB_ID,$L852)=0),"ERRO: subcategoria inexistente",IF(AND($L852&lt;&gt;"",$K852&lt;&gt;"",IFERROR(INDEX(SUB_CATID,MATCH($L852,SUB_ID,0)),"")&lt;&gt;$K852),"ERRO: subcategoria nao pertence a categoria",IF(AND($O852&lt;&gt;"",COUNTIF(P_ID,$O852)=0),"ERRO: parcela inexistente",IF(AND($N852&lt;&gt;"",COUNTIF(CM_ID,$N852)=0),"ERRO: compromisso inexistente","OK")))))))))))))</f>
        <v/>
      </c>
      <c r="AK852" s="35" t="str">
        <f aca="false">IF($B852="","",IF(AND($N852="",$O852="",$P852="",$Q852="",$R852=""),"","VINCULADO: "&amp;TRIM(IF($N852&lt;&gt;"",$N852&amp;" ","")&amp;IF($O852&lt;&gt;"",$O852&amp;" ","")&amp;IF($P852&lt;&gt;"",$P852&amp;" ","")&amp;IF($Q852&lt;&gt;"",$Q852&amp;" ","")&amp;IF($R852&lt;&gt;"",$R852,""))))</f>
        <v/>
      </c>
    </row>
    <row r="853" customFormat="false" ht="15" hidden="false" customHeight="false" outlineLevel="0" collapsed="false">
      <c r="A853" s="30" t="str">
        <f aca="false">IF($B853="","","LAN-"&amp;TEXT(ROW()-4,"000000"))</f>
        <v/>
      </c>
      <c r="B853" s="31"/>
      <c r="C853" s="32"/>
      <c r="D853" s="32"/>
      <c r="E853" s="32"/>
      <c r="F853" s="33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4" t="str">
        <f aca="false">IF($B853="","",YEAR($B853))</f>
        <v/>
      </c>
      <c r="U853" s="34" t="str">
        <f aca="false">IF($B853="","",MONTH($B853))</f>
        <v/>
      </c>
      <c r="V853" s="34" t="str">
        <f aca="false">IF($B853="","",YEAR($B853)*100+MONTH($B853))</f>
        <v/>
      </c>
      <c r="W853" s="35" t="str">
        <f aca="false">IF($D853="","",IFERROR(INDEX(MAP_CLASS,MATCH($D853,MAP_TIPO,0)),"TIPO INVALIDO"))</f>
        <v/>
      </c>
      <c r="X853" s="35" t="str">
        <f aca="false">IF($K853="","",IFERROR(INDEX(CAT_NOME,MATCH($K853,CAT_ID,0)),"?"))</f>
        <v/>
      </c>
      <c r="Y853" s="35" t="str">
        <f aca="false">IF($L853="","",IFERROR(INDEX(SUB_NOME,MATCH($L853,SUB_ID,0)),"?"))</f>
        <v/>
      </c>
      <c r="Z853" s="35" t="str">
        <f aca="false">IF($G853="","",IF($G853="EXTERNO","(Externo)",IFERROR(INDEX(ENT_NOME,MATCH($H853,ENT_ID,0)),"?")))</f>
        <v/>
      </c>
      <c r="AA853" s="35" t="str">
        <f aca="false">IF($I853="","",IF($I853="EXTERNO","(Externo)",IFERROR(INDEX(ENT_NOME,MATCH($J853,ENT_ID,0)),"?")))</f>
        <v/>
      </c>
      <c r="AB853" s="36" t="n">
        <f aca="false">IF($B853="",0,IF(AND($I853="CONTA",$G853&lt;&gt;"CONTA"),$F853,0))</f>
        <v>0</v>
      </c>
      <c r="AC853" s="36" t="n">
        <f aca="false">IF($B853="",0,IF(AND($G853="CONTA",$I853&lt;&gt;"CONTA"),$F853,0))</f>
        <v>0</v>
      </c>
      <c r="AD853" s="36" t="n">
        <f aca="false">IF($W853="RECEITA",$F853,0)</f>
        <v>0</v>
      </c>
      <c r="AE853" s="36" t="n">
        <f aca="false">IF($W853="DESPESA",$F853,0)</f>
        <v>0</v>
      </c>
      <c r="AF853" s="36" t="n">
        <f aca="false">IF($W853="RECEITA_FINANCEIRA",$F853,0)</f>
        <v>0</v>
      </c>
      <c r="AG853" s="36" t="n">
        <f aca="false">IF($B853="",0,IF($I853="CONTA",$F853,0)-IF($G853="CONTA",$F853,0))</f>
        <v>0</v>
      </c>
      <c r="AH853" s="36" t="n">
        <f aca="false">IF($B853="",0,IF($G853="CARTAO",$F853,0)-IF($I853="CARTAO",$F853,0))</f>
        <v>0</v>
      </c>
      <c r="AI853" s="36" t="n">
        <f aca="false">IF($B853="",0,IF($I853="INVESTIMENTO",$F853,0)-IF($G853="INVESTIMENTO",$F853,0))</f>
        <v>0</v>
      </c>
      <c r="AJ853" s="35" t="str">
        <f aca="false">IF($B853="","",IF(NOT(ISNUMBER($F853)),"ERRO: valor nao numerico",IF($F853&lt;=0,"ERRO: valor deve ser maior que zero",IF(COUNTIF(MAP_TIPO,$D853)=0,"ERRO: tipo de operacao nao cadastrado",IF(COUNTIF(LST_STATUS,$E853)=0,"ERRO: status invalido",IF(AND($G853="EXTERNO",$I853="EXTERNO"),"ERRO: origem e destino externos",IF(AND($G853&lt;&gt;"EXTERNO",COUNTIFS(ENT_ID,$H853,ENT_TIPO,$G853)=0),"ERRO: origem inexistente",IF(AND($I853&lt;&gt;"EXTERNO",COUNTIFS(ENT_ID,$J853,ENT_TIPO,$I853)=0),"ERRO: destino inexistente",IF(AND($K853&lt;&gt;"",COUNTIF(CAT_ID,$K853)=0),"ERRO: categoria inexistente",IF(AND($L853&lt;&gt;"",COUNTIF(SUB_ID,$L853)=0),"ERRO: subcategoria inexistente",IF(AND($L853&lt;&gt;"",$K853&lt;&gt;"",IFERROR(INDEX(SUB_CATID,MATCH($L853,SUB_ID,0)),"")&lt;&gt;$K853),"ERRO: subcategoria nao pertence a categoria",IF(AND($O853&lt;&gt;"",COUNTIF(P_ID,$O853)=0),"ERRO: parcela inexistente",IF(AND($N853&lt;&gt;"",COUNTIF(CM_ID,$N853)=0),"ERRO: compromisso inexistente","OK")))))))))))))</f>
        <v/>
      </c>
      <c r="AK853" s="35" t="str">
        <f aca="false">IF($B853="","",IF(AND($N853="",$O853="",$P853="",$Q853="",$R853=""),"","VINCULADO: "&amp;TRIM(IF($N853&lt;&gt;"",$N853&amp;" ","")&amp;IF($O853&lt;&gt;"",$O853&amp;" ","")&amp;IF($P853&lt;&gt;"",$P853&amp;" ","")&amp;IF($Q853&lt;&gt;"",$Q853&amp;" ","")&amp;IF($R853&lt;&gt;"",$R853,""))))</f>
        <v/>
      </c>
    </row>
    <row r="854" customFormat="false" ht="15" hidden="false" customHeight="false" outlineLevel="0" collapsed="false">
      <c r="A854" s="30" t="str">
        <f aca="false">IF($B854="","","LAN-"&amp;TEXT(ROW()-4,"000000"))</f>
        <v/>
      </c>
      <c r="B854" s="31"/>
      <c r="C854" s="32"/>
      <c r="D854" s="32"/>
      <c r="E854" s="32"/>
      <c r="F854" s="33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4" t="str">
        <f aca="false">IF($B854="","",YEAR($B854))</f>
        <v/>
      </c>
      <c r="U854" s="34" t="str">
        <f aca="false">IF($B854="","",MONTH($B854))</f>
        <v/>
      </c>
      <c r="V854" s="34" t="str">
        <f aca="false">IF($B854="","",YEAR($B854)*100+MONTH($B854))</f>
        <v/>
      </c>
      <c r="W854" s="35" t="str">
        <f aca="false">IF($D854="","",IFERROR(INDEX(MAP_CLASS,MATCH($D854,MAP_TIPO,0)),"TIPO INVALIDO"))</f>
        <v/>
      </c>
      <c r="X854" s="35" t="str">
        <f aca="false">IF($K854="","",IFERROR(INDEX(CAT_NOME,MATCH($K854,CAT_ID,0)),"?"))</f>
        <v/>
      </c>
      <c r="Y854" s="35" t="str">
        <f aca="false">IF($L854="","",IFERROR(INDEX(SUB_NOME,MATCH($L854,SUB_ID,0)),"?"))</f>
        <v/>
      </c>
      <c r="Z854" s="35" t="str">
        <f aca="false">IF($G854="","",IF($G854="EXTERNO","(Externo)",IFERROR(INDEX(ENT_NOME,MATCH($H854,ENT_ID,0)),"?")))</f>
        <v/>
      </c>
      <c r="AA854" s="35" t="str">
        <f aca="false">IF($I854="","",IF($I854="EXTERNO","(Externo)",IFERROR(INDEX(ENT_NOME,MATCH($J854,ENT_ID,0)),"?")))</f>
        <v/>
      </c>
      <c r="AB854" s="36" t="n">
        <f aca="false">IF($B854="",0,IF(AND($I854="CONTA",$G854&lt;&gt;"CONTA"),$F854,0))</f>
        <v>0</v>
      </c>
      <c r="AC854" s="36" t="n">
        <f aca="false">IF($B854="",0,IF(AND($G854="CONTA",$I854&lt;&gt;"CONTA"),$F854,0))</f>
        <v>0</v>
      </c>
      <c r="AD854" s="36" t="n">
        <f aca="false">IF($W854="RECEITA",$F854,0)</f>
        <v>0</v>
      </c>
      <c r="AE854" s="36" t="n">
        <f aca="false">IF($W854="DESPESA",$F854,0)</f>
        <v>0</v>
      </c>
      <c r="AF854" s="36" t="n">
        <f aca="false">IF($W854="RECEITA_FINANCEIRA",$F854,0)</f>
        <v>0</v>
      </c>
      <c r="AG854" s="36" t="n">
        <f aca="false">IF($B854="",0,IF($I854="CONTA",$F854,0)-IF($G854="CONTA",$F854,0))</f>
        <v>0</v>
      </c>
      <c r="AH854" s="36" t="n">
        <f aca="false">IF($B854="",0,IF($G854="CARTAO",$F854,0)-IF($I854="CARTAO",$F854,0))</f>
        <v>0</v>
      </c>
      <c r="AI854" s="36" t="n">
        <f aca="false">IF($B854="",0,IF($I854="INVESTIMENTO",$F854,0)-IF($G854="INVESTIMENTO",$F854,0))</f>
        <v>0</v>
      </c>
      <c r="AJ854" s="35" t="str">
        <f aca="false">IF($B854="","",IF(NOT(ISNUMBER($F854)),"ERRO: valor nao numerico",IF($F854&lt;=0,"ERRO: valor deve ser maior que zero",IF(COUNTIF(MAP_TIPO,$D854)=0,"ERRO: tipo de operacao nao cadastrado",IF(COUNTIF(LST_STATUS,$E854)=0,"ERRO: status invalido",IF(AND($G854="EXTERNO",$I854="EXTERNO"),"ERRO: origem e destino externos",IF(AND($G854&lt;&gt;"EXTERNO",COUNTIFS(ENT_ID,$H854,ENT_TIPO,$G854)=0),"ERRO: origem inexistente",IF(AND($I854&lt;&gt;"EXTERNO",COUNTIFS(ENT_ID,$J854,ENT_TIPO,$I854)=0),"ERRO: destino inexistente",IF(AND($K854&lt;&gt;"",COUNTIF(CAT_ID,$K854)=0),"ERRO: categoria inexistente",IF(AND($L854&lt;&gt;"",COUNTIF(SUB_ID,$L854)=0),"ERRO: subcategoria inexistente",IF(AND($L854&lt;&gt;"",$K854&lt;&gt;"",IFERROR(INDEX(SUB_CATID,MATCH($L854,SUB_ID,0)),"")&lt;&gt;$K854),"ERRO: subcategoria nao pertence a categoria",IF(AND($O854&lt;&gt;"",COUNTIF(P_ID,$O854)=0),"ERRO: parcela inexistente",IF(AND($N854&lt;&gt;"",COUNTIF(CM_ID,$N854)=0),"ERRO: compromisso inexistente","OK")))))))))))))</f>
        <v/>
      </c>
      <c r="AK854" s="35" t="str">
        <f aca="false">IF($B854="","",IF(AND($N854="",$O854="",$P854="",$Q854="",$R854=""),"","VINCULADO: "&amp;TRIM(IF($N854&lt;&gt;"",$N854&amp;" ","")&amp;IF($O854&lt;&gt;"",$O854&amp;" ","")&amp;IF($P854&lt;&gt;"",$P854&amp;" ","")&amp;IF($Q854&lt;&gt;"",$Q854&amp;" ","")&amp;IF($R854&lt;&gt;"",$R854,""))))</f>
        <v/>
      </c>
    </row>
    <row r="855" customFormat="false" ht="15" hidden="false" customHeight="false" outlineLevel="0" collapsed="false">
      <c r="A855" s="30" t="str">
        <f aca="false">IF($B855="","","LAN-"&amp;TEXT(ROW()-4,"000000"))</f>
        <v/>
      </c>
      <c r="B855" s="31"/>
      <c r="C855" s="32"/>
      <c r="D855" s="32"/>
      <c r="E855" s="32"/>
      <c r="F855" s="33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4" t="str">
        <f aca="false">IF($B855="","",YEAR($B855))</f>
        <v/>
      </c>
      <c r="U855" s="34" t="str">
        <f aca="false">IF($B855="","",MONTH($B855))</f>
        <v/>
      </c>
      <c r="V855" s="34" t="str">
        <f aca="false">IF($B855="","",YEAR($B855)*100+MONTH($B855))</f>
        <v/>
      </c>
      <c r="W855" s="35" t="str">
        <f aca="false">IF($D855="","",IFERROR(INDEX(MAP_CLASS,MATCH($D855,MAP_TIPO,0)),"TIPO INVALIDO"))</f>
        <v/>
      </c>
      <c r="X855" s="35" t="str">
        <f aca="false">IF($K855="","",IFERROR(INDEX(CAT_NOME,MATCH($K855,CAT_ID,0)),"?"))</f>
        <v/>
      </c>
      <c r="Y855" s="35" t="str">
        <f aca="false">IF($L855="","",IFERROR(INDEX(SUB_NOME,MATCH($L855,SUB_ID,0)),"?"))</f>
        <v/>
      </c>
      <c r="Z855" s="35" t="str">
        <f aca="false">IF($G855="","",IF($G855="EXTERNO","(Externo)",IFERROR(INDEX(ENT_NOME,MATCH($H855,ENT_ID,0)),"?")))</f>
        <v/>
      </c>
      <c r="AA855" s="35" t="str">
        <f aca="false">IF($I855="","",IF($I855="EXTERNO","(Externo)",IFERROR(INDEX(ENT_NOME,MATCH($J855,ENT_ID,0)),"?")))</f>
        <v/>
      </c>
      <c r="AB855" s="36" t="n">
        <f aca="false">IF($B855="",0,IF(AND($I855="CONTA",$G855&lt;&gt;"CONTA"),$F855,0))</f>
        <v>0</v>
      </c>
      <c r="AC855" s="36" t="n">
        <f aca="false">IF($B855="",0,IF(AND($G855="CONTA",$I855&lt;&gt;"CONTA"),$F855,0))</f>
        <v>0</v>
      </c>
      <c r="AD855" s="36" t="n">
        <f aca="false">IF($W855="RECEITA",$F855,0)</f>
        <v>0</v>
      </c>
      <c r="AE855" s="36" t="n">
        <f aca="false">IF($W855="DESPESA",$F855,0)</f>
        <v>0</v>
      </c>
      <c r="AF855" s="36" t="n">
        <f aca="false">IF($W855="RECEITA_FINANCEIRA",$F855,0)</f>
        <v>0</v>
      </c>
      <c r="AG855" s="36" t="n">
        <f aca="false">IF($B855="",0,IF($I855="CONTA",$F855,0)-IF($G855="CONTA",$F855,0))</f>
        <v>0</v>
      </c>
      <c r="AH855" s="36" t="n">
        <f aca="false">IF($B855="",0,IF($G855="CARTAO",$F855,0)-IF($I855="CARTAO",$F855,0))</f>
        <v>0</v>
      </c>
      <c r="AI855" s="36" t="n">
        <f aca="false">IF($B855="",0,IF($I855="INVESTIMENTO",$F855,0)-IF($G855="INVESTIMENTO",$F855,0))</f>
        <v>0</v>
      </c>
      <c r="AJ855" s="35" t="str">
        <f aca="false">IF($B855="","",IF(NOT(ISNUMBER($F855)),"ERRO: valor nao numerico",IF($F855&lt;=0,"ERRO: valor deve ser maior que zero",IF(COUNTIF(MAP_TIPO,$D855)=0,"ERRO: tipo de operacao nao cadastrado",IF(COUNTIF(LST_STATUS,$E855)=0,"ERRO: status invalido",IF(AND($G855="EXTERNO",$I855="EXTERNO"),"ERRO: origem e destino externos",IF(AND($G855&lt;&gt;"EXTERNO",COUNTIFS(ENT_ID,$H855,ENT_TIPO,$G855)=0),"ERRO: origem inexistente",IF(AND($I855&lt;&gt;"EXTERNO",COUNTIFS(ENT_ID,$J855,ENT_TIPO,$I855)=0),"ERRO: destino inexistente",IF(AND($K855&lt;&gt;"",COUNTIF(CAT_ID,$K855)=0),"ERRO: categoria inexistente",IF(AND($L855&lt;&gt;"",COUNTIF(SUB_ID,$L855)=0),"ERRO: subcategoria inexistente",IF(AND($L855&lt;&gt;"",$K855&lt;&gt;"",IFERROR(INDEX(SUB_CATID,MATCH($L855,SUB_ID,0)),"")&lt;&gt;$K855),"ERRO: subcategoria nao pertence a categoria",IF(AND($O855&lt;&gt;"",COUNTIF(P_ID,$O855)=0),"ERRO: parcela inexistente",IF(AND($N855&lt;&gt;"",COUNTIF(CM_ID,$N855)=0),"ERRO: compromisso inexistente","OK")))))))))))))</f>
        <v/>
      </c>
      <c r="AK855" s="35" t="str">
        <f aca="false">IF($B855="","",IF(AND($N855="",$O855="",$P855="",$Q855="",$R855=""),"","VINCULADO: "&amp;TRIM(IF($N855&lt;&gt;"",$N855&amp;" ","")&amp;IF($O855&lt;&gt;"",$O855&amp;" ","")&amp;IF($P855&lt;&gt;"",$P855&amp;" ","")&amp;IF($Q855&lt;&gt;"",$Q855&amp;" ","")&amp;IF($R855&lt;&gt;"",$R855,""))))</f>
        <v/>
      </c>
    </row>
    <row r="856" customFormat="false" ht="15" hidden="false" customHeight="false" outlineLevel="0" collapsed="false">
      <c r="A856" s="30" t="str">
        <f aca="false">IF($B856="","","LAN-"&amp;TEXT(ROW()-4,"000000"))</f>
        <v/>
      </c>
      <c r="B856" s="31"/>
      <c r="C856" s="32"/>
      <c r="D856" s="32"/>
      <c r="E856" s="32"/>
      <c r="F856" s="33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4" t="str">
        <f aca="false">IF($B856="","",YEAR($B856))</f>
        <v/>
      </c>
      <c r="U856" s="34" t="str">
        <f aca="false">IF($B856="","",MONTH($B856))</f>
        <v/>
      </c>
      <c r="V856" s="34" t="str">
        <f aca="false">IF($B856="","",YEAR($B856)*100+MONTH($B856))</f>
        <v/>
      </c>
      <c r="W856" s="35" t="str">
        <f aca="false">IF($D856="","",IFERROR(INDEX(MAP_CLASS,MATCH($D856,MAP_TIPO,0)),"TIPO INVALIDO"))</f>
        <v/>
      </c>
      <c r="X856" s="35" t="str">
        <f aca="false">IF($K856="","",IFERROR(INDEX(CAT_NOME,MATCH($K856,CAT_ID,0)),"?"))</f>
        <v/>
      </c>
      <c r="Y856" s="35" t="str">
        <f aca="false">IF($L856="","",IFERROR(INDEX(SUB_NOME,MATCH($L856,SUB_ID,0)),"?"))</f>
        <v/>
      </c>
      <c r="Z856" s="35" t="str">
        <f aca="false">IF($G856="","",IF($G856="EXTERNO","(Externo)",IFERROR(INDEX(ENT_NOME,MATCH($H856,ENT_ID,0)),"?")))</f>
        <v/>
      </c>
      <c r="AA856" s="35" t="str">
        <f aca="false">IF($I856="","",IF($I856="EXTERNO","(Externo)",IFERROR(INDEX(ENT_NOME,MATCH($J856,ENT_ID,0)),"?")))</f>
        <v/>
      </c>
      <c r="AB856" s="36" t="n">
        <f aca="false">IF($B856="",0,IF(AND($I856="CONTA",$G856&lt;&gt;"CONTA"),$F856,0))</f>
        <v>0</v>
      </c>
      <c r="AC856" s="36" t="n">
        <f aca="false">IF($B856="",0,IF(AND($G856="CONTA",$I856&lt;&gt;"CONTA"),$F856,0))</f>
        <v>0</v>
      </c>
      <c r="AD856" s="36" t="n">
        <f aca="false">IF($W856="RECEITA",$F856,0)</f>
        <v>0</v>
      </c>
      <c r="AE856" s="36" t="n">
        <f aca="false">IF($W856="DESPESA",$F856,0)</f>
        <v>0</v>
      </c>
      <c r="AF856" s="36" t="n">
        <f aca="false">IF($W856="RECEITA_FINANCEIRA",$F856,0)</f>
        <v>0</v>
      </c>
      <c r="AG856" s="36" t="n">
        <f aca="false">IF($B856="",0,IF($I856="CONTA",$F856,0)-IF($G856="CONTA",$F856,0))</f>
        <v>0</v>
      </c>
      <c r="AH856" s="36" t="n">
        <f aca="false">IF($B856="",0,IF($G856="CARTAO",$F856,0)-IF($I856="CARTAO",$F856,0))</f>
        <v>0</v>
      </c>
      <c r="AI856" s="36" t="n">
        <f aca="false">IF($B856="",0,IF($I856="INVESTIMENTO",$F856,0)-IF($G856="INVESTIMENTO",$F856,0))</f>
        <v>0</v>
      </c>
      <c r="AJ856" s="35" t="str">
        <f aca="false">IF($B856="","",IF(NOT(ISNUMBER($F856)),"ERRO: valor nao numerico",IF($F856&lt;=0,"ERRO: valor deve ser maior que zero",IF(COUNTIF(MAP_TIPO,$D856)=0,"ERRO: tipo de operacao nao cadastrado",IF(COUNTIF(LST_STATUS,$E856)=0,"ERRO: status invalido",IF(AND($G856="EXTERNO",$I856="EXTERNO"),"ERRO: origem e destino externos",IF(AND($G856&lt;&gt;"EXTERNO",COUNTIFS(ENT_ID,$H856,ENT_TIPO,$G856)=0),"ERRO: origem inexistente",IF(AND($I856&lt;&gt;"EXTERNO",COUNTIFS(ENT_ID,$J856,ENT_TIPO,$I856)=0),"ERRO: destino inexistente",IF(AND($K856&lt;&gt;"",COUNTIF(CAT_ID,$K856)=0),"ERRO: categoria inexistente",IF(AND($L856&lt;&gt;"",COUNTIF(SUB_ID,$L856)=0),"ERRO: subcategoria inexistente",IF(AND($L856&lt;&gt;"",$K856&lt;&gt;"",IFERROR(INDEX(SUB_CATID,MATCH($L856,SUB_ID,0)),"")&lt;&gt;$K856),"ERRO: subcategoria nao pertence a categoria",IF(AND($O856&lt;&gt;"",COUNTIF(P_ID,$O856)=0),"ERRO: parcela inexistente",IF(AND($N856&lt;&gt;"",COUNTIF(CM_ID,$N856)=0),"ERRO: compromisso inexistente","OK")))))))))))))</f>
        <v/>
      </c>
      <c r="AK856" s="35" t="str">
        <f aca="false">IF($B856="","",IF(AND($N856="",$O856="",$P856="",$Q856="",$R856=""),"","VINCULADO: "&amp;TRIM(IF($N856&lt;&gt;"",$N856&amp;" ","")&amp;IF($O856&lt;&gt;"",$O856&amp;" ","")&amp;IF($P856&lt;&gt;"",$P856&amp;" ","")&amp;IF($Q856&lt;&gt;"",$Q856&amp;" ","")&amp;IF($R856&lt;&gt;"",$R856,""))))</f>
        <v/>
      </c>
    </row>
    <row r="857" customFormat="false" ht="15" hidden="false" customHeight="false" outlineLevel="0" collapsed="false">
      <c r="A857" s="30" t="str">
        <f aca="false">IF($B857="","","LAN-"&amp;TEXT(ROW()-4,"000000"))</f>
        <v/>
      </c>
      <c r="B857" s="31"/>
      <c r="C857" s="32"/>
      <c r="D857" s="32"/>
      <c r="E857" s="32"/>
      <c r="F857" s="33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4" t="str">
        <f aca="false">IF($B857="","",YEAR($B857))</f>
        <v/>
      </c>
      <c r="U857" s="34" t="str">
        <f aca="false">IF($B857="","",MONTH($B857))</f>
        <v/>
      </c>
      <c r="V857" s="34" t="str">
        <f aca="false">IF($B857="","",YEAR($B857)*100+MONTH($B857))</f>
        <v/>
      </c>
      <c r="W857" s="35" t="str">
        <f aca="false">IF($D857="","",IFERROR(INDEX(MAP_CLASS,MATCH($D857,MAP_TIPO,0)),"TIPO INVALIDO"))</f>
        <v/>
      </c>
      <c r="X857" s="35" t="str">
        <f aca="false">IF($K857="","",IFERROR(INDEX(CAT_NOME,MATCH($K857,CAT_ID,0)),"?"))</f>
        <v/>
      </c>
      <c r="Y857" s="35" t="str">
        <f aca="false">IF($L857="","",IFERROR(INDEX(SUB_NOME,MATCH($L857,SUB_ID,0)),"?"))</f>
        <v/>
      </c>
      <c r="Z857" s="35" t="str">
        <f aca="false">IF($G857="","",IF($G857="EXTERNO","(Externo)",IFERROR(INDEX(ENT_NOME,MATCH($H857,ENT_ID,0)),"?")))</f>
        <v/>
      </c>
      <c r="AA857" s="35" t="str">
        <f aca="false">IF($I857="","",IF($I857="EXTERNO","(Externo)",IFERROR(INDEX(ENT_NOME,MATCH($J857,ENT_ID,0)),"?")))</f>
        <v/>
      </c>
      <c r="AB857" s="36" t="n">
        <f aca="false">IF($B857="",0,IF(AND($I857="CONTA",$G857&lt;&gt;"CONTA"),$F857,0))</f>
        <v>0</v>
      </c>
      <c r="AC857" s="36" t="n">
        <f aca="false">IF($B857="",0,IF(AND($G857="CONTA",$I857&lt;&gt;"CONTA"),$F857,0))</f>
        <v>0</v>
      </c>
      <c r="AD857" s="36" t="n">
        <f aca="false">IF($W857="RECEITA",$F857,0)</f>
        <v>0</v>
      </c>
      <c r="AE857" s="36" t="n">
        <f aca="false">IF($W857="DESPESA",$F857,0)</f>
        <v>0</v>
      </c>
      <c r="AF857" s="36" t="n">
        <f aca="false">IF($W857="RECEITA_FINANCEIRA",$F857,0)</f>
        <v>0</v>
      </c>
      <c r="AG857" s="36" t="n">
        <f aca="false">IF($B857="",0,IF($I857="CONTA",$F857,0)-IF($G857="CONTA",$F857,0))</f>
        <v>0</v>
      </c>
      <c r="AH857" s="36" t="n">
        <f aca="false">IF($B857="",0,IF($G857="CARTAO",$F857,0)-IF($I857="CARTAO",$F857,0))</f>
        <v>0</v>
      </c>
      <c r="AI857" s="36" t="n">
        <f aca="false">IF($B857="",0,IF($I857="INVESTIMENTO",$F857,0)-IF($G857="INVESTIMENTO",$F857,0))</f>
        <v>0</v>
      </c>
      <c r="AJ857" s="35" t="str">
        <f aca="false">IF($B857="","",IF(NOT(ISNUMBER($F857)),"ERRO: valor nao numerico",IF($F857&lt;=0,"ERRO: valor deve ser maior que zero",IF(COUNTIF(MAP_TIPO,$D857)=0,"ERRO: tipo de operacao nao cadastrado",IF(COUNTIF(LST_STATUS,$E857)=0,"ERRO: status invalido",IF(AND($G857="EXTERNO",$I857="EXTERNO"),"ERRO: origem e destino externos",IF(AND($G857&lt;&gt;"EXTERNO",COUNTIFS(ENT_ID,$H857,ENT_TIPO,$G857)=0),"ERRO: origem inexistente",IF(AND($I857&lt;&gt;"EXTERNO",COUNTIFS(ENT_ID,$J857,ENT_TIPO,$I857)=0),"ERRO: destino inexistente",IF(AND($K857&lt;&gt;"",COUNTIF(CAT_ID,$K857)=0),"ERRO: categoria inexistente",IF(AND($L857&lt;&gt;"",COUNTIF(SUB_ID,$L857)=0),"ERRO: subcategoria inexistente",IF(AND($L857&lt;&gt;"",$K857&lt;&gt;"",IFERROR(INDEX(SUB_CATID,MATCH($L857,SUB_ID,0)),"")&lt;&gt;$K857),"ERRO: subcategoria nao pertence a categoria",IF(AND($O857&lt;&gt;"",COUNTIF(P_ID,$O857)=0),"ERRO: parcela inexistente",IF(AND($N857&lt;&gt;"",COUNTIF(CM_ID,$N857)=0),"ERRO: compromisso inexistente","OK")))))))))))))</f>
        <v/>
      </c>
      <c r="AK857" s="35" t="str">
        <f aca="false">IF($B857="","",IF(AND($N857="",$O857="",$P857="",$Q857="",$R857=""),"","VINCULADO: "&amp;TRIM(IF($N857&lt;&gt;"",$N857&amp;" ","")&amp;IF($O857&lt;&gt;"",$O857&amp;" ","")&amp;IF($P857&lt;&gt;"",$P857&amp;" ","")&amp;IF($Q857&lt;&gt;"",$Q857&amp;" ","")&amp;IF($R857&lt;&gt;"",$R857,""))))</f>
        <v/>
      </c>
    </row>
    <row r="858" customFormat="false" ht="15" hidden="false" customHeight="false" outlineLevel="0" collapsed="false">
      <c r="A858" s="30" t="str">
        <f aca="false">IF($B858="","","LAN-"&amp;TEXT(ROW()-4,"000000"))</f>
        <v/>
      </c>
      <c r="B858" s="31"/>
      <c r="C858" s="32"/>
      <c r="D858" s="32"/>
      <c r="E858" s="32"/>
      <c r="F858" s="33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4" t="str">
        <f aca="false">IF($B858="","",YEAR($B858))</f>
        <v/>
      </c>
      <c r="U858" s="34" t="str">
        <f aca="false">IF($B858="","",MONTH($B858))</f>
        <v/>
      </c>
      <c r="V858" s="34" t="str">
        <f aca="false">IF($B858="","",YEAR($B858)*100+MONTH($B858))</f>
        <v/>
      </c>
      <c r="W858" s="35" t="str">
        <f aca="false">IF($D858="","",IFERROR(INDEX(MAP_CLASS,MATCH($D858,MAP_TIPO,0)),"TIPO INVALIDO"))</f>
        <v/>
      </c>
      <c r="X858" s="35" t="str">
        <f aca="false">IF($K858="","",IFERROR(INDEX(CAT_NOME,MATCH($K858,CAT_ID,0)),"?"))</f>
        <v/>
      </c>
      <c r="Y858" s="35" t="str">
        <f aca="false">IF($L858="","",IFERROR(INDEX(SUB_NOME,MATCH($L858,SUB_ID,0)),"?"))</f>
        <v/>
      </c>
      <c r="Z858" s="35" t="str">
        <f aca="false">IF($G858="","",IF($G858="EXTERNO","(Externo)",IFERROR(INDEX(ENT_NOME,MATCH($H858,ENT_ID,0)),"?")))</f>
        <v/>
      </c>
      <c r="AA858" s="35" t="str">
        <f aca="false">IF($I858="","",IF($I858="EXTERNO","(Externo)",IFERROR(INDEX(ENT_NOME,MATCH($J858,ENT_ID,0)),"?")))</f>
        <v/>
      </c>
      <c r="AB858" s="36" t="n">
        <f aca="false">IF($B858="",0,IF(AND($I858="CONTA",$G858&lt;&gt;"CONTA"),$F858,0))</f>
        <v>0</v>
      </c>
      <c r="AC858" s="36" t="n">
        <f aca="false">IF($B858="",0,IF(AND($G858="CONTA",$I858&lt;&gt;"CONTA"),$F858,0))</f>
        <v>0</v>
      </c>
      <c r="AD858" s="36" t="n">
        <f aca="false">IF($W858="RECEITA",$F858,0)</f>
        <v>0</v>
      </c>
      <c r="AE858" s="36" t="n">
        <f aca="false">IF($W858="DESPESA",$F858,0)</f>
        <v>0</v>
      </c>
      <c r="AF858" s="36" t="n">
        <f aca="false">IF($W858="RECEITA_FINANCEIRA",$F858,0)</f>
        <v>0</v>
      </c>
      <c r="AG858" s="36" t="n">
        <f aca="false">IF($B858="",0,IF($I858="CONTA",$F858,0)-IF($G858="CONTA",$F858,0))</f>
        <v>0</v>
      </c>
      <c r="AH858" s="36" t="n">
        <f aca="false">IF($B858="",0,IF($G858="CARTAO",$F858,0)-IF($I858="CARTAO",$F858,0))</f>
        <v>0</v>
      </c>
      <c r="AI858" s="36" t="n">
        <f aca="false">IF($B858="",0,IF($I858="INVESTIMENTO",$F858,0)-IF($G858="INVESTIMENTO",$F858,0))</f>
        <v>0</v>
      </c>
      <c r="AJ858" s="35" t="str">
        <f aca="false">IF($B858="","",IF(NOT(ISNUMBER($F858)),"ERRO: valor nao numerico",IF($F858&lt;=0,"ERRO: valor deve ser maior que zero",IF(COUNTIF(MAP_TIPO,$D858)=0,"ERRO: tipo de operacao nao cadastrado",IF(COUNTIF(LST_STATUS,$E858)=0,"ERRO: status invalido",IF(AND($G858="EXTERNO",$I858="EXTERNO"),"ERRO: origem e destino externos",IF(AND($G858&lt;&gt;"EXTERNO",COUNTIFS(ENT_ID,$H858,ENT_TIPO,$G858)=0),"ERRO: origem inexistente",IF(AND($I858&lt;&gt;"EXTERNO",COUNTIFS(ENT_ID,$J858,ENT_TIPO,$I858)=0),"ERRO: destino inexistente",IF(AND($K858&lt;&gt;"",COUNTIF(CAT_ID,$K858)=0),"ERRO: categoria inexistente",IF(AND($L858&lt;&gt;"",COUNTIF(SUB_ID,$L858)=0),"ERRO: subcategoria inexistente",IF(AND($L858&lt;&gt;"",$K858&lt;&gt;"",IFERROR(INDEX(SUB_CATID,MATCH($L858,SUB_ID,0)),"")&lt;&gt;$K858),"ERRO: subcategoria nao pertence a categoria",IF(AND($O858&lt;&gt;"",COUNTIF(P_ID,$O858)=0),"ERRO: parcela inexistente",IF(AND($N858&lt;&gt;"",COUNTIF(CM_ID,$N858)=0),"ERRO: compromisso inexistente","OK")))))))))))))</f>
        <v/>
      </c>
      <c r="AK858" s="35" t="str">
        <f aca="false">IF($B858="","",IF(AND($N858="",$O858="",$P858="",$Q858="",$R858=""),"","VINCULADO: "&amp;TRIM(IF($N858&lt;&gt;"",$N858&amp;" ","")&amp;IF($O858&lt;&gt;"",$O858&amp;" ","")&amp;IF($P858&lt;&gt;"",$P858&amp;" ","")&amp;IF($Q858&lt;&gt;"",$Q858&amp;" ","")&amp;IF($R858&lt;&gt;"",$R858,""))))</f>
        <v/>
      </c>
    </row>
    <row r="859" customFormat="false" ht="15" hidden="false" customHeight="false" outlineLevel="0" collapsed="false">
      <c r="A859" s="30" t="str">
        <f aca="false">IF($B859="","","LAN-"&amp;TEXT(ROW()-4,"000000"))</f>
        <v/>
      </c>
      <c r="B859" s="31"/>
      <c r="C859" s="32"/>
      <c r="D859" s="32"/>
      <c r="E859" s="32"/>
      <c r="F859" s="33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4" t="str">
        <f aca="false">IF($B859="","",YEAR($B859))</f>
        <v/>
      </c>
      <c r="U859" s="34" t="str">
        <f aca="false">IF($B859="","",MONTH($B859))</f>
        <v/>
      </c>
      <c r="V859" s="34" t="str">
        <f aca="false">IF($B859="","",YEAR($B859)*100+MONTH($B859))</f>
        <v/>
      </c>
      <c r="W859" s="35" t="str">
        <f aca="false">IF($D859="","",IFERROR(INDEX(MAP_CLASS,MATCH($D859,MAP_TIPO,0)),"TIPO INVALIDO"))</f>
        <v/>
      </c>
      <c r="X859" s="35" t="str">
        <f aca="false">IF($K859="","",IFERROR(INDEX(CAT_NOME,MATCH($K859,CAT_ID,0)),"?"))</f>
        <v/>
      </c>
      <c r="Y859" s="35" t="str">
        <f aca="false">IF($L859="","",IFERROR(INDEX(SUB_NOME,MATCH($L859,SUB_ID,0)),"?"))</f>
        <v/>
      </c>
      <c r="Z859" s="35" t="str">
        <f aca="false">IF($G859="","",IF($G859="EXTERNO","(Externo)",IFERROR(INDEX(ENT_NOME,MATCH($H859,ENT_ID,0)),"?")))</f>
        <v/>
      </c>
      <c r="AA859" s="35" t="str">
        <f aca="false">IF($I859="","",IF($I859="EXTERNO","(Externo)",IFERROR(INDEX(ENT_NOME,MATCH($J859,ENT_ID,0)),"?")))</f>
        <v/>
      </c>
      <c r="AB859" s="36" t="n">
        <f aca="false">IF($B859="",0,IF(AND($I859="CONTA",$G859&lt;&gt;"CONTA"),$F859,0))</f>
        <v>0</v>
      </c>
      <c r="AC859" s="36" t="n">
        <f aca="false">IF($B859="",0,IF(AND($G859="CONTA",$I859&lt;&gt;"CONTA"),$F859,0))</f>
        <v>0</v>
      </c>
      <c r="AD859" s="36" t="n">
        <f aca="false">IF($W859="RECEITA",$F859,0)</f>
        <v>0</v>
      </c>
      <c r="AE859" s="36" t="n">
        <f aca="false">IF($W859="DESPESA",$F859,0)</f>
        <v>0</v>
      </c>
      <c r="AF859" s="36" t="n">
        <f aca="false">IF($W859="RECEITA_FINANCEIRA",$F859,0)</f>
        <v>0</v>
      </c>
      <c r="AG859" s="36" t="n">
        <f aca="false">IF($B859="",0,IF($I859="CONTA",$F859,0)-IF($G859="CONTA",$F859,0))</f>
        <v>0</v>
      </c>
      <c r="AH859" s="36" t="n">
        <f aca="false">IF($B859="",0,IF($G859="CARTAO",$F859,0)-IF($I859="CARTAO",$F859,0))</f>
        <v>0</v>
      </c>
      <c r="AI859" s="36" t="n">
        <f aca="false">IF($B859="",0,IF($I859="INVESTIMENTO",$F859,0)-IF($G859="INVESTIMENTO",$F859,0))</f>
        <v>0</v>
      </c>
      <c r="AJ859" s="35" t="str">
        <f aca="false">IF($B859="","",IF(NOT(ISNUMBER($F859)),"ERRO: valor nao numerico",IF($F859&lt;=0,"ERRO: valor deve ser maior que zero",IF(COUNTIF(MAP_TIPO,$D859)=0,"ERRO: tipo de operacao nao cadastrado",IF(COUNTIF(LST_STATUS,$E859)=0,"ERRO: status invalido",IF(AND($G859="EXTERNO",$I859="EXTERNO"),"ERRO: origem e destino externos",IF(AND($G859&lt;&gt;"EXTERNO",COUNTIFS(ENT_ID,$H859,ENT_TIPO,$G859)=0),"ERRO: origem inexistente",IF(AND($I859&lt;&gt;"EXTERNO",COUNTIFS(ENT_ID,$J859,ENT_TIPO,$I859)=0),"ERRO: destino inexistente",IF(AND($K859&lt;&gt;"",COUNTIF(CAT_ID,$K859)=0),"ERRO: categoria inexistente",IF(AND($L859&lt;&gt;"",COUNTIF(SUB_ID,$L859)=0),"ERRO: subcategoria inexistente",IF(AND($L859&lt;&gt;"",$K859&lt;&gt;"",IFERROR(INDEX(SUB_CATID,MATCH($L859,SUB_ID,0)),"")&lt;&gt;$K859),"ERRO: subcategoria nao pertence a categoria",IF(AND($O859&lt;&gt;"",COUNTIF(P_ID,$O859)=0),"ERRO: parcela inexistente",IF(AND($N859&lt;&gt;"",COUNTIF(CM_ID,$N859)=0),"ERRO: compromisso inexistente","OK")))))))))))))</f>
        <v/>
      </c>
      <c r="AK859" s="35" t="str">
        <f aca="false">IF($B859="","",IF(AND($N859="",$O859="",$P859="",$Q859="",$R859=""),"","VINCULADO: "&amp;TRIM(IF($N859&lt;&gt;"",$N859&amp;" ","")&amp;IF($O859&lt;&gt;"",$O859&amp;" ","")&amp;IF($P859&lt;&gt;"",$P859&amp;" ","")&amp;IF($Q859&lt;&gt;"",$Q859&amp;" ","")&amp;IF($R859&lt;&gt;"",$R859,""))))</f>
        <v/>
      </c>
    </row>
    <row r="860" customFormat="false" ht="15" hidden="false" customHeight="false" outlineLevel="0" collapsed="false">
      <c r="A860" s="30" t="str">
        <f aca="false">IF($B860="","","LAN-"&amp;TEXT(ROW()-4,"000000"))</f>
        <v/>
      </c>
      <c r="B860" s="31"/>
      <c r="C860" s="32"/>
      <c r="D860" s="32"/>
      <c r="E860" s="32"/>
      <c r="F860" s="33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4" t="str">
        <f aca="false">IF($B860="","",YEAR($B860))</f>
        <v/>
      </c>
      <c r="U860" s="34" t="str">
        <f aca="false">IF($B860="","",MONTH($B860))</f>
        <v/>
      </c>
      <c r="V860" s="34" t="str">
        <f aca="false">IF($B860="","",YEAR($B860)*100+MONTH($B860))</f>
        <v/>
      </c>
      <c r="W860" s="35" t="str">
        <f aca="false">IF($D860="","",IFERROR(INDEX(MAP_CLASS,MATCH($D860,MAP_TIPO,0)),"TIPO INVALIDO"))</f>
        <v/>
      </c>
      <c r="X860" s="35" t="str">
        <f aca="false">IF($K860="","",IFERROR(INDEX(CAT_NOME,MATCH($K860,CAT_ID,0)),"?"))</f>
        <v/>
      </c>
      <c r="Y860" s="35" t="str">
        <f aca="false">IF($L860="","",IFERROR(INDEX(SUB_NOME,MATCH($L860,SUB_ID,0)),"?"))</f>
        <v/>
      </c>
      <c r="Z860" s="35" t="str">
        <f aca="false">IF($G860="","",IF($G860="EXTERNO","(Externo)",IFERROR(INDEX(ENT_NOME,MATCH($H860,ENT_ID,0)),"?")))</f>
        <v/>
      </c>
      <c r="AA860" s="35" t="str">
        <f aca="false">IF($I860="","",IF($I860="EXTERNO","(Externo)",IFERROR(INDEX(ENT_NOME,MATCH($J860,ENT_ID,0)),"?")))</f>
        <v/>
      </c>
      <c r="AB860" s="36" t="n">
        <f aca="false">IF($B860="",0,IF(AND($I860="CONTA",$G860&lt;&gt;"CONTA"),$F860,0))</f>
        <v>0</v>
      </c>
      <c r="AC860" s="36" t="n">
        <f aca="false">IF($B860="",0,IF(AND($G860="CONTA",$I860&lt;&gt;"CONTA"),$F860,0))</f>
        <v>0</v>
      </c>
      <c r="AD860" s="36" t="n">
        <f aca="false">IF($W860="RECEITA",$F860,0)</f>
        <v>0</v>
      </c>
      <c r="AE860" s="36" t="n">
        <f aca="false">IF($W860="DESPESA",$F860,0)</f>
        <v>0</v>
      </c>
      <c r="AF860" s="36" t="n">
        <f aca="false">IF($W860="RECEITA_FINANCEIRA",$F860,0)</f>
        <v>0</v>
      </c>
      <c r="AG860" s="36" t="n">
        <f aca="false">IF($B860="",0,IF($I860="CONTA",$F860,0)-IF($G860="CONTA",$F860,0))</f>
        <v>0</v>
      </c>
      <c r="AH860" s="36" t="n">
        <f aca="false">IF($B860="",0,IF($G860="CARTAO",$F860,0)-IF($I860="CARTAO",$F860,0))</f>
        <v>0</v>
      </c>
      <c r="AI860" s="36" t="n">
        <f aca="false">IF($B860="",0,IF($I860="INVESTIMENTO",$F860,0)-IF($G860="INVESTIMENTO",$F860,0))</f>
        <v>0</v>
      </c>
      <c r="AJ860" s="35" t="str">
        <f aca="false">IF($B860="","",IF(NOT(ISNUMBER($F860)),"ERRO: valor nao numerico",IF($F860&lt;=0,"ERRO: valor deve ser maior que zero",IF(COUNTIF(MAP_TIPO,$D860)=0,"ERRO: tipo de operacao nao cadastrado",IF(COUNTIF(LST_STATUS,$E860)=0,"ERRO: status invalido",IF(AND($G860="EXTERNO",$I860="EXTERNO"),"ERRO: origem e destino externos",IF(AND($G860&lt;&gt;"EXTERNO",COUNTIFS(ENT_ID,$H860,ENT_TIPO,$G860)=0),"ERRO: origem inexistente",IF(AND($I860&lt;&gt;"EXTERNO",COUNTIFS(ENT_ID,$J860,ENT_TIPO,$I860)=0),"ERRO: destino inexistente",IF(AND($K860&lt;&gt;"",COUNTIF(CAT_ID,$K860)=0),"ERRO: categoria inexistente",IF(AND($L860&lt;&gt;"",COUNTIF(SUB_ID,$L860)=0),"ERRO: subcategoria inexistente",IF(AND($L860&lt;&gt;"",$K860&lt;&gt;"",IFERROR(INDEX(SUB_CATID,MATCH($L860,SUB_ID,0)),"")&lt;&gt;$K860),"ERRO: subcategoria nao pertence a categoria",IF(AND($O860&lt;&gt;"",COUNTIF(P_ID,$O860)=0),"ERRO: parcela inexistente",IF(AND($N860&lt;&gt;"",COUNTIF(CM_ID,$N860)=0),"ERRO: compromisso inexistente","OK")))))))))))))</f>
        <v/>
      </c>
      <c r="AK860" s="35" t="str">
        <f aca="false">IF($B860="","",IF(AND($N860="",$O860="",$P860="",$Q860="",$R860=""),"","VINCULADO: "&amp;TRIM(IF($N860&lt;&gt;"",$N860&amp;" ","")&amp;IF($O860&lt;&gt;"",$O860&amp;" ","")&amp;IF($P860&lt;&gt;"",$P860&amp;" ","")&amp;IF($Q860&lt;&gt;"",$Q860&amp;" ","")&amp;IF($R860&lt;&gt;"",$R860,""))))</f>
        <v/>
      </c>
    </row>
    <row r="861" customFormat="false" ht="15" hidden="false" customHeight="false" outlineLevel="0" collapsed="false">
      <c r="A861" s="30" t="str">
        <f aca="false">IF($B861="","","LAN-"&amp;TEXT(ROW()-4,"000000"))</f>
        <v/>
      </c>
      <c r="B861" s="31"/>
      <c r="C861" s="32"/>
      <c r="D861" s="32"/>
      <c r="E861" s="32"/>
      <c r="F861" s="33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4" t="str">
        <f aca="false">IF($B861="","",YEAR($B861))</f>
        <v/>
      </c>
      <c r="U861" s="34" t="str">
        <f aca="false">IF($B861="","",MONTH($B861))</f>
        <v/>
      </c>
      <c r="V861" s="34" t="str">
        <f aca="false">IF($B861="","",YEAR($B861)*100+MONTH($B861))</f>
        <v/>
      </c>
      <c r="W861" s="35" t="str">
        <f aca="false">IF($D861="","",IFERROR(INDEX(MAP_CLASS,MATCH($D861,MAP_TIPO,0)),"TIPO INVALIDO"))</f>
        <v/>
      </c>
      <c r="X861" s="35" t="str">
        <f aca="false">IF($K861="","",IFERROR(INDEX(CAT_NOME,MATCH($K861,CAT_ID,0)),"?"))</f>
        <v/>
      </c>
      <c r="Y861" s="35" t="str">
        <f aca="false">IF($L861="","",IFERROR(INDEX(SUB_NOME,MATCH($L861,SUB_ID,0)),"?"))</f>
        <v/>
      </c>
      <c r="Z861" s="35" t="str">
        <f aca="false">IF($G861="","",IF($G861="EXTERNO","(Externo)",IFERROR(INDEX(ENT_NOME,MATCH($H861,ENT_ID,0)),"?")))</f>
        <v/>
      </c>
      <c r="AA861" s="35" t="str">
        <f aca="false">IF($I861="","",IF($I861="EXTERNO","(Externo)",IFERROR(INDEX(ENT_NOME,MATCH($J861,ENT_ID,0)),"?")))</f>
        <v/>
      </c>
      <c r="AB861" s="36" t="n">
        <f aca="false">IF($B861="",0,IF(AND($I861="CONTA",$G861&lt;&gt;"CONTA"),$F861,0))</f>
        <v>0</v>
      </c>
      <c r="AC861" s="36" t="n">
        <f aca="false">IF($B861="",0,IF(AND($G861="CONTA",$I861&lt;&gt;"CONTA"),$F861,0))</f>
        <v>0</v>
      </c>
      <c r="AD861" s="36" t="n">
        <f aca="false">IF($W861="RECEITA",$F861,0)</f>
        <v>0</v>
      </c>
      <c r="AE861" s="36" t="n">
        <f aca="false">IF($W861="DESPESA",$F861,0)</f>
        <v>0</v>
      </c>
      <c r="AF861" s="36" t="n">
        <f aca="false">IF($W861="RECEITA_FINANCEIRA",$F861,0)</f>
        <v>0</v>
      </c>
      <c r="AG861" s="36" t="n">
        <f aca="false">IF($B861="",0,IF($I861="CONTA",$F861,0)-IF($G861="CONTA",$F861,0))</f>
        <v>0</v>
      </c>
      <c r="AH861" s="36" t="n">
        <f aca="false">IF($B861="",0,IF($G861="CARTAO",$F861,0)-IF($I861="CARTAO",$F861,0))</f>
        <v>0</v>
      </c>
      <c r="AI861" s="36" t="n">
        <f aca="false">IF($B861="",0,IF($I861="INVESTIMENTO",$F861,0)-IF($G861="INVESTIMENTO",$F861,0))</f>
        <v>0</v>
      </c>
      <c r="AJ861" s="35" t="str">
        <f aca="false">IF($B861="","",IF(NOT(ISNUMBER($F861)),"ERRO: valor nao numerico",IF($F861&lt;=0,"ERRO: valor deve ser maior que zero",IF(COUNTIF(MAP_TIPO,$D861)=0,"ERRO: tipo de operacao nao cadastrado",IF(COUNTIF(LST_STATUS,$E861)=0,"ERRO: status invalido",IF(AND($G861="EXTERNO",$I861="EXTERNO"),"ERRO: origem e destino externos",IF(AND($G861&lt;&gt;"EXTERNO",COUNTIFS(ENT_ID,$H861,ENT_TIPO,$G861)=0),"ERRO: origem inexistente",IF(AND($I861&lt;&gt;"EXTERNO",COUNTIFS(ENT_ID,$J861,ENT_TIPO,$I861)=0),"ERRO: destino inexistente",IF(AND($K861&lt;&gt;"",COUNTIF(CAT_ID,$K861)=0),"ERRO: categoria inexistente",IF(AND($L861&lt;&gt;"",COUNTIF(SUB_ID,$L861)=0),"ERRO: subcategoria inexistente",IF(AND($L861&lt;&gt;"",$K861&lt;&gt;"",IFERROR(INDEX(SUB_CATID,MATCH($L861,SUB_ID,0)),"")&lt;&gt;$K861),"ERRO: subcategoria nao pertence a categoria",IF(AND($O861&lt;&gt;"",COUNTIF(P_ID,$O861)=0),"ERRO: parcela inexistente",IF(AND($N861&lt;&gt;"",COUNTIF(CM_ID,$N861)=0),"ERRO: compromisso inexistente","OK")))))))))))))</f>
        <v/>
      </c>
      <c r="AK861" s="35" t="str">
        <f aca="false">IF($B861="","",IF(AND($N861="",$O861="",$P861="",$Q861="",$R861=""),"","VINCULADO: "&amp;TRIM(IF($N861&lt;&gt;"",$N861&amp;" ","")&amp;IF($O861&lt;&gt;"",$O861&amp;" ","")&amp;IF($P861&lt;&gt;"",$P861&amp;" ","")&amp;IF($Q861&lt;&gt;"",$Q861&amp;" ","")&amp;IF($R861&lt;&gt;"",$R861,""))))</f>
        <v/>
      </c>
    </row>
    <row r="862" customFormat="false" ht="15" hidden="false" customHeight="false" outlineLevel="0" collapsed="false">
      <c r="A862" s="30" t="str">
        <f aca="false">IF($B862="","","LAN-"&amp;TEXT(ROW()-4,"000000"))</f>
        <v/>
      </c>
      <c r="B862" s="31"/>
      <c r="C862" s="32"/>
      <c r="D862" s="32"/>
      <c r="E862" s="32"/>
      <c r="F862" s="33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4" t="str">
        <f aca="false">IF($B862="","",YEAR($B862))</f>
        <v/>
      </c>
      <c r="U862" s="34" t="str">
        <f aca="false">IF($B862="","",MONTH($B862))</f>
        <v/>
      </c>
      <c r="V862" s="34" t="str">
        <f aca="false">IF($B862="","",YEAR($B862)*100+MONTH($B862))</f>
        <v/>
      </c>
      <c r="W862" s="35" t="str">
        <f aca="false">IF($D862="","",IFERROR(INDEX(MAP_CLASS,MATCH($D862,MAP_TIPO,0)),"TIPO INVALIDO"))</f>
        <v/>
      </c>
      <c r="X862" s="35" t="str">
        <f aca="false">IF($K862="","",IFERROR(INDEX(CAT_NOME,MATCH($K862,CAT_ID,0)),"?"))</f>
        <v/>
      </c>
      <c r="Y862" s="35" t="str">
        <f aca="false">IF($L862="","",IFERROR(INDEX(SUB_NOME,MATCH($L862,SUB_ID,0)),"?"))</f>
        <v/>
      </c>
      <c r="Z862" s="35" t="str">
        <f aca="false">IF($G862="","",IF($G862="EXTERNO","(Externo)",IFERROR(INDEX(ENT_NOME,MATCH($H862,ENT_ID,0)),"?")))</f>
        <v/>
      </c>
      <c r="AA862" s="35" t="str">
        <f aca="false">IF($I862="","",IF($I862="EXTERNO","(Externo)",IFERROR(INDEX(ENT_NOME,MATCH($J862,ENT_ID,0)),"?")))</f>
        <v/>
      </c>
      <c r="AB862" s="36" t="n">
        <f aca="false">IF($B862="",0,IF(AND($I862="CONTA",$G862&lt;&gt;"CONTA"),$F862,0))</f>
        <v>0</v>
      </c>
      <c r="AC862" s="36" t="n">
        <f aca="false">IF($B862="",0,IF(AND($G862="CONTA",$I862&lt;&gt;"CONTA"),$F862,0))</f>
        <v>0</v>
      </c>
      <c r="AD862" s="36" t="n">
        <f aca="false">IF($W862="RECEITA",$F862,0)</f>
        <v>0</v>
      </c>
      <c r="AE862" s="36" t="n">
        <f aca="false">IF($W862="DESPESA",$F862,0)</f>
        <v>0</v>
      </c>
      <c r="AF862" s="36" t="n">
        <f aca="false">IF($W862="RECEITA_FINANCEIRA",$F862,0)</f>
        <v>0</v>
      </c>
      <c r="AG862" s="36" t="n">
        <f aca="false">IF($B862="",0,IF($I862="CONTA",$F862,0)-IF($G862="CONTA",$F862,0))</f>
        <v>0</v>
      </c>
      <c r="AH862" s="36" t="n">
        <f aca="false">IF($B862="",0,IF($G862="CARTAO",$F862,0)-IF($I862="CARTAO",$F862,0))</f>
        <v>0</v>
      </c>
      <c r="AI862" s="36" t="n">
        <f aca="false">IF($B862="",0,IF($I862="INVESTIMENTO",$F862,0)-IF($G862="INVESTIMENTO",$F862,0))</f>
        <v>0</v>
      </c>
      <c r="AJ862" s="35" t="str">
        <f aca="false">IF($B862="","",IF(NOT(ISNUMBER($F862)),"ERRO: valor nao numerico",IF($F862&lt;=0,"ERRO: valor deve ser maior que zero",IF(COUNTIF(MAP_TIPO,$D862)=0,"ERRO: tipo de operacao nao cadastrado",IF(COUNTIF(LST_STATUS,$E862)=0,"ERRO: status invalido",IF(AND($G862="EXTERNO",$I862="EXTERNO"),"ERRO: origem e destino externos",IF(AND($G862&lt;&gt;"EXTERNO",COUNTIFS(ENT_ID,$H862,ENT_TIPO,$G862)=0),"ERRO: origem inexistente",IF(AND($I862&lt;&gt;"EXTERNO",COUNTIFS(ENT_ID,$J862,ENT_TIPO,$I862)=0),"ERRO: destino inexistente",IF(AND($K862&lt;&gt;"",COUNTIF(CAT_ID,$K862)=0),"ERRO: categoria inexistente",IF(AND($L862&lt;&gt;"",COUNTIF(SUB_ID,$L862)=0),"ERRO: subcategoria inexistente",IF(AND($L862&lt;&gt;"",$K862&lt;&gt;"",IFERROR(INDEX(SUB_CATID,MATCH($L862,SUB_ID,0)),"")&lt;&gt;$K862),"ERRO: subcategoria nao pertence a categoria",IF(AND($O862&lt;&gt;"",COUNTIF(P_ID,$O862)=0),"ERRO: parcela inexistente",IF(AND($N862&lt;&gt;"",COUNTIF(CM_ID,$N862)=0),"ERRO: compromisso inexistente","OK")))))))))))))</f>
        <v/>
      </c>
      <c r="AK862" s="35" t="str">
        <f aca="false">IF($B862="","",IF(AND($N862="",$O862="",$P862="",$Q862="",$R862=""),"","VINCULADO: "&amp;TRIM(IF($N862&lt;&gt;"",$N862&amp;" ","")&amp;IF($O862&lt;&gt;"",$O862&amp;" ","")&amp;IF($P862&lt;&gt;"",$P862&amp;" ","")&amp;IF($Q862&lt;&gt;"",$Q862&amp;" ","")&amp;IF($R862&lt;&gt;"",$R862,""))))</f>
        <v/>
      </c>
    </row>
    <row r="863" customFormat="false" ht="15" hidden="false" customHeight="false" outlineLevel="0" collapsed="false">
      <c r="A863" s="30" t="str">
        <f aca="false">IF($B863="","","LAN-"&amp;TEXT(ROW()-4,"000000"))</f>
        <v/>
      </c>
      <c r="B863" s="31"/>
      <c r="C863" s="32"/>
      <c r="D863" s="32"/>
      <c r="E863" s="32"/>
      <c r="F863" s="33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4" t="str">
        <f aca="false">IF($B863="","",YEAR($B863))</f>
        <v/>
      </c>
      <c r="U863" s="34" t="str">
        <f aca="false">IF($B863="","",MONTH($B863))</f>
        <v/>
      </c>
      <c r="V863" s="34" t="str">
        <f aca="false">IF($B863="","",YEAR($B863)*100+MONTH($B863))</f>
        <v/>
      </c>
      <c r="W863" s="35" t="str">
        <f aca="false">IF($D863="","",IFERROR(INDEX(MAP_CLASS,MATCH($D863,MAP_TIPO,0)),"TIPO INVALIDO"))</f>
        <v/>
      </c>
      <c r="X863" s="35" t="str">
        <f aca="false">IF($K863="","",IFERROR(INDEX(CAT_NOME,MATCH($K863,CAT_ID,0)),"?"))</f>
        <v/>
      </c>
      <c r="Y863" s="35" t="str">
        <f aca="false">IF($L863="","",IFERROR(INDEX(SUB_NOME,MATCH($L863,SUB_ID,0)),"?"))</f>
        <v/>
      </c>
      <c r="Z863" s="35" t="str">
        <f aca="false">IF($G863="","",IF($G863="EXTERNO","(Externo)",IFERROR(INDEX(ENT_NOME,MATCH($H863,ENT_ID,0)),"?")))</f>
        <v/>
      </c>
      <c r="AA863" s="35" t="str">
        <f aca="false">IF($I863="","",IF($I863="EXTERNO","(Externo)",IFERROR(INDEX(ENT_NOME,MATCH($J863,ENT_ID,0)),"?")))</f>
        <v/>
      </c>
      <c r="AB863" s="36" t="n">
        <f aca="false">IF($B863="",0,IF(AND($I863="CONTA",$G863&lt;&gt;"CONTA"),$F863,0))</f>
        <v>0</v>
      </c>
      <c r="AC863" s="36" t="n">
        <f aca="false">IF($B863="",0,IF(AND($G863="CONTA",$I863&lt;&gt;"CONTA"),$F863,0))</f>
        <v>0</v>
      </c>
      <c r="AD863" s="36" t="n">
        <f aca="false">IF($W863="RECEITA",$F863,0)</f>
        <v>0</v>
      </c>
      <c r="AE863" s="36" t="n">
        <f aca="false">IF($W863="DESPESA",$F863,0)</f>
        <v>0</v>
      </c>
      <c r="AF863" s="36" t="n">
        <f aca="false">IF($W863="RECEITA_FINANCEIRA",$F863,0)</f>
        <v>0</v>
      </c>
      <c r="AG863" s="36" t="n">
        <f aca="false">IF($B863="",0,IF($I863="CONTA",$F863,0)-IF($G863="CONTA",$F863,0))</f>
        <v>0</v>
      </c>
      <c r="AH863" s="36" t="n">
        <f aca="false">IF($B863="",0,IF($G863="CARTAO",$F863,0)-IF($I863="CARTAO",$F863,0))</f>
        <v>0</v>
      </c>
      <c r="AI863" s="36" t="n">
        <f aca="false">IF($B863="",0,IF($I863="INVESTIMENTO",$F863,0)-IF($G863="INVESTIMENTO",$F863,0))</f>
        <v>0</v>
      </c>
      <c r="AJ863" s="35" t="str">
        <f aca="false">IF($B863="","",IF(NOT(ISNUMBER($F863)),"ERRO: valor nao numerico",IF($F863&lt;=0,"ERRO: valor deve ser maior que zero",IF(COUNTIF(MAP_TIPO,$D863)=0,"ERRO: tipo de operacao nao cadastrado",IF(COUNTIF(LST_STATUS,$E863)=0,"ERRO: status invalido",IF(AND($G863="EXTERNO",$I863="EXTERNO"),"ERRO: origem e destino externos",IF(AND($G863&lt;&gt;"EXTERNO",COUNTIFS(ENT_ID,$H863,ENT_TIPO,$G863)=0),"ERRO: origem inexistente",IF(AND($I863&lt;&gt;"EXTERNO",COUNTIFS(ENT_ID,$J863,ENT_TIPO,$I863)=0),"ERRO: destino inexistente",IF(AND($K863&lt;&gt;"",COUNTIF(CAT_ID,$K863)=0),"ERRO: categoria inexistente",IF(AND($L863&lt;&gt;"",COUNTIF(SUB_ID,$L863)=0),"ERRO: subcategoria inexistente",IF(AND($L863&lt;&gt;"",$K863&lt;&gt;"",IFERROR(INDEX(SUB_CATID,MATCH($L863,SUB_ID,0)),"")&lt;&gt;$K863),"ERRO: subcategoria nao pertence a categoria",IF(AND($O863&lt;&gt;"",COUNTIF(P_ID,$O863)=0),"ERRO: parcela inexistente",IF(AND($N863&lt;&gt;"",COUNTIF(CM_ID,$N863)=0),"ERRO: compromisso inexistente","OK")))))))))))))</f>
        <v/>
      </c>
      <c r="AK863" s="35" t="str">
        <f aca="false">IF($B863="","",IF(AND($N863="",$O863="",$P863="",$Q863="",$R863=""),"","VINCULADO: "&amp;TRIM(IF($N863&lt;&gt;"",$N863&amp;" ","")&amp;IF($O863&lt;&gt;"",$O863&amp;" ","")&amp;IF($P863&lt;&gt;"",$P863&amp;" ","")&amp;IF($Q863&lt;&gt;"",$Q863&amp;" ","")&amp;IF($R863&lt;&gt;"",$R863,""))))</f>
        <v/>
      </c>
    </row>
    <row r="864" customFormat="false" ht="15" hidden="false" customHeight="false" outlineLevel="0" collapsed="false">
      <c r="A864" s="30" t="str">
        <f aca="false">IF($B864="","","LAN-"&amp;TEXT(ROW()-4,"000000"))</f>
        <v/>
      </c>
      <c r="B864" s="31"/>
      <c r="C864" s="32"/>
      <c r="D864" s="32"/>
      <c r="E864" s="32"/>
      <c r="F864" s="33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4" t="str">
        <f aca="false">IF($B864="","",YEAR($B864))</f>
        <v/>
      </c>
      <c r="U864" s="34" t="str">
        <f aca="false">IF($B864="","",MONTH($B864))</f>
        <v/>
      </c>
      <c r="V864" s="34" t="str">
        <f aca="false">IF($B864="","",YEAR($B864)*100+MONTH($B864))</f>
        <v/>
      </c>
      <c r="W864" s="35" t="str">
        <f aca="false">IF($D864="","",IFERROR(INDEX(MAP_CLASS,MATCH($D864,MAP_TIPO,0)),"TIPO INVALIDO"))</f>
        <v/>
      </c>
      <c r="X864" s="35" t="str">
        <f aca="false">IF($K864="","",IFERROR(INDEX(CAT_NOME,MATCH($K864,CAT_ID,0)),"?"))</f>
        <v/>
      </c>
      <c r="Y864" s="35" t="str">
        <f aca="false">IF($L864="","",IFERROR(INDEX(SUB_NOME,MATCH($L864,SUB_ID,0)),"?"))</f>
        <v/>
      </c>
      <c r="Z864" s="35" t="str">
        <f aca="false">IF($G864="","",IF($G864="EXTERNO","(Externo)",IFERROR(INDEX(ENT_NOME,MATCH($H864,ENT_ID,0)),"?")))</f>
        <v/>
      </c>
      <c r="AA864" s="35" t="str">
        <f aca="false">IF($I864="","",IF($I864="EXTERNO","(Externo)",IFERROR(INDEX(ENT_NOME,MATCH($J864,ENT_ID,0)),"?")))</f>
        <v/>
      </c>
      <c r="AB864" s="36" t="n">
        <f aca="false">IF($B864="",0,IF(AND($I864="CONTA",$G864&lt;&gt;"CONTA"),$F864,0))</f>
        <v>0</v>
      </c>
      <c r="AC864" s="36" t="n">
        <f aca="false">IF($B864="",0,IF(AND($G864="CONTA",$I864&lt;&gt;"CONTA"),$F864,0))</f>
        <v>0</v>
      </c>
      <c r="AD864" s="36" t="n">
        <f aca="false">IF($W864="RECEITA",$F864,0)</f>
        <v>0</v>
      </c>
      <c r="AE864" s="36" t="n">
        <f aca="false">IF($W864="DESPESA",$F864,0)</f>
        <v>0</v>
      </c>
      <c r="AF864" s="36" t="n">
        <f aca="false">IF($W864="RECEITA_FINANCEIRA",$F864,0)</f>
        <v>0</v>
      </c>
      <c r="AG864" s="36" t="n">
        <f aca="false">IF($B864="",0,IF($I864="CONTA",$F864,0)-IF($G864="CONTA",$F864,0))</f>
        <v>0</v>
      </c>
      <c r="AH864" s="36" t="n">
        <f aca="false">IF($B864="",0,IF($G864="CARTAO",$F864,0)-IF($I864="CARTAO",$F864,0))</f>
        <v>0</v>
      </c>
      <c r="AI864" s="36" t="n">
        <f aca="false">IF($B864="",0,IF($I864="INVESTIMENTO",$F864,0)-IF($G864="INVESTIMENTO",$F864,0))</f>
        <v>0</v>
      </c>
      <c r="AJ864" s="35" t="str">
        <f aca="false">IF($B864="","",IF(NOT(ISNUMBER($F864)),"ERRO: valor nao numerico",IF($F864&lt;=0,"ERRO: valor deve ser maior que zero",IF(COUNTIF(MAP_TIPO,$D864)=0,"ERRO: tipo de operacao nao cadastrado",IF(COUNTIF(LST_STATUS,$E864)=0,"ERRO: status invalido",IF(AND($G864="EXTERNO",$I864="EXTERNO"),"ERRO: origem e destino externos",IF(AND($G864&lt;&gt;"EXTERNO",COUNTIFS(ENT_ID,$H864,ENT_TIPO,$G864)=0),"ERRO: origem inexistente",IF(AND($I864&lt;&gt;"EXTERNO",COUNTIFS(ENT_ID,$J864,ENT_TIPO,$I864)=0),"ERRO: destino inexistente",IF(AND($K864&lt;&gt;"",COUNTIF(CAT_ID,$K864)=0),"ERRO: categoria inexistente",IF(AND($L864&lt;&gt;"",COUNTIF(SUB_ID,$L864)=0),"ERRO: subcategoria inexistente",IF(AND($L864&lt;&gt;"",$K864&lt;&gt;"",IFERROR(INDEX(SUB_CATID,MATCH($L864,SUB_ID,0)),"")&lt;&gt;$K864),"ERRO: subcategoria nao pertence a categoria",IF(AND($O864&lt;&gt;"",COUNTIF(P_ID,$O864)=0),"ERRO: parcela inexistente",IF(AND($N864&lt;&gt;"",COUNTIF(CM_ID,$N864)=0),"ERRO: compromisso inexistente","OK")))))))))))))</f>
        <v/>
      </c>
      <c r="AK864" s="35" t="str">
        <f aca="false">IF($B864="","",IF(AND($N864="",$O864="",$P864="",$Q864="",$R864=""),"","VINCULADO: "&amp;TRIM(IF($N864&lt;&gt;"",$N864&amp;" ","")&amp;IF($O864&lt;&gt;"",$O864&amp;" ","")&amp;IF($P864&lt;&gt;"",$P864&amp;" ","")&amp;IF($Q864&lt;&gt;"",$Q864&amp;" ","")&amp;IF($R864&lt;&gt;"",$R864,""))))</f>
        <v/>
      </c>
    </row>
    <row r="865" customFormat="false" ht="15" hidden="false" customHeight="false" outlineLevel="0" collapsed="false">
      <c r="A865" s="30" t="str">
        <f aca="false">IF($B865="","","LAN-"&amp;TEXT(ROW()-4,"000000"))</f>
        <v/>
      </c>
      <c r="B865" s="31"/>
      <c r="C865" s="32"/>
      <c r="D865" s="32"/>
      <c r="E865" s="32"/>
      <c r="F865" s="33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4" t="str">
        <f aca="false">IF($B865="","",YEAR($B865))</f>
        <v/>
      </c>
      <c r="U865" s="34" t="str">
        <f aca="false">IF($B865="","",MONTH($B865))</f>
        <v/>
      </c>
      <c r="V865" s="34" t="str">
        <f aca="false">IF($B865="","",YEAR($B865)*100+MONTH($B865))</f>
        <v/>
      </c>
      <c r="W865" s="35" t="str">
        <f aca="false">IF($D865="","",IFERROR(INDEX(MAP_CLASS,MATCH($D865,MAP_TIPO,0)),"TIPO INVALIDO"))</f>
        <v/>
      </c>
      <c r="X865" s="35" t="str">
        <f aca="false">IF($K865="","",IFERROR(INDEX(CAT_NOME,MATCH($K865,CAT_ID,0)),"?"))</f>
        <v/>
      </c>
      <c r="Y865" s="35" t="str">
        <f aca="false">IF($L865="","",IFERROR(INDEX(SUB_NOME,MATCH($L865,SUB_ID,0)),"?"))</f>
        <v/>
      </c>
      <c r="Z865" s="35" t="str">
        <f aca="false">IF($G865="","",IF($G865="EXTERNO","(Externo)",IFERROR(INDEX(ENT_NOME,MATCH($H865,ENT_ID,0)),"?")))</f>
        <v/>
      </c>
      <c r="AA865" s="35" t="str">
        <f aca="false">IF($I865="","",IF($I865="EXTERNO","(Externo)",IFERROR(INDEX(ENT_NOME,MATCH($J865,ENT_ID,0)),"?")))</f>
        <v/>
      </c>
      <c r="AB865" s="36" t="n">
        <f aca="false">IF($B865="",0,IF(AND($I865="CONTA",$G865&lt;&gt;"CONTA"),$F865,0))</f>
        <v>0</v>
      </c>
      <c r="AC865" s="36" t="n">
        <f aca="false">IF($B865="",0,IF(AND($G865="CONTA",$I865&lt;&gt;"CONTA"),$F865,0))</f>
        <v>0</v>
      </c>
      <c r="AD865" s="36" t="n">
        <f aca="false">IF($W865="RECEITA",$F865,0)</f>
        <v>0</v>
      </c>
      <c r="AE865" s="36" t="n">
        <f aca="false">IF($W865="DESPESA",$F865,0)</f>
        <v>0</v>
      </c>
      <c r="AF865" s="36" t="n">
        <f aca="false">IF($W865="RECEITA_FINANCEIRA",$F865,0)</f>
        <v>0</v>
      </c>
      <c r="AG865" s="36" t="n">
        <f aca="false">IF($B865="",0,IF($I865="CONTA",$F865,0)-IF($G865="CONTA",$F865,0))</f>
        <v>0</v>
      </c>
      <c r="AH865" s="36" t="n">
        <f aca="false">IF($B865="",0,IF($G865="CARTAO",$F865,0)-IF($I865="CARTAO",$F865,0))</f>
        <v>0</v>
      </c>
      <c r="AI865" s="36" t="n">
        <f aca="false">IF($B865="",0,IF($I865="INVESTIMENTO",$F865,0)-IF($G865="INVESTIMENTO",$F865,0))</f>
        <v>0</v>
      </c>
      <c r="AJ865" s="35" t="str">
        <f aca="false">IF($B865="","",IF(NOT(ISNUMBER($F865)),"ERRO: valor nao numerico",IF($F865&lt;=0,"ERRO: valor deve ser maior que zero",IF(COUNTIF(MAP_TIPO,$D865)=0,"ERRO: tipo de operacao nao cadastrado",IF(COUNTIF(LST_STATUS,$E865)=0,"ERRO: status invalido",IF(AND($G865="EXTERNO",$I865="EXTERNO"),"ERRO: origem e destino externos",IF(AND($G865&lt;&gt;"EXTERNO",COUNTIFS(ENT_ID,$H865,ENT_TIPO,$G865)=0),"ERRO: origem inexistente",IF(AND($I865&lt;&gt;"EXTERNO",COUNTIFS(ENT_ID,$J865,ENT_TIPO,$I865)=0),"ERRO: destino inexistente",IF(AND($K865&lt;&gt;"",COUNTIF(CAT_ID,$K865)=0),"ERRO: categoria inexistente",IF(AND($L865&lt;&gt;"",COUNTIF(SUB_ID,$L865)=0),"ERRO: subcategoria inexistente",IF(AND($L865&lt;&gt;"",$K865&lt;&gt;"",IFERROR(INDEX(SUB_CATID,MATCH($L865,SUB_ID,0)),"")&lt;&gt;$K865),"ERRO: subcategoria nao pertence a categoria",IF(AND($O865&lt;&gt;"",COUNTIF(P_ID,$O865)=0),"ERRO: parcela inexistente",IF(AND($N865&lt;&gt;"",COUNTIF(CM_ID,$N865)=0),"ERRO: compromisso inexistente","OK")))))))))))))</f>
        <v/>
      </c>
      <c r="AK865" s="35" t="str">
        <f aca="false">IF($B865="","",IF(AND($N865="",$O865="",$P865="",$Q865="",$R865=""),"","VINCULADO: "&amp;TRIM(IF($N865&lt;&gt;"",$N865&amp;" ","")&amp;IF($O865&lt;&gt;"",$O865&amp;" ","")&amp;IF($P865&lt;&gt;"",$P865&amp;" ","")&amp;IF($Q865&lt;&gt;"",$Q865&amp;" ","")&amp;IF($R865&lt;&gt;"",$R865,""))))</f>
        <v/>
      </c>
    </row>
    <row r="866" customFormat="false" ht="15" hidden="false" customHeight="false" outlineLevel="0" collapsed="false">
      <c r="A866" s="30" t="str">
        <f aca="false">IF($B866="","","LAN-"&amp;TEXT(ROW()-4,"000000"))</f>
        <v/>
      </c>
      <c r="B866" s="31"/>
      <c r="C866" s="32"/>
      <c r="D866" s="32"/>
      <c r="E866" s="32"/>
      <c r="F866" s="33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4" t="str">
        <f aca="false">IF($B866="","",YEAR($B866))</f>
        <v/>
      </c>
      <c r="U866" s="34" t="str">
        <f aca="false">IF($B866="","",MONTH($B866))</f>
        <v/>
      </c>
      <c r="V866" s="34" t="str">
        <f aca="false">IF($B866="","",YEAR($B866)*100+MONTH($B866))</f>
        <v/>
      </c>
      <c r="W866" s="35" t="str">
        <f aca="false">IF($D866="","",IFERROR(INDEX(MAP_CLASS,MATCH($D866,MAP_TIPO,0)),"TIPO INVALIDO"))</f>
        <v/>
      </c>
      <c r="X866" s="35" t="str">
        <f aca="false">IF($K866="","",IFERROR(INDEX(CAT_NOME,MATCH($K866,CAT_ID,0)),"?"))</f>
        <v/>
      </c>
      <c r="Y866" s="35" t="str">
        <f aca="false">IF($L866="","",IFERROR(INDEX(SUB_NOME,MATCH($L866,SUB_ID,0)),"?"))</f>
        <v/>
      </c>
      <c r="Z866" s="35" t="str">
        <f aca="false">IF($G866="","",IF($G866="EXTERNO","(Externo)",IFERROR(INDEX(ENT_NOME,MATCH($H866,ENT_ID,0)),"?")))</f>
        <v/>
      </c>
      <c r="AA866" s="35" t="str">
        <f aca="false">IF($I866="","",IF($I866="EXTERNO","(Externo)",IFERROR(INDEX(ENT_NOME,MATCH($J866,ENT_ID,0)),"?")))</f>
        <v/>
      </c>
      <c r="AB866" s="36" t="n">
        <f aca="false">IF($B866="",0,IF(AND($I866="CONTA",$G866&lt;&gt;"CONTA"),$F866,0))</f>
        <v>0</v>
      </c>
      <c r="AC866" s="36" t="n">
        <f aca="false">IF($B866="",0,IF(AND($G866="CONTA",$I866&lt;&gt;"CONTA"),$F866,0))</f>
        <v>0</v>
      </c>
      <c r="AD866" s="36" t="n">
        <f aca="false">IF($W866="RECEITA",$F866,0)</f>
        <v>0</v>
      </c>
      <c r="AE866" s="36" t="n">
        <f aca="false">IF($W866="DESPESA",$F866,0)</f>
        <v>0</v>
      </c>
      <c r="AF866" s="36" t="n">
        <f aca="false">IF($W866="RECEITA_FINANCEIRA",$F866,0)</f>
        <v>0</v>
      </c>
      <c r="AG866" s="36" t="n">
        <f aca="false">IF($B866="",0,IF($I866="CONTA",$F866,0)-IF($G866="CONTA",$F866,0))</f>
        <v>0</v>
      </c>
      <c r="AH866" s="36" t="n">
        <f aca="false">IF($B866="",0,IF($G866="CARTAO",$F866,0)-IF($I866="CARTAO",$F866,0))</f>
        <v>0</v>
      </c>
      <c r="AI866" s="36" t="n">
        <f aca="false">IF($B866="",0,IF($I866="INVESTIMENTO",$F866,0)-IF($G866="INVESTIMENTO",$F866,0))</f>
        <v>0</v>
      </c>
      <c r="AJ866" s="35" t="str">
        <f aca="false">IF($B866="","",IF(NOT(ISNUMBER($F866)),"ERRO: valor nao numerico",IF($F866&lt;=0,"ERRO: valor deve ser maior que zero",IF(COUNTIF(MAP_TIPO,$D866)=0,"ERRO: tipo de operacao nao cadastrado",IF(COUNTIF(LST_STATUS,$E866)=0,"ERRO: status invalido",IF(AND($G866="EXTERNO",$I866="EXTERNO"),"ERRO: origem e destino externos",IF(AND($G866&lt;&gt;"EXTERNO",COUNTIFS(ENT_ID,$H866,ENT_TIPO,$G866)=0),"ERRO: origem inexistente",IF(AND($I866&lt;&gt;"EXTERNO",COUNTIFS(ENT_ID,$J866,ENT_TIPO,$I866)=0),"ERRO: destino inexistente",IF(AND($K866&lt;&gt;"",COUNTIF(CAT_ID,$K866)=0),"ERRO: categoria inexistente",IF(AND($L866&lt;&gt;"",COUNTIF(SUB_ID,$L866)=0),"ERRO: subcategoria inexistente",IF(AND($L866&lt;&gt;"",$K866&lt;&gt;"",IFERROR(INDEX(SUB_CATID,MATCH($L866,SUB_ID,0)),"")&lt;&gt;$K866),"ERRO: subcategoria nao pertence a categoria",IF(AND($O866&lt;&gt;"",COUNTIF(P_ID,$O866)=0),"ERRO: parcela inexistente",IF(AND($N866&lt;&gt;"",COUNTIF(CM_ID,$N866)=0),"ERRO: compromisso inexistente","OK")))))))))))))</f>
        <v/>
      </c>
      <c r="AK866" s="35" t="str">
        <f aca="false">IF($B866="","",IF(AND($N866="",$O866="",$P866="",$Q866="",$R866=""),"","VINCULADO: "&amp;TRIM(IF($N866&lt;&gt;"",$N866&amp;" ","")&amp;IF($O866&lt;&gt;"",$O866&amp;" ","")&amp;IF($P866&lt;&gt;"",$P866&amp;" ","")&amp;IF($Q866&lt;&gt;"",$Q866&amp;" ","")&amp;IF($R866&lt;&gt;"",$R866,""))))</f>
        <v/>
      </c>
    </row>
    <row r="867" customFormat="false" ht="15" hidden="false" customHeight="false" outlineLevel="0" collapsed="false">
      <c r="A867" s="30" t="str">
        <f aca="false">IF($B867="","","LAN-"&amp;TEXT(ROW()-4,"000000"))</f>
        <v/>
      </c>
      <c r="B867" s="31"/>
      <c r="C867" s="32"/>
      <c r="D867" s="32"/>
      <c r="E867" s="32"/>
      <c r="F867" s="33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4" t="str">
        <f aca="false">IF($B867="","",YEAR($B867))</f>
        <v/>
      </c>
      <c r="U867" s="34" t="str">
        <f aca="false">IF($B867="","",MONTH($B867))</f>
        <v/>
      </c>
      <c r="V867" s="34" t="str">
        <f aca="false">IF($B867="","",YEAR($B867)*100+MONTH($B867))</f>
        <v/>
      </c>
      <c r="W867" s="35" t="str">
        <f aca="false">IF($D867="","",IFERROR(INDEX(MAP_CLASS,MATCH($D867,MAP_TIPO,0)),"TIPO INVALIDO"))</f>
        <v/>
      </c>
      <c r="X867" s="35" t="str">
        <f aca="false">IF($K867="","",IFERROR(INDEX(CAT_NOME,MATCH($K867,CAT_ID,0)),"?"))</f>
        <v/>
      </c>
      <c r="Y867" s="35" t="str">
        <f aca="false">IF($L867="","",IFERROR(INDEX(SUB_NOME,MATCH($L867,SUB_ID,0)),"?"))</f>
        <v/>
      </c>
      <c r="Z867" s="35" t="str">
        <f aca="false">IF($G867="","",IF($G867="EXTERNO","(Externo)",IFERROR(INDEX(ENT_NOME,MATCH($H867,ENT_ID,0)),"?")))</f>
        <v/>
      </c>
      <c r="AA867" s="35" t="str">
        <f aca="false">IF($I867="","",IF($I867="EXTERNO","(Externo)",IFERROR(INDEX(ENT_NOME,MATCH($J867,ENT_ID,0)),"?")))</f>
        <v/>
      </c>
      <c r="AB867" s="36" t="n">
        <f aca="false">IF($B867="",0,IF(AND($I867="CONTA",$G867&lt;&gt;"CONTA"),$F867,0))</f>
        <v>0</v>
      </c>
      <c r="AC867" s="36" t="n">
        <f aca="false">IF($B867="",0,IF(AND($G867="CONTA",$I867&lt;&gt;"CONTA"),$F867,0))</f>
        <v>0</v>
      </c>
      <c r="AD867" s="36" t="n">
        <f aca="false">IF($W867="RECEITA",$F867,0)</f>
        <v>0</v>
      </c>
      <c r="AE867" s="36" t="n">
        <f aca="false">IF($W867="DESPESA",$F867,0)</f>
        <v>0</v>
      </c>
      <c r="AF867" s="36" t="n">
        <f aca="false">IF($W867="RECEITA_FINANCEIRA",$F867,0)</f>
        <v>0</v>
      </c>
      <c r="AG867" s="36" t="n">
        <f aca="false">IF($B867="",0,IF($I867="CONTA",$F867,0)-IF($G867="CONTA",$F867,0))</f>
        <v>0</v>
      </c>
      <c r="AH867" s="36" t="n">
        <f aca="false">IF($B867="",0,IF($G867="CARTAO",$F867,0)-IF($I867="CARTAO",$F867,0))</f>
        <v>0</v>
      </c>
      <c r="AI867" s="36" t="n">
        <f aca="false">IF($B867="",0,IF($I867="INVESTIMENTO",$F867,0)-IF($G867="INVESTIMENTO",$F867,0))</f>
        <v>0</v>
      </c>
      <c r="AJ867" s="35" t="str">
        <f aca="false">IF($B867="","",IF(NOT(ISNUMBER($F867)),"ERRO: valor nao numerico",IF($F867&lt;=0,"ERRO: valor deve ser maior que zero",IF(COUNTIF(MAP_TIPO,$D867)=0,"ERRO: tipo de operacao nao cadastrado",IF(COUNTIF(LST_STATUS,$E867)=0,"ERRO: status invalido",IF(AND($G867="EXTERNO",$I867="EXTERNO"),"ERRO: origem e destino externos",IF(AND($G867&lt;&gt;"EXTERNO",COUNTIFS(ENT_ID,$H867,ENT_TIPO,$G867)=0),"ERRO: origem inexistente",IF(AND($I867&lt;&gt;"EXTERNO",COUNTIFS(ENT_ID,$J867,ENT_TIPO,$I867)=0),"ERRO: destino inexistente",IF(AND($K867&lt;&gt;"",COUNTIF(CAT_ID,$K867)=0),"ERRO: categoria inexistente",IF(AND($L867&lt;&gt;"",COUNTIF(SUB_ID,$L867)=0),"ERRO: subcategoria inexistente",IF(AND($L867&lt;&gt;"",$K867&lt;&gt;"",IFERROR(INDEX(SUB_CATID,MATCH($L867,SUB_ID,0)),"")&lt;&gt;$K867),"ERRO: subcategoria nao pertence a categoria",IF(AND($O867&lt;&gt;"",COUNTIF(P_ID,$O867)=0),"ERRO: parcela inexistente",IF(AND($N867&lt;&gt;"",COUNTIF(CM_ID,$N867)=0),"ERRO: compromisso inexistente","OK")))))))))))))</f>
        <v/>
      </c>
      <c r="AK867" s="35" t="str">
        <f aca="false">IF($B867="","",IF(AND($N867="",$O867="",$P867="",$Q867="",$R867=""),"","VINCULADO: "&amp;TRIM(IF($N867&lt;&gt;"",$N867&amp;" ","")&amp;IF($O867&lt;&gt;"",$O867&amp;" ","")&amp;IF($P867&lt;&gt;"",$P867&amp;" ","")&amp;IF($Q867&lt;&gt;"",$Q867&amp;" ","")&amp;IF($R867&lt;&gt;"",$R867,""))))</f>
        <v/>
      </c>
    </row>
    <row r="868" customFormat="false" ht="15" hidden="false" customHeight="false" outlineLevel="0" collapsed="false">
      <c r="A868" s="30" t="str">
        <f aca="false">IF($B868="","","LAN-"&amp;TEXT(ROW()-4,"000000"))</f>
        <v/>
      </c>
      <c r="B868" s="31"/>
      <c r="C868" s="32"/>
      <c r="D868" s="32"/>
      <c r="E868" s="32"/>
      <c r="F868" s="33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4" t="str">
        <f aca="false">IF($B868="","",YEAR($B868))</f>
        <v/>
      </c>
      <c r="U868" s="34" t="str">
        <f aca="false">IF($B868="","",MONTH($B868))</f>
        <v/>
      </c>
      <c r="V868" s="34" t="str">
        <f aca="false">IF($B868="","",YEAR($B868)*100+MONTH($B868))</f>
        <v/>
      </c>
      <c r="W868" s="35" t="str">
        <f aca="false">IF($D868="","",IFERROR(INDEX(MAP_CLASS,MATCH($D868,MAP_TIPO,0)),"TIPO INVALIDO"))</f>
        <v/>
      </c>
      <c r="X868" s="35" t="str">
        <f aca="false">IF($K868="","",IFERROR(INDEX(CAT_NOME,MATCH($K868,CAT_ID,0)),"?"))</f>
        <v/>
      </c>
      <c r="Y868" s="35" t="str">
        <f aca="false">IF($L868="","",IFERROR(INDEX(SUB_NOME,MATCH($L868,SUB_ID,0)),"?"))</f>
        <v/>
      </c>
      <c r="Z868" s="35" t="str">
        <f aca="false">IF($G868="","",IF($G868="EXTERNO","(Externo)",IFERROR(INDEX(ENT_NOME,MATCH($H868,ENT_ID,0)),"?")))</f>
        <v/>
      </c>
      <c r="AA868" s="35" t="str">
        <f aca="false">IF($I868="","",IF($I868="EXTERNO","(Externo)",IFERROR(INDEX(ENT_NOME,MATCH($J868,ENT_ID,0)),"?")))</f>
        <v/>
      </c>
      <c r="AB868" s="36" t="n">
        <f aca="false">IF($B868="",0,IF(AND($I868="CONTA",$G868&lt;&gt;"CONTA"),$F868,0))</f>
        <v>0</v>
      </c>
      <c r="AC868" s="36" t="n">
        <f aca="false">IF($B868="",0,IF(AND($G868="CONTA",$I868&lt;&gt;"CONTA"),$F868,0))</f>
        <v>0</v>
      </c>
      <c r="AD868" s="36" t="n">
        <f aca="false">IF($W868="RECEITA",$F868,0)</f>
        <v>0</v>
      </c>
      <c r="AE868" s="36" t="n">
        <f aca="false">IF($W868="DESPESA",$F868,0)</f>
        <v>0</v>
      </c>
      <c r="AF868" s="36" t="n">
        <f aca="false">IF($W868="RECEITA_FINANCEIRA",$F868,0)</f>
        <v>0</v>
      </c>
      <c r="AG868" s="36" t="n">
        <f aca="false">IF($B868="",0,IF($I868="CONTA",$F868,0)-IF($G868="CONTA",$F868,0))</f>
        <v>0</v>
      </c>
      <c r="AH868" s="36" t="n">
        <f aca="false">IF($B868="",0,IF($G868="CARTAO",$F868,0)-IF($I868="CARTAO",$F868,0))</f>
        <v>0</v>
      </c>
      <c r="AI868" s="36" t="n">
        <f aca="false">IF($B868="",0,IF($I868="INVESTIMENTO",$F868,0)-IF($G868="INVESTIMENTO",$F868,0))</f>
        <v>0</v>
      </c>
      <c r="AJ868" s="35" t="str">
        <f aca="false">IF($B868="","",IF(NOT(ISNUMBER($F868)),"ERRO: valor nao numerico",IF($F868&lt;=0,"ERRO: valor deve ser maior que zero",IF(COUNTIF(MAP_TIPO,$D868)=0,"ERRO: tipo de operacao nao cadastrado",IF(COUNTIF(LST_STATUS,$E868)=0,"ERRO: status invalido",IF(AND($G868="EXTERNO",$I868="EXTERNO"),"ERRO: origem e destino externos",IF(AND($G868&lt;&gt;"EXTERNO",COUNTIFS(ENT_ID,$H868,ENT_TIPO,$G868)=0),"ERRO: origem inexistente",IF(AND($I868&lt;&gt;"EXTERNO",COUNTIFS(ENT_ID,$J868,ENT_TIPO,$I868)=0),"ERRO: destino inexistente",IF(AND($K868&lt;&gt;"",COUNTIF(CAT_ID,$K868)=0),"ERRO: categoria inexistente",IF(AND($L868&lt;&gt;"",COUNTIF(SUB_ID,$L868)=0),"ERRO: subcategoria inexistente",IF(AND($L868&lt;&gt;"",$K868&lt;&gt;"",IFERROR(INDEX(SUB_CATID,MATCH($L868,SUB_ID,0)),"")&lt;&gt;$K868),"ERRO: subcategoria nao pertence a categoria",IF(AND($O868&lt;&gt;"",COUNTIF(P_ID,$O868)=0),"ERRO: parcela inexistente",IF(AND($N868&lt;&gt;"",COUNTIF(CM_ID,$N868)=0),"ERRO: compromisso inexistente","OK")))))))))))))</f>
        <v/>
      </c>
      <c r="AK868" s="35" t="str">
        <f aca="false">IF($B868="","",IF(AND($N868="",$O868="",$P868="",$Q868="",$R868=""),"","VINCULADO: "&amp;TRIM(IF($N868&lt;&gt;"",$N868&amp;" ","")&amp;IF($O868&lt;&gt;"",$O868&amp;" ","")&amp;IF($P868&lt;&gt;"",$P868&amp;" ","")&amp;IF($Q868&lt;&gt;"",$Q868&amp;" ","")&amp;IF($R868&lt;&gt;"",$R868,""))))</f>
        <v/>
      </c>
    </row>
    <row r="869" customFormat="false" ht="15" hidden="false" customHeight="false" outlineLevel="0" collapsed="false">
      <c r="A869" s="30" t="str">
        <f aca="false">IF($B869="","","LAN-"&amp;TEXT(ROW()-4,"000000"))</f>
        <v/>
      </c>
      <c r="B869" s="31"/>
      <c r="C869" s="32"/>
      <c r="D869" s="32"/>
      <c r="E869" s="32"/>
      <c r="F869" s="33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4" t="str">
        <f aca="false">IF($B869="","",YEAR($B869))</f>
        <v/>
      </c>
      <c r="U869" s="34" t="str">
        <f aca="false">IF($B869="","",MONTH($B869))</f>
        <v/>
      </c>
      <c r="V869" s="34" t="str">
        <f aca="false">IF($B869="","",YEAR($B869)*100+MONTH($B869))</f>
        <v/>
      </c>
      <c r="W869" s="35" t="str">
        <f aca="false">IF($D869="","",IFERROR(INDEX(MAP_CLASS,MATCH($D869,MAP_TIPO,0)),"TIPO INVALIDO"))</f>
        <v/>
      </c>
      <c r="X869" s="35" t="str">
        <f aca="false">IF($K869="","",IFERROR(INDEX(CAT_NOME,MATCH($K869,CAT_ID,0)),"?"))</f>
        <v/>
      </c>
      <c r="Y869" s="35" t="str">
        <f aca="false">IF($L869="","",IFERROR(INDEX(SUB_NOME,MATCH($L869,SUB_ID,0)),"?"))</f>
        <v/>
      </c>
      <c r="Z869" s="35" t="str">
        <f aca="false">IF($G869="","",IF($G869="EXTERNO","(Externo)",IFERROR(INDEX(ENT_NOME,MATCH($H869,ENT_ID,0)),"?")))</f>
        <v/>
      </c>
      <c r="AA869" s="35" t="str">
        <f aca="false">IF($I869="","",IF($I869="EXTERNO","(Externo)",IFERROR(INDEX(ENT_NOME,MATCH($J869,ENT_ID,0)),"?")))</f>
        <v/>
      </c>
      <c r="AB869" s="36" t="n">
        <f aca="false">IF($B869="",0,IF(AND($I869="CONTA",$G869&lt;&gt;"CONTA"),$F869,0))</f>
        <v>0</v>
      </c>
      <c r="AC869" s="36" t="n">
        <f aca="false">IF($B869="",0,IF(AND($G869="CONTA",$I869&lt;&gt;"CONTA"),$F869,0))</f>
        <v>0</v>
      </c>
      <c r="AD869" s="36" t="n">
        <f aca="false">IF($W869="RECEITA",$F869,0)</f>
        <v>0</v>
      </c>
      <c r="AE869" s="36" t="n">
        <f aca="false">IF($W869="DESPESA",$F869,0)</f>
        <v>0</v>
      </c>
      <c r="AF869" s="36" t="n">
        <f aca="false">IF($W869="RECEITA_FINANCEIRA",$F869,0)</f>
        <v>0</v>
      </c>
      <c r="AG869" s="36" t="n">
        <f aca="false">IF($B869="",0,IF($I869="CONTA",$F869,0)-IF($G869="CONTA",$F869,0))</f>
        <v>0</v>
      </c>
      <c r="AH869" s="36" t="n">
        <f aca="false">IF($B869="",0,IF($G869="CARTAO",$F869,0)-IF($I869="CARTAO",$F869,0))</f>
        <v>0</v>
      </c>
      <c r="AI869" s="36" t="n">
        <f aca="false">IF($B869="",0,IF($I869="INVESTIMENTO",$F869,0)-IF($G869="INVESTIMENTO",$F869,0))</f>
        <v>0</v>
      </c>
      <c r="AJ869" s="35" t="str">
        <f aca="false">IF($B869="","",IF(NOT(ISNUMBER($F869)),"ERRO: valor nao numerico",IF($F869&lt;=0,"ERRO: valor deve ser maior que zero",IF(COUNTIF(MAP_TIPO,$D869)=0,"ERRO: tipo de operacao nao cadastrado",IF(COUNTIF(LST_STATUS,$E869)=0,"ERRO: status invalido",IF(AND($G869="EXTERNO",$I869="EXTERNO"),"ERRO: origem e destino externos",IF(AND($G869&lt;&gt;"EXTERNO",COUNTIFS(ENT_ID,$H869,ENT_TIPO,$G869)=0),"ERRO: origem inexistente",IF(AND($I869&lt;&gt;"EXTERNO",COUNTIFS(ENT_ID,$J869,ENT_TIPO,$I869)=0),"ERRO: destino inexistente",IF(AND($K869&lt;&gt;"",COUNTIF(CAT_ID,$K869)=0),"ERRO: categoria inexistente",IF(AND($L869&lt;&gt;"",COUNTIF(SUB_ID,$L869)=0),"ERRO: subcategoria inexistente",IF(AND($L869&lt;&gt;"",$K869&lt;&gt;"",IFERROR(INDEX(SUB_CATID,MATCH($L869,SUB_ID,0)),"")&lt;&gt;$K869),"ERRO: subcategoria nao pertence a categoria",IF(AND($O869&lt;&gt;"",COUNTIF(P_ID,$O869)=0),"ERRO: parcela inexistente",IF(AND($N869&lt;&gt;"",COUNTIF(CM_ID,$N869)=0),"ERRO: compromisso inexistente","OK")))))))))))))</f>
        <v/>
      </c>
      <c r="AK869" s="35" t="str">
        <f aca="false">IF($B869="","",IF(AND($N869="",$O869="",$P869="",$Q869="",$R869=""),"","VINCULADO: "&amp;TRIM(IF($N869&lt;&gt;"",$N869&amp;" ","")&amp;IF($O869&lt;&gt;"",$O869&amp;" ","")&amp;IF($P869&lt;&gt;"",$P869&amp;" ","")&amp;IF($Q869&lt;&gt;"",$Q869&amp;" ","")&amp;IF($R869&lt;&gt;"",$R869,""))))</f>
        <v/>
      </c>
    </row>
    <row r="870" customFormat="false" ht="15" hidden="false" customHeight="false" outlineLevel="0" collapsed="false">
      <c r="A870" s="30" t="str">
        <f aca="false">IF($B870="","","LAN-"&amp;TEXT(ROW()-4,"000000"))</f>
        <v/>
      </c>
      <c r="B870" s="31"/>
      <c r="C870" s="32"/>
      <c r="D870" s="32"/>
      <c r="E870" s="32"/>
      <c r="F870" s="33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4" t="str">
        <f aca="false">IF($B870="","",YEAR($B870))</f>
        <v/>
      </c>
      <c r="U870" s="34" t="str">
        <f aca="false">IF($B870="","",MONTH($B870))</f>
        <v/>
      </c>
      <c r="V870" s="34" t="str">
        <f aca="false">IF($B870="","",YEAR($B870)*100+MONTH($B870))</f>
        <v/>
      </c>
      <c r="W870" s="35" t="str">
        <f aca="false">IF($D870="","",IFERROR(INDEX(MAP_CLASS,MATCH($D870,MAP_TIPO,0)),"TIPO INVALIDO"))</f>
        <v/>
      </c>
      <c r="X870" s="35" t="str">
        <f aca="false">IF($K870="","",IFERROR(INDEX(CAT_NOME,MATCH($K870,CAT_ID,0)),"?"))</f>
        <v/>
      </c>
      <c r="Y870" s="35" t="str">
        <f aca="false">IF($L870="","",IFERROR(INDEX(SUB_NOME,MATCH($L870,SUB_ID,0)),"?"))</f>
        <v/>
      </c>
      <c r="Z870" s="35" t="str">
        <f aca="false">IF($G870="","",IF($G870="EXTERNO","(Externo)",IFERROR(INDEX(ENT_NOME,MATCH($H870,ENT_ID,0)),"?")))</f>
        <v/>
      </c>
      <c r="AA870" s="35" t="str">
        <f aca="false">IF($I870="","",IF($I870="EXTERNO","(Externo)",IFERROR(INDEX(ENT_NOME,MATCH($J870,ENT_ID,0)),"?")))</f>
        <v/>
      </c>
      <c r="AB870" s="36" t="n">
        <f aca="false">IF($B870="",0,IF(AND($I870="CONTA",$G870&lt;&gt;"CONTA"),$F870,0))</f>
        <v>0</v>
      </c>
      <c r="AC870" s="36" t="n">
        <f aca="false">IF($B870="",0,IF(AND($G870="CONTA",$I870&lt;&gt;"CONTA"),$F870,0))</f>
        <v>0</v>
      </c>
      <c r="AD870" s="36" t="n">
        <f aca="false">IF($W870="RECEITA",$F870,0)</f>
        <v>0</v>
      </c>
      <c r="AE870" s="36" t="n">
        <f aca="false">IF($W870="DESPESA",$F870,0)</f>
        <v>0</v>
      </c>
      <c r="AF870" s="36" t="n">
        <f aca="false">IF($W870="RECEITA_FINANCEIRA",$F870,0)</f>
        <v>0</v>
      </c>
      <c r="AG870" s="36" t="n">
        <f aca="false">IF($B870="",0,IF($I870="CONTA",$F870,0)-IF($G870="CONTA",$F870,0))</f>
        <v>0</v>
      </c>
      <c r="AH870" s="36" t="n">
        <f aca="false">IF($B870="",0,IF($G870="CARTAO",$F870,0)-IF($I870="CARTAO",$F870,0))</f>
        <v>0</v>
      </c>
      <c r="AI870" s="36" t="n">
        <f aca="false">IF($B870="",0,IF($I870="INVESTIMENTO",$F870,0)-IF($G870="INVESTIMENTO",$F870,0))</f>
        <v>0</v>
      </c>
      <c r="AJ870" s="35" t="str">
        <f aca="false">IF($B870="","",IF(NOT(ISNUMBER($F870)),"ERRO: valor nao numerico",IF($F870&lt;=0,"ERRO: valor deve ser maior que zero",IF(COUNTIF(MAP_TIPO,$D870)=0,"ERRO: tipo de operacao nao cadastrado",IF(COUNTIF(LST_STATUS,$E870)=0,"ERRO: status invalido",IF(AND($G870="EXTERNO",$I870="EXTERNO"),"ERRO: origem e destino externos",IF(AND($G870&lt;&gt;"EXTERNO",COUNTIFS(ENT_ID,$H870,ENT_TIPO,$G870)=0),"ERRO: origem inexistente",IF(AND($I870&lt;&gt;"EXTERNO",COUNTIFS(ENT_ID,$J870,ENT_TIPO,$I870)=0),"ERRO: destino inexistente",IF(AND($K870&lt;&gt;"",COUNTIF(CAT_ID,$K870)=0),"ERRO: categoria inexistente",IF(AND($L870&lt;&gt;"",COUNTIF(SUB_ID,$L870)=0),"ERRO: subcategoria inexistente",IF(AND($L870&lt;&gt;"",$K870&lt;&gt;"",IFERROR(INDEX(SUB_CATID,MATCH($L870,SUB_ID,0)),"")&lt;&gt;$K870),"ERRO: subcategoria nao pertence a categoria",IF(AND($O870&lt;&gt;"",COUNTIF(P_ID,$O870)=0),"ERRO: parcela inexistente",IF(AND($N870&lt;&gt;"",COUNTIF(CM_ID,$N870)=0),"ERRO: compromisso inexistente","OK")))))))))))))</f>
        <v/>
      </c>
      <c r="AK870" s="35" t="str">
        <f aca="false">IF($B870="","",IF(AND($N870="",$O870="",$P870="",$Q870="",$R870=""),"","VINCULADO: "&amp;TRIM(IF($N870&lt;&gt;"",$N870&amp;" ","")&amp;IF($O870&lt;&gt;"",$O870&amp;" ","")&amp;IF($P870&lt;&gt;"",$P870&amp;" ","")&amp;IF($Q870&lt;&gt;"",$Q870&amp;" ","")&amp;IF($R870&lt;&gt;"",$R870,""))))</f>
        <v/>
      </c>
    </row>
    <row r="871" customFormat="false" ht="15" hidden="false" customHeight="false" outlineLevel="0" collapsed="false">
      <c r="A871" s="30" t="str">
        <f aca="false">IF($B871="","","LAN-"&amp;TEXT(ROW()-4,"000000"))</f>
        <v/>
      </c>
      <c r="B871" s="31"/>
      <c r="C871" s="32"/>
      <c r="D871" s="32"/>
      <c r="E871" s="32"/>
      <c r="F871" s="33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4" t="str">
        <f aca="false">IF($B871="","",YEAR($B871))</f>
        <v/>
      </c>
      <c r="U871" s="34" t="str">
        <f aca="false">IF($B871="","",MONTH($B871))</f>
        <v/>
      </c>
      <c r="V871" s="34" t="str">
        <f aca="false">IF($B871="","",YEAR($B871)*100+MONTH($B871))</f>
        <v/>
      </c>
      <c r="W871" s="35" t="str">
        <f aca="false">IF($D871="","",IFERROR(INDEX(MAP_CLASS,MATCH($D871,MAP_TIPO,0)),"TIPO INVALIDO"))</f>
        <v/>
      </c>
      <c r="X871" s="35" t="str">
        <f aca="false">IF($K871="","",IFERROR(INDEX(CAT_NOME,MATCH($K871,CAT_ID,0)),"?"))</f>
        <v/>
      </c>
      <c r="Y871" s="35" t="str">
        <f aca="false">IF($L871="","",IFERROR(INDEX(SUB_NOME,MATCH($L871,SUB_ID,0)),"?"))</f>
        <v/>
      </c>
      <c r="Z871" s="35" t="str">
        <f aca="false">IF($G871="","",IF($G871="EXTERNO","(Externo)",IFERROR(INDEX(ENT_NOME,MATCH($H871,ENT_ID,0)),"?")))</f>
        <v/>
      </c>
      <c r="AA871" s="35" t="str">
        <f aca="false">IF($I871="","",IF($I871="EXTERNO","(Externo)",IFERROR(INDEX(ENT_NOME,MATCH($J871,ENT_ID,0)),"?")))</f>
        <v/>
      </c>
      <c r="AB871" s="36" t="n">
        <f aca="false">IF($B871="",0,IF(AND($I871="CONTA",$G871&lt;&gt;"CONTA"),$F871,0))</f>
        <v>0</v>
      </c>
      <c r="AC871" s="36" t="n">
        <f aca="false">IF($B871="",0,IF(AND($G871="CONTA",$I871&lt;&gt;"CONTA"),$F871,0))</f>
        <v>0</v>
      </c>
      <c r="AD871" s="36" t="n">
        <f aca="false">IF($W871="RECEITA",$F871,0)</f>
        <v>0</v>
      </c>
      <c r="AE871" s="36" t="n">
        <f aca="false">IF($W871="DESPESA",$F871,0)</f>
        <v>0</v>
      </c>
      <c r="AF871" s="36" t="n">
        <f aca="false">IF($W871="RECEITA_FINANCEIRA",$F871,0)</f>
        <v>0</v>
      </c>
      <c r="AG871" s="36" t="n">
        <f aca="false">IF($B871="",0,IF($I871="CONTA",$F871,0)-IF($G871="CONTA",$F871,0))</f>
        <v>0</v>
      </c>
      <c r="AH871" s="36" t="n">
        <f aca="false">IF($B871="",0,IF($G871="CARTAO",$F871,0)-IF($I871="CARTAO",$F871,0))</f>
        <v>0</v>
      </c>
      <c r="AI871" s="36" t="n">
        <f aca="false">IF($B871="",0,IF($I871="INVESTIMENTO",$F871,0)-IF($G871="INVESTIMENTO",$F871,0))</f>
        <v>0</v>
      </c>
      <c r="AJ871" s="35" t="str">
        <f aca="false">IF($B871="","",IF(NOT(ISNUMBER($F871)),"ERRO: valor nao numerico",IF($F871&lt;=0,"ERRO: valor deve ser maior que zero",IF(COUNTIF(MAP_TIPO,$D871)=0,"ERRO: tipo de operacao nao cadastrado",IF(COUNTIF(LST_STATUS,$E871)=0,"ERRO: status invalido",IF(AND($G871="EXTERNO",$I871="EXTERNO"),"ERRO: origem e destino externos",IF(AND($G871&lt;&gt;"EXTERNO",COUNTIFS(ENT_ID,$H871,ENT_TIPO,$G871)=0),"ERRO: origem inexistente",IF(AND($I871&lt;&gt;"EXTERNO",COUNTIFS(ENT_ID,$J871,ENT_TIPO,$I871)=0),"ERRO: destino inexistente",IF(AND($K871&lt;&gt;"",COUNTIF(CAT_ID,$K871)=0),"ERRO: categoria inexistente",IF(AND($L871&lt;&gt;"",COUNTIF(SUB_ID,$L871)=0),"ERRO: subcategoria inexistente",IF(AND($L871&lt;&gt;"",$K871&lt;&gt;"",IFERROR(INDEX(SUB_CATID,MATCH($L871,SUB_ID,0)),"")&lt;&gt;$K871),"ERRO: subcategoria nao pertence a categoria",IF(AND($O871&lt;&gt;"",COUNTIF(P_ID,$O871)=0),"ERRO: parcela inexistente",IF(AND($N871&lt;&gt;"",COUNTIF(CM_ID,$N871)=0),"ERRO: compromisso inexistente","OK")))))))))))))</f>
        <v/>
      </c>
      <c r="AK871" s="35" t="str">
        <f aca="false">IF($B871="","",IF(AND($N871="",$O871="",$P871="",$Q871="",$R871=""),"","VINCULADO: "&amp;TRIM(IF($N871&lt;&gt;"",$N871&amp;" ","")&amp;IF($O871&lt;&gt;"",$O871&amp;" ","")&amp;IF($P871&lt;&gt;"",$P871&amp;" ","")&amp;IF($Q871&lt;&gt;"",$Q871&amp;" ","")&amp;IF($R871&lt;&gt;"",$R871,""))))</f>
        <v/>
      </c>
    </row>
    <row r="872" customFormat="false" ht="15" hidden="false" customHeight="false" outlineLevel="0" collapsed="false">
      <c r="A872" s="30" t="str">
        <f aca="false">IF($B872="","","LAN-"&amp;TEXT(ROW()-4,"000000"))</f>
        <v/>
      </c>
      <c r="B872" s="31"/>
      <c r="C872" s="32"/>
      <c r="D872" s="32"/>
      <c r="E872" s="32"/>
      <c r="F872" s="33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4" t="str">
        <f aca="false">IF($B872="","",YEAR($B872))</f>
        <v/>
      </c>
      <c r="U872" s="34" t="str">
        <f aca="false">IF($B872="","",MONTH($B872))</f>
        <v/>
      </c>
      <c r="V872" s="34" t="str">
        <f aca="false">IF($B872="","",YEAR($B872)*100+MONTH($B872))</f>
        <v/>
      </c>
      <c r="W872" s="35" t="str">
        <f aca="false">IF($D872="","",IFERROR(INDEX(MAP_CLASS,MATCH($D872,MAP_TIPO,0)),"TIPO INVALIDO"))</f>
        <v/>
      </c>
      <c r="X872" s="35" t="str">
        <f aca="false">IF($K872="","",IFERROR(INDEX(CAT_NOME,MATCH($K872,CAT_ID,0)),"?"))</f>
        <v/>
      </c>
      <c r="Y872" s="35" t="str">
        <f aca="false">IF($L872="","",IFERROR(INDEX(SUB_NOME,MATCH($L872,SUB_ID,0)),"?"))</f>
        <v/>
      </c>
      <c r="Z872" s="35" t="str">
        <f aca="false">IF($G872="","",IF($G872="EXTERNO","(Externo)",IFERROR(INDEX(ENT_NOME,MATCH($H872,ENT_ID,0)),"?")))</f>
        <v/>
      </c>
      <c r="AA872" s="35" t="str">
        <f aca="false">IF($I872="","",IF($I872="EXTERNO","(Externo)",IFERROR(INDEX(ENT_NOME,MATCH($J872,ENT_ID,0)),"?")))</f>
        <v/>
      </c>
      <c r="AB872" s="36" t="n">
        <f aca="false">IF($B872="",0,IF(AND($I872="CONTA",$G872&lt;&gt;"CONTA"),$F872,0))</f>
        <v>0</v>
      </c>
      <c r="AC872" s="36" t="n">
        <f aca="false">IF($B872="",0,IF(AND($G872="CONTA",$I872&lt;&gt;"CONTA"),$F872,0))</f>
        <v>0</v>
      </c>
      <c r="AD872" s="36" t="n">
        <f aca="false">IF($W872="RECEITA",$F872,0)</f>
        <v>0</v>
      </c>
      <c r="AE872" s="36" t="n">
        <f aca="false">IF($W872="DESPESA",$F872,0)</f>
        <v>0</v>
      </c>
      <c r="AF872" s="36" t="n">
        <f aca="false">IF($W872="RECEITA_FINANCEIRA",$F872,0)</f>
        <v>0</v>
      </c>
      <c r="AG872" s="36" t="n">
        <f aca="false">IF($B872="",0,IF($I872="CONTA",$F872,0)-IF($G872="CONTA",$F872,0))</f>
        <v>0</v>
      </c>
      <c r="AH872" s="36" t="n">
        <f aca="false">IF($B872="",0,IF($G872="CARTAO",$F872,0)-IF($I872="CARTAO",$F872,0))</f>
        <v>0</v>
      </c>
      <c r="AI872" s="36" t="n">
        <f aca="false">IF($B872="",0,IF($I872="INVESTIMENTO",$F872,0)-IF($G872="INVESTIMENTO",$F872,0))</f>
        <v>0</v>
      </c>
      <c r="AJ872" s="35" t="str">
        <f aca="false">IF($B872="","",IF(NOT(ISNUMBER($F872)),"ERRO: valor nao numerico",IF($F872&lt;=0,"ERRO: valor deve ser maior que zero",IF(COUNTIF(MAP_TIPO,$D872)=0,"ERRO: tipo de operacao nao cadastrado",IF(COUNTIF(LST_STATUS,$E872)=0,"ERRO: status invalido",IF(AND($G872="EXTERNO",$I872="EXTERNO"),"ERRO: origem e destino externos",IF(AND($G872&lt;&gt;"EXTERNO",COUNTIFS(ENT_ID,$H872,ENT_TIPO,$G872)=0),"ERRO: origem inexistente",IF(AND($I872&lt;&gt;"EXTERNO",COUNTIFS(ENT_ID,$J872,ENT_TIPO,$I872)=0),"ERRO: destino inexistente",IF(AND($K872&lt;&gt;"",COUNTIF(CAT_ID,$K872)=0),"ERRO: categoria inexistente",IF(AND($L872&lt;&gt;"",COUNTIF(SUB_ID,$L872)=0),"ERRO: subcategoria inexistente",IF(AND($L872&lt;&gt;"",$K872&lt;&gt;"",IFERROR(INDEX(SUB_CATID,MATCH($L872,SUB_ID,0)),"")&lt;&gt;$K872),"ERRO: subcategoria nao pertence a categoria",IF(AND($O872&lt;&gt;"",COUNTIF(P_ID,$O872)=0),"ERRO: parcela inexistente",IF(AND($N872&lt;&gt;"",COUNTIF(CM_ID,$N872)=0),"ERRO: compromisso inexistente","OK")))))))))))))</f>
        <v/>
      </c>
      <c r="AK872" s="35" t="str">
        <f aca="false">IF($B872="","",IF(AND($N872="",$O872="",$P872="",$Q872="",$R872=""),"","VINCULADO: "&amp;TRIM(IF($N872&lt;&gt;"",$N872&amp;" ","")&amp;IF($O872&lt;&gt;"",$O872&amp;" ","")&amp;IF($P872&lt;&gt;"",$P872&amp;" ","")&amp;IF($Q872&lt;&gt;"",$Q872&amp;" ","")&amp;IF($R872&lt;&gt;"",$R872,""))))</f>
        <v/>
      </c>
    </row>
    <row r="873" customFormat="false" ht="15" hidden="false" customHeight="false" outlineLevel="0" collapsed="false">
      <c r="A873" s="30" t="str">
        <f aca="false">IF($B873="","","LAN-"&amp;TEXT(ROW()-4,"000000"))</f>
        <v/>
      </c>
      <c r="B873" s="31"/>
      <c r="C873" s="32"/>
      <c r="D873" s="32"/>
      <c r="E873" s="32"/>
      <c r="F873" s="33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4" t="str">
        <f aca="false">IF($B873="","",YEAR($B873))</f>
        <v/>
      </c>
      <c r="U873" s="34" t="str">
        <f aca="false">IF($B873="","",MONTH($B873))</f>
        <v/>
      </c>
      <c r="V873" s="34" t="str">
        <f aca="false">IF($B873="","",YEAR($B873)*100+MONTH($B873))</f>
        <v/>
      </c>
      <c r="W873" s="35" t="str">
        <f aca="false">IF($D873="","",IFERROR(INDEX(MAP_CLASS,MATCH($D873,MAP_TIPO,0)),"TIPO INVALIDO"))</f>
        <v/>
      </c>
      <c r="X873" s="35" t="str">
        <f aca="false">IF($K873="","",IFERROR(INDEX(CAT_NOME,MATCH($K873,CAT_ID,0)),"?"))</f>
        <v/>
      </c>
      <c r="Y873" s="35" t="str">
        <f aca="false">IF($L873="","",IFERROR(INDEX(SUB_NOME,MATCH($L873,SUB_ID,0)),"?"))</f>
        <v/>
      </c>
      <c r="Z873" s="35" t="str">
        <f aca="false">IF($G873="","",IF($G873="EXTERNO","(Externo)",IFERROR(INDEX(ENT_NOME,MATCH($H873,ENT_ID,0)),"?")))</f>
        <v/>
      </c>
      <c r="AA873" s="35" t="str">
        <f aca="false">IF($I873="","",IF($I873="EXTERNO","(Externo)",IFERROR(INDEX(ENT_NOME,MATCH($J873,ENT_ID,0)),"?")))</f>
        <v/>
      </c>
      <c r="AB873" s="36" t="n">
        <f aca="false">IF($B873="",0,IF(AND($I873="CONTA",$G873&lt;&gt;"CONTA"),$F873,0))</f>
        <v>0</v>
      </c>
      <c r="AC873" s="36" t="n">
        <f aca="false">IF($B873="",0,IF(AND($G873="CONTA",$I873&lt;&gt;"CONTA"),$F873,0))</f>
        <v>0</v>
      </c>
      <c r="AD873" s="36" t="n">
        <f aca="false">IF($W873="RECEITA",$F873,0)</f>
        <v>0</v>
      </c>
      <c r="AE873" s="36" t="n">
        <f aca="false">IF($W873="DESPESA",$F873,0)</f>
        <v>0</v>
      </c>
      <c r="AF873" s="36" t="n">
        <f aca="false">IF($W873="RECEITA_FINANCEIRA",$F873,0)</f>
        <v>0</v>
      </c>
      <c r="AG873" s="36" t="n">
        <f aca="false">IF($B873="",0,IF($I873="CONTA",$F873,0)-IF($G873="CONTA",$F873,0))</f>
        <v>0</v>
      </c>
      <c r="AH873" s="36" t="n">
        <f aca="false">IF($B873="",0,IF($G873="CARTAO",$F873,0)-IF($I873="CARTAO",$F873,0))</f>
        <v>0</v>
      </c>
      <c r="AI873" s="36" t="n">
        <f aca="false">IF($B873="",0,IF($I873="INVESTIMENTO",$F873,0)-IF($G873="INVESTIMENTO",$F873,0))</f>
        <v>0</v>
      </c>
      <c r="AJ873" s="35" t="str">
        <f aca="false">IF($B873="","",IF(NOT(ISNUMBER($F873)),"ERRO: valor nao numerico",IF($F873&lt;=0,"ERRO: valor deve ser maior que zero",IF(COUNTIF(MAP_TIPO,$D873)=0,"ERRO: tipo de operacao nao cadastrado",IF(COUNTIF(LST_STATUS,$E873)=0,"ERRO: status invalido",IF(AND($G873="EXTERNO",$I873="EXTERNO"),"ERRO: origem e destino externos",IF(AND($G873&lt;&gt;"EXTERNO",COUNTIFS(ENT_ID,$H873,ENT_TIPO,$G873)=0),"ERRO: origem inexistente",IF(AND($I873&lt;&gt;"EXTERNO",COUNTIFS(ENT_ID,$J873,ENT_TIPO,$I873)=0),"ERRO: destino inexistente",IF(AND($K873&lt;&gt;"",COUNTIF(CAT_ID,$K873)=0),"ERRO: categoria inexistente",IF(AND($L873&lt;&gt;"",COUNTIF(SUB_ID,$L873)=0),"ERRO: subcategoria inexistente",IF(AND($L873&lt;&gt;"",$K873&lt;&gt;"",IFERROR(INDEX(SUB_CATID,MATCH($L873,SUB_ID,0)),"")&lt;&gt;$K873),"ERRO: subcategoria nao pertence a categoria",IF(AND($O873&lt;&gt;"",COUNTIF(P_ID,$O873)=0),"ERRO: parcela inexistente",IF(AND($N873&lt;&gt;"",COUNTIF(CM_ID,$N873)=0),"ERRO: compromisso inexistente","OK")))))))))))))</f>
        <v/>
      </c>
      <c r="AK873" s="35" t="str">
        <f aca="false">IF($B873="","",IF(AND($N873="",$O873="",$P873="",$Q873="",$R873=""),"","VINCULADO: "&amp;TRIM(IF($N873&lt;&gt;"",$N873&amp;" ","")&amp;IF($O873&lt;&gt;"",$O873&amp;" ","")&amp;IF($P873&lt;&gt;"",$P873&amp;" ","")&amp;IF($Q873&lt;&gt;"",$Q873&amp;" ","")&amp;IF($R873&lt;&gt;"",$R873,""))))</f>
        <v/>
      </c>
    </row>
    <row r="874" customFormat="false" ht="15" hidden="false" customHeight="false" outlineLevel="0" collapsed="false">
      <c r="A874" s="30" t="str">
        <f aca="false">IF($B874="","","LAN-"&amp;TEXT(ROW()-4,"000000"))</f>
        <v/>
      </c>
      <c r="B874" s="31"/>
      <c r="C874" s="32"/>
      <c r="D874" s="32"/>
      <c r="E874" s="32"/>
      <c r="F874" s="33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4" t="str">
        <f aca="false">IF($B874="","",YEAR($B874))</f>
        <v/>
      </c>
      <c r="U874" s="34" t="str">
        <f aca="false">IF($B874="","",MONTH($B874))</f>
        <v/>
      </c>
      <c r="V874" s="34" t="str">
        <f aca="false">IF($B874="","",YEAR($B874)*100+MONTH($B874))</f>
        <v/>
      </c>
      <c r="W874" s="35" t="str">
        <f aca="false">IF($D874="","",IFERROR(INDEX(MAP_CLASS,MATCH($D874,MAP_TIPO,0)),"TIPO INVALIDO"))</f>
        <v/>
      </c>
      <c r="X874" s="35" t="str">
        <f aca="false">IF($K874="","",IFERROR(INDEX(CAT_NOME,MATCH($K874,CAT_ID,0)),"?"))</f>
        <v/>
      </c>
      <c r="Y874" s="35" t="str">
        <f aca="false">IF($L874="","",IFERROR(INDEX(SUB_NOME,MATCH($L874,SUB_ID,0)),"?"))</f>
        <v/>
      </c>
      <c r="Z874" s="35" t="str">
        <f aca="false">IF($G874="","",IF($G874="EXTERNO","(Externo)",IFERROR(INDEX(ENT_NOME,MATCH($H874,ENT_ID,0)),"?")))</f>
        <v/>
      </c>
      <c r="AA874" s="35" t="str">
        <f aca="false">IF($I874="","",IF($I874="EXTERNO","(Externo)",IFERROR(INDEX(ENT_NOME,MATCH($J874,ENT_ID,0)),"?")))</f>
        <v/>
      </c>
      <c r="AB874" s="36" t="n">
        <f aca="false">IF($B874="",0,IF(AND($I874="CONTA",$G874&lt;&gt;"CONTA"),$F874,0))</f>
        <v>0</v>
      </c>
      <c r="AC874" s="36" t="n">
        <f aca="false">IF($B874="",0,IF(AND($G874="CONTA",$I874&lt;&gt;"CONTA"),$F874,0))</f>
        <v>0</v>
      </c>
      <c r="AD874" s="36" t="n">
        <f aca="false">IF($W874="RECEITA",$F874,0)</f>
        <v>0</v>
      </c>
      <c r="AE874" s="36" t="n">
        <f aca="false">IF($W874="DESPESA",$F874,0)</f>
        <v>0</v>
      </c>
      <c r="AF874" s="36" t="n">
        <f aca="false">IF($W874="RECEITA_FINANCEIRA",$F874,0)</f>
        <v>0</v>
      </c>
      <c r="AG874" s="36" t="n">
        <f aca="false">IF($B874="",0,IF($I874="CONTA",$F874,0)-IF($G874="CONTA",$F874,0))</f>
        <v>0</v>
      </c>
      <c r="AH874" s="36" t="n">
        <f aca="false">IF($B874="",0,IF($G874="CARTAO",$F874,0)-IF($I874="CARTAO",$F874,0))</f>
        <v>0</v>
      </c>
      <c r="AI874" s="36" t="n">
        <f aca="false">IF($B874="",0,IF($I874="INVESTIMENTO",$F874,0)-IF($G874="INVESTIMENTO",$F874,0))</f>
        <v>0</v>
      </c>
      <c r="AJ874" s="35" t="str">
        <f aca="false">IF($B874="","",IF(NOT(ISNUMBER($F874)),"ERRO: valor nao numerico",IF($F874&lt;=0,"ERRO: valor deve ser maior que zero",IF(COUNTIF(MAP_TIPO,$D874)=0,"ERRO: tipo de operacao nao cadastrado",IF(COUNTIF(LST_STATUS,$E874)=0,"ERRO: status invalido",IF(AND($G874="EXTERNO",$I874="EXTERNO"),"ERRO: origem e destino externos",IF(AND($G874&lt;&gt;"EXTERNO",COUNTIFS(ENT_ID,$H874,ENT_TIPO,$G874)=0),"ERRO: origem inexistente",IF(AND($I874&lt;&gt;"EXTERNO",COUNTIFS(ENT_ID,$J874,ENT_TIPO,$I874)=0),"ERRO: destino inexistente",IF(AND($K874&lt;&gt;"",COUNTIF(CAT_ID,$K874)=0),"ERRO: categoria inexistente",IF(AND($L874&lt;&gt;"",COUNTIF(SUB_ID,$L874)=0),"ERRO: subcategoria inexistente",IF(AND($L874&lt;&gt;"",$K874&lt;&gt;"",IFERROR(INDEX(SUB_CATID,MATCH($L874,SUB_ID,0)),"")&lt;&gt;$K874),"ERRO: subcategoria nao pertence a categoria",IF(AND($O874&lt;&gt;"",COUNTIF(P_ID,$O874)=0),"ERRO: parcela inexistente",IF(AND($N874&lt;&gt;"",COUNTIF(CM_ID,$N874)=0),"ERRO: compromisso inexistente","OK")))))))))))))</f>
        <v/>
      </c>
      <c r="AK874" s="35" t="str">
        <f aca="false">IF($B874="","",IF(AND($N874="",$O874="",$P874="",$Q874="",$R874=""),"","VINCULADO: "&amp;TRIM(IF($N874&lt;&gt;"",$N874&amp;" ","")&amp;IF($O874&lt;&gt;"",$O874&amp;" ","")&amp;IF($P874&lt;&gt;"",$P874&amp;" ","")&amp;IF($Q874&lt;&gt;"",$Q874&amp;" ","")&amp;IF($R874&lt;&gt;"",$R874,""))))</f>
        <v/>
      </c>
    </row>
    <row r="875" customFormat="false" ht="15" hidden="false" customHeight="false" outlineLevel="0" collapsed="false">
      <c r="A875" s="30" t="str">
        <f aca="false">IF($B875="","","LAN-"&amp;TEXT(ROW()-4,"000000"))</f>
        <v/>
      </c>
      <c r="B875" s="31"/>
      <c r="C875" s="32"/>
      <c r="D875" s="32"/>
      <c r="E875" s="32"/>
      <c r="F875" s="33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4" t="str">
        <f aca="false">IF($B875="","",YEAR($B875))</f>
        <v/>
      </c>
      <c r="U875" s="34" t="str">
        <f aca="false">IF($B875="","",MONTH($B875))</f>
        <v/>
      </c>
      <c r="V875" s="34" t="str">
        <f aca="false">IF($B875="","",YEAR($B875)*100+MONTH($B875))</f>
        <v/>
      </c>
      <c r="W875" s="35" t="str">
        <f aca="false">IF($D875="","",IFERROR(INDEX(MAP_CLASS,MATCH($D875,MAP_TIPO,0)),"TIPO INVALIDO"))</f>
        <v/>
      </c>
      <c r="X875" s="35" t="str">
        <f aca="false">IF($K875="","",IFERROR(INDEX(CAT_NOME,MATCH($K875,CAT_ID,0)),"?"))</f>
        <v/>
      </c>
      <c r="Y875" s="35" t="str">
        <f aca="false">IF($L875="","",IFERROR(INDEX(SUB_NOME,MATCH($L875,SUB_ID,0)),"?"))</f>
        <v/>
      </c>
      <c r="Z875" s="35" t="str">
        <f aca="false">IF($G875="","",IF($G875="EXTERNO","(Externo)",IFERROR(INDEX(ENT_NOME,MATCH($H875,ENT_ID,0)),"?")))</f>
        <v/>
      </c>
      <c r="AA875" s="35" t="str">
        <f aca="false">IF($I875="","",IF($I875="EXTERNO","(Externo)",IFERROR(INDEX(ENT_NOME,MATCH($J875,ENT_ID,0)),"?")))</f>
        <v/>
      </c>
      <c r="AB875" s="36" t="n">
        <f aca="false">IF($B875="",0,IF(AND($I875="CONTA",$G875&lt;&gt;"CONTA"),$F875,0))</f>
        <v>0</v>
      </c>
      <c r="AC875" s="36" t="n">
        <f aca="false">IF($B875="",0,IF(AND($G875="CONTA",$I875&lt;&gt;"CONTA"),$F875,0))</f>
        <v>0</v>
      </c>
      <c r="AD875" s="36" t="n">
        <f aca="false">IF($W875="RECEITA",$F875,0)</f>
        <v>0</v>
      </c>
      <c r="AE875" s="36" t="n">
        <f aca="false">IF($W875="DESPESA",$F875,0)</f>
        <v>0</v>
      </c>
      <c r="AF875" s="36" t="n">
        <f aca="false">IF($W875="RECEITA_FINANCEIRA",$F875,0)</f>
        <v>0</v>
      </c>
      <c r="AG875" s="36" t="n">
        <f aca="false">IF($B875="",0,IF($I875="CONTA",$F875,0)-IF($G875="CONTA",$F875,0))</f>
        <v>0</v>
      </c>
      <c r="AH875" s="36" t="n">
        <f aca="false">IF($B875="",0,IF($G875="CARTAO",$F875,0)-IF($I875="CARTAO",$F875,0))</f>
        <v>0</v>
      </c>
      <c r="AI875" s="36" t="n">
        <f aca="false">IF($B875="",0,IF($I875="INVESTIMENTO",$F875,0)-IF($G875="INVESTIMENTO",$F875,0))</f>
        <v>0</v>
      </c>
      <c r="AJ875" s="35" t="str">
        <f aca="false">IF($B875="","",IF(NOT(ISNUMBER($F875)),"ERRO: valor nao numerico",IF($F875&lt;=0,"ERRO: valor deve ser maior que zero",IF(COUNTIF(MAP_TIPO,$D875)=0,"ERRO: tipo de operacao nao cadastrado",IF(COUNTIF(LST_STATUS,$E875)=0,"ERRO: status invalido",IF(AND($G875="EXTERNO",$I875="EXTERNO"),"ERRO: origem e destino externos",IF(AND($G875&lt;&gt;"EXTERNO",COUNTIFS(ENT_ID,$H875,ENT_TIPO,$G875)=0),"ERRO: origem inexistente",IF(AND($I875&lt;&gt;"EXTERNO",COUNTIFS(ENT_ID,$J875,ENT_TIPO,$I875)=0),"ERRO: destino inexistente",IF(AND($K875&lt;&gt;"",COUNTIF(CAT_ID,$K875)=0),"ERRO: categoria inexistente",IF(AND($L875&lt;&gt;"",COUNTIF(SUB_ID,$L875)=0),"ERRO: subcategoria inexistente",IF(AND($L875&lt;&gt;"",$K875&lt;&gt;"",IFERROR(INDEX(SUB_CATID,MATCH($L875,SUB_ID,0)),"")&lt;&gt;$K875),"ERRO: subcategoria nao pertence a categoria",IF(AND($O875&lt;&gt;"",COUNTIF(P_ID,$O875)=0),"ERRO: parcela inexistente",IF(AND($N875&lt;&gt;"",COUNTIF(CM_ID,$N875)=0),"ERRO: compromisso inexistente","OK")))))))))))))</f>
        <v/>
      </c>
      <c r="AK875" s="35" t="str">
        <f aca="false">IF($B875="","",IF(AND($N875="",$O875="",$P875="",$Q875="",$R875=""),"","VINCULADO: "&amp;TRIM(IF($N875&lt;&gt;"",$N875&amp;" ","")&amp;IF($O875&lt;&gt;"",$O875&amp;" ","")&amp;IF($P875&lt;&gt;"",$P875&amp;" ","")&amp;IF($Q875&lt;&gt;"",$Q875&amp;" ","")&amp;IF($R875&lt;&gt;"",$R875,""))))</f>
        <v/>
      </c>
    </row>
    <row r="876" customFormat="false" ht="15" hidden="false" customHeight="false" outlineLevel="0" collapsed="false">
      <c r="A876" s="30" t="str">
        <f aca="false">IF($B876="","","LAN-"&amp;TEXT(ROW()-4,"000000"))</f>
        <v/>
      </c>
      <c r="B876" s="31"/>
      <c r="C876" s="32"/>
      <c r="D876" s="32"/>
      <c r="E876" s="32"/>
      <c r="F876" s="33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4" t="str">
        <f aca="false">IF($B876="","",YEAR($B876))</f>
        <v/>
      </c>
      <c r="U876" s="34" t="str">
        <f aca="false">IF($B876="","",MONTH($B876))</f>
        <v/>
      </c>
      <c r="V876" s="34" t="str">
        <f aca="false">IF($B876="","",YEAR($B876)*100+MONTH($B876))</f>
        <v/>
      </c>
      <c r="W876" s="35" t="str">
        <f aca="false">IF($D876="","",IFERROR(INDEX(MAP_CLASS,MATCH($D876,MAP_TIPO,0)),"TIPO INVALIDO"))</f>
        <v/>
      </c>
      <c r="X876" s="35" t="str">
        <f aca="false">IF($K876="","",IFERROR(INDEX(CAT_NOME,MATCH($K876,CAT_ID,0)),"?"))</f>
        <v/>
      </c>
      <c r="Y876" s="35" t="str">
        <f aca="false">IF($L876="","",IFERROR(INDEX(SUB_NOME,MATCH($L876,SUB_ID,0)),"?"))</f>
        <v/>
      </c>
      <c r="Z876" s="35" t="str">
        <f aca="false">IF($G876="","",IF($G876="EXTERNO","(Externo)",IFERROR(INDEX(ENT_NOME,MATCH($H876,ENT_ID,0)),"?")))</f>
        <v/>
      </c>
      <c r="AA876" s="35" t="str">
        <f aca="false">IF($I876="","",IF($I876="EXTERNO","(Externo)",IFERROR(INDEX(ENT_NOME,MATCH($J876,ENT_ID,0)),"?")))</f>
        <v/>
      </c>
      <c r="AB876" s="36" t="n">
        <f aca="false">IF($B876="",0,IF(AND($I876="CONTA",$G876&lt;&gt;"CONTA"),$F876,0))</f>
        <v>0</v>
      </c>
      <c r="AC876" s="36" t="n">
        <f aca="false">IF($B876="",0,IF(AND($G876="CONTA",$I876&lt;&gt;"CONTA"),$F876,0))</f>
        <v>0</v>
      </c>
      <c r="AD876" s="36" t="n">
        <f aca="false">IF($W876="RECEITA",$F876,0)</f>
        <v>0</v>
      </c>
      <c r="AE876" s="36" t="n">
        <f aca="false">IF($W876="DESPESA",$F876,0)</f>
        <v>0</v>
      </c>
      <c r="AF876" s="36" t="n">
        <f aca="false">IF($W876="RECEITA_FINANCEIRA",$F876,0)</f>
        <v>0</v>
      </c>
      <c r="AG876" s="36" t="n">
        <f aca="false">IF($B876="",0,IF($I876="CONTA",$F876,0)-IF($G876="CONTA",$F876,0))</f>
        <v>0</v>
      </c>
      <c r="AH876" s="36" t="n">
        <f aca="false">IF($B876="",0,IF($G876="CARTAO",$F876,0)-IF($I876="CARTAO",$F876,0))</f>
        <v>0</v>
      </c>
      <c r="AI876" s="36" t="n">
        <f aca="false">IF($B876="",0,IF($I876="INVESTIMENTO",$F876,0)-IF($G876="INVESTIMENTO",$F876,0))</f>
        <v>0</v>
      </c>
      <c r="AJ876" s="35" t="str">
        <f aca="false">IF($B876="","",IF(NOT(ISNUMBER($F876)),"ERRO: valor nao numerico",IF($F876&lt;=0,"ERRO: valor deve ser maior que zero",IF(COUNTIF(MAP_TIPO,$D876)=0,"ERRO: tipo de operacao nao cadastrado",IF(COUNTIF(LST_STATUS,$E876)=0,"ERRO: status invalido",IF(AND($G876="EXTERNO",$I876="EXTERNO"),"ERRO: origem e destino externos",IF(AND($G876&lt;&gt;"EXTERNO",COUNTIFS(ENT_ID,$H876,ENT_TIPO,$G876)=0),"ERRO: origem inexistente",IF(AND($I876&lt;&gt;"EXTERNO",COUNTIFS(ENT_ID,$J876,ENT_TIPO,$I876)=0),"ERRO: destino inexistente",IF(AND($K876&lt;&gt;"",COUNTIF(CAT_ID,$K876)=0),"ERRO: categoria inexistente",IF(AND($L876&lt;&gt;"",COUNTIF(SUB_ID,$L876)=0),"ERRO: subcategoria inexistente",IF(AND($L876&lt;&gt;"",$K876&lt;&gt;"",IFERROR(INDEX(SUB_CATID,MATCH($L876,SUB_ID,0)),"")&lt;&gt;$K876),"ERRO: subcategoria nao pertence a categoria",IF(AND($O876&lt;&gt;"",COUNTIF(P_ID,$O876)=0),"ERRO: parcela inexistente",IF(AND($N876&lt;&gt;"",COUNTIF(CM_ID,$N876)=0),"ERRO: compromisso inexistente","OK")))))))))))))</f>
        <v/>
      </c>
      <c r="AK876" s="35" t="str">
        <f aca="false">IF($B876="","",IF(AND($N876="",$O876="",$P876="",$Q876="",$R876=""),"","VINCULADO: "&amp;TRIM(IF($N876&lt;&gt;"",$N876&amp;" ","")&amp;IF($O876&lt;&gt;"",$O876&amp;" ","")&amp;IF($P876&lt;&gt;"",$P876&amp;" ","")&amp;IF($Q876&lt;&gt;"",$Q876&amp;" ","")&amp;IF($R876&lt;&gt;"",$R876,""))))</f>
        <v/>
      </c>
    </row>
    <row r="877" customFormat="false" ht="15" hidden="false" customHeight="false" outlineLevel="0" collapsed="false">
      <c r="A877" s="30" t="str">
        <f aca="false">IF($B877="","","LAN-"&amp;TEXT(ROW()-4,"000000"))</f>
        <v/>
      </c>
      <c r="B877" s="31"/>
      <c r="C877" s="32"/>
      <c r="D877" s="32"/>
      <c r="E877" s="32"/>
      <c r="F877" s="33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4" t="str">
        <f aca="false">IF($B877="","",YEAR($B877))</f>
        <v/>
      </c>
      <c r="U877" s="34" t="str">
        <f aca="false">IF($B877="","",MONTH($B877))</f>
        <v/>
      </c>
      <c r="V877" s="34" t="str">
        <f aca="false">IF($B877="","",YEAR($B877)*100+MONTH($B877))</f>
        <v/>
      </c>
      <c r="W877" s="35" t="str">
        <f aca="false">IF($D877="","",IFERROR(INDEX(MAP_CLASS,MATCH($D877,MAP_TIPO,0)),"TIPO INVALIDO"))</f>
        <v/>
      </c>
      <c r="X877" s="35" t="str">
        <f aca="false">IF($K877="","",IFERROR(INDEX(CAT_NOME,MATCH($K877,CAT_ID,0)),"?"))</f>
        <v/>
      </c>
      <c r="Y877" s="35" t="str">
        <f aca="false">IF($L877="","",IFERROR(INDEX(SUB_NOME,MATCH($L877,SUB_ID,0)),"?"))</f>
        <v/>
      </c>
      <c r="Z877" s="35" t="str">
        <f aca="false">IF($G877="","",IF($G877="EXTERNO","(Externo)",IFERROR(INDEX(ENT_NOME,MATCH($H877,ENT_ID,0)),"?")))</f>
        <v/>
      </c>
      <c r="AA877" s="35" t="str">
        <f aca="false">IF($I877="","",IF($I877="EXTERNO","(Externo)",IFERROR(INDEX(ENT_NOME,MATCH($J877,ENT_ID,0)),"?")))</f>
        <v/>
      </c>
      <c r="AB877" s="36" t="n">
        <f aca="false">IF($B877="",0,IF(AND($I877="CONTA",$G877&lt;&gt;"CONTA"),$F877,0))</f>
        <v>0</v>
      </c>
      <c r="AC877" s="36" t="n">
        <f aca="false">IF($B877="",0,IF(AND($G877="CONTA",$I877&lt;&gt;"CONTA"),$F877,0))</f>
        <v>0</v>
      </c>
      <c r="AD877" s="36" t="n">
        <f aca="false">IF($W877="RECEITA",$F877,0)</f>
        <v>0</v>
      </c>
      <c r="AE877" s="36" t="n">
        <f aca="false">IF($W877="DESPESA",$F877,0)</f>
        <v>0</v>
      </c>
      <c r="AF877" s="36" t="n">
        <f aca="false">IF($W877="RECEITA_FINANCEIRA",$F877,0)</f>
        <v>0</v>
      </c>
      <c r="AG877" s="36" t="n">
        <f aca="false">IF($B877="",0,IF($I877="CONTA",$F877,0)-IF($G877="CONTA",$F877,0))</f>
        <v>0</v>
      </c>
      <c r="AH877" s="36" t="n">
        <f aca="false">IF($B877="",0,IF($G877="CARTAO",$F877,0)-IF($I877="CARTAO",$F877,0))</f>
        <v>0</v>
      </c>
      <c r="AI877" s="36" t="n">
        <f aca="false">IF($B877="",0,IF($I877="INVESTIMENTO",$F877,0)-IF($G877="INVESTIMENTO",$F877,0))</f>
        <v>0</v>
      </c>
      <c r="AJ877" s="35" t="str">
        <f aca="false">IF($B877="","",IF(NOT(ISNUMBER($F877)),"ERRO: valor nao numerico",IF($F877&lt;=0,"ERRO: valor deve ser maior que zero",IF(COUNTIF(MAP_TIPO,$D877)=0,"ERRO: tipo de operacao nao cadastrado",IF(COUNTIF(LST_STATUS,$E877)=0,"ERRO: status invalido",IF(AND($G877="EXTERNO",$I877="EXTERNO"),"ERRO: origem e destino externos",IF(AND($G877&lt;&gt;"EXTERNO",COUNTIFS(ENT_ID,$H877,ENT_TIPO,$G877)=0),"ERRO: origem inexistente",IF(AND($I877&lt;&gt;"EXTERNO",COUNTIFS(ENT_ID,$J877,ENT_TIPO,$I877)=0),"ERRO: destino inexistente",IF(AND($K877&lt;&gt;"",COUNTIF(CAT_ID,$K877)=0),"ERRO: categoria inexistente",IF(AND($L877&lt;&gt;"",COUNTIF(SUB_ID,$L877)=0),"ERRO: subcategoria inexistente",IF(AND($L877&lt;&gt;"",$K877&lt;&gt;"",IFERROR(INDEX(SUB_CATID,MATCH($L877,SUB_ID,0)),"")&lt;&gt;$K877),"ERRO: subcategoria nao pertence a categoria",IF(AND($O877&lt;&gt;"",COUNTIF(P_ID,$O877)=0),"ERRO: parcela inexistente",IF(AND($N877&lt;&gt;"",COUNTIF(CM_ID,$N877)=0),"ERRO: compromisso inexistente","OK")))))))))))))</f>
        <v/>
      </c>
      <c r="AK877" s="35" t="str">
        <f aca="false">IF($B877="","",IF(AND($N877="",$O877="",$P877="",$Q877="",$R877=""),"","VINCULADO: "&amp;TRIM(IF($N877&lt;&gt;"",$N877&amp;" ","")&amp;IF($O877&lt;&gt;"",$O877&amp;" ","")&amp;IF($P877&lt;&gt;"",$P877&amp;" ","")&amp;IF($Q877&lt;&gt;"",$Q877&amp;" ","")&amp;IF($R877&lt;&gt;"",$R877,""))))</f>
        <v/>
      </c>
    </row>
    <row r="878" customFormat="false" ht="15" hidden="false" customHeight="false" outlineLevel="0" collapsed="false">
      <c r="A878" s="30" t="str">
        <f aca="false">IF($B878="","","LAN-"&amp;TEXT(ROW()-4,"000000"))</f>
        <v/>
      </c>
      <c r="B878" s="31"/>
      <c r="C878" s="32"/>
      <c r="D878" s="32"/>
      <c r="E878" s="32"/>
      <c r="F878" s="33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4" t="str">
        <f aca="false">IF($B878="","",YEAR($B878))</f>
        <v/>
      </c>
      <c r="U878" s="34" t="str">
        <f aca="false">IF($B878="","",MONTH($B878))</f>
        <v/>
      </c>
      <c r="V878" s="34" t="str">
        <f aca="false">IF($B878="","",YEAR($B878)*100+MONTH($B878))</f>
        <v/>
      </c>
      <c r="W878" s="35" t="str">
        <f aca="false">IF($D878="","",IFERROR(INDEX(MAP_CLASS,MATCH($D878,MAP_TIPO,0)),"TIPO INVALIDO"))</f>
        <v/>
      </c>
      <c r="X878" s="35" t="str">
        <f aca="false">IF($K878="","",IFERROR(INDEX(CAT_NOME,MATCH($K878,CAT_ID,0)),"?"))</f>
        <v/>
      </c>
      <c r="Y878" s="35" t="str">
        <f aca="false">IF($L878="","",IFERROR(INDEX(SUB_NOME,MATCH($L878,SUB_ID,0)),"?"))</f>
        <v/>
      </c>
      <c r="Z878" s="35" t="str">
        <f aca="false">IF($G878="","",IF($G878="EXTERNO","(Externo)",IFERROR(INDEX(ENT_NOME,MATCH($H878,ENT_ID,0)),"?")))</f>
        <v/>
      </c>
      <c r="AA878" s="35" t="str">
        <f aca="false">IF($I878="","",IF($I878="EXTERNO","(Externo)",IFERROR(INDEX(ENT_NOME,MATCH($J878,ENT_ID,0)),"?")))</f>
        <v/>
      </c>
      <c r="AB878" s="36" t="n">
        <f aca="false">IF($B878="",0,IF(AND($I878="CONTA",$G878&lt;&gt;"CONTA"),$F878,0))</f>
        <v>0</v>
      </c>
      <c r="AC878" s="36" t="n">
        <f aca="false">IF($B878="",0,IF(AND($G878="CONTA",$I878&lt;&gt;"CONTA"),$F878,0))</f>
        <v>0</v>
      </c>
      <c r="AD878" s="36" t="n">
        <f aca="false">IF($W878="RECEITA",$F878,0)</f>
        <v>0</v>
      </c>
      <c r="AE878" s="36" t="n">
        <f aca="false">IF($W878="DESPESA",$F878,0)</f>
        <v>0</v>
      </c>
      <c r="AF878" s="36" t="n">
        <f aca="false">IF($W878="RECEITA_FINANCEIRA",$F878,0)</f>
        <v>0</v>
      </c>
      <c r="AG878" s="36" t="n">
        <f aca="false">IF($B878="",0,IF($I878="CONTA",$F878,0)-IF($G878="CONTA",$F878,0))</f>
        <v>0</v>
      </c>
      <c r="AH878" s="36" t="n">
        <f aca="false">IF($B878="",0,IF($G878="CARTAO",$F878,0)-IF($I878="CARTAO",$F878,0))</f>
        <v>0</v>
      </c>
      <c r="AI878" s="36" t="n">
        <f aca="false">IF($B878="",0,IF($I878="INVESTIMENTO",$F878,0)-IF($G878="INVESTIMENTO",$F878,0))</f>
        <v>0</v>
      </c>
      <c r="AJ878" s="35" t="str">
        <f aca="false">IF($B878="","",IF(NOT(ISNUMBER($F878)),"ERRO: valor nao numerico",IF($F878&lt;=0,"ERRO: valor deve ser maior que zero",IF(COUNTIF(MAP_TIPO,$D878)=0,"ERRO: tipo de operacao nao cadastrado",IF(COUNTIF(LST_STATUS,$E878)=0,"ERRO: status invalido",IF(AND($G878="EXTERNO",$I878="EXTERNO"),"ERRO: origem e destino externos",IF(AND($G878&lt;&gt;"EXTERNO",COUNTIFS(ENT_ID,$H878,ENT_TIPO,$G878)=0),"ERRO: origem inexistente",IF(AND($I878&lt;&gt;"EXTERNO",COUNTIFS(ENT_ID,$J878,ENT_TIPO,$I878)=0),"ERRO: destino inexistente",IF(AND($K878&lt;&gt;"",COUNTIF(CAT_ID,$K878)=0),"ERRO: categoria inexistente",IF(AND($L878&lt;&gt;"",COUNTIF(SUB_ID,$L878)=0),"ERRO: subcategoria inexistente",IF(AND($L878&lt;&gt;"",$K878&lt;&gt;"",IFERROR(INDEX(SUB_CATID,MATCH($L878,SUB_ID,0)),"")&lt;&gt;$K878),"ERRO: subcategoria nao pertence a categoria",IF(AND($O878&lt;&gt;"",COUNTIF(P_ID,$O878)=0),"ERRO: parcela inexistente",IF(AND($N878&lt;&gt;"",COUNTIF(CM_ID,$N878)=0),"ERRO: compromisso inexistente","OK")))))))))))))</f>
        <v/>
      </c>
      <c r="AK878" s="35" t="str">
        <f aca="false">IF($B878="","",IF(AND($N878="",$O878="",$P878="",$Q878="",$R878=""),"","VINCULADO: "&amp;TRIM(IF($N878&lt;&gt;"",$N878&amp;" ","")&amp;IF($O878&lt;&gt;"",$O878&amp;" ","")&amp;IF($P878&lt;&gt;"",$P878&amp;" ","")&amp;IF($Q878&lt;&gt;"",$Q878&amp;" ","")&amp;IF($R878&lt;&gt;"",$R878,""))))</f>
        <v/>
      </c>
    </row>
    <row r="879" customFormat="false" ht="15" hidden="false" customHeight="false" outlineLevel="0" collapsed="false">
      <c r="A879" s="30" t="str">
        <f aca="false">IF($B879="","","LAN-"&amp;TEXT(ROW()-4,"000000"))</f>
        <v/>
      </c>
      <c r="B879" s="31"/>
      <c r="C879" s="32"/>
      <c r="D879" s="32"/>
      <c r="E879" s="32"/>
      <c r="F879" s="33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4" t="str">
        <f aca="false">IF($B879="","",YEAR($B879))</f>
        <v/>
      </c>
      <c r="U879" s="34" t="str">
        <f aca="false">IF($B879="","",MONTH($B879))</f>
        <v/>
      </c>
      <c r="V879" s="34" t="str">
        <f aca="false">IF($B879="","",YEAR($B879)*100+MONTH($B879))</f>
        <v/>
      </c>
      <c r="W879" s="35" t="str">
        <f aca="false">IF($D879="","",IFERROR(INDEX(MAP_CLASS,MATCH($D879,MAP_TIPO,0)),"TIPO INVALIDO"))</f>
        <v/>
      </c>
      <c r="X879" s="35" t="str">
        <f aca="false">IF($K879="","",IFERROR(INDEX(CAT_NOME,MATCH($K879,CAT_ID,0)),"?"))</f>
        <v/>
      </c>
      <c r="Y879" s="35" t="str">
        <f aca="false">IF($L879="","",IFERROR(INDEX(SUB_NOME,MATCH($L879,SUB_ID,0)),"?"))</f>
        <v/>
      </c>
      <c r="Z879" s="35" t="str">
        <f aca="false">IF($G879="","",IF($G879="EXTERNO","(Externo)",IFERROR(INDEX(ENT_NOME,MATCH($H879,ENT_ID,0)),"?")))</f>
        <v/>
      </c>
      <c r="AA879" s="35" t="str">
        <f aca="false">IF($I879="","",IF($I879="EXTERNO","(Externo)",IFERROR(INDEX(ENT_NOME,MATCH($J879,ENT_ID,0)),"?")))</f>
        <v/>
      </c>
      <c r="AB879" s="36" t="n">
        <f aca="false">IF($B879="",0,IF(AND($I879="CONTA",$G879&lt;&gt;"CONTA"),$F879,0))</f>
        <v>0</v>
      </c>
      <c r="AC879" s="36" t="n">
        <f aca="false">IF($B879="",0,IF(AND($G879="CONTA",$I879&lt;&gt;"CONTA"),$F879,0))</f>
        <v>0</v>
      </c>
      <c r="AD879" s="36" t="n">
        <f aca="false">IF($W879="RECEITA",$F879,0)</f>
        <v>0</v>
      </c>
      <c r="AE879" s="36" t="n">
        <f aca="false">IF($W879="DESPESA",$F879,0)</f>
        <v>0</v>
      </c>
      <c r="AF879" s="36" t="n">
        <f aca="false">IF($W879="RECEITA_FINANCEIRA",$F879,0)</f>
        <v>0</v>
      </c>
      <c r="AG879" s="36" t="n">
        <f aca="false">IF($B879="",0,IF($I879="CONTA",$F879,0)-IF($G879="CONTA",$F879,0))</f>
        <v>0</v>
      </c>
      <c r="AH879" s="36" t="n">
        <f aca="false">IF($B879="",0,IF($G879="CARTAO",$F879,0)-IF($I879="CARTAO",$F879,0))</f>
        <v>0</v>
      </c>
      <c r="AI879" s="36" t="n">
        <f aca="false">IF($B879="",0,IF($I879="INVESTIMENTO",$F879,0)-IF($G879="INVESTIMENTO",$F879,0))</f>
        <v>0</v>
      </c>
      <c r="AJ879" s="35" t="str">
        <f aca="false">IF($B879="","",IF(NOT(ISNUMBER($F879)),"ERRO: valor nao numerico",IF($F879&lt;=0,"ERRO: valor deve ser maior que zero",IF(COUNTIF(MAP_TIPO,$D879)=0,"ERRO: tipo de operacao nao cadastrado",IF(COUNTIF(LST_STATUS,$E879)=0,"ERRO: status invalido",IF(AND($G879="EXTERNO",$I879="EXTERNO"),"ERRO: origem e destino externos",IF(AND($G879&lt;&gt;"EXTERNO",COUNTIFS(ENT_ID,$H879,ENT_TIPO,$G879)=0),"ERRO: origem inexistente",IF(AND($I879&lt;&gt;"EXTERNO",COUNTIFS(ENT_ID,$J879,ENT_TIPO,$I879)=0),"ERRO: destino inexistente",IF(AND($K879&lt;&gt;"",COUNTIF(CAT_ID,$K879)=0),"ERRO: categoria inexistente",IF(AND($L879&lt;&gt;"",COUNTIF(SUB_ID,$L879)=0),"ERRO: subcategoria inexistente",IF(AND($L879&lt;&gt;"",$K879&lt;&gt;"",IFERROR(INDEX(SUB_CATID,MATCH($L879,SUB_ID,0)),"")&lt;&gt;$K879),"ERRO: subcategoria nao pertence a categoria",IF(AND($O879&lt;&gt;"",COUNTIF(P_ID,$O879)=0),"ERRO: parcela inexistente",IF(AND($N879&lt;&gt;"",COUNTIF(CM_ID,$N879)=0),"ERRO: compromisso inexistente","OK")))))))))))))</f>
        <v/>
      </c>
      <c r="AK879" s="35" t="str">
        <f aca="false">IF($B879="","",IF(AND($N879="",$O879="",$P879="",$Q879="",$R879=""),"","VINCULADO: "&amp;TRIM(IF($N879&lt;&gt;"",$N879&amp;" ","")&amp;IF($O879&lt;&gt;"",$O879&amp;" ","")&amp;IF($P879&lt;&gt;"",$P879&amp;" ","")&amp;IF($Q879&lt;&gt;"",$Q879&amp;" ","")&amp;IF($R879&lt;&gt;"",$R879,""))))</f>
        <v/>
      </c>
    </row>
    <row r="880" customFormat="false" ht="15" hidden="false" customHeight="false" outlineLevel="0" collapsed="false">
      <c r="A880" s="30" t="str">
        <f aca="false">IF($B880="","","LAN-"&amp;TEXT(ROW()-4,"000000"))</f>
        <v/>
      </c>
      <c r="B880" s="31"/>
      <c r="C880" s="32"/>
      <c r="D880" s="32"/>
      <c r="E880" s="32"/>
      <c r="F880" s="33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4" t="str">
        <f aca="false">IF($B880="","",YEAR($B880))</f>
        <v/>
      </c>
      <c r="U880" s="34" t="str">
        <f aca="false">IF($B880="","",MONTH($B880))</f>
        <v/>
      </c>
      <c r="V880" s="34" t="str">
        <f aca="false">IF($B880="","",YEAR($B880)*100+MONTH($B880))</f>
        <v/>
      </c>
      <c r="W880" s="35" t="str">
        <f aca="false">IF($D880="","",IFERROR(INDEX(MAP_CLASS,MATCH($D880,MAP_TIPO,0)),"TIPO INVALIDO"))</f>
        <v/>
      </c>
      <c r="X880" s="35" t="str">
        <f aca="false">IF($K880="","",IFERROR(INDEX(CAT_NOME,MATCH($K880,CAT_ID,0)),"?"))</f>
        <v/>
      </c>
      <c r="Y880" s="35" t="str">
        <f aca="false">IF($L880="","",IFERROR(INDEX(SUB_NOME,MATCH($L880,SUB_ID,0)),"?"))</f>
        <v/>
      </c>
      <c r="Z880" s="35" t="str">
        <f aca="false">IF($G880="","",IF($G880="EXTERNO","(Externo)",IFERROR(INDEX(ENT_NOME,MATCH($H880,ENT_ID,0)),"?")))</f>
        <v/>
      </c>
      <c r="AA880" s="35" t="str">
        <f aca="false">IF($I880="","",IF($I880="EXTERNO","(Externo)",IFERROR(INDEX(ENT_NOME,MATCH($J880,ENT_ID,0)),"?")))</f>
        <v/>
      </c>
      <c r="AB880" s="36" t="n">
        <f aca="false">IF($B880="",0,IF(AND($I880="CONTA",$G880&lt;&gt;"CONTA"),$F880,0))</f>
        <v>0</v>
      </c>
      <c r="AC880" s="36" t="n">
        <f aca="false">IF($B880="",0,IF(AND($G880="CONTA",$I880&lt;&gt;"CONTA"),$F880,0))</f>
        <v>0</v>
      </c>
      <c r="AD880" s="36" t="n">
        <f aca="false">IF($W880="RECEITA",$F880,0)</f>
        <v>0</v>
      </c>
      <c r="AE880" s="36" t="n">
        <f aca="false">IF($W880="DESPESA",$F880,0)</f>
        <v>0</v>
      </c>
      <c r="AF880" s="36" t="n">
        <f aca="false">IF($W880="RECEITA_FINANCEIRA",$F880,0)</f>
        <v>0</v>
      </c>
      <c r="AG880" s="36" t="n">
        <f aca="false">IF($B880="",0,IF($I880="CONTA",$F880,0)-IF($G880="CONTA",$F880,0))</f>
        <v>0</v>
      </c>
      <c r="AH880" s="36" t="n">
        <f aca="false">IF($B880="",0,IF($G880="CARTAO",$F880,0)-IF($I880="CARTAO",$F880,0))</f>
        <v>0</v>
      </c>
      <c r="AI880" s="36" t="n">
        <f aca="false">IF($B880="",0,IF($I880="INVESTIMENTO",$F880,0)-IF($G880="INVESTIMENTO",$F880,0))</f>
        <v>0</v>
      </c>
      <c r="AJ880" s="35" t="str">
        <f aca="false">IF($B880="","",IF(NOT(ISNUMBER($F880)),"ERRO: valor nao numerico",IF($F880&lt;=0,"ERRO: valor deve ser maior que zero",IF(COUNTIF(MAP_TIPO,$D880)=0,"ERRO: tipo de operacao nao cadastrado",IF(COUNTIF(LST_STATUS,$E880)=0,"ERRO: status invalido",IF(AND($G880="EXTERNO",$I880="EXTERNO"),"ERRO: origem e destino externos",IF(AND($G880&lt;&gt;"EXTERNO",COUNTIFS(ENT_ID,$H880,ENT_TIPO,$G880)=0),"ERRO: origem inexistente",IF(AND($I880&lt;&gt;"EXTERNO",COUNTIFS(ENT_ID,$J880,ENT_TIPO,$I880)=0),"ERRO: destino inexistente",IF(AND($K880&lt;&gt;"",COUNTIF(CAT_ID,$K880)=0),"ERRO: categoria inexistente",IF(AND($L880&lt;&gt;"",COUNTIF(SUB_ID,$L880)=0),"ERRO: subcategoria inexistente",IF(AND($L880&lt;&gt;"",$K880&lt;&gt;"",IFERROR(INDEX(SUB_CATID,MATCH($L880,SUB_ID,0)),"")&lt;&gt;$K880),"ERRO: subcategoria nao pertence a categoria",IF(AND($O880&lt;&gt;"",COUNTIF(P_ID,$O880)=0),"ERRO: parcela inexistente",IF(AND($N880&lt;&gt;"",COUNTIF(CM_ID,$N880)=0),"ERRO: compromisso inexistente","OK")))))))))))))</f>
        <v/>
      </c>
      <c r="AK880" s="35" t="str">
        <f aca="false">IF($B880="","",IF(AND($N880="",$O880="",$P880="",$Q880="",$R880=""),"","VINCULADO: "&amp;TRIM(IF($N880&lt;&gt;"",$N880&amp;" ","")&amp;IF($O880&lt;&gt;"",$O880&amp;" ","")&amp;IF($P880&lt;&gt;"",$P880&amp;" ","")&amp;IF($Q880&lt;&gt;"",$Q880&amp;" ","")&amp;IF($R880&lt;&gt;"",$R880,""))))</f>
        <v/>
      </c>
    </row>
    <row r="881" customFormat="false" ht="15" hidden="false" customHeight="false" outlineLevel="0" collapsed="false">
      <c r="A881" s="30" t="str">
        <f aca="false">IF($B881="","","LAN-"&amp;TEXT(ROW()-4,"000000"))</f>
        <v/>
      </c>
      <c r="B881" s="31"/>
      <c r="C881" s="32"/>
      <c r="D881" s="32"/>
      <c r="E881" s="32"/>
      <c r="F881" s="33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4" t="str">
        <f aca="false">IF($B881="","",YEAR($B881))</f>
        <v/>
      </c>
      <c r="U881" s="34" t="str">
        <f aca="false">IF($B881="","",MONTH($B881))</f>
        <v/>
      </c>
      <c r="V881" s="34" t="str">
        <f aca="false">IF($B881="","",YEAR($B881)*100+MONTH($B881))</f>
        <v/>
      </c>
      <c r="W881" s="35" t="str">
        <f aca="false">IF($D881="","",IFERROR(INDEX(MAP_CLASS,MATCH($D881,MAP_TIPO,0)),"TIPO INVALIDO"))</f>
        <v/>
      </c>
      <c r="X881" s="35" t="str">
        <f aca="false">IF($K881="","",IFERROR(INDEX(CAT_NOME,MATCH($K881,CAT_ID,0)),"?"))</f>
        <v/>
      </c>
      <c r="Y881" s="35" t="str">
        <f aca="false">IF($L881="","",IFERROR(INDEX(SUB_NOME,MATCH($L881,SUB_ID,0)),"?"))</f>
        <v/>
      </c>
      <c r="Z881" s="35" t="str">
        <f aca="false">IF($G881="","",IF($G881="EXTERNO","(Externo)",IFERROR(INDEX(ENT_NOME,MATCH($H881,ENT_ID,0)),"?")))</f>
        <v/>
      </c>
      <c r="AA881" s="35" t="str">
        <f aca="false">IF($I881="","",IF($I881="EXTERNO","(Externo)",IFERROR(INDEX(ENT_NOME,MATCH($J881,ENT_ID,0)),"?")))</f>
        <v/>
      </c>
      <c r="AB881" s="36" t="n">
        <f aca="false">IF($B881="",0,IF(AND($I881="CONTA",$G881&lt;&gt;"CONTA"),$F881,0))</f>
        <v>0</v>
      </c>
      <c r="AC881" s="36" t="n">
        <f aca="false">IF($B881="",0,IF(AND($G881="CONTA",$I881&lt;&gt;"CONTA"),$F881,0))</f>
        <v>0</v>
      </c>
      <c r="AD881" s="36" t="n">
        <f aca="false">IF($W881="RECEITA",$F881,0)</f>
        <v>0</v>
      </c>
      <c r="AE881" s="36" t="n">
        <f aca="false">IF($W881="DESPESA",$F881,0)</f>
        <v>0</v>
      </c>
      <c r="AF881" s="36" t="n">
        <f aca="false">IF($W881="RECEITA_FINANCEIRA",$F881,0)</f>
        <v>0</v>
      </c>
      <c r="AG881" s="36" t="n">
        <f aca="false">IF($B881="",0,IF($I881="CONTA",$F881,0)-IF($G881="CONTA",$F881,0))</f>
        <v>0</v>
      </c>
      <c r="AH881" s="36" t="n">
        <f aca="false">IF($B881="",0,IF($G881="CARTAO",$F881,0)-IF($I881="CARTAO",$F881,0))</f>
        <v>0</v>
      </c>
      <c r="AI881" s="36" t="n">
        <f aca="false">IF($B881="",0,IF($I881="INVESTIMENTO",$F881,0)-IF($G881="INVESTIMENTO",$F881,0))</f>
        <v>0</v>
      </c>
      <c r="AJ881" s="35" t="str">
        <f aca="false">IF($B881="","",IF(NOT(ISNUMBER($F881)),"ERRO: valor nao numerico",IF($F881&lt;=0,"ERRO: valor deve ser maior que zero",IF(COUNTIF(MAP_TIPO,$D881)=0,"ERRO: tipo de operacao nao cadastrado",IF(COUNTIF(LST_STATUS,$E881)=0,"ERRO: status invalido",IF(AND($G881="EXTERNO",$I881="EXTERNO"),"ERRO: origem e destino externos",IF(AND($G881&lt;&gt;"EXTERNO",COUNTIFS(ENT_ID,$H881,ENT_TIPO,$G881)=0),"ERRO: origem inexistente",IF(AND($I881&lt;&gt;"EXTERNO",COUNTIFS(ENT_ID,$J881,ENT_TIPO,$I881)=0),"ERRO: destino inexistente",IF(AND($K881&lt;&gt;"",COUNTIF(CAT_ID,$K881)=0),"ERRO: categoria inexistente",IF(AND($L881&lt;&gt;"",COUNTIF(SUB_ID,$L881)=0),"ERRO: subcategoria inexistente",IF(AND($L881&lt;&gt;"",$K881&lt;&gt;"",IFERROR(INDEX(SUB_CATID,MATCH($L881,SUB_ID,0)),"")&lt;&gt;$K881),"ERRO: subcategoria nao pertence a categoria",IF(AND($O881&lt;&gt;"",COUNTIF(P_ID,$O881)=0),"ERRO: parcela inexistente",IF(AND($N881&lt;&gt;"",COUNTIF(CM_ID,$N881)=0),"ERRO: compromisso inexistente","OK")))))))))))))</f>
        <v/>
      </c>
      <c r="AK881" s="35" t="str">
        <f aca="false">IF($B881="","",IF(AND($N881="",$O881="",$P881="",$Q881="",$R881=""),"","VINCULADO: "&amp;TRIM(IF($N881&lt;&gt;"",$N881&amp;" ","")&amp;IF($O881&lt;&gt;"",$O881&amp;" ","")&amp;IF($P881&lt;&gt;"",$P881&amp;" ","")&amp;IF($Q881&lt;&gt;"",$Q881&amp;" ","")&amp;IF($R881&lt;&gt;"",$R881,""))))</f>
        <v/>
      </c>
    </row>
    <row r="882" customFormat="false" ht="15" hidden="false" customHeight="false" outlineLevel="0" collapsed="false">
      <c r="A882" s="30" t="str">
        <f aca="false">IF($B882="","","LAN-"&amp;TEXT(ROW()-4,"000000"))</f>
        <v/>
      </c>
      <c r="B882" s="31"/>
      <c r="C882" s="32"/>
      <c r="D882" s="32"/>
      <c r="E882" s="32"/>
      <c r="F882" s="33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4" t="str">
        <f aca="false">IF($B882="","",YEAR($B882))</f>
        <v/>
      </c>
      <c r="U882" s="34" t="str">
        <f aca="false">IF($B882="","",MONTH($B882))</f>
        <v/>
      </c>
      <c r="V882" s="34" t="str">
        <f aca="false">IF($B882="","",YEAR($B882)*100+MONTH($B882))</f>
        <v/>
      </c>
      <c r="W882" s="35" t="str">
        <f aca="false">IF($D882="","",IFERROR(INDEX(MAP_CLASS,MATCH($D882,MAP_TIPO,0)),"TIPO INVALIDO"))</f>
        <v/>
      </c>
      <c r="X882" s="35" t="str">
        <f aca="false">IF($K882="","",IFERROR(INDEX(CAT_NOME,MATCH($K882,CAT_ID,0)),"?"))</f>
        <v/>
      </c>
      <c r="Y882" s="35" t="str">
        <f aca="false">IF($L882="","",IFERROR(INDEX(SUB_NOME,MATCH($L882,SUB_ID,0)),"?"))</f>
        <v/>
      </c>
      <c r="Z882" s="35" t="str">
        <f aca="false">IF($G882="","",IF($G882="EXTERNO","(Externo)",IFERROR(INDEX(ENT_NOME,MATCH($H882,ENT_ID,0)),"?")))</f>
        <v/>
      </c>
      <c r="AA882" s="35" t="str">
        <f aca="false">IF($I882="","",IF($I882="EXTERNO","(Externo)",IFERROR(INDEX(ENT_NOME,MATCH($J882,ENT_ID,0)),"?")))</f>
        <v/>
      </c>
      <c r="AB882" s="36" t="n">
        <f aca="false">IF($B882="",0,IF(AND($I882="CONTA",$G882&lt;&gt;"CONTA"),$F882,0))</f>
        <v>0</v>
      </c>
      <c r="AC882" s="36" t="n">
        <f aca="false">IF($B882="",0,IF(AND($G882="CONTA",$I882&lt;&gt;"CONTA"),$F882,0))</f>
        <v>0</v>
      </c>
      <c r="AD882" s="36" t="n">
        <f aca="false">IF($W882="RECEITA",$F882,0)</f>
        <v>0</v>
      </c>
      <c r="AE882" s="36" t="n">
        <f aca="false">IF($W882="DESPESA",$F882,0)</f>
        <v>0</v>
      </c>
      <c r="AF882" s="36" t="n">
        <f aca="false">IF($W882="RECEITA_FINANCEIRA",$F882,0)</f>
        <v>0</v>
      </c>
      <c r="AG882" s="36" t="n">
        <f aca="false">IF($B882="",0,IF($I882="CONTA",$F882,0)-IF($G882="CONTA",$F882,0))</f>
        <v>0</v>
      </c>
      <c r="AH882" s="36" t="n">
        <f aca="false">IF($B882="",0,IF($G882="CARTAO",$F882,0)-IF($I882="CARTAO",$F882,0))</f>
        <v>0</v>
      </c>
      <c r="AI882" s="36" t="n">
        <f aca="false">IF($B882="",0,IF($I882="INVESTIMENTO",$F882,0)-IF($G882="INVESTIMENTO",$F882,0))</f>
        <v>0</v>
      </c>
      <c r="AJ882" s="35" t="str">
        <f aca="false">IF($B882="","",IF(NOT(ISNUMBER($F882)),"ERRO: valor nao numerico",IF($F882&lt;=0,"ERRO: valor deve ser maior que zero",IF(COUNTIF(MAP_TIPO,$D882)=0,"ERRO: tipo de operacao nao cadastrado",IF(COUNTIF(LST_STATUS,$E882)=0,"ERRO: status invalido",IF(AND($G882="EXTERNO",$I882="EXTERNO"),"ERRO: origem e destino externos",IF(AND($G882&lt;&gt;"EXTERNO",COUNTIFS(ENT_ID,$H882,ENT_TIPO,$G882)=0),"ERRO: origem inexistente",IF(AND($I882&lt;&gt;"EXTERNO",COUNTIFS(ENT_ID,$J882,ENT_TIPO,$I882)=0),"ERRO: destino inexistente",IF(AND($K882&lt;&gt;"",COUNTIF(CAT_ID,$K882)=0),"ERRO: categoria inexistente",IF(AND($L882&lt;&gt;"",COUNTIF(SUB_ID,$L882)=0),"ERRO: subcategoria inexistente",IF(AND($L882&lt;&gt;"",$K882&lt;&gt;"",IFERROR(INDEX(SUB_CATID,MATCH($L882,SUB_ID,0)),"")&lt;&gt;$K882),"ERRO: subcategoria nao pertence a categoria",IF(AND($O882&lt;&gt;"",COUNTIF(P_ID,$O882)=0),"ERRO: parcela inexistente",IF(AND($N882&lt;&gt;"",COUNTIF(CM_ID,$N882)=0),"ERRO: compromisso inexistente","OK")))))))))))))</f>
        <v/>
      </c>
      <c r="AK882" s="35" t="str">
        <f aca="false">IF($B882="","",IF(AND($N882="",$O882="",$P882="",$Q882="",$R882=""),"","VINCULADO: "&amp;TRIM(IF($N882&lt;&gt;"",$N882&amp;" ","")&amp;IF($O882&lt;&gt;"",$O882&amp;" ","")&amp;IF($P882&lt;&gt;"",$P882&amp;" ","")&amp;IF($Q882&lt;&gt;"",$Q882&amp;" ","")&amp;IF($R882&lt;&gt;"",$R882,""))))</f>
        <v/>
      </c>
    </row>
    <row r="883" customFormat="false" ht="15" hidden="false" customHeight="false" outlineLevel="0" collapsed="false">
      <c r="A883" s="30" t="str">
        <f aca="false">IF($B883="","","LAN-"&amp;TEXT(ROW()-4,"000000"))</f>
        <v/>
      </c>
      <c r="B883" s="31"/>
      <c r="C883" s="32"/>
      <c r="D883" s="32"/>
      <c r="E883" s="32"/>
      <c r="F883" s="33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4" t="str">
        <f aca="false">IF($B883="","",YEAR($B883))</f>
        <v/>
      </c>
      <c r="U883" s="34" t="str">
        <f aca="false">IF($B883="","",MONTH($B883))</f>
        <v/>
      </c>
      <c r="V883" s="34" t="str">
        <f aca="false">IF($B883="","",YEAR($B883)*100+MONTH($B883))</f>
        <v/>
      </c>
      <c r="W883" s="35" t="str">
        <f aca="false">IF($D883="","",IFERROR(INDEX(MAP_CLASS,MATCH($D883,MAP_TIPO,0)),"TIPO INVALIDO"))</f>
        <v/>
      </c>
      <c r="X883" s="35" t="str">
        <f aca="false">IF($K883="","",IFERROR(INDEX(CAT_NOME,MATCH($K883,CAT_ID,0)),"?"))</f>
        <v/>
      </c>
      <c r="Y883" s="35" t="str">
        <f aca="false">IF($L883="","",IFERROR(INDEX(SUB_NOME,MATCH($L883,SUB_ID,0)),"?"))</f>
        <v/>
      </c>
      <c r="Z883" s="35" t="str">
        <f aca="false">IF($G883="","",IF($G883="EXTERNO","(Externo)",IFERROR(INDEX(ENT_NOME,MATCH($H883,ENT_ID,0)),"?")))</f>
        <v/>
      </c>
      <c r="AA883" s="35" t="str">
        <f aca="false">IF($I883="","",IF($I883="EXTERNO","(Externo)",IFERROR(INDEX(ENT_NOME,MATCH($J883,ENT_ID,0)),"?")))</f>
        <v/>
      </c>
      <c r="AB883" s="36" t="n">
        <f aca="false">IF($B883="",0,IF(AND($I883="CONTA",$G883&lt;&gt;"CONTA"),$F883,0))</f>
        <v>0</v>
      </c>
      <c r="AC883" s="36" t="n">
        <f aca="false">IF($B883="",0,IF(AND($G883="CONTA",$I883&lt;&gt;"CONTA"),$F883,0))</f>
        <v>0</v>
      </c>
      <c r="AD883" s="36" t="n">
        <f aca="false">IF($W883="RECEITA",$F883,0)</f>
        <v>0</v>
      </c>
      <c r="AE883" s="36" t="n">
        <f aca="false">IF($W883="DESPESA",$F883,0)</f>
        <v>0</v>
      </c>
      <c r="AF883" s="36" t="n">
        <f aca="false">IF($W883="RECEITA_FINANCEIRA",$F883,0)</f>
        <v>0</v>
      </c>
      <c r="AG883" s="36" t="n">
        <f aca="false">IF($B883="",0,IF($I883="CONTA",$F883,0)-IF($G883="CONTA",$F883,0))</f>
        <v>0</v>
      </c>
      <c r="AH883" s="36" t="n">
        <f aca="false">IF($B883="",0,IF($G883="CARTAO",$F883,0)-IF($I883="CARTAO",$F883,0))</f>
        <v>0</v>
      </c>
      <c r="AI883" s="36" t="n">
        <f aca="false">IF($B883="",0,IF($I883="INVESTIMENTO",$F883,0)-IF($G883="INVESTIMENTO",$F883,0))</f>
        <v>0</v>
      </c>
      <c r="AJ883" s="35" t="str">
        <f aca="false">IF($B883="","",IF(NOT(ISNUMBER($F883)),"ERRO: valor nao numerico",IF($F883&lt;=0,"ERRO: valor deve ser maior que zero",IF(COUNTIF(MAP_TIPO,$D883)=0,"ERRO: tipo de operacao nao cadastrado",IF(COUNTIF(LST_STATUS,$E883)=0,"ERRO: status invalido",IF(AND($G883="EXTERNO",$I883="EXTERNO"),"ERRO: origem e destino externos",IF(AND($G883&lt;&gt;"EXTERNO",COUNTIFS(ENT_ID,$H883,ENT_TIPO,$G883)=0),"ERRO: origem inexistente",IF(AND($I883&lt;&gt;"EXTERNO",COUNTIFS(ENT_ID,$J883,ENT_TIPO,$I883)=0),"ERRO: destino inexistente",IF(AND($K883&lt;&gt;"",COUNTIF(CAT_ID,$K883)=0),"ERRO: categoria inexistente",IF(AND($L883&lt;&gt;"",COUNTIF(SUB_ID,$L883)=0),"ERRO: subcategoria inexistente",IF(AND($L883&lt;&gt;"",$K883&lt;&gt;"",IFERROR(INDEX(SUB_CATID,MATCH($L883,SUB_ID,0)),"")&lt;&gt;$K883),"ERRO: subcategoria nao pertence a categoria",IF(AND($O883&lt;&gt;"",COUNTIF(P_ID,$O883)=0),"ERRO: parcela inexistente",IF(AND($N883&lt;&gt;"",COUNTIF(CM_ID,$N883)=0),"ERRO: compromisso inexistente","OK")))))))))))))</f>
        <v/>
      </c>
      <c r="AK883" s="35" t="str">
        <f aca="false">IF($B883="","",IF(AND($N883="",$O883="",$P883="",$Q883="",$R883=""),"","VINCULADO: "&amp;TRIM(IF($N883&lt;&gt;"",$N883&amp;" ","")&amp;IF($O883&lt;&gt;"",$O883&amp;" ","")&amp;IF($P883&lt;&gt;"",$P883&amp;" ","")&amp;IF($Q883&lt;&gt;"",$Q883&amp;" ","")&amp;IF($R883&lt;&gt;"",$R883,""))))</f>
        <v/>
      </c>
    </row>
    <row r="884" customFormat="false" ht="15" hidden="false" customHeight="false" outlineLevel="0" collapsed="false">
      <c r="A884" s="30" t="str">
        <f aca="false">IF($B884="","","LAN-"&amp;TEXT(ROW()-4,"000000"))</f>
        <v/>
      </c>
      <c r="B884" s="31"/>
      <c r="C884" s="32"/>
      <c r="D884" s="32"/>
      <c r="E884" s="32"/>
      <c r="F884" s="33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4" t="str">
        <f aca="false">IF($B884="","",YEAR($B884))</f>
        <v/>
      </c>
      <c r="U884" s="34" t="str">
        <f aca="false">IF($B884="","",MONTH($B884))</f>
        <v/>
      </c>
      <c r="V884" s="34" t="str">
        <f aca="false">IF($B884="","",YEAR($B884)*100+MONTH($B884))</f>
        <v/>
      </c>
      <c r="W884" s="35" t="str">
        <f aca="false">IF($D884="","",IFERROR(INDEX(MAP_CLASS,MATCH($D884,MAP_TIPO,0)),"TIPO INVALIDO"))</f>
        <v/>
      </c>
      <c r="X884" s="35" t="str">
        <f aca="false">IF($K884="","",IFERROR(INDEX(CAT_NOME,MATCH($K884,CAT_ID,0)),"?"))</f>
        <v/>
      </c>
      <c r="Y884" s="35" t="str">
        <f aca="false">IF($L884="","",IFERROR(INDEX(SUB_NOME,MATCH($L884,SUB_ID,0)),"?"))</f>
        <v/>
      </c>
      <c r="Z884" s="35" t="str">
        <f aca="false">IF($G884="","",IF($G884="EXTERNO","(Externo)",IFERROR(INDEX(ENT_NOME,MATCH($H884,ENT_ID,0)),"?")))</f>
        <v/>
      </c>
      <c r="AA884" s="35" t="str">
        <f aca="false">IF($I884="","",IF($I884="EXTERNO","(Externo)",IFERROR(INDEX(ENT_NOME,MATCH($J884,ENT_ID,0)),"?")))</f>
        <v/>
      </c>
      <c r="AB884" s="36" t="n">
        <f aca="false">IF($B884="",0,IF(AND($I884="CONTA",$G884&lt;&gt;"CONTA"),$F884,0))</f>
        <v>0</v>
      </c>
      <c r="AC884" s="36" t="n">
        <f aca="false">IF($B884="",0,IF(AND($G884="CONTA",$I884&lt;&gt;"CONTA"),$F884,0))</f>
        <v>0</v>
      </c>
      <c r="AD884" s="36" t="n">
        <f aca="false">IF($W884="RECEITA",$F884,0)</f>
        <v>0</v>
      </c>
      <c r="AE884" s="36" t="n">
        <f aca="false">IF($W884="DESPESA",$F884,0)</f>
        <v>0</v>
      </c>
      <c r="AF884" s="36" t="n">
        <f aca="false">IF($W884="RECEITA_FINANCEIRA",$F884,0)</f>
        <v>0</v>
      </c>
      <c r="AG884" s="36" t="n">
        <f aca="false">IF($B884="",0,IF($I884="CONTA",$F884,0)-IF($G884="CONTA",$F884,0))</f>
        <v>0</v>
      </c>
      <c r="AH884" s="36" t="n">
        <f aca="false">IF($B884="",0,IF($G884="CARTAO",$F884,0)-IF($I884="CARTAO",$F884,0))</f>
        <v>0</v>
      </c>
      <c r="AI884" s="36" t="n">
        <f aca="false">IF($B884="",0,IF($I884="INVESTIMENTO",$F884,0)-IF($G884="INVESTIMENTO",$F884,0))</f>
        <v>0</v>
      </c>
      <c r="AJ884" s="35" t="str">
        <f aca="false">IF($B884="","",IF(NOT(ISNUMBER($F884)),"ERRO: valor nao numerico",IF($F884&lt;=0,"ERRO: valor deve ser maior que zero",IF(COUNTIF(MAP_TIPO,$D884)=0,"ERRO: tipo de operacao nao cadastrado",IF(COUNTIF(LST_STATUS,$E884)=0,"ERRO: status invalido",IF(AND($G884="EXTERNO",$I884="EXTERNO"),"ERRO: origem e destino externos",IF(AND($G884&lt;&gt;"EXTERNO",COUNTIFS(ENT_ID,$H884,ENT_TIPO,$G884)=0),"ERRO: origem inexistente",IF(AND($I884&lt;&gt;"EXTERNO",COUNTIFS(ENT_ID,$J884,ENT_TIPO,$I884)=0),"ERRO: destino inexistente",IF(AND($K884&lt;&gt;"",COUNTIF(CAT_ID,$K884)=0),"ERRO: categoria inexistente",IF(AND($L884&lt;&gt;"",COUNTIF(SUB_ID,$L884)=0),"ERRO: subcategoria inexistente",IF(AND($L884&lt;&gt;"",$K884&lt;&gt;"",IFERROR(INDEX(SUB_CATID,MATCH($L884,SUB_ID,0)),"")&lt;&gt;$K884),"ERRO: subcategoria nao pertence a categoria",IF(AND($O884&lt;&gt;"",COUNTIF(P_ID,$O884)=0),"ERRO: parcela inexistente",IF(AND($N884&lt;&gt;"",COUNTIF(CM_ID,$N884)=0),"ERRO: compromisso inexistente","OK")))))))))))))</f>
        <v/>
      </c>
      <c r="AK884" s="35" t="str">
        <f aca="false">IF($B884="","",IF(AND($N884="",$O884="",$P884="",$Q884="",$R884=""),"","VINCULADO: "&amp;TRIM(IF($N884&lt;&gt;"",$N884&amp;" ","")&amp;IF($O884&lt;&gt;"",$O884&amp;" ","")&amp;IF($P884&lt;&gt;"",$P884&amp;" ","")&amp;IF($Q884&lt;&gt;"",$Q884&amp;" ","")&amp;IF($R884&lt;&gt;"",$R884,""))))</f>
        <v/>
      </c>
    </row>
    <row r="885" customFormat="false" ht="15" hidden="false" customHeight="false" outlineLevel="0" collapsed="false">
      <c r="A885" s="30" t="str">
        <f aca="false">IF($B885="","","LAN-"&amp;TEXT(ROW()-4,"000000"))</f>
        <v/>
      </c>
      <c r="B885" s="31"/>
      <c r="C885" s="32"/>
      <c r="D885" s="32"/>
      <c r="E885" s="32"/>
      <c r="F885" s="33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4" t="str">
        <f aca="false">IF($B885="","",YEAR($B885))</f>
        <v/>
      </c>
      <c r="U885" s="34" t="str">
        <f aca="false">IF($B885="","",MONTH($B885))</f>
        <v/>
      </c>
      <c r="V885" s="34" t="str">
        <f aca="false">IF($B885="","",YEAR($B885)*100+MONTH($B885))</f>
        <v/>
      </c>
      <c r="W885" s="35" t="str">
        <f aca="false">IF($D885="","",IFERROR(INDEX(MAP_CLASS,MATCH($D885,MAP_TIPO,0)),"TIPO INVALIDO"))</f>
        <v/>
      </c>
      <c r="X885" s="35" t="str">
        <f aca="false">IF($K885="","",IFERROR(INDEX(CAT_NOME,MATCH($K885,CAT_ID,0)),"?"))</f>
        <v/>
      </c>
      <c r="Y885" s="35" t="str">
        <f aca="false">IF($L885="","",IFERROR(INDEX(SUB_NOME,MATCH($L885,SUB_ID,0)),"?"))</f>
        <v/>
      </c>
      <c r="Z885" s="35" t="str">
        <f aca="false">IF($G885="","",IF($G885="EXTERNO","(Externo)",IFERROR(INDEX(ENT_NOME,MATCH($H885,ENT_ID,0)),"?")))</f>
        <v/>
      </c>
      <c r="AA885" s="35" t="str">
        <f aca="false">IF($I885="","",IF($I885="EXTERNO","(Externo)",IFERROR(INDEX(ENT_NOME,MATCH($J885,ENT_ID,0)),"?")))</f>
        <v/>
      </c>
      <c r="AB885" s="36" t="n">
        <f aca="false">IF($B885="",0,IF(AND($I885="CONTA",$G885&lt;&gt;"CONTA"),$F885,0))</f>
        <v>0</v>
      </c>
      <c r="AC885" s="36" t="n">
        <f aca="false">IF($B885="",0,IF(AND($G885="CONTA",$I885&lt;&gt;"CONTA"),$F885,0))</f>
        <v>0</v>
      </c>
      <c r="AD885" s="36" t="n">
        <f aca="false">IF($W885="RECEITA",$F885,0)</f>
        <v>0</v>
      </c>
      <c r="AE885" s="36" t="n">
        <f aca="false">IF($W885="DESPESA",$F885,0)</f>
        <v>0</v>
      </c>
      <c r="AF885" s="36" t="n">
        <f aca="false">IF($W885="RECEITA_FINANCEIRA",$F885,0)</f>
        <v>0</v>
      </c>
      <c r="AG885" s="36" t="n">
        <f aca="false">IF($B885="",0,IF($I885="CONTA",$F885,0)-IF($G885="CONTA",$F885,0))</f>
        <v>0</v>
      </c>
      <c r="AH885" s="36" t="n">
        <f aca="false">IF($B885="",0,IF($G885="CARTAO",$F885,0)-IF($I885="CARTAO",$F885,0))</f>
        <v>0</v>
      </c>
      <c r="AI885" s="36" t="n">
        <f aca="false">IF($B885="",0,IF($I885="INVESTIMENTO",$F885,0)-IF($G885="INVESTIMENTO",$F885,0))</f>
        <v>0</v>
      </c>
      <c r="AJ885" s="35" t="str">
        <f aca="false">IF($B885="","",IF(NOT(ISNUMBER($F885)),"ERRO: valor nao numerico",IF($F885&lt;=0,"ERRO: valor deve ser maior que zero",IF(COUNTIF(MAP_TIPO,$D885)=0,"ERRO: tipo de operacao nao cadastrado",IF(COUNTIF(LST_STATUS,$E885)=0,"ERRO: status invalido",IF(AND($G885="EXTERNO",$I885="EXTERNO"),"ERRO: origem e destino externos",IF(AND($G885&lt;&gt;"EXTERNO",COUNTIFS(ENT_ID,$H885,ENT_TIPO,$G885)=0),"ERRO: origem inexistente",IF(AND($I885&lt;&gt;"EXTERNO",COUNTIFS(ENT_ID,$J885,ENT_TIPO,$I885)=0),"ERRO: destino inexistente",IF(AND($K885&lt;&gt;"",COUNTIF(CAT_ID,$K885)=0),"ERRO: categoria inexistente",IF(AND($L885&lt;&gt;"",COUNTIF(SUB_ID,$L885)=0),"ERRO: subcategoria inexistente",IF(AND($L885&lt;&gt;"",$K885&lt;&gt;"",IFERROR(INDEX(SUB_CATID,MATCH($L885,SUB_ID,0)),"")&lt;&gt;$K885),"ERRO: subcategoria nao pertence a categoria",IF(AND($O885&lt;&gt;"",COUNTIF(P_ID,$O885)=0),"ERRO: parcela inexistente",IF(AND($N885&lt;&gt;"",COUNTIF(CM_ID,$N885)=0),"ERRO: compromisso inexistente","OK")))))))))))))</f>
        <v/>
      </c>
      <c r="AK885" s="35" t="str">
        <f aca="false">IF($B885="","",IF(AND($N885="",$O885="",$P885="",$Q885="",$R885=""),"","VINCULADO: "&amp;TRIM(IF($N885&lt;&gt;"",$N885&amp;" ","")&amp;IF($O885&lt;&gt;"",$O885&amp;" ","")&amp;IF($P885&lt;&gt;"",$P885&amp;" ","")&amp;IF($Q885&lt;&gt;"",$Q885&amp;" ","")&amp;IF($R885&lt;&gt;"",$R885,""))))</f>
        <v/>
      </c>
    </row>
    <row r="886" customFormat="false" ht="15" hidden="false" customHeight="false" outlineLevel="0" collapsed="false">
      <c r="A886" s="30" t="str">
        <f aca="false">IF($B886="","","LAN-"&amp;TEXT(ROW()-4,"000000"))</f>
        <v/>
      </c>
      <c r="B886" s="31"/>
      <c r="C886" s="32"/>
      <c r="D886" s="32"/>
      <c r="E886" s="32"/>
      <c r="F886" s="33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4" t="str">
        <f aca="false">IF($B886="","",YEAR($B886))</f>
        <v/>
      </c>
      <c r="U886" s="34" t="str">
        <f aca="false">IF($B886="","",MONTH($B886))</f>
        <v/>
      </c>
      <c r="V886" s="34" t="str">
        <f aca="false">IF($B886="","",YEAR($B886)*100+MONTH($B886))</f>
        <v/>
      </c>
      <c r="W886" s="35" t="str">
        <f aca="false">IF($D886="","",IFERROR(INDEX(MAP_CLASS,MATCH($D886,MAP_TIPO,0)),"TIPO INVALIDO"))</f>
        <v/>
      </c>
      <c r="X886" s="35" t="str">
        <f aca="false">IF($K886="","",IFERROR(INDEX(CAT_NOME,MATCH($K886,CAT_ID,0)),"?"))</f>
        <v/>
      </c>
      <c r="Y886" s="35" t="str">
        <f aca="false">IF($L886="","",IFERROR(INDEX(SUB_NOME,MATCH($L886,SUB_ID,0)),"?"))</f>
        <v/>
      </c>
      <c r="Z886" s="35" t="str">
        <f aca="false">IF($G886="","",IF($G886="EXTERNO","(Externo)",IFERROR(INDEX(ENT_NOME,MATCH($H886,ENT_ID,0)),"?")))</f>
        <v/>
      </c>
      <c r="AA886" s="35" t="str">
        <f aca="false">IF($I886="","",IF($I886="EXTERNO","(Externo)",IFERROR(INDEX(ENT_NOME,MATCH($J886,ENT_ID,0)),"?")))</f>
        <v/>
      </c>
      <c r="AB886" s="36" t="n">
        <f aca="false">IF($B886="",0,IF(AND($I886="CONTA",$G886&lt;&gt;"CONTA"),$F886,0))</f>
        <v>0</v>
      </c>
      <c r="AC886" s="36" t="n">
        <f aca="false">IF($B886="",0,IF(AND($G886="CONTA",$I886&lt;&gt;"CONTA"),$F886,0))</f>
        <v>0</v>
      </c>
      <c r="AD886" s="36" t="n">
        <f aca="false">IF($W886="RECEITA",$F886,0)</f>
        <v>0</v>
      </c>
      <c r="AE886" s="36" t="n">
        <f aca="false">IF($W886="DESPESA",$F886,0)</f>
        <v>0</v>
      </c>
      <c r="AF886" s="36" t="n">
        <f aca="false">IF($W886="RECEITA_FINANCEIRA",$F886,0)</f>
        <v>0</v>
      </c>
      <c r="AG886" s="36" t="n">
        <f aca="false">IF($B886="",0,IF($I886="CONTA",$F886,0)-IF($G886="CONTA",$F886,0))</f>
        <v>0</v>
      </c>
      <c r="AH886" s="36" t="n">
        <f aca="false">IF($B886="",0,IF($G886="CARTAO",$F886,0)-IF($I886="CARTAO",$F886,0))</f>
        <v>0</v>
      </c>
      <c r="AI886" s="36" t="n">
        <f aca="false">IF($B886="",0,IF($I886="INVESTIMENTO",$F886,0)-IF($G886="INVESTIMENTO",$F886,0))</f>
        <v>0</v>
      </c>
      <c r="AJ886" s="35" t="str">
        <f aca="false">IF($B886="","",IF(NOT(ISNUMBER($F886)),"ERRO: valor nao numerico",IF($F886&lt;=0,"ERRO: valor deve ser maior que zero",IF(COUNTIF(MAP_TIPO,$D886)=0,"ERRO: tipo de operacao nao cadastrado",IF(COUNTIF(LST_STATUS,$E886)=0,"ERRO: status invalido",IF(AND($G886="EXTERNO",$I886="EXTERNO"),"ERRO: origem e destino externos",IF(AND($G886&lt;&gt;"EXTERNO",COUNTIFS(ENT_ID,$H886,ENT_TIPO,$G886)=0),"ERRO: origem inexistente",IF(AND($I886&lt;&gt;"EXTERNO",COUNTIFS(ENT_ID,$J886,ENT_TIPO,$I886)=0),"ERRO: destino inexistente",IF(AND($K886&lt;&gt;"",COUNTIF(CAT_ID,$K886)=0),"ERRO: categoria inexistente",IF(AND($L886&lt;&gt;"",COUNTIF(SUB_ID,$L886)=0),"ERRO: subcategoria inexistente",IF(AND($L886&lt;&gt;"",$K886&lt;&gt;"",IFERROR(INDEX(SUB_CATID,MATCH($L886,SUB_ID,0)),"")&lt;&gt;$K886),"ERRO: subcategoria nao pertence a categoria",IF(AND($O886&lt;&gt;"",COUNTIF(P_ID,$O886)=0),"ERRO: parcela inexistente",IF(AND($N886&lt;&gt;"",COUNTIF(CM_ID,$N886)=0),"ERRO: compromisso inexistente","OK")))))))))))))</f>
        <v/>
      </c>
      <c r="AK886" s="35" t="str">
        <f aca="false">IF($B886="","",IF(AND($N886="",$O886="",$P886="",$Q886="",$R886=""),"","VINCULADO: "&amp;TRIM(IF($N886&lt;&gt;"",$N886&amp;" ","")&amp;IF($O886&lt;&gt;"",$O886&amp;" ","")&amp;IF($P886&lt;&gt;"",$P886&amp;" ","")&amp;IF($Q886&lt;&gt;"",$Q886&amp;" ","")&amp;IF($R886&lt;&gt;"",$R886,""))))</f>
        <v/>
      </c>
    </row>
    <row r="887" customFormat="false" ht="15" hidden="false" customHeight="false" outlineLevel="0" collapsed="false">
      <c r="A887" s="30" t="str">
        <f aca="false">IF($B887="","","LAN-"&amp;TEXT(ROW()-4,"000000"))</f>
        <v/>
      </c>
      <c r="B887" s="31"/>
      <c r="C887" s="32"/>
      <c r="D887" s="32"/>
      <c r="E887" s="32"/>
      <c r="F887" s="33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4" t="str">
        <f aca="false">IF($B887="","",YEAR($B887))</f>
        <v/>
      </c>
      <c r="U887" s="34" t="str">
        <f aca="false">IF($B887="","",MONTH($B887))</f>
        <v/>
      </c>
      <c r="V887" s="34" t="str">
        <f aca="false">IF($B887="","",YEAR($B887)*100+MONTH($B887))</f>
        <v/>
      </c>
      <c r="W887" s="35" t="str">
        <f aca="false">IF($D887="","",IFERROR(INDEX(MAP_CLASS,MATCH($D887,MAP_TIPO,0)),"TIPO INVALIDO"))</f>
        <v/>
      </c>
      <c r="X887" s="35" t="str">
        <f aca="false">IF($K887="","",IFERROR(INDEX(CAT_NOME,MATCH($K887,CAT_ID,0)),"?"))</f>
        <v/>
      </c>
      <c r="Y887" s="35" t="str">
        <f aca="false">IF($L887="","",IFERROR(INDEX(SUB_NOME,MATCH($L887,SUB_ID,0)),"?"))</f>
        <v/>
      </c>
      <c r="Z887" s="35" t="str">
        <f aca="false">IF($G887="","",IF($G887="EXTERNO","(Externo)",IFERROR(INDEX(ENT_NOME,MATCH($H887,ENT_ID,0)),"?")))</f>
        <v/>
      </c>
      <c r="AA887" s="35" t="str">
        <f aca="false">IF($I887="","",IF($I887="EXTERNO","(Externo)",IFERROR(INDEX(ENT_NOME,MATCH($J887,ENT_ID,0)),"?")))</f>
        <v/>
      </c>
      <c r="AB887" s="36" t="n">
        <f aca="false">IF($B887="",0,IF(AND($I887="CONTA",$G887&lt;&gt;"CONTA"),$F887,0))</f>
        <v>0</v>
      </c>
      <c r="AC887" s="36" t="n">
        <f aca="false">IF($B887="",0,IF(AND($G887="CONTA",$I887&lt;&gt;"CONTA"),$F887,0))</f>
        <v>0</v>
      </c>
      <c r="AD887" s="36" t="n">
        <f aca="false">IF($W887="RECEITA",$F887,0)</f>
        <v>0</v>
      </c>
      <c r="AE887" s="36" t="n">
        <f aca="false">IF($W887="DESPESA",$F887,0)</f>
        <v>0</v>
      </c>
      <c r="AF887" s="36" t="n">
        <f aca="false">IF($W887="RECEITA_FINANCEIRA",$F887,0)</f>
        <v>0</v>
      </c>
      <c r="AG887" s="36" t="n">
        <f aca="false">IF($B887="",0,IF($I887="CONTA",$F887,0)-IF($G887="CONTA",$F887,0))</f>
        <v>0</v>
      </c>
      <c r="AH887" s="36" t="n">
        <f aca="false">IF($B887="",0,IF($G887="CARTAO",$F887,0)-IF($I887="CARTAO",$F887,0))</f>
        <v>0</v>
      </c>
      <c r="AI887" s="36" t="n">
        <f aca="false">IF($B887="",0,IF($I887="INVESTIMENTO",$F887,0)-IF($G887="INVESTIMENTO",$F887,0))</f>
        <v>0</v>
      </c>
      <c r="AJ887" s="35" t="str">
        <f aca="false">IF($B887="","",IF(NOT(ISNUMBER($F887)),"ERRO: valor nao numerico",IF($F887&lt;=0,"ERRO: valor deve ser maior que zero",IF(COUNTIF(MAP_TIPO,$D887)=0,"ERRO: tipo de operacao nao cadastrado",IF(COUNTIF(LST_STATUS,$E887)=0,"ERRO: status invalido",IF(AND($G887="EXTERNO",$I887="EXTERNO"),"ERRO: origem e destino externos",IF(AND($G887&lt;&gt;"EXTERNO",COUNTIFS(ENT_ID,$H887,ENT_TIPO,$G887)=0),"ERRO: origem inexistente",IF(AND($I887&lt;&gt;"EXTERNO",COUNTIFS(ENT_ID,$J887,ENT_TIPO,$I887)=0),"ERRO: destino inexistente",IF(AND($K887&lt;&gt;"",COUNTIF(CAT_ID,$K887)=0),"ERRO: categoria inexistente",IF(AND($L887&lt;&gt;"",COUNTIF(SUB_ID,$L887)=0),"ERRO: subcategoria inexistente",IF(AND($L887&lt;&gt;"",$K887&lt;&gt;"",IFERROR(INDEX(SUB_CATID,MATCH($L887,SUB_ID,0)),"")&lt;&gt;$K887),"ERRO: subcategoria nao pertence a categoria",IF(AND($O887&lt;&gt;"",COUNTIF(P_ID,$O887)=0),"ERRO: parcela inexistente",IF(AND($N887&lt;&gt;"",COUNTIF(CM_ID,$N887)=0),"ERRO: compromisso inexistente","OK")))))))))))))</f>
        <v/>
      </c>
      <c r="AK887" s="35" t="str">
        <f aca="false">IF($B887="","",IF(AND($N887="",$O887="",$P887="",$Q887="",$R887=""),"","VINCULADO: "&amp;TRIM(IF($N887&lt;&gt;"",$N887&amp;" ","")&amp;IF($O887&lt;&gt;"",$O887&amp;" ","")&amp;IF($P887&lt;&gt;"",$P887&amp;" ","")&amp;IF($Q887&lt;&gt;"",$Q887&amp;" ","")&amp;IF($R887&lt;&gt;"",$R887,""))))</f>
        <v/>
      </c>
    </row>
    <row r="888" customFormat="false" ht="15" hidden="false" customHeight="false" outlineLevel="0" collapsed="false">
      <c r="A888" s="30" t="str">
        <f aca="false">IF($B888="","","LAN-"&amp;TEXT(ROW()-4,"000000"))</f>
        <v/>
      </c>
      <c r="B888" s="31"/>
      <c r="C888" s="32"/>
      <c r="D888" s="32"/>
      <c r="E888" s="32"/>
      <c r="F888" s="33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4" t="str">
        <f aca="false">IF($B888="","",YEAR($B888))</f>
        <v/>
      </c>
      <c r="U888" s="34" t="str">
        <f aca="false">IF($B888="","",MONTH($B888))</f>
        <v/>
      </c>
      <c r="V888" s="34" t="str">
        <f aca="false">IF($B888="","",YEAR($B888)*100+MONTH($B888))</f>
        <v/>
      </c>
      <c r="W888" s="35" t="str">
        <f aca="false">IF($D888="","",IFERROR(INDEX(MAP_CLASS,MATCH($D888,MAP_TIPO,0)),"TIPO INVALIDO"))</f>
        <v/>
      </c>
      <c r="X888" s="35" t="str">
        <f aca="false">IF($K888="","",IFERROR(INDEX(CAT_NOME,MATCH($K888,CAT_ID,0)),"?"))</f>
        <v/>
      </c>
      <c r="Y888" s="35" t="str">
        <f aca="false">IF($L888="","",IFERROR(INDEX(SUB_NOME,MATCH($L888,SUB_ID,0)),"?"))</f>
        <v/>
      </c>
      <c r="Z888" s="35" t="str">
        <f aca="false">IF($G888="","",IF($G888="EXTERNO","(Externo)",IFERROR(INDEX(ENT_NOME,MATCH($H888,ENT_ID,0)),"?")))</f>
        <v/>
      </c>
      <c r="AA888" s="35" t="str">
        <f aca="false">IF($I888="","",IF($I888="EXTERNO","(Externo)",IFERROR(INDEX(ENT_NOME,MATCH($J888,ENT_ID,0)),"?")))</f>
        <v/>
      </c>
      <c r="AB888" s="36" t="n">
        <f aca="false">IF($B888="",0,IF(AND($I888="CONTA",$G888&lt;&gt;"CONTA"),$F888,0))</f>
        <v>0</v>
      </c>
      <c r="AC888" s="36" t="n">
        <f aca="false">IF($B888="",0,IF(AND($G888="CONTA",$I888&lt;&gt;"CONTA"),$F888,0))</f>
        <v>0</v>
      </c>
      <c r="AD888" s="36" t="n">
        <f aca="false">IF($W888="RECEITA",$F888,0)</f>
        <v>0</v>
      </c>
      <c r="AE888" s="36" t="n">
        <f aca="false">IF($W888="DESPESA",$F888,0)</f>
        <v>0</v>
      </c>
      <c r="AF888" s="36" t="n">
        <f aca="false">IF($W888="RECEITA_FINANCEIRA",$F888,0)</f>
        <v>0</v>
      </c>
      <c r="AG888" s="36" t="n">
        <f aca="false">IF($B888="",0,IF($I888="CONTA",$F888,0)-IF($G888="CONTA",$F888,0))</f>
        <v>0</v>
      </c>
      <c r="AH888" s="36" t="n">
        <f aca="false">IF($B888="",0,IF($G888="CARTAO",$F888,0)-IF($I888="CARTAO",$F888,0))</f>
        <v>0</v>
      </c>
      <c r="AI888" s="36" t="n">
        <f aca="false">IF($B888="",0,IF($I888="INVESTIMENTO",$F888,0)-IF($G888="INVESTIMENTO",$F888,0))</f>
        <v>0</v>
      </c>
      <c r="AJ888" s="35" t="str">
        <f aca="false">IF($B888="","",IF(NOT(ISNUMBER($F888)),"ERRO: valor nao numerico",IF($F888&lt;=0,"ERRO: valor deve ser maior que zero",IF(COUNTIF(MAP_TIPO,$D888)=0,"ERRO: tipo de operacao nao cadastrado",IF(COUNTIF(LST_STATUS,$E888)=0,"ERRO: status invalido",IF(AND($G888="EXTERNO",$I888="EXTERNO"),"ERRO: origem e destino externos",IF(AND($G888&lt;&gt;"EXTERNO",COUNTIFS(ENT_ID,$H888,ENT_TIPO,$G888)=0),"ERRO: origem inexistente",IF(AND($I888&lt;&gt;"EXTERNO",COUNTIFS(ENT_ID,$J888,ENT_TIPO,$I888)=0),"ERRO: destino inexistente",IF(AND($K888&lt;&gt;"",COUNTIF(CAT_ID,$K888)=0),"ERRO: categoria inexistente",IF(AND($L888&lt;&gt;"",COUNTIF(SUB_ID,$L888)=0),"ERRO: subcategoria inexistente",IF(AND($L888&lt;&gt;"",$K888&lt;&gt;"",IFERROR(INDEX(SUB_CATID,MATCH($L888,SUB_ID,0)),"")&lt;&gt;$K888),"ERRO: subcategoria nao pertence a categoria",IF(AND($O888&lt;&gt;"",COUNTIF(P_ID,$O888)=0),"ERRO: parcela inexistente",IF(AND($N888&lt;&gt;"",COUNTIF(CM_ID,$N888)=0),"ERRO: compromisso inexistente","OK")))))))))))))</f>
        <v/>
      </c>
      <c r="AK888" s="35" t="str">
        <f aca="false">IF($B888="","",IF(AND($N888="",$O888="",$P888="",$Q888="",$R888=""),"","VINCULADO: "&amp;TRIM(IF($N888&lt;&gt;"",$N888&amp;" ","")&amp;IF($O888&lt;&gt;"",$O888&amp;" ","")&amp;IF($P888&lt;&gt;"",$P888&amp;" ","")&amp;IF($Q888&lt;&gt;"",$Q888&amp;" ","")&amp;IF($R888&lt;&gt;"",$R888,""))))</f>
        <v/>
      </c>
    </row>
    <row r="889" customFormat="false" ht="15" hidden="false" customHeight="false" outlineLevel="0" collapsed="false">
      <c r="A889" s="30" t="str">
        <f aca="false">IF($B889="","","LAN-"&amp;TEXT(ROW()-4,"000000"))</f>
        <v/>
      </c>
      <c r="B889" s="31"/>
      <c r="C889" s="32"/>
      <c r="D889" s="32"/>
      <c r="E889" s="32"/>
      <c r="F889" s="33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4" t="str">
        <f aca="false">IF($B889="","",YEAR($B889))</f>
        <v/>
      </c>
      <c r="U889" s="34" t="str">
        <f aca="false">IF($B889="","",MONTH($B889))</f>
        <v/>
      </c>
      <c r="V889" s="34" t="str">
        <f aca="false">IF($B889="","",YEAR($B889)*100+MONTH($B889))</f>
        <v/>
      </c>
      <c r="W889" s="35" t="str">
        <f aca="false">IF($D889="","",IFERROR(INDEX(MAP_CLASS,MATCH($D889,MAP_TIPO,0)),"TIPO INVALIDO"))</f>
        <v/>
      </c>
      <c r="X889" s="35" t="str">
        <f aca="false">IF($K889="","",IFERROR(INDEX(CAT_NOME,MATCH($K889,CAT_ID,0)),"?"))</f>
        <v/>
      </c>
      <c r="Y889" s="35" t="str">
        <f aca="false">IF($L889="","",IFERROR(INDEX(SUB_NOME,MATCH($L889,SUB_ID,0)),"?"))</f>
        <v/>
      </c>
      <c r="Z889" s="35" t="str">
        <f aca="false">IF($G889="","",IF($G889="EXTERNO","(Externo)",IFERROR(INDEX(ENT_NOME,MATCH($H889,ENT_ID,0)),"?")))</f>
        <v/>
      </c>
      <c r="AA889" s="35" t="str">
        <f aca="false">IF($I889="","",IF($I889="EXTERNO","(Externo)",IFERROR(INDEX(ENT_NOME,MATCH($J889,ENT_ID,0)),"?")))</f>
        <v/>
      </c>
      <c r="AB889" s="36" t="n">
        <f aca="false">IF($B889="",0,IF(AND($I889="CONTA",$G889&lt;&gt;"CONTA"),$F889,0))</f>
        <v>0</v>
      </c>
      <c r="AC889" s="36" t="n">
        <f aca="false">IF($B889="",0,IF(AND($G889="CONTA",$I889&lt;&gt;"CONTA"),$F889,0))</f>
        <v>0</v>
      </c>
      <c r="AD889" s="36" t="n">
        <f aca="false">IF($W889="RECEITA",$F889,0)</f>
        <v>0</v>
      </c>
      <c r="AE889" s="36" t="n">
        <f aca="false">IF($W889="DESPESA",$F889,0)</f>
        <v>0</v>
      </c>
      <c r="AF889" s="36" t="n">
        <f aca="false">IF($W889="RECEITA_FINANCEIRA",$F889,0)</f>
        <v>0</v>
      </c>
      <c r="AG889" s="36" t="n">
        <f aca="false">IF($B889="",0,IF($I889="CONTA",$F889,0)-IF($G889="CONTA",$F889,0))</f>
        <v>0</v>
      </c>
      <c r="AH889" s="36" t="n">
        <f aca="false">IF($B889="",0,IF($G889="CARTAO",$F889,0)-IF($I889="CARTAO",$F889,0))</f>
        <v>0</v>
      </c>
      <c r="AI889" s="36" t="n">
        <f aca="false">IF($B889="",0,IF($I889="INVESTIMENTO",$F889,0)-IF($G889="INVESTIMENTO",$F889,0))</f>
        <v>0</v>
      </c>
      <c r="AJ889" s="35" t="str">
        <f aca="false">IF($B889="","",IF(NOT(ISNUMBER($F889)),"ERRO: valor nao numerico",IF($F889&lt;=0,"ERRO: valor deve ser maior que zero",IF(COUNTIF(MAP_TIPO,$D889)=0,"ERRO: tipo de operacao nao cadastrado",IF(COUNTIF(LST_STATUS,$E889)=0,"ERRO: status invalido",IF(AND($G889="EXTERNO",$I889="EXTERNO"),"ERRO: origem e destino externos",IF(AND($G889&lt;&gt;"EXTERNO",COUNTIFS(ENT_ID,$H889,ENT_TIPO,$G889)=0),"ERRO: origem inexistente",IF(AND($I889&lt;&gt;"EXTERNO",COUNTIFS(ENT_ID,$J889,ENT_TIPO,$I889)=0),"ERRO: destino inexistente",IF(AND($K889&lt;&gt;"",COUNTIF(CAT_ID,$K889)=0),"ERRO: categoria inexistente",IF(AND($L889&lt;&gt;"",COUNTIF(SUB_ID,$L889)=0),"ERRO: subcategoria inexistente",IF(AND($L889&lt;&gt;"",$K889&lt;&gt;"",IFERROR(INDEX(SUB_CATID,MATCH($L889,SUB_ID,0)),"")&lt;&gt;$K889),"ERRO: subcategoria nao pertence a categoria",IF(AND($O889&lt;&gt;"",COUNTIF(P_ID,$O889)=0),"ERRO: parcela inexistente",IF(AND($N889&lt;&gt;"",COUNTIF(CM_ID,$N889)=0),"ERRO: compromisso inexistente","OK")))))))))))))</f>
        <v/>
      </c>
      <c r="AK889" s="35" t="str">
        <f aca="false">IF($B889="","",IF(AND($N889="",$O889="",$P889="",$Q889="",$R889=""),"","VINCULADO: "&amp;TRIM(IF($N889&lt;&gt;"",$N889&amp;" ","")&amp;IF($O889&lt;&gt;"",$O889&amp;" ","")&amp;IF($P889&lt;&gt;"",$P889&amp;" ","")&amp;IF($Q889&lt;&gt;"",$Q889&amp;" ","")&amp;IF($R889&lt;&gt;"",$R889,""))))</f>
        <v/>
      </c>
    </row>
    <row r="890" customFormat="false" ht="15" hidden="false" customHeight="false" outlineLevel="0" collapsed="false">
      <c r="A890" s="30" t="str">
        <f aca="false">IF($B890="","","LAN-"&amp;TEXT(ROW()-4,"000000"))</f>
        <v/>
      </c>
      <c r="B890" s="31"/>
      <c r="C890" s="32"/>
      <c r="D890" s="32"/>
      <c r="E890" s="32"/>
      <c r="F890" s="33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4" t="str">
        <f aca="false">IF($B890="","",YEAR($B890))</f>
        <v/>
      </c>
      <c r="U890" s="34" t="str">
        <f aca="false">IF($B890="","",MONTH($B890))</f>
        <v/>
      </c>
      <c r="V890" s="34" t="str">
        <f aca="false">IF($B890="","",YEAR($B890)*100+MONTH($B890))</f>
        <v/>
      </c>
      <c r="W890" s="35" t="str">
        <f aca="false">IF($D890="","",IFERROR(INDEX(MAP_CLASS,MATCH($D890,MAP_TIPO,0)),"TIPO INVALIDO"))</f>
        <v/>
      </c>
      <c r="X890" s="35" t="str">
        <f aca="false">IF($K890="","",IFERROR(INDEX(CAT_NOME,MATCH($K890,CAT_ID,0)),"?"))</f>
        <v/>
      </c>
      <c r="Y890" s="35" t="str">
        <f aca="false">IF($L890="","",IFERROR(INDEX(SUB_NOME,MATCH($L890,SUB_ID,0)),"?"))</f>
        <v/>
      </c>
      <c r="Z890" s="35" t="str">
        <f aca="false">IF($G890="","",IF($G890="EXTERNO","(Externo)",IFERROR(INDEX(ENT_NOME,MATCH($H890,ENT_ID,0)),"?")))</f>
        <v/>
      </c>
      <c r="AA890" s="35" t="str">
        <f aca="false">IF($I890="","",IF($I890="EXTERNO","(Externo)",IFERROR(INDEX(ENT_NOME,MATCH($J890,ENT_ID,0)),"?")))</f>
        <v/>
      </c>
      <c r="AB890" s="36" t="n">
        <f aca="false">IF($B890="",0,IF(AND($I890="CONTA",$G890&lt;&gt;"CONTA"),$F890,0))</f>
        <v>0</v>
      </c>
      <c r="AC890" s="36" t="n">
        <f aca="false">IF($B890="",0,IF(AND($G890="CONTA",$I890&lt;&gt;"CONTA"),$F890,0))</f>
        <v>0</v>
      </c>
      <c r="AD890" s="36" t="n">
        <f aca="false">IF($W890="RECEITA",$F890,0)</f>
        <v>0</v>
      </c>
      <c r="AE890" s="36" t="n">
        <f aca="false">IF($W890="DESPESA",$F890,0)</f>
        <v>0</v>
      </c>
      <c r="AF890" s="36" t="n">
        <f aca="false">IF($W890="RECEITA_FINANCEIRA",$F890,0)</f>
        <v>0</v>
      </c>
      <c r="AG890" s="36" t="n">
        <f aca="false">IF($B890="",0,IF($I890="CONTA",$F890,0)-IF($G890="CONTA",$F890,0))</f>
        <v>0</v>
      </c>
      <c r="AH890" s="36" t="n">
        <f aca="false">IF($B890="",0,IF($G890="CARTAO",$F890,0)-IF($I890="CARTAO",$F890,0))</f>
        <v>0</v>
      </c>
      <c r="AI890" s="36" t="n">
        <f aca="false">IF($B890="",0,IF($I890="INVESTIMENTO",$F890,0)-IF($G890="INVESTIMENTO",$F890,0))</f>
        <v>0</v>
      </c>
      <c r="AJ890" s="35" t="str">
        <f aca="false">IF($B890="","",IF(NOT(ISNUMBER($F890)),"ERRO: valor nao numerico",IF($F890&lt;=0,"ERRO: valor deve ser maior que zero",IF(COUNTIF(MAP_TIPO,$D890)=0,"ERRO: tipo de operacao nao cadastrado",IF(COUNTIF(LST_STATUS,$E890)=0,"ERRO: status invalido",IF(AND($G890="EXTERNO",$I890="EXTERNO"),"ERRO: origem e destino externos",IF(AND($G890&lt;&gt;"EXTERNO",COUNTIFS(ENT_ID,$H890,ENT_TIPO,$G890)=0),"ERRO: origem inexistente",IF(AND($I890&lt;&gt;"EXTERNO",COUNTIFS(ENT_ID,$J890,ENT_TIPO,$I890)=0),"ERRO: destino inexistente",IF(AND($K890&lt;&gt;"",COUNTIF(CAT_ID,$K890)=0),"ERRO: categoria inexistente",IF(AND($L890&lt;&gt;"",COUNTIF(SUB_ID,$L890)=0),"ERRO: subcategoria inexistente",IF(AND($L890&lt;&gt;"",$K890&lt;&gt;"",IFERROR(INDEX(SUB_CATID,MATCH($L890,SUB_ID,0)),"")&lt;&gt;$K890),"ERRO: subcategoria nao pertence a categoria",IF(AND($O890&lt;&gt;"",COUNTIF(P_ID,$O890)=0),"ERRO: parcela inexistente",IF(AND($N890&lt;&gt;"",COUNTIF(CM_ID,$N890)=0),"ERRO: compromisso inexistente","OK")))))))))))))</f>
        <v/>
      </c>
      <c r="AK890" s="35" t="str">
        <f aca="false">IF($B890="","",IF(AND($N890="",$O890="",$P890="",$Q890="",$R890=""),"","VINCULADO: "&amp;TRIM(IF($N890&lt;&gt;"",$N890&amp;" ","")&amp;IF($O890&lt;&gt;"",$O890&amp;" ","")&amp;IF($P890&lt;&gt;"",$P890&amp;" ","")&amp;IF($Q890&lt;&gt;"",$Q890&amp;" ","")&amp;IF($R890&lt;&gt;"",$R890,""))))</f>
        <v/>
      </c>
    </row>
    <row r="891" customFormat="false" ht="15" hidden="false" customHeight="false" outlineLevel="0" collapsed="false">
      <c r="A891" s="30" t="str">
        <f aca="false">IF($B891="","","LAN-"&amp;TEXT(ROW()-4,"000000"))</f>
        <v/>
      </c>
      <c r="B891" s="31"/>
      <c r="C891" s="32"/>
      <c r="D891" s="32"/>
      <c r="E891" s="32"/>
      <c r="F891" s="33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4" t="str">
        <f aca="false">IF($B891="","",YEAR($B891))</f>
        <v/>
      </c>
      <c r="U891" s="34" t="str">
        <f aca="false">IF($B891="","",MONTH($B891))</f>
        <v/>
      </c>
      <c r="V891" s="34" t="str">
        <f aca="false">IF($B891="","",YEAR($B891)*100+MONTH($B891))</f>
        <v/>
      </c>
      <c r="W891" s="35" t="str">
        <f aca="false">IF($D891="","",IFERROR(INDEX(MAP_CLASS,MATCH($D891,MAP_TIPO,0)),"TIPO INVALIDO"))</f>
        <v/>
      </c>
      <c r="X891" s="35" t="str">
        <f aca="false">IF($K891="","",IFERROR(INDEX(CAT_NOME,MATCH($K891,CAT_ID,0)),"?"))</f>
        <v/>
      </c>
      <c r="Y891" s="35" t="str">
        <f aca="false">IF($L891="","",IFERROR(INDEX(SUB_NOME,MATCH($L891,SUB_ID,0)),"?"))</f>
        <v/>
      </c>
      <c r="Z891" s="35" t="str">
        <f aca="false">IF($G891="","",IF($G891="EXTERNO","(Externo)",IFERROR(INDEX(ENT_NOME,MATCH($H891,ENT_ID,0)),"?")))</f>
        <v/>
      </c>
      <c r="AA891" s="35" t="str">
        <f aca="false">IF($I891="","",IF($I891="EXTERNO","(Externo)",IFERROR(INDEX(ENT_NOME,MATCH($J891,ENT_ID,0)),"?")))</f>
        <v/>
      </c>
      <c r="AB891" s="36" t="n">
        <f aca="false">IF($B891="",0,IF(AND($I891="CONTA",$G891&lt;&gt;"CONTA"),$F891,0))</f>
        <v>0</v>
      </c>
      <c r="AC891" s="36" t="n">
        <f aca="false">IF($B891="",0,IF(AND($G891="CONTA",$I891&lt;&gt;"CONTA"),$F891,0))</f>
        <v>0</v>
      </c>
      <c r="AD891" s="36" t="n">
        <f aca="false">IF($W891="RECEITA",$F891,0)</f>
        <v>0</v>
      </c>
      <c r="AE891" s="36" t="n">
        <f aca="false">IF($W891="DESPESA",$F891,0)</f>
        <v>0</v>
      </c>
      <c r="AF891" s="36" t="n">
        <f aca="false">IF($W891="RECEITA_FINANCEIRA",$F891,0)</f>
        <v>0</v>
      </c>
      <c r="AG891" s="36" t="n">
        <f aca="false">IF($B891="",0,IF($I891="CONTA",$F891,0)-IF($G891="CONTA",$F891,0))</f>
        <v>0</v>
      </c>
      <c r="AH891" s="36" t="n">
        <f aca="false">IF($B891="",0,IF($G891="CARTAO",$F891,0)-IF($I891="CARTAO",$F891,0))</f>
        <v>0</v>
      </c>
      <c r="AI891" s="36" t="n">
        <f aca="false">IF($B891="",0,IF($I891="INVESTIMENTO",$F891,0)-IF($G891="INVESTIMENTO",$F891,0))</f>
        <v>0</v>
      </c>
      <c r="AJ891" s="35" t="str">
        <f aca="false">IF($B891="","",IF(NOT(ISNUMBER($F891)),"ERRO: valor nao numerico",IF($F891&lt;=0,"ERRO: valor deve ser maior que zero",IF(COUNTIF(MAP_TIPO,$D891)=0,"ERRO: tipo de operacao nao cadastrado",IF(COUNTIF(LST_STATUS,$E891)=0,"ERRO: status invalido",IF(AND($G891="EXTERNO",$I891="EXTERNO"),"ERRO: origem e destino externos",IF(AND($G891&lt;&gt;"EXTERNO",COUNTIFS(ENT_ID,$H891,ENT_TIPO,$G891)=0),"ERRO: origem inexistente",IF(AND($I891&lt;&gt;"EXTERNO",COUNTIFS(ENT_ID,$J891,ENT_TIPO,$I891)=0),"ERRO: destino inexistente",IF(AND($K891&lt;&gt;"",COUNTIF(CAT_ID,$K891)=0),"ERRO: categoria inexistente",IF(AND($L891&lt;&gt;"",COUNTIF(SUB_ID,$L891)=0),"ERRO: subcategoria inexistente",IF(AND($L891&lt;&gt;"",$K891&lt;&gt;"",IFERROR(INDEX(SUB_CATID,MATCH($L891,SUB_ID,0)),"")&lt;&gt;$K891),"ERRO: subcategoria nao pertence a categoria",IF(AND($O891&lt;&gt;"",COUNTIF(P_ID,$O891)=0),"ERRO: parcela inexistente",IF(AND($N891&lt;&gt;"",COUNTIF(CM_ID,$N891)=0),"ERRO: compromisso inexistente","OK")))))))))))))</f>
        <v/>
      </c>
      <c r="AK891" s="35" t="str">
        <f aca="false">IF($B891="","",IF(AND($N891="",$O891="",$P891="",$Q891="",$R891=""),"","VINCULADO: "&amp;TRIM(IF($N891&lt;&gt;"",$N891&amp;" ","")&amp;IF($O891&lt;&gt;"",$O891&amp;" ","")&amp;IF($P891&lt;&gt;"",$P891&amp;" ","")&amp;IF($Q891&lt;&gt;"",$Q891&amp;" ","")&amp;IF($R891&lt;&gt;"",$R891,""))))</f>
        <v/>
      </c>
    </row>
    <row r="892" customFormat="false" ht="15" hidden="false" customHeight="false" outlineLevel="0" collapsed="false">
      <c r="A892" s="30" t="str">
        <f aca="false">IF($B892="","","LAN-"&amp;TEXT(ROW()-4,"000000"))</f>
        <v/>
      </c>
      <c r="B892" s="31"/>
      <c r="C892" s="32"/>
      <c r="D892" s="32"/>
      <c r="E892" s="32"/>
      <c r="F892" s="33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4" t="str">
        <f aca="false">IF($B892="","",YEAR($B892))</f>
        <v/>
      </c>
      <c r="U892" s="34" t="str">
        <f aca="false">IF($B892="","",MONTH($B892))</f>
        <v/>
      </c>
      <c r="V892" s="34" t="str">
        <f aca="false">IF($B892="","",YEAR($B892)*100+MONTH($B892))</f>
        <v/>
      </c>
      <c r="W892" s="35" t="str">
        <f aca="false">IF($D892="","",IFERROR(INDEX(MAP_CLASS,MATCH($D892,MAP_TIPO,0)),"TIPO INVALIDO"))</f>
        <v/>
      </c>
      <c r="X892" s="35" t="str">
        <f aca="false">IF($K892="","",IFERROR(INDEX(CAT_NOME,MATCH($K892,CAT_ID,0)),"?"))</f>
        <v/>
      </c>
      <c r="Y892" s="35" t="str">
        <f aca="false">IF($L892="","",IFERROR(INDEX(SUB_NOME,MATCH($L892,SUB_ID,0)),"?"))</f>
        <v/>
      </c>
      <c r="Z892" s="35" t="str">
        <f aca="false">IF($G892="","",IF($G892="EXTERNO","(Externo)",IFERROR(INDEX(ENT_NOME,MATCH($H892,ENT_ID,0)),"?")))</f>
        <v/>
      </c>
      <c r="AA892" s="35" t="str">
        <f aca="false">IF($I892="","",IF($I892="EXTERNO","(Externo)",IFERROR(INDEX(ENT_NOME,MATCH($J892,ENT_ID,0)),"?")))</f>
        <v/>
      </c>
      <c r="AB892" s="36" t="n">
        <f aca="false">IF($B892="",0,IF(AND($I892="CONTA",$G892&lt;&gt;"CONTA"),$F892,0))</f>
        <v>0</v>
      </c>
      <c r="AC892" s="36" t="n">
        <f aca="false">IF($B892="",0,IF(AND($G892="CONTA",$I892&lt;&gt;"CONTA"),$F892,0))</f>
        <v>0</v>
      </c>
      <c r="AD892" s="36" t="n">
        <f aca="false">IF($W892="RECEITA",$F892,0)</f>
        <v>0</v>
      </c>
      <c r="AE892" s="36" t="n">
        <f aca="false">IF($W892="DESPESA",$F892,0)</f>
        <v>0</v>
      </c>
      <c r="AF892" s="36" t="n">
        <f aca="false">IF($W892="RECEITA_FINANCEIRA",$F892,0)</f>
        <v>0</v>
      </c>
      <c r="AG892" s="36" t="n">
        <f aca="false">IF($B892="",0,IF($I892="CONTA",$F892,0)-IF($G892="CONTA",$F892,0))</f>
        <v>0</v>
      </c>
      <c r="AH892" s="36" t="n">
        <f aca="false">IF($B892="",0,IF($G892="CARTAO",$F892,0)-IF($I892="CARTAO",$F892,0))</f>
        <v>0</v>
      </c>
      <c r="AI892" s="36" t="n">
        <f aca="false">IF($B892="",0,IF($I892="INVESTIMENTO",$F892,0)-IF($G892="INVESTIMENTO",$F892,0))</f>
        <v>0</v>
      </c>
      <c r="AJ892" s="35" t="str">
        <f aca="false">IF($B892="","",IF(NOT(ISNUMBER($F892)),"ERRO: valor nao numerico",IF($F892&lt;=0,"ERRO: valor deve ser maior que zero",IF(COUNTIF(MAP_TIPO,$D892)=0,"ERRO: tipo de operacao nao cadastrado",IF(COUNTIF(LST_STATUS,$E892)=0,"ERRO: status invalido",IF(AND($G892="EXTERNO",$I892="EXTERNO"),"ERRO: origem e destino externos",IF(AND($G892&lt;&gt;"EXTERNO",COUNTIFS(ENT_ID,$H892,ENT_TIPO,$G892)=0),"ERRO: origem inexistente",IF(AND($I892&lt;&gt;"EXTERNO",COUNTIFS(ENT_ID,$J892,ENT_TIPO,$I892)=0),"ERRO: destino inexistente",IF(AND($K892&lt;&gt;"",COUNTIF(CAT_ID,$K892)=0),"ERRO: categoria inexistente",IF(AND($L892&lt;&gt;"",COUNTIF(SUB_ID,$L892)=0),"ERRO: subcategoria inexistente",IF(AND($L892&lt;&gt;"",$K892&lt;&gt;"",IFERROR(INDEX(SUB_CATID,MATCH($L892,SUB_ID,0)),"")&lt;&gt;$K892),"ERRO: subcategoria nao pertence a categoria",IF(AND($O892&lt;&gt;"",COUNTIF(P_ID,$O892)=0),"ERRO: parcela inexistente",IF(AND($N892&lt;&gt;"",COUNTIF(CM_ID,$N892)=0),"ERRO: compromisso inexistente","OK")))))))))))))</f>
        <v/>
      </c>
      <c r="AK892" s="35" t="str">
        <f aca="false">IF($B892="","",IF(AND($N892="",$O892="",$P892="",$Q892="",$R892=""),"","VINCULADO: "&amp;TRIM(IF($N892&lt;&gt;"",$N892&amp;" ","")&amp;IF($O892&lt;&gt;"",$O892&amp;" ","")&amp;IF($P892&lt;&gt;"",$P892&amp;" ","")&amp;IF($Q892&lt;&gt;"",$Q892&amp;" ","")&amp;IF($R892&lt;&gt;"",$R892,""))))</f>
        <v/>
      </c>
    </row>
    <row r="893" customFormat="false" ht="15" hidden="false" customHeight="false" outlineLevel="0" collapsed="false">
      <c r="A893" s="30" t="str">
        <f aca="false">IF($B893="","","LAN-"&amp;TEXT(ROW()-4,"000000"))</f>
        <v/>
      </c>
      <c r="B893" s="31"/>
      <c r="C893" s="32"/>
      <c r="D893" s="32"/>
      <c r="E893" s="32"/>
      <c r="F893" s="33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4" t="str">
        <f aca="false">IF($B893="","",YEAR($B893))</f>
        <v/>
      </c>
      <c r="U893" s="34" t="str">
        <f aca="false">IF($B893="","",MONTH($B893))</f>
        <v/>
      </c>
      <c r="V893" s="34" t="str">
        <f aca="false">IF($B893="","",YEAR($B893)*100+MONTH($B893))</f>
        <v/>
      </c>
      <c r="W893" s="35" t="str">
        <f aca="false">IF($D893="","",IFERROR(INDEX(MAP_CLASS,MATCH($D893,MAP_TIPO,0)),"TIPO INVALIDO"))</f>
        <v/>
      </c>
      <c r="X893" s="35" t="str">
        <f aca="false">IF($K893="","",IFERROR(INDEX(CAT_NOME,MATCH($K893,CAT_ID,0)),"?"))</f>
        <v/>
      </c>
      <c r="Y893" s="35" t="str">
        <f aca="false">IF($L893="","",IFERROR(INDEX(SUB_NOME,MATCH($L893,SUB_ID,0)),"?"))</f>
        <v/>
      </c>
      <c r="Z893" s="35" t="str">
        <f aca="false">IF($G893="","",IF($G893="EXTERNO","(Externo)",IFERROR(INDEX(ENT_NOME,MATCH($H893,ENT_ID,0)),"?")))</f>
        <v/>
      </c>
      <c r="AA893" s="35" t="str">
        <f aca="false">IF($I893="","",IF($I893="EXTERNO","(Externo)",IFERROR(INDEX(ENT_NOME,MATCH($J893,ENT_ID,0)),"?")))</f>
        <v/>
      </c>
      <c r="AB893" s="36" t="n">
        <f aca="false">IF($B893="",0,IF(AND($I893="CONTA",$G893&lt;&gt;"CONTA"),$F893,0))</f>
        <v>0</v>
      </c>
      <c r="AC893" s="36" t="n">
        <f aca="false">IF($B893="",0,IF(AND($G893="CONTA",$I893&lt;&gt;"CONTA"),$F893,0))</f>
        <v>0</v>
      </c>
      <c r="AD893" s="36" t="n">
        <f aca="false">IF($W893="RECEITA",$F893,0)</f>
        <v>0</v>
      </c>
      <c r="AE893" s="36" t="n">
        <f aca="false">IF($W893="DESPESA",$F893,0)</f>
        <v>0</v>
      </c>
      <c r="AF893" s="36" t="n">
        <f aca="false">IF($W893="RECEITA_FINANCEIRA",$F893,0)</f>
        <v>0</v>
      </c>
      <c r="AG893" s="36" t="n">
        <f aca="false">IF($B893="",0,IF($I893="CONTA",$F893,0)-IF($G893="CONTA",$F893,0))</f>
        <v>0</v>
      </c>
      <c r="AH893" s="36" t="n">
        <f aca="false">IF($B893="",0,IF($G893="CARTAO",$F893,0)-IF($I893="CARTAO",$F893,0))</f>
        <v>0</v>
      </c>
      <c r="AI893" s="36" t="n">
        <f aca="false">IF($B893="",0,IF($I893="INVESTIMENTO",$F893,0)-IF($G893="INVESTIMENTO",$F893,0))</f>
        <v>0</v>
      </c>
      <c r="AJ893" s="35" t="str">
        <f aca="false">IF($B893="","",IF(NOT(ISNUMBER($F893)),"ERRO: valor nao numerico",IF($F893&lt;=0,"ERRO: valor deve ser maior que zero",IF(COUNTIF(MAP_TIPO,$D893)=0,"ERRO: tipo de operacao nao cadastrado",IF(COUNTIF(LST_STATUS,$E893)=0,"ERRO: status invalido",IF(AND($G893="EXTERNO",$I893="EXTERNO"),"ERRO: origem e destino externos",IF(AND($G893&lt;&gt;"EXTERNO",COUNTIFS(ENT_ID,$H893,ENT_TIPO,$G893)=0),"ERRO: origem inexistente",IF(AND($I893&lt;&gt;"EXTERNO",COUNTIFS(ENT_ID,$J893,ENT_TIPO,$I893)=0),"ERRO: destino inexistente",IF(AND($K893&lt;&gt;"",COUNTIF(CAT_ID,$K893)=0),"ERRO: categoria inexistente",IF(AND($L893&lt;&gt;"",COUNTIF(SUB_ID,$L893)=0),"ERRO: subcategoria inexistente",IF(AND($L893&lt;&gt;"",$K893&lt;&gt;"",IFERROR(INDEX(SUB_CATID,MATCH($L893,SUB_ID,0)),"")&lt;&gt;$K893),"ERRO: subcategoria nao pertence a categoria",IF(AND($O893&lt;&gt;"",COUNTIF(P_ID,$O893)=0),"ERRO: parcela inexistente",IF(AND($N893&lt;&gt;"",COUNTIF(CM_ID,$N893)=0),"ERRO: compromisso inexistente","OK")))))))))))))</f>
        <v/>
      </c>
      <c r="AK893" s="35" t="str">
        <f aca="false">IF($B893="","",IF(AND($N893="",$O893="",$P893="",$Q893="",$R893=""),"","VINCULADO: "&amp;TRIM(IF($N893&lt;&gt;"",$N893&amp;" ","")&amp;IF($O893&lt;&gt;"",$O893&amp;" ","")&amp;IF($P893&lt;&gt;"",$P893&amp;" ","")&amp;IF($Q893&lt;&gt;"",$Q893&amp;" ","")&amp;IF($R893&lt;&gt;"",$R893,""))))</f>
        <v/>
      </c>
    </row>
    <row r="894" customFormat="false" ht="15" hidden="false" customHeight="false" outlineLevel="0" collapsed="false">
      <c r="A894" s="30" t="str">
        <f aca="false">IF($B894="","","LAN-"&amp;TEXT(ROW()-4,"000000"))</f>
        <v/>
      </c>
      <c r="B894" s="31"/>
      <c r="C894" s="32"/>
      <c r="D894" s="32"/>
      <c r="E894" s="32"/>
      <c r="F894" s="33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4" t="str">
        <f aca="false">IF($B894="","",YEAR($B894))</f>
        <v/>
      </c>
      <c r="U894" s="34" t="str">
        <f aca="false">IF($B894="","",MONTH($B894))</f>
        <v/>
      </c>
      <c r="V894" s="34" t="str">
        <f aca="false">IF($B894="","",YEAR($B894)*100+MONTH($B894))</f>
        <v/>
      </c>
      <c r="W894" s="35" t="str">
        <f aca="false">IF($D894="","",IFERROR(INDEX(MAP_CLASS,MATCH($D894,MAP_TIPO,0)),"TIPO INVALIDO"))</f>
        <v/>
      </c>
      <c r="X894" s="35" t="str">
        <f aca="false">IF($K894="","",IFERROR(INDEX(CAT_NOME,MATCH($K894,CAT_ID,0)),"?"))</f>
        <v/>
      </c>
      <c r="Y894" s="35" t="str">
        <f aca="false">IF($L894="","",IFERROR(INDEX(SUB_NOME,MATCH($L894,SUB_ID,0)),"?"))</f>
        <v/>
      </c>
      <c r="Z894" s="35" t="str">
        <f aca="false">IF($G894="","",IF($G894="EXTERNO","(Externo)",IFERROR(INDEX(ENT_NOME,MATCH($H894,ENT_ID,0)),"?")))</f>
        <v/>
      </c>
      <c r="AA894" s="35" t="str">
        <f aca="false">IF($I894="","",IF($I894="EXTERNO","(Externo)",IFERROR(INDEX(ENT_NOME,MATCH($J894,ENT_ID,0)),"?")))</f>
        <v/>
      </c>
      <c r="AB894" s="36" t="n">
        <f aca="false">IF($B894="",0,IF(AND($I894="CONTA",$G894&lt;&gt;"CONTA"),$F894,0))</f>
        <v>0</v>
      </c>
      <c r="AC894" s="36" t="n">
        <f aca="false">IF($B894="",0,IF(AND($G894="CONTA",$I894&lt;&gt;"CONTA"),$F894,0))</f>
        <v>0</v>
      </c>
      <c r="AD894" s="36" t="n">
        <f aca="false">IF($W894="RECEITA",$F894,0)</f>
        <v>0</v>
      </c>
      <c r="AE894" s="36" t="n">
        <f aca="false">IF($W894="DESPESA",$F894,0)</f>
        <v>0</v>
      </c>
      <c r="AF894" s="36" t="n">
        <f aca="false">IF($W894="RECEITA_FINANCEIRA",$F894,0)</f>
        <v>0</v>
      </c>
      <c r="AG894" s="36" t="n">
        <f aca="false">IF($B894="",0,IF($I894="CONTA",$F894,0)-IF($G894="CONTA",$F894,0))</f>
        <v>0</v>
      </c>
      <c r="AH894" s="36" t="n">
        <f aca="false">IF($B894="",0,IF($G894="CARTAO",$F894,0)-IF($I894="CARTAO",$F894,0))</f>
        <v>0</v>
      </c>
      <c r="AI894" s="36" t="n">
        <f aca="false">IF($B894="",0,IF($I894="INVESTIMENTO",$F894,0)-IF($G894="INVESTIMENTO",$F894,0))</f>
        <v>0</v>
      </c>
      <c r="AJ894" s="35" t="str">
        <f aca="false">IF($B894="","",IF(NOT(ISNUMBER($F894)),"ERRO: valor nao numerico",IF($F894&lt;=0,"ERRO: valor deve ser maior que zero",IF(COUNTIF(MAP_TIPO,$D894)=0,"ERRO: tipo de operacao nao cadastrado",IF(COUNTIF(LST_STATUS,$E894)=0,"ERRO: status invalido",IF(AND($G894="EXTERNO",$I894="EXTERNO"),"ERRO: origem e destino externos",IF(AND($G894&lt;&gt;"EXTERNO",COUNTIFS(ENT_ID,$H894,ENT_TIPO,$G894)=0),"ERRO: origem inexistente",IF(AND($I894&lt;&gt;"EXTERNO",COUNTIFS(ENT_ID,$J894,ENT_TIPO,$I894)=0),"ERRO: destino inexistente",IF(AND($K894&lt;&gt;"",COUNTIF(CAT_ID,$K894)=0),"ERRO: categoria inexistente",IF(AND($L894&lt;&gt;"",COUNTIF(SUB_ID,$L894)=0),"ERRO: subcategoria inexistente",IF(AND($L894&lt;&gt;"",$K894&lt;&gt;"",IFERROR(INDEX(SUB_CATID,MATCH($L894,SUB_ID,0)),"")&lt;&gt;$K894),"ERRO: subcategoria nao pertence a categoria",IF(AND($O894&lt;&gt;"",COUNTIF(P_ID,$O894)=0),"ERRO: parcela inexistente",IF(AND($N894&lt;&gt;"",COUNTIF(CM_ID,$N894)=0),"ERRO: compromisso inexistente","OK")))))))))))))</f>
        <v/>
      </c>
      <c r="AK894" s="35" t="str">
        <f aca="false">IF($B894="","",IF(AND($N894="",$O894="",$P894="",$Q894="",$R894=""),"","VINCULADO: "&amp;TRIM(IF($N894&lt;&gt;"",$N894&amp;" ","")&amp;IF($O894&lt;&gt;"",$O894&amp;" ","")&amp;IF($P894&lt;&gt;"",$P894&amp;" ","")&amp;IF($Q894&lt;&gt;"",$Q894&amp;" ","")&amp;IF($R894&lt;&gt;"",$R894,""))))</f>
        <v/>
      </c>
    </row>
    <row r="895" customFormat="false" ht="15" hidden="false" customHeight="false" outlineLevel="0" collapsed="false">
      <c r="A895" s="30" t="str">
        <f aca="false">IF($B895="","","LAN-"&amp;TEXT(ROW()-4,"000000"))</f>
        <v/>
      </c>
      <c r="B895" s="31"/>
      <c r="C895" s="32"/>
      <c r="D895" s="32"/>
      <c r="E895" s="32"/>
      <c r="F895" s="33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4" t="str">
        <f aca="false">IF($B895="","",YEAR($B895))</f>
        <v/>
      </c>
      <c r="U895" s="34" t="str">
        <f aca="false">IF($B895="","",MONTH($B895))</f>
        <v/>
      </c>
      <c r="V895" s="34" t="str">
        <f aca="false">IF($B895="","",YEAR($B895)*100+MONTH($B895))</f>
        <v/>
      </c>
      <c r="W895" s="35" t="str">
        <f aca="false">IF($D895="","",IFERROR(INDEX(MAP_CLASS,MATCH($D895,MAP_TIPO,0)),"TIPO INVALIDO"))</f>
        <v/>
      </c>
      <c r="X895" s="35" t="str">
        <f aca="false">IF($K895="","",IFERROR(INDEX(CAT_NOME,MATCH($K895,CAT_ID,0)),"?"))</f>
        <v/>
      </c>
      <c r="Y895" s="35" t="str">
        <f aca="false">IF($L895="","",IFERROR(INDEX(SUB_NOME,MATCH($L895,SUB_ID,0)),"?"))</f>
        <v/>
      </c>
      <c r="Z895" s="35" t="str">
        <f aca="false">IF($G895="","",IF($G895="EXTERNO","(Externo)",IFERROR(INDEX(ENT_NOME,MATCH($H895,ENT_ID,0)),"?")))</f>
        <v/>
      </c>
      <c r="AA895" s="35" t="str">
        <f aca="false">IF($I895="","",IF($I895="EXTERNO","(Externo)",IFERROR(INDEX(ENT_NOME,MATCH($J895,ENT_ID,0)),"?")))</f>
        <v/>
      </c>
      <c r="AB895" s="36" t="n">
        <f aca="false">IF($B895="",0,IF(AND($I895="CONTA",$G895&lt;&gt;"CONTA"),$F895,0))</f>
        <v>0</v>
      </c>
      <c r="AC895" s="36" t="n">
        <f aca="false">IF($B895="",0,IF(AND($G895="CONTA",$I895&lt;&gt;"CONTA"),$F895,0))</f>
        <v>0</v>
      </c>
      <c r="AD895" s="36" t="n">
        <f aca="false">IF($W895="RECEITA",$F895,0)</f>
        <v>0</v>
      </c>
      <c r="AE895" s="36" t="n">
        <f aca="false">IF($W895="DESPESA",$F895,0)</f>
        <v>0</v>
      </c>
      <c r="AF895" s="36" t="n">
        <f aca="false">IF($W895="RECEITA_FINANCEIRA",$F895,0)</f>
        <v>0</v>
      </c>
      <c r="AG895" s="36" t="n">
        <f aca="false">IF($B895="",0,IF($I895="CONTA",$F895,0)-IF($G895="CONTA",$F895,0))</f>
        <v>0</v>
      </c>
      <c r="AH895" s="36" t="n">
        <f aca="false">IF($B895="",0,IF($G895="CARTAO",$F895,0)-IF($I895="CARTAO",$F895,0))</f>
        <v>0</v>
      </c>
      <c r="AI895" s="36" t="n">
        <f aca="false">IF($B895="",0,IF($I895="INVESTIMENTO",$F895,0)-IF($G895="INVESTIMENTO",$F895,0))</f>
        <v>0</v>
      </c>
      <c r="AJ895" s="35" t="str">
        <f aca="false">IF($B895="","",IF(NOT(ISNUMBER($F895)),"ERRO: valor nao numerico",IF($F895&lt;=0,"ERRO: valor deve ser maior que zero",IF(COUNTIF(MAP_TIPO,$D895)=0,"ERRO: tipo de operacao nao cadastrado",IF(COUNTIF(LST_STATUS,$E895)=0,"ERRO: status invalido",IF(AND($G895="EXTERNO",$I895="EXTERNO"),"ERRO: origem e destino externos",IF(AND($G895&lt;&gt;"EXTERNO",COUNTIFS(ENT_ID,$H895,ENT_TIPO,$G895)=0),"ERRO: origem inexistente",IF(AND($I895&lt;&gt;"EXTERNO",COUNTIFS(ENT_ID,$J895,ENT_TIPO,$I895)=0),"ERRO: destino inexistente",IF(AND($K895&lt;&gt;"",COUNTIF(CAT_ID,$K895)=0),"ERRO: categoria inexistente",IF(AND($L895&lt;&gt;"",COUNTIF(SUB_ID,$L895)=0),"ERRO: subcategoria inexistente",IF(AND($L895&lt;&gt;"",$K895&lt;&gt;"",IFERROR(INDEX(SUB_CATID,MATCH($L895,SUB_ID,0)),"")&lt;&gt;$K895),"ERRO: subcategoria nao pertence a categoria",IF(AND($O895&lt;&gt;"",COUNTIF(P_ID,$O895)=0),"ERRO: parcela inexistente",IF(AND($N895&lt;&gt;"",COUNTIF(CM_ID,$N895)=0),"ERRO: compromisso inexistente","OK")))))))))))))</f>
        <v/>
      </c>
      <c r="AK895" s="35" t="str">
        <f aca="false">IF($B895="","",IF(AND($N895="",$O895="",$P895="",$Q895="",$R895=""),"","VINCULADO: "&amp;TRIM(IF($N895&lt;&gt;"",$N895&amp;" ","")&amp;IF($O895&lt;&gt;"",$O895&amp;" ","")&amp;IF($P895&lt;&gt;"",$P895&amp;" ","")&amp;IF($Q895&lt;&gt;"",$Q895&amp;" ","")&amp;IF($R895&lt;&gt;"",$R895,""))))</f>
        <v/>
      </c>
    </row>
    <row r="896" customFormat="false" ht="15" hidden="false" customHeight="false" outlineLevel="0" collapsed="false">
      <c r="A896" s="30" t="str">
        <f aca="false">IF($B896="","","LAN-"&amp;TEXT(ROW()-4,"000000"))</f>
        <v/>
      </c>
      <c r="B896" s="31"/>
      <c r="C896" s="32"/>
      <c r="D896" s="32"/>
      <c r="E896" s="32"/>
      <c r="F896" s="33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4" t="str">
        <f aca="false">IF($B896="","",YEAR($B896))</f>
        <v/>
      </c>
      <c r="U896" s="34" t="str">
        <f aca="false">IF($B896="","",MONTH($B896))</f>
        <v/>
      </c>
      <c r="V896" s="34" t="str">
        <f aca="false">IF($B896="","",YEAR($B896)*100+MONTH($B896))</f>
        <v/>
      </c>
      <c r="W896" s="35" t="str">
        <f aca="false">IF($D896="","",IFERROR(INDEX(MAP_CLASS,MATCH($D896,MAP_TIPO,0)),"TIPO INVALIDO"))</f>
        <v/>
      </c>
      <c r="X896" s="35" t="str">
        <f aca="false">IF($K896="","",IFERROR(INDEX(CAT_NOME,MATCH($K896,CAT_ID,0)),"?"))</f>
        <v/>
      </c>
      <c r="Y896" s="35" t="str">
        <f aca="false">IF($L896="","",IFERROR(INDEX(SUB_NOME,MATCH($L896,SUB_ID,0)),"?"))</f>
        <v/>
      </c>
      <c r="Z896" s="35" t="str">
        <f aca="false">IF($G896="","",IF($G896="EXTERNO","(Externo)",IFERROR(INDEX(ENT_NOME,MATCH($H896,ENT_ID,0)),"?")))</f>
        <v/>
      </c>
      <c r="AA896" s="35" t="str">
        <f aca="false">IF($I896="","",IF($I896="EXTERNO","(Externo)",IFERROR(INDEX(ENT_NOME,MATCH($J896,ENT_ID,0)),"?")))</f>
        <v/>
      </c>
      <c r="AB896" s="36" t="n">
        <f aca="false">IF($B896="",0,IF(AND($I896="CONTA",$G896&lt;&gt;"CONTA"),$F896,0))</f>
        <v>0</v>
      </c>
      <c r="AC896" s="36" t="n">
        <f aca="false">IF($B896="",0,IF(AND($G896="CONTA",$I896&lt;&gt;"CONTA"),$F896,0))</f>
        <v>0</v>
      </c>
      <c r="AD896" s="36" t="n">
        <f aca="false">IF($W896="RECEITA",$F896,0)</f>
        <v>0</v>
      </c>
      <c r="AE896" s="36" t="n">
        <f aca="false">IF($W896="DESPESA",$F896,0)</f>
        <v>0</v>
      </c>
      <c r="AF896" s="36" t="n">
        <f aca="false">IF($W896="RECEITA_FINANCEIRA",$F896,0)</f>
        <v>0</v>
      </c>
      <c r="AG896" s="36" t="n">
        <f aca="false">IF($B896="",0,IF($I896="CONTA",$F896,0)-IF($G896="CONTA",$F896,0))</f>
        <v>0</v>
      </c>
      <c r="AH896" s="36" t="n">
        <f aca="false">IF($B896="",0,IF($G896="CARTAO",$F896,0)-IF($I896="CARTAO",$F896,0))</f>
        <v>0</v>
      </c>
      <c r="AI896" s="36" t="n">
        <f aca="false">IF($B896="",0,IF($I896="INVESTIMENTO",$F896,0)-IF($G896="INVESTIMENTO",$F896,0))</f>
        <v>0</v>
      </c>
      <c r="AJ896" s="35" t="str">
        <f aca="false">IF($B896="","",IF(NOT(ISNUMBER($F896)),"ERRO: valor nao numerico",IF($F896&lt;=0,"ERRO: valor deve ser maior que zero",IF(COUNTIF(MAP_TIPO,$D896)=0,"ERRO: tipo de operacao nao cadastrado",IF(COUNTIF(LST_STATUS,$E896)=0,"ERRO: status invalido",IF(AND($G896="EXTERNO",$I896="EXTERNO"),"ERRO: origem e destino externos",IF(AND($G896&lt;&gt;"EXTERNO",COUNTIFS(ENT_ID,$H896,ENT_TIPO,$G896)=0),"ERRO: origem inexistente",IF(AND($I896&lt;&gt;"EXTERNO",COUNTIFS(ENT_ID,$J896,ENT_TIPO,$I896)=0),"ERRO: destino inexistente",IF(AND($K896&lt;&gt;"",COUNTIF(CAT_ID,$K896)=0),"ERRO: categoria inexistente",IF(AND($L896&lt;&gt;"",COUNTIF(SUB_ID,$L896)=0),"ERRO: subcategoria inexistente",IF(AND($L896&lt;&gt;"",$K896&lt;&gt;"",IFERROR(INDEX(SUB_CATID,MATCH($L896,SUB_ID,0)),"")&lt;&gt;$K896),"ERRO: subcategoria nao pertence a categoria",IF(AND($O896&lt;&gt;"",COUNTIF(P_ID,$O896)=0),"ERRO: parcela inexistente",IF(AND($N896&lt;&gt;"",COUNTIF(CM_ID,$N896)=0),"ERRO: compromisso inexistente","OK")))))))))))))</f>
        <v/>
      </c>
      <c r="AK896" s="35" t="str">
        <f aca="false">IF($B896="","",IF(AND($N896="",$O896="",$P896="",$Q896="",$R896=""),"","VINCULADO: "&amp;TRIM(IF($N896&lt;&gt;"",$N896&amp;" ","")&amp;IF($O896&lt;&gt;"",$O896&amp;" ","")&amp;IF($P896&lt;&gt;"",$P896&amp;" ","")&amp;IF($Q896&lt;&gt;"",$Q896&amp;" ","")&amp;IF($R896&lt;&gt;"",$R896,""))))</f>
        <v/>
      </c>
    </row>
    <row r="897" customFormat="false" ht="15" hidden="false" customHeight="false" outlineLevel="0" collapsed="false">
      <c r="A897" s="30" t="str">
        <f aca="false">IF($B897="","","LAN-"&amp;TEXT(ROW()-4,"000000"))</f>
        <v/>
      </c>
      <c r="B897" s="31"/>
      <c r="C897" s="32"/>
      <c r="D897" s="32"/>
      <c r="E897" s="32"/>
      <c r="F897" s="33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4" t="str">
        <f aca="false">IF($B897="","",YEAR($B897))</f>
        <v/>
      </c>
      <c r="U897" s="34" t="str">
        <f aca="false">IF($B897="","",MONTH($B897))</f>
        <v/>
      </c>
      <c r="V897" s="34" t="str">
        <f aca="false">IF($B897="","",YEAR($B897)*100+MONTH($B897))</f>
        <v/>
      </c>
      <c r="W897" s="35" t="str">
        <f aca="false">IF($D897="","",IFERROR(INDEX(MAP_CLASS,MATCH($D897,MAP_TIPO,0)),"TIPO INVALIDO"))</f>
        <v/>
      </c>
      <c r="X897" s="35" t="str">
        <f aca="false">IF($K897="","",IFERROR(INDEX(CAT_NOME,MATCH($K897,CAT_ID,0)),"?"))</f>
        <v/>
      </c>
      <c r="Y897" s="35" t="str">
        <f aca="false">IF($L897="","",IFERROR(INDEX(SUB_NOME,MATCH($L897,SUB_ID,0)),"?"))</f>
        <v/>
      </c>
      <c r="Z897" s="35" t="str">
        <f aca="false">IF($G897="","",IF($G897="EXTERNO","(Externo)",IFERROR(INDEX(ENT_NOME,MATCH($H897,ENT_ID,0)),"?")))</f>
        <v/>
      </c>
      <c r="AA897" s="35" t="str">
        <f aca="false">IF($I897="","",IF($I897="EXTERNO","(Externo)",IFERROR(INDEX(ENT_NOME,MATCH($J897,ENT_ID,0)),"?")))</f>
        <v/>
      </c>
      <c r="AB897" s="36" t="n">
        <f aca="false">IF($B897="",0,IF(AND($I897="CONTA",$G897&lt;&gt;"CONTA"),$F897,0))</f>
        <v>0</v>
      </c>
      <c r="AC897" s="36" t="n">
        <f aca="false">IF($B897="",0,IF(AND($G897="CONTA",$I897&lt;&gt;"CONTA"),$F897,0))</f>
        <v>0</v>
      </c>
      <c r="AD897" s="36" t="n">
        <f aca="false">IF($W897="RECEITA",$F897,0)</f>
        <v>0</v>
      </c>
      <c r="AE897" s="36" t="n">
        <f aca="false">IF($W897="DESPESA",$F897,0)</f>
        <v>0</v>
      </c>
      <c r="AF897" s="36" t="n">
        <f aca="false">IF($W897="RECEITA_FINANCEIRA",$F897,0)</f>
        <v>0</v>
      </c>
      <c r="AG897" s="36" t="n">
        <f aca="false">IF($B897="",0,IF($I897="CONTA",$F897,0)-IF($G897="CONTA",$F897,0))</f>
        <v>0</v>
      </c>
      <c r="AH897" s="36" t="n">
        <f aca="false">IF($B897="",0,IF($G897="CARTAO",$F897,0)-IF($I897="CARTAO",$F897,0))</f>
        <v>0</v>
      </c>
      <c r="AI897" s="36" t="n">
        <f aca="false">IF($B897="",0,IF($I897="INVESTIMENTO",$F897,0)-IF($G897="INVESTIMENTO",$F897,0))</f>
        <v>0</v>
      </c>
      <c r="AJ897" s="35" t="str">
        <f aca="false">IF($B897="","",IF(NOT(ISNUMBER($F897)),"ERRO: valor nao numerico",IF($F897&lt;=0,"ERRO: valor deve ser maior que zero",IF(COUNTIF(MAP_TIPO,$D897)=0,"ERRO: tipo de operacao nao cadastrado",IF(COUNTIF(LST_STATUS,$E897)=0,"ERRO: status invalido",IF(AND($G897="EXTERNO",$I897="EXTERNO"),"ERRO: origem e destino externos",IF(AND($G897&lt;&gt;"EXTERNO",COUNTIFS(ENT_ID,$H897,ENT_TIPO,$G897)=0),"ERRO: origem inexistente",IF(AND($I897&lt;&gt;"EXTERNO",COUNTIFS(ENT_ID,$J897,ENT_TIPO,$I897)=0),"ERRO: destino inexistente",IF(AND($K897&lt;&gt;"",COUNTIF(CAT_ID,$K897)=0),"ERRO: categoria inexistente",IF(AND($L897&lt;&gt;"",COUNTIF(SUB_ID,$L897)=0),"ERRO: subcategoria inexistente",IF(AND($L897&lt;&gt;"",$K897&lt;&gt;"",IFERROR(INDEX(SUB_CATID,MATCH($L897,SUB_ID,0)),"")&lt;&gt;$K897),"ERRO: subcategoria nao pertence a categoria",IF(AND($O897&lt;&gt;"",COUNTIF(P_ID,$O897)=0),"ERRO: parcela inexistente",IF(AND($N897&lt;&gt;"",COUNTIF(CM_ID,$N897)=0),"ERRO: compromisso inexistente","OK")))))))))))))</f>
        <v/>
      </c>
      <c r="AK897" s="35" t="str">
        <f aca="false">IF($B897="","",IF(AND($N897="",$O897="",$P897="",$Q897="",$R897=""),"","VINCULADO: "&amp;TRIM(IF($N897&lt;&gt;"",$N897&amp;" ","")&amp;IF($O897&lt;&gt;"",$O897&amp;" ","")&amp;IF($P897&lt;&gt;"",$P897&amp;" ","")&amp;IF($Q897&lt;&gt;"",$Q897&amp;" ","")&amp;IF($R897&lt;&gt;"",$R897,""))))</f>
        <v/>
      </c>
    </row>
    <row r="898" customFormat="false" ht="15" hidden="false" customHeight="false" outlineLevel="0" collapsed="false">
      <c r="A898" s="30" t="str">
        <f aca="false">IF($B898="","","LAN-"&amp;TEXT(ROW()-4,"000000"))</f>
        <v/>
      </c>
      <c r="B898" s="31"/>
      <c r="C898" s="32"/>
      <c r="D898" s="32"/>
      <c r="E898" s="32"/>
      <c r="F898" s="33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4" t="str">
        <f aca="false">IF($B898="","",YEAR($B898))</f>
        <v/>
      </c>
      <c r="U898" s="34" t="str">
        <f aca="false">IF($B898="","",MONTH($B898))</f>
        <v/>
      </c>
      <c r="V898" s="34" t="str">
        <f aca="false">IF($B898="","",YEAR($B898)*100+MONTH($B898))</f>
        <v/>
      </c>
      <c r="W898" s="35" t="str">
        <f aca="false">IF($D898="","",IFERROR(INDEX(MAP_CLASS,MATCH($D898,MAP_TIPO,0)),"TIPO INVALIDO"))</f>
        <v/>
      </c>
      <c r="X898" s="35" t="str">
        <f aca="false">IF($K898="","",IFERROR(INDEX(CAT_NOME,MATCH($K898,CAT_ID,0)),"?"))</f>
        <v/>
      </c>
      <c r="Y898" s="35" t="str">
        <f aca="false">IF($L898="","",IFERROR(INDEX(SUB_NOME,MATCH($L898,SUB_ID,0)),"?"))</f>
        <v/>
      </c>
      <c r="Z898" s="35" t="str">
        <f aca="false">IF($G898="","",IF($G898="EXTERNO","(Externo)",IFERROR(INDEX(ENT_NOME,MATCH($H898,ENT_ID,0)),"?")))</f>
        <v/>
      </c>
      <c r="AA898" s="35" t="str">
        <f aca="false">IF($I898="","",IF($I898="EXTERNO","(Externo)",IFERROR(INDEX(ENT_NOME,MATCH($J898,ENT_ID,0)),"?")))</f>
        <v/>
      </c>
      <c r="AB898" s="36" t="n">
        <f aca="false">IF($B898="",0,IF(AND($I898="CONTA",$G898&lt;&gt;"CONTA"),$F898,0))</f>
        <v>0</v>
      </c>
      <c r="AC898" s="36" t="n">
        <f aca="false">IF($B898="",0,IF(AND($G898="CONTA",$I898&lt;&gt;"CONTA"),$F898,0))</f>
        <v>0</v>
      </c>
      <c r="AD898" s="36" t="n">
        <f aca="false">IF($W898="RECEITA",$F898,0)</f>
        <v>0</v>
      </c>
      <c r="AE898" s="36" t="n">
        <f aca="false">IF($W898="DESPESA",$F898,0)</f>
        <v>0</v>
      </c>
      <c r="AF898" s="36" t="n">
        <f aca="false">IF($W898="RECEITA_FINANCEIRA",$F898,0)</f>
        <v>0</v>
      </c>
      <c r="AG898" s="36" t="n">
        <f aca="false">IF($B898="",0,IF($I898="CONTA",$F898,0)-IF($G898="CONTA",$F898,0))</f>
        <v>0</v>
      </c>
      <c r="AH898" s="36" t="n">
        <f aca="false">IF($B898="",0,IF($G898="CARTAO",$F898,0)-IF($I898="CARTAO",$F898,0))</f>
        <v>0</v>
      </c>
      <c r="AI898" s="36" t="n">
        <f aca="false">IF($B898="",0,IF($I898="INVESTIMENTO",$F898,0)-IF($G898="INVESTIMENTO",$F898,0))</f>
        <v>0</v>
      </c>
      <c r="AJ898" s="35" t="str">
        <f aca="false">IF($B898="","",IF(NOT(ISNUMBER($F898)),"ERRO: valor nao numerico",IF($F898&lt;=0,"ERRO: valor deve ser maior que zero",IF(COUNTIF(MAP_TIPO,$D898)=0,"ERRO: tipo de operacao nao cadastrado",IF(COUNTIF(LST_STATUS,$E898)=0,"ERRO: status invalido",IF(AND($G898="EXTERNO",$I898="EXTERNO"),"ERRO: origem e destino externos",IF(AND($G898&lt;&gt;"EXTERNO",COUNTIFS(ENT_ID,$H898,ENT_TIPO,$G898)=0),"ERRO: origem inexistente",IF(AND($I898&lt;&gt;"EXTERNO",COUNTIFS(ENT_ID,$J898,ENT_TIPO,$I898)=0),"ERRO: destino inexistente",IF(AND($K898&lt;&gt;"",COUNTIF(CAT_ID,$K898)=0),"ERRO: categoria inexistente",IF(AND($L898&lt;&gt;"",COUNTIF(SUB_ID,$L898)=0),"ERRO: subcategoria inexistente",IF(AND($L898&lt;&gt;"",$K898&lt;&gt;"",IFERROR(INDEX(SUB_CATID,MATCH($L898,SUB_ID,0)),"")&lt;&gt;$K898),"ERRO: subcategoria nao pertence a categoria",IF(AND($O898&lt;&gt;"",COUNTIF(P_ID,$O898)=0),"ERRO: parcela inexistente",IF(AND($N898&lt;&gt;"",COUNTIF(CM_ID,$N898)=0),"ERRO: compromisso inexistente","OK")))))))))))))</f>
        <v/>
      </c>
      <c r="AK898" s="35" t="str">
        <f aca="false">IF($B898="","",IF(AND($N898="",$O898="",$P898="",$Q898="",$R898=""),"","VINCULADO: "&amp;TRIM(IF($N898&lt;&gt;"",$N898&amp;" ","")&amp;IF($O898&lt;&gt;"",$O898&amp;" ","")&amp;IF($P898&lt;&gt;"",$P898&amp;" ","")&amp;IF($Q898&lt;&gt;"",$Q898&amp;" ","")&amp;IF($R898&lt;&gt;"",$R898,""))))</f>
        <v/>
      </c>
    </row>
    <row r="899" customFormat="false" ht="15" hidden="false" customHeight="false" outlineLevel="0" collapsed="false">
      <c r="A899" s="30" t="str">
        <f aca="false">IF($B899="","","LAN-"&amp;TEXT(ROW()-4,"000000"))</f>
        <v/>
      </c>
      <c r="B899" s="31"/>
      <c r="C899" s="32"/>
      <c r="D899" s="32"/>
      <c r="E899" s="32"/>
      <c r="F899" s="33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4" t="str">
        <f aca="false">IF($B899="","",YEAR($B899))</f>
        <v/>
      </c>
      <c r="U899" s="34" t="str">
        <f aca="false">IF($B899="","",MONTH($B899))</f>
        <v/>
      </c>
      <c r="V899" s="34" t="str">
        <f aca="false">IF($B899="","",YEAR($B899)*100+MONTH($B899))</f>
        <v/>
      </c>
      <c r="W899" s="35" t="str">
        <f aca="false">IF($D899="","",IFERROR(INDEX(MAP_CLASS,MATCH($D899,MAP_TIPO,0)),"TIPO INVALIDO"))</f>
        <v/>
      </c>
      <c r="X899" s="35" t="str">
        <f aca="false">IF($K899="","",IFERROR(INDEX(CAT_NOME,MATCH($K899,CAT_ID,0)),"?"))</f>
        <v/>
      </c>
      <c r="Y899" s="35" t="str">
        <f aca="false">IF($L899="","",IFERROR(INDEX(SUB_NOME,MATCH($L899,SUB_ID,0)),"?"))</f>
        <v/>
      </c>
      <c r="Z899" s="35" t="str">
        <f aca="false">IF($G899="","",IF($G899="EXTERNO","(Externo)",IFERROR(INDEX(ENT_NOME,MATCH($H899,ENT_ID,0)),"?")))</f>
        <v/>
      </c>
      <c r="AA899" s="35" t="str">
        <f aca="false">IF($I899="","",IF($I899="EXTERNO","(Externo)",IFERROR(INDEX(ENT_NOME,MATCH($J899,ENT_ID,0)),"?")))</f>
        <v/>
      </c>
      <c r="AB899" s="36" t="n">
        <f aca="false">IF($B899="",0,IF(AND($I899="CONTA",$G899&lt;&gt;"CONTA"),$F899,0))</f>
        <v>0</v>
      </c>
      <c r="AC899" s="36" t="n">
        <f aca="false">IF($B899="",0,IF(AND($G899="CONTA",$I899&lt;&gt;"CONTA"),$F899,0))</f>
        <v>0</v>
      </c>
      <c r="AD899" s="36" t="n">
        <f aca="false">IF($W899="RECEITA",$F899,0)</f>
        <v>0</v>
      </c>
      <c r="AE899" s="36" t="n">
        <f aca="false">IF($W899="DESPESA",$F899,0)</f>
        <v>0</v>
      </c>
      <c r="AF899" s="36" t="n">
        <f aca="false">IF($W899="RECEITA_FINANCEIRA",$F899,0)</f>
        <v>0</v>
      </c>
      <c r="AG899" s="36" t="n">
        <f aca="false">IF($B899="",0,IF($I899="CONTA",$F899,0)-IF($G899="CONTA",$F899,0))</f>
        <v>0</v>
      </c>
      <c r="AH899" s="36" t="n">
        <f aca="false">IF($B899="",0,IF($G899="CARTAO",$F899,0)-IF($I899="CARTAO",$F899,0))</f>
        <v>0</v>
      </c>
      <c r="AI899" s="36" t="n">
        <f aca="false">IF($B899="",0,IF($I899="INVESTIMENTO",$F899,0)-IF($G899="INVESTIMENTO",$F899,0))</f>
        <v>0</v>
      </c>
      <c r="AJ899" s="35" t="str">
        <f aca="false">IF($B899="","",IF(NOT(ISNUMBER($F899)),"ERRO: valor nao numerico",IF($F899&lt;=0,"ERRO: valor deve ser maior que zero",IF(COUNTIF(MAP_TIPO,$D899)=0,"ERRO: tipo de operacao nao cadastrado",IF(COUNTIF(LST_STATUS,$E899)=0,"ERRO: status invalido",IF(AND($G899="EXTERNO",$I899="EXTERNO"),"ERRO: origem e destino externos",IF(AND($G899&lt;&gt;"EXTERNO",COUNTIFS(ENT_ID,$H899,ENT_TIPO,$G899)=0),"ERRO: origem inexistente",IF(AND($I899&lt;&gt;"EXTERNO",COUNTIFS(ENT_ID,$J899,ENT_TIPO,$I899)=0),"ERRO: destino inexistente",IF(AND($K899&lt;&gt;"",COUNTIF(CAT_ID,$K899)=0),"ERRO: categoria inexistente",IF(AND($L899&lt;&gt;"",COUNTIF(SUB_ID,$L899)=0),"ERRO: subcategoria inexistente",IF(AND($L899&lt;&gt;"",$K899&lt;&gt;"",IFERROR(INDEX(SUB_CATID,MATCH($L899,SUB_ID,0)),"")&lt;&gt;$K899),"ERRO: subcategoria nao pertence a categoria",IF(AND($O899&lt;&gt;"",COUNTIF(P_ID,$O899)=0),"ERRO: parcela inexistente",IF(AND($N899&lt;&gt;"",COUNTIF(CM_ID,$N899)=0),"ERRO: compromisso inexistente","OK")))))))))))))</f>
        <v/>
      </c>
      <c r="AK899" s="35" t="str">
        <f aca="false">IF($B899="","",IF(AND($N899="",$O899="",$P899="",$Q899="",$R899=""),"","VINCULADO: "&amp;TRIM(IF($N899&lt;&gt;"",$N899&amp;" ","")&amp;IF($O899&lt;&gt;"",$O899&amp;" ","")&amp;IF($P899&lt;&gt;"",$P899&amp;" ","")&amp;IF($Q899&lt;&gt;"",$Q899&amp;" ","")&amp;IF($R899&lt;&gt;"",$R899,""))))</f>
        <v/>
      </c>
    </row>
    <row r="900" customFormat="false" ht="15" hidden="false" customHeight="false" outlineLevel="0" collapsed="false">
      <c r="A900" s="30" t="str">
        <f aca="false">IF($B900="","","LAN-"&amp;TEXT(ROW()-4,"000000"))</f>
        <v/>
      </c>
      <c r="B900" s="31"/>
      <c r="C900" s="32"/>
      <c r="D900" s="32"/>
      <c r="E900" s="32"/>
      <c r="F900" s="33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4" t="str">
        <f aca="false">IF($B900="","",YEAR($B900))</f>
        <v/>
      </c>
      <c r="U900" s="34" t="str">
        <f aca="false">IF($B900="","",MONTH($B900))</f>
        <v/>
      </c>
      <c r="V900" s="34" t="str">
        <f aca="false">IF($B900="","",YEAR($B900)*100+MONTH($B900))</f>
        <v/>
      </c>
      <c r="W900" s="35" t="str">
        <f aca="false">IF($D900="","",IFERROR(INDEX(MAP_CLASS,MATCH($D900,MAP_TIPO,0)),"TIPO INVALIDO"))</f>
        <v/>
      </c>
      <c r="X900" s="35" t="str">
        <f aca="false">IF($K900="","",IFERROR(INDEX(CAT_NOME,MATCH($K900,CAT_ID,0)),"?"))</f>
        <v/>
      </c>
      <c r="Y900" s="35" t="str">
        <f aca="false">IF($L900="","",IFERROR(INDEX(SUB_NOME,MATCH($L900,SUB_ID,0)),"?"))</f>
        <v/>
      </c>
      <c r="Z900" s="35" t="str">
        <f aca="false">IF($G900="","",IF($G900="EXTERNO","(Externo)",IFERROR(INDEX(ENT_NOME,MATCH($H900,ENT_ID,0)),"?")))</f>
        <v/>
      </c>
      <c r="AA900" s="35" t="str">
        <f aca="false">IF($I900="","",IF($I900="EXTERNO","(Externo)",IFERROR(INDEX(ENT_NOME,MATCH($J900,ENT_ID,0)),"?")))</f>
        <v/>
      </c>
      <c r="AB900" s="36" t="n">
        <f aca="false">IF($B900="",0,IF(AND($I900="CONTA",$G900&lt;&gt;"CONTA"),$F900,0))</f>
        <v>0</v>
      </c>
      <c r="AC900" s="36" t="n">
        <f aca="false">IF($B900="",0,IF(AND($G900="CONTA",$I900&lt;&gt;"CONTA"),$F900,0))</f>
        <v>0</v>
      </c>
      <c r="AD900" s="36" t="n">
        <f aca="false">IF($W900="RECEITA",$F900,0)</f>
        <v>0</v>
      </c>
      <c r="AE900" s="36" t="n">
        <f aca="false">IF($W900="DESPESA",$F900,0)</f>
        <v>0</v>
      </c>
      <c r="AF900" s="36" t="n">
        <f aca="false">IF($W900="RECEITA_FINANCEIRA",$F900,0)</f>
        <v>0</v>
      </c>
      <c r="AG900" s="36" t="n">
        <f aca="false">IF($B900="",0,IF($I900="CONTA",$F900,0)-IF($G900="CONTA",$F900,0))</f>
        <v>0</v>
      </c>
      <c r="AH900" s="36" t="n">
        <f aca="false">IF($B900="",0,IF($G900="CARTAO",$F900,0)-IF($I900="CARTAO",$F900,0))</f>
        <v>0</v>
      </c>
      <c r="AI900" s="36" t="n">
        <f aca="false">IF($B900="",0,IF($I900="INVESTIMENTO",$F900,0)-IF($G900="INVESTIMENTO",$F900,0))</f>
        <v>0</v>
      </c>
      <c r="AJ900" s="35" t="str">
        <f aca="false">IF($B900="","",IF(NOT(ISNUMBER($F900)),"ERRO: valor nao numerico",IF($F900&lt;=0,"ERRO: valor deve ser maior que zero",IF(COUNTIF(MAP_TIPO,$D900)=0,"ERRO: tipo de operacao nao cadastrado",IF(COUNTIF(LST_STATUS,$E900)=0,"ERRO: status invalido",IF(AND($G900="EXTERNO",$I900="EXTERNO"),"ERRO: origem e destino externos",IF(AND($G900&lt;&gt;"EXTERNO",COUNTIFS(ENT_ID,$H900,ENT_TIPO,$G900)=0),"ERRO: origem inexistente",IF(AND($I900&lt;&gt;"EXTERNO",COUNTIFS(ENT_ID,$J900,ENT_TIPO,$I900)=0),"ERRO: destino inexistente",IF(AND($K900&lt;&gt;"",COUNTIF(CAT_ID,$K900)=0),"ERRO: categoria inexistente",IF(AND($L900&lt;&gt;"",COUNTIF(SUB_ID,$L900)=0),"ERRO: subcategoria inexistente",IF(AND($L900&lt;&gt;"",$K900&lt;&gt;"",IFERROR(INDEX(SUB_CATID,MATCH($L900,SUB_ID,0)),"")&lt;&gt;$K900),"ERRO: subcategoria nao pertence a categoria",IF(AND($O900&lt;&gt;"",COUNTIF(P_ID,$O900)=0),"ERRO: parcela inexistente",IF(AND($N900&lt;&gt;"",COUNTIF(CM_ID,$N900)=0),"ERRO: compromisso inexistente","OK")))))))))))))</f>
        <v/>
      </c>
      <c r="AK900" s="35" t="str">
        <f aca="false">IF($B900="","",IF(AND($N900="",$O900="",$P900="",$Q900="",$R900=""),"","VINCULADO: "&amp;TRIM(IF($N900&lt;&gt;"",$N900&amp;" ","")&amp;IF($O900&lt;&gt;"",$O900&amp;" ","")&amp;IF($P900&lt;&gt;"",$P900&amp;" ","")&amp;IF($Q900&lt;&gt;"",$Q900&amp;" ","")&amp;IF($R900&lt;&gt;"",$R900,""))))</f>
        <v/>
      </c>
    </row>
    <row r="901" customFormat="false" ht="15" hidden="false" customHeight="false" outlineLevel="0" collapsed="false">
      <c r="A901" s="30" t="str">
        <f aca="false">IF($B901="","","LAN-"&amp;TEXT(ROW()-4,"000000"))</f>
        <v/>
      </c>
      <c r="B901" s="31"/>
      <c r="C901" s="32"/>
      <c r="D901" s="32"/>
      <c r="E901" s="32"/>
      <c r="F901" s="33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4" t="str">
        <f aca="false">IF($B901="","",YEAR($B901))</f>
        <v/>
      </c>
      <c r="U901" s="34" t="str">
        <f aca="false">IF($B901="","",MONTH($B901))</f>
        <v/>
      </c>
      <c r="V901" s="34" t="str">
        <f aca="false">IF($B901="","",YEAR($B901)*100+MONTH($B901))</f>
        <v/>
      </c>
      <c r="W901" s="35" t="str">
        <f aca="false">IF($D901="","",IFERROR(INDEX(MAP_CLASS,MATCH($D901,MAP_TIPO,0)),"TIPO INVALIDO"))</f>
        <v/>
      </c>
      <c r="X901" s="35" t="str">
        <f aca="false">IF($K901="","",IFERROR(INDEX(CAT_NOME,MATCH($K901,CAT_ID,0)),"?"))</f>
        <v/>
      </c>
      <c r="Y901" s="35" t="str">
        <f aca="false">IF($L901="","",IFERROR(INDEX(SUB_NOME,MATCH($L901,SUB_ID,0)),"?"))</f>
        <v/>
      </c>
      <c r="Z901" s="35" t="str">
        <f aca="false">IF($G901="","",IF($G901="EXTERNO","(Externo)",IFERROR(INDEX(ENT_NOME,MATCH($H901,ENT_ID,0)),"?")))</f>
        <v/>
      </c>
      <c r="AA901" s="35" t="str">
        <f aca="false">IF($I901="","",IF($I901="EXTERNO","(Externo)",IFERROR(INDEX(ENT_NOME,MATCH($J901,ENT_ID,0)),"?")))</f>
        <v/>
      </c>
      <c r="AB901" s="36" t="n">
        <f aca="false">IF($B901="",0,IF(AND($I901="CONTA",$G901&lt;&gt;"CONTA"),$F901,0))</f>
        <v>0</v>
      </c>
      <c r="AC901" s="36" t="n">
        <f aca="false">IF($B901="",0,IF(AND($G901="CONTA",$I901&lt;&gt;"CONTA"),$F901,0))</f>
        <v>0</v>
      </c>
      <c r="AD901" s="36" t="n">
        <f aca="false">IF($W901="RECEITA",$F901,0)</f>
        <v>0</v>
      </c>
      <c r="AE901" s="36" t="n">
        <f aca="false">IF($W901="DESPESA",$F901,0)</f>
        <v>0</v>
      </c>
      <c r="AF901" s="36" t="n">
        <f aca="false">IF($W901="RECEITA_FINANCEIRA",$F901,0)</f>
        <v>0</v>
      </c>
      <c r="AG901" s="36" t="n">
        <f aca="false">IF($B901="",0,IF($I901="CONTA",$F901,0)-IF($G901="CONTA",$F901,0))</f>
        <v>0</v>
      </c>
      <c r="AH901" s="36" t="n">
        <f aca="false">IF($B901="",0,IF($G901="CARTAO",$F901,0)-IF($I901="CARTAO",$F901,0))</f>
        <v>0</v>
      </c>
      <c r="AI901" s="36" t="n">
        <f aca="false">IF($B901="",0,IF($I901="INVESTIMENTO",$F901,0)-IF($G901="INVESTIMENTO",$F901,0))</f>
        <v>0</v>
      </c>
      <c r="AJ901" s="35" t="str">
        <f aca="false">IF($B901="","",IF(NOT(ISNUMBER($F901)),"ERRO: valor nao numerico",IF($F901&lt;=0,"ERRO: valor deve ser maior que zero",IF(COUNTIF(MAP_TIPO,$D901)=0,"ERRO: tipo de operacao nao cadastrado",IF(COUNTIF(LST_STATUS,$E901)=0,"ERRO: status invalido",IF(AND($G901="EXTERNO",$I901="EXTERNO"),"ERRO: origem e destino externos",IF(AND($G901&lt;&gt;"EXTERNO",COUNTIFS(ENT_ID,$H901,ENT_TIPO,$G901)=0),"ERRO: origem inexistente",IF(AND($I901&lt;&gt;"EXTERNO",COUNTIFS(ENT_ID,$J901,ENT_TIPO,$I901)=0),"ERRO: destino inexistente",IF(AND($K901&lt;&gt;"",COUNTIF(CAT_ID,$K901)=0),"ERRO: categoria inexistente",IF(AND($L901&lt;&gt;"",COUNTIF(SUB_ID,$L901)=0),"ERRO: subcategoria inexistente",IF(AND($L901&lt;&gt;"",$K901&lt;&gt;"",IFERROR(INDEX(SUB_CATID,MATCH($L901,SUB_ID,0)),"")&lt;&gt;$K901),"ERRO: subcategoria nao pertence a categoria",IF(AND($O901&lt;&gt;"",COUNTIF(P_ID,$O901)=0),"ERRO: parcela inexistente",IF(AND($N901&lt;&gt;"",COUNTIF(CM_ID,$N901)=0),"ERRO: compromisso inexistente","OK")))))))))))))</f>
        <v/>
      </c>
      <c r="AK901" s="35" t="str">
        <f aca="false">IF($B901="","",IF(AND($N901="",$O901="",$P901="",$Q901="",$R901=""),"","VINCULADO: "&amp;TRIM(IF($N901&lt;&gt;"",$N901&amp;" ","")&amp;IF($O901&lt;&gt;"",$O901&amp;" ","")&amp;IF($P901&lt;&gt;"",$P901&amp;" ","")&amp;IF($Q901&lt;&gt;"",$Q901&amp;" ","")&amp;IF($R901&lt;&gt;"",$R901,""))))</f>
        <v/>
      </c>
    </row>
    <row r="902" customFormat="false" ht="15" hidden="false" customHeight="false" outlineLevel="0" collapsed="false">
      <c r="A902" s="30" t="str">
        <f aca="false">IF($B902="","","LAN-"&amp;TEXT(ROW()-4,"000000"))</f>
        <v/>
      </c>
      <c r="B902" s="31"/>
      <c r="C902" s="32"/>
      <c r="D902" s="32"/>
      <c r="E902" s="32"/>
      <c r="F902" s="33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4" t="str">
        <f aca="false">IF($B902="","",YEAR($B902))</f>
        <v/>
      </c>
      <c r="U902" s="34" t="str">
        <f aca="false">IF($B902="","",MONTH($B902))</f>
        <v/>
      </c>
      <c r="V902" s="34" t="str">
        <f aca="false">IF($B902="","",YEAR($B902)*100+MONTH($B902))</f>
        <v/>
      </c>
      <c r="W902" s="35" t="str">
        <f aca="false">IF($D902="","",IFERROR(INDEX(MAP_CLASS,MATCH($D902,MAP_TIPO,0)),"TIPO INVALIDO"))</f>
        <v/>
      </c>
      <c r="X902" s="35" t="str">
        <f aca="false">IF($K902="","",IFERROR(INDEX(CAT_NOME,MATCH($K902,CAT_ID,0)),"?"))</f>
        <v/>
      </c>
      <c r="Y902" s="35" t="str">
        <f aca="false">IF($L902="","",IFERROR(INDEX(SUB_NOME,MATCH($L902,SUB_ID,0)),"?"))</f>
        <v/>
      </c>
      <c r="Z902" s="35" t="str">
        <f aca="false">IF($G902="","",IF($G902="EXTERNO","(Externo)",IFERROR(INDEX(ENT_NOME,MATCH($H902,ENT_ID,0)),"?")))</f>
        <v/>
      </c>
      <c r="AA902" s="35" t="str">
        <f aca="false">IF($I902="","",IF($I902="EXTERNO","(Externo)",IFERROR(INDEX(ENT_NOME,MATCH($J902,ENT_ID,0)),"?")))</f>
        <v/>
      </c>
      <c r="AB902" s="36" t="n">
        <f aca="false">IF($B902="",0,IF(AND($I902="CONTA",$G902&lt;&gt;"CONTA"),$F902,0))</f>
        <v>0</v>
      </c>
      <c r="AC902" s="36" t="n">
        <f aca="false">IF($B902="",0,IF(AND($G902="CONTA",$I902&lt;&gt;"CONTA"),$F902,0))</f>
        <v>0</v>
      </c>
      <c r="AD902" s="36" t="n">
        <f aca="false">IF($W902="RECEITA",$F902,0)</f>
        <v>0</v>
      </c>
      <c r="AE902" s="36" t="n">
        <f aca="false">IF($W902="DESPESA",$F902,0)</f>
        <v>0</v>
      </c>
      <c r="AF902" s="36" t="n">
        <f aca="false">IF($W902="RECEITA_FINANCEIRA",$F902,0)</f>
        <v>0</v>
      </c>
      <c r="AG902" s="36" t="n">
        <f aca="false">IF($B902="",0,IF($I902="CONTA",$F902,0)-IF($G902="CONTA",$F902,0))</f>
        <v>0</v>
      </c>
      <c r="AH902" s="36" t="n">
        <f aca="false">IF($B902="",0,IF($G902="CARTAO",$F902,0)-IF($I902="CARTAO",$F902,0))</f>
        <v>0</v>
      </c>
      <c r="AI902" s="36" t="n">
        <f aca="false">IF($B902="",0,IF($I902="INVESTIMENTO",$F902,0)-IF($G902="INVESTIMENTO",$F902,0))</f>
        <v>0</v>
      </c>
      <c r="AJ902" s="35" t="str">
        <f aca="false">IF($B902="","",IF(NOT(ISNUMBER($F902)),"ERRO: valor nao numerico",IF($F902&lt;=0,"ERRO: valor deve ser maior que zero",IF(COUNTIF(MAP_TIPO,$D902)=0,"ERRO: tipo de operacao nao cadastrado",IF(COUNTIF(LST_STATUS,$E902)=0,"ERRO: status invalido",IF(AND($G902="EXTERNO",$I902="EXTERNO"),"ERRO: origem e destino externos",IF(AND($G902&lt;&gt;"EXTERNO",COUNTIFS(ENT_ID,$H902,ENT_TIPO,$G902)=0),"ERRO: origem inexistente",IF(AND($I902&lt;&gt;"EXTERNO",COUNTIFS(ENT_ID,$J902,ENT_TIPO,$I902)=0),"ERRO: destino inexistente",IF(AND($K902&lt;&gt;"",COUNTIF(CAT_ID,$K902)=0),"ERRO: categoria inexistente",IF(AND($L902&lt;&gt;"",COUNTIF(SUB_ID,$L902)=0),"ERRO: subcategoria inexistente",IF(AND($L902&lt;&gt;"",$K902&lt;&gt;"",IFERROR(INDEX(SUB_CATID,MATCH($L902,SUB_ID,0)),"")&lt;&gt;$K902),"ERRO: subcategoria nao pertence a categoria",IF(AND($O902&lt;&gt;"",COUNTIF(P_ID,$O902)=0),"ERRO: parcela inexistente",IF(AND($N902&lt;&gt;"",COUNTIF(CM_ID,$N902)=0),"ERRO: compromisso inexistente","OK")))))))))))))</f>
        <v/>
      </c>
      <c r="AK902" s="35" t="str">
        <f aca="false">IF($B902="","",IF(AND($N902="",$O902="",$P902="",$Q902="",$R902=""),"","VINCULADO: "&amp;TRIM(IF($N902&lt;&gt;"",$N902&amp;" ","")&amp;IF($O902&lt;&gt;"",$O902&amp;" ","")&amp;IF($P902&lt;&gt;"",$P902&amp;" ","")&amp;IF($Q902&lt;&gt;"",$Q902&amp;" ","")&amp;IF($R902&lt;&gt;"",$R902,""))))</f>
        <v/>
      </c>
    </row>
    <row r="903" customFormat="false" ht="15" hidden="false" customHeight="false" outlineLevel="0" collapsed="false">
      <c r="A903" s="30" t="str">
        <f aca="false">IF($B903="","","LAN-"&amp;TEXT(ROW()-4,"000000"))</f>
        <v/>
      </c>
      <c r="B903" s="31"/>
      <c r="C903" s="32"/>
      <c r="D903" s="32"/>
      <c r="E903" s="32"/>
      <c r="F903" s="33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4" t="str">
        <f aca="false">IF($B903="","",YEAR($B903))</f>
        <v/>
      </c>
      <c r="U903" s="34" t="str">
        <f aca="false">IF($B903="","",MONTH($B903))</f>
        <v/>
      </c>
      <c r="V903" s="34" t="str">
        <f aca="false">IF($B903="","",YEAR($B903)*100+MONTH($B903))</f>
        <v/>
      </c>
      <c r="W903" s="35" t="str">
        <f aca="false">IF($D903="","",IFERROR(INDEX(MAP_CLASS,MATCH($D903,MAP_TIPO,0)),"TIPO INVALIDO"))</f>
        <v/>
      </c>
      <c r="X903" s="35" t="str">
        <f aca="false">IF($K903="","",IFERROR(INDEX(CAT_NOME,MATCH($K903,CAT_ID,0)),"?"))</f>
        <v/>
      </c>
      <c r="Y903" s="35" t="str">
        <f aca="false">IF($L903="","",IFERROR(INDEX(SUB_NOME,MATCH($L903,SUB_ID,0)),"?"))</f>
        <v/>
      </c>
      <c r="Z903" s="35" t="str">
        <f aca="false">IF($G903="","",IF($G903="EXTERNO","(Externo)",IFERROR(INDEX(ENT_NOME,MATCH($H903,ENT_ID,0)),"?")))</f>
        <v/>
      </c>
      <c r="AA903" s="35" t="str">
        <f aca="false">IF($I903="","",IF($I903="EXTERNO","(Externo)",IFERROR(INDEX(ENT_NOME,MATCH($J903,ENT_ID,0)),"?")))</f>
        <v/>
      </c>
      <c r="AB903" s="36" t="n">
        <f aca="false">IF($B903="",0,IF(AND($I903="CONTA",$G903&lt;&gt;"CONTA"),$F903,0))</f>
        <v>0</v>
      </c>
      <c r="AC903" s="36" t="n">
        <f aca="false">IF($B903="",0,IF(AND($G903="CONTA",$I903&lt;&gt;"CONTA"),$F903,0))</f>
        <v>0</v>
      </c>
      <c r="AD903" s="36" t="n">
        <f aca="false">IF($W903="RECEITA",$F903,0)</f>
        <v>0</v>
      </c>
      <c r="AE903" s="36" t="n">
        <f aca="false">IF($W903="DESPESA",$F903,0)</f>
        <v>0</v>
      </c>
      <c r="AF903" s="36" t="n">
        <f aca="false">IF($W903="RECEITA_FINANCEIRA",$F903,0)</f>
        <v>0</v>
      </c>
      <c r="AG903" s="36" t="n">
        <f aca="false">IF($B903="",0,IF($I903="CONTA",$F903,0)-IF($G903="CONTA",$F903,0))</f>
        <v>0</v>
      </c>
      <c r="AH903" s="36" t="n">
        <f aca="false">IF($B903="",0,IF($G903="CARTAO",$F903,0)-IF($I903="CARTAO",$F903,0))</f>
        <v>0</v>
      </c>
      <c r="AI903" s="36" t="n">
        <f aca="false">IF($B903="",0,IF($I903="INVESTIMENTO",$F903,0)-IF($G903="INVESTIMENTO",$F903,0))</f>
        <v>0</v>
      </c>
      <c r="AJ903" s="35" t="str">
        <f aca="false">IF($B903="","",IF(NOT(ISNUMBER($F903)),"ERRO: valor nao numerico",IF($F903&lt;=0,"ERRO: valor deve ser maior que zero",IF(COUNTIF(MAP_TIPO,$D903)=0,"ERRO: tipo de operacao nao cadastrado",IF(COUNTIF(LST_STATUS,$E903)=0,"ERRO: status invalido",IF(AND($G903="EXTERNO",$I903="EXTERNO"),"ERRO: origem e destino externos",IF(AND($G903&lt;&gt;"EXTERNO",COUNTIFS(ENT_ID,$H903,ENT_TIPO,$G903)=0),"ERRO: origem inexistente",IF(AND($I903&lt;&gt;"EXTERNO",COUNTIFS(ENT_ID,$J903,ENT_TIPO,$I903)=0),"ERRO: destino inexistente",IF(AND($K903&lt;&gt;"",COUNTIF(CAT_ID,$K903)=0),"ERRO: categoria inexistente",IF(AND($L903&lt;&gt;"",COUNTIF(SUB_ID,$L903)=0),"ERRO: subcategoria inexistente",IF(AND($L903&lt;&gt;"",$K903&lt;&gt;"",IFERROR(INDEX(SUB_CATID,MATCH($L903,SUB_ID,0)),"")&lt;&gt;$K903),"ERRO: subcategoria nao pertence a categoria",IF(AND($O903&lt;&gt;"",COUNTIF(P_ID,$O903)=0),"ERRO: parcela inexistente",IF(AND($N903&lt;&gt;"",COUNTIF(CM_ID,$N903)=0),"ERRO: compromisso inexistente","OK")))))))))))))</f>
        <v/>
      </c>
      <c r="AK903" s="35" t="str">
        <f aca="false">IF($B903="","",IF(AND($N903="",$O903="",$P903="",$Q903="",$R903=""),"","VINCULADO: "&amp;TRIM(IF($N903&lt;&gt;"",$N903&amp;" ","")&amp;IF($O903&lt;&gt;"",$O903&amp;" ","")&amp;IF($P903&lt;&gt;"",$P903&amp;" ","")&amp;IF($Q903&lt;&gt;"",$Q903&amp;" ","")&amp;IF($R903&lt;&gt;"",$R903,""))))</f>
        <v/>
      </c>
    </row>
    <row r="904" customFormat="false" ht="15" hidden="false" customHeight="false" outlineLevel="0" collapsed="false">
      <c r="A904" s="30" t="str">
        <f aca="false">IF($B904="","","LAN-"&amp;TEXT(ROW()-4,"000000"))</f>
        <v/>
      </c>
      <c r="B904" s="31"/>
      <c r="C904" s="32"/>
      <c r="D904" s="32"/>
      <c r="E904" s="32"/>
      <c r="F904" s="33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4" t="str">
        <f aca="false">IF($B904="","",YEAR($B904))</f>
        <v/>
      </c>
      <c r="U904" s="34" t="str">
        <f aca="false">IF($B904="","",MONTH($B904))</f>
        <v/>
      </c>
      <c r="V904" s="34" t="str">
        <f aca="false">IF($B904="","",YEAR($B904)*100+MONTH($B904))</f>
        <v/>
      </c>
      <c r="W904" s="35" t="str">
        <f aca="false">IF($D904="","",IFERROR(INDEX(MAP_CLASS,MATCH($D904,MAP_TIPO,0)),"TIPO INVALIDO"))</f>
        <v/>
      </c>
      <c r="X904" s="35" t="str">
        <f aca="false">IF($K904="","",IFERROR(INDEX(CAT_NOME,MATCH($K904,CAT_ID,0)),"?"))</f>
        <v/>
      </c>
      <c r="Y904" s="35" t="str">
        <f aca="false">IF($L904="","",IFERROR(INDEX(SUB_NOME,MATCH($L904,SUB_ID,0)),"?"))</f>
        <v/>
      </c>
      <c r="Z904" s="35" t="str">
        <f aca="false">IF($G904="","",IF($G904="EXTERNO","(Externo)",IFERROR(INDEX(ENT_NOME,MATCH($H904,ENT_ID,0)),"?")))</f>
        <v/>
      </c>
      <c r="AA904" s="35" t="str">
        <f aca="false">IF($I904="","",IF($I904="EXTERNO","(Externo)",IFERROR(INDEX(ENT_NOME,MATCH($J904,ENT_ID,0)),"?")))</f>
        <v/>
      </c>
      <c r="AB904" s="36" t="n">
        <f aca="false">IF($B904="",0,IF(AND($I904="CONTA",$G904&lt;&gt;"CONTA"),$F904,0))</f>
        <v>0</v>
      </c>
      <c r="AC904" s="36" t="n">
        <f aca="false">IF($B904="",0,IF(AND($G904="CONTA",$I904&lt;&gt;"CONTA"),$F904,0))</f>
        <v>0</v>
      </c>
      <c r="AD904" s="36" t="n">
        <f aca="false">IF($W904="RECEITA",$F904,0)</f>
        <v>0</v>
      </c>
      <c r="AE904" s="36" t="n">
        <f aca="false">IF($W904="DESPESA",$F904,0)</f>
        <v>0</v>
      </c>
      <c r="AF904" s="36" t="n">
        <f aca="false">IF($W904="RECEITA_FINANCEIRA",$F904,0)</f>
        <v>0</v>
      </c>
      <c r="AG904" s="36" t="n">
        <f aca="false">IF($B904="",0,IF($I904="CONTA",$F904,0)-IF($G904="CONTA",$F904,0))</f>
        <v>0</v>
      </c>
      <c r="AH904" s="36" t="n">
        <f aca="false">IF($B904="",0,IF($G904="CARTAO",$F904,0)-IF($I904="CARTAO",$F904,0))</f>
        <v>0</v>
      </c>
      <c r="AI904" s="36" t="n">
        <f aca="false">IF($B904="",0,IF($I904="INVESTIMENTO",$F904,0)-IF($G904="INVESTIMENTO",$F904,0))</f>
        <v>0</v>
      </c>
      <c r="AJ904" s="35" t="str">
        <f aca="false">IF($B904="","",IF(NOT(ISNUMBER($F904)),"ERRO: valor nao numerico",IF($F904&lt;=0,"ERRO: valor deve ser maior que zero",IF(COUNTIF(MAP_TIPO,$D904)=0,"ERRO: tipo de operacao nao cadastrado",IF(COUNTIF(LST_STATUS,$E904)=0,"ERRO: status invalido",IF(AND($G904="EXTERNO",$I904="EXTERNO"),"ERRO: origem e destino externos",IF(AND($G904&lt;&gt;"EXTERNO",COUNTIFS(ENT_ID,$H904,ENT_TIPO,$G904)=0),"ERRO: origem inexistente",IF(AND($I904&lt;&gt;"EXTERNO",COUNTIFS(ENT_ID,$J904,ENT_TIPO,$I904)=0),"ERRO: destino inexistente",IF(AND($K904&lt;&gt;"",COUNTIF(CAT_ID,$K904)=0),"ERRO: categoria inexistente",IF(AND($L904&lt;&gt;"",COUNTIF(SUB_ID,$L904)=0),"ERRO: subcategoria inexistente",IF(AND($L904&lt;&gt;"",$K904&lt;&gt;"",IFERROR(INDEX(SUB_CATID,MATCH($L904,SUB_ID,0)),"")&lt;&gt;$K904),"ERRO: subcategoria nao pertence a categoria",IF(AND($O904&lt;&gt;"",COUNTIF(P_ID,$O904)=0),"ERRO: parcela inexistente",IF(AND($N904&lt;&gt;"",COUNTIF(CM_ID,$N904)=0),"ERRO: compromisso inexistente","OK")))))))))))))</f>
        <v/>
      </c>
      <c r="AK904" s="35" t="str">
        <f aca="false">IF($B904="","",IF(AND($N904="",$O904="",$P904="",$Q904="",$R904=""),"","VINCULADO: "&amp;TRIM(IF($N904&lt;&gt;"",$N904&amp;" ","")&amp;IF($O904&lt;&gt;"",$O904&amp;" ","")&amp;IF($P904&lt;&gt;"",$P904&amp;" ","")&amp;IF($Q904&lt;&gt;"",$Q904&amp;" ","")&amp;IF($R904&lt;&gt;"",$R904,""))))</f>
        <v/>
      </c>
    </row>
  </sheetData>
  <autoFilter ref="A4:AK3004"/>
  <mergeCells count="2">
    <mergeCell ref="A1:AK1"/>
    <mergeCell ref="A2:AK2"/>
  </mergeCells>
  <conditionalFormatting sqref="E5:E904">
    <cfRule type="cellIs" priority="2" operator="equal" aboveAverage="0" equalAverage="0" bottom="0" percent="0" rank="0" text="" dxfId="7">
      <formula>"CANCELADO"</formula>
    </cfRule>
    <cfRule type="cellIs" priority="3" operator="equal" aboveAverage="0" equalAverage="0" bottom="0" percent="0" rank="0" text="" dxfId="8">
      <formula>"PROJETADO"</formula>
    </cfRule>
  </conditionalFormatting>
  <conditionalFormatting sqref="AJ5:AJ904">
    <cfRule type="expression" priority="4" aboveAverage="0" equalAverage="0" bottom="0" percent="0" rank="0" text="" dxfId="9">
      <formula>AND($AJ5&lt;&gt;"",$AJ5&lt;&gt;"OK")</formula>
    </cfRule>
  </conditionalFormatting>
  <conditionalFormatting sqref="AK5:AK904">
    <cfRule type="expression" priority="5" aboveAverage="0" equalAverage="0" bottom="0" percent="0" rank="0" text="" dxfId="8">
      <formula>$AK5&lt;&gt;""</formula>
    </cfRule>
  </conditionalFormatting>
  <dataValidations count="1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90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904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90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90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904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90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904" type="list">
      <formula1>P_ID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9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Q5:Q90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7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4" min="13" style="0" width="17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5"/>
  </cols>
  <sheetData>
    <row r="1" customFormat="false" ht="25.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136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93</v>
      </c>
      <c r="B4" s="8" t="s">
        <v>92</v>
      </c>
      <c r="C4" s="8" t="s">
        <v>137</v>
      </c>
      <c r="D4" s="8" t="s">
        <v>138</v>
      </c>
      <c r="E4" s="8" t="s">
        <v>139</v>
      </c>
      <c r="F4" s="8" t="s">
        <v>76</v>
      </c>
      <c r="G4" s="8" t="s">
        <v>140</v>
      </c>
      <c r="H4" s="8" t="s">
        <v>141</v>
      </c>
      <c r="I4" s="8" t="s">
        <v>142</v>
      </c>
      <c r="J4" s="8" t="s">
        <v>143</v>
      </c>
      <c r="K4" s="8" t="s">
        <v>144</v>
      </c>
      <c r="L4" s="8" t="s">
        <v>145</v>
      </c>
      <c r="M4" s="8" t="s">
        <v>146</v>
      </c>
      <c r="N4" s="8" t="s">
        <v>147</v>
      </c>
      <c r="O4" s="8" t="s">
        <v>148</v>
      </c>
      <c r="P4" s="8" t="s">
        <v>149</v>
      </c>
      <c r="Q4" s="8" t="s">
        <v>150</v>
      </c>
    </row>
    <row r="5" customFormat="false" ht="15" hidden="false" customHeight="false" outlineLevel="0" collapsed="false">
      <c r="A5" s="30" t="str">
        <f aca="false">IF($B5="","","PAR-"&amp;TEXT(ROW()-4,"000000"))</f>
        <v/>
      </c>
      <c r="B5" s="32"/>
      <c r="C5" s="37"/>
      <c r="D5" s="31"/>
      <c r="E5" s="33"/>
      <c r="F5" s="32"/>
      <c r="G5" s="35" t="str">
        <f aca="false">IF($B5="","",IFERROR(INDEX(CM_NOME,MATCH($B5,CM_ID,0)),"?"))</f>
        <v/>
      </c>
      <c r="H5" s="34" t="str">
        <f aca="false">IF($B5="","",IFERROR(INDEX(CM_QTD,MATCH($B5,CM_ID,0)),""))</f>
        <v/>
      </c>
      <c r="I5" s="35" t="str">
        <f aca="false">IF($A5="","",$C5&amp;"/"&amp;$H5)</f>
        <v/>
      </c>
      <c r="J5" s="35" t="str">
        <f aca="false">IF($A5="","",IF($C5&lt;=IFERROR(INDEX(CM_PAGASANTES,MATCH($B5,CM_ID,0)),0),"SIM","NAO"))</f>
        <v/>
      </c>
      <c r="K5" s="36" t="n">
        <f aca="false">IF($A5="",0,SUMIFS(L_Valor,L_ParcID,$A5,L_Status,"REALIZADO"))</f>
        <v>0</v>
      </c>
      <c r="L5" s="38" t="str">
        <f aca="false">IF($A5="","",IFERROR(INDEX(L_Data,MATCH(1,INDEX((L_ParcID=$A5)*(L_Status="REALIZADO"),0),0)),""))</f>
        <v/>
      </c>
      <c r="M5" s="34" t="n">
        <f aca="false">IF($A5="",0,COUNTIFS(L_ParcID,$A5,L_Status,"REALIZADO"))</f>
        <v>0</v>
      </c>
      <c r="N5" s="34" t="n">
        <f aca="false">IF($A5="",0,COUNTIFS(L_ParcID,$A5,L_Status,"PROJETADO"))</f>
        <v>0</v>
      </c>
      <c r="O5" s="35" t="str">
        <f aca="false">IF($A5="","",IF($J5="SIM","PAGA",IF($M5&gt;0,"PAGA",IF($D5&lt;CFG_HOJE,"ATRASADA",IF($D5&lt;=EOMONTH(CFG_HOJE,0),"ABERTA","PROJETADA")))))</f>
        <v/>
      </c>
      <c r="P5" s="34" t="n">
        <f aca="false">IF($O5="ATRASADA",CFG_HOJE-$D5,0)</f>
        <v>0</v>
      </c>
      <c r="Q5" s="36" t="n">
        <f aca="false">IF($A5="",0,IF(AND($O5="PAGA",$J5="NAO"),$K5-$E5,0))</f>
        <v>0</v>
      </c>
    </row>
    <row r="6" customFormat="false" ht="15" hidden="false" customHeight="false" outlineLevel="0" collapsed="false">
      <c r="A6" s="30" t="str">
        <f aca="false">IF($B6="","","PAR-"&amp;TEXT(ROW()-4,"000000"))</f>
        <v/>
      </c>
      <c r="B6" s="32"/>
      <c r="C6" s="37"/>
      <c r="D6" s="31"/>
      <c r="E6" s="33"/>
      <c r="F6" s="32"/>
      <c r="G6" s="35" t="str">
        <f aca="false">IF($B6="","",IFERROR(INDEX(CM_NOME,MATCH($B6,CM_ID,0)),"?"))</f>
        <v/>
      </c>
      <c r="H6" s="34" t="str">
        <f aca="false">IF($B6="","",IFERROR(INDEX(CM_QTD,MATCH($B6,CM_ID,0)),""))</f>
        <v/>
      </c>
      <c r="I6" s="35" t="str">
        <f aca="false">IF($A6="","",$C6&amp;"/"&amp;$H6)</f>
        <v/>
      </c>
      <c r="J6" s="35" t="str">
        <f aca="false">IF($A6="","",IF($C6&lt;=IFERROR(INDEX(CM_PAGASANTES,MATCH($B6,CM_ID,0)),0),"SIM","NAO"))</f>
        <v/>
      </c>
      <c r="K6" s="36" t="n">
        <f aca="false">IF($A6="",0,SUMIFS(L_Valor,L_ParcID,$A6,L_Status,"REALIZADO"))</f>
        <v>0</v>
      </c>
      <c r="L6" s="38" t="str">
        <f aca="false">IF($A6="","",IFERROR(INDEX(L_Data,MATCH(1,INDEX((L_ParcID=$A6)*(L_Status="REALIZADO"),0),0)),""))</f>
        <v/>
      </c>
      <c r="M6" s="34" t="n">
        <f aca="false">IF($A6="",0,COUNTIFS(L_ParcID,$A6,L_Status,"REALIZADO"))</f>
        <v>0</v>
      </c>
      <c r="N6" s="34" t="n">
        <f aca="false">IF($A6="",0,COUNTIFS(L_ParcID,$A6,L_Status,"PROJETADO"))</f>
        <v>0</v>
      </c>
      <c r="O6" s="35" t="str">
        <f aca="false">IF($A6="","",IF($J6="SIM","PAGA",IF($M6&gt;0,"PAGA",IF($D6&lt;CFG_HOJE,"ATRASADA",IF($D6&lt;=EOMONTH(CFG_HOJE,0),"ABERTA","PROJETADA")))))</f>
        <v/>
      </c>
      <c r="P6" s="34" t="n">
        <f aca="false">IF($O6="ATRASADA",CFG_HOJE-$D6,0)</f>
        <v>0</v>
      </c>
      <c r="Q6" s="36" t="n">
        <f aca="false">IF($A6="",0,IF(AND($O6="PAGA",$J6="NAO"),$K6-$E6,0))</f>
        <v>0</v>
      </c>
    </row>
    <row r="7" customFormat="false" ht="15" hidden="false" customHeight="false" outlineLevel="0" collapsed="false">
      <c r="A7" s="30" t="str">
        <f aca="false">IF($B7="","","PAR-"&amp;TEXT(ROW()-4,"000000"))</f>
        <v/>
      </c>
      <c r="B7" s="32"/>
      <c r="C7" s="37"/>
      <c r="D7" s="31"/>
      <c r="E7" s="33"/>
      <c r="F7" s="32"/>
      <c r="G7" s="35" t="str">
        <f aca="false">IF($B7="","",IFERROR(INDEX(CM_NOME,MATCH($B7,CM_ID,0)),"?"))</f>
        <v/>
      </c>
      <c r="H7" s="34" t="str">
        <f aca="false">IF($B7="","",IFERROR(INDEX(CM_QTD,MATCH($B7,CM_ID,0)),""))</f>
        <v/>
      </c>
      <c r="I7" s="35" t="str">
        <f aca="false">IF($A7="","",$C7&amp;"/"&amp;$H7)</f>
        <v/>
      </c>
      <c r="J7" s="35" t="str">
        <f aca="false">IF($A7="","",IF($C7&lt;=IFERROR(INDEX(CM_PAGASANTES,MATCH($B7,CM_ID,0)),0),"SIM","NAO"))</f>
        <v/>
      </c>
      <c r="K7" s="36" t="n">
        <f aca="false">IF($A7="",0,SUMIFS(L_Valor,L_ParcID,$A7,L_Status,"REALIZADO"))</f>
        <v>0</v>
      </c>
      <c r="L7" s="38" t="str">
        <f aca="false">IF($A7="","",IFERROR(INDEX(L_Data,MATCH(1,INDEX((L_ParcID=$A7)*(L_Status="REALIZADO"),0),0)),""))</f>
        <v/>
      </c>
      <c r="M7" s="34" t="n">
        <f aca="false">IF($A7="",0,COUNTIFS(L_ParcID,$A7,L_Status,"REALIZADO"))</f>
        <v>0</v>
      </c>
      <c r="N7" s="34" t="n">
        <f aca="false">IF($A7="",0,COUNTIFS(L_ParcID,$A7,L_Status,"PROJETADO"))</f>
        <v>0</v>
      </c>
      <c r="O7" s="35" t="str">
        <f aca="false">IF($A7="","",IF($J7="SIM","PAGA",IF($M7&gt;0,"PAGA",IF($D7&lt;CFG_HOJE,"ATRASADA",IF($D7&lt;=EOMONTH(CFG_HOJE,0),"ABERTA","PROJETADA")))))</f>
        <v/>
      </c>
      <c r="P7" s="34" t="n">
        <f aca="false">IF($O7="ATRASADA",CFG_HOJE-$D7,0)</f>
        <v>0</v>
      </c>
      <c r="Q7" s="36" t="n">
        <f aca="false">IF($A7="",0,IF(AND($O7="PAGA",$J7="NAO"),$K7-$E7,0))</f>
        <v>0</v>
      </c>
    </row>
    <row r="8" customFormat="false" ht="15" hidden="false" customHeight="false" outlineLevel="0" collapsed="false">
      <c r="A8" s="30" t="str">
        <f aca="false">IF($B8="","","PAR-"&amp;TEXT(ROW()-4,"000000"))</f>
        <v/>
      </c>
      <c r="B8" s="32"/>
      <c r="C8" s="37"/>
      <c r="D8" s="31"/>
      <c r="E8" s="33"/>
      <c r="F8" s="32"/>
      <c r="G8" s="35" t="str">
        <f aca="false">IF($B8="","",IFERROR(INDEX(CM_NOME,MATCH($B8,CM_ID,0)),"?"))</f>
        <v/>
      </c>
      <c r="H8" s="34" t="str">
        <f aca="false">IF($B8="","",IFERROR(INDEX(CM_QTD,MATCH($B8,CM_ID,0)),""))</f>
        <v/>
      </c>
      <c r="I8" s="35" t="str">
        <f aca="false">IF($A8="","",$C8&amp;"/"&amp;$H8)</f>
        <v/>
      </c>
      <c r="J8" s="35" t="str">
        <f aca="false">IF($A8="","",IF($C8&lt;=IFERROR(INDEX(CM_PAGASANTES,MATCH($B8,CM_ID,0)),0),"SIM","NAO"))</f>
        <v/>
      </c>
      <c r="K8" s="36" t="n">
        <f aca="false">IF($A8="",0,SUMIFS(L_Valor,L_ParcID,$A8,L_Status,"REALIZADO"))</f>
        <v>0</v>
      </c>
      <c r="L8" s="38" t="str">
        <f aca="false">IF($A8="","",IFERROR(INDEX(L_Data,MATCH(1,INDEX((L_ParcID=$A8)*(L_Status="REALIZADO"),0),0)),""))</f>
        <v/>
      </c>
      <c r="M8" s="34" t="n">
        <f aca="false">IF($A8="",0,COUNTIFS(L_ParcID,$A8,L_Status,"REALIZADO"))</f>
        <v>0</v>
      </c>
      <c r="N8" s="34" t="n">
        <f aca="false">IF($A8="",0,COUNTIFS(L_ParcID,$A8,L_Status,"PROJETADO"))</f>
        <v>0</v>
      </c>
      <c r="O8" s="35" t="str">
        <f aca="false">IF($A8="","",IF($J8="SIM","PAGA",IF($M8&gt;0,"PAGA",IF($D8&lt;CFG_HOJE,"ATRASADA",IF($D8&lt;=EOMONTH(CFG_HOJE,0),"ABERTA","PROJETADA")))))</f>
        <v/>
      </c>
      <c r="P8" s="34" t="n">
        <f aca="false">IF($O8="ATRASADA",CFG_HOJE-$D8,0)</f>
        <v>0</v>
      </c>
      <c r="Q8" s="36" t="n">
        <f aca="false">IF($A8="",0,IF(AND($O8="PAGA",$J8="NAO"),$K8-$E8,0))</f>
        <v>0</v>
      </c>
    </row>
    <row r="9" customFormat="false" ht="15" hidden="false" customHeight="false" outlineLevel="0" collapsed="false">
      <c r="A9" s="30" t="str">
        <f aca="false">IF($B9="","","PAR-"&amp;TEXT(ROW()-4,"000000"))</f>
        <v/>
      </c>
      <c r="B9" s="32"/>
      <c r="C9" s="37"/>
      <c r="D9" s="31"/>
      <c r="E9" s="33"/>
      <c r="F9" s="32"/>
      <c r="G9" s="35" t="str">
        <f aca="false">IF($B9="","",IFERROR(INDEX(CM_NOME,MATCH($B9,CM_ID,0)),"?"))</f>
        <v/>
      </c>
      <c r="H9" s="34" t="str">
        <f aca="false">IF($B9="","",IFERROR(INDEX(CM_QTD,MATCH($B9,CM_ID,0)),""))</f>
        <v/>
      </c>
      <c r="I9" s="35" t="str">
        <f aca="false">IF($A9="","",$C9&amp;"/"&amp;$H9)</f>
        <v/>
      </c>
      <c r="J9" s="35" t="str">
        <f aca="false">IF($A9="","",IF($C9&lt;=IFERROR(INDEX(CM_PAGASANTES,MATCH($B9,CM_ID,0)),0),"SIM","NAO"))</f>
        <v/>
      </c>
      <c r="K9" s="36" t="n">
        <f aca="false">IF($A9="",0,SUMIFS(L_Valor,L_ParcID,$A9,L_Status,"REALIZADO"))</f>
        <v>0</v>
      </c>
      <c r="L9" s="38" t="str">
        <f aca="false">IF($A9="","",IFERROR(INDEX(L_Data,MATCH(1,INDEX((L_ParcID=$A9)*(L_Status="REALIZADO"),0),0)),""))</f>
        <v/>
      </c>
      <c r="M9" s="34" t="n">
        <f aca="false">IF($A9="",0,COUNTIFS(L_ParcID,$A9,L_Status,"REALIZADO"))</f>
        <v>0</v>
      </c>
      <c r="N9" s="34" t="n">
        <f aca="false">IF($A9="",0,COUNTIFS(L_ParcID,$A9,L_Status,"PROJETADO"))</f>
        <v>0</v>
      </c>
      <c r="O9" s="35" t="str">
        <f aca="false">IF($A9="","",IF($J9="SIM","PAGA",IF($M9&gt;0,"PAGA",IF($D9&lt;CFG_HOJE,"ATRASADA",IF($D9&lt;=EOMONTH(CFG_HOJE,0),"ABERTA","PROJETADA")))))</f>
        <v/>
      </c>
      <c r="P9" s="34" t="n">
        <f aca="false">IF($O9="ATRASADA",CFG_HOJE-$D9,0)</f>
        <v>0</v>
      </c>
      <c r="Q9" s="36" t="n">
        <f aca="false">IF($A9="",0,IF(AND($O9="PAGA",$J9="NAO"),$K9-$E9,0))</f>
        <v>0</v>
      </c>
    </row>
    <row r="10" customFormat="false" ht="15" hidden="false" customHeight="false" outlineLevel="0" collapsed="false">
      <c r="A10" s="30" t="str">
        <f aca="false">IF($B10="","","PAR-"&amp;TEXT(ROW()-4,"000000"))</f>
        <v/>
      </c>
      <c r="B10" s="32"/>
      <c r="C10" s="37"/>
      <c r="D10" s="31"/>
      <c r="E10" s="33"/>
      <c r="F10" s="32"/>
      <c r="G10" s="35" t="str">
        <f aca="false">IF($B10="","",IFERROR(INDEX(CM_NOME,MATCH($B10,CM_ID,0)),"?"))</f>
        <v/>
      </c>
      <c r="H10" s="34" t="str">
        <f aca="false">IF($B10="","",IFERROR(INDEX(CM_QTD,MATCH($B10,CM_ID,0)),""))</f>
        <v/>
      </c>
      <c r="I10" s="35" t="str">
        <f aca="false">IF($A10="","",$C10&amp;"/"&amp;$H10)</f>
        <v/>
      </c>
      <c r="J10" s="35" t="str">
        <f aca="false">IF($A10="","",IF($C10&lt;=IFERROR(INDEX(CM_PAGASANTES,MATCH($B10,CM_ID,0)),0),"SIM","NAO"))</f>
        <v/>
      </c>
      <c r="K10" s="36" t="n">
        <f aca="false">IF($A10="",0,SUMIFS(L_Valor,L_ParcID,$A10,L_Status,"REALIZADO"))</f>
        <v>0</v>
      </c>
      <c r="L10" s="38" t="str">
        <f aca="false">IF($A10="","",IFERROR(INDEX(L_Data,MATCH(1,INDEX((L_ParcID=$A10)*(L_Status="REALIZADO"),0),0)),""))</f>
        <v/>
      </c>
      <c r="M10" s="34" t="n">
        <f aca="false">IF($A10="",0,COUNTIFS(L_ParcID,$A10,L_Status,"REALIZADO"))</f>
        <v>0</v>
      </c>
      <c r="N10" s="34" t="n">
        <f aca="false">IF($A10="",0,COUNTIFS(L_ParcID,$A10,L_Status,"PROJETADO"))</f>
        <v>0</v>
      </c>
      <c r="O10" s="35" t="str">
        <f aca="false">IF($A10="","",IF($J10="SIM","PAGA",IF($M10&gt;0,"PAGA",IF($D10&lt;CFG_HOJE,"ATRASADA",IF($D10&lt;=EOMONTH(CFG_HOJE,0),"ABERTA","PROJETADA")))))</f>
        <v/>
      </c>
      <c r="P10" s="34" t="n">
        <f aca="false">IF($O10="ATRASADA",CFG_HOJE-$D10,0)</f>
        <v>0</v>
      </c>
      <c r="Q10" s="36" t="n">
        <f aca="false">IF($A10="",0,IF(AND($O10="PAGA",$J10="NAO"),$K10-$E10,0))</f>
        <v>0</v>
      </c>
    </row>
    <row r="11" customFormat="false" ht="15" hidden="false" customHeight="false" outlineLevel="0" collapsed="false">
      <c r="A11" s="30" t="str">
        <f aca="false">IF($B11="","","PAR-"&amp;TEXT(ROW()-4,"000000"))</f>
        <v/>
      </c>
      <c r="B11" s="32"/>
      <c r="C11" s="37"/>
      <c r="D11" s="31"/>
      <c r="E11" s="33"/>
      <c r="F11" s="32"/>
      <c r="G11" s="35" t="str">
        <f aca="false">IF($B11="","",IFERROR(INDEX(CM_NOME,MATCH($B11,CM_ID,0)),"?"))</f>
        <v/>
      </c>
      <c r="H11" s="34" t="str">
        <f aca="false">IF($B11="","",IFERROR(INDEX(CM_QTD,MATCH($B11,CM_ID,0)),""))</f>
        <v/>
      </c>
      <c r="I11" s="35" t="str">
        <f aca="false">IF($A11="","",$C11&amp;"/"&amp;$H11)</f>
        <v/>
      </c>
      <c r="J11" s="35" t="str">
        <f aca="false">IF($A11="","",IF($C11&lt;=IFERROR(INDEX(CM_PAGASANTES,MATCH($B11,CM_ID,0)),0),"SIM","NAO"))</f>
        <v/>
      </c>
      <c r="K11" s="36" t="n">
        <f aca="false">IF($A11="",0,SUMIFS(L_Valor,L_ParcID,$A11,L_Status,"REALIZADO"))</f>
        <v>0</v>
      </c>
      <c r="L11" s="38" t="str">
        <f aca="false">IF($A11="","",IFERROR(INDEX(L_Data,MATCH(1,INDEX((L_ParcID=$A11)*(L_Status="REALIZADO"),0),0)),""))</f>
        <v/>
      </c>
      <c r="M11" s="34" t="n">
        <f aca="false">IF($A11="",0,COUNTIFS(L_ParcID,$A11,L_Status,"REALIZADO"))</f>
        <v>0</v>
      </c>
      <c r="N11" s="34" t="n">
        <f aca="false">IF($A11="",0,COUNTIFS(L_ParcID,$A11,L_Status,"PROJETADO"))</f>
        <v>0</v>
      </c>
      <c r="O11" s="35" t="str">
        <f aca="false">IF($A11="","",IF($J11="SIM","PAGA",IF($M11&gt;0,"PAGA",IF($D11&lt;CFG_HOJE,"ATRASADA",IF($D11&lt;=EOMONTH(CFG_HOJE,0),"ABERTA","PROJETADA")))))</f>
        <v/>
      </c>
      <c r="P11" s="34" t="n">
        <f aca="false">IF($O11="ATRASADA",CFG_HOJE-$D11,0)</f>
        <v>0</v>
      </c>
      <c r="Q11" s="36" t="n">
        <f aca="false">IF($A11="",0,IF(AND($O11="PAGA",$J11="NAO"),$K11-$E11,0))</f>
        <v>0</v>
      </c>
    </row>
    <row r="12" customFormat="false" ht="15" hidden="false" customHeight="false" outlineLevel="0" collapsed="false">
      <c r="A12" s="30" t="str">
        <f aca="false">IF($B12="","","PAR-"&amp;TEXT(ROW()-4,"000000"))</f>
        <v/>
      </c>
      <c r="B12" s="32"/>
      <c r="C12" s="37"/>
      <c r="D12" s="31"/>
      <c r="E12" s="33"/>
      <c r="F12" s="32"/>
      <c r="G12" s="35" t="str">
        <f aca="false">IF($B12="","",IFERROR(INDEX(CM_NOME,MATCH($B12,CM_ID,0)),"?"))</f>
        <v/>
      </c>
      <c r="H12" s="34" t="str">
        <f aca="false">IF($B12="","",IFERROR(INDEX(CM_QTD,MATCH($B12,CM_ID,0)),""))</f>
        <v/>
      </c>
      <c r="I12" s="35" t="str">
        <f aca="false">IF($A12="","",$C12&amp;"/"&amp;$H12)</f>
        <v/>
      </c>
      <c r="J12" s="35" t="str">
        <f aca="false">IF($A12="","",IF($C12&lt;=IFERROR(INDEX(CM_PAGASANTES,MATCH($B12,CM_ID,0)),0),"SIM","NAO"))</f>
        <v/>
      </c>
      <c r="K12" s="36" t="n">
        <f aca="false">IF($A12="",0,SUMIFS(L_Valor,L_ParcID,$A12,L_Status,"REALIZADO"))</f>
        <v>0</v>
      </c>
      <c r="L12" s="38" t="str">
        <f aca="false">IF($A12="","",IFERROR(INDEX(L_Data,MATCH(1,INDEX((L_ParcID=$A12)*(L_Status="REALIZADO"),0),0)),""))</f>
        <v/>
      </c>
      <c r="M12" s="34" t="n">
        <f aca="false">IF($A12="",0,COUNTIFS(L_ParcID,$A12,L_Status,"REALIZADO"))</f>
        <v>0</v>
      </c>
      <c r="N12" s="34" t="n">
        <f aca="false">IF($A12="",0,COUNTIFS(L_ParcID,$A12,L_Status,"PROJETADO"))</f>
        <v>0</v>
      </c>
      <c r="O12" s="35" t="str">
        <f aca="false">IF($A12="","",IF($J12="SIM","PAGA",IF($M12&gt;0,"PAGA",IF($D12&lt;CFG_HOJE,"ATRASADA",IF($D12&lt;=EOMONTH(CFG_HOJE,0),"ABERTA","PROJETADA")))))</f>
        <v/>
      </c>
      <c r="P12" s="34" t="n">
        <f aca="false">IF($O12="ATRASADA",CFG_HOJE-$D12,0)</f>
        <v>0</v>
      </c>
      <c r="Q12" s="36" t="n">
        <f aca="false">IF($A12="",0,IF(AND($O12="PAGA",$J12="NAO"),$K12-$E12,0))</f>
        <v>0</v>
      </c>
    </row>
    <row r="13" customFormat="false" ht="15" hidden="false" customHeight="false" outlineLevel="0" collapsed="false">
      <c r="A13" s="30" t="str">
        <f aca="false">IF($B13="","","PAR-"&amp;TEXT(ROW()-4,"000000"))</f>
        <v/>
      </c>
      <c r="B13" s="32"/>
      <c r="C13" s="37"/>
      <c r="D13" s="31"/>
      <c r="E13" s="33"/>
      <c r="F13" s="32"/>
      <c r="G13" s="35" t="str">
        <f aca="false">IF($B13="","",IFERROR(INDEX(CM_NOME,MATCH($B13,CM_ID,0)),"?"))</f>
        <v/>
      </c>
      <c r="H13" s="34" t="str">
        <f aca="false">IF($B13="","",IFERROR(INDEX(CM_QTD,MATCH($B13,CM_ID,0)),""))</f>
        <v/>
      </c>
      <c r="I13" s="35" t="str">
        <f aca="false">IF($A13="","",$C13&amp;"/"&amp;$H13)</f>
        <v/>
      </c>
      <c r="J13" s="35" t="str">
        <f aca="false">IF($A13="","",IF($C13&lt;=IFERROR(INDEX(CM_PAGASANTES,MATCH($B13,CM_ID,0)),0),"SIM","NAO"))</f>
        <v/>
      </c>
      <c r="K13" s="36" t="n">
        <f aca="false">IF($A13="",0,SUMIFS(L_Valor,L_ParcID,$A13,L_Status,"REALIZADO"))</f>
        <v>0</v>
      </c>
      <c r="L13" s="38" t="str">
        <f aca="false">IF($A13="","",IFERROR(INDEX(L_Data,MATCH(1,INDEX((L_ParcID=$A13)*(L_Status="REALIZADO"),0),0)),""))</f>
        <v/>
      </c>
      <c r="M13" s="34" t="n">
        <f aca="false">IF($A13="",0,COUNTIFS(L_ParcID,$A13,L_Status,"REALIZADO"))</f>
        <v>0</v>
      </c>
      <c r="N13" s="34" t="n">
        <f aca="false">IF($A13="",0,COUNTIFS(L_ParcID,$A13,L_Status,"PROJETADO"))</f>
        <v>0</v>
      </c>
      <c r="O13" s="35" t="str">
        <f aca="false">IF($A13="","",IF($J13="SIM","PAGA",IF($M13&gt;0,"PAGA",IF($D13&lt;CFG_HOJE,"ATRASADA",IF($D13&lt;=EOMONTH(CFG_HOJE,0),"ABERTA","PROJETADA")))))</f>
        <v/>
      </c>
      <c r="P13" s="34" t="n">
        <f aca="false">IF($O13="ATRASADA",CFG_HOJE-$D13,0)</f>
        <v>0</v>
      </c>
      <c r="Q13" s="36" t="n">
        <f aca="false">IF($A13="",0,IF(AND($O13="PAGA",$J13="NAO"),$K13-$E13,0))</f>
        <v>0</v>
      </c>
    </row>
    <row r="14" customFormat="false" ht="15" hidden="false" customHeight="false" outlineLevel="0" collapsed="false">
      <c r="A14" s="30" t="str">
        <f aca="false">IF($B14="","","PAR-"&amp;TEXT(ROW()-4,"000000"))</f>
        <v/>
      </c>
      <c r="B14" s="32"/>
      <c r="C14" s="37"/>
      <c r="D14" s="31"/>
      <c r="E14" s="33"/>
      <c r="F14" s="32"/>
      <c r="G14" s="35" t="str">
        <f aca="false">IF($B14="","",IFERROR(INDEX(CM_NOME,MATCH($B14,CM_ID,0)),"?"))</f>
        <v/>
      </c>
      <c r="H14" s="34" t="str">
        <f aca="false">IF($B14="","",IFERROR(INDEX(CM_QTD,MATCH($B14,CM_ID,0)),""))</f>
        <v/>
      </c>
      <c r="I14" s="35" t="str">
        <f aca="false">IF($A14="","",$C14&amp;"/"&amp;$H14)</f>
        <v/>
      </c>
      <c r="J14" s="35" t="str">
        <f aca="false">IF($A14="","",IF($C14&lt;=IFERROR(INDEX(CM_PAGASANTES,MATCH($B14,CM_ID,0)),0),"SIM","NAO"))</f>
        <v/>
      </c>
      <c r="K14" s="36" t="n">
        <f aca="false">IF($A14="",0,SUMIFS(L_Valor,L_ParcID,$A14,L_Status,"REALIZADO"))</f>
        <v>0</v>
      </c>
      <c r="L14" s="38" t="str">
        <f aca="false">IF($A14="","",IFERROR(INDEX(L_Data,MATCH(1,INDEX((L_ParcID=$A14)*(L_Status="REALIZADO"),0),0)),""))</f>
        <v/>
      </c>
      <c r="M14" s="34" t="n">
        <f aca="false">IF($A14="",0,COUNTIFS(L_ParcID,$A14,L_Status,"REALIZADO"))</f>
        <v>0</v>
      </c>
      <c r="N14" s="34" t="n">
        <f aca="false">IF($A14="",0,COUNTIFS(L_ParcID,$A14,L_Status,"PROJETADO"))</f>
        <v>0</v>
      </c>
      <c r="O14" s="35" t="str">
        <f aca="false">IF($A14="","",IF($J14="SIM","PAGA",IF($M14&gt;0,"PAGA",IF($D14&lt;CFG_HOJE,"ATRASADA",IF($D14&lt;=EOMONTH(CFG_HOJE,0),"ABERTA","PROJETADA")))))</f>
        <v/>
      </c>
      <c r="P14" s="34" t="n">
        <f aca="false">IF($O14="ATRASADA",CFG_HOJE-$D14,0)</f>
        <v>0</v>
      </c>
      <c r="Q14" s="36" t="n">
        <f aca="false">IF($A14="",0,IF(AND($O14="PAGA",$J14="NAO"),$K14-$E14,0))</f>
        <v>0</v>
      </c>
    </row>
    <row r="15" customFormat="false" ht="15" hidden="false" customHeight="false" outlineLevel="0" collapsed="false">
      <c r="A15" s="30" t="str">
        <f aca="false">IF($B15="","","PAR-"&amp;TEXT(ROW()-4,"000000"))</f>
        <v/>
      </c>
      <c r="B15" s="32"/>
      <c r="C15" s="37"/>
      <c r="D15" s="31"/>
      <c r="E15" s="33"/>
      <c r="F15" s="32"/>
      <c r="G15" s="35" t="str">
        <f aca="false">IF($B15="","",IFERROR(INDEX(CM_NOME,MATCH($B15,CM_ID,0)),"?"))</f>
        <v/>
      </c>
      <c r="H15" s="34" t="str">
        <f aca="false">IF($B15="","",IFERROR(INDEX(CM_QTD,MATCH($B15,CM_ID,0)),""))</f>
        <v/>
      </c>
      <c r="I15" s="35" t="str">
        <f aca="false">IF($A15="","",$C15&amp;"/"&amp;$H15)</f>
        <v/>
      </c>
      <c r="J15" s="35" t="str">
        <f aca="false">IF($A15="","",IF($C15&lt;=IFERROR(INDEX(CM_PAGASANTES,MATCH($B15,CM_ID,0)),0),"SIM","NAO"))</f>
        <v/>
      </c>
      <c r="K15" s="36" t="n">
        <f aca="false">IF($A15="",0,SUMIFS(L_Valor,L_ParcID,$A15,L_Status,"REALIZADO"))</f>
        <v>0</v>
      </c>
      <c r="L15" s="38" t="str">
        <f aca="false">IF($A15="","",IFERROR(INDEX(L_Data,MATCH(1,INDEX((L_ParcID=$A15)*(L_Status="REALIZADO"),0),0)),""))</f>
        <v/>
      </c>
      <c r="M15" s="34" t="n">
        <f aca="false">IF($A15="",0,COUNTIFS(L_ParcID,$A15,L_Status,"REALIZADO"))</f>
        <v>0</v>
      </c>
      <c r="N15" s="34" t="n">
        <f aca="false">IF($A15="",0,COUNTIFS(L_ParcID,$A15,L_Status,"PROJETADO"))</f>
        <v>0</v>
      </c>
      <c r="O15" s="35" t="str">
        <f aca="false">IF($A15="","",IF($J15="SIM","PAGA",IF($M15&gt;0,"PAGA",IF($D15&lt;CFG_HOJE,"ATRASADA",IF($D15&lt;=EOMONTH(CFG_HOJE,0),"ABERTA","PROJETADA")))))</f>
        <v/>
      </c>
      <c r="P15" s="34" t="n">
        <f aca="false">IF($O15="ATRASADA",CFG_HOJE-$D15,0)</f>
        <v>0</v>
      </c>
      <c r="Q15" s="36" t="n">
        <f aca="false">IF($A15="",0,IF(AND($O15="PAGA",$J15="NAO"),$K15-$E15,0))</f>
        <v>0</v>
      </c>
    </row>
    <row r="16" customFormat="false" ht="15" hidden="false" customHeight="false" outlineLevel="0" collapsed="false">
      <c r="A16" s="30" t="str">
        <f aca="false">IF($B16="","","PAR-"&amp;TEXT(ROW()-4,"000000"))</f>
        <v/>
      </c>
      <c r="B16" s="32"/>
      <c r="C16" s="37"/>
      <c r="D16" s="31"/>
      <c r="E16" s="33"/>
      <c r="F16" s="32"/>
      <c r="G16" s="35" t="str">
        <f aca="false">IF($B16="","",IFERROR(INDEX(CM_NOME,MATCH($B16,CM_ID,0)),"?"))</f>
        <v/>
      </c>
      <c r="H16" s="34" t="str">
        <f aca="false">IF($B16="","",IFERROR(INDEX(CM_QTD,MATCH($B16,CM_ID,0)),""))</f>
        <v/>
      </c>
      <c r="I16" s="35" t="str">
        <f aca="false">IF($A16="","",$C16&amp;"/"&amp;$H16)</f>
        <v/>
      </c>
      <c r="J16" s="35" t="str">
        <f aca="false">IF($A16="","",IF($C16&lt;=IFERROR(INDEX(CM_PAGASANTES,MATCH($B16,CM_ID,0)),0),"SIM","NAO"))</f>
        <v/>
      </c>
      <c r="K16" s="36" t="n">
        <f aca="false">IF($A16="",0,SUMIFS(L_Valor,L_ParcID,$A16,L_Status,"REALIZADO"))</f>
        <v>0</v>
      </c>
      <c r="L16" s="38" t="str">
        <f aca="false">IF($A16="","",IFERROR(INDEX(L_Data,MATCH(1,INDEX((L_ParcID=$A16)*(L_Status="REALIZADO"),0),0)),""))</f>
        <v/>
      </c>
      <c r="M16" s="34" t="n">
        <f aca="false">IF($A16="",0,COUNTIFS(L_ParcID,$A16,L_Status,"REALIZADO"))</f>
        <v>0</v>
      </c>
      <c r="N16" s="34" t="n">
        <f aca="false">IF($A16="",0,COUNTIFS(L_ParcID,$A16,L_Status,"PROJETADO"))</f>
        <v>0</v>
      </c>
      <c r="O16" s="35" t="str">
        <f aca="false">IF($A16="","",IF($J16="SIM","PAGA",IF($M16&gt;0,"PAGA",IF($D16&lt;CFG_HOJE,"ATRASADA",IF($D16&lt;=EOMONTH(CFG_HOJE,0),"ABERTA","PROJETADA")))))</f>
        <v/>
      </c>
      <c r="P16" s="34" t="n">
        <f aca="false">IF($O16="ATRASADA",CFG_HOJE-$D16,0)</f>
        <v>0</v>
      </c>
      <c r="Q16" s="36" t="n">
        <f aca="false">IF($A16="",0,IF(AND($O16="PAGA",$J16="NAO"),$K16-$E16,0))</f>
        <v>0</v>
      </c>
    </row>
    <row r="17" customFormat="false" ht="15" hidden="false" customHeight="false" outlineLevel="0" collapsed="false">
      <c r="A17" s="30" t="str">
        <f aca="false">IF($B17="","","PAR-"&amp;TEXT(ROW()-4,"000000"))</f>
        <v/>
      </c>
      <c r="B17" s="32"/>
      <c r="C17" s="37"/>
      <c r="D17" s="31"/>
      <c r="E17" s="33"/>
      <c r="F17" s="32"/>
      <c r="G17" s="35" t="str">
        <f aca="false">IF($B17="","",IFERROR(INDEX(CM_NOME,MATCH($B17,CM_ID,0)),"?"))</f>
        <v/>
      </c>
      <c r="H17" s="34" t="str">
        <f aca="false">IF($B17="","",IFERROR(INDEX(CM_QTD,MATCH($B17,CM_ID,0)),""))</f>
        <v/>
      </c>
      <c r="I17" s="35" t="str">
        <f aca="false">IF($A17="","",$C17&amp;"/"&amp;$H17)</f>
        <v/>
      </c>
      <c r="J17" s="35" t="str">
        <f aca="false">IF($A17="","",IF($C17&lt;=IFERROR(INDEX(CM_PAGASANTES,MATCH($B17,CM_ID,0)),0),"SIM","NAO"))</f>
        <v/>
      </c>
      <c r="K17" s="36" t="n">
        <f aca="false">IF($A17="",0,SUMIFS(L_Valor,L_ParcID,$A17,L_Status,"REALIZADO"))</f>
        <v>0</v>
      </c>
      <c r="L17" s="38" t="str">
        <f aca="false">IF($A17="","",IFERROR(INDEX(L_Data,MATCH(1,INDEX((L_ParcID=$A17)*(L_Status="REALIZADO"),0),0)),""))</f>
        <v/>
      </c>
      <c r="M17" s="34" t="n">
        <f aca="false">IF($A17="",0,COUNTIFS(L_ParcID,$A17,L_Status,"REALIZADO"))</f>
        <v>0</v>
      </c>
      <c r="N17" s="34" t="n">
        <f aca="false">IF($A17="",0,COUNTIFS(L_ParcID,$A17,L_Status,"PROJETADO"))</f>
        <v>0</v>
      </c>
      <c r="O17" s="35" t="str">
        <f aca="false">IF($A17="","",IF($J17="SIM","PAGA",IF($M17&gt;0,"PAGA",IF($D17&lt;CFG_HOJE,"ATRASADA",IF($D17&lt;=EOMONTH(CFG_HOJE,0),"ABERTA","PROJETADA")))))</f>
        <v/>
      </c>
      <c r="P17" s="34" t="n">
        <f aca="false">IF($O17="ATRASADA",CFG_HOJE-$D17,0)</f>
        <v>0</v>
      </c>
      <c r="Q17" s="36" t="n">
        <f aca="false">IF($A17="",0,IF(AND($O17="PAGA",$J17="NAO"),$K17-$E17,0))</f>
        <v>0</v>
      </c>
    </row>
    <row r="18" customFormat="false" ht="15" hidden="false" customHeight="false" outlineLevel="0" collapsed="false">
      <c r="A18" s="30" t="str">
        <f aca="false">IF($B18="","","PAR-"&amp;TEXT(ROW()-4,"000000"))</f>
        <v/>
      </c>
      <c r="B18" s="32"/>
      <c r="C18" s="37"/>
      <c r="D18" s="31"/>
      <c r="E18" s="33"/>
      <c r="F18" s="32"/>
      <c r="G18" s="35" t="str">
        <f aca="false">IF($B18="","",IFERROR(INDEX(CM_NOME,MATCH($B18,CM_ID,0)),"?"))</f>
        <v/>
      </c>
      <c r="H18" s="34" t="str">
        <f aca="false">IF($B18="","",IFERROR(INDEX(CM_QTD,MATCH($B18,CM_ID,0)),""))</f>
        <v/>
      </c>
      <c r="I18" s="35" t="str">
        <f aca="false">IF($A18="","",$C18&amp;"/"&amp;$H18)</f>
        <v/>
      </c>
      <c r="J18" s="35" t="str">
        <f aca="false">IF($A18="","",IF($C18&lt;=IFERROR(INDEX(CM_PAGASANTES,MATCH($B18,CM_ID,0)),0),"SIM","NAO"))</f>
        <v/>
      </c>
      <c r="K18" s="36" t="n">
        <f aca="false">IF($A18="",0,SUMIFS(L_Valor,L_ParcID,$A18,L_Status,"REALIZADO"))</f>
        <v>0</v>
      </c>
      <c r="L18" s="38" t="str">
        <f aca="false">IF($A18="","",IFERROR(INDEX(L_Data,MATCH(1,INDEX((L_ParcID=$A18)*(L_Status="REALIZADO"),0),0)),""))</f>
        <v/>
      </c>
      <c r="M18" s="34" t="n">
        <f aca="false">IF($A18="",0,COUNTIFS(L_ParcID,$A18,L_Status,"REALIZADO"))</f>
        <v>0</v>
      </c>
      <c r="N18" s="34" t="n">
        <f aca="false">IF($A18="",0,COUNTIFS(L_ParcID,$A18,L_Status,"PROJETADO"))</f>
        <v>0</v>
      </c>
      <c r="O18" s="35" t="str">
        <f aca="false">IF($A18="","",IF($J18="SIM","PAGA",IF($M18&gt;0,"PAGA",IF($D18&lt;CFG_HOJE,"ATRASADA",IF($D18&lt;=EOMONTH(CFG_HOJE,0),"ABERTA","PROJETADA")))))</f>
        <v/>
      </c>
      <c r="P18" s="34" t="n">
        <f aca="false">IF($O18="ATRASADA",CFG_HOJE-$D18,0)</f>
        <v>0</v>
      </c>
      <c r="Q18" s="36" t="n">
        <f aca="false">IF($A18="",0,IF(AND($O18="PAGA",$J18="NAO"),$K18-$E18,0))</f>
        <v>0</v>
      </c>
    </row>
    <row r="19" customFormat="false" ht="15" hidden="false" customHeight="false" outlineLevel="0" collapsed="false">
      <c r="A19" s="30" t="str">
        <f aca="false">IF($B19="","","PAR-"&amp;TEXT(ROW()-4,"000000"))</f>
        <v/>
      </c>
      <c r="B19" s="32"/>
      <c r="C19" s="37"/>
      <c r="D19" s="31"/>
      <c r="E19" s="33"/>
      <c r="F19" s="32"/>
      <c r="G19" s="35" t="str">
        <f aca="false">IF($B19="","",IFERROR(INDEX(CM_NOME,MATCH($B19,CM_ID,0)),"?"))</f>
        <v/>
      </c>
      <c r="H19" s="34" t="str">
        <f aca="false">IF($B19="","",IFERROR(INDEX(CM_QTD,MATCH($B19,CM_ID,0)),""))</f>
        <v/>
      </c>
      <c r="I19" s="35" t="str">
        <f aca="false">IF($A19="","",$C19&amp;"/"&amp;$H19)</f>
        <v/>
      </c>
      <c r="J19" s="35" t="str">
        <f aca="false">IF($A19="","",IF($C19&lt;=IFERROR(INDEX(CM_PAGASANTES,MATCH($B19,CM_ID,0)),0),"SIM","NAO"))</f>
        <v/>
      </c>
      <c r="K19" s="36" t="n">
        <f aca="false">IF($A19="",0,SUMIFS(L_Valor,L_ParcID,$A19,L_Status,"REALIZADO"))</f>
        <v>0</v>
      </c>
      <c r="L19" s="38" t="str">
        <f aca="false">IF($A19="","",IFERROR(INDEX(L_Data,MATCH(1,INDEX((L_ParcID=$A19)*(L_Status="REALIZADO"),0),0)),""))</f>
        <v/>
      </c>
      <c r="M19" s="34" t="n">
        <f aca="false">IF($A19="",0,COUNTIFS(L_ParcID,$A19,L_Status,"REALIZADO"))</f>
        <v>0</v>
      </c>
      <c r="N19" s="34" t="n">
        <f aca="false">IF($A19="",0,COUNTIFS(L_ParcID,$A19,L_Status,"PROJETADO"))</f>
        <v>0</v>
      </c>
      <c r="O19" s="35" t="str">
        <f aca="false">IF($A19="","",IF($J19="SIM","PAGA",IF($M19&gt;0,"PAGA",IF($D19&lt;CFG_HOJE,"ATRASADA",IF($D19&lt;=EOMONTH(CFG_HOJE,0),"ABERTA","PROJETADA")))))</f>
        <v/>
      </c>
      <c r="P19" s="34" t="n">
        <f aca="false">IF($O19="ATRASADA",CFG_HOJE-$D19,0)</f>
        <v>0</v>
      </c>
      <c r="Q19" s="36" t="n">
        <f aca="false">IF($A19="",0,IF(AND($O19="PAGA",$J19="NAO"),$K19-$E19,0))</f>
        <v>0</v>
      </c>
    </row>
    <row r="20" customFormat="false" ht="15" hidden="false" customHeight="false" outlineLevel="0" collapsed="false">
      <c r="A20" s="30" t="str">
        <f aca="false">IF($B20="","","PAR-"&amp;TEXT(ROW()-4,"000000"))</f>
        <v/>
      </c>
      <c r="B20" s="32"/>
      <c r="C20" s="37"/>
      <c r="D20" s="31"/>
      <c r="E20" s="33"/>
      <c r="F20" s="32"/>
      <c r="G20" s="35" t="str">
        <f aca="false">IF($B20="","",IFERROR(INDEX(CM_NOME,MATCH($B20,CM_ID,0)),"?"))</f>
        <v/>
      </c>
      <c r="H20" s="34" t="str">
        <f aca="false">IF($B20="","",IFERROR(INDEX(CM_QTD,MATCH($B20,CM_ID,0)),""))</f>
        <v/>
      </c>
      <c r="I20" s="35" t="str">
        <f aca="false">IF($A20="","",$C20&amp;"/"&amp;$H20)</f>
        <v/>
      </c>
      <c r="J20" s="35" t="str">
        <f aca="false">IF($A20="","",IF($C20&lt;=IFERROR(INDEX(CM_PAGASANTES,MATCH($B20,CM_ID,0)),0),"SIM","NAO"))</f>
        <v/>
      </c>
      <c r="K20" s="36" t="n">
        <f aca="false">IF($A20="",0,SUMIFS(L_Valor,L_ParcID,$A20,L_Status,"REALIZADO"))</f>
        <v>0</v>
      </c>
      <c r="L20" s="38" t="str">
        <f aca="false">IF($A20="","",IFERROR(INDEX(L_Data,MATCH(1,INDEX((L_ParcID=$A20)*(L_Status="REALIZADO"),0),0)),""))</f>
        <v/>
      </c>
      <c r="M20" s="34" t="n">
        <f aca="false">IF($A20="",0,COUNTIFS(L_ParcID,$A20,L_Status,"REALIZADO"))</f>
        <v>0</v>
      </c>
      <c r="N20" s="34" t="n">
        <f aca="false">IF($A20="",0,COUNTIFS(L_ParcID,$A20,L_Status,"PROJETADO"))</f>
        <v>0</v>
      </c>
      <c r="O20" s="35" t="str">
        <f aca="false">IF($A20="","",IF($J20="SIM","PAGA",IF($M20&gt;0,"PAGA",IF($D20&lt;CFG_HOJE,"ATRASADA",IF($D20&lt;=EOMONTH(CFG_HOJE,0),"ABERTA","PROJETADA")))))</f>
        <v/>
      </c>
      <c r="P20" s="34" t="n">
        <f aca="false">IF($O20="ATRASADA",CFG_HOJE-$D20,0)</f>
        <v>0</v>
      </c>
      <c r="Q20" s="36" t="n">
        <f aca="false">IF($A20="",0,IF(AND($O20="PAGA",$J20="NAO"),$K20-$E20,0))</f>
        <v>0</v>
      </c>
    </row>
    <row r="21" customFormat="false" ht="15" hidden="false" customHeight="false" outlineLevel="0" collapsed="false">
      <c r="A21" s="30" t="str">
        <f aca="false">IF($B21="","","PAR-"&amp;TEXT(ROW()-4,"000000"))</f>
        <v/>
      </c>
      <c r="B21" s="32"/>
      <c r="C21" s="37"/>
      <c r="D21" s="31"/>
      <c r="E21" s="33"/>
      <c r="F21" s="32"/>
      <c r="G21" s="35" t="str">
        <f aca="false">IF($B21="","",IFERROR(INDEX(CM_NOME,MATCH($B21,CM_ID,0)),"?"))</f>
        <v/>
      </c>
      <c r="H21" s="34" t="str">
        <f aca="false">IF($B21="","",IFERROR(INDEX(CM_QTD,MATCH($B21,CM_ID,0)),""))</f>
        <v/>
      </c>
      <c r="I21" s="35" t="str">
        <f aca="false">IF($A21="","",$C21&amp;"/"&amp;$H21)</f>
        <v/>
      </c>
      <c r="J21" s="35" t="str">
        <f aca="false">IF($A21="","",IF($C21&lt;=IFERROR(INDEX(CM_PAGASANTES,MATCH($B21,CM_ID,0)),0),"SIM","NAO"))</f>
        <v/>
      </c>
      <c r="K21" s="36" t="n">
        <f aca="false">IF($A21="",0,SUMIFS(L_Valor,L_ParcID,$A21,L_Status,"REALIZADO"))</f>
        <v>0</v>
      </c>
      <c r="L21" s="38" t="str">
        <f aca="false">IF($A21="","",IFERROR(INDEX(L_Data,MATCH(1,INDEX((L_ParcID=$A21)*(L_Status="REALIZADO"),0),0)),""))</f>
        <v/>
      </c>
      <c r="M21" s="34" t="n">
        <f aca="false">IF($A21="",0,COUNTIFS(L_ParcID,$A21,L_Status,"REALIZADO"))</f>
        <v>0</v>
      </c>
      <c r="N21" s="34" t="n">
        <f aca="false">IF($A21="",0,COUNTIFS(L_ParcID,$A21,L_Status,"PROJETADO"))</f>
        <v>0</v>
      </c>
      <c r="O21" s="35" t="str">
        <f aca="false">IF($A21="","",IF($J21="SIM","PAGA",IF($M21&gt;0,"PAGA",IF($D21&lt;CFG_HOJE,"ATRASADA",IF($D21&lt;=EOMONTH(CFG_HOJE,0),"ABERTA","PROJETADA")))))</f>
        <v/>
      </c>
      <c r="P21" s="34" t="n">
        <f aca="false">IF($O21="ATRASADA",CFG_HOJE-$D21,0)</f>
        <v>0</v>
      </c>
      <c r="Q21" s="36" t="n">
        <f aca="false">IF($A21="",0,IF(AND($O21="PAGA",$J21="NAO"),$K21-$E21,0))</f>
        <v>0</v>
      </c>
    </row>
    <row r="22" customFormat="false" ht="15" hidden="false" customHeight="false" outlineLevel="0" collapsed="false">
      <c r="A22" s="30" t="str">
        <f aca="false">IF($B22="","","PAR-"&amp;TEXT(ROW()-4,"000000"))</f>
        <v/>
      </c>
      <c r="B22" s="32"/>
      <c r="C22" s="37"/>
      <c r="D22" s="31"/>
      <c r="E22" s="33"/>
      <c r="F22" s="32"/>
      <c r="G22" s="35" t="str">
        <f aca="false">IF($B22="","",IFERROR(INDEX(CM_NOME,MATCH($B22,CM_ID,0)),"?"))</f>
        <v/>
      </c>
      <c r="H22" s="34" t="str">
        <f aca="false">IF($B22="","",IFERROR(INDEX(CM_QTD,MATCH($B22,CM_ID,0)),""))</f>
        <v/>
      </c>
      <c r="I22" s="35" t="str">
        <f aca="false">IF($A22="","",$C22&amp;"/"&amp;$H22)</f>
        <v/>
      </c>
      <c r="J22" s="35" t="str">
        <f aca="false">IF($A22="","",IF($C22&lt;=IFERROR(INDEX(CM_PAGASANTES,MATCH($B22,CM_ID,0)),0),"SIM","NAO"))</f>
        <v/>
      </c>
      <c r="K22" s="36" t="n">
        <f aca="false">IF($A22="",0,SUMIFS(L_Valor,L_ParcID,$A22,L_Status,"REALIZADO"))</f>
        <v>0</v>
      </c>
      <c r="L22" s="38" t="str">
        <f aca="false">IF($A22="","",IFERROR(INDEX(L_Data,MATCH(1,INDEX((L_ParcID=$A22)*(L_Status="REALIZADO"),0),0)),""))</f>
        <v/>
      </c>
      <c r="M22" s="34" t="n">
        <f aca="false">IF($A22="",0,COUNTIFS(L_ParcID,$A22,L_Status,"REALIZADO"))</f>
        <v>0</v>
      </c>
      <c r="N22" s="34" t="n">
        <f aca="false">IF($A22="",0,COUNTIFS(L_ParcID,$A22,L_Status,"PROJETADO"))</f>
        <v>0</v>
      </c>
      <c r="O22" s="35" t="str">
        <f aca="false">IF($A22="","",IF($J22="SIM","PAGA",IF($M22&gt;0,"PAGA",IF($D22&lt;CFG_HOJE,"ATRASADA",IF($D22&lt;=EOMONTH(CFG_HOJE,0),"ABERTA","PROJETADA")))))</f>
        <v/>
      </c>
      <c r="P22" s="34" t="n">
        <f aca="false">IF($O22="ATRASADA",CFG_HOJE-$D22,0)</f>
        <v>0</v>
      </c>
      <c r="Q22" s="36" t="n">
        <f aca="false">IF($A22="",0,IF(AND($O22="PAGA",$J22="NAO"),$K22-$E22,0))</f>
        <v>0</v>
      </c>
    </row>
    <row r="23" customFormat="false" ht="15" hidden="false" customHeight="false" outlineLevel="0" collapsed="false">
      <c r="A23" s="30" t="str">
        <f aca="false">IF($B23="","","PAR-"&amp;TEXT(ROW()-4,"000000"))</f>
        <v/>
      </c>
      <c r="B23" s="32"/>
      <c r="C23" s="37"/>
      <c r="D23" s="31"/>
      <c r="E23" s="33"/>
      <c r="F23" s="32"/>
      <c r="G23" s="35" t="str">
        <f aca="false">IF($B23="","",IFERROR(INDEX(CM_NOME,MATCH($B23,CM_ID,0)),"?"))</f>
        <v/>
      </c>
      <c r="H23" s="34" t="str">
        <f aca="false">IF($B23="","",IFERROR(INDEX(CM_QTD,MATCH($B23,CM_ID,0)),""))</f>
        <v/>
      </c>
      <c r="I23" s="35" t="str">
        <f aca="false">IF($A23="","",$C23&amp;"/"&amp;$H23)</f>
        <v/>
      </c>
      <c r="J23" s="35" t="str">
        <f aca="false">IF($A23="","",IF($C23&lt;=IFERROR(INDEX(CM_PAGASANTES,MATCH($B23,CM_ID,0)),0),"SIM","NAO"))</f>
        <v/>
      </c>
      <c r="K23" s="36" t="n">
        <f aca="false">IF($A23="",0,SUMIFS(L_Valor,L_ParcID,$A23,L_Status,"REALIZADO"))</f>
        <v>0</v>
      </c>
      <c r="L23" s="38" t="str">
        <f aca="false">IF($A23="","",IFERROR(INDEX(L_Data,MATCH(1,INDEX((L_ParcID=$A23)*(L_Status="REALIZADO"),0),0)),""))</f>
        <v/>
      </c>
      <c r="M23" s="34" t="n">
        <f aca="false">IF($A23="",0,COUNTIFS(L_ParcID,$A23,L_Status,"REALIZADO"))</f>
        <v>0</v>
      </c>
      <c r="N23" s="34" t="n">
        <f aca="false">IF($A23="",0,COUNTIFS(L_ParcID,$A23,L_Status,"PROJETADO"))</f>
        <v>0</v>
      </c>
      <c r="O23" s="35" t="str">
        <f aca="false">IF($A23="","",IF($J23="SIM","PAGA",IF($M23&gt;0,"PAGA",IF($D23&lt;CFG_HOJE,"ATRASADA",IF($D23&lt;=EOMONTH(CFG_HOJE,0),"ABERTA","PROJETADA")))))</f>
        <v/>
      </c>
      <c r="P23" s="34" t="n">
        <f aca="false">IF($O23="ATRASADA",CFG_HOJE-$D23,0)</f>
        <v>0</v>
      </c>
      <c r="Q23" s="36" t="n">
        <f aca="false">IF($A23="",0,IF(AND($O23="PAGA",$J23="NAO"),$K23-$E23,0))</f>
        <v>0</v>
      </c>
    </row>
    <row r="24" customFormat="false" ht="15" hidden="false" customHeight="false" outlineLevel="0" collapsed="false">
      <c r="A24" s="30" t="str">
        <f aca="false">IF($B24="","","PAR-"&amp;TEXT(ROW()-4,"000000"))</f>
        <v/>
      </c>
      <c r="B24" s="32"/>
      <c r="C24" s="37"/>
      <c r="D24" s="31"/>
      <c r="E24" s="33"/>
      <c r="F24" s="32"/>
      <c r="G24" s="35" t="str">
        <f aca="false">IF($B24="","",IFERROR(INDEX(CM_NOME,MATCH($B24,CM_ID,0)),"?"))</f>
        <v/>
      </c>
      <c r="H24" s="34" t="str">
        <f aca="false">IF($B24="","",IFERROR(INDEX(CM_QTD,MATCH($B24,CM_ID,0)),""))</f>
        <v/>
      </c>
      <c r="I24" s="35" t="str">
        <f aca="false">IF($A24="","",$C24&amp;"/"&amp;$H24)</f>
        <v/>
      </c>
      <c r="J24" s="35" t="str">
        <f aca="false">IF($A24="","",IF($C24&lt;=IFERROR(INDEX(CM_PAGASANTES,MATCH($B24,CM_ID,0)),0),"SIM","NAO"))</f>
        <v/>
      </c>
      <c r="K24" s="36" t="n">
        <f aca="false">IF($A24="",0,SUMIFS(L_Valor,L_ParcID,$A24,L_Status,"REALIZADO"))</f>
        <v>0</v>
      </c>
      <c r="L24" s="38" t="str">
        <f aca="false">IF($A24="","",IFERROR(INDEX(L_Data,MATCH(1,INDEX((L_ParcID=$A24)*(L_Status="REALIZADO"),0),0)),""))</f>
        <v/>
      </c>
      <c r="M24" s="34" t="n">
        <f aca="false">IF($A24="",0,COUNTIFS(L_ParcID,$A24,L_Status,"REALIZADO"))</f>
        <v>0</v>
      </c>
      <c r="N24" s="34" t="n">
        <f aca="false">IF($A24="",0,COUNTIFS(L_ParcID,$A24,L_Status,"PROJETADO"))</f>
        <v>0</v>
      </c>
      <c r="O24" s="35" t="str">
        <f aca="false">IF($A24="","",IF($J24="SIM","PAGA",IF($M24&gt;0,"PAGA",IF($D24&lt;CFG_HOJE,"ATRASADA",IF($D24&lt;=EOMONTH(CFG_HOJE,0),"ABERTA","PROJETADA")))))</f>
        <v/>
      </c>
      <c r="P24" s="34" t="n">
        <f aca="false">IF($O24="ATRASADA",CFG_HOJE-$D24,0)</f>
        <v>0</v>
      </c>
      <c r="Q24" s="36" t="n">
        <f aca="false">IF($A24="",0,IF(AND($O24="PAGA",$J24="NAO"),$K24-$E24,0))</f>
        <v>0</v>
      </c>
    </row>
    <row r="25" customFormat="false" ht="15" hidden="false" customHeight="false" outlineLevel="0" collapsed="false">
      <c r="A25" s="30" t="str">
        <f aca="false">IF($B25="","","PAR-"&amp;TEXT(ROW()-4,"000000"))</f>
        <v/>
      </c>
      <c r="B25" s="32"/>
      <c r="C25" s="37"/>
      <c r="D25" s="31"/>
      <c r="E25" s="33"/>
      <c r="F25" s="32"/>
      <c r="G25" s="35" t="str">
        <f aca="false">IF($B25="","",IFERROR(INDEX(CM_NOME,MATCH($B25,CM_ID,0)),"?"))</f>
        <v/>
      </c>
      <c r="H25" s="34" t="str">
        <f aca="false">IF($B25="","",IFERROR(INDEX(CM_QTD,MATCH($B25,CM_ID,0)),""))</f>
        <v/>
      </c>
      <c r="I25" s="35" t="str">
        <f aca="false">IF($A25="","",$C25&amp;"/"&amp;$H25)</f>
        <v/>
      </c>
      <c r="J25" s="35" t="str">
        <f aca="false">IF($A25="","",IF($C25&lt;=IFERROR(INDEX(CM_PAGASANTES,MATCH($B25,CM_ID,0)),0),"SIM","NAO"))</f>
        <v/>
      </c>
      <c r="K25" s="36" t="n">
        <f aca="false">IF($A25="",0,SUMIFS(L_Valor,L_ParcID,$A25,L_Status,"REALIZADO"))</f>
        <v>0</v>
      </c>
      <c r="L25" s="38" t="str">
        <f aca="false">IF($A25="","",IFERROR(INDEX(L_Data,MATCH(1,INDEX((L_ParcID=$A25)*(L_Status="REALIZADO"),0),0)),""))</f>
        <v/>
      </c>
      <c r="M25" s="34" t="n">
        <f aca="false">IF($A25="",0,COUNTIFS(L_ParcID,$A25,L_Status,"REALIZADO"))</f>
        <v>0</v>
      </c>
      <c r="N25" s="34" t="n">
        <f aca="false">IF($A25="",0,COUNTIFS(L_ParcID,$A25,L_Status,"PROJETADO"))</f>
        <v>0</v>
      </c>
      <c r="O25" s="35" t="str">
        <f aca="false">IF($A25="","",IF($J25="SIM","PAGA",IF($M25&gt;0,"PAGA",IF($D25&lt;CFG_HOJE,"ATRASADA",IF($D25&lt;=EOMONTH(CFG_HOJE,0),"ABERTA","PROJETADA")))))</f>
        <v/>
      </c>
      <c r="P25" s="34" t="n">
        <f aca="false">IF($O25="ATRASADA",CFG_HOJE-$D25,0)</f>
        <v>0</v>
      </c>
      <c r="Q25" s="36" t="n">
        <f aca="false">IF($A25="",0,IF(AND($O25="PAGA",$J25="NAO"),$K25-$E25,0))</f>
        <v>0</v>
      </c>
    </row>
    <row r="26" customFormat="false" ht="15" hidden="false" customHeight="false" outlineLevel="0" collapsed="false">
      <c r="A26" s="30" t="str">
        <f aca="false">IF($B26="","","PAR-"&amp;TEXT(ROW()-4,"000000"))</f>
        <v/>
      </c>
      <c r="B26" s="32"/>
      <c r="C26" s="37"/>
      <c r="D26" s="31"/>
      <c r="E26" s="33"/>
      <c r="F26" s="32"/>
      <c r="G26" s="35" t="str">
        <f aca="false">IF($B26="","",IFERROR(INDEX(CM_NOME,MATCH($B26,CM_ID,0)),"?"))</f>
        <v/>
      </c>
      <c r="H26" s="34" t="str">
        <f aca="false">IF($B26="","",IFERROR(INDEX(CM_QTD,MATCH($B26,CM_ID,0)),""))</f>
        <v/>
      </c>
      <c r="I26" s="35" t="str">
        <f aca="false">IF($A26="","",$C26&amp;"/"&amp;$H26)</f>
        <v/>
      </c>
      <c r="J26" s="35" t="str">
        <f aca="false">IF($A26="","",IF($C26&lt;=IFERROR(INDEX(CM_PAGASANTES,MATCH($B26,CM_ID,0)),0),"SIM","NAO"))</f>
        <v/>
      </c>
      <c r="K26" s="36" t="n">
        <f aca="false">IF($A26="",0,SUMIFS(L_Valor,L_ParcID,$A26,L_Status,"REALIZADO"))</f>
        <v>0</v>
      </c>
      <c r="L26" s="38" t="str">
        <f aca="false">IF($A26="","",IFERROR(INDEX(L_Data,MATCH(1,INDEX((L_ParcID=$A26)*(L_Status="REALIZADO"),0),0)),""))</f>
        <v/>
      </c>
      <c r="M26" s="34" t="n">
        <f aca="false">IF($A26="",0,COUNTIFS(L_ParcID,$A26,L_Status,"REALIZADO"))</f>
        <v>0</v>
      </c>
      <c r="N26" s="34" t="n">
        <f aca="false">IF($A26="",0,COUNTIFS(L_ParcID,$A26,L_Status,"PROJETADO"))</f>
        <v>0</v>
      </c>
      <c r="O26" s="35" t="str">
        <f aca="false">IF($A26="","",IF($J26="SIM","PAGA",IF($M26&gt;0,"PAGA",IF($D26&lt;CFG_HOJE,"ATRASADA",IF($D26&lt;=EOMONTH(CFG_HOJE,0),"ABERTA","PROJETADA")))))</f>
        <v/>
      </c>
      <c r="P26" s="34" t="n">
        <f aca="false">IF($O26="ATRASADA",CFG_HOJE-$D26,0)</f>
        <v>0</v>
      </c>
      <c r="Q26" s="36" t="n">
        <f aca="false">IF($A26="",0,IF(AND($O26="PAGA",$J26="NAO"),$K26-$E26,0))</f>
        <v>0</v>
      </c>
    </row>
    <row r="27" customFormat="false" ht="15" hidden="false" customHeight="false" outlineLevel="0" collapsed="false">
      <c r="A27" s="30" t="str">
        <f aca="false">IF($B27="","","PAR-"&amp;TEXT(ROW()-4,"000000"))</f>
        <v/>
      </c>
      <c r="B27" s="32"/>
      <c r="C27" s="37"/>
      <c r="D27" s="31"/>
      <c r="E27" s="33"/>
      <c r="F27" s="32"/>
      <c r="G27" s="35" t="str">
        <f aca="false">IF($B27="","",IFERROR(INDEX(CM_NOME,MATCH($B27,CM_ID,0)),"?"))</f>
        <v/>
      </c>
      <c r="H27" s="34" t="str">
        <f aca="false">IF($B27="","",IFERROR(INDEX(CM_QTD,MATCH($B27,CM_ID,0)),""))</f>
        <v/>
      </c>
      <c r="I27" s="35" t="str">
        <f aca="false">IF($A27="","",$C27&amp;"/"&amp;$H27)</f>
        <v/>
      </c>
      <c r="J27" s="35" t="str">
        <f aca="false">IF($A27="","",IF($C27&lt;=IFERROR(INDEX(CM_PAGASANTES,MATCH($B27,CM_ID,0)),0),"SIM","NAO"))</f>
        <v/>
      </c>
      <c r="K27" s="36" t="n">
        <f aca="false">IF($A27="",0,SUMIFS(L_Valor,L_ParcID,$A27,L_Status,"REALIZADO"))</f>
        <v>0</v>
      </c>
      <c r="L27" s="38" t="str">
        <f aca="false">IF($A27="","",IFERROR(INDEX(L_Data,MATCH(1,INDEX((L_ParcID=$A27)*(L_Status="REALIZADO"),0),0)),""))</f>
        <v/>
      </c>
      <c r="M27" s="34" t="n">
        <f aca="false">IF($A27="",0,COUNTIFS(L_ParcID,$A27,L_Status,"REALIZADO"))</f>
        <v>0</v>
      </c>
      <c r="N27" s="34" t="n">
        <f aca="false">IF($A27="",0,COUNTIFS(L_ParcID,$A27,L_Status,"PROJETADO"))</f>
        <v>0</v>
      </c>
      <c r="O27" s="35" t="str">
        <f aca="false">IF($A27="","",IF($J27="SIM","PAGA",IF($M27&gt;0,"PAGA",IF($D27&lt;CFG_HOJE,"ATRASADA",IF($D27&lt;=EOMONTH(CFG_HOJE,0),"ABERTA","PROJETADA")))))</f>
        <v/>
      </c>
      <c r="P27" s="34" t="n">
        <f aca="false">IF($O27="ATRASADA",CFG_HOJE-$D27,0)</f>
        <v>0</v>
      </c>
      <c r="Q27" s="36" t="n">
        <f aca="false">IF($A27="",0,IF(AND($O27="PAGA",$J27="NAO"),$K27-$E27,0))</f>
        <v>0</v>
      </c>
    </row>
    <row r="28" customFormat="false" ht="15" hidden="false" customHeight="false" outlineLevel="0" collapsed="false">
      <c r="A28" s="30" t="str">
        <f aca="false">IF($B28="","","PAR-"&amp;TEXT(ROW()-4,"000000"))</f>
        <v/>
      </c>
      <c r="B28" s="32"/>
      <c r="C28" s="37"/>
      <c r="D28" s="31"/>
      <c r="E28" s="33"/>
      <c r="F28" s="32"/>
      <c r="G28" s="35" t="str">
        <f aca="false">IF($B28="","",IFERROR(INDEX(CM_NOME,MATCH($B28,CM_ID,0)),"?"))</f>
        <v/>
      </c>
      <c r="H28" s="34" t="str">
        <f aca="false">IF($B28="","",IFERROR(INDEX(CM_QTD,MATCH($B28,CM_ID,0)),""))</f>
        <v/>
      </c>
      <c r="I28" s="35" t="str">
        <f aca="false">IF($A28="","",$C28&amp;"/"&amp;$H28)</f>
        <v/>
      </c>
      <c r="J28" s="35" t="str">
        <f aca="false">IF($A28="","",IF($C28&lt;=IFERROR(INDEX(CM_PAGASANTES,MATCH($B28,CM_ID,0)),0),"SIM","NAO"))</f>
        <v/>
      </c>
      <c r="K28" s="36" t="n">
        <f aca="false">IF($A28="",0,SUMIFS(L_Valor,L_ParcID,$A28,L_Status,"REALIZADO"))</f>
        <v>0</v>
      </c>
      <c r="L28" s="38" t="str">
        <f aca="false">IF($A28="","",IFERROR(INDEX(L_Data,MATCH(1,INDEX((L_ParcID=$A28)*(L_Status="REALIZADO"),0),0)),""))</f>
        <v/>
      </c>
      <c r="M28" s="34" t="n">
        <f aca="false">IF($A28="",0,COUNTIFS(L_ParcID,$A28,L_Status,"REALIZADO"))</f>
        <v>0</v>
      </c>
      <c r="N28" s="34" t="n">
        <f aca="false">IF($A28="",0,COUNTIFS(L_ParcID,$A28,L_Status,"PROJETADO"))</f>
        <v>0</v>
      </c>
      <c r="O28" s="35" t="str">
        <f aca="false">IF($A28="","",IF($J28="SIM","PAGA",IF($M28&gt;0,"PAGA",IF($D28&lt;CFG_HOJE,"ATRASADA",IF($D28&lt;=EOMONTH(CFG_HOJE,0),"ABERTA","PROJETADA")))))</f>
        <v/>
      </c>
      <c r="P28" s="34" t="n">
        <f aca="false">IF($O28="ATRASADA",CFG_HOJE-$D28,0)</f>
        <v>0</v>
      </c>
      <c r="Q28" s="36" t="n">
        <f aca="false">IF($A28="",0,IF(AND($O28="PAGA",$J28="NAO"),$K28-$E28,0))</f>
        <v>0</v>
      </c>
    </row>
    <row r="29" customFormat="false" ht="15" hidden="false" customHeight="false" outlineLevel="0" collapsed="false">
      <c r="A29" s="30" t="str">
        <f aca="false">IF($B29="","","PAR-"&amp;TEXT(ROW()-4,"000000"))</f>
        <v/>
      </c>
      <c r="B29" s="32"/>
      <c r="C29" s="37"/>
      <c r="D29" s="31"/>
      <c r="E29" s="33"/>
      <c r="F29" s="32"/>
      <c r="G29" s="35" t="str">
        <f aca="false">IF($B29="","",IFERROR(INDEX(CM_NOME,MATCH($B29,CM_ID,0)),"?"))</f>
        <v/>
      </c>
      <c r="H29" s="34" t="str">
        <f aca="false">IF($B29="","",IFERROR(INDEX(CM_QTD,MATCH($B29,CM_ID,0)),""))</f>
        <v/>
      </c>
      <c r="I29" s="35" t="str">
        <f aca="false">IF($A29="","",$C29&amp;"/"&amp;$H29)</f>
        <v/>
      </c>
      <c r="J29" s="35" t="str">
        <f aca="false">IF($A29="","",IF($C29&lt;=IFERROR(INDEX(CM_PAGASANTES,MATCH($B29,CM_ID,0)),0),"SIM","NAO"))</f>
        <v/>
      </c>
      <c r="K29" s="36" t="n">
        <f aca="false">IF($A29="",0,SUMIFS(L_Valor,L_ParcID,$A29,L_Status,"REALIZADO"))</f>
        <v>0</v>
      </c>
      <c r="L29" s="38" t="str">
        <f aca="false">IF($A29="","",IFERROR(INDEX(L_Data,MATCH(1,INDEX((L_ParcID=$A29)*(L_Status="REALIZADO"),0),0)),""))</f>
        <v/>
      </c>
      <c r="M29" s="34" t="n">
        <f aca="false">IF($A29="",0,COUNTIFS(L_ParcID,$A29,L_Status,"REALIZADO"))</f>
        <v>0</v>
      </c>
      <c r="N29" s="34" t="n">
        <f aca="false">IF($A29="",0,COUNTIFS(L_ParcID,$A29,L_Status,"PROJETADO"))</f>
        <v>0</v>
      </c>
      <c r="O29" s="35" t="str">
        <f aca="false">IF($A29="","",IF($J29="SIM","PAGA",IF($M29&gt;0,"PAGA",IF($D29&lt;CFG_HOJE,"ATRASADA",IF($D29&lt;=EOMONTH(CFG_HOJE,0),"ABERTA","PROJETADA")))))</f>
        <v/>
      </c>
      <c r="P29" s="34" t="n">
        <f aca="false">IF($O29="ATRASADA",CFG_HOJE-$D29,0)</f>
        <v>0</v>
      </c>
      <c r="Q29" s="36" t="n">
        <f aca="false">IF($A29="",0,IF(AND($O29="PAGA",$J29="NAO"),$K29-$E29,0))</f>
        <v>0</v>
      </c>
    </row>
    <row r="30" customFormat="false" ht="15" hidden="false" customHeight="false" outlineLevel="0" collapsed="false">
      <c r="A30" s="30" t="str">
        <f aca="false">IF($B30="","","PAR-"&amp;TEXT(ROW()-4,"000000"))</f>
        <v/>
      </c>
      <c r="B30" s="32"/>
      <c r="C30" s="37"/>
      <c r="D30" s="31"/>
      <c r="E30" s="33"/>
      <c r="F30" s="32"/>
      <c r="G30" s="35" t="str">
        <f aca="false">IF($B30="","",IFERROR(INDEX(CM_NOME,MATCH($B30,CM_ID,0)),"?"))</f>
        <v/>
      </c>
      <c r="H30" s="34" t="str">
        <f aca="false">IF($B30="","",IFERROR(INDEX(CM_QTD,MATCH($B30,CM_ID,0)),""))</f>
        <v/>
      </c>
      <c r="I30" s="35" t="str">
        <f aca="false">IF($A30="","",$C30&amp;"/"&amp;$H30)</f>
        <v/>
      </c>
      <c r="J30" s="35" t="str">
        <f aca="false">IF($A30="","",IF($C30&lt;=IFERROR(INDEX(CM_PAGASANTES,MATCH($B30,CM_ID,0)),0),"SIM","NAO"))</f>
        <v/>
      </c>
      <c r="K30" s="36" t="n">
        <f aca="false">IF($A30="",0,SUMIFS(L_Valor,L_ParcID,$A30,L_Status,"REALIZADO"))</f>
        <v>0</v>
      </c>
      <c r="L30" s="38" t="str">
        <f aca="false">IF($A30="","",IFERROR(INDEX(L_Data,MATCH(1,INDEX((L_ParcID=$A30)*(L_Status="REALIZADO"),0),0)),""))</f>
        <v/>
      </c>
      <c r="M30" s="34" t="n">
        <f aca="false">IF($A30="",0,COUNTIFS(L_ParcID,$A30,L_Status,"REALIZADO"))</f>
        <v>0</v>
      </c>
      <c r="N30" s="34" t="n">
        <f aca="false">IF($A30="",0,COUNTIFS(L_ParcID,$A30,L_Status,"PROJETADO"))</f>
        <v>0</v>
      </c>
      <c r="O30" s="35" t="str">
        <f aca="false">IF($A30="","",IF($J30="SIM","PAGA",IF($M30&gt;0,"PAGA",IF($D30&lt;CFG_HOJE,"ATRASADA",IF($D30&lt;=EOMONTH(CFG_HOJE,0),"ABERTA","PROJETADA")))))</f>
        <v/>
      </c>
      <c r="P30" s="34" t="n">
        <f aca="false">IF($O30="ATRASADA",CFG_HOJE-$D30,0)</f>
        <v>0</v>
      </c>
      <c r="Q30" s="36" t="n">
        <f aca="false">IF($A30="",0,IF(AND($O30="PAGA",$J30="NAO"),$K30-$E30,0))</f>
        <v>0</v>
      </c>
    </row>
    <row r="31" customFormat="false" ht="15" hidden="false" customHeight="false" outlineLevel="0" collapsed="false">
      <c r="A31" s="30" t="str">
        <f aca="false">IF($B31="","","PAR-"&amp;TEXT(ROW()-4,"000000"))</f>
        <v/>
      </c>
      <c r="B31" s="32"/>
      <c r="C31" s="37"/>
      <c r="D31" s="31"/>
      <c r="E31" s="33"/>
      <c r="F31" s="32"/>
      <c r="G31" s="35" t="str">
        <f aca="false">IF($B31="","",IFERROR(INDEX(CM_NOME,MATCH($B31,CM_ID,0)),"?"))</f>
        <v/>
      </c>
      <c r="H31" s="34" t="str">
        <f aca="false">IF($B31="","",IFERROR(INDEX(CM_QTD,MATCH($B31,CM_ID,0)),""))</f>
        <v/>
      </c>
      <c r="I31" s="35" t="str">
        <f aca="false">IF($A31="","",$C31&amp;"/"&amp;$H31)</f>
        <v/>
      </c>
      <c r="J31" s="35" t="str">
        <f aca="false">IF($A31="","",IF($C31&lt;=IFERROR(INDEX(CM_PAGASANTES,MATCH($B31,CM_ID,0)),0),"SIM","NAO"))</f>
        <v/>
      </c>
      <c r="K31" s="36" t="n">
        <f aca="false">IF($A31="",0,SUMIFS(L_Valor,L_ParcID,$A31,L_Status,"REALIZADO"))</f>
        <v>0</v>
      </c>
      <c r="L31" s="38" t="str">
        <f aca="false">IF($A31="","",IFERROR(INDEX(L_Data,MATCH(1,INDEX((L_ParcID=$A31)*(L_Status="REALIZADO"),0),0)),""))</f>
        <v/>
      </c>
      <c r="M31" s="34" t="n">
        <f aca="false">IF($A31="",0,COUNTIFS(L_ParcID,$A31,L_Status,"REALIZADO"))</f>
        <v>0</v>
      </c>
      <c r="N31" s="34" t="n">
        <f aca="false">IF($A31="",0,COUNTIFS(L_ParcID,$A31,L_Status,"PROJETADO"))</f>
        <v>0</v>
      </c>
      <c r="O31" s="35" t="str">
        <f aca="false">IF($A31="","",IF($J31="SIM","PAGA",IF($M31&gt;0,"PAGA",IF($D31&lt;CFG_HOJE,"ATRASADA",IF($D31&lt;=EOMONTH(CFG_HOJE,0),"ABERTA","PROJETADA")))))</f>
        <v/>
      </c>
      <c r="P31" s="34" t="n">
        <f aca="false">IF($O31="ATRASADA",CFG_HOJE-$D31,0)</f>
        <v>0</v>
      </c>
      <c r="Q31" s="36" t="n">
        <f aca="false">IF($A31="",0,IF(AND($O31="PAGA",$J31="NAO"),$K31-$E31,0))</f>
        <v>0</v>
      </c>
    </row>
    <row r="32" customFormat="false" ht="15" hidden="false" customHeight="false" outlineLevel="0" collapsed="false">
      <c r="A32" s="30" t="str">
        <f aca="false">IF($B32="","","PAR-"&amp;TEXT(ROW()-4,"000000"))</f>
        <v/>
      </c>
      <c r="B32" s="32"/>
      <c r="C32" s="37"/>
      <c r="D32" s="31"/>
      <c r="E32" s="33"/>
      <c r="F32" s="32"/>
      <c r="G32" s="35" t="str">
        <f aca="false">IF($B32="","",IFERROR(INDEX(CM_NOME,MATCH($B32,CM_ID,0)),"?"))</f>
        <v/>
      </c>
      <c r="H32" s="34" t="str">
        <f aca="false">IF($B32="","",IFERROR(INDEX(CM_QTD,MATCH($B32,CM_ID,0)),""))</f>
        <v/>
      </c>
      <c r="I32" s="35" t="str">
        <f aca="false">IF($A32="","",$C32&amp;"/"&amp;$H32)</f>
        <v/>
      </c>
      <c r="J32" s="35" t="str">
        <f aca="false">IF($A32="","",IF($C32&lt;=IFERROR(INDEX(CM_PAGASANTES,MATCH($B32,CM_ID,0)),0),"SIM","NAO"))</f>
        <v/>
      </c>
      <c r="K32" s="36" t="n">
        <f aca="false">IF($A32="",0,SUMIFS(L_Valor,L_ParcID,$A32,L_Status,"REALIZADO"))</f>
        <v>0</v>
      </c>
      <c r="L32" s="38" t="str">
        <f aca="false">IF($A32="","",IFERROR(INDEX(L_Data,MATCH(1,INDEX((L_ParcID=$A32)*(L_Status="REALIZADO"),0),0)),""))</f>
        <v/>
      </c>
      <c r="M32" s="34" t="n">
        <f aca="false">IF($A32="",0,COUNTIFS(L_ParcID,$A32,L_Status,"REALIZADO"))</f>
        <v>0</v>
      </c>
      <c r="N32" s="34" t="n">
        <f aca="false">IF($A32="",0,COUNTIFS(L_ParcID,$A32,L_Status,"PROJETADO"))</f>
        <v>0</v>
      </c>
      <c r="O32" s="35" t="str">
        <f aca="false">IF($A32="","",IF($J32="SIM","PAGA",IF($M32&gt;0,"PAGA",IF($D32&lt;CFG_HOJE,"ATRASADA",IF($D32&lt;=EOMONTH(CFG_HOJE,0),"ABERTA","PROJETADA")))))</f>
        <v/>
      </c>
      <c r="P32" s="34" t="n">
        <f aca="false">IF($O32="ATRASADA",CFG_HOJE-$D32,0)</f>
        <v>0</v>
      </c>
      <c r="Q32" s="36" t="n">
        <f aca="false">IF($A32="",0,IF(AND($O32="PAGA",$J32="NAO"),$K32-$E32,0))</f>
        <v>0</v>
      </c>
    </row>
    <row r="33" customFormat="false" ht="15" hidden="false" customHeight="false" outlineLevel="0" collapsed="false">
      <c r="A33" s="30" t="str">
        <f aca="false">IF($B33="","","PAR-"&amp;TEXT(ROW()-4,"000000"))</f>
        <v/>
      </c>
      <c r="B33" s="32"/>
      <c r="C33" s="37"/>
      <c r="D33" s="31"/>
      <c r="E33" s="33"/>
      <c r="F33" s="32"/>
      <c r="G33" s="35" t="str">
        <f aca="false">IF($B33="","",IFERROR(INDEX(CM_NOME,MATCH($B33,CM_ID,0)),"?"))</f>
        <v/>
      </c>
      <c r="H33" s="34" t="str">
        <f aca="false">IF($B33="","",IFERROR(INDEX(CM_QTD,MATCH($B33,CM_ID,0)),""))</f>
        <v/>
      </c>
      <c r="I33" s="35" t="str">
        <f aca="false">IF($A33="","",$C33&amp;"/"&amp;$H33)</f>
        <v/>
      </c>
      <c r="J33" s="35" t="str">
        <f aca="false">IF($A33="","",IF($C33&lt;=IFERROR(INDEX(CM_PAGASANTES,MATCH($B33,CM_ID,0)),0),"SIM","NAO"))</f>
        <v/>
      </c>
      <c r="K33" s="36" t="n">
        <f aca="false">IF($A33="",0,SUMIFS(L_Valor,L_ParcID,$A33,L_Status,"REALIZADO"))</f>
        <v>0</v>
      </c>
      <c r="L33" s="38" t="str">
        <f aca="false">IF($A33="","",IFERROR(INDEX(L_Data,MATCH(1,INDEX((L_ParcID=$A33)*(L_Status="REALIZADO"),0),0)),""))</f>
        <v/>
      </c>
      <c r="M33" s="34" t="n">
        <f aca="false">IF($A33="",0,COUNTIFS(L_ParcID,$A33,L_Status,"REALIZADO"))</f>
        <v>0</v>
      </c>
      <c r="N33" s="34" t="n">
        <f aca="false">IF($A33="",0,COUNTIFS(L_ParcID,$A33,L_Status,"PROJETADO"))</f>
        <v>0</v>
      </c>
      <c r="O33" s="35" t="str">
        <f aca="false">IF($A33="","",IF($J33="SIM","PAGA",IF($M33&gt;0,"PAGA",IF($D33&lt;CFG_HOJE,"ATRASADA",IF($D33&lt;=EOMONTH(CFG_HOJE,0),"ABERTA","PROJETADA")))))</f>
        <v/>
      </c>
      <c r="P33" s="34" t="n">
        <f aca="false">IF($O33="ATRASADA",CFG_HOJE-$D33,0)</f>
        <v>0</v>
      </c>
      <c r="Q33" s="36" t="n">
        <f aca="false">IF($A33="",0,IF(AND($O33="PAGA",$J33="NAO"),$K33-$E33,0))</f>
        <v>0</v>
      </c>
    </row>
    <row r="34" customFormat="false" ht="15" hidden="false" customHeight="false" outlineLevel="0" collapsed="false">
      <c r="A34" s="30" t="str">
        <f aca="false">IF($B34="","","PAR-"&amp;TEXT(ROW()-4,"000000"))</f>
        <v/>
      </c>
      <c r="B34" s="32"/>
      <c r="C34" s="37"/>
      <c r="D34" s="31"/>
      <c r="E34" s="33"/>
      <c r="F34" s="32"/>
      <c r="G34" s="35" t="str">
        <f aca="false">IF($B34="","",IFERROR(INDEX(CM_NOME,MATCH($B34,CM_ID,0)),"?"))</f>
        <v/>
      </c>
      <c r="H34" s="34" t="str">
        <f aca="false">IF($B34="","",IFERROR(INDEX(CM_QTD,MATCH($B34,CM_ID,0)),""))</f>
        <v/>
      </c>
      <c r="I34" s="35" t="str">
        <f aca="false">IF($A34="","",$C34&amp;"/"&amp;$H34)</f>
        <v/>
      </c>
      <c r="J34" s="35" t="str">
        <f aca="false">IF($A34="","",IF($C34&lt;=IFERROR(INDEX(CM_PAGASANTES,MATCH($B34,CM_ID,0)),0),"SIM","NAO"))</f>
        <v/>
      </c>
      <c r="K34" s="36" t="n">
        <f aca="false">IF($A34="",0,SUMIFS(L_Valor,L_ParcID,$A34,L_Status,"REALIZADO"))</f>
        <v>0</v>
      </c>
      <c r="L34" s="38" t="str">
        <f aca="false">IF($A34="","",IFERROR(INDEX(L_Data,MATCH(1,INDEX((L_ParcID=$A34)*(L_Status="REALIZADO"),0),0)),""))</f>
        <v/>
      </c>
      <c r="M34" s="34" t="n">
        <f aca="false">IF($A34="",0,COUNTIFS(L_ParcID,$A34,L_Status,"REALIZADO"))</f>
        <v>0</v>
      </c>
      <c r="N34" s="34" t="n">
        <f aca="false">IF($A34="",0,COUNTIFS(L_ParcID,$A34,L_Status,"PROJETADO"))</f>
        <v>0</v>
      </c>
      <c r="O34" s="35" t="str">
        <f aca="false">IF($A34="","",IF($J34="SIM","PAGA",IF($M34&gt;0,"PAGA",IF($D34&lt;CFG_HOJE,"ATRASADA",IF($D34&lt;=EOMONTH(CFG_HOJE,0),"ABERTA","PROJETADA")))))</f>
        <v/>
      </c>
      <c r="P34" s="34" t="n">
        <f aca="false">IF($O34="ATRASADA",CFG_HOJE-$D34,0)</f>
        <v>0</v>
      </c>
      <c r="Q34" s="36" t="n">
        <f aca="false">IF($A34="",0,IF(AND($O34="PAGA",$J34="NAO"),$K34-$E34,0))</f>
        <v>0</v>
      </c>
    </row>
    <row r="35" customFormat="false" ht="15" hidden="false" customHeight="false" outlineLevel="0" collapsed="false">
      <c r="A35" s="30" t="str">
        <f aca="false">IF($B35="","","PAR-"&amp;TEXT(ROW()-4,"000000"))</f>
        <v/>
      </c>
      <c r="B35" s="32"/>
      <c r="C35" s="37"/>
      <c r="D35" s="31"/>
      <c r="E35" s="33"/>
      <c r="F35" s="32"/>
      <c r="G35" s="35" t="str">
        <f aca="false">IF($B35="","",IFERROR(INDEX(CM_NOME,MATCH($B35,CM_ID,0)),"?"))</f>
        <v/>
      </c>
      <c r="H35" s="34" t="str">
        <f aca="false">IF($B35="","",IFERROR(INDEX(CM_QTD,MATCH($B35,CM_ID,0)),""))</f>
        <v/>
      </c>
      <c r="I35" s="35" t="str">
        <f aca="false">IF($A35="","",$C35&amp;"/"&amp;$H35)</f>
        <v/>
      </c>
      <c r="J35" s="35" t="str">
        <f aca="false">IF($A35="","",IF($C35&lt;=IFERROR(INDEX(CM_PAGASANTES,MATCH($B35,CM_ID,0)),0),"SIM","NAO"))</f>
        <v/>
      </c>
      <c r="K35" s="36" t="n">
        <f aca="false">IF($A35="",0,SUMIFS(L_Valor,L_ParcID,$A35,L_Status,"REALIZADO"))</f>
        <v>0</v>
      </c>
      <c r="L35" s="38" t="str">
        <f aca="false">IF($A35="","",IFERROR(INDEX(L_Data,MATCH(1,INDEX((L_ParcID=$A35)*(L_Status="REALIZADO"),0),0)),""))</f>
        <v/>
      </c>
      <c r="M35" s="34" t="n">
        <f aca="false">IF($A35="",0,COUNTIFS(L_ParcID,$A35,L_Status,"REALIZADO"))</f>
        <v>0</v>
      </c>
      <c r="N35" s="34" t="n">
        <f aca="false">IF($A35="",0,COUNTIFS(L_ParcID,$A35,L_Status,"PROJETADO"))</f>
        <v>0</v>
      </c>
      <c r="O35" s="35" t="str">
        <f aca="false">IF($A35="","",IF($J35="SIM","PAGA",IF($M35&gt;0,"PAGA",IF($D35&lt;CFG_HOJE,"ATRASADA",IF($D35&lt;=EOMONTH(CFG_HOJE,0),"ABERTA","PROJETADA")))))</f>
        <v/>
      </c>
      <c r="P35" s="34" t="n">
        <f aca="false">IF($O35="ATRASADA",CFG_HOJE-$D35,0)</f>
        <v>0</v>
      </c>
      <c r="Q35" s="36" t="n">
        <f aca="false">IF($A35="",0,IF(AND($O35="PAGA",$J35="NAO"),$K35-$E35,0))</f>
        <v>0</v>
      </c>
    </row>
    <row r="36" customFormat="false" ht="15" hidden="false" customHeight="false" outlineLevel="0" collapsed="false">
      <c r="A36" s="30" t="str">
        <f aca="false">IF($B36="","","PAR-"&amp;TEXT(ROW()-4,"000000"))</f>
        <v/>
      </c>
      <c r="B36" s="32"/>
      <c r="C36" s="37"/>
      <c r="D36" s="31"/>
      <c r="E36" s="33"/>
      <c r="F36" s="32"/>
      <c r="G36" s="35" t="str">
        <f aca="false">IF($B36="","",IFERROR(INDEX(CM_NOME,MATCH($B36,CM_ID,0)),"?"))</f>
        <v/>
      </c>
      <c r="H36" s="34" t="str">
        <f aca="false">IF($B36="","",IFERROR(INDEX(CM_QTD,MATCH($B36,CM_ID,0)),""))</f>
        <v/>
      </c>
      <c r="I36" s="35" t="str">
        <f aca="false">IF($A36="","",$C36&amp;"/"&amp;$H36)</f>
        <v/>
      </c>
      <c r="J36" s="35" t="str">
        <f aca="false">IF($A36="","",IF($C36&lt;=IFERROR(INDEX(CM_PAGASANTES,MATCH($B36,CM_ID,0)),0),"SIM","NAO"))</f>
        <v/>
      </c>
      <c r="K36" s="36" t="n">
        <f aca="false">IF($A36="",0,SUMIFS(L_Valor,L_ParcID,$A36,L_Status,"REALIZADO"))</f>
        <v>0</v>
      </c>
      <c r="L36" s="38" t="str">
        <f aca="false">IF($A36="","",IFERROR(INDEX(L_Data,MATCH(1,INDEX((L_ParcID=$A36)*(L_Status="REALIZADO"),0),0)),""))</f>
        <v/>
      </c>
      <c r="M36" s="34" t="n">
        <f aca="false">IF($A36="",0,COUNTIFS(L_ParcID,$A36,L_Status,"REALIZADO"))</f>
        <v>0</v>
      </c>
      <c r="N36" s="34" t="n">
        <f aca="false">IF($A36="",0,COUNTIFS(L_ParcID,$A36,L_Status,"PROJETADO"))</f>
        <v>0</v>
      </c>
      <c r="O36" s="35" t="str">
        <f aca="false">IF($A36="","",IF($J36="SIM","PAGA",IF($M36&gt;0,"PAGA",IF($D36&lt;CFG_HOJE,"ATRASADA",IF($D36&lt;=EOMONTH(CFG_HOJE,0),"ABERTA","PROJETADA")))))</f>
        <v/>
      </c>
      <c r="P36" s="34" t="n">
        <f aca="false">IF($O36="ATRASADA",CFG_HOJE-$D36,0)</f>
        <v>0</v>
      </c>
      <c r="Q36" s="36" t="n">
        <f aca="false">IF($A36="",0,IF(AND($O36="PAGA",$J36="NAO"),$K36-$E36,0))</f>
        <v>0</v>
      </c>
    </row>
    <row r="37" customFormat="false" ht="15" hidden="false" customHeight="false" outlineLevel="0" collapsed="false">
      <c r="A37" s="30" t="str">
        <f aca="false">IF($B37="","","PAR-"&amp;TEXT(ROW()-4,"000000"))</f>
        <v/>
      </c>
      <c r="B37" s="32"/>
      <c r="C37" s="37"/>
      <c r="D37" s="31"/>
      <c r="E37" s="33"/>
      <c r="F37" s="32"/>
      <c r="G37" s="35" t="str">
        <f aca="false">IF($B37="","",IFERROR(INDEX(CM_NOME,MATCH($B37,CM_ID,0)),"?"))</f>
        <v/>
      </c>
      <c r="H37" s="34" t="str">
        <f aca="false">IF($B37="","",IFERROR(INDEX(CM_QTD,MATCH($B37,CM_ID,0)),""))</f>
        <v/>
      </c>
      <c r="I37" s="35" t="str">
        <f aca="false">IF($A37="","",$C37&amp;"/"&amp;$H37)</f>
        <v/>
      </c>
      <c r="J37" s="35" t="str">
        <f aca="false">IF($A37="","",IF($C37&lt;=IFERROR(INDEX(CM_PAGASANTES,MATCH($B37,CM_ID,0)),0),"SIM","NAO"))</f>
        <v/>
      </c>
      <c r="K37" s="36" t="n">
        <f aca="false">IF($A37="",0,SUMIFS(L_Valor,L_ParcID,$A37,L_Status,"REALIZADO"))</f>
        <v>0</v>
      </c>
      <c r="L37" s="38" t="str">
        <f aca="false">IF($A37="","",IFERROR(INDEX(L_Data,MATCH(1,INDEX((L_ParcID=$A37)*(L_Status="REALIZADO"),0),0)),""))</f>
        <v/>
      </c>
      <c r="M37" s="34" t="n">
        <f aca="false">IF($A37="",0,COUNTIFS(L_ParcID,$A37,L_Status,"REALIZADO"))</f>
        <v>0</v>
      </c>
      <c r="N37" s="34" t="n">
        <f aca="false">IF($A37="",0,COUNTIFS(L_ParcID,$A37,L_Status,"PROJETADO"))</f>
        <v>0</v>
      </c>
      <c r="O37" s="35" t="str">
        <f aca="false">IF($A37="","",IF($J37="SIM","PAGA",IF($M37&gt;0,"PAGA",IF($D37&lt;CFG_HOJE,"ATRASADA",IF($D37&lt;=EOMONTH(CFG_HOJE,0),"ABERTA","PROJETADA")))))</f>
        <v/>
      </c>
      <c r="P37" s="34" t="n">
        <f aca="false">IF($O37="ATRASADA",CFG_HOJE-$D37,0)</f>
        <v>0</v>
      </c>
      <c r="Q37" s="36" t="n">
        <f aca="false">IF($A37="",0,IF(AND($O37="PAGA",$J37="NAO"),$K37-$E37,0))</f>
        <v>0</v>
      </c>
    </row>
    <row r="38" customFormat="false" ht="15" hidden="false" customHeight="false" outlineLevel="0" collapsed="false">
      <c r="A38" s="30" t="str">
        <f aca="false">IF($B38="","","PAR-"&amp;TEXT(ROW()-4,"000000"))</f>
        <v/>
      </c>
      <c r="B38" s="32"/>
      <c r="C38" s="37"/>
      <c r="D38" s="31"/>
      <c r="E38" s="33"/>
      <c r="F38" s="32"/>
      <c r="G38" s="35" t="str">
        <f aca="false">IF($B38="","",IFERROR(INDEX(CM_NOME,MATCH($B38,CM_ID,0)),"?"))</f>
        <v/>
      </c>
      <c r="H38" s="34" t="str">
        <f aca="false">IF($B38="","",IFERROR(INDEX(CM_QTD,MATCH($B38,CM_ID,0)),""))</f>
        <v/>
      </c>
      <c r="I38" s="35" t="str">
        <f aca="false">IF($A38="","",$C38&amp;"/"&amp;$H38)</f>
        <v/>
      </c>
      <c r="J38" s="35" t="str">
        <f aca="false">IF($A38="","",IF($C38&lt;=IFERROR(INDEX(CM_PAGASANTES,MATCH($B38,CM_ID,0)),0),"SIM","NAO"))</f>
        <v/>
      </c>
      <c r="K38" s="36" t="n">
        <f aca="false">IF($A38="",0,SUMIFS(L_Valor,L_ParcID,$A38,L_Status,"REALIZADO"))</f>
        <v>0</v>
      </c>
      <c r="L38" s="38" t="str">
        <f aca="false">IF($A38="","",IFERROR(INDEX(L_Data,MATCH(1,INDEX((L_ParcID=$A38)*(L_Status="REALIZADO"),0),0)),""))</f>
        <v/>
      </c>
      <c r="M38" s="34" t="n">
        <f aca="false">IF($A38="",0,COUNTIFS(L_ParcID,$A38,L_Status,"REALIZADO"))</f>
        <v>0</v>
      </c>
      <c r="N38" s="34" t="n">
        <f aca="false">IF($A38="",0,COUNTIFS(L_ParcID,$A38,L_Status,"PROJETADO"))</f>
        <v>0</v>
      </c>
      <c r="O38" s="35" t="str">
        <f aca="false">IF($A38="","",IF($J38="SIM","PAGA",IF($M38&gt;0,"PAGA",IF($D38&lt;CFG_HOJE,"ATRASADA",IF($D38&lt;=EOMONTH(CFG_HOJE,0),"ABERTA","PROJETADA")))))</f>
        <v/>
      </c>
      <c r="P38" s="34" t="n">
        <f aca="false">IF($O38="ATRASADA",CFG_HOJE-$D38,0)</f>
        <v>0</v>
      </c>
      <c r="Q38" s="36" t="n">
        <f aca="false">IF($A38="",0,IF(AND($O38="PAGA",$J38="NAO"),$K38-$E38,0))</f>
        <v>0</v>
      </c>
    </row>
    <row r="39" customFormat="false" ht="15" hidden="false" customHeight="false" outlineLevel="0" collapsed="false">
      <c r="A39" s="30" t="str">
        <f aca="false">IF($B39="","","PAR-"&amp;TEXT(ROW()-4,"000000"))</f>
        <v/>
      </c>
      <c r="B39" s="32"/>
      <c r="C39" s="37"/>
      <c r="D39" s="31"/>
      <c r="E39" s="33"/>
      <c r="F39" s="32"/>
      <c r="G39" s="35" t="str">
        <f aca="false">IF($B39="","",IFERROR(INDEX(CM_NOME,MATCH($B39,CM_ID,0)),"?"))</f>
        <v/>
      </c>
      <c r="H39" s="34" t="str">
        <f aca="false">IF($B39="","",IFERROR(INDEX(CM_QTD,MATCH($B39,CM_ID,0)),""))</f>
        <v/>
      </c>
      <c r="I39" s="35" t="str">
        <f aca="false">IF($A39="","",$C39&amp;"/"&amp;$H39)</f>
        <v/>
      </c>
      <c r="J39" s="35" t="str">
        <f aca="false">IF($A39="","",IF($C39&lt;=IFERROR(INDEX(CM_PAGASANTES,MATCH($B39,CM_ID,0)),0),"SIM","NAO"))</f>
        <v/>
      </c>
      <c r="K39" s="36" t="n">
        <f aca="false">IF($A39="",0,SUMIFS(L_Valor,L_ParcID,$A39,L_Status,"REALIZADO"))</f>
        <v>0</v>
      </c>
      <c r="L39" s="38" t="str">
        <f aca="false">IF($A39="","",IFERROR(INDEX(L_Data,MATCH(1,INDEX((L_ParcID=$A39)*(L_Status="REALIZADO"),0),0)),""))</f>
        <v/>
      </c>
      <c r="M39" s="34" t="n">
        <f aca="false">IF($A39="",0,COUNTIFS(L_ParcID,$A39,L_Status,"REALIZADO"))</f>
        <v>0</v>
      </c>
      <c r="N39" s="34" t="n">
        <f aca="false">IF($A39="",0,COUNTIFS(L_ParcID,$A39,L_Status,"PROJETADO"))</f>
        <v>0</v>
      </c>
      <c r="O39" s="35" t="str">
        <f aca="false">IF($A39="","",IF($J39="SIM","PAGA",IF($M39&gt;0,"PAGA",IF($D39&lt;CFG_HOJE,"ATRASADA",IF($D39&lt;=EOMONTH(CFG_HOJE,0),"ABERTA","PROJETADA")))))</f>
        <v/>
      </c>
      <c r="P39" s="34" t="n">
        <f aca="false">IF($O39="ATRASADA",CFG_HOJE-$D39,0)</f>
        <v>0</v>
      </c>
      <c r="Q39" s="36" t="n">
        <f aca="false">IF($A39="",0,IF(AND($O39="PAGA",$J39="NAO"),$K39-$E39,0))</f>
        <v>0</v>
      </c>
    </row>
    <row r="40" customFormat="false" ht="15" hidden="false" customHeight="false" outlineLevel="0" collapsed="false">
      <c r="A40" s="30" t="str">
        <f aca="false">IF($B40="","","PAR-"&amp;TEXT(ROW()-4,"000000"))</f>
        <v/>
      </c>
      <c r="B40" s="32"/>
      <c r="C40" s="37"/>
      <c r="D40" s="31"/>
      <c r="E40" s="33"/>
      <c r="F40" s="32"/>
      <c r="G40" s="35" t="str">
        <f aca="false">IF($B40="","",IFERROR(INDEX(CM_NOME,MATCH($B40,CM_ID,0)),"?"))</f>
        <v/>
      </c>
      <c r="H40" s="34" t="str">
        <f aca="false">IF($B40="","",IFERROR(INDEX(CM_QTD,MATCH($B40,CM_ID,0)),""))</f>
        <v/>
      </c>
      <c r="I40" s="35" t="str">
        <f aca="false">IF($A40="","",$C40&amp;"/"&amp;$H40)</f>
        <v/>
      </c>
      <c r="J40" s="35" t="str">
        <f aca="false">IF($A40="","",IF($C40&lt;=IFERROR(INDEX(CM_PAGASANTES,MATCH($B40,CM_ID,0)),0),"SIM","NAO"))</f>
        <v/>
      </c>
      <c r="K40" s="36" t="n">
        <f aca="false">IF($A40="",0,SUMIFS(L_Valor,L_ParcID,$A40,L_Status,"REALIZADO"))</f>
        <v>0</v>
      </c>
      <c r="L40" s="38" t="str">
        <f aca="false">IF($A40="","",IFERROR(INDEX(L_Data,MATCH(1,INDEX((L_ParcID=$A40)*(L_Status="REALIZADO"),0),0)),""))</f>
        <v/>
      </c>
      <c r="M40" s="34" t="n">
        <f aca="false">IF($A40="",0,COUNTIFS(L_ParcID,$A40,L_Status,"REALIZADO"))</f>
        <v>0</v>
      </c>
      <c r="N40" s="34" t="n">
        <f aca="false">IF($A40="",0,COUNTIFS(L_ParcID,$A40,L_Status,"PROJETADO"))</f>
        <v>0</v>
      </c>
      <c r="O40" s="35" t="str">
        <f aca="false">IF($A40="","",IF($J40="SIM","PAGA",IF($M40&gt;0,"PAGA",IF($D40&lt;CFG_HOJE,"ATRASADA",IF($D40&lt;=EOMONTH(CFG_HOJE,0),"ABERTA","PROJETADA")))))</f>
        <v/>
      </c>
      <c r="P40" s="34" t="n">
        <f aca="false">IF($O40="ATRASADA",CFG_HOJE-$D40,0)</f>
        <v>0</v>
      </c>
      <c r="Q40" s="36" t="n">
        <f aca="false">IF($A40="",0,IF(AND($O40="PAGA",$J40="NAO"),$K40-$E40,0))</f>
        <v>0</v>
      </c>
    </row>
    <row r="41" customFormat="false" ht="15" hidden="false" customHeight="false" outlineLevel="0" collapsed="false">
      <c r="A41" s="30" t="str">
        <f aca="false">IF($B41="","","PAR-"&amp;TEXT(ROW()-4,"000000"))</f>
        <v/>
      </c>
      <c r="B41" s="32"/>
      <c r="C41" s="37"/>
      <c r="D41" s="31"/>
      <c r="E41" s="33"/>
      <c r="F41" s="32"/>
      <c r="G41" s="35" t="str">
        <f aca="false">IF($B41="","",IFERROR(INDEX(CM_NOME,MATCH($B41,CM_ID,0)),"?"))</f>
        <v/>
      </c>
      <c r="H41" s="34" t="str">
        <f aca="false">IF($B41="","",IFERROR(INDEX(CM_QTD,MATCH($B41,CM_ID,0)),""))</f>
        <v/>
      </c>
      <c r="I41" s="35" t="str">
        <f aca="false">IF($A41="","",$C41&amp;"/"&amp;$H41)</f>
        <v/>
      </c>
      <c r="J41" s="35" t="str">
        <f aca="false">IF($A41="","",IF($C41&lt;=IFERROR(INDEX(CM_PAGASANTES,MATCH($B41,CM_ID,0)),0),"SIM","NAO"))</f>
        <v/>
      </c>
      <c r="K41" s="36" t="n">
        <f aca="false">IF($A41="",0,SUMIFS(L_Valor,L_ParcID,$A41,L_Status,"REALIZADO"))</f>
        <v>0</v>
      </c>
      <c r="L41" s="38" t="str">
        <f aca="false">IF($A41="","",IFERROR(INDEX(L_Data,MATCH(1,INDEX((L_ParcID=$A41)*(L_Status="REALIZADO"),0),0)),""))</f>
        <v/>
      </c>
      <c r="M41" s="34" t="n">
        <f aca="false">IF($A41="",0,COUNTIFS(L_ParcID,$A41,L_Status,"REALIZADO"))</f>
        <v>0</v>
      </c>
      <c r="N41" s="34" t="n">
        <f aca="false">IF($A41="",0,COUNTIFS(L_ParcID,$A41,L_Status,"PROJETADO"))</f>
        <v>0</v>
      </c>
      <c r="O41" s="35" t="str">
        <f aca="false">IF($A41="","",IF($J41="SIM","PAGA",IF($M41&gt;0,"PAGA",IF($D41&lt;CFG_HOJE,"ATRASADA",IF($D41&lt;=EOMONTH(CFG_HOJE,0),"ABERTA","PROJETADA")))))</f>
        <v/>
      </c>
      <c r="P41" s="34" t="n">
        <f aca="false">IF($O41="ATRASADA",CFG_HOJE-$D41,0)</f>
        <v>0</v>
      </c>
      <c r="Q41" s="36" t="n">
        <f aca="false">IF($A41="",0,IF(AND($O41="PAGA",$J41="NAO"),$K41-$E41,0))</f>
        <v>0</v>
      </c>
    </row>
    <row r="42" customFormat="false" ht="15" hidden="false" customHeight="false" outlineLevel="0" collapsed="false">
      <c r="A42" s="30" t="str">
        <f aca="false">IF($B42="","","PAR-"&amp;TEXT(ROW()-4,"000000"))</f>
        <v/>
      </c>
      <c r="B42" s="32"/>
      <c r="C42" s="37"/>
      <c r="D42" s="31"/>
      <c r="E42" s="33"/>
      <c r="F42" s="32"/>
      <c r="G42" s="35" t="str">
        <f aca="false">IF($B42="","",IFERROR(INDEX(CM_NOME,MATCH($B42,CM_ID,0)),"?"))</f>
        <v/>
      </c>
      <c r="H42" s="34" t="str">
        <f aca="false">IF($B42="","",IFERROR(INDEX(CM_QTD,MATCH($B42,CM_ID,0)),""))</f>
        <v/>
      </c>
      <c r="I42" s="35" t="str">
        <f aca="false">IF($A42="","",$C42&amp;"/"&amp;$H42)</f>
        <v/>
      </c>
      <c r="J42" s="35" t="str">
        <f aca="false">IF($A42="","",IF($C42&lt;=IFERROR(INDEX(CM_PAGASANTES,MATCH($B42,CM_ID,0)),0),"SIM","NAO"))</f>
        <v/>
      </c>
      <c r="K42" s="36" t="n">
        <f aca="false">IF($A42="",0,SUMIFS(L_Valor,L_ParcID,$A42,L_Status,"REALIZADO"))</f>
        <v>0</v>
      </c>
      <c r="L42" s="38" t="str">
        <f aca="false">IF($A42="","",IFERROR(INDEX(L_Data,MATCH(1,INDEX((L_ParcID=$A42)*(L_Status="REALIZADO"),0),0)),""))</f>
        <v/>
      </c>
      <c r="M42" s="34" t="n">
        <f aca="false">IF($A42="",0,COUNTIFS(L_ParcID,$A42,L_Status,"REALIZADO"))</f>
        <v>0</v>
      </c>
      <c r="N42" s="34" t="n">
        <f aca="false">IF($A42="",0,COUNTIFS(L_ParcID,$A42,L_Status,"PROJETADO"))</f>
        <v>0</v>
      </c>
      <c r="O42" s="35" t="str">
        <f aca="false">IF($A42="","",IF($J42="SIM","PAGA",IF($M42&gt;0,"PAGA",IF($D42&lt;CFG_HOJE,"ATRASADA",IF($D42&lt;=EOMONTH(CFG_HOJE,0),"ABERTA","PROJETADA")))))</f>
        <v/>
      </c>
      <c r="P42" s="34" t="n">
        <f aca="false">IF($O42="ATRASADA",CFG_HOJE-$D42,0)</f>
        <v>0</v>
      </c>
      <c r="Q42" s="36" t="n">
        <f aca="false">IF($A42="",0,IF(AND($O42="PAGA",$J42="NAO"),$K42-$E42,0))</f>
        <v>0</v>
      </c>
    </row>
    <row r="43" customFormat="false" ht="15" hidden="false" customHeight="false" outlineLevel="0" collapsed="false">
      <c r="A43" s="30" t="str">
        <f aca="false">IF($B43="","","PAR-"&amp;TEXT(ROW()-4,"000000"))</f>
        <v/>
      </c>
      <c r="B43" s="32"/>
      <c r="C43" s="37"/>
      <c r="D43" s="31"/>
      <c r="E43" s="33"/>
      <c r="F43" s="32"/>
      <c r="G43" s="35" t="str">
        <f aca="false">IF($B43="","",IFERROR(INDEX(CM_NOME,MATCH($B43,CM_ID,0)),"?"))</f>
        <v/>
      </c>
      <c r="H43" s="34" t="str">
        <f aca="false">IF($B43="","",IFERROR(INDEX(CM_QTD,MATCH($B43,CM_ID,0)),""))</f>
        <v/>
      </c>
      <c r="I43" s="35" t="str">
        <f aca="false">IF($A43="","",$C43&amp;"/"&amp;$H43)</f>
        <v/>
      </c>
      <c r="J43" s="35" t="str">
        <f aca="false">IF($A43="","",IF($C43&lt;=IFERROR(INDEX(CM_PAGASANTES,MATCH($B43,CM_ID,0)),0),"SIM","NAO"))</f>
        <v/>
      </c>
      <c r="K43" s="36" t="n">
        <f aca="false">IF($A43="",0,SUMIFS(L_Valor,L_ParcID,$A43,L_Status,"REALIZADO"))</f>
        <v>0</v>
      </c>
      <c r="L43" s="38" t="str">
        <f aca="false">IF($A43="","",IFERROR(INDEX(L_Data,MATCH(1,INDEX((L_ParcID=$A43)*(L_Status="REALIZADO"),0),0)),""))</f>
        <v/>
      </c>
      <c r="M43" s="34" t="n">
        <f aca="false">IF($A43="",0,COUNTIFS(L_ParcID,$A43,L_Status,"REALIZADO"))</f>
        <v>0</v>
      </c>
      <c r="N43" s="34" t="n">
        <f aca="false">IF($A43="",0,COUNTIFS(L_ParcID,$A43,L_Status,"PROJETADO"))</f>
        <v>0</v>
      </c>
      <c r="O43" s="35" t="str">
        <f aca="false">IF($A43="","",IF($J43="SIM","PAGA",IF($M43&gt;0,"PAGA",IF($D43&lt;CFG_HOJE,"ATRASADA",IF($D43&lt;=EOMONTH(CFG_HOJE,0),"ABERTA","PROJETADA")))))</f>
        <v/>
      </c>
      <c r="P43" s="34" t="n">
        <f aca="false">IF($O43="ATRASADA",CFG_HOJE-$D43,0)</f>
        <v>0</v>
      </c>
      <c r="Q43" s="36" t="n">
        <f aca="false">IF($A43="",0,IF(AND($O43="PAGA",$J43="NAO"),$K43-$E43,0))</f>
        <v>0</v>
      </c>
    </row>
    <row r="44" customFormat="false" ht="15" hidden="false" customHeight="false" outlineLevel="0" collapsed="false">
      <c r="A44" s="30" t="str">
        <f aca="false">IF($B44="","","PAR-"&amp;TEXT(ROW()-4,"000000"))</f>
        <v/>
      </c>
      <c r="B44" s="32"/>
      <c r="C44" s="37"/>
      <c r="D44" s="31"/>
      <c r="E44" s="33"/>
      <c r="F44" s="32"/>
      <c r="G44" s="35" t="str">
        <f aca="false">IF($B44="","",IFERROR(INDEX(CM_NOME,MATCH($B44,CM_ID,0)),"?"))</f>
        <v/>
      </c>
      <c r="H44" s="34" t="str">
        <f aca="false">IF($B44="","",IFERROR(INDEX(CM_QTD,MATCH($B44,CM_ID,0)),""))</f>
        <v/>
      </c>
      <c r="I44" s="35" t="str">
        <f aca="false">IF($A44="","",$C44&amp;"/"&amp;$H44)</f>
        <v/>
      </c>
      <c r="J44" s="35" t="str">
        <f aca="false">IF($A44="","",IF($C44&lt;=IFERROR(INDEX(CM_PAGASANTES,MATCH($B44,CM_ID,0)),0),"SIM","NAO"))</f>
        <v/>
      </c>
      <c r="K44" s="36" t="n">
        <f aca="false">IF($A44="",0,SUMIFS(L_Valor,L_ParcID,$A44,L_Status,"REALIZADO"))</f>
        <v>0</v>
      </c>
      <c r="L44" s="38" t="str">
        <f aca="false">IF($A44="","",IFERROR(INDEX(L_Data,MATCH(1,INDEX((L_ParcID=$A44)*(L_Status="REALIZADO"),0),0)),""))</f>
        <v/>
      </c>
      <c r="M44" s="34" t="n">
        <f aca="false">IF($A44="",0,COUNTIFS(L_ParcID,$A44,L_Status,"REALIZADO"))</f>
        <v>0</v>
      </c>
      <c r="N44" s="34" t="n">
        <f aca="false">IF($A44="",0,COUNTIFS(L_ParcID,$A44,L_Status,"PROJETADO"))</f>
        <v>0</v>
      </c>
      <c r="O44" s="35" t="str">
        <f aca="false">IF($A44="","",IF($J44="SIM","PAGA",IF($M44&gt;0,"PAGA",IF($D44&lt;CFG_HOJE,"ATRASADA",IF($D44&lt;=EOMONTH(CFG_HOJE,0),"ABERTA","PROJETADA")))))</f>
        <v/>
      </c>
      <c r="P44" s="34" t="n">
        <f aca="false">IF($O44="ATRASADA",CFG_HOJE-$D44,0)</f>
        <v>0</v>
      </c>
      <c r="Q44" s="36" t="n">
        <f aca="false">IF($A44="",0,IF(AND($O44="PAGA",$J44="NAO"),$K44-$E44,0))</f>
        <v>0</v>
      </c>
    </row>
    <row r="45" customFormat="false" ht="15" hidden="false" customHeight="false" outlineLevel="0" collapsed="false">
      <c r="A45" s="30" t="str">
        <f aca="false">IF($B45="","","PAR-"&amp;TEXT(ROW()-4,"000000"))</f>
        <v/>
      </c>
      <c r="B45" s="32"/>
      <c r="C45" s="37"/>
      <c r="D45" s="31"/>
      <c r="E45" s="33"/>
      <c r="F45" s="32"/>
      <c r="G45" s="35" t="str">
        <f aca="false">IF($B45="","",IFERROR(INDEX(CM_NOME,MATCH($B45,CM_ID,0)),"?"))</f>
        <v/>
      </c>
      <c r="H45" s="34" t="str">
        <f aca="false">IF($B45="","",IFERROR(INDEX(CM_QTD,MATCH($B45,CM_ID,0)),""))</f>
        <v/>
      </c>
      <c r="I45" s="35" t="str">
        <f aca="false">IF($A45="","",$C45&amp;"/"&amp;$H45)</f>
        <v/>
      </c>
      <c r="J45" s="35" t="str">
        <f aca="false">IF($A45="","",IF($C45&lt;=IFERROR(INDEX(CM_PAGASANTES,MATCH($B45,CM_ID,0)),0),"SIM","NAO"))</f>
        <v/>
      </c>
      <c r="K45" s="36" t="n">
        <f aca="false">IF($A45="",0,SUMIFS(L_Valor,L_ParcID,$A45,L_Status,"REALIZADO"))</f>
        <v>0</v>
      </c>
      <c r="L45" s="38" t="str">
        <f aca="false">IF($A45="","",IFERROR(INDEX(L_Data,MATCH(1,INDEX((L_ParcID=$A45)*(L_Status="REALIZADO"),0),0)),""))</f>
        <v/>
      </c>
      <c r="M45" s="34" t="n">
        <f aca="false">IF($A45="",0,COUNTIFS(L_ParcID,$A45,L_Status,"REALIZADO"))</f>
        <v>0</v>
      </c>
      <c r="N45" s="34" t="n">
        <f aca="false">IF($A45="",0,COUNTIFS(L_ParcID,$A45,L_Status,"PROJETADO"))</f>
        <v>0</v>
      </c>
      <c r="O45" s="35" t="str">
        <f aca="false">IF($A45="","",IF($J45="SIM","PAGA",IF($M45&gt;0,"PAGA",IF($D45&lt;CFG_HOJE,"ATRASADA",IF($D45&lt;=EOMONTH(CFG_HOJE,0),"ABERTA","PROJETADA")))))</f>
        <v/>
      </c>
      <c r="P45" s="34" t="n">
        <f aca="false">IF($O45="ATRASADA",CFG_HOJE-$D45,0)</f>
        <v>0</v>
      </c>
      <c r="Q45" s="36" t="n">
        <f aca="false">IF($A45="",0,IF(AND($O45="PAGA",$J45="NAO"),$K45-$E45,0))</f>
        <v>0</v>
      </c>
    </row>
    <row r="46" customFormat="false" ht="15" hidden="false" customHeight="false" outlineLevel="0" collapsed="false">
      <c r="A46" s="30" t="str">
        <f aca="false">IF($B46="","","PAR-"&amp;TEXT(ROW()-4,"000000"))</f>
        <v/>
      </c>
      <c r="B46" s="32"/>
      <c r="C46" s="37"/>
      <c r="D46" s="31"/>
      <c r="E46" s="33"/>
      <c r="F46" s="32"/>
      <c r="G46" s="35" t="str">
        <f aca="false">IF($B46="","",IFERROR(INDEX(CM_NOME,MATCH($B46,CM_ID,0)),"?"))</f>
        <v/>
      </c>
      <c r="H46" s="34" t="str">
        <f aca="false">IF($B46="","",IFERROR(INDEX(CM_QTD,MATCH($B46,CM_ID,0)),""))</f>
        <v/>
      </c>
      <c r="I46" s="35" t="str">
        <f aca="false">IF($A46="","",$C46&amp;"/"&amp;$H46)</f>
        <v/>
      </c>
      <c r="J46" s="35" t="str">
        <f aca="false">IF($A46="","",IF($C46&lt;=IFERROR(INDEX(CM_PAGASANTES,MATCH($B46,CM_ID,0)),0),"SIM","NAO"))</f>
        <v/>
      </c>
      <c r="K46" s="36" t="n">
        <f aca="false">IF($A46="",0,SUMIFS(L_Valor,L_ParcID,$A46,L_Status,"REALIZADO"))</f>
        <v>0</v>
      </c>
      <c r="L46" s="38" t="str">
        <f aca="false">IF($A46="","",IFERROR(INDEX(L_Data,MATCH(1,INDEX((L_ParcID=$A46)*(L_Status="REALIZADO"),0),0)),""))</f>
        <v/>
      </c>
      <c r="M46" s="34" t="n">
        <f aca="false">IF($A46="",0,COUNTIFS(L_ParcID,$A46,L_Status,"REALIZADO"))</f>
        <v>0</v>
      </c>
      <c r="N46" s="34" t="n">
        <f aca="false">IF($A46="",0,COUNTIFS(L_ParcID,$A46,L_Status,"PROJETADO"))</f>
        <v>0</v>
      </c>
      <c r="O46" s="35" t="str">
        <f aca="false">IF($A46="","",IF($J46="SIM","PAGA",IF($M46&gt;0,"PAGA",IF($D46&lt;CFG_HOJE,"ATRASADA",IF($D46&lt;=EOMONTH(CFG_HOJE,0),"ABERTA","PROJETADA")))))</f>
        <v/>
      </c>
      <c r="P46" s="34" t="n">
        <f aca="false">IF($O46="ATRASADA",CFG_HOJE-$D46,0)</f>
        <v>0</v>
      </c>
      <c r="Q46" s="36" t="n">
        <f aca="false">IF($A46="",0,IF(AND($O46="PAGA",$J46="NAO"),$K46-$E46,0))</f>
        <v>0</v>
      </c>
    </row>
    <row r="47" customFormat="false" ht="15" hidden="false" customHeight="false" outlineLevel="0" collapsed="false">
      <c r="A47" s="30" t="str">
        <f aca="false">IF($B47="","","PAR-"&amp;TEXT(ROW()-4,"000000"))</f>
        <v/>
      </c>
      <c r="B47" s="32"/>
      <c r="C47" s="37"/>
      <c r="D47" s="31"/>
      <c r="E47" s="33"/>
      <c r="F47" s="32"/>
      <c r="G47" s="35" t="str">
        <f aca="false">IF($B47="","",IFERROR(INDEX(CM_NOME,MATCH($B47,CM_ID,0)),"?"))</f>
        <v/>
      </c>
      <c r="H47" s="34" t="str">
        <f aca="false">IF($B47="","",IFERROR(INDEX(CM_QTD,MATCH($B47,CM_ID,0)),""))</f>
        <v/>
      </c>
      <c r="I47" s="35" t="str">
        <f aca="false">IF($A47="","",$C47&amp;"/"&amp;$H47)</f>
        <v/>
      </c>
      <c r="J47" s="35" t="str">
        <f aca="false">IF($A47="","",IF($C47&lt;=IFERROR(INDEX(CM_PAGASANTES,MATCH($B47,CM_ID,0)),0),"SIM","NAO"))</f>
        <v/>
      </c>
      <c r="K47" s="36" t="n">
        <f aca="false">IF($A47="",0,SUMIFS(L_Valor,L_ParcID,$A47,L_Status,"REALIZADO"))</f>
        <v>0</v>
      </c>
      <c r="L47" s="38" t="str">
        <f aca="false">IF($A47="","",IFERROR(INDEX(L_Data,MATCH(1,INDEX((L_ParcID=$A47)*(L_Status="REALIZADO"),0),0)),""))</f>
        <v/>
      </c>
      <c r="M47" s="34" t="n">
        <f aca="false">IF($A47="",0,COUNTIFS(L_ParcID,$A47,L_Status,"REALIZADO"))</f>
        <v>0</v>
      </c>
      <c r="N47" s="34" t="n">
        <f aca="false">IF($A47="",0,COUNTIFS(L_ParcID,$A47,L_Status,"PROJETADO"))</f>
        <v>0</v>
      </c>
      <c r="O47" s="35" t="str">
        <f aca="false">IF($A47="","",IF($J47="SIM","PAGA",IF($M47&gt;0,"PAGA",IF($D47&lt;CFG_HOJE,"ATRASADA",IF($D47&lt;=EOMONTH(CFG_HOJE,0),"ABERTA","PROJETADA")))))</f>
        <v/>
      </c>
      <c r="P47" s="34" t="n">
        <f aca="false">IF($O47="ATRASADA",CFG_HOJE-$D47,0)</f>
        <v>0</v>
      </c>
      <c r="Q47" s="36" t="n">
        <f aca="false">IF($A47="",0,IF(AND($O47="PAGA",$J47="NAO"),$K47-$E47,0))</f>
        <v>0</v>
      </c>
    </row>
    <row r="48" customFormat="false" ht="15" hidden="false" customHeight="false" outlineLevel="0" collapsed="false">
      <c r="A48" s="30" t="str">
        <f aca="false">IF($B48="","","PAR-"&amp;TEXT(ROW()-4,"000000"))</f>
        <v/>
      </c>
      <c r="B48" s="32"/>
      <c r="C48" s="37"/>
      <c r="D48" s="31"/>
      <c r="E48" s="33"/>
      <c r="F48" s="32"/>
      <c r="G48" s="35" t="str">
        <f aca="false">IF($B48="","",IFERROR(INDEX(CM_NOME,MATCH($B48,CM_ID,0)),"?"))</f>
        <v/>
      </c>
      <c r="H48" s="34" t="str">
        <f aca="false">IF($B48="","",IFERROR(INDEX(CM_QTD,MATCH($B48,CM_ID,0)),""))</f>
        <v/>
      </c>
      <c r="I48" s="35" t="str">
        <f aca="false">IF($A48="","",$C48&amp;"/"&amp;$H48)</f>
        <v/>
      </c>
      <c r="J48" s="35" t="str">
        <f aca="false">IF($A48="","",IF($C48&lt;=IFERROR(INDEX(CM_PAGASANTES,MATCH($B48,CM_ID,0)),0),"SIM","NAO"))</f>
        <v/>
      </c>
      <c r="K48" s="36" t="n">
        <f aca="false">IF($A48="",0,SUMIFS(L_Valor,L_ParcID,$A48,L_Status,"REALIZADO"))</f>
        <v>0</v>
      </c>
      <c r="L48" s="38" t="str">
        <f aca="false">IF($A48="","",IFERROR(INDEX(L_Data,MATCH(1,INDEX((L_ParcID=$A48)*(L_Status="REALIZADO"),0),0)),""))</f>
        <v/>
      </c>
      <c r="M48" s="34" t="n">
        <f aca="false">IF($A48="",0,COUNTIFS(L_ParcID,$A48,L_Status,"REALIZADO"))</f>
        <v>0</v>
      </c>
      <c r="N48" s="34" t="n">
        <f aca="false">IF($A48="",0,COUNTIFS(L_ParcID,$A48,L_Status,"PROJETADO"))</f>
        <v>0</v>
      </c>
      <c r="O48" s="35" t="str">
        <f aca="false">IF($A48="","",IF($J48="SIM","PAGA",IF($M48&gt;0,"PAGA",IF($D48&lt;CFG_HOJE,"ATRASADA",IF($D48&lt;=EOMONTH(CFG_HOJE,0),"ABERTA","PROJETADA")))))</f>
        <v/>
      </c>
      <c r="P48" s="34" t="n">
        <f aca="false">IF($O48="ATRASADA",CFG_HOJE-$D48,0)</f>
        <v>0</v>
      </c>
      <c r="Q48" s="36" t="n">
        <f aca="false">IF($A48="",0,IF(AND($O48="PAGA",$J48="NAO"),$K48-$E48,0))</f>
        <v>0</v>
      </c>
    </row>
    <row r="49" customFormat="false" ht="15" hidden="false" customHeight="false" outlineLevel="0" collapsed="false">
      <c r="A49" s="30" t="str">
        <f aca="false">IF($B49="","","PAR-"&amp;TEXT(ROW()-4,"000000"))</f>
        <v/>
      </c>
      <c r="B49" s="32"/>
      <c r="C49" s="37"/>
      <c r="D49" s="31"/>
      <c r="E49" s="33"/>
      <c r="F49" s="32"/>
      <c r="G49" s="35" t="str">
        <f aca="false">IF($B49="","",IFERROR(INDEX(CM_NOME,MATCH($B49,CM_ID,0)),"?"))</f>
        <v/>
      </c>
      <c r="H49" s="34" t="str">
        <f aca="false">IF($B49="","",IFERROR(INDEX(CM_QTD,MATCH($B49,CM_ID,0)),""))</f>
        <v/>
      </c>
      <c r="I49" s="35" t="str">
        <f aca="false">IF($A49="","",$C49&amp;"/"&amp;$H49)</f>
        <v/>
      </c>
      <c r="J49" s="35" t="str">
        <f aca="false">IF($A49="","",IF($C49&lt;=IFERROR(INDEX(CM_PAGASANTES,MATCH($B49,CM_ID,0)),0),"SIM","NAO"))</f>
        <v/>
      </c>
      <c r="K49" s="36" t="n">
        <f aca="false">IF($A49="",0,SUMIFS(L_Valor,L_ParcID,$A49,L_Status,"REALIZADO"))</f>
        <v>0</v>
      </c>
      <c r="L49" s="38" t="str">
        <f aca="false">IF($A49="","",IFERROR(INDEX(L_Data,MATCH(1,INDEX((L_ParcID=$A49)*(L_Status="REALIZADO"),0),0)),""))</f>
        <v/>
      </c>
      <c r="M49" s="34" t="n">
        <f aca="false">IF($A49="",0,COUNTIFS(L_ParcID,$A49,L_Status,"REALIZADO"))</f>
        <v>0</v>
      </c>
      <c r="N49" s="34" t="n">
        <f aca="false">IF($A49="",0,COUNTIFS(L_ParcID,$A49,L_Status,"PROJETADO"))</f>
        <v>0</v>
      </c>
      <c r="O49" s="35" t="str">
        <f aca="false">IF($A49="","",IF($J49="SIM","PAGA",IF($M49&gt;0,"PAGA",IF($D49&lt;CFG_HOJE,"ATRASADA",IF($D49&lt;=EOMONTH(CFG_HOJE,0),"ABERTA","PROJETADA")))))</f>
        <v/>
      </c>
      <c r="P49" s="34" t="n">
        <f aca="false">IF($O49="ATRASADA",CFG_HOJE-$D49,0)</f>
        <v>0</v>
      </c>
      <c r="Q49" s="36" t="n">
        <f aca="false">IF($A49="",0,IF(AND($O49="PAGA",$J49="NAO"),$K49-$E49,0))</f>
        <v>0</v>
      </c>
    </row>
    <row r="50" customFormat="false" ht="15" hidden="false" customHeight="false" outlineLevel="0" collapsed="false">
      <c r="A50" s="30" t="str">
        <f aca="false">IF($B50="","","PAR-"&amp;TEXT(ROW()-4,"000000"))</f>
        <v/>
      </c>
      <c r="B50" s="32"/>
      <c r="C50" s="37"/>
      <c r="D50" s="31"/>
      <c r="E50" s="33"/>
      <c r="F50" s="32"/>
      <c r="G50" s="35" t="str">
        <f aca="false">IF($B50="","",IFERROR(INDEX(CM_NOME,MATCH($B50,CM_ID,0)),"?"))</f>
        <v/>
      </c>
      <c r="H50" s="34" t="str">
        <f aca="false">IF($B50="","",IFERROR(INDEX(CM_QTD,MATCH($B50,CM_ID,0)),""))</f>
        <v/>
      </c>
      <c r="I50" s="35" t="str">
        <f aca="false">IF($A50="","",$C50&amp;"/"&amp;$H50)</f>
        <v/>
      </c>
      <c r="J50" s="35" t="str">
        <f aca="false">IF($A50="","",IF($C50&lt;=IFERROR(INDEX(CM_PAGASANTES,MATCH($B50,CM_ID,0)),0),"SIM","NAO"))</f>
        <v/>
      </c>
      <c r="K50" s="36" t="n">
        <f aca="false">IF($A50="",0,SUMIFS(L_Valor,L_ParcID,$A50,L_Status,"REALIZADO"))</f>
        <v>0</v>
      </c>
      <c r="L50" s="38" t="str">
        <f aca="false">IF($A50="","",IFERROR(INDEX(L_Data,MATCH(1,INDEX((L_ParcID=$A50)*(L_Status="REALIZADO"),0),0)),""))</f>
        <v/>
      </c>
      <c r="M50" s="34" t="n">
        <f aca="false">IF($A50="",0,COUNTIFS(L_ParcID,$A50,L_Status,"REALIZADO"))</f>
        <v>0</v>
      </c>
      <c r="N50" s="34" t="n">
        <f aca="false">IF($A50="",0,COUNTIFS(L_ParcID,$A50,L_Status,"PROJETADO"))</f>
        <v>0</v>
      </c>
      <c r="O50" s="35" t="str">
        <f aca="false">IF($A50="","",IF($J50="SIM","PAGA",IF($M50&gt;0,"PAGA",IF($D50&lt;CFG_HOJE,"ATRASADA",IF($D50&lt;=EOMONTH(CFG_HOJE,0),"ABERTA","PROJETADA")))))</f>
        <v/>
      </c>
      <c r="P50" s="34" t="n">
        <f aca="false">IF($O50="ATRASADA",CFG_HOJE-$D50,0)</f>
        <v>0</v>
      </c>
      <c r="Q50" s="36" t="n">
        <f aca="false">IF($A50="",0,IF(AND($O50="PAGA",$J50="NAO"),$K50-$E50,0))</f>
        <v>0</v>
      </c>
    </row>
    <row r="51" customFormat="false" ht="15" hidden="false" customHeight="false" outlineLevel="0" collapsed="false">
      <c r="A51" s="30" t="str">
        <f aca="false">IF($B51="","","PAR-"&amp;TEXT(ROW()-4,"000000"))</f>
        <v/>
      </c>
      <c r="B51" s="32"/>
      <c r="C51" s="37"/>
      <c r="D51" s="31"/>
      <c r="E51" s="33"/>
      <c r="F51" s="32"/>
      <c r="G51" s="35" t="str">
        <f aca="false">IF($B51="","",IFERROR(INDEX(CM_NOME,MATCH($B51,CM_ID,0)),"?"))</f>
        <v/>
      </c>
      <c r="H51" s="34" t="str">
        <f aca="false">IF($B51="","",IFERROR(INDEX(CM_QTD,MATCH($B51,CM_ID,0)),""))</f>
        <v/>
      </c>
      <c r="I51" s="35" t="str">
        <f aca="false">IF($A51="","",$C51&amp;"/"&amp;$H51)</f>
        <v/>
      </c>
      <c r="J51" s="35" t="str">
        <f aca="false">IF($A51="","",IF($C51&lt;=IFERROR(INDEX(CM_PAGASANTES,MATCH($B51,CM_ID,0)),0),"SIM","NAO"))</f>
        <v/>
      </c>
      <c r="K51" s="36" t="n">
        <f aca="false">IF($A51="",0,SUMIFS(L_Valor,L_ParcID,$A51,L_Status,"REALIZADO"))</f>
        <v>0</v>
      </c>
      <c r="L51" s="38" t="str">
        <f aca="false">IF($A51="","",IFERROR(INDEX(L_Data,MATCH(1,INDEX((L_ParcID=$A51)*(L_Status="REALIZADO"),0),0)),""))</f>
        <v/>
      </c>
      <c r="M51" s="34" t="n">
        <f aca="false">IF($A51="",0,COUNTIFS(L_ParcID,$A51,L_Status,"REALIZADO"))</f>
        <v>0</v>
      </c>
      <c r="N51" s="34" t="n">
        <f aca="false">IF($A51="",0,COUNTIFS(L_ParcID,$A51,L_Status,"PROJETADO"))</f>
        <v>0</v>
      </c>
      <c r="O51" s="35" t="str">
        <f aca="false">IF($A51="","",IF($J51="SIM","PAGA",IF($M51&gt;0,"PAGA",IF($D51&lt;CFG_HOJE,"ATRASADA",IF($D51&lt;=EOMONTH(CFG_HOJE,0),"ABERTA","PROJETADA")))))</f>
        <v/>
      </c>
      <c r="P51" s="34" t="n">
        <f aca="false">IF($O51="ATRASADA",CFG_HOJE-$D51,0)</f>
        <v>0</v>
      </c>
      <c r="Q51" s="36" t="n">
        <f aca="false">IF($A51="",0,IF(AND($O51="PAGA",$J51="NAO"),$K51-$E51,0))</f>
        <v>0</v>
      </c>
    </row>
    <row r="52" customFormat="false" ht="15" hidden="false" customHeight="false" outlineLevel="0" collapsed="false">
      <c r="A52" s="30" t="str">
        <f aca="false">IF($B52="","","PAR-"&amp;TEXT(ROW()-4,"000000"))</f>
        <v/>
      </c>
      <c r="B52" s="32"/>
      <c r="C52" s="37"/>
      <c r="D52" s="31"/>
      <c r="E52" s="33"/>
      <c r="F52" s="32"/>
      <c r="G52" s="35" t="str">
        <f aca="false">IF($B52="","",IFERROR(INDEX(CM_NOME,MATCH($B52,CM_ID,0)),"?"))</f>
        <v/>
      </c>
      <c r="H52" s="34" t="str">
        <f aca="false">IF($B52="","",IFERROR(INDEX(CM_QTD,MATCH($B52,CM_ID,0)),""))</f>
        <v/>
      </c>
      <c r="I52" s="35" t="str">
        <f aca="false">IF($A52="","",$C52&amp;"/"&amp;$H52)</f>
        <v/>
      </c>
      <c r="J52" s="35" t="str">
        <f aca="false">IF($A52="","",IF($C52&lt;=IFERROR(INDEX(CM_PAGASANTES,MATCH($B52,CM_ID,0)),0),"SIM","NAO"))</f>
        <v/>
      </c>
      <c r="K52" s="36" t="n">
        <f aca="false">IF($A52="",0,SUMIFS(L_Valor,L_ParcID,$A52,L_Status,"REALIZADO"))</f>
        <v>0</v>
      </c>
      <c r="L52" s="38" t="str">
        <f aca="false">IF($A52="","",IFERROR(INDEX(L_Data,MATCH(1,INDEX((L_ParcID=$A52)*(L_Status="REALIZADO"),0),0)),""))</f>
        <v/>
      </c>
      <c r="M52" s="34" t="n">
        <f aca="false">IF($A52="",0,COUNTIFS(L_ParcID,$A52,L_Status,"REALIZADO"))</f>
        <v>0</v>
      </c>
      <c r="N52" s="34" t="n">
        <f aca="false">IF($A52="",0,COUNTIFS(L_ParcID,$A52,L_Status,"PROJETADO"))</f>
        <v>0</v>
      </c>
      <c r="O52" s="35" t="str">
        <f aca="false">IF($A52="","",IF($J52="SIM","PAGA",IF($M52&gt;0,"PAGA",IF($D52&lt;CFG_HOJE,"ATRASADA",IF($D52&lt;=EOMONTH(CFG_HOJE,0),"ABERTA","PROJETADA")))))</f>
        <v/>
      </c>
      <c r="P52" s="34" t="n">
        <f aca="false">IF($O52="ATRASADA",CFG_HOJE-$D52,0)</f>
        <v>0</v>
      </c>
      <c r="Q52" s="36" t="n">
        <f aca="false">IF($A52="",0,IF(AND($O52="PAGA",$J52="NAO"),$K52-$E52,0))</f>
        <v>0</v>
      </c>
    </row>
    <row r="53" customFormat="false" ht="15" hidden="false" customHeight="false" outlineLevel="0" collapsed="false">
      <c r="A53" s="30" t="str">
        <f aca="false">IF($B53="","","PAR-"&amp;TEXT(ROW()-4,"000000"))</f>
        <v/>
      </c>
      <c r="B53" s="32"/>
      <c r="C53" s="37"/>
      <c r="D53" s="31"/>
      <c r="E53" s="33"/>
      <c r="F53" s="32"/>
      <c r="G53" s="35" t="str">
        <f aca="false">IF($B53="","",IFERROR(INDEX(CM_NOME,MATCH($B53,CM_ID,0)),"?"))</f>
        <v/>
      </c>
      <c r="H53" s="34" t="str">
        <f aca="false">IF($B53="","",IFERROR(INDEX(CM_QTD,MATCH($B53,CM_ID,0)),""))</f>
        <v/>
      </c>
      <c r="I53" s="35" t="str">
        <f aca="false">IF($A53="","",$C53&amp;"/"&amp;$H53)</f>
        <v/>
      </c>
      <c r="J53" s="35" t="str">
        <f aca="false">IF($A53="","",IF($C53&lt;=IFERROR(INDEX(CM_PAGASANTES,MATCH($B53,CM_ID,0)),0),"SIM","NAO"))</f>
        <v/>
      </c>
      <c r="K53" s="36" t="n">
        <f aca="false">IF($A53="",0,SUMIFS(L_Valor,L_ParcID,$A53,L_Status,"REALIZADO"))</f>
        <v>0</v>
      </c>
      <c r="L53" s="38" t="str">
        <f aca="false">IF($A53="","",IFERROR(INDEX(L_Data,MATCH(1,INDEX((L_ParcID=$A53)*(L_Status="REALIZADO"),0),0)),""))</f>
        <v/>
      </c>
      <c r="M53" s="34" t="n">
        <f aca="false">IF($A53="",0,COUNTIFS(L_ParcID,$A53,L_Status,"REALIZADO"))</f>
        <v>0</v>
      </c>
      <c r="N53" s="34" t="n">
        <f aca="false">IF($A53="",0,COUNTIFS(L_ParcID,$A53,L_Status,"PROJETADO"))</f>
        <v>0</v>
      </c>
      <c r="O53" s="35" t="str">
        <f aca="false">IF($A53="","",IF($J53="SIM","PAGA",IF($M53&gt;0,"PAGA",IF($D53&lt;CFG_HOJE,"ATRASADA",IF($D53&lt;=EOMONTH(CFG_HOJE,0),"ABERTA","PROJETADA")))))</f>
        <v/>
      </c>
      <c r="P53" s="34" t="n">
        <f aca="false">IF($O53="ATRASADA",CFG_HOJE-$D53,0)</f>
        <v>0</v>
      </c>
      <c r="Q53" s="36" t="n">
        <f aca="false">IF($A53="",0,IF(AND($O53="PAGA",$J53="NAO"),$K53-$E53,0))</f>
        <v>0</v>
      </c>
    </row>
    <row r="54" customFormat="false" ht="15" hidden="false" customHeight="false" outlineLevel="0" collapsed="false">
      <c r="A54" s="30" t="str">
        <f aca="false">IF($B54="","","PAR-"&amp;TEXT(ROW()-4,"000000"))</f>
        <v/>
      </c>
      <c r="B54" s="32"/>
      <c r="C54" s="37"/>
      <c r="D54" s="31"/>
      <c r="E54" s="33"/>
      <c r="F54" s="32"/>
      <c r="G54" s="35" t="str">
        <f aca="false">IF($B54="","",IFERROR(INDEX(CM_NOME,MATCH($B54,CM_ID,0)),"?"))</f>
        <v/>
      </c>
      <c r="H54" s="34" t="str">
        <f aca="false">IF($B54="","",IFERROR(INDEX(CM_QTD,MATCH($B54,CM_ID,0)),""))</f>
        <v/>
      </c>
      <c r="I54" s="35" t="str">
        <f aca="false">IF($A54="","",$C54&amp;"/"&amp;$H54)</f>
        <v/>
      </c>
      <c r="J54" s="35" t="str">
        <f aca="false">IF($A54="","",IF($C54&lt;=IFERROR(INDEX(CM_PAGASANTES,MATCH($B54,CM_ID,0)),0),"SIM","NAO"))</f>
        <v/>
      </c>
      <c r="K54" s="36" t="n">
        <f aca="false">IF($A54="",0,SUMIFS(L_Valor,L_ParcID,$A54,L_Status,"REALIZADO"))</f>
        <v>0</v>
      </c>
      <c r="L54" s="38" t="str">
        <f aca="false">IF($A54="","",IFERROR(INDEX(L_Data,MATCH(1,INDEX((L_ParcID=$A54)*(L_Status="REALIZADO"),0),0)),""))</f>
        <v/>
      </c>
      <c r="M54" s="34" t="n">
        <f aca="false">IF($A54="",0,COUNTIFS(L_ParcID,$A54,L_Status,"REALIZADO"))</f>
        <v>0</v>
      </c>
      <c r="N54" s="34" t="n">
        <f aca="false">IF($A54="",0,COUNTIFS(L_ParcID,$A54,L_Status,"PROJETADO"))</f>
        <v>0</v>
      </c>
      <c r="O54" s="35" t="str">
        <f aca="false">IF($A54="","",IF($J54="SIM","PAGA",IF($M54&gt;0,"PAGA",IF($D54&lt;CFG_HOJE,"ATRASADA",IF($D54&lt;=EOMONTH(CFG_HOJE,0),"ABERTA","PROJETADA")))))</f>
        <v/>
      </c>
      <c r="P54" s="34" t="n">
        <f aca="false">IF($O54="ATRASADA",CFG_HOJE-$D54,0)</f>
        <v>0</v>
      </c>
      <c r="Q54" s="36" t="n">
        <f aca="false">IF($A54="",0,IF(AND($O54="PAGA",$J54="NAO"),$K54-$E54,0))</f>
        <v>0</v>
      </c>
    </row>
    <row r="55" customFormat="false" ht="15" hidden="false" customHeight="false" outlineLevel="0" collapsed="false">
      <c r="A55" s="30" t="str">
        <f aca="false">IF($B55="","","PAR-"&amp;TEXT(ROW()-4,"000000"))</f>
        <v/>
      </c>
      <c r="B55" s="32"/>
      <c r="C55" s="37"/>
      <c r="D55" s="31"/>
      <c r="E55" s="33"/>
      <c r="F55" s="32"/>
      <c r="G55" s="35" t="str">
        <f aca="false">IF($B55="","",IFERROR(INDEX(CM_NOME,MATCH($B55,CM_ID,0)),"?"))</f>
        <v/>
      </c>
      <c r="H55" s="34" t="str">
        <f aca="false">IF($B55="","",IFERROR(INDEX(CM_QTD,MATCH($B55,CM_ID,0)),""))</f>
        <v/>
      </c>
      <c r="I55" s="35" t="str">
        <f aca="false">IF($A55="","",$C55&amp;"/"&amp;$H55)</f>
        <v/>
      </c>
      <c r="J55" s="35" t="str">
        <f aca="false">IF($A55="","",IF($C55&lt;=IFERROR(INDEX(CM_PAGASANTES,MATCH($B55,CM_ID,0)),0),"SIM","NAO"))</f>
        <v/>
      </c>
      <c r="K55" s="36" t="n">
        <f aca="false">IF($A55="",0,SUMIFS(L_Valor,L_ParcID,$A55,L_Status,"REALIZADO"))</f>
        <v>0</v>
      </c>
      <c r="L55" s="38" t="str">
        <f aca="false">IF($A55="","",IFERROR(INDEX(L_Data,MATCH(1,INDEX((L_ParcID=$A55)*(L_Status="REALIZADO"),0),0)),""))</f>
        <v/>
      </c>
      <c r="M55" s="34" t="n">
        <f aca="false">IF($A55="",0,COUNTIFS(L_ParcID,$A55,L_Status,"REALIZADO"))</f>
        <v>0</v>
      </c>
      <c r="N55" s="34" t="n">
        <f aca="false">IF($A55="",0,COUNTIFS(L_ParcID,$A55,L_Status,"PROJETADO"))</f>
        <v>0</v>
      </c>
      <c r="O55" s="35" t="str">
        <f aca="false">IF($A55="","",IF($J55="SIM","PAGA",IF($M55&gt;0,"PAGA",IF($D55&lt;CFG_HOJE,"ATRASADA",IF($D55&lt;=EOMONTH(CFG_HOJE,0),"ABERTA","PROJETADA")))))</f>
        <v/>
      </c>
      <c r="P55" s="34" t="n">
        <f aca="false">IF($O55="ATRASADA",CFG_HOJE-$D55,0)</f>
        <v>0</v>
      </c>
      <c r="Q55" s="36" t="n">
        <f aca="false">IF($A55="",0,IF(AND($O55="PAGA",$J55="NAO"),$K55-$E55,0))</f>
        <v>0</v>
      </c>
    </row>
    <row r="56" customFormat="false" ht="15" hidden="false" customHeight="false" outlineLevel="0" collapsed="false">
      <c r="A56" s="30" t="str">
        <f aca="false">IF($B56="","","PAR-"&amp;TEXT(ROW()-4,"000000"))</f>
        <v/>
      </c>
      <c r="B56" s="32"/>
      <c r="C56" s="37"/>
      <c r="D56" s="31"/>
      <c r="E56" s="33"/>
      <c r="F56" s="32"/>
      <c r="G56" s="35" t="str">
        <f aca="false">IF($B56="","",IFERROR(INDEX(CM_NOME,MATCH($B56,CM_ID,0)),"?"))</f>
        <v/>
      </c>
      <c r="H56" s="34" t="str">
        <f aca="false">IF($B56="","",IFERROR(INDEX(CM_QTD,MATCH($B56,CM_ID,0)),""))</f>
        <v/>
      </c>
      <c r="I56" s="35" t="str">
        <f aca="false">IF($A56="","",$C56&amp;"/"&amp;$H56)</f>
        <v/>
      </c>
      <c r="J56" s="35" t="str">
        <f aca="false">IF($A56="","",IF($C56&lt;=IFERROR(INDEX(CM_PAGASANTES,MATCH($B56,CM_ID,0)),0),"SIM","NAO"))</f>
        <v/>
      </c>
      <c r="K56" s="36" t="n">
        <f aca="false">IF($A56="",0,SUMIFS(L_Valor,L_ParcID,$A56,L_Status,"REALIZADO"))</f>
        <v>0</v>
      </c>
      <c r="L56" s="38" t="str">
        <f aca="false">IF($A56="","",IFERROR(INDEX(L_Data,MATCH(1,INDEX((L_ParcID=$A56)*(L_Status="REALIZADO"),0),0)),""))</f>
        <v/>
      </c>
      <c r="M56" s="34" t="n">
        <f aca="false">IF($A56="",0,COUNTIFS(L_ParcID,$A56,L_Status,"REALIZADO"))</f>
        <v>0</v>
      </c>
      <c r="N56" s="34" t="n">
        <f aca="false">IF($A56="",0,COUNTIFS(L_ParcID,$A56,L_Status,"PROJETADO"))</f>
        <v>0</v>
      </c>
      <c r="O56" s="35" t="str">
        <f aca="false">IF($A56="","",IF($J56="SIM","PAGA",IF($M56&gt;0,"PAGA",IF($D56&lt;CFG_HOJE,"ATRASADA",IF($D56&lt;=EOMONTH(CFG_HOJE,0),"ABERTA","PROJETADA")))))</f>
        <v/>
      </c>
      <c r="P56" s="34" t="n">
        <f aca="false">IF($O56="ATRASADA",CFG_HOJE-$D56,0)</f>
        <v>0</v>
      </c>
      <c r="Q56" s="36" t="n">
        <f aca="false">IF($A56="",0,IF(AND($O56="PAGA",$J56="NAO"),$K56-$E56,0))</f>
        <v>0</v>
      </c>
    </row>
    <row r="57" customFormat="false" ht="15" hidden="false" customHeight="false" outlineLevel="0" collapsed="false">
      <c r="A57" s="30" t="str">
        <f aca="false">IF($B57="","","PAR-"&amp;TEXT(ROW()-4,"000000"))</f>
        <v/>
      </c>
      <c r="B57" s="32"/>
      <c r="C57" s="37"/>
      <c r="D57" s="31"/>
      <c r="E57" s="33"/>
      <c r="F57" s="32"/>
      <c r="G57" s="35" t="str">
        <f aca="false">IF($B57="","",IFERROR(INDEX(CM_NOME,MATCH($B57,CM_ID,0)),"?"))</f>
        <v/>
      </c>
      <c r="H57" s="34" t="str">
        <f aca="false">IF($B57="","",IFERROR(INDEX(CM_QTD,MATCH($B57,CM_ID,0)),""))</f>
        <v/>
      </c>
      <c r="I57" s="35" t="str">
        <f aca="false">IF($A57="","",$C57&amp;"/"&amp;$H57)</f>
        <v/>
      </c>
      <c r="J57" s="35" t="str">
        <f aca="false">IF($A57="","",IF($C57&lt;=IFERROR(INDEX(CM_PAGASANTES,MATCH($B57,CM_ID,0)),0),"SIM","NAO"))</f>
        <v/>
      </c>
      <c r="K57" s="36" t="n">
        <f aca="false">IF($A57="",0,SUMIFS(L_Valor,L_ParcID,$A57,L_Status,"REALIZADO"))</f>
        <v>0</v>
      </c>
      <c r="L57" s="38" t="str">
        <f aca="false">IF($A57="","",IFERROR(INDEX(L_Data,MATCH(1,INDEX((L_ParcID=$A57)*(L_Status="REALIZADO"),0),0)),""))</f>
        <v/>
      </c>
      <c r="M57" s="34" t="n">
        <f aca="false">IF($A57="",0,COUNTIFS(L_ParcID,$A57,L_Status,"REALIZADO"))</f>
        <v>0</v>
      </c>
      <c r="N57" s="34" t="n">
        <f aca="false">IF($A57="",0,COUNTIFS(L_ParcID,$A57,L_Status,"PROJETADO"))</f>
        <v>0</v>
      </c>
      <c r="O57" s="35" t="str">
        <f aca="false">IF($A57="","",IF($J57="SIM","PAGA",IF($M57&gt;0,"PAGA",IF($D57&lt;CFG_HOJE,"ATRASADA",IF($D57&lt;=EOMONTH(CFG_HOJE,0),"ABERTA","PROJETADA")))))</f>
        <v/>
      </c>
      <c r="P57" s="34" t="n">
        <f aca="false">IF($O57="ATRASADA",CFG_HOJE-$D57,0)</f>
        <v>0</v>
      </c>
      <c r="Q57" s="36" t="n">
        <f aca="false">IF($A57="",0,IF(AND($O57="PAGA",$J57="NAO"),$K57-$E57,0))</f>
        <v>0</v>
      </c>
    </row>
    <row r="58" customFormat="false" ht="15" hidden="false" customHeight="false" outlineLevel="0" collapsed="false">
      <c r="A58" s="30" t="str">
        <f aca="false">IF($B58="","","PAR-"&amp;TEXT(ROW()-4,"000000"))</f>
        <v/>
      </c>
      <c r="B58" s="32"/>
      <c r="C58" s="37"/>
      <c r="D58" s="31"/>
      <c r="E58" s="33"/>
      <c r="F58" s="32"/>
      <c r="G58" s="35" t="str">
        <f aca="false">IF($B58="","",IFERROR(INDEX(CM_NOME,MATCH($B58,CM_ID,0)),"?"))</f>
        <v/>
      </c>
      <c r="H58" s="34" t="str">
        <f aca="false">IF($B58="","",IFERROR(INDEX(CM_QTD,MATCH($B58,CM_ID,0)),""))</f>
        <v/>
      </c>
      <c r="I58" s="35" t="str">
        <f aca="false">IF($A58="","",$C58&amp;"/"&amp;$H58)</f>
        <v/>
      </c>
      <c r="J58" s="35" t="str">
        <f aca="false">IF($A58="","",IF($C58&lt;=IFERROR(INDEX(CM_PAGASANTES,MATCH($B58,CM_ID,0)),0),"SIM","NAO"))</f>
        <v/>
      </c>
      <c r="K58" s="36" t="n">
        <f aca="false">IF($A58="",0,SUMIFS(L_Valor,L_ParcID,$A58,L_Status,"REALIZADO"))</f>
        <v>0</v>
      </c>
      <c r="L58" s="38" t="str">
        <f aca="false">IF($A58="","",IFERROR(INDEX(L_Data,MATCH(1,INDEX((L_ParcID=$A58)*(L_Status="REALIZADO"),0),0)),""))</f>
        <v/>
      </c>
      <c r="M58" s="34" t="n">
        <f aca="false">IF($A58="",0,COUNTIFS(L_ParcID,$A58,L_Status,"REALIZADO"))</f>
        <v>0</v>
      </c>
      <c r="N58" s="34" t="n">
        <f aca="false">IF($A58="",0,COUNTIFS(L_ParcID,$A58,L_Status,"PROJETADO"))</f>
        <v>0</v>
      </c>
      <c r="O58" s="35" t="str">
        <f aca="false">IF($A58="","",IF($J58="SIM","PAGA",IF($M58&gt;0,"PAGA",IF($D58&lt;CFG_HOJE,"ATRASADA",IF($D58&lt;=EOMONTH(CFG_HOJE,0),"ABERTA","PROJETADA")))))</f>
        <v/>
      </c>
      <c r="P58" s="34" t="n">
        <f aca="false">IF($O58="ATRASADA",CFG_HOJE-$D58,0)</f>
        <v>0</v>
      </c>
      <c r="Q58" s="36" t="n">
        <f aca="false">IF($A58="",0,IF(AND($O58="PAGA",$J58="NAO"),$K58-$E58,0))</f>
        <v>0</v>
      </c>
    </row>
    <row r="59" customFormat="false" ht="15" hidden="false" customHeight="false" outlineLevel="0" collapsed="false">
      <c r="A59" s="30" t="str">
        <f aca="false">IF($B59="","","PAR-"&amp;TEXT(ROW()-4,"000000"))</f>
        <v/>
      </c>
      <c r="B59" s="32"/>
      <c r="C59" s="37"/>
      <c r="D59" s="31"/>
      <c r="E59" s="33"/>
      <c r="F59" s="32"/>
      <c r="G59" s="35" t="str">
        <f aca="false">IF($B59="","",IFERROR(INDEX(CM_NOME,MATCH($B59,CM_ID,0)),"?"))</f>
        <v/>
      </c>
      <c r="H59" s="34" t="str">
        <f aca="false">IF($B59="","",IFERROR(INDEX(CM_QTD,MATCH($B59,CM_ID,0)),""))</f>
        <v/>
      </c>
      <c r="I59" s="35" t="str">
        <f aca="false">IF($A59="","",$C59&amp;"/"&amp;$H59)</f>
        <v/>
      </c>
      <c r="J59" s="35" t="str">
        <f aca="false">IF($A59="","",IF($C59&lt;=IFERROR(INDEX(CM_PAGASANTES,MATCH($B59,CM_ID,0)),0),"SIM","NAO"))</f>
        <v/>
      </c>
      <c r="K59" s="36" t="n">
        <f aca="false">IF($A59="",0,SUMIFS(L_Valor,L_ParcID,$A59,L_Status,"REALIZADO"))</f>
        <v>0</v>
      </c>
      <c r="L59" s="38" t="str">
        <f aca="false">IF($A59="","",IFERROR(INDEX(L_Data,MATCH(1,INDEX((L_ParcID=$A59)*(L_Status="REALIZADO"),0),0)),""))</f>
        <v/>
      </c>
      <c r="M59" s="34" t="n">
        <f aca="false">IF($A59="",0,COUNTIFS(L_ParcID,$A59,L_Status,"REALIZADO"))</f>
        <v>0</v>
      </c>
      <c r="N59" s="34" t="n">
        <f aca="false">IF($A59="",0,COUNTIFS(L_ParcID,$A59,L_Status,"PROJETADO"))</f>
        <v>0</v>
      </c>
      <c r="O59" s="35" t="str">
        <f aca="false">IF($A59="","",IF($J59="SIM","PAGA",IF($M59&gt;0,"PAGA",IF($D59&lt;CFG_HOJE,"ATRASADA",IF($D59&lt;=EOMONTH(CFG_HOJE,0),"ABERTA","PROJETADA")))))</f>
        <v/>
      </c>
      <c r="P59" s="34" t="n">
        <f aca="false">IF($O59="ATRASADA",CFG_HOJE-$D59,0)</f>
        <v>0</v>
      </c>
      <c r="Q59" s="36" t="n">
        <f aca="false">IF($A59="",0,IF(AND($O59="PAGA",$J59="NAO"),$K59-$E59,0))</f>
        <v>0</v>
      </c>
    </row>
    <row r="60" customFormat="false" ht="15" hidden="false" customHeight="false" outlineLevel="0" collapsed="false">
      <c r="A60" s="30" t="str">
        <f aca="false">IF($B60="","","PAR-"&amp;TEXT(ROW()-4,"000000"))</f>
        <v/>
      </c>
      <c r="B60" s="32"/>
      <c r="C60" s="37"/>
      <c r="D60" s="31"/>
      <c r="E60" s="33"/>
      <c r="F60" s="32"/>
      <c r="G60" s="35" t="str">
        <f aca="false">IF($B60="","",IFERROR(INDEX(CM_NOME,MATCH($B60,CM_ID,0)),"?"))</f>
        <v/>
      </c>
      <c r="H60" s="34" t="str">
        <f aca="false">IF($B60="","",IFERROR(INDEX(CM_QTD,MATCH($B60,CM_ID,0)),""))</f>
        <v/>
      </c>
      <c r="I60" s="35" t="str">
        <f aca="false">IF($A60="","",$C60&amp;"/"&amp;$H60)</f>
        <v/>
      </c>
      <c r="J60" s="35" t="str">
        <f aca="false">IF($A60="","",IF($C60&lt;=IFERROR(INDEX(CM_PAGASANTES,MATCH($B60,CM_ID,0)),0),"SIM","NAO"))</f>
        <v/>
      </c>
      <c r="K60" s="36" t="n">
        <f aca="false">IF($A60="",0,SUMIFS(L_Valor,L_ParcID,$A60,L_Status,"REALIZADO"))</f>
        <v>0</v>
      </c>
      <c r="L60" s="38" t="str">
        <f aca="false">IF($A60="","",IFERROR(INDEX(L_Data,MATCH(1,INDEX((L_ParcID=$A60)*(L_Status="REALIZADO"),0),0)),""))</f>
        <v/>
      </c>
      <c r="M60" s="34" t="n">
        <f aca="false">IF($A60="",0,COUNTIFS(L_ParcID,$A60,L_Status,"REALIZADO"))</f>
        <v>0</v>
      </c>
      <c r="N60" s="34" t="n">
        <f aca="false">IF($A60="",0,COUNTIFS(L_ParcID,$A60,L_Status,"PROJETADO"))</f>
        <v>0</v>
      </c>
      <c r="O60" s="35" t="str">
        <f aca="false">IF($A60="","",IF($J60="SIM","PAGA",IF($M60&gt;0,"PAGA",IF($D60&lt;CFG_HOJE,"ATRASADA",IF($D60&lt;=EOMONTH(CFG_HOJE,0),"ABERTA","PROJETADA")))))</f>
        <v/>
      </c>
      <c r="P60" s="34" t="n">
        <f aca="false">IF($O60="ATRASADA",CFG_HOJE-$D60,0)</f>
        <v>0</v>
      </c>
      <c r="Q60" s="36" t="n">
        <f aca="false">IF($A60="",0,IF(AND($O60="PAGA",$J60="NAO"),$K60-$E60,0))</f>
        <v>0</v>
      </c>
    </row>
    <row r="61" customFormat="false" ht="15" hidden="false" customHeight="false" outlineLevel="0" collapsed="false">
      <c r="A61" s="30" t="str">
        <f aca="false">IF($B61="","","PAR-"&amp;TEXT(ROW()-4,"000000"))</f>
        <v/>
      </c>
      <c r="B61" s="32"/>
      <c r="C61" s="37"/>
      <c r="D61" s="31"/>
      <c r="E61" s="33"/>
      <c r="F61" s="32"/>
      <c r="G61" s="35" t="str">
        <f aca="false">IF($B61="","",IFERROR(INDEX(CM_NOME,MATCH($B61,CM_ID,0)),"?"))</f>
        <v/>
      </c>
      <c r="H61" s="34" t="str">
        <f aca="false">IF($B61="","",IFERROR(INDEX(CM_QTD,MATCH($B61,CM_ID,0)),""))</f>
        <v/>
      </c>
      <c r="I61" s="35" t="str">
        <f aca="false">IF($A61="","",$C61&amp;"/"&amp;$H61)</f>
        <v/>
      </c>
      <c r="J61" s="35" t="str">
        <f aca="false">IF($A61="","",IF($C61&lt;=IFERROR(INDEX(CM_PAGASANTES,MATCH($B61,CM_ID,0)),0),"SIM","NAO"))</f>
        <v/>
      </c>
      <c r="K61" s="36" t="n">
        <f aca="false">IF($A61="",0,SUMIFS(L_Valor,L_ParcID,$A61,L_Status,"REALIZADO"))</f>
        <v>0</v>
      </c>
      <c r="L61" s="38" t="str">
        <f aca="false">IF($A61="","",IFERROR(INDEX(L_Data,MATCH(1,INDEX((L_ParcID=$A61)*(L_Status="REALIZADO"),0),0)),""))</f>
        <v/>
      </c>
      <c r="M61" s="34" t="n">
        <f aca="false">IF($A61="",0,COUNTIFS(L_ParcID,$A61,L_Status,"REALIZADO"))</f>
        <v>0</v>
      </c>
      <c r="N61" s="34" t="n">
        <f aca="false">IF($A61="",0,COUNTIFS(L_ParcID,$A61,L_Status,"PROJETADO"))</f>
        <v>0</v>
      </c>
      <c r="O61" s="35" t="str">
        <f aca="false">IF($A61="","",IF($J61="SIM","PAGA",IF($M61&gt;0,"PAGA",IF($D61&lt;CFG_HOJE,"ATRASADA",IF($D61&lt;=EOMONTH(CFG_HOJE,0),"ABERTA","PROJETADA")))))</f>
        <v/>
      </c>
      <c r="P61" s="34" t="n">
        <f aca="false">IF($O61="ATRASADA",CFG_HOJE-$D61,0)</f>
        <v>0</v>
      </c>
      <c r="Q61" s="36" t="n">
        <f aca="false">IF($A61="",0,IF(AND($O61="PAGA",$J61="NAO"),$K61-$E61,0))</f>
        <v>0</v>
      </c>
    </row>
    <row r="62" customFormat="false" ht="15" hidden="false" customHeight="false" outlineLevel="0" collapsed="false">
      <c r="A62" s="30" t="str">
        <f aca="false">IF($B62="","","PAR-"&amp;TEXT(ROW()-4,"000000"))</f>
        <v/>
      </c>
      <c r="B62" s="32"/>
      <c r="C62" s="37"/>
      <c r="D62" s="31"/>
      <c r="E62" s="33"/>
      <c r="F62" s="32"/>
      <c r="G62" s="35" t="str">
        <f aca="false">IF($B62="","",IFERROR(INDEX(CM_NOME,MATCH($B62,CM_ID,0)),"?"))</f>
        <v/>
      </c>
      <c r="H62" s="34" t="str">
        <f aca="false">IF($B62="","",IFERROR(INDEX(CM_QTD,MATCH($B62,CM_ID,0)),""))</f>
        <v/>
      </c>
      <c r="I62" s="35" t="str">
        <f aca="false">IF($A62="","",$C62&amp;"/"&amp;$H62)</f>
        <v/>
      </c>
      <c r="J62" s="35" t="str">
        <f aca="false">IF($A62="","",IF($C62&lt;=IFERROR(INDEX(CM_PAGASANTES,MATCH($B62,CM_ID,0)),0),"SIM","NAO"))</f>
        <v/>
      </c>
      <c r="K62" s="36" t="n">
        <f aca="false">IF($A62="",0,SUMIFS(L_Valor,L_ParcID,$A62,L_Status,"REALIZADO"))</f>
        <v>0</v>
      </c>
      <c r="L62" s="38" t="str">
        <f aca="false">IF($A62="","",IFERROR(INDEX(L_Data,MATCH(1,INDEX((L_ParcID=$A62)*(L_Status="REALIZADO"),0),0)),""))</f>
        <v/>
      </c>
      <c r="M62" s="34" t="n">
        <f aca="false">IF($A62="",0,COUNTIFS(L_ParcID,$A62,L_Status,"REALIZADO"))</f>
        <v>0</v>
      </c>
      <c r="N62" s="34" t="n">
        <f aca="false">IF($A62="",0,COUNTIFS(L_ParcID,$A62,L_Status,"PROJETADO"))</f>
        <v>0</v>
      </c>
      <c r="O62" s="35" t="str">
        <f aca="false">IF($A62="","",IF($J62="SIM","PAGA",IF($M62&gt;0,"PAGA",IF($D62&lt;CFG_HOJE,"ATRASADA",IF($D62&lt;=EOMONTH(CFG_HOJE,0),"ABERTA","PROJETADA")))))</f>
        <v/>
      </c>
      <c r="P62" s="34" t="n">
        <f aca="false">IF($O62="ATRASADA",CFG_HOJE-$D62,0)</f>
        <v>0</v>
      </c>
      <c r="Q62" s="36" t="n">
        <f aca="false">IF($A62="",0,IF(AND($O62="PAGA",$J62="NAO"),$K62-$E62,0))</f>
        <v>0</v>
      </c>
    </row>
    <row r="63" customFormat="false" ht="15" hidden="false" customHeight="false" outlineLevel="0" collapsed="false">
      <c r="A63" s="30" t="str">
        <f aca="false">IF($B63="","","PAR-"&amp;TEXT(ROW()-4,"000000"))</f>
        <v/>
      </c>
      <c r="B63" s="32"/>
      <c r="C63" s="37"/>
      <c r="D63" s="31"/>
      <c r="E63" s="33"/>
      <c r="F63" s="32"/>
      <c r="G63" s="35" t="str">
        <f aca="false">IF($B63="","",IFERROR(INDEX(CM_NOME,MATCH($B63,CM_ID,0)),"?"))</f>
        <v/>
      </c>
      <c r="H63" s="34" t="str">
        <f aca="false">IF($B63="","",IFERROR(INDEX(CM_QTD,MATCH($B63,CM_ID,0)),""))</f>
        <v/>
      </c>
      <c r="I63" s="35" t="str">
        <f aca="false">IF($A63="","",$C63&amp;"/"&amp;$H63)</f>
        <v/>
      </c>
      <c r="J63" s="35" t="str">
        <f aca="false">IF($A63="","",IF($C63&lt;=IFERROR(INDEX(CM_PAGASANTES,MATCH($B63,CM_ID,0)),0),"SIM","NAO"))</f>
        <v/>
      </c>
      <c r="K63" s="36" t="n">
        <f aca="false">IF($A63="",0,SUMIFS(L_Valor,L_ParcID,$A63,L_Status,"REALIZADO"))</f>
        <v>0</v>
      </c>
      <c r="L63" s="38" t="str">
        <f aca="false">IF($A63="","",IFERROR(INDEX(L_Data,MATCH(1,INDEX((L_ParcID=$A63)*(L_Status="REALIZADO"),0),0)),""))</f>
        <v/>
      </c>
      <c r="M63" s="34" t="n">
        <f aca="false">IF($A63="",0,COUNTIFS(L_ParcID,$A63,L_Status,"REALIZADO"))</f>
        <v>0</v>
      </c>
      <c r="N63" s="34" t="n">
        <f aca="false">IF($A63="",0,COUNTIFS(L_ParcID,$A63,L_Status,"PROJETADO"))</f>
        <v>0</v>
      </c>
      <c r="O63" s="35" t="str">
        <f aca="false">IF($A63="","",IF($J63="SIM","PAGA",IF($M63&gt;0,"PAGA",IF($D63&lt;CFG_HOJE,"ATRASADA",IF($D63&lt;=EOMONTH(CFG_HOJE,0),"ABERTA","PROJETADA")))))</f>
        <v/>
      </c>
      <c r="P63" s="34" t="n">
        <f aca="false">IF($O63="ATRASADA",CFG_HOJE-$D63,0)</f>
        <v>0</v>
      </c>
      <c r="Q63" s="36" t="n">
        <f aca="false">IF($A63="",0,IF(AND($O63="PAGA",$J63="NAO"),$K63-$E63,0))</f>
        <v>0</v>
      </c>
    </row>
    <row r="64" customFormat="false" ht="15" hidden="false" customHeight="false" outlineLevel="0" collapsed="false">
      <c r="A64" s="30" t="str">
        <f aca="false">IF($B64="","","PAR-"&amp;TEXT(ROW()-4,"000000"))</f>
        <v/>
      </c>
      <c r="B64" s="32"/>
      <c r="C64" s="37"/>
      <c r="D64" s="31"/>
      <c r="E64" s="33"/>
      <c r="F64" s="32"/>
      <c r="G64" s="35" t="str">
        <f aca="false">IF($B64="","",IFERROR(INDEX(CM_NOME,MATCH($B64,CM_ID,0)),"?"))</f>
        <v/>
      </c>
      <c r="H64" s="34" t="str">
        <f aca="false">IF($B64="","",IFERROR(INDEX(CM_QTD,MATCH($B64,CM_ID,0)),""))</f>
        <v/>
      </c>
      <c r="I64" s="35" t="str">
        <f aca="false">IF($A64="","",$C64&amp;"/"&amp;$H64)</f>
        <v/>
      </c>
      <c r="J64" s="35" t="str">
        <f aca="false">IF($A64="","",IF($C64&lt;=IFERROR(INDEX(CM_PAGASANTES,MATCH($B64,CM_ID,0)),0),"SIM","NAO"))</f>
        <v/>
      </c>
      <c r="K64" s="36" t="n">
        <f aca="false">IF($A64="",0,SUMIFS(L_Valor,L_ParcID,$A64,L_Status,"REALIZADO"))</f>
        <v>0</v>
      </c>
      <c r="L64" s="38" t="str">
        <f aca="false">IF($A64="","",IFERROR(INDEX(L_Data,MATCH(1,INDEX((L_ParcID=$A64)*(L_Status="REALIZADO"),0),0)),""))</f>
        <v/>
      </c>
      <c r="M64" s="34" t="n">
        <f aca="false">IF($A64="",0,COUNTIFS(L_ParcID,$A64,L_Status,"REALIZADO"))</f>
        <v>0</v>
      </c>
      <c r="N64" s="34" t="n">
        <f aca="false">IF($A64="",0,COUNTIFS(L_ParcID,$A64,L_Status,"PROJETADO"))</f>
        <v>0</v>
      </c>
      <c r="O64" s="35" t="str">
        <f aca="false">IF($A64="","",IF($J64="SIM","PAGA",IF($M64&gt;0,"PAGA",IF($D64&lt;CFG_HOJE,"ATRASADA",IF($D64&lt;=EOMONTH(CFG_HOJE,0),"ABERTA","PROJETADA")))))</f>
        <v/>
      </c>
      <c r="P64" s="34" t="n">
        <f aca="false">IF($O64="ATRASADA",CFG_HOJE-$D64,0)</f>
        <v>0</v>
      </c>
      <c r="Q64" s="36" t="n">
        <f aca="false">IF($A64="",0,IF(AND($O64="PAGA",$J64="NAO"),$K64-$E64,0))</f>
        <v>0</v>
      </c>
    </row>
    <row r="65" customFormat="false" ht="15" hidden="false" customHeight="false" outlineLevel="0" collapsed="false">
      <c r="A65" s="30" t="str">
        <f aca="false">IF($B65="","","PAR-"&amp;TEXT(ROW()-4,"000000"))</f>
        <v/>
      </c>
      <c r="B65" s="32"/>
      <c r="C65" s="37"/>
      <c r="D65" s="31"/>
      <c r="E65" s="33"/>
      <c r="F65" s="32"/>
      <c r="G65" s="35" t="str">
        <f aca="false">IF($B65="","",IFERROR(INDEX(CM_NOME,MATCH($B65,CM_ID,0)),"?"))</f>
        <v/>
      </c>
      <c r="H65" s="34" t="str">
        <f aca="false">IF($B65="","",IFERROR(INDEX(CM_QTD,MATCH($B65,CM_ID,0)),""))</f>
        <v/>
      </c>
      <c r="I65" s="35" t="str">
        <f aca="false">IF($A65="","",$C65&amp;"/"&amp;$H65)</f>
        <v/>
      </c>
      <c r="J65" s="35" t="str">
        <f aca="false">IF($A65="","",IF($C65&lt;=IFERROR(INDEX(CM_PAGASANTES,MATCH($B65,CM_ID,0)),0),"SIM","NAO"))</f>
        <v/>
      </c>
      <c r="K65" s="36" t="n">
        <f aca="false">IF($A65="",0,SUMIFS(L_Valor,L_ParcID,$A65,L_Status,"REALIZADO"))</f>
        <v>0</v>
      </c>
      <c r="L65" s="38" t="str">
        <f aca="false">IF($A65="","",IFERROR(INDEX(L_Data,MATCH(1,INDEX((L_ParcID=$A65)*(L_Status="REALIZADO"),0),0)),""))</f>
        <v/>
      </c>
      <c r="M65" s="34" t="n">
        <f aca="false">IF($A65="",0,COUNTIFS(L_ParcID,$A65,L_Status,"REALIZADO"))</f>
        <v>0</v>
      </c>
      <c r="N65" s="34" t="n">
        <f aca="false">IF($A65="",0,COUNTIFS(L_ParcID,$A65,L_Status,"PROJETADO"))</f>
        <v>0</v>
      </c>
      <c r="O65" s="35" t="str">
        <f aca="false">IF($A65="","",IF($J65="SIM","PAGA",IF($M65&gt;0,"PAGA",IF($D65&lt;CFG_HOJE,"ATRASADA",IF($D65&lt;=EOMONTH(CFG_HOJE,0),"ABERTA","PROJETADA")))))</f>
        <v/>
      </c>
      <c r="P65" s="34" t="n">
        <f aca="false">IF($O65="ATRASADA",CFG_HOJE-$D65,0)</f>
        <v>0</v>
      </c>
      <c r="Q65" s="36" t="n">
        <f aca="false">IF($A65="",0,IF(AND($O65="PAGA",$J65="NAO"),$K65-$E65,0))</f>
        <v>0</v>
      </c>
    </row>
    <row r="66" customFormat="false" ht="15" hidden="false" customHeight="false" outlineLevel="0" collapsed="false">
      <c r="A66" s="30" t="str">
        <f aca="false">IF($B66="","","PAR-"&amp;TEXT(ROW()-4,"000000"))</f>
        <v/>
      </c>
      <c r="B66" s="32"/>
      <c r="C66" s="37"/>
      <c r="D66" s="31"/>
      <c r="E66" s="33"/>
      <c r="F66" s="32"/>
      <c r="G66" s="35" t="str">
        <f aca="false">IF($B66="","",IFERROR(INDEX(CM_NOME,MATCH($B66,CM_ID,0)),"?"))</f>
        <v/>
      </c>
      <c r="H66" s="34" t="str">
        <f aca="false">IF($B66="","",IFERROR(INDEX(CM_QTD,MATCH($B66,CM_ID,0)),""))</f>
        <v/>
      </c>
      <c r="I66" s="35" t="str">
        <f aca="false">IF($A66="","",$C66&amp;"/"&amp;$H66)</f>
        <v/>
      </c>
      <c r="J66" s="35" t="str">
        <f aca="false">IF($A66="","",IF($C66&lt;=IFERROR(INDEX(CM_PAGASANTES,MATCH($B66,CM_ID,0)),0),"SIM","NAO"))</f>
        <v/>
      </c>
      <c r="K66" s="36" t="n">
        <f aca="false">IF($A66="",0,SUMIFS(L_Valor,L_ParcID,$A66,L_Status,"REALIZADO"))</f>
        <v>0</v>
      </c>
      <c r="L66" s="38" t="str">
        <f aca="false">IF($A66="","",IFERROR(INDEX(L_Data,MATCH(1,INDEX((L_ParcID=$A66)*(L_Status="REALIZADO"),0),0)),""))</f>
        <v/>
      </c>
      <c r="M66" s="34" t="n">
        <f aca="false">IF($A66="",0,COUNTIFS(L_ParcID,$A66,L_Status,"REALIZADO"))</f>
        <v>0</v>
      </c>
      <c r="N66" s="34" t="n">
        <f aca="false">IF($A66="",0,COUNTIFS(L_ParcID,$A66,L_Status,"PROJETADO"))</f>
        <v>0</v>
      </c>
      <c r="O66" s="35" t="str">
        <f aca="false">IF($A66="","",IF($J66="SIM","PAGA",IF($M66&gt;0,"PAGA",IF($D66&lt;CFG_HOJE,"ATRASADA",IF($D66&lt;=EOMONTH(CFG_HOJE,0),"ABERTA","PROJETADA")))))</f>
        <v/>
      </c>
      <c r="P66" s="34" t="n">
        <f aca="false">IF($O66="ATRASADA",CFG_HOJE-$D66,0)</f>
        <v>0</v>
      </c>
      <c r="Q66" s="36" t="n">
        <f aca="false">IF($A66="",0,IF(AND($O66="PAGA",$J66="NAO"),$K66-$E66,0))</f>
        <v>0</v>
      </c>
    </row>
    <row r="67" customFormat="false" ht="15" hidden="false" customHeight="false" outlineLevel="0" collapsed="false">
      <c r="A67" s="30" t="str">
        <f aca="false">IF($B67="","","PAR-"&amp;TEXT(ROW()-4,"000000"))</f>
        <v/>
      </c>
      <c r="B67" s="32"/>
      <c r="C67" s="37"/>
      <c r="D67" s="31"/>
      <c r="E67" s="33"/>
      <c r="F67" s="32"/>
      <c r="G67" s="35" t="str">
        <f aca="false">IF($B67="","",IFERROR(INDEX(CM_NOME,MATCH($B67,CM_ID,0)),"?"))</f>
        <v/>
      </c>
      <c r="H67" s="34" t="str">
        <f aca="false">IF($B67="","",IFERROR(INDEX(CM_QTD,MATCH($B67,CM_ID,0)),""))</f>
        <v/>
      </c>
      <c r="I67" s="35" t="str">
        <f aca="false">IF($A67="","",$C67&amp;"/"&amp;$H67)</f>
        <v/>
      </c>
      <c r="J67" s="35" t="str">
        <f aca="false">IF($A67="","",IF($C67&lt;=IFERROR(INDEX(CM_PAGASANTES,MATCH($B67,CM_ID,0)),0),"SIM","NAO"))</f>
        <v/>
      </c>
      <c r="K67" s="36" t="n">
        <f aca="false">IF($A67="",0,SUMIFS(L_Valor,L_ParcID,$A67,L_Status,"REALIZADO"))</f>
        <v>0</v>
      </c>
      <c r="L67" s="38" t="str">
        <f aca="false">IF($A67="","",IFERROR(INDEX(L_Data,MATCH(1,INDEX((L_ParcID=$A67)*(L_Status="REALIZADO"),0),0)),""))</f>
        <v/>
      </c>
      <c r="M67" s="34" t="n">
        <f aca="false">IF($A67="",0,COUNTIFS(L_ParcID,$A67,L_Status,"REALIZADO"))</f>
        <v>0</v>
      </c>
      <c r="N67" s="34" t="n">
        <f aca="false">IF($A67="",0,COUNTIFS(L_ParcID,$A67,L_Status,"PROJETADO"))</f>
        <v>0</v>
      </c>
      <c r="O67" s="35" t="str">
        <f aca="false">IF($A67="","",IF($J67="SIM","PAGA",IF($M67&gt;0,"PAGA",IF($D67&lt;CFG_HOJE,"ATRASADA",IF($D67&lt;=EOMONTH(CFG_HOJE,0),"ABERTA","PROJETADA")))))</f>
        <v/>
      </c>
      <c r="P67" s="34" t="n">
        <f aca="false">IF($O67="ATRASADA",CFG_HOJE-$D67,0)</f>
        <v>0</v>
      </c>
      <c r="Q67" s="36" t="n">
        <f aca="false">IF($A67="",0,IF(AND($O67="PAGA",$J67="NAO"),$K67-$E67,0))</f>
        <v>0</v>
      </c>
    </row>
    <row r="68" customFormat="false" ht="15" hidden="false" customHeight="false" outlineLevel="0" collapsed="false">
      <c r="A68" s="30" t="str">
        <f aca="false">IF($B68="","","PAR-"&amp;TEXT(ROW()-4,"000000"))</f>
        <v/>
      </c>
      <c r="B68" s="32"/>
      <c r="C68" s="37"/>
      <c r="D68" s="31"/>
      <c r="E68" s="33"/>
      <c r="F68" s="32"/>
      <c r="G68" s="35" t="str">
        <f aca="false">IF($B68="","",IFERROR(INDEX(CM_NOME,MATCH($B68,CM_ID,0)),"?"))</f>
        <v/>
      </c>
      <c r="H68" s="34" t="str">
        <f aca="false">IF($B68="","",IFERROR(INDEX(CM_QTD,MATCH($B68,CM_ID,0)),""))</f>
        <v/>
      </c>
      <c r="I68" s="35" t="str">
        <f aca="false">IF($A68="","",$C68&amp;"/"&amp;$H68)</f>
        <v/>
      </c>
      <c r="J68" s="35" t="str">
        <f aca="false">IF($A68="","",IF($C68&lt;=IFERROR(INDEX(CM_PAGASANTES,MATCH($B68,CM_ID,0)),0),"SIM","NAO"))</f>
        <v/>
      </c>
      <c r="K68" s="36" t="n">
        <f aca="false">IF($A68="",0,SUMIFS(L_Valor,L_ParcID,$A68,L_Status,"REALIZADO"))</f>
        <v>0</v>
      </c>
      <c r="L68" s="38" t="str">
        <f aca="false">IF($A68="","",IFERROR(INDEX(L_Data,MATCH(1,INDEX((L_ParcID=$A68)*(L_Status="REALIZADO"),0),0)),""))</f>
        <v/>
      </c>
      <c r="M68" s="34" t="n">
        <f aca="false">IF($A68="",0,COUNTIFS(L_ParcID,$A68,L_Status,"REALIZADO"))</f>
        <v>0</v>
      </c>
      <c r="N68" s="34" t="n">
        <f aca="false">IF($A68="",0,COUNTIFS(L_ParcID,$A68,L_Status,"PROJETADO"))</f>
        <v>0</v>
      </c>
      <c r="O68" s="35" t="str">
        <f aca="false">IF($A68="","",IF($J68="SIM","PAGA",IF($M68&gt;0,"PAGA",IF($D68&lt;CFG_HOJE,"ATRASADA",IF($D68&lt;=EOMONTH(CFG_HOJE,0),"ABERTA","PROJETADA")))))</f>
        <v/>
      </c>
      <c r="P68" s="34" t="n">
        <f aca="false">IF($O68="ATRASADA",CFG_HOJE-$D68,0)</f>
        <v>0</v>
      </c>
      <c r="Q68" s="36" t="n">
        <f aca="false">IF($A68="",0,IF(AND($O68="PAGA",$J68="NAO"),$K68-$E68,0))</f>
        <v>0</v>
      </c>
    </row>
    <row r="69" customFormat="false" ht="15" hidden="false" customHeight="false" outlineLevel="0" collapsed="false">
      <c r="A69" s="30" t="str">
        <f aca="false">IF($B69="","","PAR-"&amp;TEXT(ROW()-4,"000000"))</f>
        <v/>
      </c>
      <c r="B69" s="32"/>
      <c r="C69" s="37"/>
      <c r="D69" s="31"/>
      <c r="E69" s="33"/>
      <c r="F69" s="32"/>
      <c r="G69" s="35" t="str">
        <f aca="false">IF($B69="","",IFERROR(INDEX(CM_NOME,MATCH($B69,CM_ID,0)),"?"))</f>
        <v/>
      </c>
      <c r="H69" s="34" t="str">
        <f aca="false">IF($B69="","",IFERROR(INDEX(CM_QTD,MATCH($B69,CM_ID,0)),""))</f>
        <v/>
      </c>
      <c r="I69" s="35" t="str">
        <f aca="false">IF($A69="","",$C69&amp;"/"&amp;$H69)</f>
        <v/>
      </c>
      <c r="J69" s="35" t="str">
        <f aca="false">IF($A69="","",IF($C69&lt;=IFERROR(INDEX(CM_PAGASANTES,MATCH($B69,CM_ID,0)),0),"SIM","NAO"))</f>
        <v/>
      </c>
      <c r="K69" s="36" t="n">
        <f aca="false">IF($A69="",0,SUMIFS(L_Valor,L_ParcID,$A69,L_Status,"REALIZADO"))</f>
        <v>0</v>
      </c>
      <c r="L69" s="38" t="str">
        <f aca="false">IF($A69="","",IFERROR(INDEX(L_Data,MATCH(1,INDEX((L_ParcID=$A69)*(L_Status="REALIZADO"),0),0)),""))</f>
        <v/>
      </c>
      <c r="M69" s="34" t="n">
        <f aca="false">IF($A69="",0,COUNTIFS(L_ParcID,$A69,L_Status,"REALIZADO"))</f>
        <v>0</v>
      </c>
      <c r="N69" s="34" t="n">
        <f aca="false">IF($A69="",0,COUNTIFS(L_ParcID,$A69,L_Status,"PROJETADO"))</f>
        <v>0</v>
      </c>
      <c r="O69" s="35" t="str">
        <f aca="false">IF($A69="","",IF($J69="SIM","PAGA",IF($M69&gt;0,"PAGA",IF($D69&lt;CFG_HOJE,"ATRASADA",IF($D69&lt;=EOMONTH(CFG_HOJE,0),"ABERTA","PROJETADA")))))</f>
        <v/>
      </c>
      <c r="P69" s="34" t="n">
        <f aca="false">IF($O69="ATRASADA",CFG_HOJE-$D69,0)</f>
        <v>0</v>
      </c>
      <c r="Q69" s="36" t="n">
        <f aca="false">IF($A69="",0,IF(AND($O69="PAGA",$J69="NAO"),$K69-$E69,0))</f>
        <v>0</v>
      </c>
    </row>
    <row r="70" customFormat="false" ht="15" hidden="false" customHeight="false" outlineLevel="0" collapsed="false">
      <c r="A70" s="30" t="str">
        <f aca="false">IF($B70="","","PAR-"&amp;TEXT(ROW()-4,"000000"))</f>
        <v/>
      </c>
      <c r="B70" s="32"/>
      <c r="C70" s="37"/>
      <c r="D70" s="31"/>
      <c r="E70" s="33"/>
      <c r="F70" s="32"/>
      <c r="G70" s="35" t="str">
        <f aca="false">IF($B70="","",IFERROR(INDEX(CM_NOME,MATCH($B70,CM_ID,0)),"?"))</f>
        <v/>
      </c>
      <c r="H70" s="34" t="str">
        <f aca="false">IF($B70="","",IFERROR(INDEX(CM_QTD,MATCH($B70,CM_ID,0)),""))</f>
        <v/>
      </c>
      <c r="I70" s="35" t="str">
        <f aca="false">IF($A70="","",$C70&amp;"/"&amp;$H70)</f>
        <v/>
      </c>
      <c r="J70" s="35" t="str">
        <f aca="false">IF($A70="","",IF($C70&lt;=IFERROR(INDEX(CM_PAGASANTES,MATCH($B70,CM_ID,0)),0),"SIM","NAO"))</f>
        <v/>
      </c>
      <c r="K70" s="36" t="n">
        <f aca="false">IF($A70="",0,SUMIFS(L_Valor,L_ParcID,$A70,L_Status,"REALIZADO"))</f>
        <v>0</v>
      </c>
      <c r="L70" s="38" t="str">
        <f aca="false">IF($A70="","",IFERROR(INDEX(L_Data,MATCH(1,INDEX((L_ParcID=$A70)*(L_Status="REALIZADO"),0),0)),""))</f>
        <v/>
      </c>
      <c r="M70" s="34" t="n">
        <f aca="false">IF($A70="",0,COUNTIFS(L_ParcID,$A70,L_Status,"REALIZADO"))</f>
        <v>0</v>
      </c>
      <c r="N70" s="34" t="n">
        <f aca="false">IF($A70="",0,COUNTIFS(L_ParcID,$A70,L_Status,"PROJETADO"))</f>
        <v>0</v>
      </c>
      <c r="O70" s="35" t="str">
        <f aca="false">IF($A70="","",IF($J70="SIM","PAGA",IF($M70&gt;0,"PAGA",IF($D70&lt;CFG_HOJE,"ATRASADA",IF($D70&lt;=EOMONTH(CFG_HOJE,0),"ABERTA","PROJETADA")))))</f>
        <v/>
      </c>
      <c r="P70" s="34" t="n">
        <f aca="false">IF($O70="ATRASADA",CFG_HOJE-$D70,0)</f>
        <v>0</v>
      </c>
      <c r="Q70" s="36" t="n">
        <f aca="false">IF($A70="",0,IF(AND($O70="PAGA",$J70="NAO"),$K70-$E70,0))</f>
        <v>0</v>
      </c>
    </row>
    <row r="71" customFormat="false" ht="15" hidden="false" customHeight="false" outlineLevel="0" collapsed="false">
      <c r="A71" s="30" t="str">
        <f aca="false">IF($B71="","","PAR-"&amp;TEXT(ROW()-4,"000000"))</f>
        <v/>
      </c>
      <c r="B71" s="32"/>
      <c r="C71" s="37"/>
      <c r="D71" s="31"/>
      <c r="E71" s="33"/>
      <c r="F71" s="32"/>
      <c r="G71" s="35" t="str">
        <f aca="false">IF($B71="","",IFERROR(INDEX(CM_NOME,MATCH($B71,CM_ID,0)),"?"))</f>
        <v/>
      </c>
      <c r="H71" s="34" t="str">
        <f aca="false">IF($B71="","",IFERROR(INDEX(CM_QTD,MATCH($B71,CM_ID,0)),""))</f>
        <v/>
      </c>
      <c r="I71" s="35" t="str">
        <f aca="false">IF($A71="","",$C71&amp;"/"&amp;$H71)</f>
        <v/>
      </c>
      <c r="J71" s="35" t="str">
        <f aca="false">IF($A71="","",IF($C71&lt;=IFERROR(INDEX(CM_PAGASANTES,MATCH($B71,CM_ID,0)),0),"SIM","NAO"))</f>
        <v/>
      </c>
      <c r="K71" s="36" t="n">
        <f aca="false">IF($A71="",0,SUMIFS(L_Valor,L_ParcID,$A71,L_Status,"REALIZADO"))</f>
        <v>0</v>
      </c>
      <c r="L71" s="38" t="str">
        <f aca="false">IF($A71="","",IFERROR(INDEX(L_Data,MATCH(1,INDEX((L_ParcID=$A71)*(L_Status="REALIZADO"),0),0)),""))</f>
        <v/>
      </c>
      <c r="M71" s="34" t="n">
        <f aca="false">IF($A71="",0,COUNTIFS(L_ParcID,$A71,L_Status,"REALIZADO"))</f>
        <v>0</v>
      </c>
      <c r="N71" s="34" t="n">
        <f aca="false">IF($A71="",0,COUNTIFS(L_ParcID,$A71,L_Status,"PROJETADO"))</f>
        <v>0</v>
      </c>
      <c r="O71" s="35" t="str">
        <f aca="false">IF($A71="","",IF($J71="SIM","PAGA",IF($M71&gt;0,"PAGA",IF($D71&lt;CFG_HOJE,"ATRASADA",IF($D71&lt;=EOMONTH(CFG_HOJE,0),"ABERTA","PROJETADA")))))</f>
        <v/>
      </c>
      <c r="P71" s="34" t="n">
        <f aca="false">IF($O71="ATRASADA",CFG_HOJE-$D71,0)</f>
        <v>0</v>
      </c>
      <c r="Q71" s="36" t="n">
        <f aca="false">IF($A71="",0,IF(AND($O71="PAGA",$J71="NAO"),$K71-$E71,0))</f>
        <v>0</v>
      </c>
    </row>
    <row r="72" customFormat="false" ht="15" hidden="false" customHeight="false" outlineLevel="0" collapsed="false">
      <c r="A72" s="30" t="str">
        <f aca="false">IF($B72="","","PAR-"&amp;TEXT(ROW()-4,"000000"))</f>
        <v/>
      </c>
      <c r="B72" s="32"/>
      <c r="C72" s="37"/>
      <c r="D72" s="31"/>
      <c r="E72" s="33"/>
      <c r="F72" s="32"/>
      <c r="G72" s="35" t="str">
        <f aca="false">IF($B72="","",IFERROR(INDEX(CM_NOME,MATCH($B72,CM_ID,0)),"?"))</f>
        <v/>
      </c>
      <c r="H72" s="34" t="str">
        <f aca="false">IF($B72="","",IFERROR(INDEX(CM_QTD,MATCH($B72,CM_ID,0)),""))</f>
        <v/>
      </c>
      <c r="I72" s="35" t="str">
        <f aca="false">IF($A72="","",$C72&amp;"/"&amp;$H72)</f>
        <v/>
      </c>
      <c r="J72" s="35" t="str">
        <f aca="false">IF($A72="","",IF($C72&lt;=IFERROR(INDEX(CM_PAGASANTES,MATCH($B72,CM_ID,0)),0),"SIM","NAO"))</f>
        <v/>
      </c>
      <c r="K72" s="36" t="n">
        <f aca="false">IF($A72="",0,SUMIFS(L_Valor,L_ParcID,$A72,L_Status,"REALIZADO"))</f>
        <v>0</v>
      </c>
      <c r="L72" s="38" t="str">
        <f aca="false">IF($A72="","",IFERROR(INDEX(L_Data,MATCH(1,INDEX((L_ParcID=$A72)*(L_Status="REALIZADO"),0),0)),""))</f>
        <v/>
      </c>
      <c r="M72" s="34" t="n">
        <f aca="false">IF($A72="",0,COUNTIFS(L_ParcID,$A72,L_Status,"REALIZADO"))</f>
        <v>0</v>
      </c>
      <c r="N72" s="34" t="n">
        <f aca="false">IF($A72="",0,COUNTIFS(L_ParcID,$A72,L_Status,"PROJETADO"))</f>
        <v>0</v>
      </c>
      <c r="O72" s="35" t="str">
        <f aca="false">IF($A72="","",IF($J72="SIM","PAGA",IF($M72&gt;0,"PAGA",IF($D72&lt;CFG_HOJE,"ATRASADA",IF($D72&lt;=EOMONTH(CFG_HOJE,0),"ABERTA","PROJETADA")))))</f>
        <v/>
      </c>
      <c r="P72" s="34" t="n">
        <f aca="false">IF($O72="ATRASADA",CFG_HOJE-$D72,0)</f>
        <v>0</v>
      </c>
      <c r="Q72" s="36" t="n">
        <f aca="false">IF($A72="",0,IF(AND($O72="PAGA",$J72="NAO"),$K72-$E72,0))</f>
        <v>0</v>
      </c>
    </row>
    <row r="73" customFormat="false" ht="15" hidden="false" customHeight="false" outlineLevel="0" collapsed="false">
      <c r="A73" s="30" t="str">
        <f aca="false">IF($B73="","","PAR-"&amp;TEXT(ROW()-4,"000000"))</f>
        <v/>
      </c>
      <c r="B73" s="32"/>
      <c r="C73" s="37"/>
      <c r="D73" s="31"/>
      <c r="E73" s="33"/>
      <c r="F73" s="32"/>
      <c r="G73" s="35" t="str">
        <f aca="false">IF($B73="","",IFERROR(INDEX(CM_NOME,MATCH($B73,CM_ID,0)),"?"))</f>
        <v/>
      </c>
      <c r="H73" s="34" t="str">
        <f aca="false">IF($B73="","",IFERROR(INDEX(CM_QTD,MATCH($B73,CM_ID,0)),""))</f>
        <v/>
      </c>
      <c r="I73" s="35" t="str">
        <f aca="false">IF($A73="","",$C73&amp;"/"&amp;$H73)</f>
        <v/>
      </c>
      <c r="J73" s="35" t="str">
        <f aca="false">IF($A73="","",IF($C73&lt;=IFERROR(INDEX(CM_PAGASANTES,MATCH($B73,CM_ID,0)),0),"SIM","NAO"))</f>
        <v/>
      </c>
      <c r="K73" s="36" t="n">
        <f aca="false">IF($A73="",0,SUMIFS(L_Valor,L_ParcID,$A73,L_Status,"REALIZADO"))</f>
        <v>0</v>
      </c>
      <c r="L73" s="38" t="str">
        <f aca="false">IF($A73="","",IFERROR(INDEX(L_Data,MATCH(1,INDEX((L_ParcID=$A73)*(L_Status="REALIZADO"),0),0)),""))</f>
        <v/>
      </c>
      <c r="M73" s="34" t="n">
        <f aca="false">IF($A73="",0,COUNTIFS(L_ParcID,$A73,L_Status,"REALIZADO"))</f>
        <v>0</v>
      </c>
      <c r="N73" s="34" t="n">
        <f aca="false">IF($A73="",0,COUNTIFS(L_ParcID,$A73,L_Status,"PROJETADO"))</f>
        <v>0</v>
      </c>
      <c r="O73" s="35" t="str">
        <f aca="false">IF($A73="","",IF($J73="SIM","PAGA",IF($M73&gt;0,"PAGA",IF($D73&lt;CFG_HOJE,"ATRASADA",IF($D73&lt;=EOMONTH(CFG_HOJE,0),"ABERTA","PROJETADA")))))</f>
        <v/>
      </c>
      <c r="P73" s="34" t="n">
        <f aca="false">IF($O73="ATRASADA",CFG_HOJE-$D73,0)</f>
        <v>0</v>
      </c>
      <c r="Q73" s="36" t="n">
        <f aca="false">IF($A73="",0,IF(AND($O73="PAGA",$J73="NAO"),$K73-$E73,0))</f>
        <v>0</v>
      </c>
    </row>
    <row r="74" customFormat="false" ht="15" hidden="false" customHeight="false" outlineLevel="0" collapsed="false">
      <c r="A74" s="30" t="str">
        <f aca="false">IF($B74="","","PAR-"&amp;TEXT(ROW()-4,"000000"))</f>
        <v/>
      </c>
      <c r="B74" s="32"/>
      <c r="C74" s="37"/>
      <c r="D74" s="31"/>
      <c r="E74" s="33"/>
      <c r="F74" s="32"/>
      <c r="G74" s="35" t="str">
        <f aca="false">IF($B74="","",IFERROR(INDEX(CM_NOME,MATCH($B74,CM_ID,0)),"?"))</f>
        <v/>
      </c>
      <c r="H74" s="34" t="str">
        <f aca="false">IF($B74="","",IFERROR(INDEX(CM_QTD,MATCH($B74,CM_ID,0)),""))</f>
        <v/>
      </c>
      <c r="I74" s="35" t="str">
        <f aca="false">IF($A74="","",$C74&amp;"/"&amp;$H74)</f>
        <v/>
      </c>
      <c r="J74" s="35" t="str">
        <f aca="false">IF($A74="","",IF($C74&lt;=IFERROR(INDEX(CM_PAGASANTES,MATCH($B74,CM_ID,0)),0),"SIM","NAO"))</f>
        <v/>
      </c>
      <c r="K74" s="36" t="n">
        <f aca="false">IF($A74="",0,SUMIFS(L_Valor,L_ParcID,$A74,L_Status,"REALIZADO"))</f>
        <v>0</v>
      </c>
      <c r="L74" s="38" t="str">
        <f aca="false">IF($A74="","",IFERROR(INDEX(L_Data,MATCH(1,INDEX((L_ParcID=$A74)*(L_Status="REALIZADO"),0),0)),""))</f>
        <v/>
      </c>
      <c r="M74" s="34" t="n">
        <f aca="false">IF($A74="",0,COUNTIFS(L_ParcID,$A74,L_Status,"REALIZADO"))</f>
        <v>0</v>
      </c>
      <c r="N74" s="34" t="n">
        <f aca="false">IF($A74="",0,COUNTIFS(L_ParcID,$A74,L_Status,"PROJETADO"))</f>
        <v>0</v>
      </c>
      <c r="O74" s="35" t="str">
        <f aca="false">IF($A74="","",IF($J74="SIM","PAGA",IF($M74&gt;0,"PAGA",IF($D74&lt;CFG_HOJE,"ATRASADA",IF($D74&lt;=EOMONTH(CFG_HOJE,0),"ABERTA","PROJETADA")))))</f>
        <v/>
      </c>
      <c r="P74" s="34" t="n">
        <f aca="false">IF($O74="ATRASADA",CFG_HOJE-$D74,0)</f>
        <v>0</v>
      </c>
      <c r="Q74" s="36" t="n">
        <f aca="false">IF($A74="",0,IF(AND($O74="PAGA",$J74="NAO"),$K74-$E74,0))</f>
        <v>0</v>
      </c>
    </row>
    <row r="75" customFormat="false" ht="15" hidden="false" customHeight="false" outlineLevel="0" collapsed="false">
      <c r="A75" s="30" t="str">
        <f aca="false">IF($B75="","","PAR-"&amp;TEXT(ROW()-4,"000000"))</f>
        <v/>
      </c>
      <c r="B75" s="32"/>
      <c r="C75" s="37"/>
      <c r="D75" s="31"/>
      <c r="E75" s="33"/>
      <c r="F75" s="32"/>
      <c r="G75" s="35" t="str">
        <f aca="false">IF($B75="","",IFERROR(INDEX(CM_NOME,MATCH($B75,CM_ID,0)),"?"))</f>
        <v/>
      </c>
      <c r="H75" s="34" t="str">
        <f aca="false">IF($B75="","",IFERROR(INDEX(CM_QTD,MATCH($B75,CM_ID,0)),""))</f>
        <v/>
      </c>
      <c r="I75" s="35" t="str">
        <f aca="false">IF($A75="","",$C75&amp;"/"&amp;$H75)</f>
        <v/>
      </c>
      <c r="J75" s="35" t="str">
        <f aca="false">IF($A75="","",IF($C75&lt;=IFERROR(INDEX(CM_PAGASANTES,MATCH($B75,CM_ID,0)),0),"SIM","NAO"))</f>
        <v/>
      </c>
      <c r="K75" s="36" t="n">
        <f aca="false">IF($A75="",0,SUMIFS(L_Valor,L_ParcID,$A75,L_Status,"REALIZADO"))</f>
        <v>0</v>
      </c>
      <c r="L75" s="38" t="str">
        <f aca="false">IF($A75="","",IFERROR(INDEX(L_Data,MATCH(1,INDEX((L_ParcID=$A75)*(L_Status="REALIZADO"),0),0)),""))</f>
        <v/>
      </c>
      <c r="M75" s="34" t="n">
        <f aca="false">IF($A75="",0,COUNTIFS(L_ParcID,$A75,L_Status,"REALIZADO"))</f>
        <v>0</v>
      </c>
      <c r="N75" s="34" t="n">
        <f aca="false">IF($A75="",0,COUNTIFS(L_ParcID,$A75,L_Status,"PROJETADO"))</f>
        <v>0</v>
      </c>
      <c r="O75" s="35" t="str">
        <f aca="false">IF($A75="","",IF($J75="SIM","PAGA",IF($M75&gt;0,"PAGA",IF($D75&lt;CFG_HOJE,"ATRASADA",IF($D75&lt;=EOMONTH(CFG_HOJE,0),"ABERTA","PROJETADA")))))</f>
        <v/>
      </c>
      <c r="P75" s="34" t="n">
        <f aca="false">IF($O75="ATRASADA",CFG_HOJE-$D75,0)</f>
        <v>0</v>
      </c>
      <c r="Q75" s="36" t="n">
        <f aca="false">IF($A75="",0,IF(AND($O75="PAGA",$J75="NAO"),$K75-$E75,0))</f>
        <v>0</v>
      </c>
    </row>
    <row r="76" customFormat="false" ht="15" hidden="false" customHeight="false" outlineLevel="0" collapsed="false">
      <c r="A76" s="30" t="str">
        <f aca="false">IF($B76="","","PAR-"&amp;TEXT(ROW()-4,"000000"))</f>
        <v/>
      </c>
      <c r="B76" s="32"/>
      <c r="C76" s="37"/>
      <c r="D76" s="31"/>
      <c r="E76" s="33"/>
      <c r="F76" s="32"/>
      <c r="G76" s="35" t="str">
        <f aca="false">IF($B76="","",IFERROR(INDEX(CM_NOME,MATCH($B76,CM_ID,0)),"?"))</f>
        <v/>
      </c>
      <c r="H76" s="34" t="str">
        <f aca="false">IF($B76="","",IFERROR(INDEX(CM_QTD,MATCH($B76,CM_ID,0)),""))</f>
        <v/>
      </c>
      <c r="I76" s="35" t="str">
        <f aca="false">IF($A76="","",$C76&amp;"/"&amp;$H76)</f>
        <v/>
      </c>
      <c r="J76" s="35" t="str">
        <f aca="false">IF($A76="","",IF($C76&lt;=IFERROR(INDEX(CM_PAGASANTES,MATCH($B76,CM_ID,0)),0),"SIM","NAO"))</f>
        <v/>
      </c>
      <c r="K76" s="36" t="n">
        <f aca="false">IF($A76="",0,SUMIFS(L_Valor,L_ParcID,$A76,L_Status,"REALIZADO"))</f>
        <v>0</v>
      </c>
      <c r="L76" s="38" t="str">
        <f aca="false">IF($A76="","",IFERROR(INDEX(L_Data,MATCH(1,INDEX((L_ParcID=$A76)*(L_Status="REALIZADO"),0),0)),""))</f>
        <v/>
      </c>
      <c r="M76" s="34" t="n">
        <f aca="false">IF($A76="",0,COUNTIFS(L_ParcID,$A76,L_Status,"REALIZADO"))</f>
        <v>0</v>
      </c>
      <c r="N76" s="34" t="n">
        <f aca="false">IF($A76="",0,COUNTIFS(L_ParcID,$A76,L_Status,"PROJETADO"))</f>
        <v>0</v>
      </c>
      <c r="O76" s="35" t="str">
        <f aca="false">IF($A76="","",IF($J76="SIM","PAGA",IF($M76&gt;0,"PAGA",IF($D76&lt;CFG_HOJE,"ATRASADA",IF($D76&lt;=EOMONTH(CFG_HOJE,0),"ABERTA","PROJETADA")))))</f>
        <v/>
      </c>
      <c r="P76" s="34" t="n">
        <f aca="false">IF($O76="ATRASADA",CFG_HOJE-$D76,0)</f>
        <v>0</v>
      </c>
      <c r="Q76" s="36" t="n">
        <f aca="false">IF($A76="",0,IF(AND($O76="PAGA",$J76="NAO"),$K76-$E76,0))</f>
        <v>0</v>
      </c>
    </row>
    <row r="77" customFormat="false" ht="15" hidden="false" customHeight="false" outlineLevel="0" collapsed="false">
      <c r="A77" s="30" t="str">
        <f aca="false">IF($B77="","","PAR-"&amp;TEXT(ROW()-4,"000000"))</f>
        <v/>
      </c>
      <c r="B77" s="32"/>
      <c r="C77" s="37"/>
      <c r="D77" s="31"/>
      <c r="E77" s="33"/>
      <c r="F77" s="32"/>
      <c r="G77" s="35" t="str">
        <f aca="false">IF($B77="","",IFERROR(INDEX(CM_NOME,MATCH($B77,CM_ID,0)),"?"))</f>
        <v/>
      </c>
      <c r="H77" s="34" t="str">
        <f aca="false">IF($B77="","",IFERROR(INDEX(CM_QTD,MATCH($B77,CM_ID,0)),""))</f>
        <v/>
      </c>
      <c r="I77" s="35" t="str">
        <f aca="false">IF($A77="","",$C77&amp;"/"&amp;$H77)</f>
        <v/>
      </c>
      <c r="J77" s="35" t="str">
        <f aca="false">IF($A77="","",IF($C77&lt;=IFERROR(INDEX(CM_PAGASANTES,MATCH($B77,CM_ID,0)),0),"SIM","NAO"))</f>
        <v/>
      </c>
      <c r="K77" s="36" t="n">
        <f aca="false">IF($A77="",0,SUMIFS(L_Valor,L_ParcID,$A77,L_Status,"REALIZADO"))</f>
        <v>0</v>
      </c>
      <c r="L77" s="38" t="str">
        <f aca="false">IF($A77="","",IFERROR(INDEX(L_Data,MATCH(1,INDEX((L_ParcID=$A77)*(L_Status="REALIZADO"),0),0)),""))</f>
        <v/>
      </c>
      <c r="M77" s="34" t="n">
        <f aca="false">IF($A77="",0,COUNTIFS(L_ParcID,$A77,L_Status,"REALIZADO"))</f>
        <v>0</v>
      </c>
      <c r="N77" s="34" t="n">
        <f aca="false">IF($A77="",0,COUNTIFS(L_ParcID,$A77,L_Status,"PROJETADO"))</f>
        <v>0</v>
      </c>
      <c r="O77" s="35" t="str">
        <f aca="false">IF($A77="","",IF($J77="SIM","PAGA",IF($M77&gt;0,"PAGA",IF($D77&lt;CFG_HOJE,"ATRASADA",IF($D77&lt;=EOMONTH(CFG_HOJE,0),"ABERTA","PROJETADA")))))</f>
        <v/>
      </c>
      <c r="P77" s="34" t="n">
        <f aca="false">IF($O77="ATRASADA",CFG_HOJE-$D77,0)</f>
        <v>0</v>
      </c>
      <c r="Q77" s="36" t="n">
        <f aca="false">IF($A77="",0,IF(AND($O77="PAGA",$J77="NAO"),$K77-$E77,0))</f>
        <v>0</v>
      </c>
    </row>
    <row r="78" customFormat="false" ht="15" hidden="false" customHeight="false" outlineLevel="0" collapsed="false">
      <c r="A78" s="30" t="str">
        <f aca="false">IF($B78="","","PAR-"&amp;TEXT(ROW()-4,"000000"))</f>
        <v/>
      </c>
      <c r="B78" s="32"/>
      <c r="C78" s="37"/>
      <c r="D78" s="31"/>
      <c r="E78" s="33"/>
      <c r="F78" s="32"/>
      <c r="G78" s="35" t="str">
        <f aca="false">IF($B78="","",IFERROR(INDEX(CM_NOME,MATCH($B78,CM_ID,0)),"?"))</f>
        <v/>
      </c>
      <c r="H78" s="34" t="str">
        <f aca="false">IF($B78="","",IFERROR(INDEX(CM_QTD,MATCH($B78,CM_ID,0)),""))</f>
        <v/>
      </c>
      <c r="I78" s="35" t="str">
        <f aca="false">IF($A78="","",$C78&amp;"/"&amp;$H78)</f>
        <v/>
      </c>
      <c r="J78" s="35" t="str">
        <f aca="false">IF($A78="","",IF($C78&lt;=IFERROR(INDEX(CM_PAGASANTES,MATCH($B78,CM_ID,0)),0),"SIM","NAO"))</f>
        <v/>
      </c>
      <c r="K78" s="36" t="n">
        <f aca="false">IF($A78="",0,SUMIFS(L_Valor,L_ParcID,$A78,L_Status,"REALIZADO"))</f>
        <v>0</v>
      </c>
      <c r="L78" s="38" t="str">
        <f aca="false">IF($A78="","",IFERROR(INDEX(L_Data,MATCH(1,INDEX((L_ParcID=$A78)*(L_Status="REALIZADO"),0),0)),""))</f>
        <v/>
      </c>
      <c r="M78" s="34" t="n">
        <f aca="false">IF($A78="",0,COUNTIFS(L_ParcID,$A78,L_Status,"REALIZADO"))</f>
        <v>0</v>
      </c>
      <c r="N78" s="34" t="n">
        <f aca="false">IF($A78="",0,COUNTIFS(L_ParcID,$A78,L_Status,"PROJETADO"))</f>
        <v>0</v>
      </c>
      <c r="O78" s="35" t="str">
        <f aca="false">IF($A78="","",IF($J78="SIM","PAGA",IF($M78&gt;0,"PAGA",IF($D78&lt;CFG_HOJE,"ATRASADA",IF($D78&lt;=EOMONTH(CFG_HOJE,0),"ABERTA","PROJETADA")))))</f>
        <v/>
      </c>
      <c r="P78" s="34" t="n">
        <f aca="false">IF($O78="ATRASADA",CFG_HOJE-$D78,0)</f>
        <v>0</v>
      </c>
      <c r="Q78" s="36" t="n">
        <f aca="false">IF($A78="",0,IF(AND($O78="PAGA",$J78="NAO"),$K78-$E78,0))</f>
        <v>0</v>
      </c>
    </row>
    <row r="79" customFormat="false" ht="15" hidden="false" customHeight="false" outlineLevel="0" collapsed="false">
      <c r="A79" s="30" t="str">
        <f aca="false">IF($B79="","","PAR-"&amp;TEXT(ROW()-4,"000000"))</f>
        <v/>
      </c>
      <c r="B79" s="32"/>
      <c r="C79" s="37"/>
      <c r="D79" s="31"/>
      <c r="E79" s="33"/>
      <c r="F79" s="32"/>
      <c r="G79" s="35" t="str">
        <f aca="false">IF($B79="","",IFERROR(INDEX(CM_NOME,MATCH($B79,CM_ID,0)),"?"))</f>
        <v/>
      </c>
      <c r="H79" s="34" t="str">
        <f aca="false">IF($B79="","",IFERROR(INDEX(CM_QTD,MATCH($B79,CM_ID,0)),""))</f>
        <v/>
      </c>
      <c r="I79" s="35" t="str">
        <f aca="false">IF($A79="","",$C79&amp;"/"&amp;$H79)</f>
        <v/>
      </c>
      <c r="J79" s="35" t="str">
        <f aca="false">IF($A79="","",IF($C79&lt;=IFERROR(INDEX(CM_PAGASANTES,MATCH($B79,CM_ID,0)),0),"SIM","NAO"))</f>
        <v/>
      </c>
      <c r="K79" s="36" t="n">
        <f aca="false">IF($A79="",0,SUMIFS(L_Valor,L_ParcID,$A79,L_Status,"REALIZADO"))</f>
        <v>0</v>
      </c>
      <c r="L79" s="38" t="str">
        <f aca="false">IF($A79="","",IFERROR(INDEX(L_Data,MATCH(1,INDEX((L_ParcID=$A79)*(L_Status="REALIZADO"),0),0)),""))</f>
        <v/>
      </c>
      <c r="M79" s="34" t="n">
        <f aca="false">IF($A79="",0,COUNTIFS(L_ParcID,$A79,L_Status,"REALIZADO"))</f>
        <v>0</v>
      </c>
      <c r="N79" s="34" t="n">
        <f aca="false">IF($A79="",0,COUNTIFS(L_ParcID,$A79,L_Status,"PROJETADO"))</f>
        <v>0</v>
      </c>
      <c r="O79" s="35" t="str">
        <f aca="false">IF($A79="","",IF($J79="SIM","PAGA",IF($M79&gt;0,"PAGA",IF($D79&lt;CFG_HOJE,"ATRASADA",IF($D79&lt;=EOMONTH(CFG_HOJE,0),"ABERTA","PROJETADA")))))</f>
        <v/>
      </c>
      <c r="P79" s="34" t="n">
        <f aca="false">IF($O79="ATRASADA",CFG_HOJE-$D79,0)</f>
        <v>0</v>
      </c>
      <c r="Q79" s="36" t="n">
        <f aca="false">IF($A79="",0,IF(AND($O79="PAGA",$J79="NAO"),$K79-$E79,0))</f>
        <v>0</v>
      </c>
    </row>
    <row r="80" customFormat="false" ht="15" hidden="false" customHeight="false" outlineLevel="0" collapsed="false">
      <c r="A80" s="30" t="str">
        <f aca="false">IF($B80="","","PAR-"&amp;TEXT(ROW()-4,"000000"))</f>
        <v/>
      </c>
      <c r="B80" s="32"/>
      <c r="C80" s="37"/>
      <c r="D80" s="31"/>
      <c r="E80" s="33"/>
      <c r="F80" s="32"/>
      <c r="G80" s="35" t="str">
        <f aca="false">IF($B80="","",IFERROR(INDEX(CM_NOME,MATCH($B80,CM_ID,0)),"?"))</f>
        <v/>
      </c>
      <c r="H80" s="34" t="str">
        <f aca="false">IF($B80="","",IFERROR(INDEX(CM_QTD,MATCH($B80,CM_ID,0)),""))</f>
        <v/>
      </c>
      <c r="I80" s="35" t="str">
        <f aca="false">IF($A80="","",$C80&amp;"/"&amp;$H80)</f>
        <v/>
      </c>
      <c r="J80" s="35" t="str">
        <f aca="false">IF($A80="","",IF($C80&lt;=IFERROR(INDEX(CM_PAGASANTES,MATCH($B80,CM_ID,0)),0),"SIM","NAO"))</f>
        <v/>
      </c>
      <c r="K80" s="36" t="n">
        <f aca="false">IF($A80="",0,SUMIFS(L_Valor,L_ParcID,$A80,L_Status,"REALIZADO"))</f>
        <v>0</v>
      </c>
      <c r="L80" s="38" t="str">
        <f aca="false">IF($A80="","",IFERROR(INDEX(L_Data,MATCH(1,INDEX((L_ParcID=$A80)*(L_Status="REALIZADO"),0),0)),""))</f>
        <v/>
      </c>
      <c r="M80" s="34" t="n">
        <f aca="false">IF($A80="",0,COUNTIFS(L_ParcID,$A80,L_Status,"REALIZADO"))</f>
        <v>0</v>
      </c>
      <c r="N80" s="34" t="n">
        <f aca="false">IF($A80="",0,COUNTIFS(L_ParcID,$A80,L_Status,"PROJETADO"))</f>
        <v>0</v>
      </c>
      <c r="O80" s="35" t="str">
        <f aca="false">IF($A80="","",IF($J80="SIM","PAGA",IF($M80&gt;0,"PAGA",IF($D80&lt;CFG_HOJE,"ATRASADA",IF($D80&lt;=EOMONTH(CFG_HOJE,0),"ABERTA","PROJETADA")))))</f>
        <v/>
      </c>
      <c r="P80" s="34" t="n">
        <f aca="false">IF($O80="ATRASADA",CFG_HOJE-$D80,0)</f>
        <v>0</v>
      </c>
      <c r="Q80" s="36" t="n">
        <f aca="false">IF($A80="",0,IF(AND($O80="PAGA",$J80="NAO"),$K80-$E80,0))</f>
        <v>0</v>
      </c>
    </row>
    <row r="81" customFormat="false" ht="15" hidden="false" customHeight="false" outlineLevel="0" collapsed="false">
      <c r="A81" s="30" t="str">
        <f aca="false">IF($B81="","","PAR-"&amp;TEXT(ROW()-4,"000000"))</f>
        <v/>
      </c>
      <c r="B81" s="32"/>
      <c r="C81" s="37"/>
      <c r="D81" s="31"/>
      <c r="E81" s="33"/>
      <c r="F81" s="32"/>
      <c r="G81" s="35" t="str">
        <f aca="false">IF($B81="","",IFERROR(INDEX(CM_NOME,MATCH($B81,CM_ID,0)),"?"))</f>
        <v/>
      </c>
      <c r="H81" s="34" t="str">
        <f aca="false">IF($B81="","",IFERROR(INDEX(CM_QTD,MATCH($B81,CM_ID,0)),""))</f>
        <v/>
      </c>
      <c r="I81" s="35" t="str">
        <f aca="false">IF($A81="","",$C81&amp;"/"&amp;$H81)</f>
        <v/>
      </c>
      <c r="J81" s="35" t="str">
        <f aca="false">IF($A81="","",IF($C81&lt;=IFERROR(INDEX(CM_PAGASANTES,MATCH($B81,CM_ID,0)),0),"SIM","NAO"))</f>
        <v/>
      </c>
      <c r="K81" s="36" t="n">
        <f aca="false">IF($A81="",0,SUMIFS(L_Valor,L_ParcID,$A81,L_Status,"REALIZADO"))</f>
        <v>0</v>
      </c>
      <c r="L81" s="38" t="str">
        <f aca="false">IF($A81="","",IFERROR(INDEX(L_Data,MATCH(1,INDEX((L_ParcID=$A81)*(L_Status="REALIZADO"),0),0)),""))</f>
        <v/>
      </c>
      <c r="M81" s="34" t="n">
        <f aca="false">IF($A81="",0,COUNTIFS(L_ParcID,$A81,L_Status,"REALIZADO"))</f>
        <v>0</v>
      </c>
      <c r="N81" s="34" t="n">
        <f aca="false">IF($A81="",0,COUNTIFS(L_ParcID,$A81,L_Status,"PROJETADO"))</f>
        <v>0</v>
      </c>
      <c r="O81" s="35" t="str">
        <f aca="false">IF($A81="","",IF($J81="SIM","PAGA",IF($M81&gt;0,"PAGA",IF($D81&lt;CFG_HOJE,"ATRASADA",IF($D81&lt;=EOMONTH(CFG_HOJE,0),"ABERTA","PROJETADA")))))</f>
        <v/>
      </c>
      <c r="P81" s="34" t="n">
        <f aca="false">IF($O81="ATRASADA",CFG_HOJE-$D81,0)</f>
        <v>0</v>
      </c>
      <c r="Q81" s="36" t="n">
        <f aca="false">IF($A81="",0,IF(AND($O81="PAGA",$J81="NAO"),$K81-$E81,0))</f>
        <v>0</v>
      </c>
    </row>
    <row r="82" customFormat="false" ht="15" hidden="false" customHeight="false" outlineLevel="0" collapsed="false">
      <c r="A82" s="30" t="str">
        <f aca="false">IF($B82="","","PAR-"&amp;TEXT(ROW()-4,"000000"))</f>
        <v/>
      </c>
      <c r="B82" s="32"/>
      <c r="C82" s="37"/>
      <c r="D82" s="31"/>
      <c r="E82" s="33"/>
      <c r="F82" s="32"/>
      <c r="G82" s="35" t="str">
        <f aca="false">IF($B82="","",IFERROR(INDEX(CM_NOME,MATCH($B82,CM_ID,0)),"?"))</f>
        <v/>
      </c>
      <c r="H82" s="34" t="str">
        <f aca="false">IF($B82="","",IFERROR(INDEX(CM_QTD,MATCH($B82,CM_ID,0)),""))</f>
        <v/>
      </c>
      <c r="I82" s="35" t="str">
        <f aca="false">IF($A82="","",$C82&amp;"/"&amp;$H82)</f>
        <v/>
      </c>
      <c r="J82" s="35" t="str">
        <f aca="false">IF($A82="","",IF($C82&lt;=IFERROR(INDEX(CM_PAGASANTES,MATCH($B82,CM_ID,0)),0),"SIM","NAO"))</f>
        <v/>
      </c>
      <c r="K82" s="36" t="n">
        <f aca="false">IF($A82="",0,SUMIFS(L_Valor,L_ParcID,$A82,L_Status,"REALIZADO"))</f>
        <v>0</v>
      </c>
      <c r="L82" s="38" t="str">
        <f aca="false">IF($A82="","",IFERROR(INDEX(L_Data,MATCH(1,INDEX((L_ParcID=$A82)*(L_Status="REALIZADO"),0),0)),""))</f>
        <v/>
      </c>
      <c r="M82" s="34" t="n">
        <f aca="false">IF($A82="",0,COUNTIFS(L_ParcID,$A82,L_Status,"REALIZADO"))</f>
        <v>0</v>
      </c>
      <c r="N82" s="34" t="n">
        <f aca="false">IF($A82="",0,COUNTIFS(L_ParcID,$A82,L_Status,"PROJETADO"))</f>
        <v>0</v>
      </c>
      <c r="O82" s="35" t="str">
        <f aca="false">IF($A82="","",IF($J82="SIM","PAGA",IF($M82&gt;0,"PAGA",IF($D82&lt;CFG_HOJE,"ATRASADA",IF($D82&lt;=EOMONTH(CFG_HOJE,0),"ABERTA","PROJETADA")))))</f>
        <v/>
      </c>
      <c r="P82" s="34" t="n">
        <f aca="false">IF($O82="ATRASADA",CFG_HOJE-$D82,0)</f>
        <v>0</v>
      </c>
      <c r="Q82" s="36" t="n">
        <f aca="false">IF($A82="",0,IF(AND($O82="PAGA",$J82="NAO"),$K82-$E82,0))</f>
        <v>0</v>
      </c>
    </row>
    <row r="83" customFormat="false" ht="15" hidden="false" customHeight="false" outlineLevel="0" collapsed="false">
      <c r="A83" s="30" t="str">
        <f aca="false">IF($B83="","","PAR-"&amp;TEXT(ROW()-4,"000000"))</f>
        <v/>
      </c>
      <c r="B83" s="32"/>
      <c r="C83" s="37"/>
      <c r="D83" s="31"/>
      <c r="E83" s="33"/>
      <c r="F83" s="32"/>
      <c r="G83" s="35" t="str">
        <f aca="false">IF($B83="","",IFERROR(INDEX(CM_NOME,MATCH($B83,CM_ID,0)),"?"))</f>
        <v/>
      </c>
      <c r="H83" s="34" t="str">
        <f aca="false">IF($B83="","",IFERROR(INDEX(CM_QTD,MATCH($B83,CM_ID,0)),""))</f>
        <v/>
      </c>
      <c r="I83" s="35" t="str">
        <f aca="false">IF($A83="","",$C83&amp;"/"&amp;$H83)</f>
        <v/>
      </c>
      <c r="J83" s="35" t="str">
        <f aca="false">IF($A83="","",IF($C83&lt;=IFERROR(INDEX(CM_PAGASANTES,MATCH($B83,CM_ID,0)),0),"SIM","NAO"))</f>
        <v/>
      </c>
      <c r="K83" s="36" t="n">
        <f aca="false">IF($A83="",0,SUMIFS(L_Valor,L_ParcID,$A83,L_Status,"REALIZADO"))</f>
        <v>0</v>
      </c>
      <c r="L83" s="38" t="str">
        <f aca="false">IF($A83="","",IFERROR(INDEX(L_Data,MATCH(1,INDEX((L_ParcID=$A83)*(L_Status="REALIZADO"),0),0)),""))</f>
        <v/>
      </c>
      <c r="M83" s="34" t="n">
        <f aca="false">IF($A83="",0,COUNTIFS(L_ParcID,$A83,L_Status,"REALIZADO"))</f>
        <v>0</v>
      </c>
      <c r="N83" s="34" t="n">
        <f aca="false">IF($A83="",0,COUNTIFS(L_ParcID,$A83,L_Status,"PROJETADO"))</f>
        <v>0</v>
      </c>
      <c r="O83" s="35" t="str">
        <f aca="false">IF($A83="","",IF($J83="SIM","PAGA",IF($M83&gt;0,"PAGA",IF($D83&lt;CFG_HOJE,"ATRASADA",IF($D83&lt;=EOMONTH(CFG_HOJE,0),"ABERTA","PROJETADA")))))</f>
        <v/>
      </c>
      <c r="P83" s="34" t="n">
        <f aca="false">IF($O83="ATRASADA",CFG_HOJE-$D83,0)</f>
        <v>0</v>
      </c>
      <c r="Q83" s="36" t="n">
        <f aca="false">IF($A83="",0,IF(AND($O83="PAGA",$J83="NAO"),$K83-$E83,0))</f>
        <v>0</v>
      </c>
    </row>
    <row r="84" customFormat="false" ht="15" hidden="false" customHeight="false" outlineLevel="0" collapsed="false">
      <c r="A84" s="30" t="str">
        <f aca="false">IF($B84="","","PAR-"&amp;TEXT(ROW()-4,"000000"))</f>
        <v/>
      </c>
      <c r="B84" s="32"/>
      <c r="C84" s="37"/>
      <c r="D84" s="31"/>
      <c r="E84" s="33"/>
      <c r="F84" s="32"/>
      <c r="G84" s="35" t="str">
        <f aca="false">IF($B84="","",IFERROR(INDEX(CM_NOME,MATCH($B84,CM_ID,0)),"?"))</f>
        <v/>
      </c>
      <c r="H84" s="34" t="str">
        <f aca="false">IF($B84="","",IFERROR(INDEX(CM_QTD,MATCH($B84,CM_ID,0)),""))</f>
        <v/>
      </c>
      <c r="I84" s="35" t="str">
        <f aca="false">IF($A84="","",$C84&amp;"/"&amp;$H84)</f>
        <v/>
      </c>
      <c r="J84" s="35" t="str">
        <f aca="false">IF($A84="","",IF($C84&lt;=IFERROR(INDEX(CM_PAGASANTES,MATCH($B84,CM_ID,0)),0),"SIM","NAO"))</f>
        <v/>
      </c>
      <c r="K84" s="36" t="n">
        <f aca="false">IF($A84="",0,SUMIFS(L_Valor,L_ParcID,$A84,L_Status,"REALIZADO"))</f>
        <v>0</v>
      </c>
      <c r="L84" s="38" t="str">
        <f aca="false">IF($A84="","",IFERROR(INDEX(L_Data,MATCH(1,INDEX((L_ParcID=$A84)*(L_Status="REALIZADO"),0),0)),""))</f>
        <v/>
      </c>
      <c r="M84" s="34" t="n">
        <f aca="false">IF($A84="",0,COUNTIFS(L_ParcID,$A84,L_Status,"REALIZADO"))</f>
        <v>0</v>
      </c>
      <c r="N84" s="34" t="n">
        <f aca="false">IF($A84="",0,COUNTIFS(L_ParcID,$A84,L_Status,"PROJETADO"))</f>
        <v>0</v>
      </c>
      <c r="O84" s="35" t="str">
        <f aca="false">IF($A84="","",IF($J84="SIM","PAGA",IF($M84&gt;0,"PAGA",IF($D84&lt;CFG_HOJE,"ATRASADA",IF($D84&lt;=EOMONTH(CFG_HOJE,0),"ABERTA","PROJETADA")))))</f>
        <v/>
      </c>
      <c r="P84" s="34" t="n">
        <f aca="false">IF($O84="ATRASADA",CFG_HOJE-$D84,0)</f>
        <v>0</v>
      </c>
      <c r="Q84" s="36" t="n">
        <f aca="false">IF($A84="",0,IF(AND($O84="PAGA",$J84="NAO"),$K84-$E84,0))</f>
        <v>0</v>
      </c>
    </row>
    <row r="85" customFormat="false" ht="15" hidden="false" customHeight="false" outlineLevel="0" collapsed="false">
      <c r="A85" s="30" t="str">
        <f aca="false">IF($B85="","","PAR-"&amp;TEXT(ROW()-4,"000000"))</f>
        <v/>
      </c>
      <c r="B85" s="32"/>
      <c r="C85" s="37"/>
      <c r="D85" s="31"/>
      <c r="E85" s="33"/>
      <c r="F85" s="32"/>
      <c r="G85" s="35" t="str">
        <f aca="false">IF($B85="","",IFERROR(INDEX(CM_NOME,MATCH($B85,CM_ID,0)),"?"))</f>
        <v/>
      </c>
      <c r="H85" s="34" t="str">
        <f aca="false">IF($B85="","",IFERROR(INDEX(CM_QTD,MATCH($B85,CM_ID,0)),""))</f>
        <v/>
      </c>
      <c r="I85" s="35" t="str">
        <f aca="false">IF($A85="","",$C85&amp;"/"&amp;$H85)</f>
        <v/>
      </c>
      <c r="J85" s="35" t="str">
        <f aca="false">IF($A85="","",IF($C85&lt;=IFERROR(INDEX(CM_PAGASANTES,MATCH($B85,CM_ID,0)),0),"SIM","NAO"))</f>
        <v/>
      </c>
      <c r="K85" s="36" t="n">
        <f aca="false">IF($A85="",0,SUMIFS(L_Valor,L_ParcID,$A85,L_Status,"REALIZADO"))</f>
        <v>0</v>
      </c>
      <c r="L85" s="38" t="str">
        <f aca="false">IF($A85="","",IFERROR(INDEX(L_Data,MATCH(1,INDEX((L_ParcID=$A85)*(L_Status="REALIZADO"),0),0)),""))</f>
        <v/>
      </c>
      <c r="M85" s="34" t="n">
        <f aca="false">IF($A85="",0,COUNTIFS(L_ParcID,$A85,L_Status,"REALIZADO"))</f>
        <v>0</v>
      </c>
      <c r="N85" s="34" t="n">
        <f aca="false">IF($A85="",0,COUNTIFS(L_ParcID,$A85,L_Status,"PROJETADO"))</f>
        <v>0</v>
      </c>
      <c r="O85" s="35" t="str">
        <f aca="false">IF($A85="","",IF($J85="SIM","PAGA",IF($M85&gt;0,"PAGA",IF($D85&lt;CFG_HOJE,"ATRASADA",IF($D85&lt;=EOMONTH(CFG_HOJE,0),"ABERTA","PROJETADA")))))</f>
        <v/>
      </c>
      <c r="P85" s="34" t="n">
        <f aca="false">IF($O85="ATRASADA",CFG_HOJE-$D85,0)</f>
        <v>0</v>
      </c>
      <c r="Q85" s="36" t="n">
        <f aca="false">IF($A85="",0,IF(AND($O85="PAGA",$J85="NAO"),$K85-$E85,0))</f>
        <v>0</v>
      </c>
    </row>
    <row r="86" customFormat="false" ht="15" hidden="false" customHeight="false" outlineLevel="0" collapsed="false">
      <c r="A86" s="30" t="str">
        <f aca="false">IF($B86="","","PAR-"&amp;TEXT(ROW()-4,"000000"))</f>
        <v/>
      </c>
      <c r="B86" s="32"/>
      <c r="C86" s="37"/>
      <c r="D86" s="31"/>
      <c r="E86" s="33"/>
      <c r="F86" s="32"/>
      <c r="G86" s="35" t="str">
        <f aca="false">IF($B86="","",IFERROR(INDEX(CM_NOME,MATCH($B86,CM_ID,0)),"?"))</f>
        <v/>
      </c>
      <c r="H86" s="34" t="str">
        <f aca="false">IF($B86="","",IFERROR(INDEX(CM_QTD,MATCH($B86,CM_ID,0)),""))</f>
        <v/>
      </c>
      <c r="I86" s="35" t="str">
        <f aca="false">IF($A86="","",$C86&amp;"/"&amp;$H86)</f>
        <v/>
      </c>
      <c r="J86" s="35" t="str">
        <f aca="false">IF($A86="","",IF($C86&lt;=IFERROR(INDEX(CM_PAGASANTES,MATCH($B86,CM_ID,0)),0),"SIM","NAO"))</f>
        <v/>
      </c>
      <c r="K86" s="36" t="n">
        <f aca="false">IF($A86="",0,SUMIFS(L_Valor,L_ParcID,$A86,L_Status,"REALIZADO"))</f>
        <v>0</v>
      </c>
      <c r="L86" s="38" t="str">
        <f aca="false">IF($A86="","",IFERROR(INDEX(L_Data,MATCH(1,INDEX((L_ParcID=$A86)*(L_Status="REALIZADO"),0),0)),""))</f>
        <v/>
      </c>
      <c r="M86" s="34" t="n">
        <f aca="false">IF($A86="",0,COUNTIFS(L_ParcID,$A86,L_Status,"REALIZADO"))</f>
        <v>0</v>
      </c>
      <c r="N86" s="34" t="n">
        <f aca="false">IF($A86="",0,COUNTIFS(L_ParcID,$A86,L_Status,"PROJETADO"))</f>
        <v>0</v>
      </c>
      <c r="O86" s="35" t="str">
        <f aca="false">IF($A86="","",IF($J86="SIM","PAGA",IF($M86&gt;0,"PAGA",IF($D86&lt;CFG_HOJE,"ATRASADA",IF($D86&lt;=EOMONTH(CFG_HOJE,0),"ABERTA","PROJETADA")))))</f>
        <v/>
      </c>
      <c r="P86" s="34" t="n">
        <f aca="false">IF($O86="ATRASADA",CFG_HOJE-$D86,0)</f>
        <v>0</v>
      </c>
      <c r="Q86" s="36" t="n">
        <f aca="false">IF($A86="",0,IF(AND($O86="PAGA",$J86="NAO"),$K86-$E86,0))</f>
        <v>0</v>
      </c>
    </row>
    <row r="87" customFormat="false" ht="15" hidden="false" customHeight="false" outlineLevel="0" collapsed="false">
      <c r="A87" s="30" t="str">
        <f aca="false">IF($B87="","","PAR-"&amp;TEXT(ROW()-4,"000000"))</f>
        <v/>
      </c>
      <c r="B87" s="32"/>
      <c r="C87" s="37"/>
      <c r="D87" s="31"/>
      <c r="E87" s="33"/>
      <c r="F87" s="32"/>
      <c r="G87" s="35" t="str">
        <f aca="false">IF($B87="","",IFERROR(INDEX(CM_NOME,MATCH($B87,CM_ID,0)),"?"))</f>
        <v/>
      </c>
      <c r="H87" s="34" t="str">
        <f aca="false">IF($B87="","",IFERROR(INDEX(CM_QTD,MATCH($B87,CM_ID,0)),""))</f>
        <v/>
      </c>
      <c r="I87" s="35" t="str">
        <f aca="false">IF($A87="","",$C87&amp;"/"&amp;$H87)</f>
        <v/>
      </c>
      <c r="J87" s="35" t="str">
        <f aca="false">IF($A87="","",IF($C87&lt;=IFERROR(INDEX(CM_PAGASANTES,MATCH($B87,CM_ID,0)),0),"SIM","NAO"))</f>
        <v/>
      </c>
      <c r="K87" s="36" t="n">
        <f aca="false">IF($A87="",0,SUMIFS(L_Valor,L_ParcID,$A87,L_Status,"REALIZADO"))</f>
        <v>0</v>
      </c>
      <c r="L87" s="38" t="str">
        <f aca="false">IF($A87="","",IFERROR(INDEX(L_Data,MATCH(1,INDEX((L_ParcID=$A87)*(L_Status="REALIZADO"),0),0)),""))</f>
        <v/>
      </c>
      <c r="M87" s="34" t="n">
        <f aca="false">IF($A87="",0,COUNTIFS(L_ParcID,$A87,L_Status,"REALIZADO"))</f>
        <v>0</v>
      </c>
      <c r="N87" s="34" t="n">
        <f aca="false">IF($A87="",0,COUNTIFS(L_ParcID,$A87,L_Status,"PROJETADO"))</f>
        <v>0</v>
      </c>
      <c r="O87" s="35" t="str">
        <f aca="false">IF($A87="","",IF($J87="SIM","PAGA",IF($M87&gt;0,"PAGA",IF($D87&lt;CFG_HOJE,"ATRASADA",IF($D87&lt;=EOMONTH(CFG_HOJE,0),"ABERTA","PROJETADA")))))</f>
        <v/>
      </c>
      <c r="P87" s="34" t="n">
        <f aca="false">IF($O87="ATRASADA",CFG_HOJE-$D87,0)</f>
        <v>0</v>
      </c>
      <c r="Q87" s="36" t="n">
        <f aca="false">IF($A87="",0,IF(AND($O87="PAGA",$J87="NAO"),$K87-$E87,0))</f>
        <v>0</v>
      </c>
    </row>
    <row r="88" customFormat="false" ht="15" hidden="false" customHeight="false" outlineLevel="0" collapsed="false">
      <c r="A88" s="30" t="str">
        <f aca="false">IF($B88="","","PAR-"&amp;TEXT(ROW()-4,"000000"))</f>
        <v/>
      </c>
      <c r="B88" s="32"/>
      <c r="C88" s="37"/>
      <c r="D88" s="31"/>
      <c r="E88" s="33"/>
      <c r="F88" s="32"/>
      <c r="G88" s="35" t="str">
        <f aca="false">IF($B88="","",IFERROR(INDEX(CM_NOME,MATCH($B88,CM_ID,0)),"?"))</f>
        <v/>
      </c>
      <c r="H88" s="34" t="str">
        <f aca="false">IF($B88="","",IFERROR(INDEX(CM_QTD,MATCH($B88,CM_ID,0)),""))</f>
        <v/>
      </c>
      <c r="I88" s="35" t="str">
        <f aca="false">IF($A88="","",$C88&amp;"/"&amp;$H88)</f>
        <v/>
      </c>
      <c r="J88" s="35" t="str">
        <f aca="false">IF($A88="","",IF($C88&lt;=IFERROR(INDEX(CM_PAGASANTES,MATCH($B88,CM_ID,0)),0),"SIM","NAO"))</f>
        <v/>
      </c>
      <c r="K88" s="36" t="n">
        <f aca="false">IF($A88="",0,SUMIFS(L_Valor,L_ParcID,$A88,L_Status,"REALIZADO"))</f>
        <v>0</v>
      </c>
      <c r="L88" s="38" t="str">
        <f aca="false">IF($A88="","",IFERROR(INDEX(L_Data,MATCH(1,INDEX((L_ParcID=$A88)*(L_Status="REALIZADO"),0),0)),""))</f>
        <v/>
      </c>
      <c r="M88" s="34" t="n">
        <f aca="false">IF($A88="",0,COUNTIFS(L_ParcID,$A88,L_Status,"REALIZADO"))</f>
        <v>0</v>
      </c>
      <c r="N88" s="34" t="n">
        <f aca="false">IF($A88="",0,COUNTIFS(L_ParcID,$A88,L_Status,"PROJETADO"))</f>
        <v>0</v>
      </c>
      <c r="O88" s="35" t="str">
        <f aca="false">IF($A88="","",IF($J88="SIM","PAGA",IF($M88&gt;0,"PAGA",IF($D88&lt;CFG_HOJE,"ATRASADA",IF($D88&lt;=EOMONTH(CFG_HOJE,0),"ABERTA","PROJETADA")))))</f>
        <v/>
      </c>
      <c r="P88" s="34" t="n">
        <f aca="false">IF($O88="ATRASADA",CFG_HOJE-$D88,0)</f>
        <v>0</v>
      </c>
      <c r="Q88" s="36" t="n">
        <f aca="false">IF($A88="",0,IF(AND($O88="PAGA",$J88="NAO"),$K88-$E88,0))</f>
        <v>0</v>
      </c>
    </row>
    <row r="89" customFormat="false" ht="15" hidden="false" customHeight="false" outlineLevel="0" collapsed="false">
      <c r="A89" s="30" t="str">
        <f aca="false">IF($B89="","","PAR-"&amp;TEXT(ROW()-4,"000000"))</f>
        <v/>
      </c>
      <c r="B89" s="32"/>
      <c r="C89" s="37"/>
      <c r="D89" s="31"/>
      <c r="E89" s="33"/>
      <c r="F89" s="32"/>
      <c r="G89" s="35" t="str">
        <f aca="false">IF($B89="","",IFERROR(INDEX(CM_NOME,MATCH($B89,CM_ID,0)),"?"))</f>
        <v/>
      </c>
      <c r="H89" s="34" t="str">
        <f aca="false">IF($B89="","",IFERROR(INDEX(CM_QTD,MATCH($B89,CM_ID,0)),""))</f>
        <v/>
      </c>
      <c r="I89" s="35" t="str">
        <f aca="false">IF($A89="","",$C89&amp;"/"&amp;$H89)</f>
        <v/>
      </c>
      <c r="J89" s="35" t="str">
        <f aca="false">IF($A89="","",IF($C89&lt;=IFERROR(INDEX(CM_PAGASANTES,MATCH($B89,CM_ID,0)),0),"SIM","NAO"))</f>
        <v/>
      </c>
      <c r="K89" s="36" t="n">
        <f aca="false">IF($A89="",0,SUMIFS(L_Valor,L_ParcID,$A89,L_Status,"REALIZADO"))</f>
        <v>0</v>
      </c>
      <c r="L89" s="38" t="str">
        <f aca="false">IF($A89="","",IFERROR(INDEX(L_Data,MATCH(1,INDEX((L_ParcID=$A89)*(L_Status="REALIZADO"),0),0)),""))</f>
        <v/>
      </c>
      <c r="M89" s="34" t="n">
        <f aca="false">IF($A89="",0,COUNTIFS(L_ParcID,$A89,L_Status,"REALIZADO"))</f>
        <v>0</v>
      </c>
      <c r="N89" s="34" t="n">
        <f aca="false">IF($A89="",0,COUNTIFS(L_ParcID,$A89,L_Status,"PROJETADO"))</f>
        <v>0</v>
      </c>
      <c r="O89" s="35" t="str">
        <f aca="false">IF($A89="","",IF($J89="SIM","PAGA",IF($M89&gt;0,"PAGA",IF($D89&lt;CFG_HOJE,"ATRASADA",IF($D89&lt;=EOMONTH(CFG_HOJE,0),"ABERTA","PROJETADA")))))</f>
        <v/>
      </c>
      <c r="P89" s="34" t="n">
        <f aca="false">IF($O89="ATRASADA",CFG_HOJE-$D89,0)</f>
        <v>0</v>
      </c>
      <c r="Q89" s="36" t="n">
        <f aca="false">IF($A89="",0,IF(AND($O89="PAGA",$J89="NAO"),$K89-$E89,0))</f>
        <v>0</v>
      </c>
    </row>
    <row r="90" customFormat="false" ht="15" hidden="false" customHeight="false" outlineLevel="0" collapsed="false">
      <c r="A90" s="30" t="str">
        <f aca="false">IF($B90="","","PAR-"&amp;TEXT(ROW()-4,"000000"))</f>
        <v/>
      </c>
      <c r="B90" s="32"/>
      <c r="C90" s="37"/>
      <c r="D90" s="31"/>
      <c r="E90" s="33"/>
      <c r="F90" s="32"/>
      <c r="G90" s="35" t="str">
        <f aca="false">IF($B90="","",IFERROR(INDEX(CM_NOME,MATCH($B90,CM_ID,0)),"?"))</f>
        <v/>
      </c>
      <c r="H90" s="34" t="str">
        <f aca="false">IF($B90="","",IFERROR(INDEX(CM_QTD,MATCH($B90,CM_ID,0)),""))</f>
        <v/>
      </c>
      <c r="I90" s="35" t="str">
        <f aca="false">IF($A90="","",$C90&amp;"/"&amp;$H90)</f>
        <v/>
      </c>
      <c r="J90" s="35" t="str">
        <f aca="false">IF($A90="","",IF($C90&lt;=IFERROR(INDEX(CM_PAGASANTES,MATCH($B90,CM_ID,0)),0),"SIM","NAO"))</f>
        <v/>
      </c>
      <c r="K90" s="36" t="n">
        <f aca="false">IF($A90="",0,SUMIFS(L_Valor,L_ParcID,$A90,L_Status,"REALIZADO"))</f>
        <v>0</v>
      </c>
      <c r="L90" s="38" t="str">
        <f aca="false">IF($A90="","",IFERROR(INDEX(L_Data,MATCH(1,INDEX((L_ParcID=$A90)*(L_Status="REALIZADO"),0),0)),""))</f>
        <v/>
      </c>
      <c r="M90" s="34" t="n">
        <f aca="false">IF($A90="",0,COUNTIFS(L_ParcID,$A90,L_Status,"REALIZADO"))</f>
        <v>0</v>
      </c>
      <c r="N90" s="34" t="n">
        <f aca="false">IF($A90="",0,COUNTIFS(L_ParcID,$A90,L_Status,"PROJETADO"))</f>
        <v>0</v>
      </c>
      <c r="O90" s="35" t="str">
        <f aca="false">IF($A90="","",IF($J90="SIM","PAGA",IF($M90&gt;0,"PAGA",IF($D90&lt;CFG_HOJE,"ATRASADA",IF($D90&lt;=EOMONTH(CFG_HOJE,0),"ABERTA","PROJETADA")))))</f>
        <v/>
      </c>
      <c r="P90" s="34" t="n">
        <f aca="false">IF($O90="ATRASADA",CFG_HOJE-$D90,0)</f>
        <v>0</v>
      </c>
      <c r="Q90" s="36" t="n">
        <f aca="false">IF($A90="",0,IF(AND($O90="PAGA",$J90="NAO"),$K90-$E90,0))</f>
        <v>0</v>
      </c>
    </row>
    <row r="91" customFormat="false" ht="15" hidden="false" customHeight="false" outlineLevel="0" collapsed="false">
      <c r="A91" s="30" t="str">
        <f aca="false">IF($B91="","","PAR-"&amp;TEXT(ROW()-4,"000000"))</f>
        <v/>
      </c>
      <c r="B91" s="32"/>
      <c r="C91" s="37"/>
      <c r="D91" s="31"/>
      <c r="E91" s="33"/>
      <c r="F91" s="32"/>
      <c r="G91" s="35" t="str">
        <f aca="false">IF($B91="","",IFERROR(INDEX(CM_NOME,MATCH($B91,CM_ID,0)),"?"))</f>
        <v/>
      </c>
      <c r="H91" s="34" t="str">
        <f aca="false">IF($B91="","",IFERROR(INDEX(CM_QTD,MATCH($B91,CM_ID,0)),""))</f>
        <v/>
      </c>
      <c r="I91" s="35" t="str">
        <f aca="false">IF($A91="","",$C91&amp;"/"&amp;$H91)</f>
        <v/>
      </c>
      <c r="J91" s="35" t="str">
        <f aca="false">IF($A91="","",IF($C91&lt;=IFERROR(INDEX(CM_PAGASANTES,MATCH($B91,CM_ID,0)),0),"SIM","NAO"))</f>
        <v/>
      </c>
      <c r="K91" s="36" t="n">
        <f aca="false">IF($A91="",0,SUMIFS(L_Valor,L_ParcID,$A91,L_Status,"REALIZADO"))</f>
        <v>0</v>
      </c>
      <c r="L91" s="38" t="str">
        <f aca="false">IF($A91="","",IFERROR(INDEX(L_Data,MATCH(1,INDEX((L_ParcID=$A91)*(L_Status="REALIZADO"),0),0)),""))</f>
        <v/>
      </c>
      <c r="M91" s="34" t="n">
        <f aca="false">IF($A91="",0,COUNTIFS(L_ParcID,$A91,L_Status,"REALIZADO"))</f>
        <v>0</v>
      </c>
      <c r="N91" s="34" t="n">
        <f aca="false">IF($A91="",0,COUNTIFS(L_ParcID,$A91,L_Status,"PROJETADO"))</f>
        <v>0</v>
      </c>
      <c r="O91" s="35" t="str">
        <f aca="false">IF($A91="","",IF($J91="SIM","PAGA",IF($M91&gt;0,"PAGA",IF($D91&lt;CFG_HOJE,"ATRASADA",IF($D91&lt;=EOMONTH(CFG_HOJE,0),"ABERTA","PROJETADA")))))</f>
        <v/>
      </c>
      <c r="P91" s="34" t="n">
        <f aca="false">IF($O91="ATRASADA",CFG_HOJE-$D91,0)</f>
        <v>0</v>
      </c>
      <c r="Q91" s="36" t="n">
        <f aca="false">IF($A91="",0,IF(AND($O91="PAGA",$J91="NAO"),$K91-$E91,0))</f>
        <v>0</v>
      </c>
    </row>
    <row r="92" customFormat="false" ht="15" hidden="false" customHeight="false" outlineLevel="0" collapsed="false">
      <c r="A92" s="30" t="str">
        <f aca="false">IF($B92="","","PAR-"&amp;TEXT(ROW()-4,"000000"))</f>
        <v/>
      </c>
      <c r="B92" s="32"/>
      <c r="C92" s="37"/>
      <c r="D92" s="31"/>
      <c r="E92" s="33"/>
      <c r="F92" s="32"/>
      <c r="G92" s="35" t="str">
        <f aca="false">IF($B92="","",IFERROR(INDEX(CM_NOME,MATCH($B92,CM_ID,0)),"?"))</f>
        <v/>
      </c>
      <c r="H92" s="34" t="str">
        <f aca="false">IF($B92="","",IFERROR(INDEX(CM_QTD,MATCH($B92,CM_ID,0)),""))</f>
        <v/>
      </c>
      <c r="I92" s="35" t="str">
        <f aca="false">IF($A92="","",$C92&amp;"/"&amp;$H92)</f>
        <v/>
      </c>
      <c r="J92" s="35" t="str">
        <f aca="false">IF($A92="","",IF($C92&lt;=IFERROR(INDEX(CM_PAGASANTES,MATCH($B92,CM_ID,0)),0),"SIM","NAO"))</f>
        <v/>
      </c>
      <c r="K92" s="36" t="n">
        <f aca="false">IF($A92="",0,SUMIFS(L_Valor,L_ParcID,$A92,L_Status,"REALIZADO"))</f>
        <v>0</v>
      </c>
      <c r="L92" s="38" t="str">
        <f aca="false">IF($A92="","",IFERROR(INDEX(L_Data,MATCH(1,INDEX((L_ParcID=$A92)*(L_Status="REALIZADO"),0),0)),""))</f>
        <v/>
      </c>
      <c r="M92" s="34" t="n">
        <f aca="false">IF($A92="",0,COUNTIFS(L_ParcID,$A92,L_Status,"REALIZADO"))</f>
        <v>0</v>
      </c>
      <c r="N92" s="34" t="n">
        <f aca="false">IF($A92="",0,COUNTIFS(L_ParcID,$A92,L_Status,"PROJETADO"))</f>
        <v>0</v>
      </c>
      <c r="O92" s="35" t="str">
        <f aca="false">IF($A92="","",IF($J92="SIM","PAGA",IF($M92&gt;0,"PAGA",IF($D92&lt;CFG_HOJE,"ATRASADA",IF($D92&lt;=EOMONTH(CFG_HOJE,0),"ABERTA","PROJETADA")))))</f>
        <v/>
      </c>
      <c r="P92" s="34" t="n">
        <f aca="false">IF($O92="ATRASADA",CFG_HOJE-$D92,0)</f>
        <v>0</v>
      </c>
      <c r="Q92" s="36" t="n">
        <f aca="false">IF($A92="",0,IF(AND($O92="PAGA",$J92="NAO"),$K92-$E92,0))</f>
        <v>0</v>
      </c>
    </row>
    <row r="93" customFormat="false" ht="15" hidden="false" customHeight="false" outlineLevel="0" collapsed="false">
      <c r="A93" s="30" t="str">
        <f aca="false">IF($B93="","","PAR-"&amp;TEXT(ROW()-4,"000000"))</f>
        <v/>
      </c>
      <c r="B93" s="32"/>
      <c r="C93" s="37"/>
      <c r="D93" s="31"/>
      <c r="E93" s="33"/>
      <c r="F93" s="32"/>
      <c r="G93" s="35" t="str">
        <f aca="false">IF($B93="","",IFERROR(INDEX(CM_NOME,MATCH($B93,CM_ID,0)),"?"))</f>
        <v/>
      </c>
      <c r="H93" s="34" t="str">
        <f aca="false">IF($B93="","",IFERROR(INDEX(CM_QTD,MATCH($B93,CM_ID,0)),""))</f>
        <v/>
      </c>
      <c r="I93" s="35" t="str">
        <f aca="false">IF($A93="","",$C93&amp;"/"&amp;$H93)</f>
        <v/>
      </c>
      <c r="J93" s="35" t="str">
        <f aca="false">IF($A93="","",IF($C93&lt;=IFERROR(INDEX(CM_PAGASANTES,MATCH($B93,CM_ID,0)),0),"SIM","NAO"))</f>
        <v/>
      </c>
      <c r="K93" s="36" t="n">
        <f aca="false">IF($A93="",0,SUMIFS(L_Valor,L_ParcID,$A93,L_Status,"REALIZADO"))</f>
        <v>0</v>
      </c>
      <c r="L93" s="38" t="str">
        <f aca="false">IF($A93="","",IFERROR(INDEX(L_Data,MATCH(1,INDEX((L_ParcID=$A93)*(L_Status="REALIZADO"),0),0)),""))</f>
        <v/>
      </c>
      <c r="M93" s="34" t="n">
        <f aca="false">IF($A93="",0,COUNTIFS(L_ParcID,$A93,L_Status,"REALIZADO"))</f>
        <v>0</v>
      </c>
      <c r="N93" s="34" t="n">
        <f aca="false">IF($A93="",0,COUNTIFS(L_ParcID,$A93,L_Status,"PROJETADO"))</f>
        <v>0</v>
      </c>
      <c r="O93" s="35" t="str">
        <f aca="false">IF($A93="","",IF($J93="SIM","PAGA",IF($M93&gt;0,"PAGA",IF($D93&lt;CFG_HOJE,"ATRASADA",IF($D93&lt;=EOMONTH(CFG_HOJE,0),"ABERTA","PROJETADA")))))</f>
        <v/>
      </c>
      <c r="P93" s="34" t="n">
        <f aca="false">IF($O93="ATRASADA",CFG_HOJE-$D93,0)</f>
        <v>0</v>
      </c>
      <c r="Q93" s="36" t="n">
        <f aca="false">IF($A93="",0,IF(AND($O93="PAGA",$J93="NAO"),$K93-$E93,0))</f>
        <v>0</v>
      </c>
    </row>
    <row r="94" customFormat="false" ht="15" hidden="false" customHeight="false" outlineLevel="0" collapsed="false">
      <c r="A94" s="30" t="str">
        <f aca="false">IF($B94="","","PAR-"&amp;TEXT(ROW()-4,"000000"))</f>
        <v/>
      </c>
      <c r="B94" s="32"/>
      <c r="C94" s="37"/>
      <c r="D94" s="31"/>
      <c r="E94" s="33"/>
      <c r="F94" s="32"/>
      <c r="G94" s="35" t="str">
        <f aca="false">IF($B94="","",IFERROR(INDEX(CM_NOME,MATCH($B94,CM_ID,0)),"?"))</f>
        <v/>
      </c>
      <c r="H94" s="34" t="str">
        <f aca="false">IF($B94="","",IFERROR(INDEX(CM_QTD,MATCH($B94,CM_ID,0)),""))</f>
        <v/>
      </c>
      <c r="I94" s="35" t="str">
        <f aca="false">IF($A94="","",$C94&amp;"/"&amp;$H94)</f>
        <v/>
      </c>
      <c r="J94" s="35" t="str">
        <f aca="false">IF($A94="","",IF($C94&lt;=IFERROR(INDEX(CM_PAGASANTES,MATCH($B94,CM_ID,0)),0),"SIM","NAO"))</f>
        <v/>
      </c>
      <c r="K94" s="36" t="n">
        <f aca="false">IF($A94="",0,SUMIFS(L_Valor,L_ParcID,$A94,L_Status,"REALIZADO"))</f>
        <v>0</v>
      </c>
      <c r="L94" s="38" t="str">
        <f aca="false">IF($A94="","",IFERROR(INDEX(L_Data,MATCH(1,INDEX((L_ParcID=$A94)*(L_Status="REALIZADO"),0),0)),""))</f>
        <v/>
      </c>
      <c r="M94" s="34" t="n">
        <f aca="false">IF($A94="",0,COUNTIFS(L_ParcID,$A94,L_Status,"REALIZADO"))</f>
        <v>0</v>
      </c>
      <c r="N94" s="34" t="n">
        <f aca="false">IF($A94="",0,COUNTIFS(L_ParcID,$A94,L_Status,"PROJETADO"))</f>
        <v>0</v>
      </c>
      <c r="O94" s="35" t="str">
        <f aca="false">IF($A94="","",IF($J94="SIM","PAGA",IF($M94&gt;0,"PAGA",IF($D94&lt;CFG_HOJE,"ATRASADA",IF($D94&lt;=EOMONTH(CFG_HOJE,0),"ABERTA","PROJETADA")))))</f>
        <v/>
      </c>
      <c r="P94" s="34" t="n">
        <f aca="false">IF($O94="ATRASADA",CFG_HOJE-$D94,0)</f>
        <v>0</v>
      </c>
      <c r="Q94" s="36" t="n">
        <f aca="false">IF($A94="",0,IF(AND($O94="PAGA",$J94="NAO"),$K94-$E94,0))</f>
        <v>0</v>
      </c>
    </row>
    <row r="95" customFormat="false" ht="15" hidden="false" customHeight="false" outlineLevel="0" collapsed="false">
      <c r="A95" s="30" t="str">
        <f aca="false">IF($B95="","","PAR-"&amp;TEXT(ROW()-4,"000000"))</f>
        <v/>
      </c>
      <c r="B95" s="32"/>
      <c r="C95" s="37"/>
      <c r="D95" s="31"/>
      <c r="E95" s="33"/>
      <c r="F95" s="32"/>
      <c r="G95" s="35" t="str">
        <f aca="false">IF($B95="","",IFERROR(INDEX(CM_NOME,MATCH($B95,CM_ID,0)),"?"))</f>
        <v/>
      </c>
      <c r="H95" s="34" t="str">
        <f aca="false">IF($B95="","",IFERROR(INDEX(CM_QTD,MATCH($B95,CM_ID,0)),""))</f>
        <v/>
      </c>
      <c r="I95" s="35" t="str">
        <f aca="false">IF($A95="","",$C95&amp;"/"&amp;$H95)</f>
        <v/>
      </c>
      <c r="J95" s="35" t="str">
        <f aca="false">IF($A95="","",IF($C95&lt;=IFERROR(INDEX(CM_PAGASANTES,MATCH($B95,CM_ID,0)),0),"SIM","NAO"))</f>
        <v/>
      </c>
      <c r="K95" s="36" t="n">
        <f aca="false">IF($A95="",0,SUMIFS(L_Valor,L_ParcID,$A95,L_Status,"REALIZADO"))</f>
        <v>0</v>
      </c>
      <c r="L95" s="38" t="str">
        <f aca="false">IF($A95="","",IFERROR(INDEX(L_Data,MATCH(1,INDEX((L_ParcID=$A95)*(L_Status="REALIZADO"),0),0)),""))</f>
        <v/>
      </c>
      <c r="M95" s="34" t="n">
        <f aca="false">IF($A95="",0,COUNTIFS(L_ParcID,$A95,L_Status,"REALIZADO"))</f>
        <v>0</v>
      </c>
      <c r="N95" s="34" t="n">
        <f aca="false">IF($A95="",0,COUNTIFS(L_ParcID,$A95,L_Status,"PROJETADO"))</f>
        <v>0</v>
      </c>
      <c r="O95" s="35" t="str">
        <f aca="false">IF($A95="","",IF($J95="SIM","PAGA",IF($M95&gt;0,"PAGA",IF($D95&lt;CFG_HOJE,"ATRASADA",IF($D95&lt;=EOMONTH(CFG_HOJE,0),"ABERTA","PROJETADA")))))</f>
        <v/>
      </c>
      <c r="P95" s="34" t="n">
        <f aca="false">IF($O95="ATRASADA",CFG_HOJE-$D95,0)</f>
        <v>0</v>
      </c>
      <c r="Q95" s="36" t="n">
        <f aca="false">IF($A95="",0,IF(AND($O95="PAGA",$J95="NAO"),$K95-$E95,0))</f>
        <v>0</v>
      </c>
    </row>
    <row r="96" customFormat="false" ht="15" hidden="false" customHeight="false" outlineLevel="0" collapsed="false">
      <c r="A96" s="30" t="str">
        <f aca="false">IF($B96="","","PAR-"&amp;TEXT(ROW()-4,"000000"))</f>
        <v/>
      </c>
      <c r="B96" s="32"/>
      <c r="C96" s="37"/>
      <c r="D96" s="31"/>
      <c r="E96" s="33"/>
      <c r="F96" s="32"/>
      <c r="G96" s="35" t="str">
        <f aca="false">IF($B96="","",IFERROR(INDEX(CM_NOME,MATCH($B96,CM_ID,0)),"?"))</f>
        <v/>
      </c>
      <c r="H96" s="34" t="str">
        <f aca="false">IF($B96="","",IFERROR(INDEX(CM_QTD,MATCH($B96,CM_ID,0)),""))</f>
        <v/>
      </c>
      <c r="I96" s="35" t="str">
        <f aca="false">IF($A96="","",$C96&amp;"/"&amp;$H96)</f>
        <v/>
      </c>
      <c r="J96" s="35" t="str">
        <f aca="false">IF($A96="","",IF($C96&lt;=IFERROR(INDEX(CM_PAGASANTES,MATCH($B96,CM_ID,0)),0),"SIM","NAO"))</f>
        <v/>
      </c>
      <c r="K96" s="36" t="n">
        <f aca="false">IF($A96="",0,SUMIFS(L_Valor,L_ParcID,$A96,L_Status,"REALIZADO"))</f>
        <v>0</v>
      </c>
      <c r="L96" s="38" t="str">
        <f aca="false">IF($A96="","",IFERROR(INDEX(L_Data,MATCH(1,INDEX((L_ParcID=$A96)*(L_Status="REALIZADO"),0),0)),""))</f>
        <v/>
      </c>
      <c r="M96" s="34" t="n">
        <f aca="false">IF($A96="",0,COUNTIFS(L_ParcID,$A96,L_Status,"REALIZADO"))</f>
        <v>0</v>
      </c>
      <c r="N96" s="34" t="n">
        <f aca="false">IF($A96="",0,COUNTIFS(L_ParcID,$A96,L_Status,"PROJETADO"))</f>
        <v>0</v>
      </c>
      <c r="O96" s="35" t="str">
        <f aca="false">IF($A96="","",IF($J96="SIM","PAGA",IF($M96&gt;0,"PAGA",IF($D96&lt;CFG_HOJE,"ATRASADA",IF($D96&lt;=EOMONTH(CFG_HOJE,0),"ABERTA","PROJETADA")))))</f>
        <v/>
      </c>
      <c r="P96" s="34" t="n">
        <f aca="false">IF($O96="ATRASADA",CFG_HOJE-$D96,0)</f>
        <v>0</v>
      </c>
      <c r="Q96" s="36" t="n">
        <f aca="false">IF($A96="",0,IF(AND($O96="PAGA",$J96="NAO"),$K96-$E96,0))</f>
        <v>0</v>
      </c>
    </row>
    <row r="97" customFormat="false" ht="15" hidden="false" customHeight="false" outlineLevel="0" collapsed="false">
      <c r="A97" s="30" t="str">
        <f aca="false">IF($B97="","","PAR-"&amp;TEXT(ROW()-4,"000000"))</f>
        <v/>
      </c>
      <c r="B97" s="32"/>
      <c r="C97" s="37"/>
      <c r="D97" s="31"/>
      <c r="E97" s="33"/>
      <c r="F97" s="32"/>
      <c r="G97" s="35" t="str">
        <f aca="false">IF($B97="","",IFERROR(INDEX(CM_NOME,MATCH($B97,CM_ID,0)),"?"))</f>
        <v/>
      </c>
      <c r="H97" s="34" t="str">
        <f aca="false">IF($B97="","",IFERROR(INDEX(CM_QTD,MATCH($B97,CM_ID,0)),""))</f>
        <v/>
      </c>
      <c r="I97" s="35" t="str">
        <f aca="false">IF($A97="","",$C97&amp;"/"&amp;$H97)</f>
        <v/>
      </c>
      <c r="J97" s="35" t="str">
        <f aca="false">IF($A97="","",IF($C97&lt;=IFERROR(INDEX(CM_PAGASANTES,MATCH($B97,CM_ID,0)),0),"SIM","NAO"))</f>
        <v/>
      </c>
      <c r="K97" s="36" t="n">
        <f aca="false">IF($A97="",0,SUMIFS(L_Valor,L_ParcID,$A97,L_Status,"REALIZADO"))</f>
        <v>0</v>
      </c>
      <c r="L97" s="38" t="str">
        <f aca="false">IF($A97="","",IFERROR(INDEX(L_Data,MATCH(1,INDEX((L_ParcID=$A97)*(L_Status="REALIZADO"),0),0)),""))</f>
        <v/>
      </c>
      <c r="M97" s="34" t="n">
        <f aca="false">IF($A97="",0,COUNTIFS(L_ParcID,$A97,L_Status,"REALIZADO"))</f>
        <v>0</v>
      </c>
      <c r="N97" s="34" t="n">
        <f aca="false">IF($A97="",0,COUNTIFS(L_ParcID,$A97,L_Status,"PROJETADO"))</f>
        <v>0</v>
      </c>
      <c r="O97" s="35" t="str">
        <f aca="false">IF($A97="","",IF($J97="SIM","PAGA",IF($M97&gt;0,"PAGA",IF($D97&lt;CFG_HOJE,"ATRASADA",IF($D97&lt;=EOMONTH(CFG_HOJE,0),"ABERTA","PROJETADA")))))</f>
        <v/>
      </c>
      <c r="P97" s="34" t="n">
        <f aca="false">IF($O97="ATRASADA",CFG_HOJE-$D97,0)</f>
        <v>0</v>
      </c>
      <c r="Q97" s="36" t="n">
        <f aca="false">IF($A97="",0,IF(AND($O97="PAGA",$J97="NAO"),$K97-$E97,0))</f>
        <v>0</v>
      </c>
    </row>
    <row r="98" customFormat="false" ht="15" hidden="false" customHeight="false" outlineLevel="0" collapsed="false">
      <c r="A98" s="30" t="str">
        <f aca="false">IF($B98="","","PAR-"&amp;TEXT(ROW()-4,"000000"))</f>
        <v/>
      </c>
      <c r="B98" s="32"/>
      <c r="C98" s="37"/>
      <c r="D98" s="31"/>
      <c r="E98" s="33"/>
      <c r="F98" s="32"/>
      <c r="G98" s="35" t="str">
        <f aca="false">IF($B98="","",IFERROR(INDEX(CM_NOME,MATCH($B98,CM_ID,0)),"?"))</f>
        <v/>
      </c>
      <c r="H98" s="34" t="str">
        <f aca="false">IF($B98="","",IFERROR(INDEX(CM_QTD,MATCH($B98,CM_ID,0)),""))</f>
        <v/>
      </c>
      <c r="I98" s="35" t="str">
        <f aca="false">IF($A98="","",$C98&amp;"/"&amp;$H98)</f>
        <v/>
      </c>
      <c r="J98" s="35" t="str">
        <f aca="false">IF($A98="","",IF($C98&lt;=IFERROR(INDEX(CM_PAGASANTES,MATCH($B98,CM_ID,0)),0),"SIM","NAO"))</f>
        <v/>
      </c>
      <c r="K98" s="36" t="n">
        <f aca="false">IF($A98="",0,SUMIFS(L_Valor,L_ParcID,$A98,L_Status,"REALIZADO"))</f>
        <v>0</v>
      </c>
      <c r="L98" s="38" t="str">
        <f aca="false">IF($A98="","",IFERROR(INDEX(L_Data,MATCH(1,INDEX((L_ParcID=$A98)*(L_Status="REALIZADO"),0),0)),""))</f>
        <v/>
      </c>
      <c r="M98" s="34" t="n">
        <f aca="false">IF($A98="",0,COUNTIFS(L_ParcID,$A98,L_Status,"REALIZADO"))</f>
        <v>0</v>
      </c>
      <c r="N98" s="34" t="n">
        <f aca="false">IF($A98="",0,COUNTIFS(L_ParcID,$A98,L_Status,"PROJETADO"))</f>
        <v>0</v>
      </c>
      <c r="O98" s="35" t="str">
        <f aca="false">IF($A98="","",IF($J98="SIM","PAGA",IF($M98&gt;0,"PAGA",IF($D98&lt;CFG_HOJE,"ATRASADA",IF($D98&lt;=EOMONTH(CFG_HOJE,0),"ABERTA","PROJETADA")))))</f>
        <v/>
      </c>
      <c r="P98" s="34" t="n">
        <f aca="false">IF($O98="ATRASADA",CFG_HOJE-$D98,0)</f>
        <v>0</v>
      </c>
      <c r="Q98" s="36" t="n">
        <f aca="false">IF($A98="",0,IF(AND($O98="PAGA",$J98="NAO"),$K98-$E98,0))</f>
        <v>0</v>
      </c>
    </row>
    <row r="99" customFormat="false" ht="15" hidden="false" customHeight="false" outlineLevel="0" collapsed="false">
      <c r="A99" s="30" t="str">
        <f aca="false">IF($B99="","","PAR-"&amp;TEXT(ROW()-4,"000000"))</f>
        <v/>
      </c>
      <c r="B99" s="32"/>
      <c r="C99" s="37"/>
      <c r="D99" s="31"/>
      <c r="E99" s="33"/>
      <c r="F99" s="32"/>
      <c r="G99" s="35" t="str">
        <f aca="false">IF($B99="","",IFERROR(INDEX(CM_NOME,MATCH($B99,CM_ID,0)),"?"))</f>
        <v/>
      </c>
      <c r="H99" s="34" t="str">
        <f aca="false">IF($B99="","",IFERROR(INDEX(CM_QTD,MATCH($B99,CM_ID,0)),""))</f>
        <v/>
      </c>
      <c r="I99" s="35" t="str">
        <f aca="false">IF($A99="","",$C99&amp;"/"&amp;$H99)</f>
        <v/>
      </c>
      <c r="J99" s="35" t="str">
        <f aca="false">IF($A99="","",IF($C99&lt;=IFERROR(INDEX(CM_PAGASANTES,MATCH($B99,CM_ID,0)),0),"SIM","NAO"))</f>
        <v/>
      </c>
      <c r="K99" s="36" t="n">
        <f aca="false">IF($A99="",0,SUMIFS(L_Valor,L_ParcID,$A99,L_Status,"REALIZADO"))</f>
        <v>0</v>
      </c>
      <c r="L99" s="38" t="str">
        <f aca="false">IF($A99="","",IFERROR(INDEX(L_Data,MATCH(1,INDEX((L_ParcID=$A99)*(L_Status="REALIZADO"),0),0)),""))</f>
        <v/>
      </c>
      <c r="M99" s="34" t="n">
        <f aca="false">IF($A99="",0,COUNTIFS(L_ParcID,$A99,L_Status,"REALIZADO"))</f>
        <v>0</v>
      </c>
      <c r="N99" s="34" t="n">
        <f aca="false">IF($A99="",0,COUNTIFS(L_ParcID,$A99,L_Status,"PROJETADO"))</f>
        <v>0</v>
      </c>
      <c r="O99" s="35" t="str">
        <f aca="false">IF($A99="","",IF($J99="SIM","PAGA",IF($M99&gt;0,"PAGA",IF($D99&lt;CFG_HOJE,"ATRASADA",IF($D99&lt;=EOMONTH(CFG_HOJE,0),"ABERTA","PROJETADA")))))</f>
        <v/>
      </c>
      <c r="P99" s="34" t="n">
        <f aca="false">IF($O99="ATRASADA",CFG_HOJE-$D99,0)</f>
        <v>0</v>
      </c>
      <c r="Q99" s="36" t="n">
        <f aca="false">IF($A99="",0,IF(AND($O99="PAGA",$J99="NAO"),$K99-$E99,0))</f>
        <v>0</v>
      </c>
    </row>
    <row r="100" customFormat="false" ht="15" hidden="false" customHeight="false" outlineLevel="0" collapsed="false">
      <c r="A100" s="30" t="str">
        <f aca="false">IF($B100="","","PAR-"&amp;TEXT(ROW()-4,"000000"))</f>
        <v/>
      </c>
      <c r="B100" s="32"/>
      <c r="C100" s="37"/>
      <c r="D100" s="31"/>
      <c r="E100" s="33"/>
      <c r="F100" s="32"/>
      <c r="G100" s="35" t="str">
        <f aca="false">IF($B100="","",IFERROR(INDEX(CM_NOME,MATCH($B100,CM_ID,0)),"?"))</f>
        <v/>
      </c>
      <c r="H100" s="34" t="str">
        <f aca="false">IF($B100="","",IFERROR(INDEX(CM_QTD,MATCH($B100,CM_ID,0)),""))</f>
        <v/>
      </c>
      <c r="I100" s="35" t="str">
        <f aca="false">IF($A100="","",$C100&amp;"/"&amp;$H100)</f>
        <v/>
      </c>
      <c r="J100" s="35" t="str">
        <f aca="false">IF($A100="","",IF($C100&lt;=IFERROR(INDEX(CM_PAGASANTES,MATCH($B100,CM_ID,0)),0),"SIM","NAO"))</f>
        <v/>
      </c>
      <c r="K100" s="36" t="n">
        <f aca="false">IF($A100="",0,SUMIFS(L_Valor,L_ParcID,$A100,L_Status,"REALIZADO"))</f>
        <v>0</v>
      </c>
      <c r="L100" s="38" t="str">
        <f aca="false">IF($A100="","",IFERROR(INDEX(L_Data,MATCH(1,INDEX((L_ParcID=$A100)*(L_Status="REALIZADO"),0),0)),""))</f>
        <v/>
      </c>
      <c r="M100" s="34" t="n">
        <f aca="false">IF($A100="",0,COUNTIFS(L_ParcID,$A100,L_Status,"REALIZADO"))</f>
        <v>0</v>
      </c>
      <c r="N100" s="34" t="n">
        <f aca="false">IF($A100="",0,COUNTIFS(L_ParcID,$A100,L_Status,"PROJETADO"))</f>
        <v>0</v>
      </c>
      <c r="O100" s="35" t="str">
        <f aca="false">IF($A100="","",IF($J100="SIM","PAGA",IF($M100&gt;0,"PAGA",IF($D100&lt;CFG_HOJE,"ATRASADA",IF($D100&lt;=EOMONTH(CFG_HOJE,0),"ABERTA","PROJETADA")))))</f>
        <v/>
      </c>
      <c r="P100" s="34" t="n">
        <f aca="false">IF($O100="ATRASADA",CFG_HOJE-$D100,0)</f>
        <v>0</v>
      </c>
      <c r="Q100" s="36" t="n">
        <f aca="false">IF($A100="",0,IF(AND($O100="PAGA",$J100="NAO"),$K100-$E100,0))</f>
        <v>0</v>
      </c>
    </row>
    <row r="101" customFormat="false" ht="15" hidden="false" customHeight="false" outlineLevel="0" collapsed="false">
      <c r="A101" s="30" t="str">
        <f aca="false">IF($B101="","","PAR-"&amp;TEXT(ROW()-4,"000000"))</f>
        <v/>
      </c>
      <c r="B101" s="32"/>
      <c r="C101" s="37"/>
      <c r="D101" s="31"/>
      <c r="E101" s="33"/>
      <c r="F101" s="32"/>
      <c r="G101" s="35" t="str">
        <f aca="false">IF($B101="","",IFERROR(INDEX(CM_NOME,MATCH($B101,CM_ID,0)),"?"))</f>
        <v/>
      </c>
      <c r="H101" s="34" t="str">
        <f aca="false">IF($B101="","",IFERROR(INDEX(CM_QTD,MATCH($B101,CM_ID,0)),""))</f>
        <v/>
      </c>
      <c r="I101" s="35" t="str">
        <f aca="false">IF($A101="","",$C101&amp;"/"&amp;$H101)</f>
        <v/>
      </c>
      <c r="J101" s="35" t="str">
        <f aca="false">IF($A101="","",IF($C101&lt;=IFERROR(INDEX(CM_PAGASANTES,MATCH($B101,CM_ID,0)),0),"SIM","NAO"))</f>
        <v/>
      </c>
      <c r="K101" s="36" t="n">
        <f aca="false">IF($A101="",0,SUMIFS(L_Valor,L_ParcID,$A101,L_Status,"REALIZADO"))</f>
        <v>0</v>
      </c>
      <c r="L101" s="38" t="str">
        <f aca="false">IF($A101="","",IFERROR(INDEX(L_Data,MATCH(1,INDEX((L_ParcID=$A101)*(L_Status="REALIZADO"),0),0)),""))</f>
        <v/>
      </c>
      <c r="M101" s="34" t="n">
        <f aca="false">IF($A101="",0,COUNTIFS(L_ParcID,$A101,L_Status,"REALIZADO"))</f>
        <v>0</v>
      </c>
      <c r="N101" s="34" t="n">
        <f aca="false">IF($A101="",0,COUNTIFS(L_ParcID,$A101,L_Status,"PROJETADO"))</f>
        <v>0</v>
      </c>
      <c r="O101" s="35" t="str">
        <f aca="false">IF($A101="","",IF($J101="SIM","PAGA",IF($M101&gt;0,"PAGA",IF($D101&lt;CFG_HOJE,"ATRASADA",IF($D101&lt;=EOMONTH(CFG_HOJE,0),"ABERTA","PROJETADA")))))</f>
        <v/>
      </c>
      <c r="P101" s="34" t="n">
        <f aca="false">IF($O101="ATRASADA",CFG_HOJE-$D101,0)</f>
        <v>0</v>
      </c>
      <c r="Q101" s="36" t="n">
        <f aca="false">IF($A101="",0,IF(AND($O101="PAGA",$J101="NAO"),$K101-$E101,0))</f>
        <v>0</v>
      </c>
    </row>
    <row r="102" customFormat="false" ht="15" hidden="false" customHeight="false" outlineLevel="0" collapsed="false">
      <c r="A102" s="30" t="str">
        <f aca="false">IF($B102="","","PAR-"&amp;TEXT(ROW()-4,"000000"))</f>
        <v/>
      </c>
      <c r="B102" s="32"/>
      <c r="C102" s="37"/>
      <c r="D102" s="31"/>
      <c r="E102" s="33"/>
      <c r="F102" s="32"/>
      <c r="G102" s="35" t="str">
        <f aca="false">IF($B102="","",IFERROR(INDEX(CM_NOME,MATCH($B102,CM_ID,0)),"?"))</f>
        <v/>
      </c>
      <c r="H102" s="34" t="str">
        <f aca="false">IF($B102="","",IFERROR(INDEX(CM_QTD,MATCH($B102,CM_ID,0)),""))</f>
        <v/>
      </c>
      <c r="I102" s="35" t="str">
        <f aca="false">IF($A102="","",$C102&amp;"/"&amp;$H102)</f>
        <v/>
      </c>
      <c r="J102" s="35" t="str">
        <f aca="false">IF($A102="","",IF($C102&lt;=IFERROR(INDEX(CM_PAGASANTES,MATCH($B102,CM_ID,0)),0),"SIM","NAO"))</f>
        <v/>
      </c>
      <c r="K102" s="36" t="n">
        <f aca="false">IF($A102="",0,SUMIFS(L_Valor,L_ParcID,$A102,L_Status,"REALIZADO"))</f>
        <v>0</v>
      </c>
      <c r="L102" s="38" t="str">
        <f aca="false">IF($A102="","",IFERROR(INDEX(L_Data,MATCH(1,INDEX((L_ParcID=$A102)*(L_Status="REALIZADO"),0),0)),""))</f>
        <v/>
      </c>
      <c r="M102" s="34" t="n">
        <f aca="false">IF($A102="",0,COUNTIFS(L_ParcID,$A102,L_Status,"REALIZADO"))</f>
        <v>0</v>
      </c>
      <c r="N102" s="34" t="n">
        <f aca="false">IF($A102="",0,COUNTIFS(L_ParcID,$A102,L_Status,"PROJETADO"))</f>
        <v>0</v>
      </c>
      <c r="O102" s="35" t="str">
        <f aca="false">IF($A102="","",IF($J102="SIM","PAGA",IF($M102&gt;0,"PAGA",IF($D102&lt;CFG_HOJE,"ATRASADA",IF($D102&lt;=EOMONTH(CFG_HOJE,0),"ABERTA","PROJETADA")))))</f>
        <v/>
      </c>
      <c r="P102" s="34" t="n">
        <f aca="false">IF($O102="ATRASADA",CFG_HOJE-$D102,0)</f>
        <v>0</v>
      </c>
      <c r="Q102" s="36" t="n">
        <f aca="false">IF($A102="",0,IF(AND($O102="PAGA",$J102="NAO"),$K102-$E102,0))</f>
        <v>0</v>
      </c>
    </row>
    <row r="103" customFormat="false" ht="15" hidden="false" customHeight="false" outlineLevel="0" collapsed="false">
      <c r="A103" s="30" t="str">
        <f aca="false">IF($B103="","","PAR-"&amp;TEXT(ROW()-4,"000000"))</f>
        <v/>
      </c>
      <c r="B103" s="32"/>
      <c r="C103" s="37"/>
      <c r="D103" s="31"/>
      <c r="E103" s="33"/>
      <c r="F103" s="32"/>
      <c r="G103" s="35" t="str">
        <f aca="false">IF($B103="","",IFERROR(INDEX(CM_NOME,MATCH($B103,CM_ID,0)),"?"))</f>
        <v/>
      </c>
      <c r="H103" s="34" t="str">
        <f aca="false">IF($B103="","",IFERROR(INDEX(CM_QTD,MATCH($B103,CM_ID,0)),""))</f>
        <v/>
      </c>
      <c r="I103" s="35" t="str">
        <f aca="false">IF($A103="","",$C103&amp;"/"&amp;$H103)</f>
        <v/>
      </c>
      <c r="J103" s="35" t="str">
        <f aca="false">IF($A103="","",IF($C103&lt;=IFERROR(INDEX(CM_PAGASANTES,MATCH($B103,CM_ID,0)),0),"SIM","NAO"))</f>
        <v/>
      </c>
      <c r="K103" s="36" t="n">
        <f aca="false">IF($A103="",0,SUMIFS(L_Valor,L_ParcID,$A103,L_Status,"REALIZADO"))</f>
        <v>0</v>
      </c>
      <c r="L103" s="38" t="str">
        <f aca="false">IF($A103="","",IFERROR(INDEX(L_Data,MATCH(1,INDEX((L_ParcID=$A103)*(L_Status="REALIZADO"),0),0)),""))</f>
        <v/>
      </c>
      <c r="M103" s="34" t="n">
        <f aca="false">IF($A103="",0,COUNTIFS(L_ParcID,$A103,L_Status,"REALIZADO"))</f>
        <v>0</v>
      </c>
      <c r="N103" s="34" t="n">
        <f aca="false">IF($A103="",0,COUNTIFS(L_ParcID,$A103,L_Status,"PROJETADO"))</f>
        <v>0</v>
      </c>
      <c r="O103" s="35" t="str">
        <f aca="false">IF($A103="","",IF($J103="SIM","PAGA",IF($M103&gt;0,"PAGA",IF($D103&lt;CFG_HOJE,"ATRASADA",IF($D103&lt;=EOMONTH(CFG_HOJE,0),"ABERTA","PROJETADA")))))</f>
        <v/>
      </c>
      <c r="P103" s="34" t="n">
        <f aca="false">IF($O103="ATRASADA",CFG_HOJE-$D103,0)</f>
        <v>0</v>
      </c>
      <c r="Q103" s="36" t="n">
        <f aca="false">IF($A103="",0,IF(AND($O103="PAGA",$J103="NAO"),$K103-$E103,0))</f>
        <v>0</v>
      </c>
    </row>
    <row r="104" customFormat="false" ht="15" hidden="false" customHeight="false" outlineLevel="0" collapsed="false">
      <c r="A104" s="30" t="str">
        <f aca="false">IF($B104="","","PAR-"&amp;TEXT(ROW()-4,"000000"))</f>
        <v/>
      </c>
      <c r="B104" s="32"/>
      <c r="C104" s="37"/>
      <c r="D104" s="31"/>
      <c r="E104" s="33"/>
      <c r="F104" s="32"/>
      <c r="G104" s="35" t="str">
        <f aca="false">IF($B104="","",IFERROR(INDEX(CM_NOME,MATCH($B104,CM_ID,0)),"?"))</f>
        <v/>
      </c>
      <c r="H104" s="34" t="str">
        <f aca="false">IF($B104="","",IFERROR(INDEX(CM_QTD,MATCH($B104,CM_ID,0)),""))</f>
        <v/>
      </c>
      <c r="I104" s="35" t="str">
        <f aca="false">IF($A104="","",$C104&amp;"/"&amp;$H104)</f>
        <v/>
      </c>
      <c r="J104" s="35" t="str">
        <f aca="false">IF($A104="","",IF($C104&lt;=IFERROR(INDEX(CM_PAGASANTES,MATCH($B104,CM_ID,0)),0),"SIM","NAO"))</f>
        <v/>
      </c>
      <c r="K104" s="36" t="n">
        <f aca="false">IF($A104="",0,SUMIFS(L_Valor,L_ParcID,$A104,L_Status,"REALIZADO"))</f>
        <v>0</v>
      </c>
      <c r="L104" s="38" t="str">
        <f aca="false">IF($A104="","",IFERROR(INDEX(L_Data,MATCH(1,INDEX((L_ParcID=$A104)*(L_Status="REALIZADO"),0),0)),""))</f>
        <v/>
      </c>
      <c r="M104" s="34" t="n">
        <f aca="false">IF($A104="",0,COUNTIFS(L_ParcID,$A104,L_Status,"REALIZADO"))</f>
        <v>0</v>
      </c>
      <c r="N104" s="34" t="n">
        <f aca="false">IF($A104="",0,COUNTIFS(L_ParcID,$A104,L_Status,"PROJETADO"))</f>
        <v>0</v>
      </c>
      <c r="O104" s="35" t="str">
        <f aca="false">IF($A104="","",IF($J104="SIM","PAGA",IF($M104&gt;0,"PAGA",IF($D104&lt;CFG_HOJE,"ATRASADA",IF($D104&lt;=EOMONTH(CFG_HOJE,0),"ABERTA","PROJETADA")))))</f>
        <v/>
      </c>
      <c r="P104" s="34" t="n">
        <f aca="false">IF($O104="ATRASADA",CFG_HOJE-$D104,0)</f>
        <v>0</v>
      </c>
      <c r="Q104" s="36" t="n">
        <f aca="false">IF($A104="",0,IF(AND($O104="PAGA",$J104="NAO"),$K104-$E104,0))</f>
        <v>0</v>
      </c>
    </row>
    <row r="105" customFormat="false" ht="15" hidden="false" customHeight="false" outlineLevel="0" collapsed="false">
      <c r="A105" s="30" t="str">
        <f aca="false">IF($B105="","","PAR-"&amp;TEXT(ROW()-4,"000000"))</f>
        <v/>
      </c>
      <c r="B105" s="32"/>
      <c r="C105" s="37"/>
      <c r="D105" s="31"/>
      <c r="E105" s="33"/>
      <c r="F105" s="32"/>
      <c r="G105" s="35" t="str">
        <f aca="false">IF($B105="","",IFERROR(INDEX(CM_NOME,MATCH($B105,CM_ID,0)),"?"))</f>
        <v/>
      </c>
      <c r="H105" s="34" t="str">
        <f aca="false">IF($B105="","",IFERROR(INDEX(CM_QTD,MATCH($B105,CM_ID,0)),""))</f>
        <v/>
      </c>
      <c r="I105" s="35" t="str">
        <f aca="false">IF($A105="","",$C105&amp;"/"&amp;$H105)</f>
        <v/>
      </c>
      <c r="J105" s="35" t="str">
        <f aca="false">IF($A105="","",IF($C105&lt;=IFERROR(INDEX(CM_PAGASANTES,MATCH($B105,CM_ID,0)),0),"SIM","NAO"))</f>
        <v/>
      </c>
      <c r="K105" s="36" t="n">
        <f aca="false">IF($A105="",0,SUMIFS(L_Valor,L_ParcID,$A105,L_Status,"REALIZADO"))</f>
        <v>0</v>
      </c>
      <c r="L105" s="38" t="str">
        <f aca="false">IF($A105="","",IFERROR(INDEX(L_Data,MATCH(1,INDEX((L_ParcID=$A105)*(L_Status="REALIZADO"),0),0)),""))</f>
        <v/>
      </c>
      <c r="M105" s="34" t="n">
        <f aca="false">IF($A105="",0,COUNTIFS(L_ParcID,$A105,L_Status,"REALIZADO"))</f>
        <v>0</v>
      </c>
      <c r="N105" s="34" t="n">
        <f aca="false">IF($A105="",0,COUNTIFS(L_ParcID,$A105,L_Status,"PROJETADO"))</f>
        <v>0</v>
      </c>
      <c r="O105" s="35" t="str">
        <f aca="false">IF($A105="","",IF($J105="SIM","PAGA",IF($M105&gt;0,"PAGA",IF($D105&lt;CFG_HOJE,"ATRASADA",IF($D105&lt;=EOMONTH(CFG_HOJE,0),"ABERTA","PROJETADA")))))</f>
        <v/>
      </c>
      <c r="P105" s="34" t="n">
        <f aca="false">IF($O105="ATRASADA",CFG_HOJE-$D105,0)</f>
        <v>0</v>
      </c>
      <c r="Q105" s="36" t="n">
        <f aca="false">IF($A105="",0,IF(AND($O105="PAGA",$J105="NAO"),$K105-$E105,0))</f>
        <v>0</v>
      </c>
    </row>
    <row r="106" customFormat="false" ht="15" hidden="false" customHeight="false" outlineLevel="0" collapsed="false">
      <c r="A106" s="30" t="str">
        <f aca="false">IF($B106="","","PAR-"&amp;TEXT(ROW()-4,"000000"))</f>
        <v/>
      </c>
      <c r="B106" s="32"/>
      <c r="C106" s="37"/>
      <c r="D106" s="31"/>
      <c r="E106" s="33"/>
      <c r="F106" s="32"/>
      <c r="G106" s="35" t="str">
        <f aca="false">IF($B106="","",IFERROR(INDEX(CM_NOME,MATCH($B106,CM_ID,0)),"?"))</f>
        <v/>
      </c>
      <c r="H106" s="34" t="str">
        <f aca="false">IF($B106="","",IFERROR(INDEX(CM_QTD,MATCH($B106,CM_ID,0)),""))</f>
        <v/>
      </c>
      <c r="I106" s="35" t="str">
        <f aca="false">IF($A106="","",$C106&amp;"/"&amp;$H106)</f>
        <v/>
      </c>
      <c r="J106" s="35" t="str">
        <f aca="false">IF($A106="","",IF($C106&lt;=IFERROR(INDEX(CM_PAGASANTES,MATCH($B106,CM_ID,0)),0),"SIM","NAO"))</f>
        <v/>
      </c>
      <c r="K106" s="36" t="n">
        <f aca="false">IF($A106="",0,SUMIFS(L_Valor,L_ParcID,$A106,L_Status,"REALIZADO"))</f>
        <v>0</v>
      </c>
      <c r="L106" s="38" t="str">
        <f aca="false">IF($A106="","",IFERROR(INDEX(L_Data,MATCH(1,INDEX((L_ParcID=$A106)*(L_Status="REALIZADO"),0),0)),""))</f>
        <v/>
      </c>
      <c r="M106" s="34" t="n">
        <f aca="false">IF($A106="",0,COUNTIFS(L_ParcID,$A106,L_Status,"REALIZADO"))</f>
        <v>0</v>
      </c>
      <c r="N106" s="34" t="n">
        <f aca="false">IF($A106="",0,COUNTIFS(L_ParcID,$A106,L_Status,"PROJETADO"))</f>
        <v>0</v>
      </c>
      <c r="O106" s="35" t="str">
        <f aca="false">IF($A106="","",IF($J106="SIM","PAGA",IF($M106&gt;0,"PAGA",IF($D106&lt;CFG_HOJE,"ATRASADA",IF($D106&lt;=EOMONTH(CFG_HOJE,0),"ABERTA","PROJETADA")))))</f>
        <v/>
      </c>
      <c r="P106" s="34" t="n">
        <f aca="false">IF($O106="ATRASADA",CFG_HOJE-$D106,0)</f>
        <v>0</v>
      </c>
      <c r="Q106" s="36" t="n">
        <f aca="false">IF($A106="",0,IF(AND($O106="PAGA",$J106="NAO"),$K106-$E106,0))</f>
        <v>0</v>
      </c>
    </row>
    <row r="107" customFormat="false" ht="15" hidden="false" customHeight="false" outlineLevel="0" collapsed="false">
      <c r="A107" s="30" t="str">
        <f aca="false">IF($B107="","","PAR-"&amp;TEXT(ROW()-4,"000000"))</f>
        <v/>
      </c>
      <c r="B107" s="32"/>
      <c r="C107" s="37"/>
      <c r="D107" s="31"/>
      <c r="E107" s="33"/>
      <c r="F107" s="32"/>
      <c r="G107" s="35" t="str">
        <f aca="false">IF($B107="","",IFERROR(INDEX(CM_NOME,MATCH($B107,CM_ID,0)),"?"))</f>
        <v/>
      </c>
      <c r="H107" s="34" t="str">
        <f aca="false">IF($B107="","",IFERROR(INDEX(CM_QTD,MATCH($B107,CM_ID,0)),""))</f>
        <v/>
      </c>
      <c r="I107" s="35" t="str">
        <f aca="false">IF($A107="","",$C107&amp;"/"&amp;$H107)</f>
        <v/>
      </c>
      <c r="J107" s="35" t="str">
        <f aca="false">IF($A107="","",IF($C107&lt;=IFERROR(INDEX(CM_PAGASANTES,MATCH($B107,CM_ID,0)),0),"SIM","NAO"))</f>
        <v/>
      </c>
      <c r="K107" s="36" t="n">
        <f aca="false">IF($A107="",0,SUMIFS(L_Valor,L_ParcID,$A107,L_Status,"REALIZADO"))</f>
        <v>0</v>
      </c>
      <c r="L107" s="38" t="str">
        <f aca="false">IF($A107="","",IFERROR(INDEX(L_Data,MATCH(1,INDEX((L_ParcID=$A107)*(L_Status="REALIZADO"),0),0)),""))</f>
        <v/>
      </c>
      <c r="M107" s="34" t="n">
        <f aca="false">IF($A107="",0,COUNTIFS(L_ParcID,$A107,L_Status,"REALIZADO"))</f>
        <v>0</v>
      </c>
      <c r="N107" s="34" t="n">
        <f aca="false">IF($A107="",0,COUNTIFS(L_ParcID,$A107,L_Status,"PROJETADO"))</f>
        <v>0</v>
      </c>
      <c r="O107" s="35" t="str">
        <f aca="false">IF($A107="","",IF($J107="SIM","PAGA",IF($M107&gt;0,"PAGA",IF($D107&lt;CFG_HOJE,"ATRASADA",IF($D107&lt;=EOMONTH(CFG_HOJE,0),"ABERTA","PROJETADA")))))</f>
        <v/>
      </c>
      <c r="P107" s="34" t="n">
        <f aca="false">IF($O107="ATRASADA",CFG_HOJE-$D107,0)</f>
        <v>0</v>
      </c>
      <c r="Q107" s="36" t="n">
        <f aca="false">IF($A107="",0,IF(AND($O107="PAGA",$J107="NAO"),$K107-$E107,0))</f>
        <v>0</v>
      </c>
    </row>
    <row r="108" customFormat="false" ht="15" hidden="false" customHeight="false" outlineLevel="0" collapsed="false">
      <c r="A108" s="30" t="str">
        <f aca="false">IF($B108="","","PAR-"&amp;TEXT(ROW()-4,"000000"))</f>
        <v/>
      </c>
      <c r="B108" s="32"/>
      <c r="C108" s="37"/>
      <c r="D108" s="31"/>
      <c r="E108" s="33"/>
      <c r="F108" s="32"/>
      <c r="G108" s="35" t="str">
        <f aca="false">IF($B108="","",IFERROR(INDEX(CM_NOME,MATCH($B108,CM_ID,0)),"?"))</f>
        <v/>
      </c>
      <c r="H108" s="34" t="str">
        <f aca="false">IF($B108="","",IFERROR(INDEX(CM_QTD,MATCH($B108,CM_ID,0)),""))</f>
        <v/>
      </c>
      <c r="I108" s="35" t="str">
        <f aca="false">IF($A108="","",$C108&amp;"/"&amp;$H108)</f>
        <v/>
      </c>
      <c r="J108" s="35" t="str">
        <f aca="false">IF($A108="","",IF($C108&lt;=IFERROR(INDEX(CM_PAGASANTES,MATCH($B108,CM_ID,0)),0),"SIM","NAO"))</f>
        <v/>
      </c>
      <c r="K108" s="36" t="n">
        <f aca="false">IF($A108="",0,SUMIFS(L_Valor,L_ParcID,$A108,L_Status,"REALIZADO"))</f>
        <v>0</v>
      </c>
      <c r="L108" s="38" t="str">
        <f aca="false">IF($A108="","",IFERROR(INDEX(L_Data,MATCH(1,INDEX((L_ParcID=$A108)*(L_Status="REALIZADO"),0),0)),""))</f>
        <v/>
      </c>
      <c r="M108" s="34" t="n">
        <f aca="false">IF($A108="",0,COUNTIFS(L_ParcID,$A108,L_Status,"REALIZADO"))</f>
        <v>0</v>
      </c>
      <c r="N108" s="34" t="n">
        <f aca="false">IF($A108="",0,COUNTIFS(L_ParcID,$A108,L_Status,"PROJETADO"))</f>
        <v>0</v>
      </c>
      <c r="O108" s="35" t="str">
        <f aca="false">IF($A108="","",IF($J108="SIM","PAGA",IF($M108&gt;0,"PAGA",IF($D108&lt;CFG_HOJE,"ATRASADA",IF($D108&lt;=EOMONTH(CFG_HOJE,0),"ABERTA","PROJETADA")))))</f>
        <v/>
      </c>
      <c r="P108" s="34" t="n">
        <f aca="false">IF($O108="ATRASADA",CFG_HOJE-$D108,0)</f>
        <v>0</v>
      </c>
      <c r="Q108" s="36" t="n">
        <f aca="false">IF($A108="",0,IF(AND($O108="PAGA",$J108="NAO"),$K108-$E108,0))</f>
        <v>0</v>
      </c>
    </row>
    <row r="109" customFormat="false" ht="15" hidden="false" customHeight="false" outlineLevel="0" collapsed="false">
      <c r="A109" s="30" t="str">
        <f aca="false">IF($B109="","","PAR-"&amp;TEXT(ROW()-4,"000000"))</f>
        <v/>
      </c>
      <c r="B109" s="32"/>
      <c r="C109" s="37"/>
      <c r="D109" s="31"/>
      <c r="E109" s="33"/>
      <c r="F109" s="32"/>
      <c r="G109" s="35" t="str">
        <f aca="false">IF($B109="","",IFERROR(INDEX(CM_NOME,MATCH($B109,CM_ID,0)),"?"))</f>
        <v/>
      </c>
      <c r="H109" s="34" t="str">
        <f aca="false">IF($B109="","",IFERROR(INDEX(CM_QTD,MATCH($B109,CM_ID,0)),""))</f>
        <v/>
      </c>
      <c r="I109" s="35" t="str">
        <f aca="false">IF($A109="","",$C109&amp;"/"&amp;$H109)</f>
        <v/>
      </c>
      <c r="J109" s="35" t="str">
        <f aca="false">IF($A109="","",IF($C109&lt;=IFERROR(INDEX(CM_PAGASANTES,MATCH($B109,CM_ID,0)),0),"SIM","NAO"))</f>
        <v/>
      </c>
      <c r="K109" s="36" t="n">
        <f aca="false">IF($A109="",0,SUMIFS(L_Valor,L_ParcID,$A109,L_Status,"REALIZADO"))</f>
        <v>0</v>
      </c>
      <c r="L109" s="38" t="str">
        <f aca="false">IF($A109="","",IFERROR(INDEX(L_Data,MATCH(1,INDEX((L_ParcID=$A109)*(L_Status="REALIZADO"),0),0)),""))</f>
        <v/>
      </c>
      <c r="M109" s="34" t="n">
        <f aca="false">IF($A109="",0,COUNTIFS(L_ParcID,$A109,L_Status,"REALIZADO"))</f>
        <v>0</v>
      </c>
      <c r="N109" s="34" t="n">
        <f aca="false">IF($A109="",0,COUNTIFS(L_ParcID,$A109,L_Status,"PROJETADO"))</f>
        <v>0</v>
      </c>
      <c r="O109" s="35" t="str">
        <f aca="false">IF($A109="","",IF($J109="SIM","PAGA",IF($M109&gt;0,"PAGA",IF($D109&lt;CFG_HOJE,"ATRASADA",IF($D109&lt;=EOMONTH(CFG_HOJE,0),"ABERTA","PROJETADA")))))</f>
        <v/>
      </c>
      <c r="P109" s="34" t="n">
        <f aca="false">IF($O109="ATRASADA",CFG_HOJE-$D109,0)</f>
        <v>0</v>
      </c>
      <c r="Q109" s="36" t="n">
        <f aca="false">IF($A109="",0,IF(AND($O109="PAGA",$J109="NAO"),$K109-$E109,0))</f>
        <v>0</v>
      </c>
    </row>
    <row r="110" customFormat="false" ht="15" hidden="false" customHeight="false" outlineLevel="0" collapsed="false">
      <c r="A110" s="30" t="str">
        <f aca="false">IF($B110="","","PAR-"&amp;TEXT(ROW()-4,"000000"))</f>
        <v/>
      </c>
      <c r="B110" s="32"/>
      <c r="C110" s="37"/>
      <c r="D110" s="31"/>
      <c r="E110" s="33"/>
      <c r="F110" s="32"/>
      <c r="G110" s="35" t="str">
        <f aca="false">IF($B110="","",IFERROR(INDEX(CM_NOME,MATCH($B110,CM_ID,0)),"?"))</f>
        <v/>
      </c>
      <c r="H110" s="34" t="str">
        <f aca="false">IF($B110="","",IFERROR(INDEX(CM_QTD,MATCH($B110,CM_ID,0)),""))</f>
        <v/>
      </c>
      <c r="I110" s="35" t="str">
        <f aca="false">IF($A110="","",$C110&amp;"/"&amp;$H110)</f>
        <v/>
      </c>
      <c r="J110" s="35" t="str">
        <f aca="false">IF($A110="","",IF($C110&lt;=IFERROR(INDEX(CM_PAGASANTES,MATCH($B110,CM_ID,0)),0),"SIM","NAO"))</f>
        <v/>
      </c>
      <c r="K110" s="36" t="n">
        <f aca="false">IF($A110="",0,SUMIFS(L_Valor,L_ParcID,$A110,L_Status,"REALIZADO"))</f>
        <v>0</v>
      </c>
      <c r="L110" s="38" t="str">
        <f aca="false">IF($A110="","",IFERROR(INDEX(L_Data,MATCH(1,INDEX((L_ParcID=$A110)*(L_Status="REALIZADO"),0),0)),""))</f>
        <v/>
      </c>
      <c r="M110" s="34" t="n">
        <f aca="false">IF($A110="",0,COUNTIFS(L_ParcID,$A110,L_Status,"REALIZADO"))</f>
        <v>0</v>
      </c>
      <c r="N110" s="34" t="n">
        <f aca="false">IF($A110="",0,COUNTIFS(L_ParcID,$A110,L_Status,"PROJETADO"))</f>
        <v>0</v>
      </c>
      <c r="O110" s="35" t="str">
        <f aca="false">IF($A110="","",IF($J110="SIM","PAGA",IF($M110&gt;0,"PAGA",IF($D110&lt;CFG_HOJE,"ATRASADA",IF($D110&lt;=EOMONTH(CFG_HOJE,0),"ABERTA","PROJETADA")))))</f>
        <v/>
      </c>
      <c r="P110" s="34" t="n">
        <f aca="false">IF($O110="ATRASADA",CFG_HOJE-$D110,0)</f>
        <v>0</v>
      </c>
      <c r="Q110" s="36" t="n">
        <f aca="false">IF($A110="",0,IF(AND($O110="PAGA",$J110="NAO"),$K110-$E110,0))</f>
        <v>0</v>
      </c>
    </row>
    <row r="111" customFormat="false" ht="15" hidden="false" customHeight="false" outlineLevel="0" collapsed="false">
      <c r="A111" s="30" t="str">
        <f aca="false">IF($B111="","","PAR-"&amp;TEXT(ROW()-4,"000000"))</f>
        <v/>
      </c>
      <c r="B111" s="32"/>
      <c r="C111" s="37"/>
      <c r="D111" s="31"/>
      <c r="E111" s="33"/>
      <c r="F111" s="32"/>
      <c r="G111" s="35" t="str">
        <f aca="false">IF($B111="","",IFERROR(INDEX(CM_NOME,MATCH($B111,CM_ID,0)),"?"))</f>
        <v/>
      </c>
      <c r="H111" s="34" t="str">
        <f aca="false">IF($B111="","",IFERROR(INDEX(CM_QTD,MATCH($B111,CM_ID,0)),""))</f>
        <v/>
      </c>
      <c r="I111" s="35" t="str">
        <f aca="false">IF($A111="","",$C111&amp;"/"&amp;$H111)</f>
        <v/>
      </c>
      <c r="J111" s="35" t="str">
        <f aca="false">IF($A111="","",IF($C111&lt;=IFERROR(INDEX(CM_PAGASANTES,MATCH($B111,CM_ID,0)),0),"SIM","NAO"))</f>
        <v/>
      </c>
      <c r="K111" s="36" t="n">
        <f aca="false">IF($A111="",0,SUMIFS(L_Valor,L_ParcID,$A111,L_Status,"REALIZADO"))</f>
        <v>0</v>
      </c>
      <c r="L111" s="38" t="str">
        <f aca="false">IF($A111="","",IFERROR(INDEX(L_Data,MATCH(1,INDEX((L_ParcID=$A111)*(L_Status="REALIZADO"),0),0)),""))</f>
        <v/>
      </c>
      <c r="M111" s="34" t="n">
        <f aca="false">IF($A111="",0,COUNTIFS(L_ParcID,$A111,L_Status,"REALIZADO"))</f>
        <v>0</v>
      </c>
      <c r="N111" s="34" t="n">
        <f aca="false">IF($A111="",0,COUNTIFS(L_ParcID,$A111,L_Status,"PROJETADO"))</f>
        <v>0</v>
      </c>
      <c r="O111" s="35" t="str">
        <f aca="false">IF($A111="","",IF($J111="SIM","PAGA",IF($M111&gt;0,"PAGA",IF($D111&lt;CFG_HOJE,"ATRASADA",IF($D111&lt;=EOMONTH(CFG_HOJE,0),"ABERTA","PROJETADA")))))</f>
        <v/>
      </c>
      <c r="P111" s="34" t="n">
        <f aca="false">IF($O111="ATRASADA",CFG_HOJE-$D111,0)</f>
        <v>0</v>
      </c>
      <c r="Q111" s="36" t="n">
        <f aca="false">IF($A111="",0,IF(AND($O111="PAGA",$J111="NAO"),$K111-$E111,0))</f>
        <v>0</v>
      </c>
    </row>
    <row r="112" customFormat="false" ht="15" hidden="false" customHeight="false" outlineLevel="0" collapsed="false">
      <c r="A112" s="30" t="str">
        <f aca="false">IF($B112="","","PAR-"&amp;TEXT(ROW()-4,"000000"))</f>
        <v/>
      </c>
      <c r="B112" s="32"/>
      <c r="C112" s="37"/>
      <c r="D112" s="31"/>
      <c r="E112" s="33"/>
      <c r="F112" s="32"/>
      <c r="G112" s="35" t="str">
        <f aca="false">IF($B112="","",IFERROR(INDEX(CM_NOME,MATCH($B112,CM_ID,0)),"?"))</f>
        <v/>
      </c>
      <c r="H112" s="34" t="str">
        <f aca="false">IF($B112="","",IFERROR(INDEX(CM_QTD,MATCH($B112,CM_ID,0)),""))</f>
        <v/>
      </c>
      <c r="I112" s="35" t="str">
        <f aca="false">IF($A112="","",$C112&amp;"/"&amp;$H112)</f>
        <v/>
      </c>
      <c r="J112" s="35" t="str">
        <f aca="false">IF($A112="","",IF($C112&lt;=IFERROR(INDEX(CM_PAGASANTES,MATCH($B112,CM_ID,0)),0),"SIM","NAO"))</f>
        <v/>
      </c>
      <c r="K112" s="36" t="n">
        <f aca="false">IF($A112="",0,SUMIFS(L_Valor,L_ParcID,$A112,L_Status,"REALIZADO"))</f>
        <v>0</v>
      </c>
      <c r="L112" s="38" t="str">
        <f aca="false">IF($A112="","",IFERROR(INDEX(L_Data,MATCH(1,INDEX((L_ParcID=$A112)*(L_Status="REALIZADO"),0),0)),""))</f>
        <v/>
      </c>
      <c r="M112" s="34" t="n">
        <f aca="false">IF($A112="",0,COUNTIFS(L_ParcID,$A112,L_Status,"REALIZADO"))</f>
        <v>0</v>
      </c>
      <c r="N112" s="34" t="n">
        <f aca="false">IF($A112="",0,COUNTIFS(L_ParcID,$A112,L_Status,"PROJETADO"))</f>
        <v>0</v>
      </c>
      <c r="O112" s="35" t="str">
        <f aca="false">IF($A112="","",IF($J112="SIM","PAGA",IF($M112&gt;0,"PAGA",IF($D112&lt;CFG_HOJE,"ATRASADA",IF($D112&lt;=EOMONTH(CFG_HOJE,0),"ABERTA","PROJETADA")))))</f>
        <v/>
      </c>
      <c r="P112" s="34" t="n">
        <f aca="false">IF($O112="ATRASADA",CFG_HOJE-$D112,0)</f>
        <v>0</v>
      </c>
      <c r="Q112" s="36" t="n">
        <f aca="false">IF($A112="",0,IF(AND($O112="PAGA",$J112="NAO"),$K112-$E112,0))</f>
        <v>0</v>
      </c>
    </row>
    <row r="113" customFormat="false" ht="15" hidden="false" customHeight="false" outlineLevel="0" collapsed="false">
      <c r="A113" s="30" t="str">
        <f aca="false">IF($B113="","","PAR-"&amp;TEXT(ROW()-4,"000000"))</f>
        <v/>
      </c>
      <c r="B113" s="32"/>
      <c r="C113" s="37"/>
      <c r="D113" s="31"/>
      <c r="E113" s="33"/>
      <c r="F113" s="32"/>
      <c r="G113" s="35" t="str">
        <f aca="false">IF($B113="","",IFERROR(INDEX(CM_NOME,MATCH($B113,CM_ID,0)),"?"))</f>
        <v/>
      </c>
      <c r="H113" s="34" t="str">
        <f aca="false">IF($B113="","",IFERROR(INDEX(CM_QTD,MATCH($B113,CM_ID,0)),""))</f>
        <v/>
      </c>
      <c r="I113" s="35" t="str">
        <f aca="false">IF($A113="","",$C113&amp;"/"&amp;$H113)</f>
        <v/>
      </c>
      <c r="J113" s="35" t="str">
        <f aca="false">IF($A113="","",IF($C113&lt;=IFERROR(INDEX(CM_PAGASANTES,MATCH($B113,CM_ID,0)),0),"SIM","NAO"))</f>
        <v/>
      </c>
      <c r="K113" s="36" t="n">
        <f aca="false">IF($A113="",0,SUMIFS(L_Valor,L_ParcID,$A113,L_Status,"REALIZADO"))</f>
        <v>0</v>
      </c>
      <c r="L113" s="38" t="str">
        <f aca="false">IF($A113="","",IFERROR(INDEX(L_Data,MATCH(1,INDEX((L_ParcID=$A113)*(L_Status="REALIZADO"),0),0)),""))</f>
        <v/>
      </c>
      <c r="M113" s="34" t="n">
        <f aca="false">IF($A113="",0,COUNTIFS(L_ParcID,$A113,L_Status,"REALIZADO"))</f>
        <v>0</v>
      </c>
      <c r="N113" s="34" t="n">
        <f aca="false">IF($A113="",0,COUNTIFS(L_ParcID,$A113,L_Status,"PROJETADO"))</f>
        <v>0</v>
      </c>
      <c r="O113" s="35" t="str">
        <f aca="false">IF($A113="","",IF($J113="SIM","PAGA",IF($M113&gt;0,"PAGA",IF($D113&lt;CFG_HOJE,"ATRASADA",IF($D113&lt;=EOMONTH(CFG_HOJE,0),"ABERTA","PROJETADA")))))</f>
        <v/>
      </c>
      <c r="P113" s="34" t="n">
        <f aca="false">IF($O113="ATRASADA",CFG_HOJE-$D113,0)</f>
        <v>0</v>
      </c>
      <c r="Q113" s="36" t="n">
        <f aca="false">IF($A113="",0,IF(AND($O113="PAGA",$J113="NAO"),$K113-$E113,0))</f>
        <v>0</v>
      </c>
    </row>
    <row r="114" customFormat="false" ht="15" hidden="false" customHeight="false" outlineLevel="0" collapsed="false">
      <c r="A114" s="30" t="str">
        <f aca="false">IF($B114="","","PAR-"&amp;TEXT(ROW()-4,"000000"))</f>
        <v/>
      </c>
      <c r="B114" s="32"/>
      <c r="C114" s="37"/>
      <c r="D114" s="31"/>
      <c r="E114" s="33"/>
      <c r="F114" s="32"/>
      <c r="G114" s="35" t="str">
        <f aca="false">IF($B114="","",IFERROR(INDEX(CM_NOME,MATCH($B114,CM_ID,0)),"?"))</f>
        <v/>
      </c>
      <c r="H114" s="34" t="str">
        <f aca="false">IF($B114="","",IFERROR(INDEX(CM_QTD,MATCH($B114,CM_ID,0)),""))</f>
        <v/>
      </c>
      <c r="I114" s="35" t="str">
        <f aca="false">IF($A114="","",$C114&amp;"/"&amp;$H114)</f>
        <v/>
      </c>
      <c r="J114" s="35" t="str">
        <f aca="false">IF($A114="","",IF($C114&lt;=IFERROR(INDEX(CM_PAGASANTES,MATCH($B114,CM_ID,0)),0),"SIM","NAO"))</f>
        <v/>
      </c>
      <c r="K114" s="36" t="n">
        <f aca="false">IF($A114="",0,SUMIFS(L_Valor,L_ParcID,$A114,L_Status,"REALIZADO"))</f>
        <v>0</v>
      </c>
      <c r="L114" s="38" t="str">
        <f aca="false">IF($A114="","",IFERROR(INDEX(L_Data,MATCH(1,INDEX((L_ParcID=$A114)*(L_Status="REALIZADO"),0),0)),""))</f>
        <v/>
      </c>
      <c r="M114" s="34" t="n">
        <f aca="false">IF($A114="",0,COUNTIFS(L_ParcID,$A114,L_Status,"REALIZADO"))</f>
        <v>0</v>
      </c>
      <c r="N114" s="34" t="n">
        <f aca="false">IF($A114="",0,COUNTIFS(L_ParcID,$A114,L_Status,"PROJETADO"))</f>
        <v>0</v>
      </c>
      <c r="O114" s="35" t="str">
        <f aca="false">IF($A114="","",IF($J114="SIM","PAGA",IF($M114&gt;0,"PAGA",IF($D114&lt;CFG_HOJE,"ATRASADA",IF($D114&lt;=EOMONTH(CFG_HOJE,0),"ABERTA","PROJETADA")))))</f>
        <v/>
      </c>
      <c r="P114" s="34" t="n">
        <f aca="false">IF($O114="ATRASADA",CFG_HOJE-$D114,0)</f>
        <v>0</v>
      </c>
      <c r="Q114" s="36" t="n">
        <f aca="false">IF($A114="",0,IF(AND($O114="PAGA",$J114="NAO"),$K114-$E114,0))</f>
        <v>0</v>
      </c>
    </row>
    <row r="115" customFormat="false" ht="15" hidden="false" customHeight="false" outlineLevel="0" collapsed="false">
      <c r="A115" s="30" t="str">
        <f aca="false">IF($B115="","","PAR-"&amp;TEXT(ROW()-4,"000000"))</f>
        <v/>
      </c>
      <c r="B115" s="32"/>
      <c r="C115" s="37"/>
      <c r="D115" s="31"/>
      <c r="E115" s="33"/>
      <c r="F115" s="32"/>
      <c r="G115" s="35" t="str">
        <f aca="false">IF($B115="","",IFERROR(INDEX(CM_NOME,MATCH($B115,CM_ID,0)),"?"))</f>
        <v/>
      </c>
      <c r="H115" s="34" t="str">
        <f aca="false">IF($B115="","",IFERROR(INDEX(CM_QTD,MATCH($B115,CM_ID,0)),""))</f>
        <v/>
      </c>
      <c r="I115" s="35" t="str">
        <f aca="false">IF($A115="","",$C115&amp;"/"&amp;$H115)</f>
        <v/>
      </c>
      <c r="J115" s="35" t="str">
        <f aca="false">IF($A115="","",IF($C115&lt;=IFERROR(INDEX(CM_PAGASANTES,MATCH($B115,CM_ID,0)),0),"SIM","NAO"))</f>
        <v/>
      </c>
      <c r="K115" s="36" t="n">
        <f aca="false">IF($A115="",0,SUMIFS(L_Valor,L_ParcID,$A115,L_Status,"REALIZADO"))</f>
        <v>0</v>
      </c>
      <c r="L115" s="38" t="str">
        <f aca="false">IF($A115="","",IFERROR(INDEX(L_Data,MATCH(1,INDEX((L_ParcID=$A115)*(L_Status="REALIZADO"),0),0)),""))</f>
        <v/>
      </c>
      <c r="M115" s="34" t="n">
        <f aca="false">IF($A115="",0,COUNTIFS(L_ParcID,$A115,L_Status,"REALIZADO"))</f>
        <v>0</v>
      </c>
      <c r="N115" s="34" t="n">
        <f aca="false">IF($A115="",0,COUNTIFS(L_ParcID,$A115,L_Status,"PROJETADO"))</f>
        <v>0</v>
      </c>
      <c r="O115" s="35" t="str">
        <f aca="false">IF($A115="","",IF($J115="SIM","PAGA",IF($M115&gt;0,"PAGA",IF($D115&lt;CFG_HOJE,"ATRASADA",IF($D115&lt;=EOMONTH(CFG_HOJE,0),"ABERTA","PROJETADA")))))</f>
        <v/>
      </c>
      <c r="P115" s="34" t="n">
        <f aca="false">IF($O115="ATRASADA",CFG_HOJE-$D115,0)</f>
        <v>0</v>
      </c>
      <c r="Q115" s="36" t="n">
        <f aca="false">IF($A115="",0,IF(AND($O115="PAGA",$J115="NAO"),$K115-$E115,0))</f>
        <v>0</v>
      </c>
    </row>
    <row r="116" customFormat="false" ht="15" hidden="false" customHeight="false" outlineLevel="0" collapsed="false">
      <c r="A116" s="30" t="str">
        <f aca="false">IF($B116="","","PAR-"&amp;TEXT(ROW()-4,"000000"))</f>
        <v/>
      </c>
      <c r="B116" s="32"/>
      <c r="C116" s="37"/>
      <c r="D116" s="31"/>
      <c r="E116" s="33"/>
      <c r="F116" s="32"/>
      <c r="G116" s="35" t="str">
        <f aca="false">IF($B116="","",IFERROR(INDEX(CM_NOME,MATCH($B116,CM_ID,0)),"?"))</f>
        <v/>
      </c>
      <c r="H116" s="34" t="str">
        <f aca="false">IF($B116="","",IFERROR(INDEX(CM_QTD,MATCH($B116,CM_ID,0)),""))</f>
        <v/>
      </c>
      <c r="I116" s="35" t="str">
        <f aca="false">IF($A116="","",$C116&amp;"/"&amp;$H116)</f>
        <v/>
      </c>
      <c r="J116" s="35" t="str">
        <f aca="false">IF($A116="","",IF($C116&lt;=IFERROR(INDEX(CM_PAGASANTES,MATCH($B116,CM_ID,0)),0),"SIM","NAO"))</f>
        <v/>
      </c>
      <c r="K116" s="36" t="n">
        <f aca="false">IF($A116="",0,SUMIFS(L_Valor,L_ParcID,$A116,L_Status,"REALIZADO"))</f>
        <v>0</v>
      </c>
      <c r="L116" s="38" t="str">
        <f aca="false">IF($A116="","",IFERROR(INDEX(L_Data,MATCH(1,INDEX((L_ParcID=$A116)*(L_Status="REALIZADO"),0),0)),""))</f>
        <v/>
      </c>
      <c r="M116" s="34" t="n">
        <f aca="false">IF($A116="",0,COUNTIFS(L_ParcID,$A116,L_Status,"REALIZADO"))</f>
        <v>0</v>
      </c>
      <c r="N116" s="34" t="n">
        <f aca="false">IF($A116="",0,COUNTIFS(L_ParcID,$A116,L_Status,"PROJETADO"))</f>
        <v>0</v>
      </c>
      <c r="O116" s="35" t="str">
        <f aca="false">IF($A116="","",IF($J116="SIM","PAGA",IF($M116&gt;0,"PAGA",IF($D116&lt;CFG_HOJE,"ATRASADA",IF($D116&lt;=EOMONTH(CFG_HOJE,0),"ABERTA","PROJETADA")))))</f>
        <v/>
      </c>
      <c r="P116" s="34" t="n">
        <f aca="false">IF($O116="ATRASADA",CFG_HOJE-$D116,0)</f>
        <v>0</v>
      </c>
      <c r="Q116" s="36" t="n">
        <f aca="false">IF($A116="",0,IF(AND($O116="PAGA",$J116="NAO"),$K116-$E116,0))</f>
        <v>0</v>
      </c>
    </row>
    <row r="117" customFormat="false" ht="15" hidden="false" customHeight="false" outlineLevel="0" collapsed="false">
      <c r="A117" s="30" t="str">
        <f aca="false">IF($B117="","","PAR-"&amp;TEXT(ROW()-4,"000000"))</f>
        <v/>
      </c>
      <c r="B117" s="32"/>
      <c r="C117" s="37"/>
      <c r="D117" s="31"/>
      <c r="E117" s="33"/>
      <c r="F117" s="32"/>
      <c r="G117" s="35" t="str">
        <f aca="false">IF($B117="","",IFERROR(INDEX(CM_NOME,MATCH($B117,CM_ID,0)),"?"))</f>
        <v/>
      </c>
      <c r="H117" s="34" t="str">
        <f aca="false">IF($B117="","",IFERROR(INDEX(CM_QTD,MATCH($B117,CM_ID,0)),""))</f>
        <v/>
      </c>
      <c r="I117" s="35" t="str">
        <f aca="false">IF($A117="","",$C117&amp;"/"&amp;$H117)</f>
        <v/>
      </c>
      <c r="J117" s="35" t="str">
        <f aca="false">IF($A117="","",IF($C117&lt;=IFERROR(INDEX(CM_PAGASANTES,MATCH($B117,CM_ID,0)),0),"SIM","NAO"))</f>
        <v/>
      </c>
      <c r="K117" s="36" t="n">
        <f aca="false">IF($A117="",0,SUMIFS(L_Valor,L_ParcID,$A117,L_Status,"REALIZADO"))</f>
        <v>0</v>
      </c>
      <c r="L117" s="38" t="str">
        <f aca="false">IF($A117="","",IFERROR(INDEX(L_Data,MATCH(1,INDEX((L_ParcID=$A117)*(L_Status="REALIZADO"),0),0)),""))</f>
        <v/>
      </c>
      <c r="M117" s="34" t="n">
        <f aca="false">IF($A117="",0,COUNTIFS(L_ParcID,$A117,L_Status,"REALIZADO"))</f>
        <v>0</v>
      </c>
      <c r="N117" s="34" t="n">
        <f aca="false">IF($A117="",0,COUNTIFS(L_ParcID,$A117,L_Status,"PROJETADO"))</f>
        <v>0</v>
      </c>
      <c r="O117" s="35" t="str">
        <f aca="false">IF($A117="","",IF($J117="SIM","PAGA",IF($M117&gt;0,"PAGA",IF($D117&lt;CFG_HOJE,"ATRASADA",IF($D117&lt;=EOMONTH(CFG_HOJE,0),"ABERTA","PROJETADA")))))</f>
        <v/>
      </c>
      <c r="P117" s="34" t="n">
        <f aca="false">IF($O117="ATRASADA",CFG_HOJE-$D117,0)</f>
        <v>0</v>
      </c>
      <c r="Q117" s="36" t="n">
        <f aca="false">IF($A117="",0,IF(AND($O117="PAGA",$J117="NAO"),$K117-$E117,0))</f>
        <v>0</v>
      </c>
    </row>
    <row r="118" customFormat="false" ht="15" hidden="false" customHeight="false" outlineLevel="0" collapsed="false">
      <c r="A118" s="30" t="str">
        <f aca="false">IF($B118="","","PAR-"&amp;TEXT(ROW()-4,"000000"))</f>
        <v/>
      </c>
      <c r="B118" s="32"/>
      <c r="C118" s="37"/>
      <c r="D118" s="31"/>
      <c r="E118" s="33"/>
      <c r="F118" s="32"/>
      <c r="G118" s="35" t="str">
        <f aca="false">IF($B118="","",IFERROR(INDEX(CM_NOME,MATCH($B118,CM_ID,0)),"?"))</f>
        <v/>
      </c>
      <c r="H118" s="34" t="str">
        <f aca="false">IF($B118="","",IFERROR(INDEX(CM_QTD,MATCH($B118,CM_ID,0)),""))</f>
        <v/>
      </c>
      <c r="I118" s="35" t="str">
        <f aca="false">IF($A118="","",$C118&amp;"/"&amp;$H118)</f>
        <v/>
      </c>
      <c r="J118" s="35" t="str">
        <f aca="false">IF($A118="","",IF($C118&lt;=IFERROR(INDEX(CM_PAGASANTES,MATCH($B118,CM_ID,0)),0),"SIM","NAO"))</f>
        <v/>
      </c>
      <c r="K118" s="36" t="n">
        <f aca="false">IF($A118="",0,SUMIFS(L_Valor,L_ParcID,$A118,L_Status,"REALIZADO"))</f>
        <v>0</v>
      </c>
      <c r="L118" s="38" t="str">
        <f aca="false">IF($A118="","",IFERROR(INDEX(L_Data,MATCH(1,INDEX((L_ParcID=$A118)*(L_Status="REALIZADO"),0),0)),""))</f>
        <v/>
      </c>
      <c r="M118" s="34" t="n">
        <f aca="false">IF($A118="",0,COUNTIFS(L_ParcID,$A118,L_Status,"REALIZADO"))</f>
        <v>0</v>
      </c>
      <c r="N118" s="34" t="n">
        <f aca="false">IF($A118="",0,COUNTIFS(L_ParcID,$A118,L_Status,"PROJETADO"))</f>
        <v>0</v>
      </c>
      <c r="O118" s="35" t="str">
        <f aca="false">IF($A118="","",IF($J118="SIM","PAGA",IF($M118&gt;0,"PAGA",IF($D118&lt;CFG_HOJE,"ATRASADA",IF($D118&lt;=EOMONTH(CFG_HOJE,0),"ABERTA","PROJETADA")))))</f>
        <v/>
      </c>
      <c r="P118" s="34" t="n">
        <f aca="false">IF($O118="ATRASADA",CFG_HOJE-$D118,0)</f>
        <v>0</v>
      </c>
      <c r="Q118" s="36" t="n">
        <f aca="false">IF($A118="",0,IF(AND($O118="PAGA",$J118="NAO"),$K118-$E118,0))</f>
        <v>0</v>
      </c>
    </row>
    <row r="119" customFormat="false" ht="15" hidden="false" customHeight="false" outlineLevel="0" collapsed="false">
      <c r="A119" s="30" t="str">
        <f aca="false">IF($B119="","","PAR-"&amp;TEXT(ROW()-4,"000000"))</f>
        <v/>
      </c>
      <c r="B119" s="32"/>
      <c r="C119" s="37"/>
      <c r="D119" s="31"/>
      <c r="E119" s="33"/>
      <c r="F119" s="32"/>
      <c r="G119" s="35" t="str">
        <f aca="false">IF($B119="","",IFERROR(INDEX(CM_NOME,MATCH($B119,CM_ID,0)),"?"))</f>
        <v/>
      </c>
      <c r="H119" s="34" t="str">
        <f aca="false">IF($B119="","",IFERROR(INDEX(CM_QTD,MATCH($B119,CM_ID,0)),""))</f>
        <v/>
      </c>
      <c r="I119" s="35" t="str">
        <f aca="false">IF($A119="","",$C119&amp;"/"&amp;$H119)</f>
        <v/>
      </c>
      <c r="J119" s="35" t="str">
        <f aca="false">IF($A119="","",IF($C119&lt;=IFERROR(INDEX(CM_PAGASANTES,MATCH($B119,CM_ID,0)),0),"SIM","NAO"))</f>
        <v/>
      </c>
      <c r="K119" s="36" t="n">
        <f aca="false">IF($A119="",0,SUMIFS(L_Valor,L_ParcID,$A119,L_Status,"REALIZADO"))</f>
        <v>0</v>
      </c>
      <c r="L119" s="38" t="str">
        <f aca="false">IF($A119="","",IFERROR(INDEX(L_Data,MATCH(1,INDEX((L_ParcID=$A119)*(L_Status="REALIZADO"),0),0)),""))</f>
        <v/>
      </c>
      <c r="M119" s="34" t="n">
        <f aca="false">IF($A119="",0,COUNTIFS(L_ParcID,$A119,L_Status,"REALIZADO"))</f>
        <v>0</v>
      </c>
      <c r="N119" s="34" t="n">
        <f aca="false">IF($A119="",0,COUNTIFS(L_ParcID,$A119,L_Status,"PROJETADO"))</f>
        <v>0</v>
      </c>
      <c r="O119" s="35" t="str">
        <f aca="false">IF($A119="","",IF($J119="SIM","PAGA",IF($M119&gt;0,"PAGA",IF($D119&lt;CFG_HOJE,"ATRASADA",IF($D119&lt;=EOMONTH(CFG_HOJE,0),"ABERTA","PROJETADA")))))</f>
        <v/>
      </c>
      <c r="P119" s="34" t="n">
        <f aca="false">IF($O119="ATRASADA",CFG_HOJE-$D119,0)</f>
        <v>0</v>
      </c>
      <c r="Q119" s="36" t="n">
        <f aca="false">IF($A119="",0,IF(AND($O119="PAGA",$J119="NAO"),$K119-$E119,0))</f>
        <v>0</v>
      </c>
    </row>
    <row r="120" customFormat="false" ht="15" hidden="false" customHeight="false" outlineLevel="0" collapsed="false">
      <c r="A120" s="30" t="str">
        <f aca="false">IF($B120="","","PAR-"&amp;TEXT(ROW()-4,"000000"))</f>
        <v/>
      </c>
      <c r="B120" s="32"/>
      <c r="C120" s="37"/>
      <c r="D120" s="31"/>
      <c r="E120" s="33"/>
      <c r="F120" s="32"/>
      <c r="G120" s="35" t="str">
        <f aca="false">IF($B120="","",IFERROR(INDEX(CM_NOME,MATCH($B120,CM_ID,0)),"?"))</f>
        <v/>
      </c>
      <c r="H120" s="34" t="str">
        <f aca="false">IF($B120="","",IFERROR(INDEX(CM_QTD,MATCH($B120,CM_ID,0)),""))</f>
        <v/>
      </c>
      <c r="I120" s="35" t="str">
        <f aca="false">IF($A120="","",$C120&amp;"/"&amp;$H120)</f>
        <v/>
      </c>
      <c r="J120" s="35" t="str">
        <f aca="false">IF($A120="","",IF($C120&lt;=IFERROR(INDEX(CM_PAGASANTES,MATCH($B120,CM_ID,0)),0),"SIM","NAO"))</f>
        <v/>
      </c>
      <c r="K120" s="36" t="n">
        <f aca="false">IF($A120="",0,SUMIFS(L_Valor,L_ParcID,$A120,L_Status,"REALIZADO"))</f>
        <v>0</v>
      </c>
      <c r="L120" s="38" t="str">
        <f aca="false">IF($A120="","",IFERROR(INDEX(L_Data,MATCH(1,INDEX((L_ParcID=$A120)*(L_Status="REALIZADO"),0),0)),""))</f>
        <v/>
      </c>
      <c r="M120" s="34" t="n">
        <f aca="false">IF($A120="",0,COUNTIFS(L_ParcID,$A120,L_Status,"REALIZADO"))</f>
        <v>0</v>
      </c>
      <c r="N120" s="34" t="n">
        <f aca="false">IF($A120="",0,COUNTIFS(L_ParcID,$A120,L_Status,"PROJETADO"))</f>
        <v>0</v>
      </c>
      <c r="O120" s="35" t="str">
        <f aca="false">IF($A120="","",IF($J120="SIM","PAGA",IF($M120&gt;0,"PAGA",IF($D120&lt;CFG_HOJE,"ATRASADA",IF($D120&lt;=EOMONTH(CFG_HOJE,0),"ABERTA","PROJETADA")))))</f>
        <v/>
      </c>
      <c r="P120" s="34" t="n">
        <f aca="false">IF($O120="ATRASADA",CFG_HOJE-$D120,0)</f>
        <v>0</v>
      </c>
      <c r="Q120" s="36" t="n">
        <f aca="false">IF($A120="",0,IF(AND($O120="PAGA",$J120="NAO"),$K120-$E120,0))</f>
        <v>0</v>
      </c>
    </row>
    <row r="121" customFormat="false" ht="15" hidden="false" customHeight="false" outlineLevel="0" collapsed="false">
      <c r="A121" s="30" t="str">
        <f aca="false">IF($B121="","","PAR-"&amp;TEXT(ROW()-4,"000000"))</f>
        <v/>
      </c>
      <c r="B121" s="32"/>
      <c r="C121" s="37"/>
      <c r="D121" s="31"/>
      <c r="E121" s="33"/>
      <c r="F121" s="32"/>
      <c r="G121" s="35" t="str">
        <f aca="false">IF($B121="","",IFERROR(INDEX(CM_NOME,MATCH($B121,CM_ID,0)),"?"))</f>
        <v/>
      </c>
      <c r="H121" s="34" t="str">
        <f aca="false">IF($B121="","",IFERROR(INDEX(CM_QTD,MATCH($B121,CM_ID,0)),""))</f>
        <v/>
      </c>
      <c r="I121" s="35" t="str">
        <f aca="false">IF($A121="","",$C121&amp;"/"&amp;$H121)</f>
        <v/>
      </c>
      <c r="J121" s="35" t="str">
        <f aca="false">IF($A121="","",IF($C121&lt;=IFERROR(INDEX(CM_PAGASANTES,MATCH($B121,CM_ID,0)),0),"SIM","NAO"))</f>
        <v/>
      </c>
      <c r="K121" s="36" t="n">
        <f aca="false">IF($A121="",0,SUMIFS(L_Valor,L_ParcID,$A121,L_Status,"REALIZADO"))</f>
        <v>0</v>
      </c>
      <c r="L121" s="38" t="str">
        <f aca="false">IF($A121="","",IFERROR(INDEX(L_Data,MATCH(1,INDEX((L_ParcID=$A121)*(L_Status="REALIZADO"),0),0)),""))</f>
        <v/>
      </c>
      <c r="M121" s="34" t="n">
        <f aca="false">IF($A121="",0,COUNTIFS(L_ParcID,$A121,L_Status,"REALIZADO"))</f>
        <v>0</v>
      </c>
      <c r="N121" s="34" t="n">
        <f aca="false">IF($A121="",0,COUNTIFS(L_ParcID,$A121,L_Status,"PROJETADO"))</f>
        <v>0</v>
      </c>
      <c r="O121" s="35" t="str">
        <f aca="false">IF($A121="","",IF($J121="SIM","PAGA",IF($M121&gt;0,"PAGA",IF($D121&lt;CFG_HOJE,"ATRASADA",IF($D121&lt;=EOMONTH(CFG_HOJE,0),"ABERTA","PROJETADA")))))</f>
        <v/>
      </c>
      <c r="P121" s="34" t="n">
        <f aca="false">IF($O121="ATRASADA",CFG_HOJE-$D121,0)</f>
        <v>0</v>
      </c>
      <c r="Q121" s="36" t="n">
        <f aca="false">IF($A121="",0,IF(AND($O121="PAGA",$J121="NAO"),$K121-$E121,0))</f>
        <v>0</v>
      </c>
    </row>
    <row r="122" customFormat="false" ht="15" hidden="false" customHeight="false" outlineLevel="0" collapsed="false">
      <c r="A122" s="30" t="str">
        <f aca="false">IF($B122="","","PAR-"&amp;TEXT(ROW()-4,"000000"))</f>
        <v/>
      </c>
      <c r="B122" s="32"/>
      <c r="C122" s="37"/>
      <c r="D122" s="31"/>
      <c r="E122" s="33"/>
      <c r="F122" s="32"/>
      <c r="G122" s="35" t="str">
        <f aca="false">IF($B122="","",IFERROR(INDEX(CM_NOME,MATCH($B122,CM_ID,0)),"?"))</f>
        <v/>
      </c>
      <c r="H122" s="34" t="str">
        <f aca="false">IF($B122="","",IFERROR(INDEX(CM_QTD,MATCH($B122,CM_ID,0)),""))</f>
        <v/>
      </c>
      <c r="I122" s="35" t="str">
        <f aca="false">IF($A122="","",$C122&amp;"/"&amp;$H122)</f>
        <v/>
      </c>
      <c r="J122" s="35" t="str">
        <f aca="false">IF($A122="","",IF($C122&lt;=IFERROR(INDEX(CM_PAGASANTES,MATCH($B122,CM_ID,0)),0),"SIM","NAO"))</f>
        <v/>
      </c>
      <c r="K122" s="36" t="n">
        <f aca="false">IF($A122="",0,SUMIFS(L_Valor,L_ParcID,$A122,L_Status,"REALIZADO"))</f>
        <v>0</v>
      </c>
      <c r="L122" s="38" t="str">
        <f aca="false">IF($A122="","",IFERROR(INDEX(L_Data,MATCH(1,INDEX((L_ParcID=$A122)*(L_Status="REALIZADO"),0),0)),""))</f>
        <v/>
      </c>
      <c r="M122" s="34" t="n">
        <f aca="false">IF($A122="",0,COUNTIFS(L_ParcID,$A122,L_Status,"REALIZADO"))</f>
        <v>0</v>
      </c>
      <c r="N122" s="34" t="n">
        <f aca="false">IF($A122="",0,COUNTIFS(L_ParcID,$A122,L_Status,"PROJETADO"))</f>
        <v>0</v>
      </c>
      <c r="O122" s="35" t="str">
        <f aca="false">IF($A122="","",IF($J122="SIM","PAGA",IF($M122&gt;0,"PAGA",IF($D122&lt;CFG_HOJE,"ATRASADA",IF($D122&lt;=EOMONTH(CFG_HOJE,0),"ABERTA","PROJETADA")))))</f>
        <v/>
      </c>
      <c r="P122" s="34" t="n">
        <f aca="false">IF($O122="ATRASADA",CFG_HOJE-$D122,0)</f>
        <v>0</v>
      </c>
      <c r="Q122" s="36" t="n">
        <f aca="false">IF($A122="",0,IF(AND($O122="PAGA",$J122="NAO"),$K122-$E122,0))</f>
        <v>0</v>
      </c>
    </row>
    <row r="123" customFormat="false" ht="15" hidden="false" customHeight="false" outlineLevel="0" collapsed="false">
      <c r="A123" s="30" t="str">
        <f aca="false">IF($B123="","","PAR-"&amp;TEXT(ROW()-4,"000000"))</f>
        <v/>
      </c>
      <c r="B123" s="32"/>
      <c r="C123" s="37"/>
      <c r="D123" s="31"/>
      <c r="E123" s="33"/>
      <c r="F123" s="32"/>
      <c r="G123" s="35" t="str">
        <f aca="false">IF($B123="","",IFERROR(INDEX(CM_NOME,MATCH($B123,CM_ID,0)),"?"))</f>
        <v/>
      </c>
      <c r="H123" s="34" t="str">
        <f aca="false">IF($B123="","",IFERROR(INDEX(CM_QTD,MATCH($B123,CM_ID,0)),""))</f>
        <v/>
      </c>
      <c r="I123" s="35" t="str">
        <f aca="false">IF($A123="","",$C123&amp;"/"&amp;$H123)</f>
        <v/>
      </c>
      <c r="J123" s="35" t="str">
        <f aca="false">IF($A123="","",IF($C123&lt;=IFERROR(INDEX(CM_PAGASANTES,MATCH($B123,CM_ID,0)),0),"SIM","NAO"))</f>
        <v/>
      </c>
      <c r="K123" s="36" t="n">
        <f aca="false">IF($A123="",0,SUMIFS(L_Valor,L_ParcID,$A123,L_Status,"REALIZADO"))</f>
        <v>0</v>
      </c>
      <c r="L123" s="38" t="str">
        <f aca="false">IF($A123="","",IFERROR(INDEX(L_Data,MATCH(1,INDEX((L_ParcID=$A123)*(L_Status="REALIZADO"),0),0)),""))</f>
        <v/>
      </c>
      <c r="M123" s="34" t="n">
        <f aca="false">IF($A123="",0,COUNTIFS(L_ParcID,$A123,L_Status,"REALIZADO"))</f>
        <v>0</v>
      </c>
      <c r="N123" s="34" t="n">
        <f aca="false">IF($A123="",0,COUNTIFS(L_ParcID,$A123,L_Status,"PROJETADO"))</f>
        <v>0</v>
      </c>
      <c r="O123" s="35" t="str">
        <f aca="false">IF($A123="","",IF($J123="SIM","PAGA",IF($M123&gt;0,"PAGA",IF($D123&lt;CFG_HOJE,"ATRASADA",IF($D123&lt;=EOMONTH(CFG_HOJE,0),"ABERTA","PROJETADA")))))</f>
        <v/>
      </c>
      <c r="P123" s="34" t="n">
        <f aca="false">IF($O123="ATRASADA",CFG_HOJE-$D123,0)</f>
        <v>0</v>
      </c>
      <c r="Q123" s="36" t="n">
        <f aca="false">IF($A123="",0,IF(AND($O123="PAGA",$J123="NAO"),$K123-$E123,0))</f>
        <v>0</v>
      </c>
    </row>
    <row r="124" customFormat="false" ht="15" hidden="false" customHeight="false" outlineLevel="0" collapsed="false">
      <c r="A124" s="30" t="str">
        <f aca="false">IF($B124="","","PAR-"&amp;TEXT(ROW()-4,"000000"))</f>
        <v/>
      </c>
      <c r="B124" s="32"/>
      <c r="C124" s="37"/>
      <c r="D124" s="31"/>
      <c r="E124" s="33"/>
      <c r="F124" s="32"/>
      <c r="G124" s="35" t="str">
        <f aca="false">IF($B124="","",IFERROR(INDEX(CM_NOME,MATCH($B124,CM_ID,0)),"?"))</f>
        <v/>
      </c>
      <c r="H124" s="34" t="str">
        <f aca="false">IF($B124="","",IFERROR(INDEX(CM_QTD,MATCH($B124,CM_ID,0)),""))</f>
        <v/>
      </c>
      <c r="I124" s="35" t="str">
        <f aca="false">IF($A124="","",$C124&amp;"/"&amp;$H124)</f>
        <v/>
      </c>
      <c r="J124" s="35" t="str">
        <f aca="false">IF($A124="","",IF($C124&lt;=IFERROR(INDEX(CM_PAGASANTES,MATCH($B124,CM_ID,0)),0),"SIM","NAO"))</f>
        <v/>
      </c>
      <c r="K124" s="36" t="n">
        <f aca="false">IF($A124="",0,SUMIFS(L_Valor,L_ParcID,$A124,L_Status,"REALIZADO"))</f>
        <v>0</v>
      </c>
      <c r="L124" s="38" t="str">
        <f aca="false">IF($A124="","",IFERROR(INDEX(L_Data,MATCH(1,INDEX((L_ParcID=$A124)*(L_Status="REALIZADO"),0),0)),""))</f>
        <v/>
      </c>
      <c r="M124" s="34" t="n">
        <f aca="false">IF($A124="",0,COUNTIFS(L_ParcID,$A124,L_Status,"REALIZADO"))</f>
        <v>0</v>
      </c>
      <c r="N124" s="34" t="n">
        <f aca="false">IF($A124="",0,COUNTIFS(L_ParcID,$A124,L_Status,"PROJETADO"))</f>
        <v>0</v>
      </c>
      <c r="O124" s="35" t="str">
        <f aca="false">IF($A124="","",IF($J124="SIM","PAGA",IF($M124&gt;0,"PAGA",IF($D124&lt;CFG_HOJE,"ATRASADA",IF($D124&lt;=EOMONTH(CFG_HOJE,0),"ABERTA","PROJETADA")))))</f>
        <v/>
      </c>
      <c r="P124" s="34" t="n">
        <f aca="false">IF($O124="ATRASADA",CFG_HOJE-$D124,0)</f>
        <v>0</v>
      </c>
      <c r="Q124" s="36" t="n">
        <f aca="false">IF($A124="",0,IF(AND($O124="PAGA",$J124="NAO"),$K124-$E124,0))</f>
        <v>0</v>
      </c>
    </row>
    <row r="125" customFormat="false" ht="15" hidden="false" customHeight="false" outlineLevel="0" collapsed="false">
      <c r="A125" s="30" t="str">
        <f aca="false">IF($B125="","","PAR-"&amp;TEXT(ROW()-4,"000000"))</f>
        <v/>
      </c>
      <c r="B125" s="32"/>
      <c r="C125" s="37"/>
      <c r="D125" s="31"/>
      <c r="E125" s="33"/>
      <c r="F125" s="32"/>
      <c r="G125" s="35" t="str">
        <f aca="false">IF($B125="","",IFERROR(INDEX(CM_NOME,MATCH($B125,CM_ID,0)),"?"))</f>
        <v/>
      </c>
      <c r="H125" s="34" t="str">
        <f aca="false">IF($B125="","",IFERROR(INDEX(CM_QTD,MATCH($B125,CM_ID,0)),""))</f>
        <v/>
      </c>
      <c r="I125" s="35" t="str">
        <f aca="false">IF($A125="","",$C125&amp;"/"&amp;$H125)</f>
        <v/>
      </c>
      <c r="J125" s="35" t="str">
        <f aca="false">IF($A125="","",IF($C125&lt;=IFERROR(INDEX(CM_PAGASANTES,MATCH($B125,CM_ID,0)),0),"SIM","NAO"))</f>
        <v/>
      </c>
      <c r="K125" s="36" t="n">
        <f aca="false">IF($A125="",0,SUMIFS(L_Valor,L_ParcID,$A125,L_Status,"REALIZADO"))</f>
        <v>0</v>
      </c>
      <c r="L125" s="38" t="str">
        <f aca="false">IF($A125="","",IFERROR(INDEX(L_Data,MATCH(1,INDEX((L_ParcID=$A125)*(L_Status="REALIZADO"),0),0)),""))</f>
        <v/>
      </c>
      <c r="M125" s="34" t="n">
        <f aca="false">IF($A125="",0,COUNTIFS(L_ParcID,$A125,L_Status,"REALIZADO"))</f>
        <v>0</v>
      </c>
      <c r="N125" s="34" t="n">
        <f aca="false">IF($A125="",0,COUNTIFS(L_ParcID,$A125,L_Status,"PROJETADO"))</f>
        <v>0</v>
      </c>
      <c r="O125" s="35" t="str">
        <f aca="false">IF($A125="","",IF($J125="SIM","PAGA",IF($M125&gt;0,"PAGA",IF($D125&lt;CFG_HOJE,"ATRASADA",IF($D125&lt;=EOMONTH(CFG_HOJE,0),"ABERTA","PROJETADA")))))</f>
        <v/>
      </c>
      <c r="P125" s="34" t="n">
        <f aca="false">IF($O125="ATRASADA",CFG_HOJE-$D125,0)</f>
        <v>0</v>
      </c>
      <c r="Q125" s="36" t="n">
        <f aca="false">IF($A125="",0,IF(AND($O125="PAGA",$J125="NAO"),$K125-$E125,0))</f>
        <v>0</v>
      </c>
    </row>
    <row r="126" customFormat="false" ht="15" hidden="false" customHeight="false" outlineLevel="0" collapsed="false">
      <c r="A126" s="30" t="str">
        <f aca="false">IF($B126="","","PAR-"&amp;TEXT(ROW()-4,"000000"))</f>
        <v/>
      </c>
      <c r="B126" s="32"/>
      <c r="C126" s="37"/>
      <c r="D126" s="31"/>
      <c r="E126" s="33"/>
      <c r="F126" s="32"/>
      <c r="G126" s="35" t="str">
        <f aca="false">IF($B126="","",IFERROR(INDEX(CM_NOME,MATCH($B126,CM_ID,0)),"?"))</f>
        <v/>
      </c>
      <c r="H126" s="34" t="str">
        <f aca="false">IF($B126="","",IFERROR(INDEX(CM_QTD,MATCH($B126,CM_ID,0)),""))</f>
        <v/>
      </c>
      <c r="I126" s="35" t="str">
        <f aca="false">IF($A126="","",$C126&amp;"/"&amp;$H126)</f>
        <v/>
      </c>
      <c r="J126" s="35" t="str">
        <f aca="false">IF($A126="","",IF($C126&lt;=IFERROR(INDEX(CM_PAGASANTES,MATCH($B126,CM_ID,0)),0),"SIM","NAO"))</f>
        <v/>
      </c>
      <c r="K126" s="36" t="n">
        <f aca="false">IF($A126="",0,SUMIFS(L_Valor,L_ParcID,$A126,L_Status,"REALIZADO"))</f>
        <v>0</v>
      </c>
      <c r="L126" s="38" t="str">
        <f aca="false">IF($A126="","",IFERROR(INDEX(L_Data,MATCH(1,INDEX((L_ParcID=$A126)*(L_Status="REALIZADO"),0),0)),""))</f>
        <v/>
      </c>
      <c r="M126" s="34" t="n">
        <f aca="false">IF($A126="",0,COUNTIFS(L_ParcID,$A126,L_Status,"REALIZADO"))</f>
        <v>0</v>
      </c>
      <c r="N126" s="34" t="n">
        <f aca="false">IF($A126="",0,COUNTIFS(L_ParcID,$A126,L_Status,"PROJETADO"))</f>
        <v>0</v>
      </c>
      <c r="O126" s="35" t="str">
        <f aca="false">IF($A126="","",IF($J126="SIM","PAGA",IF($M126&gt;0,"PAGA",IF($D126&lt;CFG_HOJE,"ATRASADA",IF($D126&lt;=EOMONTH(CFG_HOJE,0),"ABERTA","PROJETADA")))))</f>
        <v/>
      </c>
      <c r="P126" s="34" t="n">
        <f aca="false">IF($O126="ATRASADA",CFG_HOJE-$D126,0)</f>
        <v>0</v>
      </c>
      <c r="Q126" s="36" t="n">
        <f aca="false">IF($A126="",0,IF(AND($O126="PAGA",$J126="NAO"),$K126-$E126,0))</f>
        <v>0</v>
      </c>
    </row>
    <row r="127" customFormat="false" ht="15" hidden="false" customHeight="false" outlineLevel="0" collapsed="false">
      <c r="A127" s="30" t="str">
        <f aca="false">IF($B127="","","PAR-"&amp;TEXT(ROW()-4,"000000"))</f>
        <v/>
      </c>
      <c r="B127" s="32"/>
      <c r="C127" s="37"/>
      <c r="D127" s="31"/>
      <c r="E127" s="33"/>
      <c r="F127" s="32"/>
      <c r="G127" s="35" t="str">
        <f aca="false">IF($B127="","",IFERROR(INDEX(CM_NOME,MATCH($B127,CM_ID,0)),"?"))</f>
        <v/>
      </c>
      <c r="H127" s="34" t="str">
        <f aca="false">IF($B127="","",IFERROR(INDEX(CM_QTD,MATCH($B127,CM_ID,0)),""))</f>
        <v/>
      </c>
      <c r="I127" s="35" t="str">
        <f aca="false">IF($A127="","",$C127&amp;"/"&amp;$H127)</f>
        <v/>
      </c>
      <c r="J127" s="35" t="str">
        <f aca="false">IF($A127="","",IF($C127&lt;=IFERROR(INDEX(CM_PAGASANTES,MATCH($B127,CM_ID,0)),0),"SIM","NAO"))</f>
        <v/>
      </c>
      <c r="K127" s="36" t="n">
        <f aca="false">IF($A127="",0,SUMIFS(L_Valor,L_ParcID,$A127,L_Status,"REALIZADO"))</f>
        <v>0</v>
      </c>
      <c r="L127" s="38" t="str">
        <f aca="false">IF($A127="","",IFERROR(INDEX(L_Data,MATCH(1,INDEX((L_ParcID=$A127)*(L_Status="REALIZADO"),0),0)),""))</f>
        <v/>
      </c>
      <c r="M127" s="34" t="n">
        <f aca="false">IF($A127="",0,COUNTIFS(L_ParcID,$A127,L_Status,"REALIZADO"))</f>
        <v>0</v>
      </c>
      <c r="N127" s="34" t="n">
        <f aca="false">IF($A127="",0,COUNTIFS(L_ParcID,$A127,L_Status,"PROJETADO"))</f>
        <v>0</v>
      </c>
      <c r="O127" s="35" t="str">
        <f aca="false">IF($A127="","",IF($J127="SIM","PAGA",IF($M127&gt;0,"PAGA",IF($D127&lt;CFG_HOJE,"ATRASADA",IF($D127&lt;=EOMONTH(CFG_HOJE,0),"ABERTA","PROJETADA")))))</f>
        <v/>
      </c>
      <c r="P127" s="34" t="n">
        <f aca="false">IF($O127="ATRASADA",CFG_HOJE-$D127,0)</f>
        <v>0</v>
      </c>
      <c r="Q127" s="36" t="n">
        <f aca="false">IF($A127="",0,IF(AND($O127="PAGA",$J127="NAO"),$K127-$E127,0))</f>
        <v>0</v>
      </c>
    </row>
    <row r="128" customFormat="false" ht="15" hidden="false" customHeight="false" outlineLevel="0" collapsed="false">
      <c r="A128" s="30" t="str">
        <f aca="false">IF($B128="","","PAR-"&amp;TEXT(ROW()-4,"000000"))</f>
        <v/>
      </c>
      <c r="B128" s="32"/>
      <c r="C128" s="37"/>
      <c r="D128" s="31"/>
      <c r="E128" s="33"/>
      <c r="F128" s="32"/>
      <c r="G128" s="35" t="str">
        <f aca="false">IF($B128="","",IFERROR(INDEX(CM_NOME,MATCH($B128,CM_ID,0)),"?"))</f>
        <v/>
      </c>
      <c r="H128" s="34" t="str">
        <f aca="false">IF($B128="","",IFERROR(INDEX(CM_QTD,MATCH($B128,CM_ID,0)),""))</f>
        <v/>
      </c>
      <c r="I128" s="35" t="str">
        <f aca="false">IF($A128="","",$C128&amp;"/"&amp;$H128)</f>
        <v/>
      </c>
      <c r="J128" s="35" t="str">
        <f aca="false">IF($A128="","",IF($C128&lt;=IFERROR(INDEX(CM_PAGASANTES,MATCH($B128,CM_ID,0)),0),"SIM","NAO"))</f>
        <v/>
      </c>
      <c r="K128" s="36" t="n">
        <f aca="false">IF($A128="",0,SUMIFS(L_Valor,L_ParcID,$A128,L_Status,"REALIZADO"))</f>
        <v>0</v>
      </c>
      <c r="L128" s="38" t="str">
        <f aca="false">IF($A128="","",IFERROR(INDEX(L_Data,MATCH(1,INDEX((L_ParcID=$A128)*(L_Status="REALIZADO"),0),0)),""))</f>
        <v/>
      </c>
      <c r="M128" s="34" t="n">
        <f aca="false">IF($A128="",0,COUNTIFS(L_ParcID,$A128,L_Status,"REALIZADO"))</f>
        <v>0</v>
      </c>
      <c r="N128" s="34" t="n">
        <f aca="false">IF($A128="",0,COUNTIFS(L_ParcID,$A128,L_Status,"PROJETADO"))</f>
        <v>0</v>
      </c>
      <c r="O128" s="35" t="str">
        <f aca="false">IF($A128="","",IF($J128="SIM","PAGA",IF($M128&gt;0,"PAGA",IF($D128&lt;CFG_HOJE,"ATRASADA",IF($D128&lt;=EOMONTH(CFG_HOJE,0),"ABERTA","PROJETADA")))))</f>
        <v/>
      </c>
      <c r="P128" s="34" t="n">
        <f aca="false">IF($O128="ATRASADA",CFG_HOJE-$D128,0)</f>
        <v>0</v>
      </c>
      <c r="Q128" s="36" t="n">
        <f aca="false">IF($A128="",0,IF(AND($O128="PAGA",$J128="NAO"),$K128-$E128,0))</f>
        <v>0</v>
      </c>
    </row>
    <row r="129" customFormat="false" ht="15" hidden="false" customHeight="false" outlineLevel="0" collapsed="false">
      <c r="A129" s="30" t="str">
        <f aca="false">IF($B129="","","PAR-"&amp;TEXT(ROW()-4,"000000"))</f>
        <v/>
      </c>
      <c r="B129" s="32"/>
      <c r="C129" s="37"/>
      <c r="D129" s="31"/>
      <c r="E129" s="33"/>
      <c r="F129" s="32"/>
      <c r="G129" s="35" t="str">
        <f aca="false">IF($B129="","",IFERROR(INDEX(CM_NOME,MATCH($B129,CM_ID,0)),"?"))</f>
        <v/>
      </c>
      <c r="H129" s="34" t="str">
        <f aca="false">IF($B129="","",IFERROR(INDEX(CM_QTD,MATCH($B129,CM_ID,0)),""))</f>
        <v/>
      </c>
      <c r="I129" s="35" t="str">
        <f aca="false">IF($A129="","",$C129&amp;"/"&amp;$H129)</f>
        <v/>
      </c>
      <c r="J129" s="35" t="str">
        <f aca="false">IF($A129="","",IF($C129&lt;=IFERROR(INDEX(CM_PAGASANTES,MATCH($B129,CM_ID,0)),0),"SIM","NAO"))</f>
        <v/>
      </c>
      <c r="K129" s="36" t="n">
        <f aca="false">IF($A129="",0,SUMIFS(L_Valor,L_ParcID,$A129,L_Status,"REALIZADO"))</f>
        <v>0</v>
      </c>
      <c r="L129" s="38" t="str">
        <f aca="false">IF($A129="","",IFERROR(INDEX(L_Data,MATCH(1,INDEX((L_ParcID=$A129)*(L_Status="REALIZADO"),0),0)),""))</f>
        <v/>
      </c>
      <c r="M129" s="34" t="n">
        <f aca="false">IF($A129="",0,COUNTIFS(L_ParcID,$A129,L_Status,"REALIZADO"))</f>
        <v>0</v>
      </c>
      <c r="N129" s="34" t="n">
        <f aca="false">IF($A129="",0,COUNTIFS(L_ParcID,$A129,L_Status,"PROJETADO"))</f>
        <v>0</v>
      </c>
      <c r="O129" s="35" t="str">
        <f aca="false">IF($A129="","",IF($J129="SIM","PAGA",IF($M129&gt;0,"PAGA",IF($D129&lt;CFG_HOJE,"ATRASADA",IF($D129&lt;=EOMONTH(CFG_HOJE,0),"ABERTA","PROJETADA")))))</f>
        <v/>
      </c>
      <c r="P129" s="34" t="n">
        <f aca="false">IF($O129="ATRASADA",CFG_HOJE-$D129,0)</f>
        <v>0</v>
      </c>
      <c r="Q129" s="36" t="n">
        <f aca="false">IF($A129="",0,IF(AND($O129="PAGA",$J129="NAO"),$K129-$E129,0))</f>
        <v>0</v>
      </c>
    </row>
    <row r="130" customFormat="false" ht="15" hidden="false" customHeight="false" outlineLevel="0" collapsed="false">
      <c r="A130" s="30" t="str">
        <f aca="false">IF($B130="","","PAR-"&amp;TEXT(ROW()-4,"000000"))</f>
        <v/>
      </c>
      <c r="B130" s="32"/>
      <c r="C130" s="37"/>
      <c r="D130" s="31"/>
      <c r="E130" s="33"/>
      <c r="F130" s="32"/>
      <c r="G130" s="35" t="str">
        <f aca="false">IF($B130="","",IFERROR(INDEX(CM_NOME,MATCH($B130,CM_ID,0)),"?"))</f>
        <v/>
      </c>
      <c r="H130" s="34" t="str">
        <f aca="false">IF($B130="","",IFERROR(INDEX(CM_QTD,MATCH($B130,CM_ID,0)),""))</f>
        <v/>
      </c>
      <c r="I130" s="35" t="str">
        <f aca="false">IF($A130="","",$C130&amp;"/"&amp;$H130)</f>
        <v/>
      </c>
      <c r="J130" s="35" t="str">
        <f aca="false">IF($A130="","",IF($C130&lt;=IFERROR(INDEX(CM_PAGASANTES,MATCH($B130,CM_ID,0)),0),"SIM","NAO"))</f>
        <v/>
      </c>
      <c r="K130" s="36" t="n">
        <f aca="false">IF($A130="",0,SUMIFS(L_Valor,L_ParcID,$A130,L_Status,"REALIZADO"))</f>
        <v>0</v>
      </c>
      <c r="L130" s="38" t="str">
        <f aca="false">IF($A130="","",IFERROR(INDEX(L_Data,MATCH(1,INDEX((L_ParcID=$A130)*(L_Status="REALIZADO"),0),0)),""))</f>
        <v/>
      </c>
      <c r="M130" s="34" t="n">
        <f aca="false">IF($A130="",0,COUNTIFS(L_ParcID,$A130,L_Status,"REALIZADO"))</f>
        <v>0</v>
      </c>
      <c r="N130" s="34" t="n">
        <f aca="false">IF($A130="",0,COUNTIFS(L_ParcID,$A130,L_Status,"PROJETADO"))</f>
        <v>0</v>
      </c>
      <c r="O130" s="35" t="str">
        <f aca="false">IF($A130="","",IF($J130="SIM","PAGA",IF($M130&gt;0,"PAGA",IF($D130&lt;CFG_HOJE,"ATRASADA",IF($D130&lt;=EOMONTH(CFG_HOJE,0),"ABERTA","PROJETADA")))))</f>
        <v/>
      </c>
      <c r="P130" s="34" t="n">
        <f aca="false">IF($O130="ATRASADA",CFG_HOJE-$D130,0)</f>
        <v>0</v>
      </c>
      <c r="Q130" s="36" t="n">
        <f aca="false">IF($A130="",0,IF(AND($O130="PAGA",$J130="NAO"),$K130-$E130,0))</f>
        <v>0</v>
      </c>
    </row>
    <row r="131" customFormat="false" ht="15" hidden="false" customHeight="false" outlineLevel="0" collapsed="false">
      <c r="A131" s="30" t="str">
        <f aca="false">IF($B131="","","PAR-"&amp;TEXT(ROW()-4,"000000"))</f>
        <v/>
      </c>
      <c r="B131" s="32"/>
      <c r="C131" s="37"/>
      <c r="D131" s="31"/>
      <c r="E131" s="33"/>
      <c r="F131" s="32"/>
      <c r="G131" s="35" t="str">
        <f aca="false">IF($B131="","",IFERROR(INDEX(CM_NOME,MATCH($B131,CM_ID,0)),"?"))</f>
        <v/>
      </c>
      <c r="H131" s="34" t="str">
        <f aca="false">IF($B131="","",IFERROR(INDEX(CM_QTD,MATCH($B131,CM_ID,0)),""))</f>
        <v/>
      </c>
      <c r="I131" s="35" t="str">
        <f aca="false">IF($A131="","",$C131&amp;"/"&amp;$H131)</f>
        <v/>
      </c>
      <c r="J131" s="35" t="str">
        <f aca="false">IF($A131="","",IF($C131&lt;=IFERROR(INDEX(CM_PAGASANTES,MATCH($B131,CM_ID,0)),0),"SIM","NAO"))</f>
        <v/>
      </c>
      <c r="K131" s="36" t="n">
        <f aca="false">IF($A131="",0,SUMIFS(L_Valor,L_ParcID,$A131,L_Status,"REALIZADO"))</f>
        <v>0</v>
      </c>
      <c r="L131" s="38" t="str">
        <f aca="false">IF($A131="","",IFERROR(INDEX(L_Data,MATCH(1,INDEX((L_ParcID=$A131)*(L_Status="REALIZADO"),0),0)),""))</f>
        <v/>
      </c>
      <c r="M131" s="34" t="n">
        <f aca="false">IF($A131="",0,COUNTIFS(L_ParcID,$A131,L_Status,"REALIZADO"))</f>
        <v>0</v>
      </c>
      <c r="N131" s="34" t="n">
        <f aca="false">IF($A131="",0,COUNTIFS(L_ParcID,$A131,L_Status,"PROJETADO"))</f>
        <v>0</v>
      </c>
      <c r="O131" s="35" t="str">
        <f aca="false">IF($A131="","",IF($J131="SIM","PAGA",IF($M131&gt;0,"PAGA",IF($D131&lt;CFG_HOJE,"ATRASADA",IF($D131&lt;=EOMONTH(CFG_HOJE,0),"ABERTA","PROJETADA")))))</f>
        <v/>
      </c>
      <c r="P131" s="34" t="n">
        <f aca="false">IF($O131="ATRASADA",CFG_HOJE-$D131,0)</f>
        <v>0</v>
      </c>
      <c r="Q131" s="36" t="n">
        <f aca="false">IF($A131="",0,IF(AND($O131="PAGA",$J131="NAO"),$K131-$E131,0))</f>
        <v>0</v>
      </c>
    </row>
    <row r="132" customFormat="false" ht="15" hidden="false" customHeight="false" outlineLevel="0" collapsed="false">
      <c r="A132" s="30" t="str">
        <f aca="false">IF($B132="","","PAR-"&amp;TEXT(ROW()-4,"000000"))</f>
        <v/>
      </c>
      <c r="B132" s="32"/>
      <c r="C132" s="37"/>
      <c r="D132" s="31"/>
      <c r="E132" s="33"/>
      <c r="F132" s="32"/>
      <c r="G132" s="35" t="str">
        <f aca="false">IF($B132="","",IFERROR(INDEX(CM_NOME,MATCH($B132,CM_ID,0)),"?"))</f>
        <v/>
      </c>
      <c r="H132" s="34" t="str">
        <f aca="false">IF($B132="","",IFERROR(INDEX(CM_QTD,MATCH($B132,CM_ID,0)),""))</f>
        <v/>
      </c>
      <c r="I132" s="35" t="str">
        <f aca="false">IF($A132="","",$C132&amp;"/"&amp;$H132)</f>
        <v/>
      </c>
      <c r="J132" s="35" t="str">
        <f aca="false">IF($A132="","",IF($C132&lt;=IFERROR(INDEX(CM_PAGASANTES,MATCH($B132,CM_ID,0)),0),"SIM","NAO"))</f>
        <v/>
      </c>
      <c r="K132" s="36" t="n">
        <f aca="false">IF($A132="",0,SUMIFS(L_Valor,L_ParcID,$A132,L_Status,"REALIZADO"))</f>
        <v>0</v>
      </c>
      <c r="L132" s="38" t="str">
        <f aca="false">IF($A132="","",IFERROR(INDEX(L_Data,MATCH(1,INDEX((L_ParcID=$A132)*(L_Status="REALIZADO"),0),0)),""))</f>
        <v/>
      </c>
      <c r="M132" s="34" t="n">
        <f aca="false">IF($A132="",0,COUNTIFS(L_ParcID,$A132,L_Status,"REALIZADO"))</f>
        <v>0</v>
      </c>
      <c r="N132" s="34" t="n">
        <f aca="false">IF($A132="",0,COUNTIFS(L_ParcID,$A132,L_Status,"PROJETADO"))</f>
        <v>0</v>
      </c>
      <c r="O132" s="35" t="str">
        <f aca="false">IF($A132="","",IF($J132="SIM","PAGA",IF($M132&gt;0,"PAGA",IF($D132&lt;CFG_HOJE,"ATRASADA",IF($D132&lt;=EOMONTH(CFG_HOJE,0),"ABERTA","PROJETADA")))))</f>
        <v/>
      </c>
      <c r="P132" s="34" t="n">
        <f aca="false">IF($O132="ATRASADA",CFG_HOJE-$D132,0)</f>
        <v>0</v>
      </c>
      <c r="Q132" s="36" t="n">
        <f aca="false">IF($A132="",0,IF(AND($O132="PAGA",$J132="NAO"),$K132-$E132,0))</f>
        <v>0</v>
      </c>
    </row>
    <row r="133" customFormat="false" ht="15" hidden="false" customHeight="false" outlineLevel="0" collapsed="false">
      <c r="A133" s="30" t="str">
        <f aca="false">IF($B133="","","PAR-"&amp;TEXT(ROW()-4,"000000"))</f>
        <v/>
      </c>
      <c r="B133" s="32"/>
      <c r="C133" s="37"/>
      <c r="D133" s="31"/>
      <c r="E133" s="33"/>
      <c r="F133" s="32"/>
      <c r="G133" s="35" t="str">
        <f aca="false">IF($B133="","",IFERROR(INDEX(CM_NOME,MATCH($B133,CM_ID,0)),"?"))</f>
        <v/>
      </c>
      <c r="H133" s="34" t="str">
        <f aca="false">IF($B133="","",IFERROR(INDEX(CM_QTD,MATCH($B133,CM_ID,0)),""))</f>
        <v/>
      </c>
      <c r="I133" s="35" t="str">
        <f aca="false">IF($A133="","",$C133&amp;"/"&amp;$H133)</f>
        <v/>
      </c>
      <c r="J133" s="35" t="str">
        <f aca="false">IF($A133="","",IF($C133&lt;=IFERROR(INDEX(CM_PAGASANTES,MATCH($B133,CM_ID,0)),0),"SIM","NAO"))</f>
        <v/>
      </c>
      <c r="K133" s="36" t="n">
        <f aca="false">IF($A133="",0,SUMIFS(L_Valor,L_ParcID,$A133,L_Status,"REALIZADO"))</f>
        <v>0</v>
      </c>
      <c r="L133" s="38" t="str">
        <f aca="false">IF($A133="","",IFERROR(INDEX(L_Data,MATCH(1,INDEX((L_ParcID=$A133)*(L_Status="REALIZADO"),0),0)),""))</f>
        <v/>
      </c>
      <c r="M133" s="34" t="n">
        <f aca="false">IF($A133="",0,COUNTIFS(L_ParcID,$A133,L_Status,"REALIZADO"))</f>
        <v>0</v>
      </c>
      <c r="N133" s="34" t="n">
        <f aca="false">IF($A133="",0,COUNTIFS(L_ParcID,$A133,L_Status,"PROJETADO"))</f>
        <v>0</v>
      </c>
      <c r="O133" s="35" t="str">
        <f aca="false">IF($A133="","",IF($J133="SIM","PAGA",IF($M133&gt;0,"PAGA",IF($D133&lt;CFG_HOJE,"ATRASADA",IF($D133&lt;=EOMONTH(CFG_HOJE,0),"ABERTA","PROJETADA")))))</f>
        <v/>
      </c>
      <c r="P133" s="34" t="n">
        <f aca="false">IF($O133="ATRASADA",CFG_HOJE-$D133,0)</f>
        <v>0</v>
      </c>
      <c r="Q133" s="36" t="n">
        <f aca="false">IF($A133="",0,IF(AND($O133="PAGA",$J133="NAO"),$K133-$E133,0))</f>
        <v>0</v>
      </c>
    </row>
    <row r="134" customFormat="false" ht="15" hidden="false" customHeight="false" outlineLevel="0" collapsed="false">
      <c r="A134" s="30" t="str">
        <f aca="false">IF($B134="","","PAR-"&amp;TEXT(ROW()-4,"000000"))</f>
        <v/>
      </c>
      <c r="B134" s="32"/>
      <c r="C134" s="37"/>
      <c r="D134" s="31"/>
      <c r="E134" s="33"/>
      <c r="F134" s="32"/>
      <c r="G134" s="35" t="str">
        <f aca="false">IF($B134="","",IFERROR(INDEX(CM_NOME,MATCH($B134,CM_ID,0)),"?"))</f>
        <v/>
      </c>
      <c r="H134" s="34" t="str">
        <f aca="false">IF($B134="","",IFERROR(INDEX(CM_QTD,MATCH($B134,CM_ID,0)),""))</f>
        <v/>
      </c>
      <c r="I134" s="35" t="str">
        <f aca="false">IF($A134="","",$C134&amp;"/"&amp;$H134)</f>
        <v/>
      </c>
      <c r="J134" s="35" t="str">
        <f aca="false">IF($A134="","",IF($C134&lt;=IFERROR(INDEX(CM_PAGASANTES,MATCH($B134,CM_ID,0)),0),"SIM","NAO"))</f>
        <v/>
      </c>
      <c r="K134" s="36" t="n">
        <f aca="false">IF($A134="",0,SUMIFS(L_Valor,L_ParcID,$A134,L_Status,"REALIZADO"))</f>
        <v>0</v>
      </c>
      <c r="L134" s="38" t="str">
        <f aca="false">IF($A134="","",IFERROR(INDEX(L_Data,MATCH(1,INDEX((L_ParcID=$A134)*(L_Status="REALIZADO"),0),0)),""))</f>
        <v/>
      </c>
      <c r="M134" s="34" t="n">
        <f aca="false">IF($A134="",0,COUNTIFS(L_ParcID,$A134,L_Status,"REALIZADO"))</f>
        <v>0</v>
      </c>
      <c r="N134" s="34" t="n">
        <f aca="false">IF($A134="",0,COUNTIFS(L_ParcID,$A134,L_Status,"PROJETADO"))</f>
        <v>0</v>
      </c>
      <c r="O134" s="35" t="str">
        <f aca="false">IF($A134="","",IF($J134="SIM","PAGA",IF($M134&gt;0,"PAGA",IF($D134&lt;CFG_HOJE,"ATRASADA",IF($D134&lt;=EOMONTH(CFG_HOJE,0),"ABERTA","PROJETADA")))))</f>
        <v/>
      </c>
      <c r="P134" s="34" t="n">
        <f aca="false">IF($O134="ATRASADA",CFG_HOJE-$D134,0)</f>
        <v>0</v>
      </c>
      <c r="Q134" s="36" t="n">
        <f aca="false">IF($A134="",0,IF(AND($O134="PAGA",$J134="NAO"),$K134-$E134,0))</f>
        <v>0</v>
      </c>
    </row>
    <row r="135" customFormat="false" ht="15" hidden="false" customHeight="false" outlineLevel="0" collapsed="false">
      <c r="A135" s="30" t="str">
        <f aca="false">IF($B135="","","PAR-"&amp;TEXT(ROW()-4,"000000"))</f>
        <v/>
      </c>
      <c r="B135" s="32"/>
      <c r="C135" s="37"/>
      <c r="D135" s="31"/>
      <c r="E135" s="33"/>
      <c r="F135" s="32"/>
      <c r="G135" s="35" t="str">
        <f aca="false">IF($B135="","",IFERROR(INDEX(CM_NOME,MATCH($B135,CM_ID,0)),"?"))</f>
        <v/>
      </c>
      <c r="H135" s="34" t="str">
        <f aca="false">IF($B135="","",IFERROR(INDEX(CM_QTD,MATCH($B135,CM_ID,0)),""))</f>
        <v/>
      </c>
      <c r="I135" s="35" t="str">
        <f aca="false">IF($A135="","",$C135&amp;"/"&amp;$H135)</f>
        <v/>
      </c>
      <c r="J135" s="35" t="str">
        <f aca="false">IF($A135="","",IF($C135&lt;=IFERROR(INDEX(CM_PAGASANTES,MATCH($B135,CM_ID,0)),0),"SIM","NAO"))</f>
        <v/>
      </c>
      <c r="K135" s="36" t="n">
        <f aca="false">IF($A135="",0,SUMIFS(L_Valor,L_ParcID,$A135,L_Status,"REALIZADO"))</f>
        <v>0</v>
      </c>
      <c r="L135" s="38" t="str">
        <f aca="false">IF($A135="","",IFERROR(INDEX(L_Data,MATCH(1,INDEX((L_ParcID=$A135)*(L_Status="REALIZADO"),0),0)),""))</f>
        <v/>
      </c>
      <c r="M135" s="34" t="n">
        <f aca="false">IF($A135="",0,COUNTIFS(L_ParcID,$A135,L_Status,"REALIZADO"))</f>
        <v>0</v>
      </c>
      <c r="N135" s="34" t="n">
        <f aca="false">IF($A135="",0,COUNTIFS(L_ParcID,$A135,L_Status,"PROJETADO"))</f>
        <v>0</v>
      </c>
      <c r="O135" s="35" t="str">
        <f aca="false">IF($A135="","",IF($J135="SIM","PAGA",IF($M135&gt;0,"PAGA",IF($D135&lt;CFG_HOJE,"ATRASADA",IF($D135&lt;=EOMONTH(CFG_HOJE,0),"ABERTA","PROJETADA")))))</f>
        <v/>
      </c>
      <c r="P135" s="34" t="n">
        <f aca="false">IF($O135="ATRASADA",CFG_HOJE-$D135,0)</f>
        <v>0</v>
      </c>
      <c r="Q135" s="36" t="n">
        <f aca="false">IF($A135="",0,IF(AND($O135="PAGA",$J135="NAO"),$K135-$E135,0))</f>
        <v>0</v>
      </c>
    </row>
    <row r="136" customFormat="false" ht="15" hidden="false" customHeight="false" outlineLevel="0" collapsed="false">
      <c r="A136" s="30" t="str">
        <f aca="false">IF($B136="","","PAR-"&amp;TEXT(ROW()-4,"000000"))</f>
        <v/>
      </c>
      <c r="B136" s="32"/>
      <c r="C136" s="37"/>
      <c r="D136" s="31"/>
      <c r="E136" s="33"/>
      <c r="F136" s="32"/>
      <c r="G136" s="35" t="str">
        <f aca="false">IF($B136="","",IFERROR(INDEX(CM_NOME,MATCH($B136,CM_ID,0)),"?"))</f>
        <v/>
      </c>
      <c r="H136" s="34" t="str">
        <f aca="false">IF($B136="","",IFERROR(INDEX(CM_QTD,MATCH($B136,CM_ID,0)),""))</f>
        <v/>
      </c>
      <c r="I136" s="35" t="str">
        <f aca="false">IF($A136="","",$C136&amp;"/"&amp;$H136)</f>
        <v/>
      </c>
      <c r="J136" s="35" t="str">
        <f aca="false">IF($A136="","",IF($C136&lt;=IFERROR(INDEX(CM_PAGASANTES,MATCH($B136,CM_ID,0)),0),"SIM","NAO"))</f>
        <v/>
      </c>
      <c r="K136" s="36" t="n">
        <f aca="false">IF($A136="",0,SUMIFS(L_Valor,L_ParcID,$A136,L_Status,"REALIZADO"))</f>
        <v>0</v>
      </c>
      <c r="L136" s="38" t="str">
        <f aca="false">IF($A136="","",IFERROR(INDEX(L_Data,MATCH(1,INDEX((L_ParcID=$A136)*(L_Status="REALIZADO"),0),0)),""))</f>
        <v/>
      </c>
      <c r="M136" s="34" t="n">
        <f aca="false">IF($A136="",0,COUNTIFS(L_ParcID,$A136,L_Status,"REALIZADO"))</f>
        <v>0</v>
      </c>
      <c r="N136" s="34" t="n">
        <f aca="false">IF($A136="",0,COUNTIFS(L_ParcID,$A136,L_Status,"PROJETADO"))</f>
        <v>0</v>
      </c>
      <c r="O136" s="35" t="str">
        <f aca="false">IF($A136="","",IF($J136="SIM","PAGA",IF($M136&gt;0,"PAGA",IF($D136&lt;CFG_HOJE,"ATRASADA",IF($D136&lt;=EOMONTH(CFG_HOJE,0),"ABERTA","PROJETADA")))))</f>
        <v/>
      </c>
      <c r="P136" s="34" t="n">
        <f aca="false">IF($O136="ATRASADA",CFG_HOJE-$D136,0)</f>
        <v>0</v>
      </c>
      <c r="Q136" s="36" t="n">
        <f aca="false">IF($A136="",0,IF(AND($O136="PAGA",$J136="NAO"),$K136-$E136,0))</f>
        <v>0</v>
      </c>
    </row>
    <row r="137" customFormat="false" ht="15" hidden="false" customHeight="false" outlineLevel="0" collapsed="false">
      <c r="A137" s="30" t="str">
        <f aca="false">IF($B137="","","PAR-"&amp;TEXT(ROW()-4,"000000"))</f>
        <v/>
      </c>
      <c r="B137" s="32"/>
      <c r="C137" s="37"/>
      <c r="D137" s="31"/>
      <c r="E137" s="33"/>
      <c r="F137" s="32"/>
      <c r="G137" s="35" t="str">
        <f aca="false">IF($B137="","",IFERROR(INDEX(CM_NOME,MATCH($B137,CM_ID,0)),"?"))</f>
        <v/>
      </c>
      <c r="H137" s="34" t="str">
        <f aca="false">IF($B137="","",IFERROR(INDEX(CM_QTD,MATCH($B137,CM_ID,0)),""))</f>
        <v/>
      </c>
      <c r="I137" s="35" t="str">
        <f aca="false">IF($A137="","",$C137&amp;"/"&amp;$H137)</f>
        <v/>
      </c>
      <c r="J137" s="35" t="str">
        <f aca="false">IF($A137="","",IF($C137&lt;=IFERROR(INDEX(CM_PAGASANTES,MATCH($B137,CM_ID,0)),0),"SIM","NAO"))</f>
        <v/>
      </c>
      <c r="K137" s="36" t="n">
        <f aca="false">IF($A137="",0,SUMIFS(L_Valor,L_ParcID,$A137,L_Status,"REALIZADO"))</f>
        <v>0</v>
      </c>
      <c r="L137" s="38" t="str">
        <f aca="false">IF($A137="","",IFERROR(INDEX(L_Data,MATCH(1,INDEX((L_ParcID=$A137)*(L_Status="REALIZADO"),0),0)),""))</f>
        <v/>
      </c>
      <c r="M137" s="34" t="n">
        <f aca="false">IF($A137="",0,COUNTIFS(L_ParcID,$A137,L_Status,"REALIZADO"))</f>
        <v>0</v>
      </c>
      <c r="N137" s="34" t="n">
        <f aca="false">IF($A137="",0,COUNTIFS(L_ParcID,$A137,L_Status,"PROJETADO"))</f>
        <v>0</v>
      </c>
      <c r="O137" s="35" t="str">
        <f aca="false">IF($A137="","",IF($J137="SIM","PAGA",IF($M137&gt;0,"PAGA",IF($D137&lt;CFG_HOJE,"ATRASADA",IF($D137&lt;=EOMONTH(CFG_HOJE,0),"ABERTA","PROJETADA")))))</f>
        <v/>
      </c>
      <c r="P137" s="34" t="n">
        <f aca="false">IF($O137="ATRASADA",CFG_HOJE-$D137,0)</f>
        <v>0</v>
      </c>
      <c r="Q137" s="36" t="n">
        <f aca="false">IF($A137="",0,IF(AND($O137="PAGA",$J137="NAO"),$K137-$E137,0))</f>
        <v>0</v>
      </c>
    </row>
    <row r="138" customFormat="false" ht="15" hidden="false" customHeight="false" outlineLevel="0" collapsed="false">
      <c r="A138" s="30" t="str">
        <f aca="false">IF($B138="","","PAR-"&amp;TEXT(ROW()-4,"000000"))</f>
        <v/>
      </c>
      <c r="B138" s="32"/>
      <c r="C138" s="37"/>
      <c r="D138" s="31"/>
      <c r="E138" s="33"/>
      <c r="F138" s="32"/>
      <c r="G138" s="35" t="str">
        <f aca="false">IF($B138="","",IFERROR(INDEX(CM_NOME,MATCH($B138,CM_ID,0)),"?"))</f>
        <v/>
      </c>
      <c r="H138" s="34" t="str">
        <f aca="false">IF($B138="","",IFERROR(INDEX(CM_QTD,MATCH($B138,CM_ID,0)),""))</f>
        <v/>
      </c>
      <c r="I138" s="35" t="str">
        <f aca="false">IF($A138="","",$C138&amp;"/"&amp;$H138)</f>
        <v/>
      </c>
      <c r="J138" s="35" t="str">
        <f aca="false">IF($A138="","",IF($C138&lt;=IFERROR(INDEX(CM_PAGASANTES,MATCH($B138,CM_ID,0)),0),"SIM","NAO"))</f>
        <v/>
      </c>
      <c r="K138" s="36" t="n">
        <f aca="false">IF($A138="",0,SUMIFS(L_Valor,L_ParcID,$A138,L_Status,"REALIZADO"))</f>
        <v>0</v>
      </c>
      <c r="L138" s="38" t="str">
        <f aca="false">IF($A138="","",IFERROR(INDEX(L_Data,MATCH(1,INDEX((L_ParcID=$A138)*(L_Status="REALIZADO"),0),0)),""))</f>
        <v/>
      </c>
      <c r="M138" s="34" t="n">
        <f aca="false">IF($A138="",0,COUNTIFS(L_ParcID,$A138,L_Status,"REALIZADO"))</f>
        <v>0</v>
      </c>
      <c r="N138" s="34" t="n">
        <f aca="false">IF($A138="",0,COUNTIFS(L_ParcID,$A138,L_Status,"PROJETADO"))</f>
        <v>0</v>
      </c>
      <c r="O138" s="35" t="str">
        <f aca="false">IF($A138="","",IF($J138="SIM","PAGA",IF($M138&gt;0,"PAGA",IF($D138&lt;CFG_HOJE,"ATRASADA",IF($D138&lt;=EOMONTH(CFG_HOJE,0),"ABERTA","PROJETADA")))))</f>
        <v/>
      </c>
      <c r="P138" s="34" t="n">
        <f aca="false">IF($O138="ATRASADA",CFG_HOJE-$D138,0)</f>
        <v>0</v>
      </c>
      <c r="Q138" s="36" t="n">
        <f aca="false">IF($A138="",0,IF(AND($O138="PAGA",$J138="NAO"),$K138-$E138,0))</f>
        <v>0</v>
      </c>
    </row>
    <row r="139" customFormat="false" ht="15" hidden="false" customHeight="false" outlineLevel="0" collapsed="false">
      <c r="A139" s="30" t="str">
        <f aca="false">IF($B139="","","PAR-"&amp;TEXT(ROW()-4,"000000"))</f>
        <v/>
      </c>
      <c r="B139" s="32"/>
      <c r="C139" s="37"/>
      <c r="D139" s="31"/>
      <c r="E139" s="33"/>
      <c r="F139" s="32"/>
      <c r="G139" s="35" t="str">
        <f aca="false">IF($B139="","",IFERROR(INDEX(CM_NOME,MATCH($B139,CM_ID,0)),"?"))</f>
        <v/>
      </c>
      <c r="H139" s="34" t="str">
        <f aca="false">IF($B139="","",IFERROR(INDEX(CM_QTD,MATCH($B139,CM_ID,0)),""))</f>
        <v/>
      </c>
      <c r="I139" s="35" t="str">
        <f aca="false">IF($A139="","",$C139&amp;"/"&amp;$H139)</f>
        <v/>
      </c>
      <c r="J139" s="35" t="str">
        <f aca="false">IF($A139="","",IF($C139&lt;=IFERROR(INDEX(CM_PAGASANTES,MATCH($B139,CM_ID,0)),0),"SIM","NAO"))</f>
        <v/>
      </c>
      <c r="K139" s="36" t="n">
        <f aca="false">IF($A139="",0,SUMIFS(L_Valor,L_ParcID,$A139,L_Status,"REALIZADO"))</f>
        <v>0</v>
      </c>
      <c r="L139" s="38" t="str">
        <f aca="false">IF($A139="","",IFERROR(INDEX(L_Data,MATCH(1,INDEX((L_ParcID=$A139)*(L_Status="REALIZADO"),0),0)),""))</f>
        <v/>
      </c>
      <c r="M139" s="34" t="n">
        <f aca="false">IF($A139="",0,COUNTIFS(L_ParcID,$A139,L_Status,"REALIZADO"))</f>
        <v>0</v>
      </c>
      <c r="N139" s="34" t="n">
        <f aca="false">IF($A139="",0,COUNTIFS(L_ParcID,$A139,L_Status,"PROJETADO"))</f>
        <v>0</v>
      </c>
      <c r="O139" s="35" t="str">
        <f aca="false">IF($A139="","",IF($J139="SIM","PAGA",IF($M139&gt;0,"PAGA",IF($D139&lt;CFG_HOJE,"ATRASADA",IF($D139&lt;=EOMONTH(CFG_HOJE,0),"ABERTA","PROJETADA")))))</f>
        <v/>
      </c>
      <c r="P139" s="34" t="n">
        <f aca="false">IF($O139="ATRASADA",CFG_HOJE-$D139,0)</f>
        <v>0</v>
      </c>
      <c r="Q139" s="36" t="n">
        <f aca="false">IF($A139="",0,IF(AND($O139="PAGA",$J139="NAO"),$K139-$E139,0))</f>
        <v>0</v>
      </c>
    </row>
    <row r="140" customFormat="false" ht="15" hidden="false" customHeight="false" outlineLevel="0" collapsed="false">
      <c r="A140" s="30" t="str">
        <f aca="false">IF($B140="","","PAR-"&amp;TEXT(ROW()-4,"000000"))</f>
        <v/>
      </c>
      <c r="B140" s="32"/>
      <c r="C140" s="37"/>
      <c r="D140" s="31"/>
      <c r="E140" s="33"/>
      <c r="F140" s="32"/>
      <c r="G140" s="35" t="str">
        <f aca="false">IF($B140="","",IFERROR(INDEX(CM_NOME,MATCH($B140,CM_ID,0)),"?"))</f>
        <v/>
      </c>
      <c r="H140" s="34" t="str">
        <f aca="false">IF($B140="","",IFERROR(INDEX(CM_QTD,MATCH($B140,CM_ID,0)),""))</f>
        <v/>
      </c>
      <c r="I140" s="35" t="str">
        <f aca="false">IF($A140="","",$C140&amp;"/"&amp;$H140)</f>
        <v/>
      </c>
      <c r="J140" s="35" t="str">
        <f aca="false">IF($A140="","",IF($C140&lt;=IFERROR(INDEX(CM_PAGASANTES,MATCH($B140,CM_ID,0)),0),"SIM","NAO"))</f>
        <v/>
      </c>
      <c r="K140" s="36" t="n">
        <f aca="false">IF($A140="",0,SUMIFS(L_Valor,L_ParcID,$A140,L_Status,"REALIZADO"))</f>
        <v>0</v>
      </c>
      <c r="L140" s="38" t="str">
        <f aca="false">IF($A140="","",IFERROR(INDEX(L_Data,MATCH(1,INDEX((L_ParcID=$A140)*(L_Status="REALIZADO"),0),0)),""))</f>
        <v/>
      </c>
      <c r="M140" s="34" t="n">
        <f aca="false">IF($A140="",0,COUNTIFS(L_ParcID,$A140,L_Status,"REALIZADO"))</f>
        <v>0</v>
      </c>
      <c r="N140" s="34" t="n">
        <f aca="false">IF($A140="",0,COUNTIFS(L_ParcID,$A140,L_Status,"PROJETADO"))</f>
        <v>0</v>
      </c>
      <c r="O140" s="35" t="str">
        <f aca="false">IF($A140="","",IF($J140="SIM","PAGA",IF($M140&gt;0,"PAGA",IF($D140&lt;CFG_HOJE,"ATRASADA",IF($D140&lt;=EOMONTH(CFG_HOJE,0),"ABERTA","PROJETADA")))))</f>
        <v/>
      </c>
      <c r="P140" s="34" t="n">
        <f aca="false">IF($O140="ATRASADA",CFG_HOJE-$D140,0)</f>
        <v>0</v>
      </c>
      <c r="Q140" s="36" t="n">
        <f aca="false">IF($A140="",0,IF(AND($O140="PAGA",$J140="NAO"),$K140-$E140,0))</f>
        <v>0</v>
      </c>
    </row>
    <row r="141" customFormat="false" ht="15" hidden="false" customHeight="false" outlineLevel="0" collapsed="false">
      <c r="A141" s="30" t="str">
        <f aca="false">IF($B141="","","PAR-"&amp;TEXT(ROW()-4,"000000"))</f>
        <v/>
      </c>
      <c r="B141" s="32"/>
      <c r="C141" s="37"/>
      <c r="D141" s="31"/>
      <c r="E141" s="33"/>
      <c r="F141" s="32"/>
      <c r="G141" s="35" t="str">
        <f aca="false">IF($B141="","",IFERROR(INDEX(CM_NOME,MATCH($B141,CM_ID,0)),"?"))</f>
        <v/>
      </c>
      <c r="H141" s="34" t="str">
        <f aca="false">IF($B141="","",IFERROR(INDEX(CM_QTD,MATCH($B141,CM_ID,0)),""))</f>
        <v/>
      </c>
      <c r="I141" s="35" t="str">
        <f aca="false">IF($A141="","",$C141&amp;"/"&amp;$H141)</f>
        <v/>
      </c>
      <c r="J141" s="35" t="str">
        <f aca="false">IF($A141="","",IF($C141&lt;=IFERROR(INDEX(CM_PAGASANTES,MATCH($B141,CM_ID,0)),0),"SIM","NAO"))</f>
        <v/>
      </c>
      <c r="K141" s="36" t="n">
        <f aca="false">IF($A141="",0,SUMIFS(L_Valor,L_ParcID,$A141,L_Status,"REALIZADO"))</f>
        <v>0</v>
      </c>
      <c r="L141" s="38" t="str">
        <f aca="false">IF($A141="","",IFERROR(INDEX(L_Data,MATCH(1,INDEX((L_ParcID=$A141)*(L_Status="REALIZADO"),0),0)),""))</f>
        <v/>
      </c>
      <c r="M141" s="34" t="n">
        <f aca="false">IF($A141="",0,COUNTIFS(L_ParcID,$A141,L_Status,"REALIZADO"))</f>
        <v>0</v>
      </c>
      <c r="N141" s="34" t="n">
        <f aca="false">IF($A141="",0,COUNTIFS(L_ParcID,$A141,L_Status,"PROJETADO"))</f>
        <v>0</v>
      </c>
      <c r="O141" s="35" t="str">
        <f aca="false">IF($A141="","",IF($J141="SIM","PAGA",IF($M141&gt;0,"PAGA",IF($D141&lt;CFG_HOJE,"ATRASADA",IF($D141&lt;=EOMONTH(CFG_HOJE,0),"ABERTA","PROJETADA")))))</f>
        <v/>
      </c>
      <c r="P141" s="34" t="n">
        <f aca="false">IF($O141="ATRASADA",CFG_HOJE-$D141,0)</f>
        <v>0</v>
      </c>
      <c r="Q141" s="36" t="n">
        <f aca="false">IF($A141="",0,IF(AND($O141="PAGA",$J141="NAO"),$K141-$E141,0))</f>
        <v>0</v>
      </c>
    </row>
    <row r="142" customFormat="false" ht="15" hidden="false" customHeight="false" outlineLevel="0" collapsed="false">
      <c r="A142" s="30" t="str">
        <f aca="false">IF($B142="","","PAR-"&amp;TEXT(ROW()-4,"000000"))</f>
        <v/>
      </c>
      <c r="B142" s="32"/>
      <c r="C142" s="37"/>
      <c r="D142" s="31"/>
      <c r="E142" s="33"/>
      <c r="F142" s="32"/>
      <c r="G142" s="35" t="str">
        <f aca="false">IF($B142="","",IFERROR(INDEX(CM_NOME,MATCH($B142,CM_ID,0)),"?"))</f>
        <v/>
      </c>
      <c r="H142" s="34" t="str">
        <f aca="false">IF($B142="","",IFERROR(INDEX(CM_QTD,MATCH($B142,CM_ID,0)),""))</f>
        <v/>
      </c>
      <c r="I142" s="35" t="str">
        <f aca="false">IF($A142="","",$C142&amp;"/"&amp;$H142)</f>
        <v/>
      </c>
      <c r="J142" s="35" t="str">
        <f aca="false">IF($A142="","",IF($C142&lt;=IFERROR(INDEX(CM_PAGASANTES,MATCH($B142,CM_ID,0)),0),"SIM","NAO"))</f>
        <v/>
      </c>
      <c r="K142" s="36" t="n">
        <f aca="false">IF($A142="",0,SUMIFS(L_Valor,L_ParcID,$A142,L_Status,"REALIZADO"))</f>
        <v>0</v>
      </c>
      <c r="L142" s="38" t="str">
        <f aca="false">IF($A142="","",IFERROR(INDEX(L_Data,MATCH(1,INDEX((L_ParcID=$A142)*(L_Status="REALIZADO"),0),0)),""))</f>
        <v/>
      </c>
      <c r="M142" s="34" t="n">
        <f aca="false">IF($A142="",0,COUNTIFS(L_ParcID,$A142,L_Status,"REALIZADO"))</f>
        <v>0</v>
      </c>
      <c r="N142" s="34" t="n">
        <f aca="false">IF($A142="",0,COUNTIFS(L_ParcID,$A142,L_Status,"PROJETADO"))</f>
        <v>0</v>
      </c>
      <c r="O142" s="35" t="str">
        <f aca="false">IF($A142="","",IF($J142="SIM","PAGA",IF($M142&gt;0,"PAGA",IF($D142&lt;CFG_HOJE,"ATRASADA",IF($D142&lt;=EOMONTH(CFG_HOJE,0),"ABERTA","PROJETADA")))))</f>
        <v/>
      </c>
      <c r="P142" s="34" t="n">
        <f aca="false">IF($O142="ATRASADA",CFG_HOJE-$D142,0)</f>
        <v>0</v>
      </c>
      <c r="Q142" s="36" t="n">
        <f aca="false">IF($A142="",0,IF(AND($O142="PAGA",$J142="NAO"),$K142-$E142,0))</f>
        <v>0</v>
      </c>
    </row>
    <row r="143" customFormat="false" ht="15" hidden="false" customHeight="false" outlineLevel="0" collapsed="false">
      <c r="A143" s="30" t="str">
        <f aca="false">IF($B143="","","PAR-"&amp;TEXT(ROW()-4,"000000"))</f>
        <v/>
      </c>
      <c r="B143" s="32"/>
      <c r="C143" s="37"/>
      <c r="D143" s="31"/>
      <c r="E143" s="33"/>
      <c r="F143" s="32"/>
      <c r="G143" s="35" t="str">
        <f aca="false">IF($B143="","",IFERROR(INDEX(CM_NOME,MATCH($B143,CM_ID,0)),"?"))</f>
        <v/>
      </c>
      <c r="H143" s="34" t="str">
        <f aca="false">IF($B143="","",IFERROR(INDEX(CM_QTD,MATCH($B143,CM_ID,0)),""))</f>
        <v/>
      </c>
      <c r="I143" s="35" t="str">
        <f aca="false">IF($A143="","",$C143&amp;"/"&amp;$H143)</f>
        <v/>
      </c>
      <c r="J143" s="35" t="str">
        <f aca="false">IF($A143="","",IF($C143&lt;=IFERROR(INDEX(CM_PAGASANTES,MATCH($B143,CM_ID,0)),0),"SIM","NAO"))</f>
        <v/>
      </c>
      <c r="K143" s="36" t="n">
        <f aca="false">IF($A143="",0,SUMIFS(L_Valor,L_ParcID,$A143,L_Status,"REALIZADO"))</f>
        <v>0</v>
      </c>
      <c r="L143" s="38" t="str">
        <f aca="false">IF($A143="","",IFERROR(INDEX(L_Data,MATCH(1,INDEX((L_ParcID=$A143)*(L_Status="REALIZADO"),0),0)),""))</f>
        <v/>
      </c>
      <c r="M143" s="34" t="n">
        <f aca="false">IF($A143="",0,COUNTIFS(L_ParcID,$A143,L_Status,"REALIZADO"))</f>
        <v>0</v>
      </c>
      <c r="N143" s="34" t="n">
        <f aca="false">IF($A143="",0,COUNTIFS(L_ParcID,$A143,L_Status,"PROJETADO"))</f>
        <v>0</v>
      </c>
      <c r="O143" s="35" t="str">
        <f aca="false">IF($A143="","",IF($J143="SIM","PAGA",IF($M143&gt;0,"PAGA",IF($D143&lt;CFG_HOJE,"ATRASADA",IF($D143&lt;=EOMONTH(CFG_HOJE,0),"ABERTA","PROJETADA")))))</f>
        <v/>
      </c>
      <c r="P143" s="34" t="n">
        <f aca="false">IF($O143="ATRASADA",CFG_HOJE-$D143,0)</f>
        <v>0</v>
      </c>
      <c r="Q143" s="36" t="n">
        <f aca="false">IF($A143="",0,IF(AND($O143="PAGA",$J143="NAO"),$K143-$E143,0))</f>
        <v>0</v>
      </c>
    </row>
    <row r="144" customFormat="false" ht="15" hidden="false" customHeight="false" outlineLevel="0" collapsed="false">
      <c r="A144" s="30" t="str">
        <f aca="false">IF($B144="","","PAR-"&amp;TEXT(ROW()-4,"000000"))</f>
        <v/>
      </c>
      <c r="B144" s="32"/>
      <c r="C144" s="37"/>
      <c r="D144" s="31"/>
      <c r="E144" s="33"/>
      <c r="F144" s="32"/>
      <c r="G144" s="35" t="str">
        <f aca="false">IF($B144="","",IFERROR(INDEX(CM_NOME,MATCH($B144,CM_ID,0)),"?"))</f>
        <v/>
      </c>
      <c r="H144" s="34" t="str">
        <f aca="false">IF($B144="","",IFERROR(INDEX(CM_QTD,MATCH($B144,CM_ID,0)),""))</f>
        <v/>
      </c>
      <c r="I144" s="35" t="str">
        <f aca="false">IF($A144="","",$C144&amp;"/"&amp;$H144)</f>
        <v/>
      </c>
      <c r="J144" s="35" t="str">
        <f aca="false">IF($A144="","",IF($C144&lt;=IFERROR(INDEX(CM_PAGASANTES,MATCH($B144,CM_ID,0)),0),"SIM","NAO"))</f>
        <v/>
      </c>
      <c r="K144" s="36" t="n">
        <f aca="false">IF($A144="",0,SUMIFS(L_Valor,L_ParcID,$A144,L_Status,"REALIZADO"))</f>
        <v>0</v>
      </c>
      <c r="L144" s="38" t="str">
        <f aca="false">IF($A144="","",IFERROR(INDEX(L_Data,MATCH(1,INDEX((L_ParcID=$A144)*(L_Status="REALIZADO"),0),0)),""))</f>
        <v/>
      </c>
      <c r="M144" s="34" t="n">
        <f aca="false">IF($A144="",0,COUNTIFS(L_ParcID,$A144,L_Status,"REALIZADO"))</f>
        <v>0</v>
      </c>
      <c r="N144" s="34" t="n">
        <f aca="false">IF($A144="",0,COUNTIFS(L_ParcID,$A144,L_Status,"PROJETADO"))</f>
        <v>0</v>
      </c>
      <c r="O144" s="35" t="str">
        <f aca="false">IF($A144="","",IF($J144="SIM","PAGA",IF($M144&gt;0,"PAGA",IF($D144&lt;CFG_HOJE,"ATRASADA",IF($D144&lt;=EOMONTH(CFG_HOJE,0),"ABERTA","PROJETADA")))))</f>
        <v/>
      </c>
      <c r="P144" s="34" t="n">
        <f aca="false">IF($O144="ATRASADA",CFG_HOJE-$D144,0)</f>
        <v>0</v>
      </c>
      <c r="Q144" s="36" t="n">
        <f aca="false">IF($A144="",0,IF(AND($O144="PAGA",$J144="NAO"),$K144-$E144,0))</f>
        <v>0</v>
      </c>
    </row>
    <row r="145" customFormat="false" ht="15" hidden="false" customHeight="false" outlineLevel="0" collapsed="false">
      <c r="A145" s="30" t="str">
        <f aca="false">IF($B145="","","PAR-"&amp;TEXT(ROW()-4,"000000"))</f>
        <v/>
      </c>
      <c r="B145" s="32"/>
      <c r="C145" s="37"/>
      <c r="D145" s="31"/>
      <c r="E145" s="33"/>
      <c r="F145" s="32"/>
      <c r="G145" s="35" t="str">
        <f aca="false">IF($B145="","",IFERROR(INDEX(CM_NOME,MATCH($B145,CM_ID,0)),"?"))</f>
        <v/>
      </c>
      <c r="H145" s="34" t="str">
        <f aca="false">IF($B145="","",IFERROR(INDEX(CM_QTD,MATCH($B145,CM_ID,0)),""))</f>
        <v/>
      </c>
      <c r="I145" s="35" t="str">
        <f aca="false">IF($A145="","",$C145&amp;"/"&amp;$H145)</f>
        <v/>
      </c>
      <c r="J145" s="35" t="str">
        <f aca="false">IF($A145="","",IF($C145&lt;=IFERROR(INDEX(CM_PAGASANTES,MATCH($B145,CM_ID,0)),0),"SIM","NAO"))</f>
        <v/>
      </c>
      <c r="K145" s="36" t="n">
        <f aca="false">IF($A145="",0,SUMIFS(L_Valor,L_ParcID,$A145,L_Status,"REALIZADO"))</f>
        <v>0</v>
      </c>
      <c r="L145" s="38" t="str">
        <f aca="false">IF($A145="","",IFERROR(INDEX(L_Data,MATCH(1,INDEX((L_ParcID=$A145)*(L_Status="REALIZADO"),0),0)),""))</f>
        <v/>
      </c>
      <c r="M145" s="34" t="n">
        <f aca="false">IF($A145="",0,COUNTIFS(L_ParcID,$A145,L_Status,"REALIZADO"))</f>
        <v>0</v>
      </c>
      <c r="N145" s="34" t="n">
        <f aca="false">IF($A145="",0,COUNTIFS(L_ParcID,$A145,L_Status,"PROJETADO"))</f>
        <v>0</v>
      </c>
      <c r="O145" s="35" t="str">
        <f aca="false">IF($A145="","",IF($J145="SIM","PAGA",IF($M145&gt;0,"PAGA",IF($D145&lt;CFG_HOJE,"ATRASADA",IF($D145&lt;=EOMONTH(CFG_HOJE,0),"ABERTA","PROJETADA")))))</f>
        <v/>
      </c>
      <c r="P145" s="34" t="n">
        <f aca="false">IF($O145="ATRASADA",CFG_HOJE-$D145,0)</f>
        <v>0</v>
      </c>
      <c r="Q145" s="36" t="n">
        <f aca="false">IF($A145="",0,IF(AND($O145="PAGA",$J145="NAO"),$K145-$E145,0))</f>
        <v>0</v>
      </c>
    </row>
    <row r="146" customFormat="false" ht="15" hidden="false" customHeight="false" outlineLevel="0" collapsed="false">
      <c r="A146" s="30" t="str">
        <f aca="false">IF($B146="","","PAR-"&amp;TEXT(ROW()-4,"000000"))</f>
        <v/>
      </c>
      <c r="B146" s="32"/>
      <c r="C146" s="37"/>
      <c r="D146" s="31"/>
      <c r="E146" s="33"/>
      <c r="F146" s="32"/>
      <c r="G146" s="35" t="str">
        <f aca="false">IF($B146="","",IFERROR(INDEX(CM_NOME,MATCH($B146,CM_ID,0)),"?"))</f>
        <v/>
      </c>
      <c r="H146" s="34" t="str">
        <f aca="false">IF($B146="","",IFERROR(INDEX(CM_QTD,MATCH($B146,CM_ID,0)),""))</f>
        <v/>
      </c>
      <c r="I146" s="35" t="str">
        <f aca="false">IF($A146="","",$C146&amp;"/"&amp;$H146)</f>
        <v/>
      </c>
      <c r="J146" s="35" t="str">
        <f aca="false">IF($A146="","",IF($C146&lt;=IFERROR(INDEX(CM_PAGASANTES,MATCH($B146,CM_ID,0)),0),"SIM","NAO"))</f>
        <v/>
      </c>
      <c r="K146" s="36" t="n">
        <f aca="false">IF($A146="",0,SUMIFS(L_Valor,L_ParcID,$A146,L_Status,"REALIZADO"))</f>
        <v>0</v>
      </c>
      <c r="L146" s="38" t="str">
        <f aca="false">IF($A146="","",IFERROR(INDEX(L_Data,MATCH(1,INDEX((L_ParcID=$A146)*(L_Status="REALIZADO"),0),0)),""))</f>
        <v/>
      </c>
      <c r="M146" s="34" t="n">
        <f aca="false">IF($A146="",0,COUNTIFS(L_ParcID,$A146,L_Status,"REALIZADO"))</f>
        <v>0</v>
      </c>
      <c r="N146" s="34" t="n">
        <f aca="false">IF($A146="",0,COUNTIFS(L_ParcID,$A146,L_Status,"PROJETADO"))</f>
        <v>0</v>
      </c>
      <c r="O146" s="35" t="str">
        <f aca="false">IF($A146="","",IF($J146="SIM","PAGA",IF($M146&gt;0,"PAGA",IF($D146&lt;CFG_HOJE,"ATRASADA",IF($D146&lt;=EOMONTH(CFG_HOJE,0),"ABERTA","PROJETADA")))))</f>
        <v/>
      </c>
      <c r="P146" s="34" t="n">
        <f aca="false">IF($O146="ATRASADA",CFG_HOJE-$D146,0)</f>
        <v>0</v>
      </c>
      <c r="Q146" s="36" t="n">
        <f aca="false">IF($A146="",0,IF(AND($O146="PAGA",$J146="NAO"),$K146-$E146,0))</f>
        <v>0</v>
      </c>
    </row>
    <row r="147" customFormat="false" ht="15" hidden="false" customHeight="false" outlineLevel="0" collapsed="false">
      <c r="A147" s="30" t="str">
        <f aca="false">IF($B147="","","PAR-"&amp;TEXT(ROW()-4,"000000"))</f>
        <v/>
      </c>
      <c r="B147" s="32"/>
      <c r="C147" s="37"/>
      <c r="D147" s="31"/>
      <c r="E147" s="33"/>
      <c r="F147" s="32"/>
      <c r="G147" s="35" t="str">
        <f aca="false">IF($B147="","",IFERROR(INDEX(CM_NOME,MATCH($B147,CM_ID,0)),"?"))</f>
        <v/>
      </c>
      <c r="H147" s="34" t="str">
        <f aca="false">IF($B147="","",IFERROR(INDEX(CM_QTD,MATCH($B147,CM_ID,0)),""))</f>
        <v/>
      </c>
      <c r="I147" s="35" t="str">
        <f aca="false">IF($A147="","",$C147&amp;"/"&amp;$H147)</f>
        <v/>
      </c>
      <c r="J147" s="35" t="str">
        <f aca="false">IF($A147="","",IF($C147&lt;=IFERROR(INDEX(CM_PAGASANTES,MATCH($B147,CM_ID,0)),0),"SIM","NAO"))</f>
        <v/>
      </c>
      <c r="K147" s="36" t="n">
        <f aca="false">IF($A147="",0,SUMIFS(L_Valor,L_ParcID,$A147,L_Status,"REALIZADO"))</f>
        <v>0</v>
      </c>
      <c r="L147" s="38" t="str">
        <f aca="false">IF($A147="","",IFERROR(INDEX(L_Data,MATCH(1,INDEX((L_ParcID=$A147)*(L_Status="REALIZADO"),0),0)),""))</f>
        <v/>
      </c>
      <c r="M147" s="34" t="n">
        <f aca="false">IF($A147="",0,COUNTIFS(L_ParcID,$A147,L_Status,"REALIZADO"))</f>
        <v>0</v>
      </c>
      <c r="N147" s="34" t="n">
        <f aca="false">IF($A147="",0,COUNTIFS(L_ParcID,$A147,L_Status,"PROJETADO"))</f>
        <v>0</v>
      </c>
      <c r="O147" s="35" t="str">
        <f aca="false">IF($A147="","",IF($J147="SIM","PAGA",IF($M147&gt;0,"PAGA",IF($D147&lt;CFG_HOJE,"ATRASADA",IF($D147&lt;=EOMONTH(CFG_HOJE,0),"ABERTA","PROJETADA")))))</f>
        <v/>
      </c>
      <c r="P147" s="34" t="n">
        <f aca="false">IF($O147="ATRASADA",CFG_HOJE-$D147,0)</f>
        <v>0</v>
      </c>
      <c r="Q147" s="36" t="n">
        <f aca="false">IF($A147="",0,IF(AND($O147="PAGA",$J147="NAO"),$K147-$E147,0))</f>
        <v>0</v>
      </c>
    </row>
    <row r="148" customFormat="false" ht="15" hidden="false" customHeight="false" outlineLevel="0" collapsed="false">
      <c r="A148" s="30" t="str">
        <f aca="false">IF($B148="","","PAR-"&amp;TEXT(ROW()-4,"000000"))</f>
        <v/>
      </c>
      <c r="B148" s="32"/>
      <c r="C148" s="37"/>
      <c r="D148" s="31"/>
      <c r="E148" s="33"/>
      <c r="F148" s="32"/>
      <c r="G148" s="35" t="str">
        <f aca="false">IF($B148="","",IFERROR(INDEX(CM_NOME,MATCH($B148,CM_ID,0)),"?"))</f>
        <v/>
      </c>
      <c r="H148" s="34" t="str">
        <f aca="false">IF($B148="","",IFERROR(INDEX(CM_QTD,MATCH($B148,CM_ID,0)),""))</f>
        <v/>
      </c>
      <c r="I148" s="35" t="str">
        <f aca="false">IF($A148="","",$C148&amp;"/"&amp;$H148)</f>
        <v/>
      </c>
      <c r="J148" s="35" t="str">
        <f aca="false">IF($A148="","",IF($C148&lt;=IFERROR(INDEX(CM_PAGASANTES,MATCH($B148,CM_ID,0)),0),"SIM","NAO"))</f>
        <v/>
      </c>
      <c r="K148" s="36" t="n">
        <f aca="false">IF($A148="",0,SUMIFS(L_Valor,L_ParcID,$A148,L_Status,"REALIZADO"))</f>
        <v>0</v>
      </c>
      <c r="L148" s="38" t="str">
        <f aca="false">IF($A148="","",IFERROR(INDEX(L_Data,MATCH(1,INDEX((L_ParcID=$A148)*(L_Status="REALIZADO"),0),0)),""))</f>
        <v/>
      </c>
      <c r="M148" s="34" t="n">
        <f aca="false">IF($A148="",0,COUNTIFS(L_ParcID,$A148,L_Status,"REALIZADO"))</f>
        <v>0</v>
      </c>
      <c r="N148" s="34" t="n">
        <f aca="false">IF($A148="",0,COUNTIFS(L_ParcID,$A148,L_Status,"PROJETADO"))</f>
        <v>0</v>
      </c>
      <c r="O148" s="35" t="str">
        <f aca="false">IF($A148="","",IF($J148="SIM","PAGA",IF($M148&gt;0,"PAGA",IF($D148&lt;CFG_HOJE,"ATRASADA",IF($D148&lt;=EOMONTH(CFG_HOJE,0),"ABERTA","PROJETADA")))))</f>
        <v/>
      </c>
      <c r="P148" s="34" t="n">
        <f aca="false">IF($O148="ATRASADA",CFG_HOJE-$D148,0)</f>
        <v>0</v>
      </c>
      <c r="Q148" s="36" t="n">
        <f aca="false">IF($A148="",0,IF(AND($O148="PAGA",$J148="NAO"),$K148-$E148,0))</f>
        <v>0</v>
      </c>
    </row>
    <row r="149" customFormat="false" ht="15" hidden="false" customHeight="false" outlineLevel="0" collapsed="false">
      <c r="A149" s="30" t="str">
        <f aca="false">IF($B149="","","PAR-"&amp;TEXT(ROW()-4,"000000"))</f>
        <v/>
      </c>
      <c r="B149" s="32"/>
      <c r="C149" s="37"/>
      <c r="D149" s="31"/>
      <c r="E149" s="33"/>
      <c r="F149" s="32"/>
      <c r="G149" s="35" t="str">
        <f aca="false">IF($B149="","",IFERROR(INDEX(CM_NOME,MATCH($B149,CM_ID,0)),"?"))</f>
        <v/>
      </c>
      <c r="H149" s="34" t="str">
        <f aca="false">IF($B149="","",IFERROR(INDEX(CM_QTD,MATCH($B149,CM_ID,0)),""))</f>
        <v/>
      </c>
      <c r="I149" s="35" t="str">
        <f aca="false">IF($A149="","",$C149&amp;"/"&amp;$H149)</f>
        <v/>
      </c>
      <c r="J149" s="35" t="str">
        <f aca="false">IF($A149="","",IF($C149&lt;=IFERROR(INDEX(CM_PAGASANTES,MATCH($B149,CM_ID,0)),0),"SIM","NAO"))</f>
        <v/>
      </c>
      <c r="K149" s="36" t="n">
        <f aca="false">IF($A149="",0,SUMIFS(L_Valor,L_ParcID,$A149,L_Status,"REALIZADO"))</f>
        <v>0</v>
      </c>
      <c r="L149" s="38" t="str">
        <f aca="false">IF($A149="","",IFERROR(INDEX(L_Data,MATCH(1,INDEX((L_ParcID=$A149)*(L_Status="REALIZADO"),0),0)),""))</f>
        <v/>
      </c>
      <c r="M149" s="34" t="n">
        <f aca="false">IF($A149="",0,COUNTIFS(L_ParcID,$A149,L_Status,"REALIZADO"))</f>
        <v>0</v>
      </c>
      <c r="N149" s="34" t="n">
        <f aca="false">IF($A149="",0,COUNTIFS(L_ParcID,$A149,L_Status,"PROJETADO"))</f>
        <v>0</v>
      </c>
      <c r="O149" s="35" t="str">
        <f aca="false">IF($A149="","",IF($J149="SIM","PAGA",IF($M149&gt;0,"PAGA",IF($D149&lt;CFG_HOJE,"ATRASADA",IF($D149&lt;=EOMONTH(CFG_HOJE,0),"ABERTA","PROJETADA")))))</f>
        <v/>
      </c>
      <c r="P149" s="34" t="n">
        <f aca="false">IF($O149="ATRASADA",CFG_HOJE-$D149,0)</f>
        <v>0</v>
      </c>
      <c r="Q149" s="36" t="n">
        <f aca="false">IF($A149="",0,IF(AND($O149="PAGA",$J149="NAO"),$K149-$E149,0))</f>
        <v>0</v>
      </c>
    </row>
    <row r="150" customFormat="false" ht="15" hidden="false" customHeight="false" outlineLevel="0" collapsed="false">
      <c r="A150" s="30" t="str">
        <f aca="false">IF($B150="","","PAR-"&amp;TEXT(ROW()-4,"000000"))</f>
        <v/>
      </c>
      <c r="B150" s="32"/>
      <c r="C150" s="37"/>
      <c r="D150" s="31"/>
      <c r="E150" s="33"/>
      <c r="F150" s="32"/>
      <c r="G150" s="35" t="str">
        <f aca="false">IF($B150="","",IFERROR(INDEX(CM_NOME,MATCH($B150,CM_ID,0)),"?"))</f>
        <v/>
      </c>
      <c r="H150" s="34" t="str">
        <f aca="false">IF($B150="","",IFERROR(INDEX(CM_QTD,MATCH($B150,CM_ID,0)),""))</f>
        <v/>
      </c>
      <c r="I150" s="35" t="str">
        <f aca="false">IF($A150="","",$C150&amp;"/"&amp;$H150)</f>
        <v/>
      </c>
      <c r="J150" s="35" t="str">
        <f aca="false">IF($A150="","",IF($C150&lt;=IFERROR(INDEX(CM_PAGASANTES,MATCH($B150,CM_ID,0)),0),"SIM","NAO"))</f>
        <v/>
      </c>
      <c r="K150" s="36" t="n">
        <f aca="false">IF($A150="",0,SUMIFS(L_Valor,L_ParcID,$A150,L_Status,"REALIZADO"))</f>
        <v>0</v>
      </c>
      <c r="L150" s="38" t="str">
        <f aca="false">IF($A150="","",IFERROR(INDEX(L_Data,MATCH(1,INDEX((L_ParcID=$A150)*(L_Status="REALIZADO"),0),0)),""))</f>
        <v/>
      </c>
      <c r="M150" s="34" t="n">
        <f aca="false">IF($A150="",0,COUNTIFS(L_ParcID,$A150,L_Status,"REALIZADO"))</f>
        <v>0</v>
      </c>
      <c r="N150" s="34" t="n">
        <f aca="false">IF($A150="",0,COUNTIFS(L_ParcID,$A150,L_Status,"PROJETADO"))</f>
        <v>0</v>
      </c>
      <c r="O150" s="35" t="str">
        <f aca="false">IF($A150="","",IF($J150="SIM","PAGA",IF($M150&gt;0,"PAGA",IF($D150&lt;CFG_HOJE,"ATRASADA",IF($D150&lt;=EOMONTH(CFG_HOJE,0),"ABERTA","PROJETADA")))))</f>
        <v/>
      </c>
      <c r="P150" s="34" t="n">
        <f aca="false">IF($O150="ATRASADA",CFG_HOJE-$D150,0)</f>
        <v>0</v>
      </c>
      <c r="Q150" s="36" t="n">
        <f aca="false">IF($A150="",0,IF(AND($O150="PAGA",$J150="NAO"),$K150-$E150,0))</f>
        <v>0</v>
      </c>
    </row>
    <row r="151" customFormat="false" ht="15" hidden="false" customHeight="false" outlineLevel="0" collapsed="false">
      <c r="A151" s="30" t="str">
        <f aca="false">IF($B151="","","PAR-"&amp;TEXT(ROW()-4,"000000"))</f>
        <v/>
      </c>
      <c r="B151" s="32"/>
      <c r="C151" s="37"/>
      <c r="D151" s="31"/>
      <c r="E151" s="33"/>
      <c r="F151" s="32"/>
      <c r="G151" s="35" t="str">
        <f aca="false">IF($B151="","",IFERROR(INDEX(CM_NOME,MATCH($B151,CM_ID,0)),"?"))</f>
        <v/>
      </c>
      <c r="H151" s="34" t="str">
        <f aca="false">IF($B151="","",IFERROR(INDEX(CM_QTD,MATCH($B151,CM_ID,0)),""))</f>
        <v/>
      </c>
      <c r="I151" s="35" t="str">
        <f aca="false">IF($A151="","",$C151&amp;"/"&amp;$H151)</f>
        <v/>
      </c>
      <c r="J151" s="35" t="str">
        <f aca="false">IF($A151="","",IF($C151&lt;=IFERROR(INDEX(CM_PAGASANTES,MATCH($B151,CM_ID,0)),0),"SIM","NAO"))</f>
        <v/>
      </c>
      <c r="K151" s="36" t="n">
        <f aca="false">IF($A151="",0,SUMIFS(L_Valor,L_ParcID,$A151,L_Status,"REALIZADO"))</f>
        <v>0</v>
      </c>
      <c r="L151" s="38" t="str">
        <f aca="false">IF($A151="","",IFERROR(INDEX(L_Data,MATCH(1,INDEX((L_ParcID=$A151)*(L_Status="REALIZADO"),0),0)),""))</f>
        <v/>
      </c>
      <c r="M151" s="34" t="n">
        <f aca="false">IF($A151="",0,COUNTIFS(L_ParcID,$A151,L_Status,"REALIZADO"))</f>
        <v>0</v>
      </c>
      <c r="N151" s="34" t="n">
        <f aca="false">IF($A151="",0,COUNTIFS(L_ParcID,$A151,L_Status,"PROJETADO"))</f>
        <v>0</v>
      </c>
      <c r="O151" s="35" t="str">
        <f aca="false">IF($A151="","",IF($J151="SIM","PAGA",IF($M151&gt;0,"PAGA",IF($D151&lt;CFG_HOJE,"ATRASADA",IF($D151&lt;=EOMONTH(CFG_HOJE,0),"ABERTA","PROJETADA")))))</f>
        <v/>
      </c>
      <c r="P151" s="34" t="n">
        <f aca="false">IF($O151="ATRASADA",CFG_HOJE-$D151,0)</f>
        <v>0</v>
      </c>
      <c r="Q151" s="36" t="n">
        <f aca="false">IF($A151="",0,IF(AND($O151="PAGA",$J151="NAO"),$K151-$E151,0))</f>
        <v>0</v>
      </c>
    </row>
    <row r="152" customFormat="false" ht="15" hidden="false" customHeight="false" outlineLevel="0" collapsed="false">
      <c r="A152" s="30" t="str">
        <f aca="false">IF($B152="","","PAR-"&amp;TEXT(ROW()-4,"000000"))</f>
        <v/>
      </c>
      <c r="B152" s="32"/>
      <c r="C152" s="37"/>
      <c r="D152" s="31"/>
      <c r="E152" s="33"/>
      <c r="F152" s="32"/>
      <c r="G152" s="35" t="str">
        <f aca="false">IF($B152="","",IFERROR(INDEX(CM_NOME,MATCH($B152,CM_ID,0)),"?"))</f>
        <v/>
      </c>
      <c r="H152" s="34" t="str">
        <f aca="false">IF($B152="","",IFERROR(INDEX(CM_QTD,MATCH($B152,CM_ID,0)),""))</f>
        <v/>
      </c>
      <c r="I152" s="35" t="str">
        <f aca="false">IF($A152="","",$C152&amp;"/"&amp;$H152)</f>
        <v/>
      </c>
      <c r="J152" s="35" t="str">
        <f aca="false">IF($A152="","",IF($C152&lt;=IFERROR(INDEX(CM_PAGASANTES,MATCH($B152,CM_ID,0)),0),"SIM","NAO"))</f>
        <v/>
      </c>
      <c r="K152" s="36" t="n">
        <f aca="false">IF($A152="",0,SUMIFS(L_Valor,L_ParcID,$A152,L_Status,"REALIZADO"))</f>
        <v>0</v>
      </c>
      <c r="L152" s="38" t="str">
        <f aca="false">IF($A152="","",IFERROR(INDEX(L_Data,MATCH(1,INDEX((L_ParcID=$A152)*(L_Status="REALIZADO"),0),0)),""))</f>
        <v/>
      </c>
      <c r="M152" s="34" t="n">
        <f aca="false">IF($A152="",0,COUNTIFS(L_ParcID,$A152,L_Status,"REALIZADO"))</f>
        <v>0</v>
      </c>
      <c r="N152" s="34" t="n">
        <f aca="false">IF($A152="",0,COUNTIFS(L_ParcID,$A152,L_Status,"PROJETADO"))</f>
        <v>0</v>
      </c>
      <c r="O152" s="35" t="str">
        <f aca="false">IF($A152="","",IF($J152="SIM","PAGA",IF($M152&gt;0,"PAGA",IF($D152&lt;CFG_HOJE,"ATRASADA",IF($D152&lt;=EOMONTH(CFG_HOJE,0),"ABERTA","PROJETADA")))))</f>
        <v/>
      </c>
      <c r="P152" s="34" t="n">
        <f aca="false">IF($O152="ATRASADA",CFG_HOJE-$D152,0)</f>
        <v>0</v>
      </c>
      <c r="Q152" s="36" t="n">
        <f aca="false">IF($A152="",0,IF(AND($O152="PAGA",$J152="NAO"),$K152-$E152,0))</f>
        <v>0</v>
      </c>
    </row>
    <row r="153" customFormat="false" ht="15" hidden="false" customHeight="false" outlineLevel="0" collapsed="false">
      <c r="A153" s="30" t="str">
        <f aca="false">IF($B153="","","PAR-"&amp;TEXT(ROW()-4,"000000"))</f>
        <v/>
      </c>
      <c r="B153" s="32"/>
      <c r="C153" s="37"/>
      <c r="D153" s="31"/>
      <c r="E153" s="33"/>
      <c r="F153" s="32"/>
      <c r="G153" s="35" t="str">
        <f aca="false">IF($B153="","",IFERROR(INDEX(CM_NOME,MATCH($B153,CM_ID,0)),"?"))</f>
        <v/>
      </c>
      <c r="H153" s="34" t="str">
        <f aca="false">IF($B153="","",IFERROR(INDEX(CM_QTD,MATCH($B153,CM_ID,0)),""))</f>
        <v/>
      </c>
      <c r="I153" s="35" t="str">
        <f aca="false">IF($A153="","",$C153&amp;"/"&amp;$H153)</f>
        <v/>
      </c>
      <c r="J153" s="35" t="str">
        <f aca="false">IF($A153="","",IF($C153&lt;=IFERROR(INDEX(CM_PAGASANTES,MATCH($B153,CM_ID,0)),0),"SIM","NAO"))</f>
        <v/>
      </c>
      <c r="K153" s="36" t="n">
        <f aca="false">IF($A153="",0,SUMIFS(L_Valor,L_ParcID,$A153,L_Status,"REALIZADO"))</f>
        <v>0</v>
      </c>
      <c r="L153" s="38" t="str">
        <f aca="false">IF($A153="","",IFERROR(INDEX(L_Data,MATCH(1,INDEX((L_ParcID=$A153)*(L_Status="REALIZADO"),0),0)),""))</f>
        <v/>
      </c>
      <c r="M153" s="34" t="n">
        <f aca="false">IF($A153="",0,COUNTIFS(L_ParcID,$A153,L_Status,"REALIZADO"))</f>
        <v>0</v>
      </c>
      <c r="N153" s="34" t="n">
        <f aca="false">IF($A153="",0,COUNTIFS(L_ParcID,$A153,L_Status,"PROJETADO"))</f>
        <v>0</v>
      </c>
      <c r="O153" s="35" t="str">
        <f aca="false">IF($A153="","",IF($J153="SIM","PAGA",IF($M153&gt;0,"PAGA",IF($D153&lt;CFG_HOJE,"ATRASADA",IF($D153&lt;=EOMONTH(CFG_HOJE,0),"ABERTA","PROJETADA")))))</f>
        <v/>
      </c>
      <c r="P153" s="34" t="n">
        <f aca="false">IF($O153="ATRASADA",CFG_HOJE-$D153,0)</f>
        <v>0</v>
      </c>
      <c r="Q153" s="36" t="n">
        <f aca="false">IF($A153="",0,IF(AND($O153="PAGA",$J153="NAO"),$K153-$E153,0))</f>
        <v>0</v>
      </c>
    </row>
    <row r="154" customFormat="false" ht="15" hidden="false" customHeight="false" outlineLevel="0" collapsed="false">
      <c r="A154" s="30" t="str">
        <f aca="false">IF($B154="","","PAR-"&amp;TEXT(ROW()-4,"000000"))</f>
        <v/>
      </c>
      <c r="B154" s="32"/>
      <c r="C154" s="37"/>
      <c r="D154" s="31"/>
      <c r="E154" s="33"/>
      <c r="F154" s="32"/>
      <c r="G154" s="35" t="str">
        <f aca="false">IF($B154="","",IFERROR(INDEX(CM_NOME,MATCH($B154,CM_ID,0)),"?"))</f>
        <v/>
      </c>
      <c r="H154" s="34" t="str">
        <f aca="false">IF($B154="","",IFERROR(INDEX(CM_QTD,MATCH($B154,CM_ID,0)),""))</f>
        <v/>
      </c>
      <c r="I154" s="35" t="str">
        <f aca="false">IF($A154="","",$C154&amp;"/"&amp;$H154)</f>
        <v/>
      </c>
      <c r="J154" s="35" t="str">
        <f aca="false">IF($A154="","",IF($C154&lt;=IFERROR(INDEX(CM_PAGASANTES,MATCH($B154,CM_ID,0)),0),"SIM","NAO"))</f>
        <v/>
      </c>
      <c r="K154" s="36" t="n">
        <f aca="false">IF($A154="",0,SUMIFS(L_Valor,L_ParcID,$A154,L_Status,"REALIZADO"))</f>
        <v>0</v>
      </c>
      <c r="L154" s="38" t="str">
        <f aca="false">IF($A154="","",IFERROR(INDEX(L_Data,MATCH(1,INDEX((L_ParcID=$A154)*(L_Status="REALIZADO"),0),0)),""))</f>
        <v/>
      </c>
      <c r="M154" s="34" t="n">
        <f aca="false">IF($A154="",0,COUNTIFS(L_ParcID,$A154,L_Status,"REALIZADO"))</f>
        <v>0</v>
      </c>
      <c r="N154" s="34" t="n">
        <f aca="false">IF($A154="",0,COUNTIFS(L_ParcID,$A154,L_Status,"PROJETADO"))</f>
        <v>0</v>
      </c>
      <c r="O154" s="35" t="str">
        <f aca="false">IF($A154="","",IF($J154="SIM","PAGA",IF($M154&gt;0,"PAGA",IF($D154&lt;CFG_HOJE,"ATRASADA",IF($D154&lt;=EOMONTH(CFG_HOJE,0),"ABERTA","PROJETADA")))))</f>
        <v/>
      </c>
      <c r="P154" s="34" t="n">
        <f aca="false">IF($O154="ATRASADA",CFG_HOJE-$D154,0)</f>
        <v>0</v>
      </c>
      <c r="Q154" s="36" t="n">
        <f aca="false">IF($A154="",0,IF(AND($O154="PAGA",$J154="NAO"),$K154-$E154,0))</f>
        <v>0</v>
      </c>
    </row>
    <row r="155" customFormat="false" ht="15" hidden="false" customHeight="false" outlineLevel="0" collapsed="false">
      <c r="A155" s="30" t="str">
        <f aca="false">IF($B155="","","PAR-"&amp;TEXT(ROW()-4,"000000"))</f>
        <v/>
      </c>
      <c r="B155" s="32"/>
      <c r="C155" s="37"/>
      <c r="D155" s="31"/>
      <c r="E155" s="33"/>
      <c r="F155" s="32"/>
      <c r="G155" s="35" t="str">
        <f aca="false">IF($B155="","",IFERROR(INDEX(CM_NOME,MATCH($B155,CM_ID,0)),"?"))</f>
        <v/>
      </c>
      <c r="H155" s="34" t="str">
        <f aca="false">IF($B155="","",IFERROR(INDEX(CM_QTD,MATCH($B155,CM_ID,0)),""))</f>
        <v/>
      </c>
      <c r="I155" s="35" t="str">
        <f aca="false">IF($A155="","",$C155&amp;"/"&amp;$H155)</f>
        <v/>
      </c>
      <c r="J155" s="35" t="str">
        <f aca="false">IF($A155="","",IF($C155&lt;=IFERROR(INDEX(CM_PAGASANTES,MATCH($B155,CM_ID,0)),0),"SIM","NAO"))</f>
        <v/>
      </c>
      <c r="K155" s="36" t="n">
        <f aca="false">IF($A155="",0,SUMIFS(L_Valor,L_ParcID,$A155,L_Status,"REALIZADO"))</f>
        <v>0</v>
      </c>
      <c r="L155" s="38" t="str">
        <f aca="false">IF($A155="","",IFERROR(INDEX(L_Data,MATCH(1,INDEX((L_ParcID=$A155)*(L_Status="REALIZADO"),0),0)),""))</f>
        <v/>
      </c>
      <c r="M155" s="34" t="n">
        <f aca="false">IF($A155="",0,COUNTIFS(L_ParcID,$A155,L_Status,"REALIZADO"))</f>
        <v>0</v>
      </c>
      <c r="N155" s="34" t="n">
        <f aca="false">IF($A155="",0,COUNTIFS(L_ParcID,$A155,L_Status,"PROJETADO"))</f>
        <v>0</v>
      </c>
      <c r="O155" s="35" t="str">
        <f aca="false">IF($A155="","",IF($J155="SIM","PAGA",IF($M155&gt;0,"PAGA",IF($D155&lt;CFG_HOJE,"ATRASADA",IF($D155&lt;=EOMONTH(CFG_HOJE,0),"ABERTA","PROJETADA")))))</f>
        <v/>
      </c>
      <c r="P155" s="34" t="n">
        <f aca="false">IF($O155="ATRASADA",CFG_HOJE-$D155,0)</f>
        <v>0</v>
      </c>
      <c r="Q155" s="36" t="n">
        <f aca="false">IF($A155="",0,IF(AND($O155="PAGA",$J155="NAO"),$K155-$E155,0))</f>
        <v>0</v>
      </c>
    </row>
    <row r="156" customFormat="false" ht="15" hidden="false" customHeight="false" outlineLevel="0" collapsed="false">
      <c r="A156" s="30" t="str">
        <f aca="false">IF($B156="","","PAR-"&amp;TEXT(ROW()-4,"000000"))</f>
        <v/>
      </c>
      <c r="B156" s="32"/>
      <c r="C156" s="37"/>
      <c r="D156" s="31"/>
      <c r="E156" s="33"/>
      <c r="F156" s="32"/>
      <c r="G156" s="35" t="str">
        <f aca="false">IF($B156="","",IFERROR(INDEX(CM_NOME,MATCH($B156,CM_ID,0)),"?"))</f>
        <v/>
      </c>
      <c r="H156" s="34" t="str">
        <f aca="false">IF($B156="","",IFERROR(INDEX(CM_QTD,MATCH($B156,CM_ID,0)),""))</f>
        <v/>
      </c>
      <c r="I156" s="35" t="str">
        <f aca="false">IF($A156="","",$C156&amp;"/"&amp;$H156)</f>
        <v/>
      </c>
      <c r="J156" s="35" t="str">
        <f aca="false">IF($A156="","",IF($C156&lt;=IFERROR(INDEX(CM_PAGASANTES,MATCH($B156,CM_ID,0)),0),"SIM","NAO"))</f>
        <v/>
      </c>
      <c r="K156" s="36" t="n">
        <f aca="false">IF($A156="",0,SUMIFS(L_Valor,L_ParcID,$A156,L_Status,"REALIZADO"))</f>
        <v>0</v>
      </c>
      <c r="L156" s="38" t="str">
        <f aca="false">IF($A156="","",IFERROR(INDEX(L_Data,MATCH(1,INDEX((L_ParcID=$A156)*(L_Status="REALIZADO"),0),0)),""))</f>
        <v/>
      </c>
      <c r="M156" s="34" t="n">
        <f aca="false">IF($A156="",0,COUNTIFS(L_ParcID,$A156,L_Status,"REALIZADO"))</f>
        <v>0</v>
      </c>
      <c r="N156" s="34" t="n">
        <f aca="false">IF($A156="",0,COUNTIFS(L_ParcID,$A156,L_Status,"PROJETADO"))</f>
        <v>0</v>
      </c>
      <c r="O156" s="35" t="str">
        <f aca="false">IF($A156="","",IF($J156="SIM","PAGA",IF($M156&gt;0,"PAGA",IF($D156&lt;CFG_HOJE,"ATRASADA",IF($D156&lt;=EOMONTH(CFG_HOJE,0),"ABERTA","PROJETADA")))))</f>
        <v/>
      </c>
      <c r="P156" s="34" t="n">
        <f aca="false">IF($O156="ATRASADA",CFG_HOJE-$D156,0)</f>
        <v>0</v>
      </c>
      <c r="Q156" s="36" t="n">
        <f aca="false">IF($A156="",0,IF(AND($O156="PAGA",$J156="NAO"),$K156-$E156,0))</f>
        <v>0</v>
      </c>
    </row>
    <row r="157" customFormat="false" ht="15" hidden="false" customHeight="false" outlineLevel="0" collapsed="false">
      <c r="A157" s="30" t="str">
        <f aca="false">IF($B157="","","PAR-"&amp;TEXT(ROW()-4,"000000"))</f>
        <v/>
      </c>
      <c r="B157" s="32"/>
      <c r="C157" s="37"/>
      <c r="D157" s="31"/>
      <c r="E157" s="33"/>
      <c r="F157" s="32"/>
      <c r="G157" s="35" t="str">
        <f aca="false">IF($B157="","",IFERROR(INDEX(CM_NOME,MATCH($B157,CM_ID,0)),"?"))</f>
        <v/>
      </c>
      <c r="H157" s="34" t="str">
        <f aca="false">IF($B157="","",IFERROR(INDEX(CM_QTD,MATCH($B157,CM_ID,0)),""))</f>
        <v/>
      </c>
      <c r="I157" s="35" t="str">
        <f aca="false">IF($A157="","",$C157&amp;"/"&amp;$H157)</f>
        <v/>
      </c>
      <c r="J157" s="35" t="str">
        <f aca="false">IF($A157="","",IF($C157&lt;=IFERROR(INDEX(CM_PAGASANTES,MATCH($B157,CM_ID,0)),0),"SIM","NAO"))</f>
        <v/>
      </c>
      <c r="K157" s="36" t="n">
        <f aca="false">IF($A157="",0,SUMIFS(L_Valor,L_ParcID,$A157,L_Status,"REALIZADO"))</f>
        <v>0</v>
      </c>
      <c r="L157" s="38" t="str">
        <f aca="false">IF($A157="","",IFERROR(INDEX(L_Data,MATCH(1,INDEX((L_ParcID=$A157)*(L_Status="REALIZADO"),0),0)),""))</f>
        <v/>
      </c>
      <c r="M157" s="34" t="n">
        <f aca="false">IF($A157="",0,COUNTIFS(L_ParcID,$A157,L_Status,"REALIZADO"))</f>
        <v>0</v>
      </c>
      <c r="N157" s="34" t="n">
        <f aca="false">IF($A157="",0,COUNTIFS(L_ParcID,$A157,L_Status,"PROJETADO"))</f>
        <v>0</v>
      </c>
      <c r="O157" s="35" t="str">
        <f aca="false">IF($A157="","",IF($J157="SIM","PAGA",IF($M157&gt;0,"PAGA",IF($D157&lt;CFG_HOJE,"ATRASADA",IF($D157&lt;=EOMONTH(CFG_HOJE,0),"ABERTA","PROJETADA")))))</f>
        <v/>
      </c>
      <c r="P157" s="34" t="n">
        <f aca="false">IF($O157="ATRASADA",CFG_HOJE-$D157,0)</f>
        <v>0</v>
      </c>
      <c r="Q157" s="36" t="n">
        <f aca="false">IF($A157="",0,IF(AND($O157="PAGA",$J157="NAO"),$K157-$E157,0))</f>
        <v>0</v>
      </c>
    </row>
    <row r="158" customFormat="false" ht="15" hidden="false" customHeight="false" outlineLevel="0" collapsed="false">
      <c r="A158" s="30" t="str">
        <f aca="false">IF($B158="","","PAR-"&amp;TEXT(ROW()-4,"000000"))</f>
        <v/>
      </c>
      <c r="B158" s="32"/>
      <c r="C158" s="37"/>
      <c r="D158" s="31"/>
      <c r="E158" s="33"/>
      <c r="F158" s="32"/>
      <c r="G158" s="35" t="str">
        <f aca="false">IF($B158="","",IFERROR(INDEX(CM_NOME,MATCH($B158,CM_ID,0)),"?"))</f>
        <v/>
      </c>
      <c r="H158" s="34" t="str">
        <f aca="false">IF($B158="","",IFERROR(INDEX(CM_QTD,MATCH($B158,CM_ID,0)),""))</f>
        <v/>
      </c>
      <c r="I158" s="35" t="str">
        <f aca="false">IF($A158="","",$C158&amp;"/"&amp;$H158)</f>
        <v/>
      </c>
      <c r="J158" s="35" t="str">
        <f aca="false">IF($A158="","",IF($C158&lt;=IFERROR(INDEX(CM_PAGASANTES,MATCH($B158,CM_ID,0)),0),"SIM","NAO"))</f>
        <v/>
      </c>
      <c r="K158" s="36" t="n">
        <f aca="false">IF($A158="",0,SUMIFS(L_Valor,L_ParcID,$A158,L_Status,"REALIZADO"))</f>
        <v>0</v>
      </c>
      <c r="L158" s="38" t="str">
        <f aca="false">IF($A158="","",IFERROR(INDEX(L_Data,MATCH(1,INDEX((L_ParcID=$A158)*(L_Status="REALIZADO"),0),0)),""))</f>
        <v/>
      </c>
      <c r="M158" s="34" t="n">
        <f aca="false">IF($A158="",0,COUNTIFS(L_ParcID,$A158,L_Status,"REALIZADO"))</f>
        <v>0</v>
      </c>
      <c r="N158" s="34" t="n">
        <f aca="false">IF($A158="",0,COUNTIFS(L_ParcID,$A158,L_Status,"PROJETADO"))</f>
        <v>0</v>
      </c>
      <c r="O158" s="35" t="str">
        <f aca="false">IF($A158="","",IF($J158="SIM","PAGA",IF($M158&gt;0,"PAGA",IF($D158&lt;CFG_HOJE,"ATRASADA",IF($D158&lt;=EOMONTH(CFG_HOJE,0),"ABERTA","PROJETADA")))))</f>
        <v/>
      </c>
      <c r="P158" s="34" t="n">
        <f aca="false">IF($O158="ATRASADA",CFG_HOJE-$D158,0)</f>
        <v>0</v>
      </c>
      <c r="Q158" s="36" t="n">
        <f aca="false">IF($A158="",0,IF(AND($O158="PAGA",$J158="NAO"),$K158-$E158,0))</f>
        <v>0</v>
      </c>
    </row>
    <row r="159" customFormat="false" ht="15" hidden="false" customHeight="false" outlineLevel="0" collapsed="false">
      <c r="A159" s="30" t="str">
        <f aca="false">IF($B159="","","PAR-"&amp;TEXT(ROW()-4,"000000"))</f>
        <v/>
      </c>
      <c r="B159" s="32"/>
      <c r="C159" s="37"/>
      <c r="D159" s="31"/>
      <c r="E159" s="33"/>
      <c r="F159" s="32"/>
      <c r="G159" s="35" t="str">
        <f aca="false">IF($B159="","",IFERROR(INDEX(CM_NOME,MATCH($B159,CM_ID,0)),"?"))</f>
        <v/>
      </c>
      <c r="H159" s="34" t="str">
        <f aca="false">IF($B159="","",IFERROR(INDEX(CM_QTD,MATCH($B159,CM_ID,0)),""))</f>
        <v/>
      </c>
      <c r="I159" s="35" t="str">
        <f aca="false">IF($A159="","",$C159&amp;"/"&amp;$H159)</f>
        <v/>
      </c>
      <c r="J159" s="35" t="str">
        <f aca="false">IF($A159="","",IF($C159&lt;=IFERROR(INDEX(CM_PAGASANTES,MATCH($B159,CM_ID,0)),0),"SIM","NAO"))</f>
        <v/>
      </c>
      <c r="K159" s="36" t="n">
        <f aca="false">IF($A159="",0,SUMIFS(L_Valor,L_ParcID,$A159,L_Status,"REALIZADO"))</f>
        <v>0</v>
      </c>
      <c r="L159" s="38" t="str">
        <f aca="false">IF($A159="","",IFERROR(INDEX(L_Data,MATCH(1,INDEX((L_ParcID=$A159)*(L_Status="REALIZADO"),0),0)),""))</f>
        <v/>
      </c>
      <c r="M159" s="34" t="n">
        <f aca="false">IF($A159="",0,COUNTIFS(L_ParcID,$A159,L_Status,"REALIZADO"))</f>
        <v>0</v>
      </c>
      <c r="N159" s="34" t="n">
        <f aca="false">IF($A159="",0,COUNTIFS(L_ParcID,$A159,L_Status,"PROJETADO"))</f>
        <v>0</v>
      </c>
      <c r="O159" s="35" t="str">
        <f aca="false">IF($A159="","",IF($J159="SIM","PAGA",IF($M159&gt;0,"PAGA",IF($D159&lt;CFG_HOJE,"ATRASADA",IF($D159&lt;=EOMONTH(CFG_HOJE,0),"ABERTA","PROJETADA")))))</f>
        <v/>
      </c>
      <c r="P159" s="34" t="n">
        <f aca="false">IF($O159="ATRASADA",CFG_HOJE-$D159,0)</f>
        <v>0</v>
      </c>
      <c r="Q159" s="36" t="n">
        <f aca="false">IF($A159="",0,IF(AND($O159="PAGA",$J159="NAO"),$K159-$E159,0))</f>
        <v>0</v>
      </c>
    </row>
    <row r="160" customFormat="false" ht="15" hidden="false" customHeight="false" outlineLevel="0" collapsed="false">
      <c r="A160" s="30" t="str">
        <f aca="false">IF($B160="","","PAR-"&amp;TEXT(ROW()-4,"000000"))</f>
        <v/>
      </c>
      <c r="B160" s="32"/>
      <c r="C160" s="37"/>
      <c r="D160" s="31"/>
      <c r="E160" s="33"/>
      <c r="F160" s="32"/>
      <c r="G160" s="35" t="str">
        <f aca="false">IF($B160="","",IFERROR(INDEX(CM_NOME,MATCH($B160,CM_ID,0)),"?"))</f>
        <v/>
      </c>
      <c r="H160" s="34" t="str">
        <f aca="false">IF($B160="","",IFERROR(INDEX(CM_QTD,MATCH($B160,CM_ID,0)),""))</f>
        <v/>
      </c>
      <c r="I160" s="35" t="str">
        <f aca="false">IF($A160="","",$C160&amp;"/"&amp;$H160)</f>
        <v/>
      </c>
      <c r="J160" s="35" t="str">
        <f aca="false">IF($A160="","",IF($C160&lt;=IFERROR(INDEX(CM_PAGASANTES,MATCH($B160,CM_ID,0)),0),"SIM","NAO"))</f>
        <v/>
      </c>
      <c r="K160" s="36" t="n">
        <f aca="false">IF($A160="",0,SUMIFS(L_Valor,L_ParcID,$A160,L_Status,"REALIZADO"))</f>
        <v>0</v>
      </c>
      <c r="L160" s="38" t="str">
        <f aca="false">IF($A160="","",IFERROR(INDEX(L_Data,MATCH(1,INDEX((L_ParcID=$A160)*(L_Status="REALIZADO"),0),0)),""))</f>
        <v/>
      </c>
      <c r="M160" s="34" t="n">
        <f aca="false">IF($A160="",0,COUNTIFS(L_ParcID,$A160,L_Status,"REALIZADO"))</f>
        <v>0</v>
      </c>
      <c r="N160" s="34" t="n">
        <f aca="false">IF($A160="",0,COUNTIFS(L_ParcID,$A160,L_Status,"PROJETADO"))</f>
        <v>0</v>
      </c>
      <c r="O160" s="35" t="str">
        <f aca="false">IF($A160="","",IF($J160="SIM","PAGA",IF($M160&gt;0,"PAGA",IF($D160&lt;CFG_HOJE,"ATRASADA",IF($D160&lt;=EOMONTH(CFG_HOJE,0),"ABERTA","PROJETADA")))))</f>
        <v/>
      </c>
      <c r="P160" s="34" t="n">
        <f aca="false">IF($O160="ATRASADA",CFG_HOJE-$D160,0)</f>
        <v>0</v>
      </c>
      <c r="Q160" s="36" t="n">
        <f aca="false">IF($A160="",0,IF(AND($O160="PAGA",$J160="NAO"),$K160-$E160,0))</f>
        <v>0</v>
      </c>
    </row>
    <row r="161" customFormat="false" ht="15" hidden="false" customHeight="false" outlineLevel="0" collapsed="false">
      <c r="A161" s="30" t="str">
        <f aca="false">IF($B161="","","PAR-"&amp;TEXT(ROW()-4,"000000"))</f>
        <v/>
      </c>
      <c r="B161" s="32"/>
      <c r="C161" s="37"/>
      <c r="D161" s="31"/>
      <c r="E161" s="33"/>
      <c r="F161" s="32"/>
      <c r="G161" s="35" t="str">
        <f aca="false">IF($B161="","",IFERROR(INDEX(CM_NOME,MATCH($B161,CM_ID,0)),"?"))</f>
        <v/>
      </c>
      <c r="H161" s="34" t="str">
        <f aca="false">IF($B161="","",IFERROR(INDEX(CM_QTD,MATCH($B161,CM_ID,0)),""))</f>
        <v/>
      </c>
      <c r="I161" s="35" t="str">
        <f aca="false">IF($A161="","",$C161&amp;"/"&amp;$H161)</f>
        <v/>
      </c>
      <c r="J161" s="35" t="str">
        <f aca="false">IF($A161="","",IF($C161&lt;=IFERROR(INDEX(CM_PAGASANTES,MATCH($B161,CM_ID,0)),0),"SIM","NAO"))</f>
        <v/>
      </c>
      <c r="K161" s="36" t="n">
        <f aca="false">IF($A161="",0,SUMIFS(L_Valor,L_ParcID,$A161,L_Status,"REALIZADO"))</f>
        <v>0</v>
      </c>
      <c r="L161" s="38" t="str">
        <f aca="false">IF($A161="","",IFERROR(INDEX(L_Data,MATCH(1,INDEX((L_ParcID=$A161)*(L_Status="REALIZADO"),0),0)),""))</f>
        <v/>
      </c>
      <c r="M161" s="34" t="n">
        <f aca="false">IF($A161="",0,COUNTIFS(L_ParcID,$A161,L_Status,"REALIZADO"))</f>
        <v>0</v>
      </c>
      <c r="N161" s="34" t="n">
        <f aca="false">IF($A161="",0,COUNTIFS(L_ParcID,$A161,L_Status,"PROJETADO"))</f>
        <v>0</v>
      </c>
      <c r="O161" s="35" t="str">
        <f aca="false">IF($A161="","",IF($J161="SIM","PAGA",IF($M161&gt;0,"PAGA",IF($D161&lt;CFG_HOJE,"ATRASADA",IF($D161&lt;=EOMONTH(CFG_HOJE,0),"ABERTA","PROJETADA")))))</f>
        <v/>
      </c>
      <c r="P161" s="34" t="n">
        <f aca="false">IF($O161="ATRASADA",CFG_HOJE-$D161,0)</f>
        <v>0</v>
      </c>
      <c r="Q161" s="36" t="n">
        <f aca="false">IF($A161="",0,IF(AND($O161="PAGA",$J161="NAO"),$K161-$E161,0))</f>
        <v>0</v>
      </c>
    </row>
    <row r="162" customFormat="false" ht="15" hidden="false" customHeight="false" outlineLevel="0" collapsed="false">
      <c r="A162" s="30" t="str">
        <f aca="false">IF($B162="","","PAR-"&amp;TEXT(ROW()-4,"000000"))</f>
        <v/>
      </c>
      <c r="B162" s="32"/>
      <c r="C162" s="37"/>
      <c r="D162" s="31"/>
      <c r="E162" s="33"/>
      <c r="F162" s="32"/>
      <c r="G162" s="35" t="str">
        <f aca="false">IF($B162="","",IFERROR(INDEX(CM_NOME,MATCH($B162,CM_ID,0)),"?"))</f>
        <v/>
      </c>
      <c r="H162" s="34" t="str">
        <f aca="false">IF($B162="","",IFERROR(INDEX(CM_QTD,MATCH($B162,CM_ID,0)),""))</f>
        <v/>
      </c>
      <c r="I162" s="35" t="str">
        <f aca="false">IF($A162="","",$C162&amp;"/"&amp;$H162)</f>
        <v/>
      </c>
      <c r="J162" s="35" t="str">
        <f aca="false">IF($A162="","",IF($C162&lt;=IFERROR(INDEX(CM_PAGASANTES,MATCH($B162,CM_ID,0)),0),"SIM","NAO"))</f>
        <v/>
      </c>
      <c r="K162" s="36" t="n">
        <f aca="false">IF($A162="",0,SUMIFS(L_Valor,L_ParcID,$A162,L_Status,"REALIZADO"))</f>
        <v>0</v>
      </c>
      <c r="L162" s="38" t="str">
        <f aca="false">IF($A162="","",IFERROR(INDEX(L_Data,MATCH(1,INDEX((L_ParcID=$A162)*(L_Status="REALIZADO"),0),0)),""))</f>
        <v/>
      </c>
      <c r="M162" s="34" t="n">
        <f aca="false">IF($A162="",0,COUNTIFS(L_ParcID,$A162,L_Status,"REALIZADO"))</f>
        <v>0</v>
      </c>
      <c r="N162" s="34" t="n">
        <f aca="false">IF($A162="",0,COUNTIFS(L_ParcID,$A162,L_Status,"PROJETADO"))</f>
        <v>0</v>
      </c>
      <c r="O162" s="35" t="str">
        <f aca="false">IF($A162="","",IF($J162="SIM","PAGA",IF($M162&gt;0,"PAGA",IF($D162&lt;CFG_HOJE,"ATRASADA",IF($D162&lt;=EOMONTH(CFG_HOJE,0),"ABERTA","PROJETADA")))))</f>
        <v/>
      </c>
      <c r="P162" s="34" t="n">
        <f aca="false">IF($O162="ATRASADA",CFG_HOJE-$D162,0)</f>
        <v>0</v>
      </c>
      <c r="Q162" s="36" t="n">
        <f aca="false">IF($A162="",0,IF(AND($O162="PAGA",$J162="NAO"),$K162-$E162,0))</f>
        <v>0</v>
      </c>
    </row>
    <row r="163" customFormat="false" ht="15" hidden="false" customHeight="false" outlineLevel="0" collapsed="false">
      <c r="A163" s="30" t="str">
        <f aca="false">IF($B163="","","PAR-"&amp;TEXT(ROW()-4,"000000"))</f>
        <v/>
      </c>
      <c r="B163" s="32"/>
      <c r="C163" s="37"/>
      <c r="D163" s="31"/>
      <c r="E163" s="33"/>
      <c r="F163" s="32"/>
      <c r="G163" s="35" t="str">
        <f aca="false">IF($B163="","",IFERROR(INDEX(CM_NOME,MATCH($B163,CM_ID,0)),"?"))</f>
        <v/>
      </c>
      <c r="H163" s="34" t="str">
        <f aca="false">IF($B163="","",IFERROR(INDEX(CM_QTD,MATCH($B163,CM_ID,0)),""))</f>
        <v/>
      </c>
      <c r="I163" s="35" t="str">
        <f aca="false">IF($A163="","",$C163&amp;"/"&amp;$H163)</f>
        <v/>
      </c>
      <c r="J163" s="35" t="str">
        <f aca="false">IF($A163="","",IF($C163&lt;=IFERROR(INDEX(CM_PAGASANTES,MATCH($B163,CM_ID,0)),0),"SIM","NAO"))</f>
        <v/>
      </c>
      <c r="K163" s="36" t="n">
        <f aca="false">IF($A163="",0,SUMIFS(L_Valor,L_ParcID,$A163,L_Status,"REALIZADO"))</f>
        <v>0</v>
      </c>
      <c r="L163" s="38" t="str">
        <f aca="false">IF($A163="","",IFERROR(INDEX(L_Data,MATCH(1,INDEX((L_ParcID=$A163)*(L_Status="REALIZADO"),0),0)),""))</f>
        <v/>
      </c>
      <c r="M163" s="34" t="n">
        <f aca="false">IF($A163="",0,COUNTIFS(L_ParcID,$A163,L_Status,"REALIZADO"))</f>
        <v>0</v>
      </c>
      <c r="N163" s="34" t="n">
        <f aca="false">IF($A163="",0,COUNTIFS(L_ParcID,$A163,L_Status,"PROJETADO"))</f>
        <v>0</v>
      </c>
      <c r="O163" s="35" t="str">
        <f aca="false">IF($A163="","",IF($J163="SIM","PAGA",IF($M163&gt;0,"PAGA",IF($D163&lt;CFG_HOJE,"ATRASADA",IF($D163&lt;=EOMONTH(CFG_HOJE,0),"ABERTA","PROJETADA")))))</f>
        <v/>
      </c>
      <c r="P163" s="34" t="n">
        <f aca="false">IF($O163="ATRASADA",CFG_HOJE-$D163,0)</f>
        <v>0</v>
      </c>
      <c r="Q163" s="36" t="n">
        <f aca="false">IF($A163="",0,IF(AND($O163="PAGA",$J163="NAO"),$K163-$E163,0))</f>
        <v>0</v>
      </c>
    </row>
    <row r="164" customFormat="false" ht="15" hidden="false" customHeight="false" outlineLevel="0" collapsed="false">
      <c r="A164" s="30" t="str">
        <f aca="false">IF($B164="","","PAR-"&amp;TEXT(ROW()-4,"000000"))</f>
        <v/>
      </c>
      <c r="B164" s="32"/>
      <c r="C164" s="37"/>
      <c r="D164" s="31"/>
      <c r="E164" s="33"/>
      <c r="F164" s="32"/>
      <c r="G164" s="35" t="str">
        <f aca="false">IF($B164="","",IFERROR(INDEX(CM_NOME,MATCH($B164,CM_ID,0)),"?"))</f>
        <v/>
      </c>
      <c r="H164" s="34" t="str">
        <f aca="false">IF($B164="","",IFERROR(INDEX(CM_QTD,MATCH($B164,CM_ID,0)),""))</f>
        <v/>
      </c>
      <c r="I164" s="35" t="str">
        <f aca="false">IF($A164="","",$C164&amp;"/"&amp;$H164)</f>
        <v/>
      </c>
      <c r="J164" s="35" t="str">
        <f aca="false">IF($A164="","",IF($C164&lt;=IFERROR(INDEX(CM_PAGASANTES,MATCH($B164,CM_ID,0)),0),"SIM","NAO"))</f>
        <v/>
      </c>
      <c r="K164" s="36" t="n">
        <f aca="false">IF($A164="",0,SUMIFS(L_Valor,L_ParcID,$A164,L_Status,"REALIZADO"))</f>
        <v>0</v>
      </c>
      <c r="L164" s="38" t="str">
        <f aca="false">IF($A164="","",IFERROR(INDEX(L_Data,MATCH(1,INDEX((L_ParcID=$A164)*(L_Status="REALIZADO"),0),0)),""))</f>
        <v/>
      </c>
      <c r="M164" s="34" t="n">
        <f aca="false">IF($A164="",0,COUNTIFS(L_ParcID,$A164,L_Status,"REALIZADO"))</f>
        <v>0</v>
      </c>
      <c r="N164" s="34" t="n">
        <f aca="false">IF($A164="",0,COUNTIFS(L_ParcID,$A164,L_Status,"PROJETADO"))</f>
        <v>0</v>
      </c>
      <c r="O164" s="35" t="str">
        <f aca="false">IF($A164="","",IF($J164="SIM","PAGA",IF($M164&gt;0,"PAGA",IF($D164&lt;CFG_HOJE,"ATRASADA",IF($D164&lt;=EOMONTH(CFG_HOJE,0),"ABERTA","PROJETADA")))))</f>
        <v/>
      </c>
      <c r="P164" s="34" t="n">
        <f aca="false">IF($O164="ATRASADA",CFG_HOJE-$D164,0)</f>
        <v>0</v>
      </c>
      <c r="Q164" s="36" t="n">
        <f aca="false">IF($A164="",0,IF(AND($O164="PAGA",$J164="NAO"),$K164-$E164,0))</f>
        <v>0</v>
      </c>
    </row>
    <row r="165" customFormat="false" ht="15" hidden="false" customHeight="false" outlineLevel="0" collapsed="false">
      <c r="A165" s="30" t="str">
        <f aca="false">IF($B165="","","PAR-"&amp;TEXT(ROW()-4,"000000"))</f>
        <v/>
      </c>
      <c r="B165" s="32"/>
      <c r="C165" s="37"/>
      <c r="D165" s="31"/>
      <c r="E165" s="33"/>
      <c r="F165" s="32"/>
      <c r="G165" s="35" t="str">
        <f aca="false">IF($B165="","",IFERROR(INDEX(CM_NOME,MATCH($B165,CM_ID,0)),"?"))</f>
        <v/>
      </c>
      <c r="H165" s="34" t="str">
        <f aca="false">IF($B165="","",IFERROR(INDEX(CM_QTD,MATCH($B165,CM_ID,0)),""))</f>
        <v/>
      </c>
      <c r="I165" s="35" t="str">
        <f aca="false">IF($A165="","",$C165&amp;"/"&amp;$H165)</f>
        <v/>
      </c>
      <c r="J165" s="35" t="str">
        <f aca="false">IF($A165="","",IF($C165&lt;=IFERROR(INDEX(CM_PAGASANTES,MATCH($B165,CM_ID,0)),0),"SIM","NAO"))</f>
        <v/>
      </c>
      <c r="K165" s="36" t="n">
        <f aca="false">IF($A165="",0,SUMIFS(L_Valor,L_ParcID,$A165,L_Status,"REALIZADO"))</f>
        <v>0</v>
      </c>
      <c r="L165" s="38" t="str">
        <f aca="false">IF($A165="","",IFERROR(INDEX(L_Data,MATCH(1,INDEX((L_ParcID=$A165)*(L_Status="REALIZADO"),0),0)),""))</f>
        <v/>
      </c>
      <c r="M165" s="34" t="n">
        <f aca="false">IF($A165="",0,COUNTIFS(L_ParcID,$A165,L_Status,"REALIZADO"))</f>
        <v>0</v>
      </c>
      <c r="N165" s="34" t="n">
        <f aca="false">IF($A165="",0,COUNTIFS(L_ParcID,$A165,L_Status,"PROJETADO"))</f>
        <v>0</v>
      </c>
      <c r="O165" s="35" t="str">
        <f aca="false">IF($A165="","",IF($J165="SIM","PAGA",IF($M165&gt;0,"PAGA",IF($D165&lt;CFG_HOJE,"ATRASADA",IF($D165&lt;=EOMONTH(CFG_HOJE,0),"ABERTA","PROJETADA")))))</f>
        <v/>
      </c>
      <c r="P165" s="34" t="n">
        <f aca="false">IF($O165="ATRASADA",CFG_HOJE-$D165,0)</f>
        <v>0</v>
      </c>
      <c r="Q165" s="36" t="n">
        <f aca="false">IF($A165="",0,IF(AND($O165="PAGA",$J165="NAO"),$K165-$E165,0))</f>
        <v>0</v>
      </c>
    </row>
    <row r="166" customFormat="false" ht="15" hidden="false" customHeight="false" outlineLevel="0" collapsed="false">
      <c r="A166" s="30" t="str">
        <f aca="false">IF($B166="","","PAR-"&amp;TEXT(ROW()-4,"000000"))</f>
        <v/>
      </c>
      <c r="B166" s="32"/>
      <c r="C166" s="37"/>
      <c r="D166" s="31"/>
      <c r="E166" s="33"/>
      <c r="F166" s="32"/>
      <c r="G166" s="35" t="str">
        <f aca="false">IF($B166="","",IFERROR(INDEX(CM_NOME,MATCH($B166,CM_ID,0)),"?"))</f>
        <v/>
      </c>
      <c r="H166" s="34" t="str">
        <f aca="false">IF($B166="","",IFERROR(INDEX(CM_QTD,MATCH($B166,CM_ID,0)),""))</f>
        <v/>
      </c>
      <c r="I166" s="35" t="str">
        <f aca="false">IF($A166="","",$C166&amp;"/"&amp;$H166)</f>
        <v/>
      </c>
      <c r="J166" s="35" t="str">
        <f aca="false">IF($A166="","",IF($C166&lt;=IFERROR(INDEX(CM_PAGASANTES,MATCH($B166,CM_ID,0)),0),"SIM","NAO"))</f>
        <v/>
      </c>
      <c r="K166" s="36" t="n">
        <f aca="false">IF($A166="",0,SUMIFS(L_Valor,L_ParcID,$A166,L_Status,"REALIZADO"))</f>
        <v>0</v>
      </c>
      <c r="L166" s="38" t="str">
        <f aca="false">IF($A166="","",IFERROR(INDEX(L_Data,MATCH(1,INDEX((L_ParcID=$A166)*(L_Status="REALIZADO"),0),0)),""))</f>
        <v/>
      </c>
      <c r="M166" s="34" t="n">
        <f aca="false">IF($A166="",0,COUNTIFS(L_ParcID,$A166,L_Status,"REALIZADO"))</f>
        <v>0</v>
      </c>
      <c r="N166" s="34" t="n">
        <f aca="false">IF($A166="",0,COUNTIFS(L_ParcID,$A166,L_Status,"PROJETADO"))</f>
        <v>0</v>
      </c>
      <c r="O166" s="35" t="str">
        <f aca="false">IF($A166="","",IF($J166="SIM","PAGA",IF($M166&gt;0,"PAGA",IF($D166&lt;CFG_HOJE,"ATRASADA",IF($D166&lt;=EOMONTH(CFG_HOJE,0),"ABERTA","PROJETADA")))))</f>
        <v/>
      </c>
      <c r="P166" s="34" t="n">
        <f aca="false">IF($O166="ATRASADA",CFG_HOJE-$D166,0)</f>
        <v>0</v>
      </c>
      <c r="Q166" s="36" t="n">
        <f aca="false">IF($A166="",0,IF(AND($O166="PAGA",$J166="NAO"),$K166-$E166,0))</f>
        <v>0</v>
      </c>
    </row>
    <row r="167" customFormat="false" ht="15" hidden="false" customHeight="false" outlineLevel="0" collapsed="false">
      <c r="A167" s="30" t="str">
        <f aca="false">IF($B167="","","PAR-"&amp;TEXT(ROW()-4,"000000"))</f>
        <v/>
      </c>
      <c r="B167" s="32"/>
      <c r="C167" s="37"/>
      <c r="D167" s="31"/>
      <c r="E167" s="33"/>
      <c r="F167" s="32"/>
      <c r="G167" s="35" t="str">
        <f aca="false">IF($B167="","",IFERROR(INDEX(CM_NOME,MATCH($B167,CM_ID,0)),"?"))</f>
        <v/>
      </c>
      <c r="H167" s="34" t="str">
        <f aca="false">IF($B167="","",IFERROR(INDEX(CM_QTD,MATCH($B167,CM_ID,0)),""))</f>
        <v/>
      </c>
      <c r="I167" s="35" t="str">
        <f aca="false">IF($A167="","",$C167&amp;"/"&amp;$H167)</f>
        <v/>
      </c>
      <c r="J167" s="35" t="str">
        <f aca="false">IF($A167="","",IF($C167&lt;=IFERROR(INDEX(CM_PAGASANTES,MATCH($B167,CM_ID,0)),0),"SIM","NAO"))</f>
        <v/>
      </c>
      <c r="K167" s="36" t="n">
        <f aca="false">IF($A167="",0,SUMIFS(L_Valor,L_ParcID,$A167,L_Status,"REALIZADO"))</f>
        <v>0</v>
      </c>
      <c r="L167" s="38" t="str">
        <f aca="false">IF($A167="","",IFERROR(INDEX(L_Data,MATCH(1,INDEX((L_ParcID=$A167)*(L_Status="REALIZADO"),0),0)),""))</f>
        <v/>
      </c>
      <c r="M167" s="34" t="n">
        <f aca="false">IF($A167="",0,COUNTIFS(L_ParcID,$A167,L_Status,"REALIZADO"))</f>
        <v>0</v>
      </c>
      <c r="N167" s="34" t="n">
        <f aca="false">IF($A167="",0,COUNTIFS(L_ParcID,$A167,L_Status,"PROJETADO"))</f>
        <v>0</v>
      </c>
      <c r="O167" s="35" t="str">
        <f aca="false">IF($A167="","",IF($J167="SIM","PAGA",IF($M167&gt;0,"PAGA",IF($D167&lt;CFG_HOJE,"ATRASADA",IF($D167&lt;=EOMONTH(CFG_HOJE,0),"ABERTA","PROJETADA")))))</f>
        <v/>
      </c>
      <c r="P167" s="34" t="n">
        <f aca="false">IF($O167="ATRASADA",CFG_HOJE-$D167,0)</f>
        <v>0</v>
      </c>
      <c r="Q167" s="36" t="n">
        <f aca="false">IF($A167="",0,IF(AND($O167="PAGA",$J167="NAO"),$K167-$E167,0))</f>
        <v>0</v>
      </c>
    </row>
    <row r="168" customFormat="false" ht="15" hidden="false" customHeight="false" outlineLevel="0" collapsed="false">
      <c r="A168" s="30" t="str">
        <f aca="false">IF($B168="","","PAR-"&amp;TEXT(ROW()-4,"000000"))</f>
        <v/>
      </c>
      <c r="B168" s="32"/>
      <c r="C168" s="37"/>
      <c r="D168" s="31"/>
      <c r="E168" s="33"/>
      <c r="F168" s="32"/>
      <c r="G168" s="35" t="str">
        <f aca="false">IF($B168="","",IFERROR(INDEX(CM_NOME,MATCH($B168,CM_ID,0)),"?"))</f>
        <v/>
      </c>
      <c r="H168" s="34" t="str">
        <f aca="false">IF($B168="","",IFERROR(INDEX(CM_QTD,MATCH($B168,CM_ID,0)),""))</f>
        <v/>
      </c>
      <c r="I168" s="35" t="str">
        <f aca="false">IF($A168="","",$C168&amp;"/"&amp;$H168)</f>
        <v/>
      </c>
      <c r="J168" s="35" t="str">
        <f aca="false">IF($A168="","",IF($C168&lt;=IFERROR(INDEX(CM_PAGASANTES,MATCH($B168,CM_ID,0)),0),"SIM","NAO"))</f>
        <v/>
      </c>
      <c r="K168" s="36" t="n">
        <f aca="false">IF($A168="",0,SUMIFS(L_Valor,L_ParcID,$A168,L_Status,"REALIZADO"))</f>
        <v>0</v>
      </c>
      <c r="L168" s="38" t="str">
        <f aca="false">IF($A168="","",IFERROR(INDEX(L_Data,MATCH(1,INDEX((L_ParcID=$A168)*(L_Status="REALIZADO"),0),0)),""))</f>
        <v/>
      </c>
      <c r="M168" s="34" t="n">
        <f aca="false">IF($A168="",0,COUNTIFS(L_ParcID,$A168,L_Status,"REALIZADO"))</f>
        <v>0</v>
      </c>
      <c r="N168" s="34" t="n">
        <f aca="false">IF($A168="",0,COUNTIFS(L_ParcID,$A168,L_Status,"PROJETADO"))</f>
        <v>0</v>
      </c>
      <c r="O168" s="35" t="str">
        <f aca="false">IF($A168="","",IF($J168="SIM","PAGA",IF($M168&gt;0,"PAGA",IF($D168&lt;CFG_HOJE,"ATRASADA",IF($D168&lt;=EOMONTH(CFG_HOJE,0),"ABERTA","PROJETADA")))))</f>
        <v/>
      </c>
      <c r="P168" s="34" t="n">
        <f aca="false">IF($O168="ATRASADA",CFG_HOJE-$D168,0)</f>
        <v>0</v>
      </c>
      <c r="Q168" s="36" t="n">
        <f aca="false">IF($A168="",0,IF(AND($O168="PAGA",$J168="NAO"),$K168-$E168,0))</f>
        <v>0</v>
      </c>
    </row>
    <row r="169" customFormat="false" ht="15" hidden="false" customHeight="false" outlineLevel="0" collapsed="false">
      <c r="A169" s="30" t="str">
        <f aca="false">IF($B169="","","PAR-"&amp;TEXT(ROW()-4,"000000"))</f>
        <v/>
      </c>
      <c r="B169" s="32"/>
      <c r="C169" s="37"/>
      <c r="D169" s="31"/>
      <c r="E169" s="33"/>
      <c r="F169" s="32"/>
      <c r="G169" s="35" t="str">
        <f aca="false">IF($B169="","",IFERROR(INDEX(CM_NOME,MATCH($B169,CM_ID,0)),"?"))</f>
        <v/>
      </c>
      <c r="H169" s="34" t="str">
        <f aca="false">IF($B169="","",IFERROR(INDEX(CM_QTD,MATCH($B169,CM_ID,0)),""))</f>
        <v/>
      </c>
      <c r="I169" s="35" t="str">
        <f aca="false">IF($A169="","",$C169&amp;"/"&amp;$H169)</f>
        <v/>
      </c>
      <c r="J169" s="35" t="str">
        <f aca="false">IF($A169="","",IF($C169&lt;=IFERROR(INDEX(CM_PAGASANTES,MATCH($B169,CM_ID,0)),0),"SIM","NAO"))</f>
        <v/>
      </c>
      <c r="K169" s="36" t="n">
        <f aca="false">IF($A169="",0,SUMIFS(L_Valor,L_ParcID,$A169,L_Status,"REALIZADO"))</f>
        <v>0</v>
      </c>
      <c r="L169" s="38" t="str">
        <f aca="false">IF($A169="","",IFERROR(INDEX(L_Data,MATCH(1,INDEX((L_ParcID=$A169)*(L_Status="REALIZADO"),0),0)),""))</f>
        <v/>
      </c>
      <c r="M169" s="34" t="n">
        <f aca="false">IF($A169="",0,COUNTIFS(L_ParcID,$A169,L_Status,"REALIZADO"))</f>
        <v>0</v>
      </c>
      <c r="N169" s="34" t="n">
        <f aca="false">IF($A169="",0,COUNTIFS(L_ParcID,$A169,L_Status,"PROJETADO"))</f>
        <v>0</v>
      </c>
      <c r="O169" s="35" t="str">
        <f aca="false">IF($A169="","",IF($J169="SIM","PAGA",IF($M169&gt;0,"PAGA",IF($D169&lt;CFG_HOJE,"ATRASADA",IF($D169&lt;=EOMONTH(CFG_HOJE,0),"ABERTA","PROJETADA")))))</f>
        <v/>
      </c>
      <c r="P169" s="34" t="n">
        <f aca="false">IF($O169="ATRASADA",CFG_HOJE-$D169,0)</f>
        <v>0</v>
      </c>
      <c r="Q169" s="36" t="n">
        <f aca="false">IF($A169="",0,IF(AND($O169="PAGA",$J169="NAO"),$K169-$E169,0))</f>
        <v>0</v>
      </c>
    </row>
    <row r="170" customFormat="false" ht="15" hidden="false" customHeight="false" outlineLevel="0" collapsed="false">
      <c r="A170" s="30" t="str">
        <f aca="false">IF($B170="","","PAR-"&amp;TEXT(ROW()-4,"000000"))</f>
        <v/>
      </c>
      <c r="B170" s="32"/>
      <c r="C170" s="37"/>
      <c r="D170" s="31"/>
      <c r="E170" s="33"/>
      <c r="F170" s="32"/>
      <c r="G170" s="35" t="str">
        <f aca="false">IF($B170="","",IFERROR(INDEX(CM_NOME,MATCH($B170,CM_ID,0)),"?"))</f>
        <v/>
      </c>
      <c r="H170" s="34" t="str">
        <f aca="false">IF($B170="","",IFERROR(INDEX(CM_QTD,MATCH($B170,CM_ID,0)),""))</f>
        <v/>
      </c>
      <c r="I170" s="35" t="str">
        <f aca="false">IF($A170="","",$C170&amp;"/"&amp;$H170)</f>
        <v/>
      </c>
      <c r="J170" s="35" t="str">
        <f aca="false">IF($A170="","",IF($C170&lt;=IFERROR(INDEX(CM_PAGASANTES,MATCH($B170,CM_ID,0)),0),"SIM","NAO"))</f>
        <v/>
      </c>
      <c r="K170" s="36" t="n">
        <f aca="false">IF($A170="",0,SUMIFS(L_Valor,L_ParcID,$A170,L_Status,"REALIZADO"))</f>
        <v>0</v>
      </c>
      <c r="L170" s="38" t="str">
        <f aca="false">IF($A170="","",IFERROR(INDEX(L_Data,MATCH(1,INDEX((L_ParcID=$A170)*(L_Status="REALIZADO"),0),0)),""))</f>
        <v/>
      </c>
      <c r="M170" s="34" t="n">
        <f aca="false">IF($A170="",0,COUNTIFS(L_ParcID,$A170,L_Status,"REALIZADO"))</f>
        <v>0</v>
      </c>
      <c r="N170" s="34" t="n">
        <f aca="false">IF($A170="",0,COUNTIFS(L_ParcID,$A170,L_Status,"PROJETADO"))</f>
        <v>0</v>
      </c>
      <c r="O170" s="35" t="str">
        <f aca="false">IF($A170="","",IF($J170="SIM","PAGA",IF($M170&gt;0,"PAGA",IF($D170&lt;CFG_HOJE,"ATRASADA",IF($D170&lt;=EOMONTH(CFG_HOJE,0),"ABERTA","PROJETADA")))))</f>
        <v/>
      </c>
      <c r="P170" s="34" t="n">
        <f aca="false">IF($O170="ATRASADA",CFG_HOJE-$D170,0)</f>
        <v>0</v>
      </c>
      <c r="Q170" s="36" t="n">
        <f aca="false">IF($A170="",0,IF(AND($O170="PAGA",$J170="NAO"),$K170-$E170,0))</f>
        <v>0</v>
      </c>
    </row>
    <row r="171" customFormat="false" ht="15" hidden="false" customHeight="false" outlineLevel="0" collapsed="false">
      <c r="A171" s="30" t="str">
        <f aca="false">IF($B171="","","PAR-"&amp;TEXT(ROW()-4,"000000"))</f>
        <v/>
      </c>
      <c r="B171" s="32"/>
      <c r="C171" s="37"/>
      <c r="D171" s="31"/>
      <c r="E171" s="33"/>
      <c r="F171" s="32"/>
      <c r="G171" s="35" t="str">
        <f aca="false">IF($B171="","",IFERROR(INDEX(CM_NOME,MATCH($B171,CM_ID,0)),"?"))</f>
        <v/>
      </c>
      <c r="H171" s="34" t="str">
        <f aca="false">IF($B171="","",IFERROR(INDEX(CM_QTD,MATCH($B171,CM_ID,0)),""))</f>
        <v/>
      </c>
      <c r="I171" s="35" t="str">
        <f aca="false">IF($A171="","",$C171&amp;"/"&amp;$H171)</f>
        <v/>
      </c>
      <c r="J171" s="35" t="str">
        <f aca="false">IF($A171="","",IF($C171&lt;=IFERROR(INDEX(CM_PAGASANTES,MATCH($B171,CM_ID,0)),0),"SIM","NAO"))</f>
        <v/>
      </c>
      <c r="K171" s="36" t="n">
        <f aca="false">IF($A171="",0,SUMIFS(L_Valor,L_ParcID,$A171,L_Status,"REALIZADO"))</f>
        <v>0</v>
      </c>
      <c r="L171" s="38" t="str">
        <f aca="false">IF($A171="","",IFERROR(INDEX(L_Data,MATCH(1,INDEX((L_ParcID=$A171)*(L_Status="REALIZADO"),0),0)),""))</f>
        <v/>
      </c>
      <c r="M171" s="34" t="n">
        <f aca="false">IF($A171="",0,COUNTIFS(L_ParcID,$A171,L_Status,"REALIZADO"))</f>
        <v>0</v>
      </c>
      <c r="N171" s="34" t="n">
        <f aca="false">IF($A171="",0,COUNTIFS(L_ParcID,$A171,L_Status,"PROJETADO"))</f>
        <v>0</v>
      </c>
      <c r="O171" s="35" t="str">
        <f aca="false">IF($A171="","",IF($J171="SIM","PAGA",IF($M171&gt;0,"PAGA",IF($D171&lt;CFG_HOJE,"ATRASADA",IF($D171&lt;=EOMONTH(CFG_HOJE,0),"ABERTA","PROJETADA")))))</f>
        <v/>
      </c>
      <c r="P171" s="34" t="n">
        <f aca="false">IF($O171="ATRASADA",CFG_HOJE-$D171,0)</f>
        <v>0</v>
      </c>
      <c r="Q171" s="36" t="n">
        <f aca="false">IF($A171="",0,IF(AND($O171="PAGA",$J171="NAO"),$K171-$E171,0))</f>
        <v>0</v>
      </c>
    </row>
    <row r="172" customFormat="false" ht="15" hidden="false" customHeight="false" outlineLevel="0" collapsed="false">
      <c r="A172" s="30" t="str">
        <f aca="false">IF($B172="","","PAR-"&amp;TEXT(ROW()-4,"000000"))</f>
        <v/>
      </c>
      <c r="B172" s="32"/>
      <c r="C172" s="37"/>
      <c r="D172" s="31"/>
      <c r="E172" s="33"/>
      <c r="F172" s="32"/>
      <c r="G172" s="35" t="str">
        <f aca="false">IF($B172="","",IFERROR(INDEX(CM_NOME,MATCH($B172,CM_ID,0)),"?"))</f>
        <v/>
      </c>
      <c r="H172" s="34" t="str">
        <f aca="false">IF($B172="","",IFERROR(INDEX(CM_QTD,MATCH($B172,CM_ID,0)),""))</f>
        <v/>
      </c>
      <c r="I172" s="35" t="str">
        <f aca="false">IF($A172="","",$C172&amp;"/"&amp;$H172)</f>
        <v/>
      </c>
      <c r="J172" s="35" t="str">
        <f aca="false">IF($A172="","",IF($C172&lt;=IFERROR(INDEX(CM_PAGASANTES,MATCH($B172,CM_ID,0)),0),"SIM","NAO"))</f>
        <v/>
      </c>
      <c r="K172" s="36" t="n">
        <f aca="false">IF($A172="",0,SUMIFS(L_Valor,L_ParcID,$A172,L_Status,"REALIZADO"))</f>
        <v>0</v>
      </c>
      <c r="L172" s="38" t="str">
        <f aca="false">IF($A172="","",IFERROR(INDEX(L_Data,MATCH(1,INDEX((L_ParcID=$A172)*(L_Status="REALIZADO"),0),0)),""))</f>
        <v/>
      </c>
      <c r="M172" s="34" t="n">
        <f aca="false">IF($A172="",0,COUNTIFS(L_ParcID,$A172,L_Status,"REALIZADO"))</f>
        <v>0</v>
      </c>
      <c r="N172" s="34" t="n">
        <f aca="false">IF($A172="",0,COUNTIFS(L_ParcID,$A172,L_Status,"PROJETADO"))</f>
        <v>0</v>
      </c>
      <c r="O172" s="35" t="str">
        <f aca="false">IF($A172="","",IF($J172="SIM","PAGA",IF($M172&gt;0,"PAGA",IF($D172&lt;CFG_HOJE,"ATRASADA",IF($D172&lt;=EOMONTH(CFG_HOJE,0),"ABERTA","PROJETADA")))))</f>
        <v/>
      </c>
      <c r="P172" s="34" t="n">
        <f aca="false">IF($O172="ATRASADA",CFG_HOJE-$D172,0)</f>
        <v>0</v>
      </c>
      <c r="Q172" s="36" t="n">
        <f aca="false">IF($A172="",0,IF(AND($O172="PAGA",$J172="NAO"),$K172-$E172,0))</f>
        <v>0</v>
      </c>
    </row>
    <row r="173" customFormat="false" ht="15" hidden="false" customHeight="false" outlineLevel="0" collapsed="false">
      <c r="A173" s="30" t="str">
        <f aca="false">IF($B173="","","PAR-"&amp;TEXT(ROW()-4,"000000"))</f>
        <v/>
      </c>
      <c r="B173" s="32"/>
      <c r="C173" s="37"/>
      <c r="D173" s="31"/>
      <c r="E173" s="33"/>
      <c r="F173" s="32"/>
      <c r="G173" s="35" t="str">
        <f aca="false">IF($B173="","",IFERROR(INDEX(CM_NOME,MATCH($B173,CM_ID,0)),"?"))</f>
        <v/>
      </c>
      <c r="H173" s="34" t="str">
        <f aca="false">IF($B173="","",IFERROR(INDEX(CM_QTD,MATCH($B173,CM_ID,0)),""))</f>
        <v/>
      </c>
      <c r="I173" s="35" t="str">
        <f aca="false">IF($A173="","",$C173&amp;"/"&amp;$H173)</f>
        <v/>
      </c>
      <c r="J173" s="35" t="str">
        <f aca="false">IF($A173="","",IF($C173&lt;=IFERROR(INDEX(CM_PAGASANTES,MATCH($B173,CM_ID,0)),0),"SIM","NAO"))</f>
        <v/>
      </c>
      <c r="K173" s="36" t="n">
        <f aca="false">IF($A173="",0,SUMIFS(L_Valor,L_ParcID,$A173,L_Status,"REALIZADO"))</f>
        <v>0</v>
      </c>
      <c r="L173" s="38" t="str">
        <f aca="false">IF($A173="","",IFERROR(INDEX(L_Data,MATCH(1,INDEX((L_ParcID=$A173)*(L_Status="REALIZADO"),0),0)),""))</f>
        <v/>
      </c>
      <c r="M173" s="34" t="n">
        <f aca="false">IF($A173="",0,COUNTIFS(L_ParcID,$A173,L_Status,"REALIZADO"))</f>
        <v>0</v>
      </c>
      <c r="N173" s="34" t="n">
        <f aca="false">IF($A173="",0,COUNTIFS(L_ParcID,$A173,L_Status,"PROJETADO"))</f>
        <v>0</v>
      </c>
      <c r="O173" s="35" t="str">
        <f aca="false">IF($A173="","",IF($J173="SIM","PAGA",IF($M173&gt;0,"PAGA",IF($D173&lt;CFG_HOJE,"ATRASADA",IF($D173&lt;=EOMONTH(CFG_HOJE,0),"ABERTA","PROJETADA")))))</f>
        <v/>
      </c>
      <c r="P173" s="34" t="n">
        <f aca="false">IF($O173="ATRASADA",CFG_HOJE-$D173,0)</f>
        <v>0</v>
      </c>
      <c r="Q173" s="36" t="n">
        <f aca="false">IF($A173="",0,IF(AND($O173="PAGA",$J173="NAO"),$K173-$E173,0))</f>
        <v>0</v>
      </c>
    </row>
    <row r="174" customFormat="false" ht="15" hidden="false" customHeight="false" outlineLevel="0" collapsed="false">
      <c r="A174" s="30" t="str">
        <f aca="false">IF($B174="","","PAR-"&amp;TEXT(ROW()-4,"000000"))</f>
        <v/>
      </c>
      <c r="B174" s="32"/>
      <c r="C174" s="37"/>
      <c r="D174" s="31"/>
      <c r="E174" s="33"/>
      <c r="F174" s="32"/>
      <c r="G174" s="35" t="str">
        <f aca="false">IF($B174="","",IFERROR(INDEX(CM_NOME,MATCH($B174,CM_ID,0)),"?"))</f>
        <v/>
      </c>
      <c r="H174" s="34" t="str">
        <f aca="false">IF($B174="","",IFERROR(INDEX(CM_QTD,MATCH($B174,CM_ID,0)),""))</f>
        <v/>
      </c>
      <c r="I174" s="35" t="str">
        <f aca="false">IF($A174="","",$C174&amp;"/"&amp;$H174)</f>
        <v/>
      </c>
      <c r="J174" s="35" t="str">
        <f aca="false">IF($A174="","",IF($C174&lt;=IFERROR(INDEX(CM_PAGASANTES,MATCH($B174,CM_ID,0)),0),"SIM","NAO"))</f>
        <v/>
      </c>
      <c r="K174" s="36" t="n">
        <f aca="false">IF($A174="",0,SUMIFS(L_Valor,L_ParcID,$A174,L_Status,"REALIZADO"))</f>
        <v>0</v>
      </c>
      <c r="L174" s="38" t="str">
        <f aca="false">IF($A174="","",IFERROR(INDEX(L_Data,MATCH(1,INDEX((L_ParcID=$A174)*(L_Status="REALIZADO"),0),0)),""))</f>
        <v/>
      </c>
      <c r="M174" s="34" t="n">
        <f aca="false">IF($A174="",0,COUNTIFS(L_ParcID,$A174,L_Status,"REALIZADO"))</f>
        <v>0</v>
      </c>
      <c r="N174" s="34" t="n">
        <f aca="false">IF($A174="",0,COUNTIFS(L_ParcID,$A174,L_Status,"PROJETADO"))</f>
        <v>0</v>
      </c>
      <c r="O174" s="35" t="str">
        <f aca="false">IF($A174="","",IF($J174="SIM","PAGA",IF($M174&gt;0,"PAGA",IF($D174&lt;CFG_HOJE,"ATRASADA",IF($D174&lt;=EOMONTH(CFG_HOJE,0),"ABERTA","PROJETADA")))))</f>
        <v/>
      </c>
      <c r="P174" s="34" t="n">
        <f aca="false">IF($O174="ATRASADA",CFG_HOJE-$D174,0)</f>
        <v>0</v>
      </c>
      <c r="Q174" s="36" t="n">
        <f aca="false">IF($A174="",0,IF(AND($O174="PAGA",$J174="NAO"),$K174-$E174,0))</f>
        <v>0</v>
      </c>
    </row>
    <row r="175" customFormat="false" ht="15" hidden="false" customHeight="false" outlineLevel="0" collapsed="false">
      <c r="A175" s="30" t="str">
        <f aca="false">IF($B175="","","PAR-"&amp;TEXT(ROW()-4,"000000"))</f>
        <v/>
      </c>
      <c r="B175" s="32"/>
      <c r="C175" s="37"/>
      <c r="D175" s="31"/>
      <c r="E175" s="33"/>
      <c r="F175" s="32"/>
      <c r="G175" s="35" t="str">
        <f aca="false">IF($B175="","",IFERROR(INDEX(CM_NOME,MATCH($B175,CM_ID,0)),"?"))</f>
        <v/>
      </c>
      <c r="H175" s="34" t="str">
        <f aca="false">IF($B175="","",IFERROR(INDEX(CM_QTD,MATCH($B175,CM_ID,0)),""))</f>
        <v/>
      </c>
      <c r="I175" s="35" t="str">
        <f aca="false">IF($A175="","",$C175&amp;"/"&amp;$H175)</f>
        <v/>
      </c>
      <c r="J175" s="35" t="str">
        <f aca="false">IF($A175="","",IF($C175&lt;=IFERROR(INDEX(CM_PAGASANTES,MATCH($B175,CM_ID,0)),0),"SIM","NAO"))</f>
        <v/>
      </c>
      <c r="K175" s="36" t="n">
        <f aca="false">IF($A175="",0,SUMIFS(L_Valor,L_ParcID,$A175,L_Status,"REALIZADO"))</f>
        <v>0</v>
      </c>
      <c r="L175" s="38" t="str">
        <f aca="false">IF($A175="","",IFERROR(INDEX(L_Data,MATCH(1,INDEX((L_ParcID=$A175)*(L_Status="REALIZADO"),0),0)),""))</f>
        <v/>
      </c>
      <c r="M175" s="34" t="n">
        <f aca="false">IF($A175="",0,COUNTIFS(L_ParcID,$A175,L_Status,"REALIZADO"))</f>
        <v>0</v>
      </c>
      <c r="N175" s="34" t="n">
        <f aca="false">IF($A175="",0,COUNTIFS(L_ParcID,$A175,L_Status,"PROJETADO"))</f>
        <v>0</v>
      </c>
      <c r="O175" s="35" t="str">
        <f aca="false">IF($A175="","",IF($J175="SIM","PAGA",IF($M175&gt;0,"PAGA",IF($D175&lt;CFG_HOJE,"ATRASADA",IF($D175&lt;=EOMONTH(CFG_HOJE,0),"ABERTA","PROJETADA")))))</f>
        <v/>
      </c>
      <c r="P175" s="34" t="n">
        <f aca="false">IF($O175="ATRASADA",CFG_HOJE-$D175,0)</f>
        <v>0</v>
      </c>
      <c r="Q175" s="36" t="n">
        <f aca="false">IF($A175="",0,IF(AND($O175="PAGA",$J175="NAO"),$K175-$E175,0))</f>
        <v>0</v>
      </c>
    </row>
    <row r="176" customFormat="false" ht="15" hidden="false" customHeight="false" outlineLevel="0" collapsed="false">
      <c r="A176" s="30" t="str">
        <f aca="false">IF($B176="","","PAR-"&amp;TEXT(ROW()-4,"000000"))</f>
        <v/>
      </c>
      <c r="B176" s="32"/>
      <c r="C176" s="37"/>
      <c r="D176" s="31"/>
      <c r="E176" s="33"/>
      <c r="F176" s="32"/>
      <c r="G176" s="35" t="str">
        <f aca="false">IF($B176="","",IFERROR(INDEX(CM_NOME,MATCH($B176,CM_ID,0)),"?"))</f>
        <v/>
      </c>
      <c r="H176" s="34" t="str">
        <f aca="false">IF($B176="","",IFERROR(INDEX(CM_QTD,MATCH($B176,CM_ID,0)),""))</f>
        <v/>
      </c>
      <c r="I176" s="35" t="str">
        <f aca="false">IF($A176="","",$C176&amp;"/"&amp;$H176)</f>
        <v/>
      </c>
      <c r="J176" s="35" t="str">
        <f aca="false">IF($A176="","",IF($C176&lt;=IFERROR(INDEX(CM_PAGASANTES,MATCH($B176,CM_ID,0)),0),"SIM","NAO"))</f>
        <v/>
      </c>
      <c r="K176" s="36" t="n">
        <f aca="false">IF($A176="",0,SUMIFS(L_Valor,L_ParcID,$A176,L_Status,"REALIZADO"))</f>
        <v>0</v>
      </c>
      <c r="L176" s="38" t="str">
        <f aca="false">IF($A176="","",IFERROR(INDEX(L_Data,MATCH(1,INDEX((L_ParcID=$A176)*(L_Status="REALIZADO"),0),0)),""))</f>
        <v/>
      </c>
      <c r="M176" s="34" t="n">
        <f aca="false">IF($A176="",0,COUNTIFS(L_ParcID,$A176,L_Status,"REALIZADO"))</f>
        <v>0</v>
      </c>
      <c r="N176" s="34" t="n">
        <f aca="false">IF($A176="",0,COUNTIFS(L_ParcID,$A176,L_Status,"PROJETADO"))</f>
        <v>0</v>
      </c>
      <c r="O176" s="35" t="str">
        <f aca="false">IF($A176="","",IF($J176="SIM","PAGA",IF($M176&gt;0,"PAGA",IF($D176&lt;CFG_HOJE,"ATRASADA",IF($D176&lt;=EOMONTH(CFG_HOJE,0),"ABERTA","PROJETADA")))))</f>
        <v/>
      </c>
      <c r="P176" s="34" t="n">
        <f aca="false">IF($O176="ATRASADA",CFG_HOJE-$D176,0)</f>
        <v>0</v>
      </c>
      <c r="Q176" s="36" t="n">
        <f aca="false">IF($A176="",0,IF(AND($O176="PAGA",$J176="NAO"),$K176-$E176,0))</f>
        <v>0</v>
      </c>
    </row>
    <row r="177" customFormat="false" ht="15" hidden="false" customHeight="false" outlineLevel="0" collapsed="false">
      <c r="A177" s="30" t="str">
        <f aca="false">IF($B177="","","PAR-"&amp;TEXT(ROW()-4,"000000"))</f>
        <v/>
      </c>
      <c r="B177" s="32"/>
      <c r="C177" s="37"/>
      <c r="D177" s="31"/>
      <c r="E177" s="33"/>
      <c r="F177" s="32"/>
      <c r="G177" s="35" t="str">
        <f aca="false">IF($B177="","",IFERROR(INDEX(CM_NOME,MATCH($B177,CM_ID,0)),"?"))</f>
        <v/>
      </c>
      <c r="H177" s="34" t="str">
        <f aca="false">IF($B177="","",IFERROR(INDEX(CM_QTD,MATCH($B177,CM_ID,0)),""))</f>
        <v/>
      </c>
      <c r="I177" s="35" t="str">
        <f aca="false">IF($A177="","",$C177&amp;"/"&amp;$H177)</f>
        <v/>
      </c>
      <c r="J177" s="35" t="str">
        <f aca="false">IF($A177="","",IF($C177&lt;=IFERROR(INDEX(CM_PAGASANTES,MATCH($B177,CM_ID,0)),0),"SIM","NAO"))</f>
        <v/>
      </c>
      <c r="K177" s="36" t="n">
        <f aca="false">IF($A177="",0,SUMIFS(L_Valor,L_ParcID,$A177,L_Status,"REALIZADO"))</f>
        <v>0</v>
      </c>
      <c r="L177" s="38" t="str">
        <f aca="false">IF($A177="","",IFERROR(INDEX(L_Data,MATCH(1,INDEX((L_ParcID=$A177)*(L_Status="REALIZADO"),0),0)),""))</f>
        <v/>
      </c>
      <c r="M177" s="34" t="n">
        <f aca="false">IF($A177="",0,COUNTIFS(L_ParcID,$A177,L_Status,"REALIZADO"))</f>
        <v>0</v>
      </c>
      <c r="N177" s="34" t="n">
        <f aca="false">IF($A177="",0,COUNTIFS(L_ParcID,$A177,L_Status,"PROJETADO"))</f>
        <v>0</v>
      </c>
      <c r="O177" s="35" t="str">
        <f aca="false">IF($A177="","",IF($J177="SIM","PAGA",IF($M177&gt;0,"PAGA",IF($D177&lt;CFG_HOJE,"ATRASADA",IF($D177&lt;=EOMONTH(CFG_HOJE,0),"ABERTA","PROJETADA")))))</f>
        <v/>
      </c>
      <c r="P177" s="34" t="n">
        <f aca="false">IF($O177="ATRASADA",CFG_HOJE-$D177,0)</f>
        <v>0</v>
      </c>
      <c r="Q177" s="36" t="n">
        <f aca="false">IF($A177="",0,IF(AND($O177="PAGA",$J177="NAO"),$K177-$E177,0))</f>
        <v>0</v>
      </c>
    </row>
    <row r="178" customFormat="false" ht="15" hidden="false" customHeight="false" outlineLevel="0" collapsed="false">
      <c r="A178" s="30" t="str">
        <f aca="false">IF($B178="","","PAR-"&amp;TEXT(ROW()-4,"000000"))</f>
        <v/>
      </c>
      <c r="B178" s="32"/>
      <c r="C178" s="37"/>
      <c r="D178" s="31"/>
      <c r="E178" s="33"/>
      <c r="F178" s="32"/>
      <c r="G178" s="35" t="str">
        <f aca="false">IF($B178="","",IFERROR(INDEX(CM_NOME,MATCH($B178,CM_ID,0)),"?"))</f>
        <v/>
      </c>
      <c r="H178" s="34" t="str">
        <f aca="false">IF($B178="","",IFERROR(INDEX(CM_QTD,MATCH($B178,CM_ID,0)),""))</f>
        <v/>
      </c>
      <c r="I178" s="35" t="str">
        <f aca="false">IF($A178="","",$C178&amp;"/"&amp;$H178)</f>
        <v/>
      </c>
      <c r="J178" s="35" t="str">
        <f aca="false">IF($A178="","",IF($C178&lt;=IFERROR(INDEX(CM_PAGASANTES,MATCH($B178,CM_ID,0)),0),"SIM","NAO"))</f>
        <v/>
      </c>
      <c r="K178" s="36" t="n">
        <f aca="false">IF($A178="",0,SUMIFS(L_Valor,L_ParcID,$A178,L_Status,"REALIZADO"))</f>
        <v>0</v>
      </c>
      <c r="L178" s="38" t="str">
        <f aca="false">IF($A178="","",IFERROR(INDEX(L_Data,MATCH(1,INDEX((L_ParcID=$A178)*(L_Status="REALIZADO"),0),0)),""))</f>
        <v/>
      </c>
      <c r="M178" s="34" t="n">
        <f aca="false">IF($A178="",0,COUNTIFS(L_ParcID,$A178,L_Status,"REALIZADO"))</f>
        <v>0</v>
      </c>
      <c r="N178" s="34" t="n">
        <f aca="false">IF($A178="",0,COUNTIFS(L_ParcID,$A178,L_Status,"PROJETADO"))</f>
        <v>0</v>
      </c>
      <c r="O178" s="35" t="str">
        <f aca="false">IF($A178="","",IF($J178="SIM","PAGA",IF($M178&gt;0,"PAGA",IF($D178&lt;CFG_HOJE,"ATRASADA",IF($D178&lt;=EOMONTH(CFG_HOJE,0),"ABERTA","PROJETADA")))))</f>
        <v/>
      </c>
      <c r="P178" s="34" t="n">
        <f aca="false">IF($O178="ATRASADA",CFG_HOJE-$D178,0)</f>
        <v>0</v>
      </c>
      <c r="Q178" s="36" t="n">
        <f aca="false">IF($A178="",0,IF(AND($O178="PAGA",$J178="NAO"),$K178-$E178,0))</f>
        <v>0</v>
      </c>
    </row>
    <row r="179" customFormat="false" ht="15" hidden="false" customHeight="false" outlineLevel="0" collapsed="false">
      <c r="A179" s="30" t="str">
        <f aca="false">IF($B179="","","PAR-"&amp;TEXT(ROW()-4,"000000"))</f>
        <v/>
      </c>
      <c r="B179" s="32"/>
      <c r="C179" s="37"/>
      <c r="D179" s="31"/>
      <c r="E179" s="33"/>
      <c r="F179" s="32"/>
      <c r="G179" s="35" t="str">
        <f aca="false">IF($B179="","",IFERROR(INDEX(CM_NOME,MATCH($B179,CM_ID,0)),"?"))</f>
        <v/>
      </c>
      <c r="H179" s="34" t="str">
        <f aca="false">IF($B179="","",IFERROR(INDEX(CM_QTD,MATCH($B179,CM_ID,0)),""))</f>
        <v/>
      </c>
      <c r="I179" s="35" t="str">
        <f aca="false">IF($A179="","",$C179&amp;"/"&amp;$H179)</f>
        <v/>
      </c>
      <c r="J179" s="35" t="str">
        <f aca="false">IF($A179="","",IF($C179&lt;=IFERROR(INDEX(CM_PAGASANTES,MATCH($B179,CM_ID,0)),0),"SIM","NAO"))</f>
        <v/>
      </c>
      <c r="K179" s="36" t="n">
        <f aca="false">IF($A179="",0,SUMIFS(L_Valor,L_ParcID,$A179,L_Status,"REALIZADO"))</f>
        <v>0</v>
      </c>
      <c r="L179" s="38" t="str">
        <f aca="false">IF($A179="","",IFERROR(INDEX(L_Data,MATCH(1,INDEX((L_ParcID=$A179)*(L_Status="REALIZADO"),0),0)),""))</f>
        <v/>
      </c>
      <c r="M179" s="34" t="n">
        <f aca="false">IF($A179="",0,COUNTIFS(L_ParcID,$A179,L_Status,"REALIZADO"))</f>
        <v>0</v>
      </c>
      <c r="N179" s="34" t="n">
        <f aca="false">IF($A179="",0,COUNTIFS(L_ParcID,$A179,L_Status,"PROJETADO"))</f>
        <v>0</v>
      </c>
      <c r="O179" s="35" t="str">
        <f aca="false">IF($A179="","",IF($J179="SIM","PAGA",IF($M179&gt;0,"PAGA",IF($D179&lt;CFG_HOJE,"ATRASADA",IF($D179&lt;=EOMONTH(CFG_HOJE,0),"ABERTA","PROJETADA")))))</f>
        <v/>
      </c>
      <c r="P179" s="34" t="n">
        <f aca="false">IF($O179="ATRASADA",CFG_HOJE-$D179,0)</f>
        <v>0</v>
      </c>
      <c r="Q179" s="36" t="n">
        <f aca="false">IF($A179="",0,IF(AND($O179="PAGA",$J179="NAO"),$K179-$E179,0))</f>
        <v>0</v>
      </c>
    </row>
    <row r="180" customFormat="false" ht="15" hidden="false" customHeight="false" outlineLevel="0" collapsed="false">
      <c r="A180" s="30" t="str">
        <f aca="false">IF($B180="","","PAR-"&amp;TEXT(ROW()-4,"000000"))</f>
        <v/>
      </c>
      <c r="B180" s="32"/>
      <c r="C180" s="37"/>
      <c r="D180" s="31"/>
      <c r="E180" s="33"/>
      <c r="F180" s="32"/>
      <c r="G180" s="35" t="str">
        <f aca="false">IF($B180="","",IFERROR(INDEX(CM_NOME,MATCH($B180,CM_ID,0)),"?"))</f>
        <v/>
      </c>
      <c r="H180" s="34" t="str">
        <f aca="false">IF($B180="","",IFERROR(INDEX(CM_QTD,MATCH($B180,CM_ID,0)),""))</f>
        <v/>
      </c>
      <c r="I180" s="35" t="str">
        <f aca="false">IF($A180="","",$C180&amp;"/"&amp;$H180)</f>
        <v/>
      </c>
      <c r="J180" s="35" t="str">
        <f aca="false">IF($A180="","",IF($C180&lt;=IFERROR(INDEX(CM_PAGASANTES,MATCH($B180,CM_ID,0)),0),"SIM","NAO"))</f>
        <v/>
      </c>
      <c r="K180" s="36" t="n">
        <f aca="false">IF($A180="",0,SUMIFS(L_Valor,L_ParcID,$A180,L_Status,"REALIZADO"))</f>
        <v>0</v>
      </c>
      <c r="L180" s="38" t="str">
        <f aca="false">IF($A180="","",IFERROR(INDEX(L_Data,MATCH(1,INDEX((L_ParcID=$A180)*(L_Status="REALIZADO"),0),0)),""))</f>
        <v/>
      </c>
      <c r="M180" s="34" t="n">
        <f aca="false">IF($A180="",0,COUNTIFS(L_ParcID,$A180,L_Status,"REALIZADO"))</f>
        <v>0</v>
      </c>
      <c r="N180" s="34" t="n">
        <f aca="false">IF($A180="",0,COUNTIFS(L_ParcID,$A180,L_Status,"PROJETADO"))</f>
        <v>0</v>
      </c>
      <c r="O180" s="35" t="str">
        <f aca="false">IF($A180="","",IF($J180="SIM","PAGA",IF($M180&gt;0,"PAGA",IF($D180&lt;CFG_HOJE,"ATRASADA",IF($D180&lt;=EOMONTH(CFG_HOJE,0),"ABERTA","PROJETADA")))))</f>
        <v/>
      </c>
      <c r="P180" s="34" t="n">
        <f aca="false">IF($O180="ATRASADA",CFG_HOJE-$D180,0)</f>
        <v>0</v>
      </c>
      <c r="Q180" s="36" t="n">
        <f aca="false">IF($A180="",0,IF(AND($O180="PAGA",$J180="NAO"),$K180-$E180,0))</f>
        <v>0</v>
      </c>
    </row>
    <row r="181" customFormat="false" ht="15" hidden="false" customHeight="false" outlineLevel="0" collapsed="false">
      <c r="A181" s="30" t="str">
        <f aca="false">IF($B181="","","PAR-"&amp;TEXT(ROW()-4,"000000"))</f>
        <v/>
      </c>
      <c r="B181" s="32"/>
      <c r="C181" s="37"/>
      <c r="D181" s="31"/>
      <c r="E181" s="33"/>
      <c r="F181" s="32"/>
      <c r="G181" s="35" t="str">
        <f aca="false">IF($B181="","",IFERROR(INDEX(CM_NOME,MATCH($B181,CM_ID,0)),"?"))</f>
        <v/>
      </c>
      <c r="H181" s="34" t="str">
        <f aca="false">IF($B181="","",IFERROR(INDEX(CM_QTD,MATCH($B181,CM_ID,0)),""))</f>
        <v/>
      </c>
      <c r="I181" s="35" t="str">
        <f aca="false">IF($A181="","",$C181&amp;"/"&amp;$H181)</f>
        <v/>
      </c>
      <c r="J181" s="35" t="str">
        <f aca="false">IF($A181="","",IF($C181&lt;=IFERROR(INDEX(CM_PAGASANTES,MATCH($B181,CM_ID,0)),0),"SIM","NAO"))</f>
        <v/>
      </c>
      <c r="K181" s="36" t="n">
        <f aca="false">IF($A181="",0,SUMIFS(L_Valor,L_ParcID,$A181,L_Status,"REALIZADO"))</f>
        <v>0</v>
      </c>
      <c r="L181" s="38" t="str">
        <f aca="false">IF($A181="","",IFERROR(INDEX(L_Data,MATCH(1,INDEX((L_ParcID=$A181)*(L_Status="REALIZADO"),0),0)),""))</f>
        <v/>
      </c>
      <c r="M181" s="34" t="n">
        <f aca="false">IF($A181="",0,COUNTIFS(L_ParcID,$A181,L_Status,"REALIZADO"))</f>
        <v>0</v>
      </c>
      <c r="N181" s="34" t="n">
        <f aca="false">IF($A181="",0,COUNTIFS(L_ParcID,$A181,L_Status,"PROJETADO"))</f>
        <v>0</v>
      </c>
      <c r="O181" s="35" t="str">
        <f aca="false">IF($A181="","",IF($J181="SIM","PAGA",IF($M181&gt;0,"PAGA",IF($D181&lt;CFG_HOJE,"ATRASADA",IF($D181&lt;=EOMONTH(CFG_HOJE,0),"ABERTA","PROJETADA")))))</f>
        <v/>
      </c>
      <c r="P181" s="34" t="n">
        <f aca="false">IF($O181="ATRASADA",CFG_HOJE-$D181,0)</f>
        <v>0</v>
      </c>
      <c r="Q181" s="36" t="n">
        <f aca="false">IF($A181="",0,IF(AND($O181="PAGA",$J181="NAO"),$K181-$E181,0))</f>
        <v>0</v>
      </c>
    </row>
    <row r="182" customFormat="false" ht="15" hidden="false" customHeight="false" outlineLevel="0" collapsed="false">
      <c r="A182" s="30" t="str">
        <f aca="false">IF($B182="","","PAR-"&amp;TEXT(ROW()-4,"000000"))</f>
        <v/>
      </c>
      <c r="B182" s="32"/>
      <c r="C182" s="37"/>
      <c r="D182" s="31"/>
      <c r="E182" s="33"/>
      <c r="F182" s="32"/>
      <c r="G182" s="35" t="str">
        <f aca="false">IF($B182="","",IFERROR(INDEX(CM_NOME,MATCH($B182,CM_ID,0)),"?"))</f>
        <v/>
      </c>
      <c r="H182" s="34" t="str">
        <f aca="false">IF($B182="","",IFERROR(INDEX(CM_QTD,MATCH($B182,CM_ID,0)),""))</f>
        <v/>
      </c>
      <c r="I182" s="35" t="str">
        <f aca="false">IF($A182="","",$C182&amp;"/"&amp;$H182)</f>
        <v/>
      </c>
      <c r="J182" s="35" t="str">
        <f aca="false">IF($A182="","",IF($C182&lt;=IFERROR(INDEX(CM_PAGASANTES,MATCH($B182,CM_ID,0)),0),"SIM","NAO"))</f>
        <v/>
      </c>
      <c r="K182" s="36" t="n">
        <f aca="false">IF($A182="",0,SUMIFS(L_Valor,L_ParcID,$A182,L_Status,"REALIZADO"))</f>
        <v>0</v>
      </c>
      <c r="L182" s="38" t="str">
        <f aca="false">IF($A182="","",IFERROR(INDEX(L_Data,MATCH(1,INDEX((L_ParcID=$A182)*(L_Status="REALIZADO"),0),0)),""))</f>
        <v/>
      </c>
      <c r="M182" s="34" t="n">
        <f aca="false">IF($A182="",0,COUNTIFS(L_ParcID,$A182,L_Status,"REALIZADO"))</f>
        <v>0</v>
      </c>
      <c r="N182" s="34" t="n">
        <f aca="false">IF($A182="",0,COUNTIFS(L_ParcID,$A182,L_Status,"PROJETADO"))</f>
        <v>0</v>
      </c>
      <c r="O182" s="35" t="str">
        <f aca="false">IF($A182="","",IF($J182="SIM","PAGA",IF($M182&gt;0,"PAGA",IF($D182&lt;CFG_HOJE,"ATRASADA",IF($D182&lt;=EOMONTH(CFG_HOJE,0),"ABERTA","PROJETADA")))))</f>
        <v/>
      </c>
      <c r="P182" s="34" t="n">
        <f aca="false">IF($O182="ATRASADA",CFG_HOJE-$D182,0)</f>
        <v>0</v>
      </c>
      <c r="Q182" s="36" t="n">
        <f aca="false">IF($A182="",0,IF(AND($O182="PAGA",$J182="NAO"),$K182-$E182,0))</f>
        <v>0</v>
      </c>
    </row>
    <row r="183" customFormat="false" ht="15" hidden="false" customHeight="false" outlineLevel="0" collapsed="false">
      <c r="A183" s="30" t="str">
        <f aca="false">IF($B183="","","PAR-"&amp;TEXT(ROW()-4,"000000"))</f>
        <v/>
      </c>
      <c r="B183" s="32"/>
      <c r="C183" s="37"/>
      <c r="D183" s="31"/>
      <c r="E183" s="33"/>
      <c r="F183" s="32"/>
      <c r="G183" s="35" t="str">
        <f aca="false">IF($B183="","",IFERROR(INDEX(CM_NOME,MATCH($B183,CM_ID,0)),"?"))</f>
        <v/>
      </c>
      <c r="H183" s="34" t="str">
        <f aca="false">IF($B183="","",IFERROR(INDEX(CM_QTD,MATCH($B183,CM_ID,0)),""))</f>
        <v/>
      </c>
      <c r="I183" s="35" t="str">
        <f aca="false">IF($A183="","",$C183&amp;"/"&amp;$H183)</f>
        <v/>
      </c>
      <c r="J183" s="35" t="str">
        <f aca="false">IF($A183="","",IF($C183&lt;=IFERROR(INDEX(CM_PAGASANTES,MATCH($B183,CM_ID,0)),0),"SIM","NAO"))</f>
        <v/>
      </c>
      <c r="K183" s="36" t="n">
        <f aca="false">IF($A183="",0,SUMIFS(L_Valor,L_ParcID,$A183,L_Status,"REALIZADO"))</f>
        <v>0</v>
      </c>
      <c r="L183" s="38" t="str">
        <f aca="false">IF($A183="","",IFERROR(INDEX(L_Data,MATCH(1,INDEX((L_ParcID=$A183)*(L_Status="REALIZADO"),0),0)),""))</f>
        <v/>
      </c>
      <c r="M183" s="34" t="n">
        <f aca="false">IF($A183="",0,COUNTIFS(L_ParcID,$A183,L_Status,"REALIZADO"))</f>
        <v>0</v>
      </c>
      <c r="N183" s="34" t="n">
        <f aca="false">IF($A183="",0,COUNTIFS(L_ParcID,$A183,L_Status,"PROJETADO"))</f>
        <v>0</v>
      </c>
      <c r="O183" s="35" t="str">
        <f aca="false">IF($A183="","",IF($J183="SIM","PAGA",IF($M183&gt;0,"PAGA",IF($D183&lt;CFG_HOJE,"ATRASADA",IF($D183&lt;=EOMONTH(CFG_HOJE,0),"ABERTA","PROJETADA")))))</f>
        <v/>
      </c>
      <c r="P183" s="34" t="n">
        <f aca="false">IF($O183="ATRASADA",CFG_HOJE-$D183,0)</f>
        <v>0</v>
      </c>
      <c r="Q183" s="36" t="n">
        <f aca="false">IF($A183="",0,IF(AND($O183="PAGA",$J183="NAO"),$K183-$E183,0))</f>
        <v>0</v>
      </c>
    </row>
    <row r="184" customFormat="false" ht="15" hidden="false" customHeight="false" outlineLevel="0" collapsed="false">
      <c r="A184" s="30" t="str">
        <f aca="false">IF($B184="","","PAR-"&amp;TEXT(ROW()-4,"000000"))</f>
        <v/>
      </c>
      <c r="B184" s="32"/>
      <c r="C184" s="37"/>
      <c r="D184" s="31"/>
      <c r="E184" s="33"/>
      <c r="F184" s="32"/>
      <c r="G184" s="35" t="str">
        <f aca="false">IF($B184="","",IFERROR(INDEX(CM_NOME,MATCH($B184,CM_ID,0)),"?"))</f>
        <v/>
      </c>
      <c r="H184" s="34" t="str">
        <f aca="false">IF($B184="","",IFERROR(INDEX(CM_QTD,MATCH($B184,CM_ID,0)),""))</f>
        <v/>
      </c>
      <c r="I184" s="35" t="str">
        <f aca="false">IF($A184="","",$C184&amp;"/"&amp;$H184)</f>
        <v/>
      </c>
      <c r="J184" s="35" t="str">
        <f aca="false">IF($A184="","",IF($C184&lt;=IFERROR(INDEX(CM_PAGASANTES,MATCH($B184,CM_ID,0)),0),"SIM","NAO"))</f>
        <v/>
      </c>
      <c r="K184" s="36" t="n">
        <f aca="false">IF($A184="",0,SUMIFS(L_Valor,L_ParcID,$A184,L_Status,"REALIZADO"))</f>
        <v>0</v>
      </c>
      <c r="L184" s="38" t="str">
        <f aca="false">IF($A184="","",IFERROR(INDEX(L_Data,MATCH(1,INDEX((L_ParcID=$A184)*(L_Status="REALIZADO"),0),0)),""))</f>
        <v/>
      </c>
      <c r="M184" s="34" t="n">
        <f aca="false">IF($A184="",0,COUNTIFS(L_ParcID,$A184,L_Status,"REALIZADO"))</f>
        <v>0</v>
      </c>
      <c r="N184" s="34" t="n">
        <f aca="false">IF($A184="",0,COUNTIFS(L_ParcID,$A184,L_Status,"PROJETADO"))</f>
        <v>0</v>
      </c>
      <c r="O184" s="35" t="str">
        <f aca="false">IF($A184="","",IF($J184="SIM","PAGA",IF($M184&gt;0,"PAGA",IF($D184&lt;CFG_HOJE,"ATRASADA",IF($D184&lt;=EOMONTH(CFG_HOJE,0),"ABERTA","PROJETADA")))))</f>
        <v/>
      </c>
      <c r="P184" s="34" t="n">
        <f aca="false">IF($O184="ATRASADA",CFG_HOJE-$D184,0)</f>
        <v>0</v>
      </c>
      <c r="Q184" s="36" t="n">
        <f aca="false">IF($A184="",0,IF(AND($O184="PAGA",$J184="NAO"),$K184-$E184,0))</f>
        <v>0</v>
      </c>
    </row>
    <row r="185" customFormat="false" ht="15" hidden="false" customHeight="false" outlineLevel="0" collapsed="false">
      <c r="A185" s="30" t="str">
        <f aca="false">IF($B185="","","PAR-"&amp;TEXT(ROW()-4,"000000"))</f>
        <v/>
      </c>
      <c r="B185" s="32"/>
      <c r="C185" s="37"/>
      <c r="D185" s="31"/>
      <c r="E185" s="33"/>
      <c r="F185" s="32"/>
      <c r="G185" s="35" t="str">
        <f aca="false">IF($B185="","",IFERROR(INDEX(CM_NOME,MATCH($B185,CM_ID,0)),"?"))</f>
        <v/>
      </c>
      <c r="H185" s="34" t="str">
        <f aca="false">IF($B185="","",IFERROR(INDEX(CM_QTD,MATCH($B185,CM_ID,0)),""))</f>
        <v/>
      </c>
      <c r="I185" s="35" t="str">
        <f aca="false">IF($A185="","",$C185&amp;"/"&amp;$H185)</f>
        <v/>
      </c>
      <c r="J185" s="35" t="str">
        <f aca="false">IF($A185="","",IF($C185&lt;=IFERROR(INDEX(CM_PAGASANTES,MATCH($B185,CM_ID,0)),0),"SIM","NAO"))</f>
        <v/>
      </c>
      <c r="K185" s="36" t="n">
        <f aca="false">IF($A185="",0,SUMIFS(L_Valor,L_ParcID,$A185,L_Status,"REALIZADO"))</f>
        <v>0</v>
      </c>
      <c r="L185" s="38" t="str">
        <f aca="false">IF($A185="","",IFERROR(INDEX(L_Data,MATCH(1,INDEX((L_ParcID=$A185)*(L_Status="REALIZADO"),0),0)),""))</f>
        <v/>
      </c>
      <c r="M185" s="34" t="n">
        <f aca="false">IF($A185="",0,COUNTIFS(L_ParcID,$A185,L_Status,"REALIZADO"))</f>
        <v>0</v>
      </c>
      <c r="N185" s="34" t="n">
        <f aca="false">IF($A185="",0,COUNTIFS(L_ParcID,$A185,L_Status,"PROJETADO"))</f>
        <v>0</v>
      </c>
      <c r="O185" s="35" t="str">
        <f aca="false">IF($A185="","",IF($J185="SIM","PAGA",IF($M185&gt;0,"PAGA",IF($D185&lt;CFG_HOJE,"ATRASADA",IF($D185&lt;=EOMONTH(CFG_HOJE,0),"ABERTA","PROJETADA")))))</f>
        <v/>
      </c>
      <c r="P185" s="34" t="n">
        <f aca="false">IF($O185="ATRASADA",CFG_HOJE-$D185,0)</f>
        <v>0</v>
      </c>
      <c r="Q185" s="36" t="n">
        <f aca="false">IF($A185="",0,IF(AND($O185="PAGA",$J185="NAO"),$K185-$E185,0))</f>
        <v>0</v>
      </c>
    </row>
    <row r="186" customFormat="false" ht="15" hidden="false" customHeight="false" outlineLevel="0" collapsed="false">
      <c r="A186" s="30" t="str">
        <f aca="false">IF($B186="","","PAR-"&amp;TEXT(ROW()-4,"000000"))</f>
        <v/>
      </c>
      <c r="B186" s="32"/>
      <c r="C186" s="37"/>
      <c r="D186" s="31"/>
      <c r="E186" s="33"/>
      <c r="F186" s="32"/>
      <c r="G186" s="35" t="str">
        <f aca="false">IF($B186="","",IFERROR(INDEX(CM_NOME,MATCH($B186,CM_ID,0)),"?"))</f>
        <v/>
      </c>
      <c r="H186" s="34" t="str">
        <f aca="false">IF($B186="","",IFERROR(INDEX(CM_QTD,MATCH($B186,CM_ID,0)),""))</f>
        <v/>
      </c>
      <c r="I186" s="35" t="str">
        <f aca="false">IF($A186="","",$C186&amp;"/"&amp;$H186)</f>
        <v/>
      </c>
      <c r="J186" s="35" t="str">
        <f aca="false">IF($A186="","",IF($C186&lt;=IFERROR(INDEX(CM_PAGASANTES,MATCH($B186,CM_ID,0)),0),"SIM","NAO"))</f>
        <v/>
      </c>
      <c r="K186" s="36" t="n">
        <f aca="false">IF($A186="",0,SUMIFS(L_Valor,L_ParcID,$A186,L_Status,"REALIZADO"))</f>
        <v>0</v>
      </c>
      <c r="L186" s="38" t="str">
        <f aca="false">IF($A186="","",IFERROR(INDEX(L_Data,MATCH(1,INDEX((L_ParcID=$A186)*(L_Status="REALIZADO"),0),0)),""))</f>
        <v/>
      </c>
      <c r="M186" s="34" t="n">
        <f aca="false">IF($A186="",0,COUNTIFS(L_ParcID,$A186,L_Status,"REALIZADO"))</f>
        <v>0</v>
      </c>
      <c r="N186" s="34" t="n">
        <f aca="false">IF($A186="",0,COUNTIFS(L_ParcID,$A186,L_Status,"PROJETADO"))</f>
        <v>0</v>
      </c>
      <c r="O186" s="35" t="str">
        <f aca="false">IF($A186="","",IF($J186="SIM","PAGA",IF($M186&gt;0,"PAGA",IF($D186&lt;CFG_HOJE,"ATRASADA",IF($D186&lt;=EOMONTH(CFG_HOJE,0),"ABERTA","PROJETADA")))))</f>
        <v/>
      </c>
      <c r="P186" s="34" t="n">
        <f aca="false">IF($O186="ATRASADA",CFG_HOJE-$D186,0)</f>
        <v>0</v>
      </c>
      <c r="Q186" s="36" t="n">
        <f aca="false">IF($A186="",0,IF(AND($O186="PAGA",$J186="NAO"),$K186-$E186,0))</f>
        <v>0</v>
      </c>
    </row>
    <row r="187" customFormat="false" ht="15" hidden="false" customHeight="false" outlineLevel="0" collapsed="false">
      <c r="A187" s="30" t="str">
        <f aca="false">IF($B187="","","PAR-"&amp;TEXT(ROW()-4,"000000"))</f>
        <v/>
      </c>
      <c r="B187" s="32"/>
      <c r="C187" s="37"/>
      <c r="D187" s="31"/>
      <c r="E187" s="33"/>
      <c r="F187" s="32"/>
      <c r="G187" s="35" t="str">
        <f aca="false">IF($B187="","",IFERROR(INDEX(CM_NOME,MATCH($B187,CM_ID,0)),"?"))</f>
        <v/>
      </c>
      <c r="H187" s="34" t="str">
        <f aca="false">IF($B187="","",IFERROR(INDEX(CM_QTD,MATCH($B187,CM_ID,0)),""))</f>
        <v/>
      </c>
      <c r="I187" s="35" t="str">
        <f aca="false">IF($A187="","",$C187&amp;"/"&amp;$H187)</f>
        <v/>
      </c>
      <c r="J187" s="35" t="str">
        <f aca="false">IF($A187="","",IF($C187&lt;=IFERROR(INDEX(CM_PAGASANTES,MATCH($B187,CM_ID,0)),0),"SIM","NAO"))</f>
        <v/>
      </c>
      <c r="K187" s="36" t="n">
        <f aca="false">IF($A187="",0,SUMIFS(L_Valor,L_ParcID,$A187,L_Status,"REALIZADO"))</f>
        <v>0</v>
      </c>
      <c r="L187" s="38" t="str">
        <f aca="false">IF($A187="","",IFERROR(INDEX(L_Data,MATCH(1,INDEX((L_ParcID=$A187)*(L_Status="REALIZADO"),0),0)),""))</f>
        <v/>
      </c>
      <c r="M187" s="34" t="n">
        <f aca="false">IF($A187="",0,COUNTIFS(L_ParcID,$A187,L_Status,"REALIZADO"))</f>
        <v>0</v>
      </c>
      <c r="N187" s="34" t="n">
        <f aca="false">IF($A187="",0,COUNTIFS(L_ParcID,$A187,L_Status,"PROJETADO"))</f>
        <v>0</v>
      </c>
      <c r="O187" s="35" t="str">
        <f aca="false">IF($A187="","",IF($J187="SIM","PAGA",IF($M187&gt;0,"PAGA",IF($D187&lt;CFG_HOJE,"ATRASADA",IF($D187&lt;=EOMONTH(CFG_HOJE,0),"ABERTA","PROJETADA")))))</f>
        <v/>
      </c>
      <c r="P187" s="34" t="n">
        <f aca="false">IF($O187="ATRASADA",CFG_HOJE-$D187,0)</f>
        <v>0</v>
      </c>
      <c r="Q187" s="36" t="n">
        <f aca="false">IF($A187="",0,IF(AND($O187="PAGA",$J187="NAO"),$K187-$E187,0))</f>
        <v>0</v>
      </c>
    </row>
    <row r="188" customFormat="false" ht="15" hidden="false" customHeight="false" outlineLevel="0" collapsed="false">
      <c r="A188" s="30" t="str">
        <f aca="false">IF($B188="","","PAR-"&amp;TEXT(ROW()-4,"000000"))</f>
        <v/>
      </c>
      <c r="B188" s="32"/>
      <c r="C188" s="37"/>
      <c r="D188" s="31"/>
      <c r="E188" s="33"/>
      <c r="F188" s="32"/>
      <c r="G188" s="35" t="str">
        <f aca="false">IF($B188="","",IFERROR(INDEX(CM_NOME,MATCH($B188,CM_ID,0)),"?"))</f>
        <v/>
      </c>
      <c r="H188" s="34" t="str">
        <f aca="false">IF($B188="","",IFERROR(INDEX(CM_QTD,MATCH($B188,CM_ID,0)),""))</f>
        <v/>
      </c>
      <c r="I188" s="35" t="str">
        <f aca="false">IF($A188="","",$C188&amp;"/"&amp;$H188)</f>
        <v/>
      </c>
      <c r="J188" s="35" t="str">
        <f aca="false">IF($A188="","",IF($C188&lt;=IFERROR(INDEX(CM_PAGASANTES,MATCH($B188,CM_ID,0)),0),"SIM","NAO"))</f>
        <v/>
      </c>
      <c r="K188" s="36" t="n">
        <f aca="false">IF($A188="",0,SUMIFS(L_Valor,L_ParcID,$A188,L_Status,"REALIZADO"))</f>
        <v>0</v>
      </c>
      <c r="L188" s="38" t="str">
        <f aca="false">IF($A188="","",IFERROR(INDEX(L_Data,MATCH(1,INDEX((L_ParcID=$A188)*(L_Status="REALIZADO"),0),0)),""))</f>
        <v/>
      </c>
      <c r="M188" s="34" t="n">
        <f aca="false">IF($A188="",0,COUNTIFS(L_ParcID,$A188,L_Status,"REALIZADO"))</f>
        <v>0</v>
      </c>
      <c r="N188" s="34" t="n">
        <f aca="false">IF($A188="",0,COUNTIFS(L_ParcID,$A188,L_Status,"PROJETADO"))</f>
        <v>0</v>
      </c>
      <c r="O188" s="35" t="str">
        <f aca="false">IF($A188="","",IF($J188="SIM","PAGA",IF($M188&gt;0,"PAGA",IF($D188&lt;CFG_HOJE,"ATRASADA",IF($D188&lt;=EOMONTH(CFG_HOJE,0),"ABERTA","PROJETADA")))))</f>
        <v/>
      </c>
      <c r="P188" s="34" t="n">
        <f aca="false">IF($O188="ATRASADA",CFG_HOJE-$D188,0)</f>
        <v>0</v>
      </c>
      <c r="Q188" s="36" t="n">
        <f aca="false">IF($A188="",0,IF(AND($O188="PAGA",$J188="NAO"),$K188-$E188,0))</f>
        <v>0</v>
      </c>
    </row>
    <row r="189" customFormat="false" ht="15" hidden="false" customHeight="false" outlineLevel="0" collapsed="false">
      <c r="A189" s="30" t="str">
        <f aca="false">IF($B189="","","PAR-"&amp;TEXT(ROW()-4,"000000"))</f>
        <v/>
      </c>
      <c r="B189" s="32"/>
      <c r="C189" s="37"/>
      <c r="D189" s="31"/>
      <c r="E189" s="33"/>
      <c r="F189" s="32"/>
      <c r="G189" s="35" t="str">
        <f aca="false">IF($B189="","",IFERROR(INDEX(CM_NOME,MATCH($B189,CM_ID,0)),"?"))</f>
        <v/>
      </c>
      <c r="H189" s="34" t="str">
        <f aca="false">IF($B189="","",IFERROR(INDEX(CM_QTD,MATCH($B189,CM_ID,0)),""))</f>
        <v/>
      </c>
      <c r="I189" s="35" t="str">
        <f aca="false">IF($A189="","",$C189&amp;"/"&amp;$H189)</f>
        <v/>
      </c>
      <c r="J189" s="35" t="str">
        <f aca="false">IF($A189="","",IF($C189&lt;=IFERROR(INDEX(CM_PAGASANTES,MATCH($B189,CM_ID,0)),0),"SIM","NAO"))</f>
        <v/>
      </c>
      <c r="K189" s="36" t="n">
        <f aca="false">IF($A189="",0,SUMIFS(L_Valor,L_ParcID,$A189,L_Status,"REALIZADO"))</f>
        <v>0</v>
      </c>
      <c r="L189" s="38" t="str">
        <f aca="false">IF($A189="","",IFERROR(INDEX(L_Data,MATCH(1,INDEX((L_ParcID=$A189)*(L_Status="REALIZADO"),0),0)),""))</f>
        <v/>
      </c>
      <c r="M189" s="34" t="n">
        <f aca="false">IF($A189="",0,COUNTIFS(L_ParcID,$A189,L_Status,"REALIZADO"))</f>
        <v>0</v>
      </c>
      <c r="N189" s="34" t="n">
        <f aca="false">IF($A189="",0,COUNTIFS(L_ParcID,$A189,L_Status,"PROJETADO"))</f>
        <v>0</v>
      </c>
      <c r="O189" s="35" t="str">
        <f aca="false">IF($A189="","",IF($J189="SIM","PAGA",IF($M189&gt;0,"PAGA",IF($D189&lt;CFG_HOJE,"ATRASADA",IF($D189&lt;=EOMONTH(CFG_HOJE,0),"ABERTA","PROJETADA")))))</f>
        <v/>
      </c>
      <c r="P189" s="34" t="n">
        <f aca="false">IF($O189="ATRASADA",CFG_HOJE-$D189,0)</f>
        <v>0</v>
      </c>
      <c r="Q189" s="36" t="n">
        <f aca="false">IF($A189="",0,IF(AND($O189="PAGA",$J189="NAO"),$K189-$E189,0))</f>
        <v>0</v>
      </c>
    </row>
    <row r="190" customFormat="false" ht="15" hidden="false" customHeight="false" outlineLevel="0" collapsed="false">
      <c r="A190" s="30" t="str">
        <f aca="false">IF($B190="","","PAR-"&amp;TEXT(ROW()-4,"000000"))</f>
        <v/>
      </c>
      <c r="B190" s="32"/>
      <c r="C190" s="37"/>
      <c r="D190" s="31"/>
      <c r="E190" s="33"/>
      <c r="F190" s="32"/>
      <c r="G190" s="35" t="str">
        <f aca="false">IF($B190="","",IFERROR(INDEX(CM_NOME,MATCH($B190,CM_ID,0)),"?"))</f>
        <v/>
      </c>
      <c r="H190" s="34" t="str">
        <f aca="false">IF($B190="","",IFERROR(INDEX(CM_QTD,MATCH($B190,CM_ID,0)),""))</f>
        <v/>
      </c>
      <c r="I190" s="35" t="str">
        <f aca="false">IF($A190="","",$C190&amp;"/"&amp;$H190)</f>
        <v/>
      </c>
      <c r="J190" s="35" t="str">
        <f aca="false">IF($A190="","",IF($C190&lt;=IFERROR(INDEX(CM_PAGASANTES,MATCH($B190,CM_ID,0)),0),"SIM","NAO"))</f>
        <v/>
      </c>
      <c r="K190" s="36" t="n">
        <f aca="false">IF($A190="",0,SUMIFS(L_Valor,L_ParcID,$A190,L_Status,"REALIZADO"))</f>
        <v>0</v>
      </c>
      <c r="L190" s="38" t="str">
        <f aca="false">IF($A190="","",IFERROR(INDEX(L_Data,MATCH(1,INDEX((L_ParcID=$A190)*(L_Status="REALIZADO"),0),0)),""))</f>
        <v/>
      </c>
      <c r="M190" s="34" t="n">
        <f aca="false">IF($A190="",0,COUNTIFS(L_ParcID,$A190,L_Status,"REALIZADO"))</f>
        <v>0</v>
      </c>
      <c r="N190" s="34" t="n">
        <f aca="false">IF($A190="",0,COUNTIFS(L_ParcID,$A190,L_Status,"PROJETADO"))</f>
        <v>0</v>
      </c>
      <c r="O190" s="35" t="str">
        <f aca="false">IF($A190="","",IF($J190="SIM","PAGA",IF($M190&gt;0,"PAGA",IF($D190&lt;CFG_HOJE,"ATRASADA",IF($D190&lt;=EOMONTH(CFG_HOJE,0),"ABERTA","PROJETADA")))))</f>
        <v/>
      </c>
      <c r="P190" s="34" t="n">
        <f aca="false">IF($O190="ATRASADA",CFG_HOJE-$D190,0)</f>
        <v>0</v>
      </c>
      <c r="Q190" s="36" t="n">
        <f aca="false">IF($A190="",0,IF(AND($O190="PAGA",$J190="NAO"),$K190-$E190,0))</f>
        <v>0</v>
      </c>
    </row>
    <row r="191" customFormat="false" ht="15" hidden="false" customHeight="false" outlineLevel="0" collapsed="false">
      <c r="A191" s="30" t="str">
        <f aca="false">IF($B191="","","PAR-"&amp;TEXT(ROW()-4,"000000"))</f>
        <v/>
      </c>
      <c r="B191" s="32"/>
      <c r="C191" s="37"/>
      <c r="D191" s="31"/>
      <c r="E191" s="33"/>
      <c r="F191" s="32"/>
      <c r="G191" s="35" t="str">
        <f aca="false">IF($B191="","",IFERROR(INDEX(CM_NOME,MATCH($B191,CM_ID,0)),"?"))</f>
        <v/>
      </c>
      <c r="H191" s="34" t="str">
        <f aca="false">IF($B191="","",IFERROR(INDEX(CM_QTD,MATCH($B191,CM_ID,0)),""))</f>
        <v/>
      </c>
      <c r="I191" s="35" t="str">
        <f aca="false">IF($A191="","",$C191&amp;"/"&amp;$H191)</f>
        <v/>
      </c>
      <c r="J191" s="35" t="str">
        <f aca="false">IF($A191="","",IF($C191&lt;=IFERROR(INDEX(CM_PAGASANTES,MATCH($B191,CM_ID,0)),0),"SIM","NAO"))</f>
        <v/>
      </c>
      <c r="K191" s="36" t="n">
        <f aca="false">IF($A191="",0,SUMIFS(L_Valor,L_ParcID,$A191,L_Status,"REALIZADO"))</f>
        <v>0</v>
      </c>
      <c r="L191" s="38" t="str">
        <f aca="false">IF($A191="","",IFERROR(INDEX(L_Data,MATCH(1,INDEX((L_ParcID=$A191)*(L_Status="REALIZADO"),0),0)),""))</f>
        <v/>
      </c>
      <c r="M191" s="34" t="n">
        <f aca="false">IF($A191="",0,COUNTIFS(L_ParcID,$A191,L_Status,"REALIZADO"))</f>
        <v>0</v>
      </c>
      <c r="N191" s="34" t="n">
        <f aca="false">IF($A191="",0,COUNTIFS(L_ParcID,$A191,L_Status,"PROJETADO"))</f>
        <v>0</v>
      </c>
      <c r="O191" s="35" t="str">
        <f aca="false">IF($A191="","",IF($J191="SIM","PAGA",IF($M191&gt;0,"PAGA",IF($D191&lt;CFG_HOJE,"ATRASADA",IF($D191&lt;=EOMONTH(CFG_HOJE,0),"ABERTA","PROJETADA")))))</f>
        <v/>
      </c>
      <c r="P191" s="34" t="n">
        <f aca="false">IF($O191="ATRASADA",CFG_HOJE-$D191,0)</f>
        <v>0</v>
      </c>
      <c r="Q191" s="36" t="n">
        <f aca="false">IF($A191="",0,IF(AND($O191="PAGA",$J191="NAO"),$K191-$E191,0))</f>
        <v>0</v>
      </c>
    </row>
    <row r="192" customFormat="false" ht="15" hidden="false" customHeight="false" outlineLevel="0" collapsed="false">
      <c r="A192" s="30" t="str">
        <f aca="false">IF($B192="","","PAR-"&amp;TEXT(ROW()-4,"000000"))</f>
        <v/>
      </c>
      <c r="B192" s="32"/>
      <c r="C192" s="37"/>
      <c r="D192" s="31"/>
      <c r="E192" s="33"/>
      <c r="F192" s="32"/>
      <c r="G192" s="35" t="str">
        <f aca="false">IF($B192="","",IFERROR(INDEX(CM_NOME,MATCH($B192,CM_ID,0)),"?"))</f>
        <v/>
      </c>
      <c r="H192" s="34" t="str">
        <f aca="false">IF($B192="","",IFERROR(INDEX(CM_QTD,MATCH($B192,CM_ID,0)),""))</f>
        <v/>
      </c>
      <c r="I192" s="35" t="str">
        <f aca="false">IF($A192="","",$C192&amp;"/"&amp;$H192)</f>
        <v/>
      </c>
      <c r="J192" s="35" t="str">
        <f aca="false">IF($A192="","",IF($C192&lt;=IFERROR(INDEX(CM_PAGASANTES,MATCH($B192,CM_ID,0)),0),"SIM","NAO"))</f>
        <v/>
      </c>
      <c r="K192" s="36" t="n">
        <f aca="false">IF($A192="",0,SUMIFS(L_Valor,L_ParcID,$A192,L_Status,"REALIZADO"))</f>
        <v>0</v>
      </c>
      <c r="L192" s="38" t="str">
        <f aca="false">IF($A192="","",IFERROR(INDEX(L_Data,MATCH(1,INDEX((L_ParcID=$A192)*(L_Status="REALIZADO"),0),0)),""))</f>
        <v/>
      </c>
      <c r="M192" s="34" t="n">
        <f aca="false">IF($A192="",0,COUNTIFS(L_ParcID,$A192,L_Status,"REALIZADO"))</f>
        <v>0</v>
      </c>
      <c r="N192" s="34" t="n">
        <f aca="false">IF($A192="",0,COUNTIFS(L_ParcID,$A192,L_Status,"PROJETADO"))</f>
        <v>0</v>
      </c>
      <c r="O192" s="35" t="str">
        <f aca="false">IF($A192="","",IF($J192="SIM","PAGA",IF($M192&gt;0,"PAGA",IF($D192&lt;CFG_HOJE,"ATRASADA",IF($D192&lt;=EOMONTH(CFG_HOJE,0),"ABERTA","PROJETADA")))))</f>
        <v/>
      </c>
      <c r="P192" s="34" t="n">
        <f aca="false">IF($O192="ATRASADA",CFG_HOJE-$D192,0)</f>
        <v>0</v>
      </c>
      <c r="Q192" s="36" t="n">
        <f aca="false">IF($A192="",0,IF(AND($O192="PAGA",$J192="NAO"),$K192-$E192,0))</f>
        <v>0</v>
      </c>
    </row>
    <row r="193" customFormat="false" ht="15" hidden="false" customHeight="false" outlineLevel="0" collapsed="false">
      <c r="A193" s="30" t="str">
        <f aca="false">IF($B193="","","PAR-"&amp;TEXT(ROW()-4,"000000"))</f>
        <v/>
      </c>
      <c r="B193" s="32"/>
      <c r="C193" s="37"/>
      <c r="D193" s="31"/>
      <c r="E193" s="33"/>
      <c r="F193" s="32"/>
      <c r="G193" s="35" t="str">
        <f aca="false">IF($B193="","",IFERROR(INDEX(CM_NOME,MATCH($B193,CM_ID,0)),"?"))</f>
        <v/>
      </c>
      <c r="H193" s="34" t="str">
        <f aca="false">IF($B193="","",IFERROR(INDEX(CM_QTD,MATCH($B193,CM_ID,0)),""))</f>
        <v/>
      </c>
      <c r="I193" s="35" t="str">
        <f aca="false">IF($A193="","",$C193&amp;"/"&amp;$H193)</f>
        <v/>
      </c>
      <c r="J193" s="35" t="str">
        <f aca="false">IF($A193="","",IF($C193&lt;=IFERROR(INDEX(CM_PAGASANTES,MATCH($B193,CM_ID,0)),0),"SIM","NAO"))</f>
        <v/>
      </c>
      <c r="K193" s="36" t="n">
        <f aca="false">IF($A193="",0,SUMIFS(L_Valor,L_ParcID,$A193,L_Status,"REALIZADO"))</f>
        <v>0</v>
      </c>
      <c r="L193" s="38" t="str">
        <f aca="false">IF($A193="","",IFERROR(INDEX(L_Data,MATCH(1,INDEX((L_ParcID=$A193)*(L_Status="REALIZADO"),0),0)),""))</f>
        <v/>
      </c>
      <c r="M193" s="34" t="n">
        <f aca="false">IF($A193="",0,COUNTIFS(L_ParcID,$A193,L_Status,"REALIZADO"))</f>
        <v>0</v>
      </c>
      <c r="N193" s="34" t="n">
        <f aca="false">IF($A193="",0,COUNTIFS(L_ParcID,$A193,L_Status,"PROJETADO"))</f>
        <v>0</v>
      </c>
      <c r="O193" s="35" t="str">
        <f aca="false">IF($A193="","",IF($J193="SIM","PAGA",IF($M193&gt;0,"PAGA",IF($D193&lt;CFG_HOJE,"ATRASADA",IF($D193&lt;=EOMONTH(CFG_HOJE,0),"ABERTA","PROJETADA")))))</f>
        <v/>
      </c>
      <c r="P193" s="34" t="n">
        <f aca="false">IF($O193="ATRASADA",CFG_HOJE-$D193,0)</f>
        <v>0</v>
      </c>
      <c r="Q193" s="36" t="n">
        <f aca="false">IF($A193="",0,IF(AND($O193="PAGA",$J193="NAO"),$K193-$E193,0))</f>
        <v>0</v>
      </c>
    </row>
    <row r="194" customFormat="false" ht="15" hidden="false" customHeight="false" outlineLevel="0" collapsed="false">
      <c r="A194" s="30" t="str">
        <f aca="false">IF($B194="","","PAR-"&amp;TEXT(ROW()-4,"000000"))</f>
        <v/>
      </c>
      <c r="B194" s="32"/>
      <c r="C194" s="37"/>
      <c r="D194" s="31"/>
      <c r="E194" s="33"/>
      <c r="F194" s="32"/>
      <c r="G194" s="35" t="str">
        <f aca="false">IF($B194="","",IFERROR(INDEX(CM_NOME,MATCH($B194,CM_ID,0)),"?"))</f>
        <v/>
      </c>
      <c r="H194" s="34" t="str">
        <f aca="false">IF($B194="","",IFERROR(INDEX(CM_QTD,MATCH($B194,CM_ID,0)),""))</f>
        <v/>
      </c>
      <c r="I194" s="35" t="str">
        <f aca="false">IF($A194="","",$C194&amp;"/"&amp;$H194)</f>
        <v/>
      </c>
      <c r="J194" s="35" t="str">
        <f aca="false">IF($A194="","",IF($C194&lt;=IFERROR(INDEX(CM_PAGASANTES,MATCH($B194,CM_ID,0)),0),"SIM","NAO"))</f>
        <v/>
      </c>
      <c r="K194" s="36" t="n">
        <f aca="false">IF($A194="",0,SUMIFS(L_Valor,L_ParcID,$A194,L_Status,"REALIZADO"))</f>
        <v>0</v>
      </c>
      <c r="L194" s="38" t="str">
        <f aca="false">IF($A194="","",IFERROR(INDEX(L_Data,MATCH(1,INDEX((L_ParcID=$A194)*(L_Status="REALIZADO"),0),0)),""))</f>
        <v/>
      </c>
      <c r="M194" s="34" t="n">
        <f aca="false">IF($A194="",0,COUNTIFS(L_ParcID,$A194,L_Status,"REALIZADO"))</f>
        <v>0</v>
      </c>
      <c r="N194" s="34" t="n">
        <f aca="false">IF($A194="",0,COUNTIFS(L_ParcID,$A194,L_Status,"PROJETADO"))</f>
        <v>0</v>
      </c>
      <c r="O194" s="35" t="str">
        <f aca="false">IF($A194="","",IF($J194="SIM","PAGA",IF($M194&gt;0,"PAGA",IF($D194&lt;CFG_HOJE,"ATRASADA",IF($D194&lt;=EOMONTH(CFG_HOJE,0),"ABERTA","PROJETADA")))))</f>
        <v/>
      </c>
      <c r="P194" s="34" t="n">
        <f aca="false">IF($O194="ATRASADA",CFG_HOJE-$D194,0)</f>
        <v>0</v>
      </c>
      <c r="Q194" s="36" t="n">
        <f aca="false">IF($A194="",0,IF(AND($O194="PAGA",$J194="NAO"),$K194-$E194,0))</f>
        <v>0</v>
      </c>
    </row>
    <row r="195" customFormat="false" ht="15" hidden="false" customHeight="false" outlineLevel="0" collapsed="false">
      <c r="A195" s="30" t="str">
        <f aca="false">IF($B195="","","PAR-"&amp;TEXT(ROW()-4,"000000"))</f>
        <v/>
      </c>
      <c r="B195" s="32"/>
      <c r="C195" s="37"/>
      <c r="D195" s="31"/>
      <c r="E195" s="33"/>
      <c r="F195" s="32"/>
      <c r="G195" s="35" t="str">
        <f aca="false">IF($B195="","",IFERROR(INDEX(CM_NOME,MATCH($B195,CM_ID,0)),"?"))</f>
        <v/>
      </c>
      <c r="H195" s="34" t="str">
        <f aca="false">IF($B195="","",IFERROR(INDEX(CM_QTD,MATCH($B195,CM_ID,0)),""))</f>
        <v/>
      </c>
      <c r="I195" s="35" t="str">
        <f aca="false">IF($A195="","",$C195&amp;"/"&amp;$H195)</f>
        <v/>
      </c>
      <c r="J195" s="35" t="str">
        <f aca="false">IF($A195="","",IF($C195&lt;=IFERROR(INDEX(CM_PAGASANTES,MATCH($B195,CM_ID,0)),0),"SIM","NAO"))</f>
        <v/>
      </c>
      <c r="K195" s="36" t="n">
        <f aca="false">IF($A195="",0,SUMIFS(L_Valor,L_ParcID,$A195,L_Status,"REALIZADO"))</f>
        <v>0</v>
      </c>
      <c r="L195" s="38" t="str">
        <f aca="false">IF($A195="","",IFERROR(INDEX(L_Data,MATCH(1,INDEX((L_ParcID=$A195)*(L_Status="REALIZADO"),0),0)),""))</f>
        <v/>
      </c>
      <c r="M195" s="34" t="n">
        <f aca="false">IF($A195="",0,COUNTIFS(L_ParcID,$A195,L_Status,"REALIZADO"))</f>
        <v>0</v>
      </c>
      <c r="N195" s="34" t="n">
        <f aca="false">IF($A195="",0,COUNTIFS(L_ParcID,$A195,L_Status,"PROJETADO"))</f>
        <v>0</v>
      </c>
      <c r="O195" s="35" t="str">
        <f aca="false">IF($A195="","",IF($J195="SIM","PAGA",IF($M195&gt;0,"PAGA",IF($D195&lt;CFG_HOJE,"ATRASADA",IF($D195&lt;=EOMONTH(CFG_HOJE,0),"ABERTA","PROJETADA")))))</f>
        <v/>
      </c>
      <c r="P195" s="34" t="n">
        <f aca="false">IF($O195="ATRASADA",CFG_HOJE-$D195,0)</f>
        <v>0</v>
      </c>
      <c r="Q195" s="36" t="n">
        <f aca="false">IF($A195="",0,IF(AND($O195="PAGA",$J195="NAO"),$K195-$E195,0))</f>
        <v>0</v>
      </c>
    </row>
    <row r="196" customFormat="false" ht="15" hidden="false" customHeight="false" outlineLevel="0" collapsed="false">
      <c r="A196" s="30" t="str">
        <f aca="false">IF($B196="","","PAR-"&amp;TEXT(ROW()-4,"000000"))</f>
        <v/>
      </c>
      <c r="B196" s="32"/>
      <c r="C196" s="37"/>
      <c r="D196" s="31"/>
      <c r="E196" s="33"/>
      <c r="F196" s="32"/>
      <c r="G196" s="35" t="str">
        <f aca="false">IF($B196="","",IFERROR(INDEX(CM_NOME,MATCH($B196,CM_ID,0)),"?"))</f>
        <v/>
      </c>
      <c r="H196" s="34" t="str">
        <f aca="false">IF($B196="","",IFERROR(INDEX(CM_QTD,MATCH($B196,CM_ID,0)),""))</f>
        <v/>
      </c>
      <c r="I196" s="35" t="str">
        <f aca="false">IF($A196="","",$C196&amp;"/"&amp;$H196)</f>
        <v/>
      </c>
      <c r="J196" s="35" t="str">
        <f aca="false">IF($A196="","",IF($C196&lt;=IFERROR(INDEX(CM_PAGASANTES,MATCH($B196,CM_ID,0)),0),"SIM","NAO"))</f>
        <v/>
      </c>
      <c r="K196" s="36" t="n">
        <f aca="false">IF($A196="",0,SUMIFS(L_Valor,L_ParcID,$A196,L_Status,"REALIZADO"))</f>
        <v>0</v>
      </c>
      <c r="L196" s="38" t="str">
        <f aca="false">IF($A196="","",IFERROR(INDEX(L_Data,MATCH(1,INDEX((L_ParcID=$A196)*(L_Status="REALIZADO"),0),0)),""))</f>
        <v/>
      </c>
      <c r="M196" s="34" t="n">
        <f aca="false">IF($A196="",0,COUNTIFS(L_ParcID,$A196,L_Status,"REALIZADO"))</f>
        <v>0</v>
      </c>
      <c r="N196" s="34" t="n">
        <f aca="false">IF($A196="",0,COUNTIFS(L_ParcID,$A196,L_Status,"PROJETADO"))</f>
        <v>0</v>
      </c>
      <c r="O196" s="35" t="str">
        <f aca="false">IF($A196="","",IF($J196="SIM","PAGA",IF($M196&gt;0,"PAGA",IF($D196&lt;CFG_HOJE,"ATRASADA",IF($D196&lt;=EOMONTH(CFG_HOJE,0),"ABERTA","PROJETADA")))))</f>
        <v/>
      </c>
      <c r="P196" s="34" t="n">
        <f aca="false">IF($O196="ATRASADA",CFG_HOJE-$D196,0)</f>
        <v>0</v>
      </c>
      <c r="Q196" s="36" t="n">
        <f aca="false">IF($A196="",0,IF(AND($O196="PAGA",$J196="NAO"),$K196-$E196,0))</f>
        <v>0</v>
      </c>
    </row>
    <row r="197" customFormat="false" ht="15" hidden="false" customHeight="false" outlineLevel="0" collapsed="false">
      <c r="A197" s="30" t="str">
        <f aca="false">IF($B197="","","PAR-"&amp;TEXT(ROW()-4,"000000"))</f>
        <v/>
      </c>
      <c r="B197" s="32"/>
      <c r="C197" s="37"/>
      <c r="D197" s="31"/>
      <c r="E197" s="33"/>
      <c r="F197" s="32"/>
      <c r="G197" s="35" t="str">
        <f aca="false">IF($B197="","",IFERROR(INDEX(CM_NOME,MATCH($B197,CM_ID,0)),"?"))</f>
        <v/>
      </c>
      <c r="H197" s="34" t="str">
        <f aca="false">IF($B197="","",IFERROR(INDEX(CM_QTD,MATCH($B197,CM_ID,0)),""))</f>
        <v/>
      </c>
      <c r="I197" s="35" t="str">
        <f aca="false">IF($A197="","",$C197&amp;"/"&amp;$H197)</f>
        <v/>
      </c>
      <c r="J197" s="35" t="str">
        <f aca="false">IF($A197="","",IF($C197&lt;=IFERROR(INDEX(CM_PAGASANTES,MATCH($B197,CM_ID,0)),0),"SIM","NAO"))</f>
        <v/>
      </c>
      <c r="K197" s="36" t="n">
        <f aca="false">IF($A197="",0,SUMIFS(L_Valor,L_ParcID,$A197,L_Status,"REALIZADO"))</f>
        <v>0</v>
      </c>
      <c r="L197" s="38" t="str">
        <f aca="false">IF($A197="","",IFERROR(INDEX(L_Data,MATCH(1,INDEX((L_ParcID=$A197)*(L_Status="REALIZADO"),0),0)),""))</f>
        <v/>
      </c>
      <c r="M197" s="34" t="n">
        <f aca="false">IF($A197="",0,COUNTIFS(L_ParcID,$A197,L_Status,"REALIZADO"))</f>
        <v>0</v>
      </c>
      <c r="N197" s="34" t="n">
        <f aca="false">IF($A197="",0,COUNTIFS(L_ParcID,$A197,L_Status,"PROJETADO"))</f>
        <v>0</v>
      </c>
      <c r="O197" s="35" t="str">
        <f aca="false">IF($A197="","",IF($J197="SIM","PAGA",IF($M197&gt;0,"PAGA",IF($D197&lt;CFG_HOJE,"ATRASADA",IF($D197&lt;=EOMONTH(CFG_HOJE,0),"ABERTA","PROJETADA")))))</f>
        <v/>
      </c>
      <c r="P197" s="34" t="n">
        <f aca="false">IF($O197="ATRASADA",CFG_HOJE-$D197,0)</f>
        <v>0</v>
      </c>
      <c r="Q197" s="36" t="n">
        <f aca="false">IF($A197="",0,IF(AND($O197="PAGA",$J197="NAO"),$K197-$E197,0))</f>
        <v>0</v>
      </c>
    </row>
    <row r="198" customFormat="false" ht="15" hidden="false" customHeight="false" outlineLevel="0" collapsed="false">
      <c r="A198" s="30" t="str">
        <f aca="false">IF($B198="","","PAR-"&amp;TEXT(ROW()-4,"000000"))</f>
        <v/>
      </c>
      <c r="B198" s="32"/>
      <c r="C198" s="37"/>
      <c r="D198" s="31"/>
      <c r="E198" s="33"/>
      <c r="F198" s="32"/>
      <c r="G198" s="35" t="str">
        <f aca="false">IF($B198="","",IFERROR(INDEX(CM_NOME,MATCH($B198,CM_ID,0)),"?"))</f>
        <v/>
      </c>
      <c r="H198" s="34" t="str">
        <f aca="false">IF($B198="","",IFERROR(INDEX(CM_QTD,MATCH($B198,CM_ID,0)),""))</f>
        <v/>
      </c>
      <c r="I198" s="35" t="str">
        <f aca="false">IF($A198="","",$C198&amp;"/"&amp;$H198)</f>
        <v/>
      </c>
      <c r="J198" s="35" t="str">
        <f aca="false">IF($A198="","",IF($C198&lt;=IFERROR(INDEX(CM_PAGASANTES,MATCH($B198,CM_ID,0)),0),"SIM","NAO"))</f>
        <v/>
      </c>
      <c r="K198" s="36" t="n">
        <f aca="false">IF($A198="",0,SUMIFS(L_Valor,L_ParcID,$A198,L_Status,"REALIZADO"))</f>
        <v>0</v>
      </c>
      <c r="L198" s="38" t="str">
        <f aca="false">IF($A198="","",IFERROR(INDEX(L_Data,MATCH(1,INDEX((L_ParcID=$A198)*(L_Status="REALIZADO"),0),0)),""))</f>
        <v/>
      </c>
      <c r="M198" s="34" t="n">
        <f aca="false">IF($A198="",0,COUNTIFS(L_ParcID,$A198,L_Status,"REALIZADO"))</f>
        <v>0</v>
      </c>
      <c r="N198" s="34" t="n">
        <f aca="false">IF($A198="",0,COUNTIFS(L_ParcID,$A198,L_Status,"PROJETADO"))</f>
        <v>0</v>
      </c>
      <c r="O198" s="35" t="str">
        <f aca="false">IF($A198="","",IF($J198="SIM","PAGA",IF($M198&gt;0,"PAGA",IF($D198&lt;CFG_HOJE,"ATRASADA",IF($D198&lt;=EOMONTH(CFG_HOJE,0),"ABERTA","PROJETADA")))))</f>
        <v/>
      </c>
      <c r="P198" s="34" t="n">
        <f aca="false">IF($O198="ATRASADA",CFG_HOJE-$D198,0)</f>
        <v>0</v>
      </c>
      <c r="Q198" s="36" t="n">
        <f aca="false">IF($A198="",0,IF(AND($O198="PAGA",$J198="NAO"),$K198-$E198,0))</f>
        <v>0</v>
      </c>
    </row>
    <row r="199" customFormat="false" ht="15" hidden="false" customHeight="false" outlineLevel="0" collapsed="false">
      <c r="A199" s="30" t="str">
        <f aca="false">IF($B199="","","PAR-"&amp;TEXT(ROW()-4,"000000"))</f>
        <v/>
      </c>
      <c r="B199" s="32"/>
      <c r="C199" s="37"/>
      <c r="D199" s="31"/>
      <c r="E199" s="33"/>
      <c r="F199" s="32"/>
      <c r="G199" s="35" t="str">
        <f aca="false">IF($B199="","",IFERROR(INDEX(CM_NOME,MATCH($B199,CM_ID,0)),"?"))</f>
        <v/>
      </c>
      <c r="H199" s="34" t="str">
        <f aca="false">IF($B199="","",IFERROR(INDEX(CM_QTD,MATCH($B199,CM_ID,0)),""))</f>
        <v/>
      </c>
      <c r="I199" s="35" t="str">
        <f aca="false">IF($A199="","",$C199&amp;"/"&amp;$H199)</f>
        <v/>
      </c>
      <c r="J199" s="35" t="str">
        <f aca="false">IF($A199="","",IF($C199&lt;=IFERROR(INDEX(CM_PAGASANTES,MATCH($B199,CM_ID,0)),0),"SIM","NAO"))</f>
        <v/>
      </c>
      <c r="K199" s="36" t="n">
        <f aca="false">IF($A199="",0,SUMIFS(L_Valor,L_ParcID,$A199,L_Status,"REALIZADO"))</f>
        <v>0</v>
      </c>
      <c r="L199" s="38" t="str">
        <f aca="false">IF($A199="","",IFERROR(INDEX(L_Data,MATCH(1,INDEX((L_ParcID=$A199)*(L_Status="REALIZADO"),0),0)),""))</f>
        <v/>
      </c>
      <c r="M199" s="34" t="n">
        <f aca="false">IF($A199="",0,COUNTIFS(L_ParcID,$A199,L_Status,"REALIZADO"))</f>
        <v>0</v>
      </c>
      <c r="N199" s="34" t="n">
        <f aca="false">IF($A199="",0,COUNTIFS(L_ParcID,$A199,L_Status,"PROJETADO"))</f>
        <v>0</v>
      </c>
      <c r="O199" s="35" t="str">
        <f aca="false">IF($A199="","",IF($J199="SIM","PAGA",IF($M199&gt;0,"PAGA",IF($D199&lt;CFG_HOJE,"ATRASADA",IF($D199&lt;=EOMONTH(CFG_HOJE,0),"ABERTA","PROJETADA")))))</f>
        <v/>
      </c>
      <c r="P199" s="34" t="n">
        <f aca="false">IF($O199="ATRASADA",CFG_HOJE-$D199,0)</f>
        <v>0</v>
      </c>
      <c r="Q199" s="36" t="n">
        <f aca="false">IF($A199="",0,IF(AND($O199="PAGA",$J199="NAO"),$K199-$E199,0))</f>
        <v>0</v>
      </c>
    </row>
    <row r="200" customFormat="false" ht="15" hidden="false" customHeight="false" outlineLevel="0" collapsed="false">
      <c r="A200" s="30" t="str">
        <f aca="false">IF($B200="","","PAR-"&amp;TEXT(ROW()-4,"000000"))</f>
        <v/>
      </c>
      <c r="B200" s="32"/>
      <c r="C200" s="37"/>
      <c r="D200" s="31"/>
      <c r="E200" s="33"/>
      <c r="F200" s="32"/>
      <c r="G200" s="35" t="str">
        <f aca="false">IF($B200="","",IFERROR(INDEX(CM_NOME,MATCH($B200,CM_ID,0)),"?"))</f>
        <v/>
      </c>
      <c r="H200" s="34" t="str">
        <f aca="false">IF($B200="","",IFERROR(INDEX(CM_QTD,MATCH($B200,CM_ID,0)),""))</f>
        <v/>
      </c>
      <c r="I200" s="35" t="str">
        <f aca="false">IF($A200="","",$C200&amp;"/"&amp;$H200)</f>
        <v/>
      </c>
      <c r="J200" s="35" t="str">
        <f aca="false">IF($A200="","",IF($C200&lt;=IFERROR(INDEX(CM_PAGASANTES,MATCH($B200,CM_ID,0)),0),"SIM","NAO"))</f>
        <v/>
      </c>
      <c r="K200" s="36" t="n">
        <f aca="false">IF($A200="",0,SUMIFS(L_Valor,L_ParcID,$A200,L_Status,"REALIZADO"))</f>
        <v>0</v>
      </c>
      <c r="L200" s="38" t="str">
        <f aca="false">IF($A200="","",IFERROR(INDEX(L_Data,MATCH(1,INDEX((L_ParcID=$A200)*(L_Status="REALIZADO"),0),0)),""))</f>
        <v/>
      </c>
      <c r="M200" s="34" t="n">
        <f aca="false">IF($A200="",0,COUNTIFS(L_ParcID,$A200,L_Status,"REALIZADO"))</f>
        <v>0</v>
      </c>
      <c r="N200" s="34" t="n">
        <f aca="false">IF($A200="",0,COUNTIFS(L_ParcID,$A200,L_Status,"PROJETADO"))</f>
        <v>0</v>
      </c>
      <c r="O200" s="35" t="str">
        <f aca="false">IF($A200="","",IF($J200="SIM","PAGA",IF($M200&gt;0,"PAGA",IF($D200&lt;CFG_HOJE,"ATRASADA",IF($D200&lt;=EOMONTH(CFG_HOJE,0),"ABERTA","PROJETADA")))))</f>
        <v/>
      </c>
      <c r="P200" s="34" t="n">
        <f aca="false">IF($O200="ATRASADA",CFG_HOJE-$D200,0)</f>
        <v>0</v>
      </c>
      <c r="Q200" s="36" t="n">
        <f aca="false">IF($A200="",0,IF(AND($O200="PAGA",$J200="NAO"),$K200-$E200,0))</f>
        <v>0</v>
      </c>
    </row>
    <row r="201" customFormat="false" ht="15" hidden="false" customHeight="false" outlineLevel="0" collapsed="false">
      <c r="A201" s="30" t="str">
        <f aca="false">IF($B201="","","PAR-"&amp;TEXT(ROW()-4,"000000"))</f>
        <v/>
      </c>
      <c r="B201" s="32"/>
      <c r="C201" s="37"/>
      <c r="D201" s="31"/>
      <c r="E201" s="33"/>
      <c r="F201" s="32"/>
      <c r="G201" s="35" t="str">
        <f aca="false">IF($B201="","",IFERROR(INDEX(CM_NOME,MATCH($B201,CM_ID,0)),"?"))</f>
        <v/>
      </c>
      <c r="H201" s="34" t="str">
        <f aca="false">IF($B201="","",IFERROR(INDEX(CM_QTD,MATCH($B201,CM_ID,0)),""))</f>
        <v/>
      </c>
      <c r="I201" s="35" t="str">
        <f aca="false">IF($A201="","",$C201&amp;"/"&amp;$H201)</f>
        <v/>
      </c>
      <c r="J201" s="35" t="str">
        <f aca="false">IF($A201="","",IF($C201&lt;=IFERROR(INDEX(CM_PAGASANTES,MATCH($B201,CM_ID,0)),0),"SIM","NAO"))</f>
        <v/>
      </c>
      <c r="K201" s="36" t="n">
        <f aca="false">IF($A201="",0,SUMIFS(L_Valor,L_ParcID,$A201,L_Status,"REALIZADO"))</f>
        <v>0</v>
      </c>
      <c r="L201" s="38" t="str">
        <f aca="false">IF($A201="","",IFERROR(INDEX(L_Data,MATCH(1,INDEX((L_ParcID=$A201)*(L_Status="REALIZADO"),0),0)),""))</f>
        <v/>
      </c>
      <c r="M201" s="34" t="n">
        <f aca="false">IF($A201="",0,COUNTIFS(L_ParcID,$A201,L_Status,"REALIZADO"))</f>
        <v>0</v>
      </c>
      <c r="N201" s="34" t="n">
        <f aca="false">IF($A201="",0,COUNTIFS(L_ParcID,$A201,L_Status,"PROJETADO"))</f>
        <v>0</v>
      </c>
      <c r="O201" s="35" t="str">
        <f aca="false">IF($A201="","",IF($J201="SIM","PAGA",IF($M201&gt;0,"PAGA",IF($D201&lt;CFG_HOJE,"ATRASADA",IF($D201&lt;=EOMONTH(CFG_HOJE,0),"ABERTA","PROJETADA")))))</f>
        <v/>
      </c>
      <c r="P201" s="34" t="n">
        <f aca="false">IF($O201="ATRASADA",CFG_HOJE-$D201,0)</f>
        <v>0</v>
      </c>
      <c r="Q201" s="36" t="n">
        <f aca="false">IF($A201="",0,IF(AND($O201="PAGA",$J201="NAO"),$K201-$E201,0))</f>
        <v>0</v>
      </c>
    </row>
    <row r="202" customFormat="false" ht="15" hidden="false" customHeight="false" outlineLevel="0" collapsed="false">
      <c r="A202" s="30" t="str">
        <f aca="false">IF($B202="","","PAR-"&amp;TEXT(ROW()-4,"000000"))</f>
        <v/>
      </c>
      <c r="B202" s="32"/>
      <c r="C202" s="37"/>
      <c r="D202" s="31"/>
      <c r="E202" s="33"/>
      <c r="F202" s="32"/>
      <c r="G202" s="35" t="str">
        <f aca="false">IF($B202="","",IFERROR(INDEX(CM_NOME,MATCH($B202,CM_ID,0)),"?"))</f>
        <v/>
      </c>
      <c r="H202" s="34" t="str">
        <f aca="false">IF($B202="","",IFERROR(INDEX(CM_QTD,MATCH($B202,CM_ID,0)),""))</f>
        <v/>
      </c>
      <c r="I202" s="35" t="str">
        <f aca="false">IF($A202="","",$C202&amp;"/"&amp;$H202)</f>
        <v/>
      </c>
      <c r="J202" s="35" t="str">
        <f aca="false">IF($A202="","",IF($C202&lt;=IFERROR(INDEX(CM_PAGASANTES,MATCH($B202,CM_ID,0)),0),"SIM","NAO"))</f>
        <v/>
      </c>
      <c r="K202" s="36" t="n">
        <f aca="false">IF($A202="",0,SUMIFS(L_Valor,L_ParcID,$A202,L_Status,"REALIZADO"))</f>
        <v>0</v>
      </c>
      <c r="L202" s="38" t="str">
        <f aca="false">IF($A202="","",IFERROR(INDEX(L_Data,MATCH(1,INDEX((L_ParcID=$A202)*(L_Status="REALIZADO"),0),0)),""))</f>
        <v/>
      </c>
      <c r="M202" s="34" t="n">
        <f aca="false">IF($A202="",0,COUNTIFS(L_ParcID,$A202,L_Status,"REALIZADO"))</f>
        <v>0</v>
      </c>
      <c r="N202" s="34" t="n">
        <f aca="false">IF($A202="",0,COUNTIFS(L_ParcID,$A202,L_Status,"PROJETADO"))</f>
        <v>0</v>
      </c>
      <c r="O202" s="35" t="str">
        <f aca="false">IF($A202="","",IF($J202="SIM","PAGA",IF($M202&gt;0,"PAGA",IF($D202&lt;CFG_HOJE,"ATRASADA",IF($D202&lt;=EOMONTH(CFG_HOJE,0),"ABERTA","PROJETADA")))))</f>
        <v/>
      </c>
      <c r="P202" s="34" t="n">
        <f aca="false">IF($O202="ATRASADA",CFG_HOJE-$D202,0)</f>
        <v>0</v>
      </c>
      <c r="Q202" s="36" t="n">
        <f aca="false">IF($A202="",0,IF(AND($O202="PAGA",$J202="NAO"),$K202-$E202,0))</f>
        <v>0</v>
      </c>
    </row>
    <row r="203" customFormat="false" ht="15" hidden="false" customHeight="false" outlineLevel="0" collapsed="false">
      <c r="A203" s="30" t="str">
        <f aca="false">IF($B203="","","PAR-"&amp;TEXT(ROW()-4,"000000"))</f>
        <v/>
      </c>
      <c r="B203" s="32"/>
      <c r="C203" s="37"/>
      <c r="D203" s="31"/>
      <c r="E203" s="33"/>
      <c r="F203" s="32"/>
      <c r="G203" s="35" t="str">
        <f aca="false">IF($B203="","",IFERROR(INDEX(CM_NOME,MATCH($B203,CM_ID,0)),"?"))</f>
        <v/>
      </c>
      <c r="H203" s="34" t="str">
        <f aca="false">IF($B203="","",IFERROR(INDEX(CM_QTD,MATCH($B203,CM_ID,0)),""))</f>
        <v/>
      </c>
      <c r="I203" s="35" t="str">
        <f aca="false">IF($A203="","",$C203&amp;"/"&amp;$H203)</f>
        <v/>
      </c>
      <c r="J203" s="35" t="str">
        <f aca="false">IF($A203="","",IF($C203&lt;=IFERROR(INDEX(CM_PAGASANTES,MATCH($B203,CM_ID,0)),0),"SIM","NAO"))</f>
        <v/>
      </c>
      <c r="K203" s="36" t="n">
        <f aca="false">IF($A203="",0,SUMIFS(L_Valor,L_ParcID,$A203,L_Status,"REALIZADO"))</f>
        <v>0</v>
      </c>
      <c r="L203" s="38" t="str">
        <f aca="false">IF($A203="","",IFERROR(INDEX(L_Data,MATCH(1,INDEX((L_ParcID=$A203)*(L_Status="REALIZADO"),0),0)),""))</f>
        <v/>
      </c>
      <c r="M203" s="34" t="n">
        <f aca="false">IF($A203="",0,COUNTIFS(L_ParcID,$A203,L_Status,"REALIZADO"))</f>
        <v>0</v>
      </c>
      <c r="N203" s="34" t="n">
        <f aca="false">IF($A203="",0,COUNTIFS(L_ParcID,$A203,L_Status,"PROJETADO"))</f>
        <v>0</v>
      </c>
      <c r="O203" s="35" t="str">
        <f aca="false">IF($A203="","",IF($J203="SIM","PAGA",IF($M203&gt;0,"PAGA",IF($D203&lt;CFG_HOJE,"ATRASADA",IF($D203&lt;=EOMONTH(CFG_HOJE,0),"ABERTA","PROJETADA")))))</f>
        <v/>
      </c>
      <c r="P203" s="34" t="n">
        <f aca="false">IF($O203="ATRASADA",CFG_HOJE-$D203,0)</f>
        <v>0</v>
      </c>
      <c r="Q203" s="36" t="n">
        <f aca="false">IF($A203="",0,IF(AND($O203="PAGA",$J203="NAO"),$K203-$E203,0))</f>
        <v>0</v>
      </c>
    </row>
    <row r="204" customFormat="false" ht="15" hidden="false" customHeight="false" outlineLevel="0" collapsed="false">
      <c r="A204" s="30" t="str">
        <f aca="false">IF($B204="","","PAR-"&amp;TEXT(ROW()-4,"000000"))</f>
        <v/>
      </c>
      <c r="B204" s="32"/>
      <c r="C204" s="37"/>
      <c r="D204" s="31"/>
      <c r="E204" s="33"/>
      <c r="F204" s="32"/>
      <c r="G204" s="35" t="str">
        <f aca="false">IF($B204="","",IFERROR(INDEX(CM_NOME,MATCH($B204,CM_ID,0)),"?"))</f>
        <v/>
      </c>
      <c r="H204" s="34" t="str">
        <f aca="false">IF($B204="","",IFERROR(INDEX(CM_QTD,MATCH($B204,CM_ID,0)),""))</f>
        <v/>
      </c>
      <c r="I204" s="35" t="str">
        <f aca="false">IF($A204="","",$C204&amp;"/"&amp;$H204)</f>
        <v/>
      </c>
      <c r="J204" s="35" t="str">
        <f aca="false">IF($A204="","",IF($C204&lt;=IFERROR(INDEX(CM_PAGASANTES,MATCH($B204,CM_ID,0)),0),"SIM","NAO"))</f>
        <v/>
      </c>
      <c r="K204" s="36" t="n">
        <f aca="false">IF($A204="",0,SUMIFS(L_Valor,L_ParcID,$A204,L_Status,"REALIZADO"))</f>
        <v>0</v>
      </c>
      <c r="L204" s="38" t="str">
        <f aca="false">IF($A204="","",IFERROR(INDEX(L_Data,MATCH(1,INDEX((L_ParcID=$A204)*(L_Status="REALIZADO"),0),0)),""))</f>
        <v/>
      </c>
      <c r="M204" s="34" t="n">
        <f aca="false">IF($A204="",0,COUNTIFS(L_ParcID,$A204,L_Status,"REALIZADO"))</f>
        <v>0</v>
      </c>
      <c r="N204" s="34" t="n">
        <f aca="false">IF($A204="",0,COUNTIFS(L_ParcID,$A204,L_Status,"PROJETADO"))</f>
        <v>0</v>
      </c>
      <c r="O204" s="35" t="str">
        <f aca="false">IF($A204="","",IF($J204="SIM","PAGA",IF($M204&gt;0,"PAGA",IF($D204&lt;CFG_HOJE,"ATRASADA",IF($D204&lt;=EOMONTH(CFG_HOJE,0),"ABERTA","PROJETADA")))))</f>
        <v/>
      </c>
      <c r="P204" s="34" t="n">
        <f aca="false">IF($O204="ATRASADA",CFG_HOJE-$D204,0)</f>
        <v>0</v>
      </c>
      <c r="Q204" s="36" t="n">
        <f aca="false">IF($A204="",0,IF(AND($O204="PAGA",$J204="NAO"),$K204-$E204,0))</f>
        <v>0</v>
      </c>
    </row>
    <row r="205" customFormat="false" ht="15" hidden="false" customHeight="false" outlineLevel="0" collapsed="false">
      <c r="A205" s="30" t="str">
        <f aca="false">IF($B205="","","PAR-"&amp;TEXT(ROW()-4,"000000"))</f>
        <v/>
      </c>
      <c r="B205" s="32"/>
      <c r="C205" s="37"/>
      <c r="D205" s="31"/>
      <c r="E205" s="33"/>
      <c r="F205" s="32"/>
      <c r="G205" s="35" t="str">
        <f aca="false">IF($B205="","",IFERROR(INDEX(CM_NOME,MATCH($B205,CM_ID,0)),"?"))</f>
        <v/>
      </c>
      <c r="H205" s="34" t="str">
        <f aca="false">IF($B205="","",IFERROR(INDEX(CM_QTD,MATCH($B205,CM_ID,0)),""))</f>
        <v/>
      </c>
      <c r="I205" s="35" t="str">
        <f aca="false">IF($A205="","",$C205&amp;"/"&amp;$H205)</f>
        <v/>
      </c>
      <c r="J205" s="35" t="str">
        <f aca="false">IF($A205="","",IF($C205&lt;=IFERROR(INDEX(CM_PAGASANTES,MATCH($B205,CM_ID,0)),0),"SIM","NAO"))</f>
        <v/>
      </c>
      <c r="K205" s="36" t="n">
        <f aca="false">IF($A205="",0,SUMIFS(L_Valor,L_ParcID,$A205,L_Status,"REALIZADO"))</f>
        <v>0</v>
      </c>
      <c r="L205" s="38" t="str">
        <f aca="false">IF($A205="","",IFERROR(INDEX(L_Data,MATCH(1,INDEX((L_ParcID=$A205)*(L_Status="REALIZADO"),0),0)),""))</f>
        <v/>
      </c>
      <c r="M205" s="34" t="n">
        <f aca="false">IF($A205="",0,COUNTIFS(L_ParcID,$A205,L_Status,"REALIZADO"))</f>
        <v>0</v>
      </c>
      <c r="N205" s="34" t="n">
        <f aca="false">IF($A205="",0,COUNTIFS(L_ParcID,$A205,L_Status,"PROJETADO"))</f>
        <v>0</v>
      </c>
      <c r="O205" s="35" t="str">
        <f aca="false">IF($A205="","",IF($J205="SIM","PAGA",IF($M205&gt;0,"PAGA",IF($D205&lt;CFG_HOJE,"ATRASADA",IF($D205&lt;=EOMONTH(CFG_HOJE,0),"ABERTA","PROJETADA")))))</f>
        <v/>
      </c>
      <c r="P205" s="34" t="n">
        <f aca="false">IF($O205="ATRASADA",CFG_HOJE-$D205,0)</f>
        <v>0</v>
      </c>
      <c r="Q205" s="36" t="n">
        <f aca="false">IF($A205="",0,IF(AND($O205="PAGA",$J205="NAO"),$K205-$E205,0))</f>
        <v>0</v>
      </c>
    </row>
    <row r="206" customFormat="false" ht="15" hidden="false" customHeight="false" outlineLevel="0" collapsed="false">
      <c r="A206" s="30" t="str">
        <f aca="false">IF($B206="","","PAR-"&amp;TEXT(ROW()-4,"000000"))</f>
        <v/>
      </c>
      <c r="B206" s="32"/>
      <c r="C206" s="37"/>
      <c r="D206" s="31"/>
      <c r="E206" s="33"/>
      <c r="F206" s="32"/>
      <c r="G206" s="35" t="str">
        <f aca="false">IF($B206="","",IFERROR(INDEX(CM_NOME,MATCH($B206,CM_ID,0)),"?"))</f>
        <v/>
      </c>
      <c r="H206" s="34" t="str">
        <f aca="false">IF($B206="","",IFERROR(INDEX(CM_QTD,MATCH($B206,CM_ID,0)),""))</f>
        <v/>
      </c>
      <c r="I206" s="35" t="str">
        <f aca="false">IF($A206="","",$C206&amp;"/"&amp;$H206)</f>
        <v/>
      </c>
      <c r="J206" s="35" t="str">
        <f aca="false">IF($A206="","",IF($C206&lt;=IFERROR(INDEX(CM_PAGASANTES,MATCH($B206,CM_ID,0)),0),"SIM","NAO"))</f>
        <v/>
      </c>
      <c r="K206" s="36" t="n">
        <f aca="false">IF($A206="",0,SUMIFS(L_Valor,L_ParcID,$A206,L_Status,"REALIZADO"))</f>
        <v>0</v>
      </c>
      <c r="L206" s="38" t="str">
        <f aca="false">IF($A206="","",IFERROR(INDEX(L_Data,MATCH(1,INDEX((L_ParcID=$A206)*(L_Status="REALIZADO"),0),0)),""))</f>
        <v/>
      </c>
      <c r="M206" s="34" t="n">
        <f aca="false">IF($A206="",0,COUNTIFS(L_ParcID,$A206,L_Status,"REALIZADO"))</f>
        <v>0</v>
      </c>
      <c r="N206" s="34" t="n">
        <f aca="false">IF($A206="",0,COUNTIFS(L_ParcID,$A206,L_Status,"PROJETADO"))</f>
        <v>0</v>
      </c>
      <c r="O206" s="35" t="str">
        <f aca="false">IF($A206="","",IF($J206="SIM","PAGA",IF($M206&gt;0,"PAGA",IF($D206&lt;CFG_HOJE,"ATRASADA",IF($D206&lt;=EOMONTH(CFG_HOJE,0),"ABERTA","PROJETADA")))))</f>
        <v/>
      </c>
      <c r="P206" s="34" t="n">
        <f aca="false">IF($O206="ATRASADA",CFG_HOJE-$D206,0)</f>
        <v>0</v>
      </c>
      <c r="Q206" s="36" t="n">
        <f aca="false">IF($A206="",0,IF(AND($O206="PAGA",$J206="NAO"),$K206-$E206,0))</f>
        <v>0</v>
      </c>
    </row>
    <row r="207" customFormat="false" ht="15" hidden="false" customHeight="false" outlineLevel="0" collapsed="false">
      <c r="A207" s="30" t="str">
        <f aca="false">IF($B207="","","PAR-"&amp;TEXT(ROW()-4,"000000"))</f>
        <v/>
      </c>
      <c r="B207" s="32"/>
      <c r="C207" s="37"/>
      <c r="D207" s="31"/>
      <c r="E207" s="33"/>
      <c r="F207" s="32"/>
      <c r="G207" s="35" t="str">
        <f aca="false">IF($B207="","",IFERROR(INDEX(CM_NOME,MATCH($B207,CM_ID,0)),"?"))</f>
        <v/>
      </c>
      <c r="H207" s="34" t="str">
        <f aca="false">IF($B207="","",IFERROR(INDEX(CM_QTD,MATCH($B207,CM_ID,0)),""))</f>
        <v/>
      </c>
      <c r="I207" s="35" t="str">
        <f aca="false">IF($A207="","",$C207&amp;"/"&amp;$H207)</f>
        <v/>
      </c>
      <c r="J207" s="35" t="str">
        <f aca="false">IF($A207="","",IF($C207&lt;=IFERROR(INDEX(CM_PAGASANTES,MATCH($B207,CM_ID,0)),0),"SIM","NAO"))</f>
        <v/>
      </c>
      <c r="K207" s="36" t="n">
        <f aca="false">IF($A207="",0,SUMIFS(L_Valor,L_ParcID,$A207,L_Status,"REALIZADO"))</f>
        <v>0</v>
      </c>
      <c r="L207" s="38" t="str">
        <f aca="false">IF($A207="","",IFERROR(INDEX(L_Data,MATCH(1,INDEX((L_ParcID=$A207)*(L_Status="REALIZADO"),0),0)),""))</f>
        <v/>
      </c>
      <c r="M207" s="34" t="n">
        <f aca="false">IF($A207="",0,COUNTIFS(L_ParcID,$A207,L_Status,"REALIZADO"))</f>
        <v>0</v>
      </c>
      <c r="N207" s="34" t="n">
        <f aca="false">IF($A207="",0,COUNTIFS(L_ParcID,$A207,L_Status,"PROJETADO"))</f>
        <v>0</v>
      </c>
      <c r="O207" s="35" t="str">
        <f aca="false">IF($A207="","",IF($J207="SIM","PAGA",IF($M207&gt;0,"PAGA",IF($D207&lt;CFG_HOJE,"ATRASADA",IF($D207&lt;=EOMONTH(CFG_HOJE,0),"ABERTA","PROJETADA")))))</f>
        <v/>
      </c>
      <c r="P207" s="34" t="n">
        <f aca="false">IF($O207="ATRASADA",CFG_HOJE-$D207,0)</f>
        <v>0</v>
      </c>
      <c r="Q207" s="36" t="n">
        <f aca="false">IF($A207="",0,IF(AND($O207="PAGA",$J207="NAO"),$K207-$E207,0))</f>
        <v>0</v>
      </c>
    </row>
    <row r="208" customFormat="false" ht="15" hidden="false" customHeight="false" outlineLevel="0" collapsed="false">
      <c r="A208" s="30" t="str">
        <f aca="false">IF($B208="","","PAR-"&amp;TEXT(ROW()-4,"000000"))</f>
        <v/>
      </c>
      <c r="B208" s="32"/>
      <c r="C208" s="37"/>
      <c r="D208" s="31"/>
      <c r="E208" s="33"/>
      <c r="F208" s="32"/>
      <c r="G208" s="35" t="str">
        <f aca="false">IF($B208="","",IFERROR(INDEX(CM_NOME,MATCH($B208,CM_ID,0)),"?"))</f>
        <v/>
      </c>
      <c r="H208" s="34" t="str">
        <f aca="false">IF($B208="","",IFERROR(INDEX(CM_QTD,MATCH($B208,CM_ID,0)),""))</f>
        <v/>
      </c>
      <c r="I208" s="35" t="str">
        <f aca="false">IF($A208="","",$C208&amp;"/"&amp;$H208)</f>
        <v/>
      </c>
      <c r="J208" s="35" t="str">
        <f aca="false">IF($A208="","",IF($C208&lt;=IFERROR(INDEX(CM_PAGASANTES,MATCH($B208,CM_ID,0)),0),"SIM","NAO"))</f>
        <v/>
      </c>
      <c r="K208" s="36" t="n">
        <f aca="false">IF($A208="",0,SUMIFS(L_Valor,L_ParcID,$A208,L_Status,"REALIZADO"))</f>
        <v>0</v>
      </c>
      <c r="L208" s="38" t="str">
        <f aca="false">IF($A208="","",IFERROR(INDEX(L_Data,MATCH(1,INDEX((L_ParcID=$A208)*(L_Status="REALIZADO"),0),0)),""))</f>
        <v/>
      </c>
      <c r="M208" s="34" t="n">
        <f aca="false">IF($A208="",0,COUNTIFS(L_ParcID,$A208,L_Status,"REALIZADO"))</f>
        <v>0</v>
      </c>
      <c r="N208" s="34" t="n">
        <f aca="false">IF($A208="",0,COUNTIFS(L_ParcID,$A208,L_Status,"PROJETADO"))</f>
        <v>0</v>
      </c>
      <c r="O208" s="35" t="str">
        <f aca="false">IF($A208="","",IF($J208="SIM","PAGA",IF($M208&gt;0,"PAGA",IF($D208&lt;CFG_HOJE,"ATRASADA",IF($D208&lt;=EOMONTH(CFG_HOJE,0),"ABERTA","PROJETADA")))))</f>
        <v/>
      </c>
      <c r="P208" s="34" t="n">
        <f aca="false">IF($O208="ATRASADA",CFG_HOJE-$D208,0)</f>
        <v>0</v>
      </c>
      <c r="Q208" s="36" t="n">
        <f aca="false">IF($A208="",0,IF(AND($O208="PAGA",$J208="NAO"),$K208-$E208,0))</f>
        <v>0</v>
      </c>
    </row>
    <row r="209" customFormat="false" ht="15" hidden="false" customHeight="false" outlineLevel="0" collapsed="false">
      <c r="A209" s="30" t="str">
        <f aca="false">IF($B209="","","PAR-"&amp;TEXT(ROW()-4,"000000"))</f>
        <v/>
      </c>
      <c r="B209" s="32"/>
      <c r="C209" s="37"/>
      <c r="D209" s="31"/>
      <c r="E209" s="33"/>
      <c r="F209" s="32"/>
      <c r="G209" s="35" t="str">
        <f aca="false">IF($B209="","",IFERROR(INDEX(CM_NOME,MATCH($B209,CM_ID,0)),"?"))</f>
        <v/>
      </c>
      <c r="H209" s="34" t="str">
        <f aca="false">IF($B209="","",IFERROR(INDEX(CM_QTD,MATCH($B209,CM_ID,0)),""))</f>
        <v/>
      </c>
      <c r="I209" s="35" t="str">
        <f aca="false">IF($A209="","",$C209&amp;"/"&amp;$H209)</f>
        <v/>
      </c>
      <c r="J209" s="35" t="str">
        <f aca="false">IF($A209="","",IF($C209&lt;=IFERROR(INDEX(CM_PAGASANTES,MATCH($B209,CM_ID,0)),0),"SIM","NAO"))</f>
        <v/>
      </c>
      <c r="K209" s="36" t="n">
        <f aca="false">IF($A209="",0,SUMIFS(L_Valor,L_ParcID,$A209,L_Status,"REALIZADO"))</f>
        <v>0</v>
      </c>
      <c r="L209" s="38" t="str">
        <f aca="false">IF($A209="","",IFERROR(INDEX(L_Data,MATCH(1,INDEX((L_ParcID=$A209)*(L_Status="REALIZADO"),0),0)),""))</f>
        <v/>
      </c>
      <c r="M209" s="34" t="n">
        <f aca="false">IF($A209="",0,COUNTIFS(L_ParcID,$A209,L_Status,"REALIZADO"))</f>
        <v>0</v>
      </c>
      <c r="N209" s="34" t="n">
        <f aca="false">IF($A209="",0,COUNTIFS(L_ParcID,$A209,L_Status,"PROJETADO"))</f>
        <v>0</v>
      </c>
      <c r="O209" s="35" t="str">
        <f aca="false">IF($A209="","",IF($J209="SIM","PAGA",IF($M209&gt;0,"PAGA",IF($D209&lt;CFG_HOJE,"ATRASADA",IF($D209&lt;=EOMONTH(CFG_HOJE,0),"ABERTA","PROJETADA")))))</f>
        <v/>
      </c>
      <c r="P209" s="34" t="n">
        <f aca="false">IF($O209="ATRASADA",CFG_HOJE-$D209,0)</f>
        <v>0</v>
      </c>
      <c r="Q209" s="36" t="n">
        <f aca="false">IF($A209="",0,IF(AND($O209="PAGA",$J209="NAO"),$K209-$E209,0))</f>
        <v>0</v>
      </c>
    </row>
    <row r="210" customFormat="false" ht="15" hidden="false" customHeight="false" outlineLevel="0" collapsed="false">
      <c r="A210" s="30" t="str">
        <f aca="false">IF($B210="","","PAR-"&amp;TEXT(ROW()-4,"000000"))</f>
        <v/>
      </c>
      <c r="B210" s="32"/>
      <c r="C210" s="37"/>
      <c r="D210" s="31"/>
      <c r="E210" s="33"/>
      <c r="F210" s="32"/>
      <c r="G210" s="35" t="str">
        <f aca="false">IF($B210="","",IFERROR(INDEX(CM_NOME,MATCH($B210,CM_ID,0)),"?"))</f>
        <v/>
      </c>
      <c r="H210" s="34" t="str">
        <f aca="false">IF($B210="","",IFERROR(INDEX(CM_QTD,MATCH($B210,CM_ID,0)),""))</f>
        <v/>
      </c>
      <c r="I210" s="35" t="str">
        <f aca="false">IF($A210="","",$C210&amp;"/"&amp;$H210)</f>
        <v/>
      </c>
      <c r="J210" s="35" t="str">
        <f aca="false">IF($A210="","",IF($C210&lt;=IFERROR(INDEX(CM_PAGASANTES,MATCH($B210,CM_ID,0)),0),"SIM","NAO"))</f>
        <v/>
      </c>
      <c r="K210" s="36" t="n">
        <f aca="false">IF($A210="",0,SUMIFS(L_Valor,L_ParcID,$A210,L_Status,"REALIZADO"))</f>
        <v>0</v>
      </c>
      <c r="L210" s="38" t="str">
        <f aca="false">IF($A210="","",IFERROR(INDEX(L_Data,MATCH(1,INDEX((L_ParcID=$A210)*(L_Status="REALIZADO"),0),0)),""))</f>
        <v/>
      </c>
      <c r="M210" s="34" t="n">
        <f aca="false">IF($A210="",0,COUNTIFS(L_ParcID,$A210,L_Status,"REALIZADO"))</f>
        <v>0</v>
      </c>
      <c r="N210" s="34" t="n">
        <f aca="false">IF($A210="",0,COUNTIFS(L_ParcID,$A210,L_Status,"PROJETADO"))</f>
        <v>0</v>
      </c>
      <c r="O210" s="35" t="str">
        <f aca="false">IF($A210="","",IF($J210="SIM","PAGA",IF($M210&gt;0,"PAGA",IF($D210&lt;CFG_HOJE,"ATRASADA",IF($D210&lt;=EOMONTH(CFG_HOJE,0),"ABERTA","PROJETADA")))))</f>
        <v/>
      </c>
      <c r="P210" s="34" t="n">
        <f aca="false">IF($O210="ATRASADA",CFG_HOJE-$D210,0)</f>
        <v>0</v>
      </c>
      <c r="Q210" s="36" t="n">
        <f aca="false">IF($A210="",0,IF(AND($O210="PAGA",$J210="NAO"),$K210-$E210,0))</f>
        <v>0</v>
      </c>
    </row>
    <row r="211" customFormat="false" ht="15" hidden="false" customHeight="false" outlineLevel="0" collapsed="false">
      <c r="A211" s="30" t="str">
        <f aca="false">IF($B211="","","PAR-"&amp;TEXT(ROW()-4,"000000"))</f>
        <v/>
      </c>
      <c r="B211" s="32"/>
      <c r="C211" s="37"/>
      <c r="D211" s="31"/>
      <c r="E211" s="33"/>
      <c r="F211" s="32"/>
      <c r="G211" s="35" t="str">
        <f aca="false">IF($B211="","",IFERROR(INDEX(CM_NOME,MATCH($B211,CM_ID,0)),"?"))</f>
        <v/>
      </c>
      <c r="H211" s="34" t="str">
        <f aca="false">IF($B211="","",IFERROR(INDEX(CM_QTD,MATCH($B211,CM_ID,0)),""))</f>
        <v/>
      </c>
      <c r="I211" s="35" t="str">
        <f aca="false">IF($A211="","",$C211&amp;"/"&amp;$H211)</f>
        <v/>
      </c>
      <c r="J211" s="35" t="str">
        <f aca="false">IF($A211="","",IF($C211&lt;=IFERROR(INDEX(CM_PAGASANTES,MATCH($B211,CM_ID,0)),0),"SIM","NAO"))</f>
        <v/>
      </c>
      <c r="K211" s="36" t="n">
        <f aca="false">IF($A211="",0,SUMIFS(L_Valor,L_ParcID,$A211,L_Status,"REALIZADO"))</f>
        <v>0</v>
      </c>
      <c r="L211" s="38" t="str">
        <f aca="false">IF($A211="","",IFERROR(INDEX(L_Data,MATCH(1,INDEX((L_ParcID=$A211)*(L_Status="REALIZADO"),0),0)),""))</f>
        <v/>
      </c>
      <c r="M211" s="34" t="n">
        <f aca="false">IF($A211="",0,COUNTIFS(L_ParcID,$A211,L_Status,"REALIZADO"))</f>
        <v>0</v>
      </c>
      <c r="N211" s="34" t="n">
        <f aca="false">IF($A211="",0,COUNTIFS(L_ParcID,$A211,L_Status,"PROJETADO"))</f>
        <v>0</v>
      </c>
      <c r="O211" s="35" t="str">
        <f aca="false">IF($A211="","",IF($J211="SIM","PAGA",IF($M211&gt;0,"PAGA",IF($D211&lt;CFG_HOJE,"ATRASADA",IF($D211&lt;=EOMONTH(CFG_HOJE,0),"ABERTA","PROJETADA")))))</f>
        <v/>
      </c>
      <c r="P211" s="34" t="n">
        <f aca="false">IF($O211="ATRASADA",CFG_HOJE-$D211,0)</f>
        <v>0</v>
      </c>
      <c r="Q211" s="36" t="n">
        <f aca="false">IF($A211="",0,IF(AND($O211="PAGA",$J211="NAO"),$K211-$E211,0))</f>
        <v>0</v>
      </c>
    </row>
    <row r="212" customFormat="false" ht="15" hidden="false" customHeight="false" outlineLevel="0" collapsed="false">
      <c r="A212" s="30" t="str">
        <f aca="false">IF($B212="","","PAR-"&amp;TEXT(ROW()-4,"000000"))</f>
        <v/>
      </c>
      <c r="B212" s="32"/>
      <c r="C212" s="37"/>
      <c r="D212" s="31"/>
      <c r="E212" s="33"/>
      <c r="F212" s="32"/>
      <c r="G212" s="35" t="str">
        <f aca="false">IF($B212="","",IFERROR(INDEX(CM_NOME,MATCH($B212,CM_ID,0)),"?"))</f>
        <v/>
      </c>
      <c r="H212" s="34" t="str">
        <f aca="false">IF($B212="","",IFERROR(INDEX(CM_QTD,MATCH($B212,CM_ID,0)),""))</f>
        <v/>
      </c>
      <c r="I212" s="35" t="str">
        <f aca="false">IF($A212="","",$C212&amp;"/"&amp;$H212)</f>
        <v/>
      </c>
      <c r="J212" s="35" t="str">
        <f aca="false">IF($A212="","",IF($C212&lt;=IFERROR(INDEX(CM_PAGASANTES,MATCH($B212,CM_ID,0)),0),"SIM","NAO"))</f>
        <v/>
      </c>
      <c r="K212" s="36" t="n">
        <f aca="false">IF($A212="",0,SUMIFS(L_Valor,L_ParcID,$A212,L_Status,"REALIZADO"))</f>
        <v>0</v>
      </c>
      <c r="L212" s="38" t="str">
        <f aca="false">IF($A212="","",IFERROR(INDEX(L_Data,MATCH(1,INDEX((L_ParcID=$A212)*(L_Status="REALIZADO"),0),0)),""))</f>
        <v/>
      </c>
      <c r="M212" s="34" t="n">
        <f aca="false">IF($A212="",0,COUNTIFS(L_ParcID,$A212,L_Status,"REALIZADO"))</f>
        <v>0</v>
      </c>
      <c r="N212" s="34" t="n">
        <f aca="false">IF($A212="",0,COUNTIFS(L_ParcID,$A212,L_Status,"PROJETADO"))</f>
        <v>0</v>
      </c>
      <c r="O212" s="35" t="str">
        <f aca="false">IF($A212="","",IF($J212="SIM","PAGA",IF($M212&gt;0,"PAGA",IF($D212&lt;CFG_HOJE,"ATRASADA",IF($D212&lt;=EOMONTH(CFG_HOJE,0),"ABERTA","PROJETADA")))))</f>
        <v/>
      </c>
      <c r="P212" s="34" t="n">
        <f aca="false">IF($O212="ATRASADA",CFG_HOJE-$D212,0)</f>
        <v>0</v>
      </c>
      <c r="Q212" s="36" t="n">
        <f aca="false">IF($A212="",0,IF(AND($O212="PAGA",$J212="NAO"),$K212-$E212,0))</f>
        <v>0</v>
      </c>
    </row>
    <row r="213" customFormat="false" ht="15" hidden="false" customHeight="false" outlineLevel="0" collapsed="false">
      <c r="A213" s="30" t="str">
        <f aca="false">IF($B213="","","PAR-"&amp;TEXT(ROW()-4,"000000"))</f>
        <v/>
      </c>
      <c r="B213" s="32"/>
      <c r="C213" s="37"/>
      <c r="D213" s="31"/>
      <c r="E213" s="33"/>
      <c r="F213" s="32"/>
      <c r="G213" s="35" t="str">
        <f aca="false">IF($B213="","",IFERROR(INDEX(CM_NOME,MATCH($B213,CM_ID,0)),"?"))</f>
        <v/>
      </c>
      <c r="H213" s="34" t="str">
        <f aca="false">IF($B213="","",IFERROR(INDEX(CM_QTD,MATCH($B213,CM_ID,0)),""))</f>
        <v/>
      </c>
      <c r="I213" s="35" t="str">
        <f aca="false">IF($A213="","",$C213&amp;"/"&amp;$H213)</f>
        <v/>
      </c>
      <c r="J213" s="35" t="str">
        <f aca="false">IF($A213="","",IF($C213&lt;=IFERROR(INDEX(CM_PAGASANTES,MATCH($B213,CM_ID,0)),0),"SIM","NAO"))</f>
        <v/>
      </c>
      <c r="K213" s="36" t="n">
        <f aca="false">IF($A213="",0,SUMIFS(L_Valor,L_ParcID,$A213,L_Status,"REALIZADO"))</f>
        <v>0</v>
      </c>
      <c r="L213" s="38" t="str">
        <f aca="false">IF($A213="","",IFERROR(INDEX(L_Data,MATCH(1,INDEX((L_ParcID=$A213)*(L_Status="REALIZADO"),0),0)),""))</f>
        <v/>
      </c>
      <c r="M213" s="34" t="n">
        <f aca="false">IF($A213="",0,COUNTIFS(L_ParcID,$A213,L_Status,"REALIZADO"))</f>
        <v>0</v>
      </c>
      <c r="N213" s="34" t="n">
        <f aca="false">IF($A213="",0,COUNTIFS(L_ParcID,$A213,L_Status,"PROJETADO"))</f>
        <v>0</v>
      </c>
      <c r="O213" s="35" t="str">
        <f aca="false">IF($A213="","",IF($J213="SIM","PAGA",IF($M213&gt;0,"PAGA",IF($D213&lt;CFG_HOJE,"ATRASADA",IF($D213&lt;=EOMONTH(CFG_HOJE,0),"ABERTA","PROJETADA")))))</f>
        <v/>
      </c>
      <c r="P213" s="34" t="n">
        <f aca="false">IF($O213="ATRASADA",CFG_HOJE-$D213,0)</f>
        <v>0</v>
      </c>
      <c r="Q213" s="36" t="n">
        <f aca="false">IF($A213="",0,IF(AND($O213="PAGA",$J213="NAO"),$K213-$E213,0))</f>
        <v>0</v>
      </c>
    </row>
    <row r="214" customFormat="false" ht="15" hidden="false" customHeight="false" outlineLevel="0" collapsed="false">
      <c r="A214" s="30" t="str">
        <f aca="false">IF($B214="","","PAR-"&amp;TEXT(ROW()-4,"000000"))</f>
        <v/>
      </c>
      <c r="B214" s="32"/>
      <c r="C214" s="37"/>
      <c r="D214" s="31"/>
      <c r="E214" s="33"/>
      <c r="F214" s="32"/>
      <c r="G214" s="35" t="str">
        <f aca="false">IF($B214="","",IFERROR(INDEX(CM_NOME,MATCH($B214,CM_ID,0)),"?"))</f>
        <v/>
      </c>
      <c r="H214" s="34" t="str">
        <f aca="false">IF($B214="","",IFERROR(INDEX(CM_QTD,MATCH($B214,CM_ID,0)),""))</f>
        <v/>
      </c>
      <c r="I214" s="35" t="str">
        <f aca="false">IF($A214="","",$C214&amp;"/"&amp;$H214)</f>
        <v/>
      </c>
      <c r="J214" s="35" t="str">
        <f aca="false">IF($A214="","",IF($C214&lt;=IFERROR(INDEX(CM_PAGASANTES,MATCH($B214,CM_ID,0)),0),"SIM","NAO"))</f>
        <v/>
      </c>
      <c r="K214" s="36" t="n">
        <f aca="false">IF($A214="",0,SUMIFS(L_Valor,L_ParcID,$A214,L_Status,"REALIZADO"))</f>
        <v>0</v>
      </c>
      <c r="L214" s="38" t="str">
        <f aca="false">IF($A214="","",IFERROR(INDEX(L_Data,MATCH(1,INDEX((L_ParcID=$A214)*(L_Status="REALIZADO"),0),0)),""))</f>
        <v/>
      </c>
      <c r="M214" s="34" t="n">
        <f aca="false">IF($A214="",0,COUNTIFS(L_ParcID,$A214,L_Status,"REALIZADO"))</f>
        <v>0</v>
      </c>
      <c r="N214" s="34" t="n">
        <f aca="false">IF($A214="",0,COUNTIFS(L_ParcID,$A214,L_Status,"PROJETADO"))</f>
        <v>0</v>
      </c>
      <c r="O214" s="35" t="str">
        <f aca="false">IF($A214="","",IF($J214="SIM","PAGA",IF($M214&gt;0,"PAGA",IF($D214&lt;CFG_HOJE,"ATRASADA",IF($D214&lt;=EOMONTH(CFG_HOJE,0),"ABERTA","PROJETADA")))))</f>
        <v/>
      </c>
      <c r="P214" s="34" t="n">
        <f aca="false">IF($O214="ATRASADA",CFG_HOJE-$D214,0)</f>
        <v>0</v>
      </c>
      <c r="Q214" s="36" t="n">
        <f aca="false">IF($A214="",0,IF(AND($O214="PAGA",$J214="NAO"),$K214-$E214,0))</f>
        <v>0</v>
      </c>
    </row>
    <row r="215" customFormat="false" ht="15" hidden="false" customHeight="false" outlineLevel="0" collapsed="false">
      <c r="A215" s="30" t="str">
        <f aca="false">IF($B215="","","PAR-"&amp;TEXT(ROW()-4,"000000"))</f>
        <v/>
      </c>
      <c r="B215" s="32"/>
      <c r="C215" s="37"/>
      <c r="D215" s="31"/>
      <c r="E215" s="33"/>
      <c r="F215" s="32"/>
      <c r="G215" s="35" t="str">
        <f aca="false">IF($B215="","",IFERROR(INDEX(CM_NOME,MATCH($B215,CM_ID,0)),"?"))</f>
        <v/>
      </c>
      <c r="H215" s="34" t="str">
        <f aca="false">IF($B215="","",IFERROR(INDEX(CM_QTD,MATCH($B215,CM_ID,0)),""))</f>
        <v/>
      </c>
      <c r="I215" s="35" t="str">
        <f aca="false">IF($A215="","",$C215&amp;"/"&amp;$H215)</f>
        <v/>
      </c>
      <c r="J215" s="35" t="str">
        <f aca="false">IF($A215="","",IF($C215&lt;=IFERROR(INDEX(CM_PAGASANTES,MATCH($B215,CM_ID,0)),0),"SIM","NAO"))</f>
        <v/>
      </c>
      <c r="K215" s="36" t="n">
        <f aca="false">IF($A215="",0,SUMIFS(L_Valor,L_ParcID,$A215,L_Status,"REALIZADO"))</f>
        <v>0</v>
      </c>
      <c r="L215" s="38" t="str">
        <f aca="false">IF($A215="","",IFERROR(INDEX(L_Data,MATCH(1,INDEX((L_ParcID=$A215)*(L_Status="REALIZADO"),0),0)),""))</f>
        <v/>
      </c>
      <c r="M215" s="34" t="n">
        <f aca="false">IF($A215="",0,COUNTIFS(L_ParcID,$A215,L_Status,"REALIZADO"))</f>
        <v>0</v>
      </c>
      <c r="N215" s="34" t="n">
        <f aca="false">IF($A215="",0,COUNTIFS(L_ParcID,$A215,L_Status,"PROJETADO"))</f>
        <v>0</v>
      </c>
      <c r="O215" s="35" t="str">
        <f aca="false">IF($A215="","",IF($J215="SIM","PAGA",IF($M215&gt;0,"PAGA",IF($D215&lt;CFG_HOJE,"ATRASADA",IF($D215&lt;=EOMONTH(CFG_HOJE,0),"ABERTA","PROJETADA")))))</f>
        <v/>
      </c>
      <c r="P215" s="34" t="n">
        <f aca="false">IF($O215="ATRASADA",CFG_HOJE-$D215,0)</f>
        <v>0</v>
      </c>
      <c r="Q215" s="36" t="n">
        <f aca="false">IF($A215="",0,IF(AND($O215="PAGA",$J215="NAO"),$K215-$E215,0))</f>
        <v>0</v>
      </c>
    </row>
    <row r="216" customFormat="false" ht="15" hidden="false" customHeight="false" outlineLevel="0" collapsed="false">
      <c r="A216" s="30" t="str">
        <f aca="false">IF($B216="","","PAR-"&amp;TEXT(ROW()-4,"000000"))</f>
        <v/>
      </c>
      <c r="B216" s="32"/>
      <c r="C216" s="37"/>
      <c r="D216" s="31"/>
      <c r="E216" s="33"/>
      <c r="F216" s="32"/>
      <c r="G216" s="35" t="str">
        <f aca="false">IF($B216="","",IFERROR(INDEX(CM_NOME,MATCH($B216,CM_ID,0)),"?"))</f>
        <v/>
      </c>
      <c r="H216" s="34" t="str">
        <f aca="false">IF($B216="","",IFERROR(INDEX(CM_QTD,MATCH($B216,CM_ID,0)),""))</f>
        <v/>
      </c>
      <c r="I216" s="35" t="str">
        <f aca="false">IF($A216="","",$C216&amp;"/"&amp;$H216)</f>
        <v/>
      </c>
      <c r="J216" s="35" t="str">
        <f aca="false">IF($A216="","",IF($C216&lt;=IFERROR(INDEX(CM_PAGASANTES,MATCH($B216,CM_ID,0)),0),"SIM","NAO"))</f>
        <v/>
      </c>
      <c r="K216" s="36" t="n">
        <f aca="false">IF($A216="",0,SUMIFS(L_Valor,L_ParcID,$A216,L_Status,"REALIZADO"))</f>
        <v>0</v>
      </c>
      <c r="L216" s="38" t="str">
        <f aca="false">IF($A216="","",IFERROR(INDEX(L_Data,MATCH(1,INDEX((L_ParcID=$A216)*(L_Status="REALIZADO"),0),0)),""))</f>
        <v/>
      </c>
      <c r="M216" s="34" t="n">
        <f aca="false">IF($A216="",0,COUNTIFS(L_ParcID,$A216,L_Status,"REALIZADO"))</f>
        <v>0</v>
      </c>
      <c r="N216" s="34" t="n">
        <f aca="false">IF($A216="",0,COUNTIFS(L_ParcID,$A216,L_Status,"PROJETADO"))</f>
        <v>0</v>
      </c>
      <c r="O216" s="35" t="str">
        <f aca="false">IF($A216="","",IF($J216="SIM","PAGA",IF($M216&gt;0,"PAGA",IF($D216&lt;CFG_HOJE,"ATRASADA",IF($D216&lt;=EOMONTH(CFG_HOJE,0),"ABERTA","PROJETADA")))))</f>
        <v/>
      </c>
      <c r="P216" s="34" t="n">
        <f aca="false">IF($O216="ATRASADA",CFG_HOJE-$D216,0)</f>
        <v>0</v>
      </c>
      <c r="Q216" s="36" t="n">
        <f aca="false">IF($A216="",0,IF(AND($O216="PAGA",$J216="NAO"),$K216-$E216,0))</f>
        <v>0</v>
      </c>
    </row>
    <row r="217" customFormat="false" ht="15" hidden="false" customHeight="false" outlineLevel="0" collapsed="false">
      <c r="A217" s="30" t="str">
        <f aca="false">IF($B217="","","PAR-"&amp;TEXT(ROW()-4,"000000"))</f>
        <v/>
      </c>
      <c r="B217" s="32"/>
      <c r="C217" s="37"/>
      <c r="D217" s="31"/>
      <c r="E217" s="33"/>
      <c r="F217" s="32"/>
      <c r="G217" s="35" t="str">
        <f aca="false">IF($B217="","",IFERROR(INDEX(CM_NOME,MATCH($B217,CM_ID,0)),"?"))</f>
        <v/>
      </c>
      <c r="H217" s="34" t="str">
        <f aca="false">IF($B217="","",IFERROR(INDEX(CM_QTD,MATCH($B217,CM_ID,0)),""))</f>
        <v/>
      </c>
      <c r="I217" s="35" t="str">
        <f aca="false">IF($A217="","",$C217&amp;"/"&amp;$H217)</f>
        <v/>
      </c>
      <c r="J217" s="35" t="str">
        <f aca="false">IF($A217="","",IF($C217&lt;=IFERROR(INDEX(CM_PAGASANTES,MATCH($B217,CM_ID,0)),0),"SIM","NAO"))</f>
        <v/>
      </c>
      <c r="K217" s="36" t="n">
        <f aca="false">IF($A217="",0,SUMIFS(L_Valor,L_ParcID,$A217,L_Status,"REALIZADO"))</f>
        <v>0</v>
      </c>
      <c r="L217" s="38" t="str">
        <f aca="false">IF($A217="","",IFERROR(INDEX(L_Data,MATCH(1,INDEX((L_ParcID=$A217)*(L_Status="REALIZADO"),0),0)),""))</f>
        <v/>
      </c>
      <c r="M217" s="34" t="n">
        <f aca="false">IF($A217="",0,COUNTIFS(L_ParcID,$A217,L_Status,"REALIZADO"))</f>
        <v>0</v>
      </c>
      <c r="N217" s="34" t="n">
        <f aca="false">IF($A217="",0,COUNTIFS(L_ParcID,$A217,L_Status,"PROJETADO"))</f>
        <v>0</v>
      </c>
      <c r="O217" s="35" t="str">
        <f aca="false">IF($A217="","",IF($J217="SIM","PAGA",IF($M217&gt;0,"PAGA",IF($D217&lt;CFG_HOJE,"ATRASADA",IF($D217&lt;=EOMONTH(CFG_HOJE,0),"ABERTA","PROJETADA")))))</f>
        <v/>
      </c>
      <c r="P217" s="34" t="n">
        <f aca="false">IF($O217="ATRASADA",CFG_HOJE-$D217,0)</f>
        <v>0</v>
      </c>
      <c r="Q217" s="36" t="n">
        <f aca="false">IF($A217="",0,IF(AND($O217="PAGA",$J217="NAO"),$K217-$E217,0))</f>
        <v>0</v>
      </c>
    </row>
    <row r="218" customFormat="false" ht="15" hidden="false" customHeight="false" outlineLevel="0" collapsed="false">
      <c r="A218" s="30" t="str">
        <f aca="false">IF($B218="","","PAR-"&amp;TEXT(ROW()-4,"000000"))</f>
        <v/>
      </c>
      <c r="B218" s="32"/>
      <c r="C218" s="37"/>
      <c r="D218" s="31"/>
      <c r="E218" s="33"/>
      <c r="F218" s="32"/>
      <c r="G218" s="35" t="str">
        <f aca="false">IF($B218="","",IFERROR(INDEX(CM_NOME,MATCH($B218,CM_ID,0)),"?"))</f>
        <v/>
      </c>
      <c r="H218" s="34" t="str">
        <f aca="false">IF($B218="","",IFERROR(INDEX(CM_QTD,MATCH($B218,CM_ID,0)),""))</f>
        <v/>
      </c>
      <c r="I218" s="35" t="str">
        <f aca="false">IF($A218="","",$C218&amp;"/"&amp;$H218)</f>
        <v/>
      </c>
      <c r="J218" s="35" t="str">
        <f aca="false">IF($A218="","",IF($C218&lt;=IFERROR(INDEX(CM_PAGASANTES,MATCH($B218,CM_ID,0)),0),"SIM","NAO"))</f>
        <v/>
      </c>
      <c r="K218" s="36" t="n">
        <f aca="false">IF($A218="",0,SUMIFS(L_Valor,L_ParcID,$A218,L_Status,"REALIZADO"))</f>
        <v>0</v>
      </c>
      <c r="L218" s="38" t="str">
        <f aca="false">IF($A218="","",IFERROR(INDEX(L_Data,MATCH(1,INDEX((L_ParcID=$A218)*(L_Status="REALIZADO"),0),0)),""))</f>
        <v/>
      </c>
      <c r="M218" s="34" t="n">
        <f aca="false">IF($A218="",0,COUNTIFS(L_ParcID,$A218,L_Status,"REALIZADO"))</f>
        <v>0</v>
      </c>
      <c r="N218" s="34" t="n">
        <f aca="false">IF($A218="",0,COUNTIFS(L_ParcID,$A218,L_Status,"PROJETADO"))</f>
        <v>0</v>
      </c>
      <c r="O218" s="35" t="str">
        <f aca="false">IF($A218="","",IF($J218="SIM","PAGA",IF($M218&gt;0,"PAGA",IF($D218&lt;CFG_HOJE,"ATRASADA",IF($D218&lt;=EOMONTH(CFG_HOJE,0),"ABERTA","PROJETADA")))))</f>
        <v/>
      </c>
      <c r="P218" s="34" t="n">
        <f aca="false">IF($O218="ATRASADA",CFG_HOJE-$D218,0)</f>
        <v>0</v>
      </c>
      <c r="Q218" s="36" t="n">
        <f aca="false">IF($A218="",0,IF(AND($O218="PAGA",$J218="NAO"),$K218-$E218,0))</f>
        <v>0</v>
      </c>
    </row>
    <row r="219" customFormat="false" ht="15" hidden="false" customHeight="false" outlineLevel="0" collapsed="false">
      <c r="A219" s="30" t="str">
        <f aca="false">IF($B219="","","PAR-"&amp;TEXT(ROW()-4,"000000"))</f>
        <v/>
      </c>
      <c r="B219" s="32"/>
      <c r="C219" s="37"/>
      <c r="D219" s="31"/>
      <c r="E219" s="33"/>
      <c r="F219" s="32"/>
      <c r="G219" s="35" t="str">
        <f aca="false">IF($B219="","",IFERROR(INDEX(CM_NOME,MATCH($B219,CM_ID,0)),"?"))</f>
        <v/>
      </c>
      <c r="H219" s="34" t="str">
        <f aca="false">IF($B219="","",IFERROR(INDEX(CM_QTD,MATCH($B219,CM_ID,0)),""))</f>
        <v/>
      </c>
      <c r="I219" s="35" t="str">
        <f aca="false">IF($A219="","",$C219&amp;"/"&amp;$H219)</f>
        <v/>
      </c>
      <c r="J219" s="35" t="str">
        <f aca="false">IF($A219="","",IF($C219&lt;=IFERROR(INDEX(CM_PAGASANTES,MATCH($B219,CM_ID,0)),0),"SIM","NAO"))</f>
        <v/>
      </c>
      <c r="K219" s="36" t="n">
        <f aca="false">IF($A219="",0,SUMIFS(L_Valor,L_ParcID,$A219,L_Status,"REALIZADO"))</f>
        <v>0</v>
      </c>
      <c r="L219" s="38" t="str">
        <f aca="false">IF($A219="","",IFERROR(INDEX(L_Data,MATCH(1,INDEX((L_ParcID=$A219)*(L_Status="REALIZADO"),0),0)),""))</f>
        <v/>
      </c>
      <c r="M219" s="34" t="n">
        <f aca="false">IF($A219="",0,COUNTIFS(L_ParcID,$A219,L_Status,"REALIZADO"))</f>
        <v>0</v>
      </c>
      <c r="N219" s="34" t="n">
        <f aca="false">IF($A219="",0,COUNTIFS(L_ParcID,$A219,L_Status,"PROJETADO"))</f>
        <v>0</v>
      </c>
      <c r="O219" s="35" t="str">
        <f aca="false">IF($A219="","",IF($J219="SIM","PAGA",IF($M219&gt;0,"PAGA",IF($D219&lt;CFG_HOJE,"ATRASADA",IF($D219&lt;=EOMONTH(CFG_HOJE,0),"ABERTA","PROJETADA")))))</f>
        <v/>
      </c>
      <c r="P219" s="34" t="n">
        <f aca="false">IF($O219="ATRASADA",CFG_HOJE-$D219,0)</f>
        <v>0</v>
      </c>
      <c r="Q219" s="36" t="n">
        <f aca="false">IF($A219="",0,IF(AND($O219="PAGA",$J219="NAO"),$K219-$E219,0))</f>
        <v>0</v>
      </c>
    </row>
    <row r="220" customFormat="false" ht="15" hidden="false" customHeight="false" outlineLevel="0" collapsed="false">
      <c r="A220" s="30" t="str">
        <f aca="false">IF($B220="","","PAR-"&amp;TEXT(ROW()-4,"000000"))</f>
        <v/>
      </c>
      <c r="B220" s="32"/>
      <c r="C220" s="37"/>
      <c r="D220" s="31"/>
      <c r="E220" s="33"/>
      <c r="F220" s="32"/>
      <c r="G220" s="35" t="str">
        <f aca="false">IF($B220="","",IFERROR(INDEX(CM_NOME,MATCH($B220,CM_ID,0)),"?"))</f>
        <v/>
      </c>
      <c r="H220" s="34" t="str">
        <f aca="false">IF($B220="","",IFERROR(INDEX(CM_QTD,MATCH($B220,CM_ID,0)),""))</f>
        <v/>
      </c>
      <c r="I220" s="35" t="str">
        <f aca="false">IF($A220="","",$C220&amp;"/"&amp;$H220)</f>
        <v/>
      </c>
      <c r="J220" s="35" t="str">
        <f aca="false">IF($A220="","",IF($C220&lt;=IFERROR(INDEX(CM_PAGASANTES,MATCH($B220,CM_ID,0)),0),"SIM","NAO"))</f>
        <v/>
      </c>
      <c r="K220" s="36" t="n">
        <f aca="false">IF($A220="",0,SUMIFS(L_Valor,L_ParcID,$A220,L_Status,"REALIZADO"))</f>
        <v>0</v>
      </c>
      <c r="L220" s="38" t="str">
        <f aca="false">IF($A220="","",IFERROR(INDEX(L_Data,MATCH(1,INDEX((L_ParcID=$A220)*(L_Status="REALIZADO"),0),0)),""))</f>
        <v/>
      </c>
      <c r="M220" s="34" t="n">
        <f aca="false">IF($A220="",0,COUNTIFS(L_ParcID,$A220,L_Status,"REALIZADO"))</f>
        <v>0</v>
      </c>
      <c r="N220" s="34" t="n">
        <f aca="false">IF($A220="",0,COUNTIFS(L_ParcID,$A220,L_Status,"PROJETADO"))</f>
        <v>0</v>
      </c>
      <c r="O220" s="35" t="str">
        <f aca="false">IF($A220="","",IF($J220="SIM","PAGA",IF($M220&gt;0,"PAGA",IF($D220&lt;CFG_HOJE,"ATRASADA",IF($D220&lt;=EOMONTH(CFG_HOJE,0),"ABERTA","PROJETADA")))))</f>
        <v/>
      </c>
      <c r="P220" s="34" t="n">
        <f aca="false">IF($O220="ATRASADA",CFG_HOJE-$D220,0)</f>
        <v>0</v>
      </c>
      <c r="Q220" s="36" t="n">
        <f aca="false">IF($A220="",0,IF(AND($O220="PAGA",$J220="NAO"),$K220-$E220,0))</f>
        <v>0</v>
      </c>
    </row>
    <row r="221" customFormat="false" ht="15" hidden="false" customHeight="false" outlineLevel="0" collapsed="false">
      <c r="A221" s="30" t="str">
        <f aca="false">IF($B221="","","PAR-"&amp;TEXT(ROW()-4,"000000"))</f>
        <v/>
      </c>
      <c r="B221" s="32"/>
      <c r="C221" s="37"/>
      <c r="D221" s="31"/>
      <c r="E221" s="33"/>
      <c r="F221" s="32"/>
      <c r="G221" s="35" t="str">
        <f aca="false">IF($B221="","",IFERROR(INDEX(CM_NOME,MATCH($B221,CM_ID,0)),"?"))</f>
        <v/>
      </c>
      <c r="H221" s="34" t="str">
        <f aca="false">IF($B221="","",IFERROR(INDEX(CM_QTD,MATCH($B221,CM_ID,0)),""))</f>
        <v/>
      </c>
      <c r="I221" s="35" t="str">
        <f aca="false">IF($A221="","",$C221&amp;"/"&amp;$H221)</f>
        <v/>
      </c>
      <c r="J221" s="35" t="str">
        <f aca="false">IF($A221="","",IF($C221&lt;=IFERROR(INDEX(CM_PAGASANTES,MATCH($B221,CM_ID,0)),0),"SIM","NAO"))</f>
        <v/>
      </c>
      <c r="K221" s="36" t="n">
        <f aca="false">IF($A221="",0,SUMIFS(L_Valor,L_ParcID,$A221,L_Status,"REALIZADO"))</f>
        <v>0</v>
      </c>
      <c r="L221" s="38" t="str">
        <f aca="false">IF($A221="","",IFERROR(INDEX(L_Data,MATCH(1,INDEX((L_ParcID=$A221)*(L_Status="REALIZADO"),0),0)),""))</f>
        <v/>
      </c>
      <c r="M221" s="34" t="n">
        <f aca="false">IF($A221="",0,COUNTIFS(L_ParcID,$A221,L_Status,"REALIZADO"))</f>
        <v>0</v>
      </c>
      <c r="N221" s="34" t="n">
        <f aca="false">IF($A221="",0,COUNTIFS(L_ParcID,$A221,L_Status,"PROJETADO"))</f>
        <v>0</v>
      </c>
      <c r="O221" s="35" t="str">
        <f aca="false">IF($A221="","",IF($J221="SIM","PAGA",IF($M221&gt;0,"PAGA",IF($D221&lt;CFG_HOJE,"ATRASADA",IF($D221&lt;=EOMONTH(CFG_HOJE,0),"ABERTA","PROJETADA")))))</f>
        <v/>
      </c>
      <c r="P221" s="34" t="n">
        <f aca="false">IF($O221="ATRASADA",CFG_HOJE-$D221,0)</f>
        <v>0</v>
      </c>
      <c r="Q221" s="36" t="n">
        <f aca="false">IF($A221="",0,IF(AND($O221="PAGA",$J221="NAO"),$K221-$E221,0))</f>
        <v>0</v>
      </c>
    </row>
    <row r="222" customFormat="false" ht="15" hidden="false" customHeight="false" outlineLevel="0" collapsed="false">
      <c r="A222" s="30" t="str">
        <f aca="false">IF($B222="","","PAR-"&amp;TEXT(ROW()-4,"000000"))</f>
        <v/>
      </c>
      <c r="B222" s="32"/>
      <c r="C222" s="37"/>
      <c r="D222" s="31"/>
      <c r="E222" s="33"/>
      <c r="F222" s="32"/>
      <c r="G222" s="35" t="str">
        <f aca="false">IF($B222="","",IFERROR(INDEX(CM_NOME,MATCH($B222,CM_ID,0)),"?"))</f>
        <v/>
      </c>
      <c r="H222" s="34" t="str">
        <f aca="false">IF($B222="","",IFERROR(INDEX(CM_QTD,MATCH($B222,CM_ID,0)),""))</f>
        <v/>
      </c>
      <c r="I222" s="35" t="str">
        <f aca="false">IF($A222="","",$C222&amp;"/"&amp;$H222)</f>
        <v/>
      </c>
      <c r="J222" s="35" t="str">
        <f aca="false">IF($A222="","",IF($C222&lt;=IFERROR(INDEX(CM_PAGASANTES,MATCH($B222,CM_ID,0)),0),"SIM","NAO"))</f>
        <v/>
      </c>
      <c r="K222" s="36" t="n">
        <f aca="false">IF($A222="",0,SUMIFS(L_Valor,L_ParcID,$A222,L_Status,"REALIZADO"))</f>
        <v>0</v>
      </c>
      <c r="L222" s="38" t="str">
        <f aca="false">IF($A222="","",IFERROR(INDEX(L_Data,MATCH(1,INDEX((L_ParcID=$A222)*(L_Status="REALIZADO"),0),0)),""))</f>
        <v/>
      </c>
      <c r="M222" s="34" t="n">
        <f aca="false">IF($A222="",0,COUNTIFS(L_ParcID,$A222,L_Status,"REALIZADO"))</f>
        <v>0</v>
      </c>
      <c r="N222" s="34" t="n">
        <f aca="false">IF($A222="",0,COUNTIFS(L_ParcID,$A222,L_Status,"PROJETADO"))</f>
        <v>0</v>
      </c>
      <c r="O222" s="35" t="str">
        <f aca="false">IF($A222="","",IF($J222="SIM","PAGA",IF($M222&gt;0,"PAGA",IF($D222&lt;CFG_HOJE,"ATRASADA",IF($D222&lt;=EOMONTH(CFG_HOJE,0),"ABERTA","PROJETADA")))))</f>
        <v/>
      </c>
      <c r="P222" s="34" t="n">
        <f aca="false">IF($O222="ATRASADA",CFG_HOJE-$D222,0)</f>
        <v>0</v>
      </c>
      <c r="Q222" s="36" t="n">
        <f aca="false">IF($A222="",0,IF(AND($O222="PAGA",$J222="NAO"),$K222-$E222,0))</f>
        <v>0</v>
      </c>
    </row>
    <row r="223" customFormat="false" ht="15" hidden="false" customHeight="false" outlineLevel="0" collapsed="false">
      <c r="A223" s="30" t="str">
        <f aca="false">IF($B223="","","PAR-"&amp;TEXT(ROW()-4,"000000"))</f>
        <v/>
      </c>
      <c r="B223" s="32"/>
      <c r="C223" s="37"/>
      <c r="D223" s="31"/>
      <c r="E223" s="33"/>
      <c r="F223" s="32"/>
      <c r="G223" s="35" t="str">
        <f aca="false">IF($B223="","",IFERROR(INDEX(CM_NOME,MATCH($B223,CM_ID,0)),"?"))</f>
        <v/>
      </c>
      <c r="H223" s="34" t="str">
        <f aca="false">IF($B223="","",IFERROR(INDEX(CM_QTD,MATCH($B223,CM_ID,0)),""))</f>
        <v/>
      </c>
      <c r="I223" s="35" t="str">
        <f aca="false">IF($A223="","",$C223&amp;"/"&amp;$H223)</f>
        <v/>
      </c>
      <c r="J223" s="35" t="str">
        <f aca="false">IF($A223="","",IF($C223&lt;=IFERROR(INDEX(CM_PAGASANTES,MATCH($B223,CM_ID,0)),0),"SIM","NAO"))</f>
        <v/>
      </c>
      <c r="K223" s="36" t="n">
        <f aca="false">IF($A223="",0,SUMIFS(L_Valor,L_ParcID,$A223,L_Status,"REALIZADO"))</f>
        <v>0</v>
      </c>
      <c r="L223" s="38" t="str">
        <f aca="false">IF($A223="","",IFERROR(INDEX(L_Data,MATCH(1,INDEX((L_ParcID=$A223)*(L_Status="REALIZADO"),0),0)),""))</f>
        <v/>
      </c>
      <c r="M223" s="34" t="n">
        <f aca="false">IF($A223="",0,COUNTIFS(L_ParcID,$A223,L_Status,"REALIZADO"))</f>
        <v>0</v>
      </c>
      <c r="N223" s="34" t="n">
        <f aca="false">IF($A223="",0,COUNTIFS(L_ParcID,$A223,L_Status,"PROJETADO"))</f>
        <v>0</v>
      </c>
      <c r="O223" s="35" t="str">
        <f aca="false">IF($A223="","",IF($J223="SIM","PAGA",IF($M223&gt;0,"PAGA",IF($D223&lt;CFG_HOJE,"ATRASADA",IF($D223&lt;=EOMONTH(CFG_HOJE,0),"ABERTA","PROJETADA")))))</f>
        <v/>
      </c>
      <c r="P223" s="34" t="n">
        <f aca="false">IF($O223="ATRASADA",CFG_HOJE-$D223,0)</f>
        <v>0</v>
      </c>
      <c r="Q223" s="36" t="n">
        <f aca="false">IF($A223="",0,IF(AND($O223="PAGA",$J223="NAO"),$K223-$E223,0))</f>
        <v>0</v>
      </c>
    </row>
    <row r="224" customFormat="false" ht="15" hidden="false" customHeight="false" outlineLevel="0" collapsed="false">
      <c r="A224" s="30" t="str">
        <f aca="false">IF($B224="","","PAR-"&amp;TEXT(ROW()-4,"000000"))</f>
        <v/>
      </c>
      <c r="B224" s="32"/>
      <c r="C224" s="37"/>
      <c r="D224" s="31"/>
      <c r="E224" s="33"/>
      <c r="F224" s="32"/>
      <c r="G224" s="35" t="str">
        <f aca="false">IF($B224="","",IFERROR(INDEX(CM_NOME,MATCH($B224,CM_ID,0)),"?"))</f>
        <v/>
      </c>
      <c r="H224" s="34" t="str">
        <f aca="false">IF($B224="","",IFERROR(INDEX(CM_QTD,MATCH($B224,CM_ID,0)),""))</f>
        <v/>
      </c>
      <c r="I224" s="35" t="str">
        <f aca="false">IF($A224="","",$C224&amp;"/"&amp;$H224)</f>
        <v/>
      </c>
      <c r="J224" s="35" t="str">
        <f aca="false">IF($A224="","",IF($C224&lt;=IFERROR(INDEX(CM_PAGASANTES,MATCH($B224,CM_ID,0)),0),"SIM","NAO"))</f>
        <v/>
      </c>
      <c r="K224" s="36" t="n">
        <f aca="false">IF($A224="",0,SUMIFS(L_Valor,L_ParcID,$A224,L_Status,"REALIZADO"))</f>
        <v>0</v>
      </c>
      <c r="L224" s="38" t="str">
        <f aca="false">IF($A224="","",IFERROR(INDEX(L_Data,MATCH(1,INDEX((L_ParcID=$A224)*(L_Status="REALIZADO"),0),0)),""))</f>
        <v/>
      </c>
      <c r="M224" s="34" t="n">
        <f aca="false">IF($A224="",0,COUNTIFS(L_ParcID,$A224,L_Status,"REALIZADO"))</f>
        <v>0</v>
      </c>
      <c r="N224" s="34" t="n">
        <f aca="false">IF($A224="",0,COUNTIFS(L_ParcID,$A224,L_Status,"PROJETADO"))</f>
        <v>0</v>
      </c>
      <c r="O224" s="35" t="str">
        <f aca="false">IF($A224="","",IF($J224="SIM","PAGA",IF($M224&gt;0,"PAGA",IF($D224&lt;CFG_HOJE,"ATRASADA",IF($D224&lt;=EOMONTH(CFG_HOJE,0),"ABERTA","PROJETADA")))))</f>
        <v/>
      </c>
      <c r="P224" s="34" t="n">
        <f aca="false">IF($O224="ATRASADA",CFG_HOJE-$D224,0)</f>
        <v>0</v>
      </c>
      <c r="Q224" s="36" t="n">
        <f aca="false">IF($A224="",0,IF(AND($O224="PAGA",$J224="NAO"),$K224-$E224,0))</f>
        <v>0</v>
      </c>
    </row>
    <row r="225" customFormat="false" ht="15" hidden="false" customHeight="false" outlineLevel="0" collapsed="false">
      <c r="A225" s="30" t="str">
        <f aca="false">IF($B225="","","PAR-"&amp;TEXT(ROW()-4,"000000"))</f>
        <v/>
      </c>
      <c r="B225" s="32"/>
      <c r="C225" s="37"/>
      <c r="D225" s="31"/>
      <c r="E225" s="33"/>
      <c r="F225" s="32"/>
      <c r="G225" s="35" t="str">
        <f aca="false">IF($B225="","",IFERROR(INDEX(CM_NOME,MATCH($B225,CM_ID,0)),"?"))</f>
        <v/>
      </c>
      <c r="H225" s="34" t="str">
        <f aca="false">IF($B225="","",IFERROR(INDEX(CM_QTD,MATCH($B225,CM_ID,0)),""))</f>
        <v/>
      </c>
      <c r="I225" s="35" t="str">
        <f aca="false">IF($A225="","",$C225&amp;"/"&amp;$H225)</f>
        <v/>
      </c>
      <c r="J225" s="35" t="str">
        <f aca="false">IF($A225="","",IF($C225&lt;=IFERROR(INDEX(CM_PAGASANTES,MATCH($B225,CM_ID,0)),0),"SIM","NAO"))</f>
        <v/>
      </c>
      <c r="K225" s="36" t="n">
        <f aca="false">IF($A225="",0,SUMIFS(L_Valor,L_ParcID,$A225,L_Status,"REALIZADO"))</f>
        <v>0</v>
      </c>
      <c r="L225" s="38" t="str">
        <f aca="false">IF($A225="","",IFERROR(INDEX(L_Data,MATCH(1,INDEX((L_ParcID=$A225)*(L_Status="REALIZADO"),0),0)),""))</f>
        <v/>
      </c>
      <c r="M225" s="34" t="n">
        <f aca="false">IF($A225="",0,COUNTIFS(L_ParcID,$A225,L_Status,"REALIZADO"))</f>
        <v>0</v>
      </c>
      <c r="N225" s="34" t="n">
        <f aca="false">IF($A225="",0,COUNTIFS(L_ParcID,$A225,L_Status,"PROJETADO"))</f>
        <v>0</v>
      </c>
      <c r="O225" s="35" t="str">
        <f aca="false">IF($A225="","",IF($J225="SIM","PAGA",IF($M225&gt;0,"PAGA",IF($D225&lt;CFG_HOJE,"ATRASADA",IF($D225&lt;=EOMONTH(CFG_HOJE,0),"ABERTA","PROJETADA")))))</f>
        <v/>
      </c>
      <c r="P225" s="34" t="n">
        <f aca="false">IF($O225="ATRASADA",CFG_HOJE-$D225,0)</f>
        <v>0</v>
      </c>
      <c r="Q225" s="36" t="n">
        <f aca="false">IF($A225="",0,IF(AND($O225="PAGA",$J225="NAO"),$K225-$E225,0))</f>
        <v>0</v>
      </c>
    </row>
    <row r="226" customFormat="false" ht="15" hidden="false" customHeight="false" outlineLevel="0" collapsed="false">
      <c r="A226" s="30" t="str">
        <f aca="false">IF($B226="","","PAR-"&amp;TEXT(ROW()-4,"000000"))</f>
        <v/>
      </c>
      <c r="B226" s="32"/>
      <c r="C226" s="37"/>
      <c r="D226" s="31"/>
      <c r="E226" s="33"/>
      <c r="F226" s="32"/>
      <c r="G226" s="35" t="str">
        <f aca="false">IF($B226="","",IFERROR(INDEX(CM_NOME,MATCH($B226,CM_ID,0)),"?"))</f>
        <v/>
      </c>
      <c r="H226" s="34" t="str">
        <f aca="false">IF($B226="","",IFERROR(INDEX(CM_QTD,MATCH($B226,CM_ID,0)),""))</f>
        <v/>
      </c>
      <c r="I226" s="35" t="str">
        <f aca="false">IF($A226="","",$C226&amp;"/"&amp;$H226)</f>
        <v/>
      </c>
      <c r="J226" s="35" t="str">
        <f aca="false">IF($A226="","",IF($C226&lt;=IFERROR(INDEX(CM_PAGASANTES,MATCH($B226,CM_ID,0)),0),"SIM","NAO"))</f>
        <v/>
      </c>
      <c r="K226" s="36" t="n">
        <f aca="false">IF($A226="",0,SUMIFS(L_Valor,L_ParcID,$A226,L_Status,"REALIZADO"))</f>
        <v>0</v>
      </c>
      <c r="L226" s="38" t="str">
        <f aca="false">IF($A226="","",IFERROR(INDEX(L_Data,MATCH(1,INDEX((L_ParcID=$A226)*(L_Status="REALIZADO"),0),0)),""))</f>
        <v/>
      </c>
      <c r="M226" s="34" t="n">
        <f aca="false">IF($A226="",0,COUNTIFS(L_ParcID,$A226,L_Status,"REALIZADO"))</f>
        <v>0</v>
      </c>
      <c r="N226" s="34" t="n">
        <f aca="false">IF($A226="",0,COUNTIFS(L_ParcID,$A226,L_Status,"PROJETADO"))</f>
        <v>0</v>
      </c>
      <c r="O226" s="35" t="str">
        <f aca="false">IF($A226="","",IF($J226="SIM","PAGA",IF($M226&gt;0,"PAGA",IF($D226&lt;CFG_HOJE,"ATRASADA",IF($D226&lt;=EOMONTH(CFG_HOJE,0),"ABERTA","PROJETADA")))))</f>
        <v/>
      </c>
      <c r="P226" s="34" t="n">
        <f aca="false">IF($O226="ATRASADA",CFG_HOJE-$D226,0)</f>
        <v>0</v>
      </c>
      <c r="Q226" s="36" t="n">
        <f aca="false">IF($A226="",0,IF(AND($O226="PAGA",$J226="NAO"),$K226-$E226,0))</f>
        <v>0</v>
      </c>
    </row>
    <row r="227" customFormat="false" ht="15" hidden="false" customHeight="false" outlineLevel="0" collapsed="false">
      <c r="A227" s="30" t="str">
        <f aca="false">IF($B227="","","PAR-"&amp;TEXT(ROW()-4,"000000"))</f>
        <v/>
      </c>
      <c r="B227" s="32"/>
      <c r="C227" s="37"/>
      <c r="D227" s="31"/>
      <c r="E227" s="33"/>
      <c r="F227" s="32"/>
      <c r="G227" s="35" t="str">
        <f aca="false">IF($B227="","",IFERROR(INDEX(CM_NOME,MATCH($B227,CM_ID,0)),"?"))</f>
        <v/>
      </c>
      <c r="H227" s="34" t="str">
        <f aca="false">IF($B227="","",IFERROR(INDEX(CM_QTD,MATCH($B227,CM_ID,0)),""))</f>
        <v/>
      </c>
      <c r="I227" s="35" t="str">
        <f aca="false">IF($A227="","",$C227&amp;"/"&amp;$H227)</f>
        <v/>
      </c>
      <c r="J227" s="35" t="str">
        <f aca="false">IF($A227="","",IF($C227&lt;=IFERROR(INDEX(CM_PAGASANTES,MATCH($B227,CM_ID,0)),0),"SIM","NAO"))</f>
        <v/>
      </c>
      <c r="K227" s="36" t="n">
        <f aca="false">IF($A227="",0,SUMIFS(L_Valor,L_ParcID,$A227,L_Status,"REALIZADO"))</f>
        <v>0</v>
      </c>
      <c r="L227" s="38" t="str">
        <f aca="false">IF($A227="","",IFERROR(INDEX(L_Data,MATCH(1,INDEX((L_ParcID=$A227)*(L_Status="REALIZADO"),0),0)),""))</f>
        <v/>
      </c>
      <c r="M227" s="34" t="n">
        <f aca="false">IF($A227="",0,COUNTIFS(L_ParcID,$A227,L_Status,"REALIZADO"))</f>
        <v>0</v>
      </c>
      <c r="N227" s="34" t="n">
        <f aca="false">IF($A227="",0,COUNTIFS(L_ParcID,$A227,L_Status,"PROJETADO"))</f>
        <v>0</v>
      </c>
      <c r="O227" s="35" t="str">
        <f aca="false">IF($A227="","",IF($J227="SIM","PAGA",IF($M227&gt;0,"PAGA",IF($D227&lt;CFG_HOJE,"ATRASADA",IF($D227&lt;=EOMONTH(CFG_HOJE,0),"ABERTA","PROJETADA")))))</f>
        <v/>
      </c>
      <c r="P227" s="34" t="n">
        <f aca="false">IF($O227="ATRASADA",CFG_HOJE-$D227,0)</f>
        <v>0</v>
      </c>
      <c r="Q227" s="36" t="n">
        <f aca="false">IF($A227="",0,IF(AND($O227="PAGA",$J227="NAO"),$K227-$E227,0))</f>
        <v>0</v>
      </c>
    </row>
    <row r="228" customFormat="false" ht="15" hidden="false" customHeight="false" outlineLevel="0" collapsed="false">
      <c r="A228" s="30" t="str">
        <f aca="false">IF($B228="","","PAR-"&amp;TEXT(ROW()-4,"000000"))</f>
        <v/>
      </c>
      <c r="B228" s="32"/>
      <c r="C228" s="37"/>
      <c r="D228" s="31"/>
      <c r="E228" s="33"/>
      <c r="F228" s="32"/>
      <c r="G228" s="35" t="str">
        <f aca="false">IF($B228="","",IFERROR(INDEX(CM_NOME,MATCH($B228,CM_ID,0)),"?"))</f>
        <v/>
      </c>
      <c r="H228" s="34" t="str">
        <f aca="false">IF($B228="","",IFERROR(INDEX(CM_QTD,MATCH($B228,CM_ID,0)),""))</f>
        <v/>
      </c>
      <c r="I228" s="35" t="str">
        <f aca="false">IF($A228="","",$C228&amp;"/"&amp;$H228)</f>
        <v/>
      </c>
      <c r="J228" s="35" t="str">
        <f aca="false">IF($A228="","",IF($C228&lt;=IFERROR(INDEX(CM_PAGASANTES,MATCH($B228,CM_ID,0)),0),"SIM","NAO"))</f>
        <v/>
      </c>
      <c r="K228" s="36" t="n">
        <f aca="false">IF($A228="",0,SUMIFS(L_Valor,L_ParcID,$A228,L_Status,"REALIZADO"))</f>
        <v>0</v>
      </c>
      <c r="L228" s="38" t="str">
        <f aca="false">IF($A228="","",IFERROR(INDEX(L_Data,MATCH(1,INDEX((L_ParcID=$A228)*(L_Status="REALIZADO"),0),0)),""))</f>
        <v/>
      </c>
      <c r="M228" s="34" t="n">
        <f aca="false">IF($A228="",0,COUNTIFS(L_ParcID,$A228,L_Status,"REALIZADO"))</f>
        <v>0</v>
      </c>
      <c r="N228" s="34" t="n">
        <f aca="false">IF($A228="",0,COUNTIFS(L_ParcID,$A228,L_Status,"PROJETADO"))</f>
        <v>0</v>
      </c>
      <c r="O228" s="35" t="str">
        <f aca="false">IF($A228="","",IF($J228="SIM","PAGA",IF($M228&gt;0,"PAGA",IF($D228&lt;CFG_HOJE,"ATRASADA",IF($D228&lt;=EOMONTH(CFG_HOJE,0),"ABERTA","PROJETADA")))))</f>
        <v/>
      </c>
      <c r="P228" s="34" t="n">
        <f aca="false">IF($O228="ATRASADA",CFG_HOJE-$D228,0)</f>
        <v>0</v>
      </c>
      <c r="Q228" s="36" t="n">
        <f aca="false">IF($A228="",0,IF(AND($O228="PAGA",$J228="NAO"),$K228-$E228,0))</f>
        <v>0</v>
      </c>
    </row>
    <row r="229" customFormat="false" ht="15" hidden="false" customHeight="false" outlineLevel="0" collapsed="false">
      <c r="A229" s="30" t="str">
        <f aca="false">IF($B229="","","PAR-"&amp;TEXT(ROW()-4,"000000"))</f>
        <v/>
      </c>
      <c r="B229" s="32"/>
      <c r="C229" s="37"/>
      <c r="D229" s="31"/>
      <c r="E229" s="33"/>
      <c r="F229" s="32"/>
      <c r="G229" s="35" t="str">
        <f aca="false">IF($B229="","",IFERROR(INDEX(CM_NOME,MATCH($B229,CM_ID,0)),"?"))</f>
        <v/>
      </c>
      <c r="H229" s="34" t="str">
        <f aca="false">IF($B229="","",IFERROR(INDEX(CM_QTD,MATCH($B229,CM_ID,0)),""))</f>
        <v/>
      </c>
      <c r="I229" s="35" t="str">
        <f aca="false">IF($A229="","",$C229&amp;"/"&amp;$H229)</f>
        <v/>
      </c>
      <c r="J229" s="35" t="str">
        <f aca="false">IF($A229="","",IF($C229&lt;=IFERROR(INDEX(CM_PAGASANTES,MATCH($B229,CM_ID,0)),0),"SIM","NAO"))</f>
        <v/>
      </c>
      <c r="K229" s="36" t="n">
        <f aca="false">IF($A229="",0,SUMIFS(L_Valor,L_ParcID,$A229,L_Status,"REALIZADO"))</f>
        <v>0</v>
      </c>
      <c r="L229" s="38" t="str">
        <f aca="false">IF($A229="","",IFERROR(INDEX(L_Data,MATCH(1,INDEX((L_ParcID=$A229)*(L_Status="REALIZADO"),0),0)),""))</f>
        <v/>
      </c>
      <c r="M229" s="34" t="n">
        <f aca="false">IF($A229="",0,COUNTIFS(L_ParcID,$A229,L_Status,"REALIZADO"))</f>
        <v>0</v>
      </c>
      <c r="N229" s="34" t="n">
        <f aca="false">IF($A229="",0,COUNTIFS(L_ParcID,$A229,L_Status,"PROJETADO"))</f>
        <v>0</v>
      </c>
      <c r="O229" s="35" t="str">
        <f aca="false">IF($A229="","",IF($J229="SIM","PAGA",IF($M229&gt;0,"PAGA",IF($D229&lt;CFG_HOJE,"ATRASADA",IF($D229&lt;=EOMONTH(CFG_HOJE,0),"ABERTA","PROJETADA")))))</f>
        <v/>
      </c>
      <c r="P229" s="34" t="n">
        <f aca="false">IF($O229="ATRASADA",CFG_HOJE-$D229,0)</f>
        <v>0</v>
      </c>
      <c r="Q229" s="36" t="n">
        <f aca="false">IF($A229="",0,IF(AND($O229="PAGA",$J229="NAO"),$K229-$E229,0))</f>
        <v>0</v>
      </c>
    </row>
    <row r="230" customFormat="false" ht="15" hidden="false" customHeight="false" outlineLevel="0" collapsed="false">
      <c r="A230" s="30" t="str">
        <f aca="false">IF($B230="","","PAR-"&amp;TEXT(ROW()-4,"000000"))</f>
        <v/>
      </c>
      <c r="B230" s="32"/>
      <c r="C230" s="37"/>
      <c r="D230" s="31"/>
      <c r="E230" s="33"/>
      <c r="F230" s="32"/>
      <c r="G230" s="35" t="str">
        <f aca="false">IF($B230="","",IFERROR(INDEX(CM_NOME,MATCH($B230,CM_ID,0)),"?"))</f>
        <v/>
      </c>
      <c r="H230" s="34" t="str">
        <f aca="false">IF($B230="","",IFERROR(INDEX(CM_QTD,MATCH($B230,CM_ID,0)),""))</f>
        <v/>
      </c>
      <c r="I230" s="35" t="str">
        <f aca="false">IF($A230="","",$C230&amp;"/"&amp;$H230)</f>
        <v/>
      </c>
      <c r="J230" s="35" t="str">
        <f aca="false">IF($A230="","",IF($C230&lt;=IFERROR(INDEX(CM_PAGASANTES,MATCH($B230,CM_ID,0)),0),"SIM","NAO"))</f>
        <v/>
      </c>
      <c r="K230" s="36" t="n">
        <f aca="false">IF($A230="",0,SUMIFS(L_Valor,L_ParcID,$A230,L_Status,"REALIZADO"))</f>
        <v>0</v>
      </c>
      <c r="L230" s="38" t="str">
        <f aca="false">IF($A230="","",IFERROR(INDEX(L_Data,MATCH(1,INDEX((L_ParcID=$A230)*(L_Status="REALIZADO"),0),0)),""))</f>
        <v/>
      </c>
      <c r="M230" s="34" t="n">
        <f aca="false">IF($A230="",0,COUNTIFS(L_ParcID,$A230,L_Status,"REALIZADO"))</f>
        <v>0</v>
      </c>
      <c r="N230" s="34" t="n">
        <f aca="false">IF($A230="",0,COUNTIFS(L_ParcID,$A230,L_Status,"PROJETADO"))</f>
        <v>0</v>
      </c>
      <c r="O230" s="35" t="str">
        <f aca="false">IF($A230="","",IF($J230="SIM","PAGA",IF($M230&gt;0,"PAGA",IF($D230&lt;CFG_HOJE,"ATRASADA",IF($D230&lt;=EOMONTH(CFG_HOJE,0),"ABERTA","PROJETADA")))))</f>
        <v/>
      </c>
      <c r="P230" s="34" t="n">
        <f aca="false">IF($O230="ATRASADA",CFG_HOJE-$D230,0)</f>
        <v>0</v>
      </c>
      <c r="Q230" s="36" t="n">
        <f aca="false">IF($A230="",0,IF(AND($O230="PAGA",$J230="NAO"),$K230-$E230,0))</f>
        <v>0</v>
      </c>
    </row>
    <row r="231" customFormat="false" ht="15" hidden="false" customHeight="false" outlineLevel="0" collapsed="false">
      <c r="A231" s="30" t="str">
        <f aca="false">IF($B231="","","PAR-"&amp;TEXT(ROW()-4,"000000"))</f>
        <v/>
      </c>
      <c r="B231" s="32"/>
      <c r="C231" s="37"/>
      <c r="D231" s="31"/>
      <c r="E231" s="33"/>
      <c r="F231" s="32"/>
      <c r="G231" s="35" t="str">
        <f aca="false">IF($B231="","",IFERROR(INDEX(CM_NOME,MATCH($B231,CM_ID,0)),"?"))</f>
        <v/>
      </c>
      <c r="H231" s="34" t="str">
        <f aca="false">IF($B231="","",IFERROR(INDEX(CM_QTD,MATCH($B231,CM_ID,0)),""))</f>
        <v/>
      </c>
      <c r="I231" s="35" t="str">
        <f aca="false">IF($A231="","",$C231&amp;"/"&amp;$H231)</f>
        <v/>
      </c>
      <c r="J231" s="35" t="str">
        <f aca="false">IF($A231="","",IF($C231&lt;=IFERROR(INDEX(CM_PAGASANTES,MATCH($B231,CM_ID,0)),0),"SIM","NAO"))</f>
        <v/>
      </c>
      <c r="K231" s="36" t="n">
        <f aca="false">IF($A231="",0,SUMIFS(L_Valor,L_ParcID,$A231,L_Status,"REALIZADO"))</f>
        <v>0</v>
      </c>
      <c r="L231" s="38" t="str">
        <f aca="false">IF($A231="","",IFERROR(INDEX(L_Data,MATCH(1,INDEX((L_ParcID=$A231)*(L_Status="REALIZADO"),0),0)),""))</f>
        <v/>
      </c>
      <c r="M231" s="34" t="n">
        <f aca="false">IF($A231="",0,COUNTIFS(L_ParcID,$A231,L_Status,"REALIZADO"))</f>
        <v>0</v>
      </c>
      <c r="N231" s="34" t="n">
        <f aca="false">IF($A231="",0,COUNTIFS(L_ParcID,$A231,L_Status,"PROJETADO"))</f>
        <v>0</v>
      </c>
      <c r="O231" s="35" t="str">
        <f aca="false">IF($A231="","",IF($J231="SIM","PAGA",IF($M231&gt;0,"PAGA",IF($D231&lt;CFG_HOJE,"ATRASADA",IF($D231&lt;=EOMONTH(CFG_HOJE,0),"ABERTA","PROJETADA")))))</f>
        <v/>
      </c>
      <c r="P231" s="34" t="n">
        <f aca="false">IF($O231="ATRASADA",CFG_HOJE-$D231,0)</f>
        <v>0</v>
      </c>
      <c r="Q231" s="36" t="n">
        <f aca="false">IF($A231="",0,IF(AND($O231="PAGA",$J231="NAO"),$K231-$E231,0))</f>
        <v>0</v>
      </c>
    </row>
    <row r="232" customFormat="false" ht="15" hidden="false" customHeight="false" outlineLevel="0" collapsed="false">
      <c r="A232" s="30" t="str">
        <f aca="false">IF($B232="","","PAR-"&amp;TEXT(ROW()-4,"000000"))</f>
        <v/>
      </c>
      <c r="B232" s="32"/>
      <c r="C232" s="37"/>
      <c r="D232" s="31"/>
      <c r="E232" s="33"/>
      <c r="F232" s="32"/>
      <c r="G232" s="35" t="str">
        <f aca="false">IF($B232="","",IFERROR(INDEX(CM_NOME,MATCH($B232,CM_ID,0)),"?"))</f>
        <v/>
      </c>
      <c r="H232" s="34" t="str">
        <f aca="false">IF($B232="","",IFERROR(INDEX(CM_QTD,MATCH($B232,CM_ID,0)),""))</f>
        <v/>
      </c>
      <c r="I232" s="35" t="str">
        <f aca="false">IF($A232="","",$C232&amp;"/"&amp;$H232)</f>
        <v/>
      </c>
      <c r="J232" s="35" t="str">
        <f aca="false">IF($A232="","",IF($C232&lt;=IFERROR(INDEX(CM_PAGASANTES,MATCH($B232,CM_ID,0)),0),"SIM","NAO"))</f>
        <v/>
      </c>
      <c r="K232" s="36" t="n">
        <f aca="false">IF($A232="",0,SUMIFS(L_Valor,L_ParcID,$A232,L_Status,"REALIZADO"))</f>
        <v>0</v>
      </c>
      <c r="L232" s="38" t="str">
        <f aca="false">IF($A232="","",IFERROR(INDEX(L_Data,MATCH(1,INDEX((L_ParcID=$A232)*(L_Status="REALIZADO"),0),0)),""))</f>
        <v/>
      </c>
      <c r="M232" s="34" t="n">
        <f aca="false">IF($A232="",0,COUNTIFS(L_ParcID,$A232,L_Status,"REALIZADO"))</f>
        <v>0</v>
      </c>
      <c r="N232" s="34" t="n">
        <f aca="false">IF($A232="",0,COUNTIFS(L_ParcID,$A232,L_Status,"PROJETADO"))</f>
        <v>0</v>
      </c>
      <c r="O232" s="35" t="str">
        <f aca="false">IF($A232="","",IF($J232="SIM","PAGA",IF($M232&gt;0,"PAGA",IF($D232&lt;CFG_HOJE,"ATRASADA",IF($D232&lt;=EOMONTH(CFG_HOJE,0),"ABERTA","PROJETADA")))))</f>
        <v/>
      </c>
      <c r="P232" s="34" t="n">
        <f aca="false">IF($O232="ATRASADA",CFG_HOJE-$D232,0)</f>
        <v>0</v>
      </c>
      <c r="Q232" s="36" t="n">
        <f aca="false">IF($A232="",0,IF(AND($O232="PAGA",$J232="NAO"),$K232-$E232,0))</f>
        <v>0</v>
      </c>
    </row>
    <row r="233" customFormat="false" ht="15" hidden="false" customHeight="false" outlineLevel="0" collapsed="false">
      <c r="A233" s="30" t="str">
        <f aca="false">IF($B233="","","PAR-"&amp;TEXT(ROW()-4,"000000"))</f>
        <v/>
      </c>
      <c r="B233" s="32"/>
      <c r="C233" s="37"/>
      <c r="D233" s="31"/>
      <c r="E233" s="33"/>
      <c r="F233" s="32"/>
      <c r="G233" s="35" t="str">
        <f aca="false">IF($B233="","",IFERROR(INDEX(CM_NOME,MATCH($B233,CM_ID,0)),"?"))</f>
        <v/>
      </c>
      <c r="H233" s="34" t="str">
        <f aca="false">IF($B233="","",IFERROR(INDEX(CM_QTD,MATCH($B233,CM_ID,0)),""))</f>
        <v/>
      </c>
      <c r="I233" s="35" t="str">
        <f aca="false">IF($A233="","",$C233&amp;"/"&amp;$H233)</f>
        <v/>
      </c>
      <c r="J233" s="35" t="str">
        <f aca="false">IF($A233="","",IF($C233&lt;=IFERROR(INDEX(CM_PAGASANTES,MATCH($B233,CM_ID,0)),0),"SIM","NAO"))</f>
        <v/>
      </c>
      <c r="K233" s="36" t="n">
        <f aca="false">IF($A233="",0,SUMIFS(L_Valor,L_ParcID,$A233,L_Status,"REALIZADO"))</f>
        <v>0</v>
      </c>
      <c r="L233" s="38" t="str">
        <f aca="false">IF($A233="","",IFERROR(INDEX(L_Data,MATCH(1,INDEX((L_ParcID=$A233)*(L_Status="REALIZADO"),0),0)),""))</f>
        <v/>
      </c>
      <c r="M233" s="34" t="n">
        <f aca="false">IF($A233="",0,COUNTIFS(L_ParcID,$A233,L_Status,"REALIZADO"))</f>
        <v>0</v>
      </c>
      <c r="N233" s="34" t="n">
        <f aca="false">IF($A233="",0,COUNTIFS(L_ParcID,$A233,L_Status,"PROJETADO"))</f>
        <v>0</v>
      </c>
      <c r="O233" s="35" t="str">
        <f aca="false">IF($A233="","",IF($J233="SIM","PAGA",IF($M233&gt;0,"PAGA",IF($D233&lt;CFG_HOJE,"ATRASADA",IF($D233&lt;=EOMONTH(CFG_HOJE,0),"ABERTA","PROJETADA")))))</f>
        <v/>
      </c>
      <c r="P233" s="34" t="n">
        <f aca="false">IF($O233="ATRASADA",CFG_HOJE-$D233,0)</f>
        <v>0</v>
      </c>
      <c r="Q233" s="36" t="n">
        <f aca="false">IF($A233="",0,IF(AND($O233="PAGA",$J233="NAO"),$K233-$E233,0))</f>
        <v>0</v>
      </c>
    </row>
    <row r="234" customFormat="false" ht="15" hidden="false" customHeight="false" outlineLevel="0" collapsed="false">
      <c r="A234" s="30" t="str">
        <f aca="false">IF($B234="","","PAR-"&amp;TEXT(ROW()-4,"000000"))</f>
        <v/>
      </c>
      <c r="B234" s="32"/>
      <c r="C234" s="37"/>
      <c r="D234" s="31"/>
      <c r="E234" s="33"/>
      <c r="F234" s="32"/>
      <c r="G234" s="35" t="str">
        <f aca="false">IF($B234="","",IFERROR(INDEX(CM_NOME,MATCH($B234,CM_ID,0)),"?"))</f>
        <v/>
      </c>
      <c r="H234" s="34" t="str">
        <f aca="false">IF($B234="","",IFERROR(INDEX(CM_QTD,MATCH($B234,CM_ID,0)),""))</f>
        <v/>
      </c>
      <c r="I234" s="35" t="str">
        <f aca="false">IF($A234="","",$C234&amp;"/"&amp;$H234)</f>
        <v/>
      </c>
      <c r="J234" s="35" t="str">
        <f aca="false">IF($A234="","",IF($C234&lt;=IFERROR(INDEX(CM_PAGASANTES,MATCH($B234,CM_ID,0)),0),"SIM","NAO"))</f>
        <v/>
      </c>
      <c r="K234" s="36" t="n">
        <f aca="false">IF($A234="",0,SUMIFS(L_Valor,L_ParcID,$A234,L_Status,"REALIZADO"))</f>
        <v>0</v>
      </c>
      <c r="L234" s="38" t="str">
        <f aca="false">IF($A234="","",IFERROR(INDEX(L_Data,MATCH(1,INDEX((L_ParcID=$A234)*(L_Status="REALIZADO"),0),0)),""))</f>
        <v/>
      </c>
      <c r="M234" s="34" t="n">
        <f aca="false">IF($A234="",0,COUNTIFS(L_ParcID,$A234,L_Status,"REALIZADO"))</f>
        <v>0</v>
      </c>
      <c r="N234" s="34" t="n">
        <f aca="false">IF($A234="",0,COUNTIFS(L_ParcID,$A234,L_Status,"PROJETADO"))</f>
        <v>0</v>
      </c>
      <c r="O234" s="35" t="str">
        <f aca="false">IF($A234="","",IF($J234="SIM","PAGA",IF($M234&gt;0,"PAGA",IF($D234&lt;CFG_HOJE,"ATRASADA",IF($D234&lt;=EOMONTH(CFG_HOJE,0),"ABERTA","PROJETADA")))))</f>
        <v/>
      </c>
      <c r="P234" s="34" t="n">
        <f aca="false">IF($O234="ATRASADA",CFG_HOJE-$D234,0)</f>
        <v>0</v>
      </c>
      <c r="Q234" s="36" t="n">
        <f aca="false">IF($A234="",0,IF(AND($O234="PAGA",$J234="NAO"),$K234-$E234,0))</f>
        <v>0</v>
      </c>
    </row>
    <row r="235" customFormat="false" ht="15" hidden="false" customHeight="false" outlineLevel="0" collapsed="false">
      <c r="A235" s="30" t="str">
        <f aca="false">IF($B235="","","PAR-"&amp;TEXT(ROW()-4,"000000"))</f>
        <v/>
      </c>
      <c r="B235" s="32"/>
      <c r="C235" s="37"/>
      <c r="D235" s="31"/>
      <c r="E235" s="33"/>
      <c r="F235" s="32"/>
      <c r="G235" s="35" t="str">
        <f aca="false">IF($B235="","",IFERROR(INDEX(CM_NOME,MATCH($B235,CM_ID,0)),"?"))</f>
        <v/>
      </c>
      <c r="H235" s="34" t="str">
        <f aca="false">IF($B235="","",IFERROR(INDEX(CM_QTD,MATCH($B235,CM_ID,0)),""))</f>
        <v/>
      </c>
      <c r="I235" s="35" t="str">
        <f aca="false">IF($A235="","",$C235&amp;"/"&amp;$H235)</f>
        <v/>
      </c>
      <c r="J235" s="35" t="str">
        <f aca="false">IF($A235="","",IF($C235&lt;=IFERROR(INDEX(CM_PAGASANTES,MATCH($B235,CM_ID,0)),0),"SIM","NAO"))</f>
        <v/>
      </c>
      <c r="K235" s="36" t="n">
        <f aca="false">IF($A235="",0,SUMIFS(L_Valor,L_ParcID,$A235,L_Status,"REALIZADO"))</f>
        <v>0</v>
      </c>
      <c r="L235" s="38" t="str">
        <f aca="false">IF($A235="","",IFERROR(INDEX(L_Data,MATCH(1,INDEX((L_ParcID=$A235)*(L_Status="REALIZADO"),0),0)),""))</f>
        <v/>
      </c>
      <c r="M235" s="34" t="n">
        <f aca="false">IF($A235="",0,COUNTIFS(L_ParcID,$A235,L_Status,"REALIZADO"))</f>
        <v>0</v>
      </c>
      <c r="N235" s="34" t="n">
        <f aca="false">IF($A235="",0,COUNTIFS(L_ParcID,$A235,L_Status,"PROJETADO"))</f>
        <v>0</v>
      </c>
      <c r="O235" s="35" t="str">
        <f aca="false">IF($A235="","",IF($J235="SIM","PAGA",IF($M235&gt;0,"PAGA",IF($D235&lt;CFG_HOJE,"ATRASADA",IF($D235&lt;=EOMONTH(CFG_HOJE,0),"ABERTA","PROJETADA")))))</f>
        <v/>
      </c>
      <c r="P235" s="34" t="n">
        <f aca="false">IF($O235="ATRASADA",CFG_HOJE-$D235,0)</f>
        <v>0</v>
      </c>
      <c r="Q235" s="36" t="n">
        <f aca="false">IF($A235="",0,IF(AND($O235="PAGA",$J235="NAO"),$K235-$E235,0))</f>
        <v>0</v>
      </c>
    </row>
    <row r="236" customFormat="false" ht="15" hidden="false" customHeight="false" outlineLevel="0" collapsed="false">
      <c r="A236" s="30" t="str">
        <f aca="false">IF($B236="","","PAR-"&amp;TEXT(ROW()-4,"000000"))</f>
        <v/>
      </c>
      <c r="B236" s="32"/>
      <c r="C236" s="37"/>
      <c r="D236" s="31"/>
      <c r="E236" s="33"/>
      <c r="F236" s="32"/>
      <c r="G236" s="35" t="str">
        <f aca="false">IF($B236="","",IFERROR(INDEX(CM_NOME,MATCH($B236,CM_ID,0)),"?"))</f>
        <v/>
      </c>
      <c r="H236" s="34" t="str">
        <f aca="false">IF($B236="","",IFERROR(INDEX(CM_QTD,MATCH($B236,CM_ID,0)),""))</f>
        <v/>
      </c>
      <c r="I236" s="35" t="str">
        <f aca="false">IF($A236="","",$C236&amp;"/"&amp;$H236)</f>
        <v/>
      </c>
      <c r="J236" s="35" t="str">
        <f aca="false">IF($A236="","",IF($C236&lt;=IFERROR(INDEX(CM_PAGASANTES,MATCH($B236,CM_ID,0)),0),"SIM","NAO"))</f>
        <v/>
      </c>
      <c r="K236" s="36" t="n">
        <f aca="false">IF($A236="",0,SUMIFS(L_Valor,L_ParcID,$A236,L_Status,"REALIZADO"))</f>
        <v>0</v>
      </c>
      <c r="L236" s="38" t="str">
        <f aca="false">IF($A236="","",IFERROR(INDEX(L_Data,MATCH(1,INDEX((L_ParcID=$A236)*(L_Status="REALIZADO"),0),0)),""))</f>
        <v/>
      </c>
      <c r="M236" s="34" t="n">
        <f aca="false">IF($A236="",0,COUNTIFS(L_ParcID,$A236,L_Status,"REALIZADO"))</f>
        <v>0</v>
      </c>
      <c r="N236" s="34" t="n">
        <f aca="false">IF($A236="",0,COUNTIFS(L_ParcID,$A236,L_Status,"PROJETADO"))</f>
        <v>0</v>
      </c>
      <c r="O236" s="35" t="str">
        <f aca="false">IF($A236="","",IF($J236="SIM","PAGA",IF($M236&gt;0,"PAGA",IF($D236&lt;CFG_HOJE,"ATRASADA",IF($D236&lt;=EOMONTH(CFG_HOJE,0),"ABERTA","PROJETADA")))))</f>
        <v/>
      </c>
      <c r="P236" s="34" t="n">
        <f aca="false">IF($O236="ATRASADA",CFG_HOJE-$D236,0)</f>
        <v>0</v>
      </c>
      <c r="Q236" s="36" t="n">
        <f aca="false">IF($A236="",0,IF(AND($O236="PAGA",$J236="NAO"),$K236-$E236,0))</f>
        <v>0</v>
      </c>
    </row>
    <row r="237" customFormat="false" ht="15" hidden="false" customHeight="false" outlineLevel="0" collapsed="false">
      <c r="A237" s="30" t="str">
        <f aca="false">IF($B237="","","PAR-"&amp;TEXT(ROW()-4,"000000"))</f>
        <v/>
      </c>
      <c r="B237" s="32"/>
      <c r="C237" s="37"/>
      <c r="D237" s="31"/>
      <c r="E237" s="33"/>
      <c r="F237" s="32"/>
      <c r="G237" s="35" t="str">
        <f aca="false">IF($B237="","",IFERROR(INDEX(CM_NOME,MATCH($B237,CM_ID,0)),"?"))</f>
        <v/>
      </c>
      <c r="H237" s="34" t="str">
        <f aca="false">IF($B237="","",IFERROR(INDEX(CM_QTD,MATCH($B237,CM_ID,0)),""))</f>
        <v/>
      </c>
      <c r="I237" s="35" t="str">
        <f aca="false">IF($A237="","",$C237&amp;"/"&amp;$H237)</f>
        <v/>
      </c>
      <c r="J237" s="35" t="str">
        <f aca="false">IF($A237="","",IF($C237&lt;=IFERROR(INDEX(CM_PAGASANTES,MATCH($B237,CM_ID,0)),0),"SIM","NAO"))</f>
        <v/>
      </c>
      <c r="K237" s="36" t="n">
        <f aca="false">IF($A237="",0,SUMIFS(L_Valor,L_ParcID,$A237,L_Status,"REALIZADO"))</f>
        <v>0</v>
      </c>
      <c r="L237" s="38" t="str">
        <f aca="false">IF($A237="","",IFERROR(INDEX(L_Data,MATCH(1,INDEX((L_ParcID=$A237)*(L_Status="REALIZADO"),0),0)),""))</f>
        <v/>
      </c>
      <c r="M237" s="34" t="n">
        <f aca="false">IF($A237="",0,COUNTIFS(L_ParcID,$A237,L_Status,"REALIZADO"))</f>
        <v>0</v>
      </c>
      <c r="N237" s="34" t="n">
        <f aca="false">IF($A237="",0,COUNTIFS(L_ParcID,$A237,L_Status,"PROJETADO"))</f>
        <v>0</v>
      </c>
      <c r="O237" s="35" t="str">
        <f aca="false">IF($A237="","",IF($J237="SIM","PAGA",IF($M237&gt;0,"PAGA",IF($D237&lt;CFG_HOJE,"ATRASADA",IF($D237&lt;=EOMONTH(CFG_HOJE,0),"ABERTA","PROJETADA")))))</f>
        <v/>
      </c>
      <c r="P237" s="34" t="n">
        <f aca="false">IF($O237="ATRASADA",CFG_HOJE-$D237,0)</f>
        <v>0</v>
      </c>
      <c r="Q237" s="36" t="n">
        <f aca="false">IF($A237="",0,IF(AND($O237="PAGA",$J237="NAO"),$K237-$E237,0))</f>
        <v>0</v>
      </c>
    </row>
    <row r="238" customFormat="false" ht="15" hidden="false" customHeight="false" outlineLevel="0" collapsed="false">
      <c r="A238" s="30" t="str">
        <f aca="false">IF($B238="","","PAR-"&amp;TEXT(ROW()-4,"000000"))</f>
        <v/>
      </c>
      <c r="B238" s="32"/>
      <c r="C238" s="37"/>
      <c r="D238" s="31"/>
      <c r="E238" s="33"/>
      <c r="F238" s="32"/>
      <c r="G238" s="35" t="str">
        <f aca="false">IF($B238="","",IFERROR(INDEX(CM_NOME,MATCH($B238,CM_ID,0)),"?"))</f>
        <v/>
      </c>
      <c r="H238" s="34" t="str">
        <f aca="false">IF($B238="","",IFERROR(INDEX(CM_QTD,MATCH($B238,CM_ID,0)),""))</f>
        <v/>
      </c>
      <c r="I238" s="35" t="str">
        <f aca="false">IF($A238="","",$C238&amp;"/"&amp;$H238)</f>
        <v/>
      </c>
      <c r="J238" s="35" t="str">
        <f aca="false">IF($A238="","",IF($C238&lt;=IFERROR(INDEX(CM_PAGASANTES,MATCH($B238,CM_ID,0)),0),"SIM","NAO"))</f>
        <v/>
      </c>
      <c r="K238" s="36" t="n">
        <f aca="false">IF($A238="",0,SUMIFS(L_Valor,L_ParcID,$A238,L_Status,"REALIZADO"))</f>
        <v>0</v>
      </c>
      <c r="L238" s="38" t="str">
        <f aca="false">IF($A238="","",IFERROR(INDEX(L_Data,MATCH(1,INDEX((L_ParcID=$A238)*(L_Status="REALIZADO"),0),0)),""))</f>
        <v/>
      </c>
      <c r="M238" s="34" t="n">
        <f aca="false">IF($A238="",0,COUNTIFS(L_ParcID,$A238,L_Status,"REALIZADO"))</f>
        <v>0</v>
      </c>
      <c r="N238" s="34" t="n">
        <f aca="false">IF($A238="",0,COUNTIFS(L_ParcID,$A238,L_Status,"PROJETADO"))</f>
        <v>0</v>
      </c>
      <c r="O238" s="35" t="str">
        <f aca="false">IF($A238="","",IF($J238="SIM","PAGA",IF($M238&gt;0,"PAGA",IF($D238&lt;CFG_HOJE,"ATRASADA",IF($D238&lt;=EOMONTH(CFG_HOJE,0),"ABERTA","PROJETADA")))))</f>
        <v/>
      </c>
      <c r="P238" s="34" t="n">
        <f aca="false">IF($O238="ATRASADA",CFG_HOJE-$D238,0)</f>
        <v>0</v>
      </c>
      <c r="Q238" s="36" t="n">
        <f aca="false">IF($A238="",0,IF(AND($O238="PAGA",$J238="NAO"),$K238-$E238,0))</f>
        <v>0</v>
      </c>
    </row>
    <row r="239" customFormat="false" ht="15" hidden="false" customHeight="false" outlineLevel="0" collapsed="false">
      <c r="A239" s="30" t="str">
        <f aca="false">IF($B239="","","PAR-"&amp;TEXT(ROW()-4,"000000"))</f>
        <v/>
      </c>
      <c r="B239" s="32"/>
      <c r="C239" s="37"/>
      <c r="D239" s="31"/>
      <c r="E239" s="33"/>
      <c r="F239" s="32"/>
      <c r="G239" s="35" t="str">
        <f aca="false">IF($B239="","",IFERROR(INDEX(CM_NOME,MATCH($B239,CM_ID,0)),"?"))</f>
        <v/>
      </c>
      <c r="H239" s="34" t="str">
        <f aca="false">IF($B239="","",IFERROR(INDEX(CM_QTD,MATCH($B239,CM_ID,0)),""))</f>
        <v/>
      </c>
      <c r="I239" s="35" t="str">
        <f aca="false">IF($A239="","",$C239&amp;"/"&amp;$H239)</f>
        <v/>
      </c>
      <c r="J239" s="35" t="str">
        <f aca="false">IF($A239="","",IF($C239&lt;=IFERROR(INDEX(CM_PAGASANTES,MATCH($B239,CM_ID,0)),0),"SIM","NAO"))</f>
        <v/>
      </c>
      <c r="K239" s="36" t="n">
        <f aca="false">IF($A239="",0,SUMIFS(L_Valor,L_ParcID,$A239,L_Status,"REALIZADO"))</f>
        <v>0</v>
      </c>
      <c r="L239" s="38" t="str">
        <f aca="false">IF($A239="","",IFERROR(INDEX(L_Data,MATCH(1,INDEX((L_ParcID=$A239)*(L_Status="REALIZADO"),0),0)),""))</f>
        <v/>
      </c>
      <c r="M239" s="34" t="n">
        <f aca="false">IF($A239="",0,COUNTIFS(L_ParcID,$A239,L_Status,"REALIZADO"))</f>
        <v>0</v>
      </c>
      <c r="N239" s="34" t="n">
        <f aca="false">IF($A239="",0,COUNTIFS(L_ParcID,$A239,L_Status,"PROJETADO"))</f>
        <v>0</v>
      </c>
      <c r="O239" s="35" t="str">
        <f aca="false">IF($A239="","",IF($J239="SIM","PAGA",IF($M239&gt;0,"PAGA",IF($D239&lt;CFG_HOJE,"ATRASADA",IF($D239&lt;=EOMONTH(CFG_HOJE,0),"ABERTA","PROJETADA")))))</f>
        <v/>
      </c>
      <c r="P239" s="34" t="n">
        <f aca="false">IF($O239="ATRASADA",CFG_HOJE-$D239,0)</f>
        <v>0</v>
      </c>
      <c r="Q239" s="36" t="n">
        <f aca="false">IF($A239="",0,IF(AND($O239="PAGA",$J239="NAO"),$K239-$E239,0))</f>
        <v>0</v>
      </c>
    </row>
    <row r="240" customFormat="false" ht="15" hidden="false" customHeight="false" outlineLevel="0" collapsed="false">
      <c r="A240" s="30" t="str">
        <f aca="false">IF($B240="","","PAR-"&amp;TEXT(ROW()-4,"000000"))</f>
        <v/>
      </c>
      <c r="B240" s="32"/>
      <c r="C240" s="37"/>
      <c r="D240" s="31"/>
      <c r="E240" s="33"/>
      <c r="F240" s="32"/>
      <c r="G240" s="35" t="str">
        <f aca="false">IF($B240="","",IFERROR(INDEX(CM_NOME,MATCH($B240,CM_ID,0)),"?"))</f>
        <v/>
      </c>
      <c r="H240" s="34" t="str">
        <f aca="false">IF($B240="","",IFERROR(INDEX(CM_QTD,MATCH($B240,CM_ID,0)),""))</f>
        <v/>
      </c>
      <c r="I240" s="35" t="str">
        <f aca="false">IF($A240="","",$C240&amp;"/"&amp;$H240)</f>
        <v/>
      </c>
      <c r="J240" s="35" t="str">
        <f aca="false">IF($A240="","",IF($C240&lt;=IFERROR(INDEX(CM_PAGASANTES,MATCH($B240,CM_ID,0)),0),"SIM","NAO"))</f>
        <v/>
      </c>
      <c r="K240" s="36" t="n">
        <f aca="false">IF($A240="",0,SUMIFS(L_Valor,L_ParcID,$A240,L_Status,"REALIZADO"))</f>
        <v>0</v>
      </c>
      <c r="L240" s="38" t="str">
        <f aca="false">IF($A240="","",IFERROR(INDEX(L_Data,MATCH(1,INDEX((L_ParcID=$A240)*(L_Status="REALIZADO"),0),0)),""))</f>
        <v/>
      </c>
      <c r="M240" s="34" t="n">
        <f aca="false">IF($A240="",0,COUNTIFS(L_ParcID,$A240,L_Status,"REALIZADO"))</f>
        <v>0</v>
      </c>
      <c r="N240" s="34" t="n">
        <f aca="false">IF($A240="",0,COUNTIFS(L_ParcID,$A240,L_Status,"PROJETADO"))</f>
        <v>0</v>
      </c>
      <c r="O240" s="35" t="str">
        <f aca="false">IF($A240="","",IF($J240="SIM","PAGA",IF($M240&gt;0,"PAGA",IF($D240&lt;CFG_HOJE,"ATRASADA",IF($D240&lt;=EOMONTH(CFG_HOJE,0),"ABERTA","PROJETADA")))))</f>
        <v/>
      </c>
      <c r="P240" s="34" t="n">
        <f aca="false">IF($O240="ATRASADA",CFG_HOJE-$D240,0)</f>
        <v>0</v>
      </c>
      <c r="Q240" s="36" t="n">
        <f aca="false">IF($A240="",0,IF(AND($O240="PAGA",$J240="NAO"),$K240-$E240,0))</f>
        <v>0</v>
      </c>
    </row>
    <row r="241" customFormat="false" ht="15" hidden="false" customHeight="false" outlineLevel="0" collapsed="false">
      <c r="A241" s="30" t="str">
        <f aca="false">IF($B241="","","PAR-"&amp;TEXT(ROW()-4,"000000"))</f>
        <v/>
      </c>
      <c r="B241" s="32"/>
      <c r="C241" s="37"/>
      <c r="D241" s="31"/>
      <c r="E241" s="33"/>
      <c r="F241" s="32"/>
      <c r="G241" s="35" t="str">
        <f aca="false">IF($B241="","",IFERROR(INDEX(CM_NOME,MATCH($B241,CM_ID,0)),"?"))</f>
        <v/>
      </c>
      <c r="H241" s="34" t="str">
        <f aca="false">IF($B241="","",IFERROR(INDEX(CM_QTD,MATCH($B241,CM_ID,0)),""))</f>
        <v/>
      </c>
      <c r="I241" s="35" t="str">
        <f aca="false">IF($A241="","",$C241&amp;"/"&amp;$H241)</f>
        <v/>
      </c>
      <c r="J241" s="35" t="str">
        <f aca="false">IF($A241="","",IF($C241&lt;=IFERROR(INDEX(CM_PAGASANTES,MATCH($B241,CM_ID,0)),0),"SIM","NAO"))</f>
        <v/>
      </c>
      <c r="K241" s="36" t="n">
        <f aca="false">IF($A241="",0,SUMIFS(L_Valor,L_ParcID,$A241,L_Status,"REALIZADO"))</f>
        <v>0</v>
      </c>
      <c r="L241" s="38" t="str">
        <f aca="false">IF($A241="","",IFERROR(INDEX(L_Data,MATCH(1,INDEX((L_ParcID=$A241)*(L_Status="REALIZADO"),0),0)),""))</f>
        <v/>
      </c>
      <c r="M241" s="34" t="n">
        <f aca="false">IF($A241="",0,COUNTIFS(L_ParcID,$A241,L_Status,"REALIZADO"))</f>
        <v>0</v>
      </c>
      <c r="N241" s="34" t="n">
        <f aca="false">IF($A241="",0,COUNTIFS(L_ParcID,$A241,L_Status,"PROJETADO"))</f>
        <v>0</v>
      </c>
      <c r="O241" s="35" t="str">
        <f aca="false">IF($A241="","",IF($J241="SIM","PAGA",IF($M241&gt;0,"PAGA",IF($D241&lt;CFG_HOJE,"ATRASADA",IF($D241&lt;=EOMONTH(CFG_HOJE,0),"ABERTA","PROJETADA")))))</f>
        <v/>
      </c>
      <c r="P241" s="34" t="n">
        <f aca="false">IF($O241="ATRASADA",CFG_HOJE-$D241,0)</f>
        <v>0</v>
      </c>
      <c r="Q241" s="36" t="n">
        <f aca="false">IF($A241="",0,IF(AND($O241="PAGA",$J241="NAO"),$K241-$E241,0))</f>
        <v>0</v>
      </c>
    </row>
    <row r="242" customFormat="false" ht="15" hidden="false" customHeight="false" outlineLevel="0" collapsed="false">
      <c r="A242" s="30" t="str">
        <f aca="false">IF($B242="","","PAR-"&amp;TEXT(ROW()-4,"000000"))</f>
        <v/>
      </c>
      <c r="B242" s="32"/>
      <c r="C242" s="37"/>
      <c r="D242" s="31"/>
      <c r="E242" s="33"/>
      <c r="F242" s="32"/>
      <c r="G242" s="35" t="str">
        <f aca="false">IF($B242="","",IFERROR(INDEX(CM_NOME,MATCH($B242,CM_ID,0)),"?"))</f>
        <v/>
      </c>
      <c r="H242" s="34" t="str">
        <f aca="false">IF($B242="","",IFERROR(INDEX(CM_QTD,MATCH($B242,CM_ID,0)),""))</f>
        <v/>
      </c>
      <c r="I242" s="35" t="str">
        <f aca="false">IF($A242="","",$C242&amp;"/"&amp;$H242)</f>
        <v/>
      </c>
      <c r="J242" s="35" t="str">
        <f aca="false">IF($A242="","",IF($C242&lt;=IFERROR(INDEX(CM_PAGASANTES,MATCH($B242,CM_ID,0)),0),"SIM","NAO"))</f>
        <v/>
      </c>
      <c r="K242" s="36" t="n">
        <f aca="false">IF($A242="",0,SUMIFS(L_Valor,L_ParcID,$A242,L_Status,"REALIZADO"))</f>
        <v>0</v>
      </c>
      <c r="L242" s="38" t="str">
        <f aca="false">IF($A242="","",IFERROR(INDEX(L_Data,MATCH(1,INDEX((L_ParcID=$A242)*(L_Status="REALIZADO"),0),0)),""))</f>
        <v/>
      </c>
      <c r="M242" s="34" t="n">
        <f aca="false">IF($A242="",0,COUNTIFS(L_ParcID,$A242,L_Status,"REALIZADO"))</f>
        <v>0</v>
      </c>
      <c r="N242" s="34" t="n">
        <f aca="false">IF($A242="",0,COUNTIFS(L_ParcID,$A242,L_Status,"PROJETADO"))</f>
        <v>0</v>
      </c>
      <c r="O242" s="35" t="str">
        <f aca="false">IF($A242="","",IF($J242="SIM","PAGA",IF($M242&gt;0,"PAGA",IF($D242&lt;CFG_HOJE,"ATRASADA",IF($D242&lt;=EOMONTH(CFG_HOJE,0),"ABERTA","PROJETADA")))))</f>
        <v/>
      </c>
      <c r="P242" s="34" t="n">
        <f aca="false">IF($O242="ATRASADA",CFG_HOJE-$D242,0)</f>
        <v>0</v>
      </c>
      <c r="Q242" s="36" t="n">
        <f aca="false">IF($A242="",0,IF(AND($O242="PAGA",$J242="NAO"),$K242-$E242,0))</f>
        <v>0</v>
      </c>
    </row>
    <row r="243" customFormat="false" ht="15" hidden="false" customHeight="false" outlineLevel="0" collapsed="false">
      <c r="A243" s="30" t="str">
        <f aca="false">IF($B243="","","PAR-"&amp;TEXT(ROW()-4,"000000"))</f>
        <v/>
      </c>
      <c r="B243" s="32"/>
      <c r="C243" s="37"/>
      <c r="D243" s="31"/>
      <c r="E243" s="33"/>
      <c r="F243" s="32"/>
      <c r="G243" s="35" t="str">
        <f aca="false">IF($B243="","",IFERROR(INDEX(CM_NOME,MATCH($B243,CM_ID,0)),"?"))</f>
        <v/>
      </c>
      <c r="H243" s="34" t="str">
        <f aca="false">IF($B243="","",IFERROR(INDEX(CM_QTD,MATCH($B243,CM_ID,0)),""))</f>
        <v/>
      </c>
      <c r="I243" s="35" t="str">
        <f aca="false">IF($A243="","",$C243&amp;"/"&amp;$H243)</f>
        <v/>
      </c>
      <c r="J243" s="35" t="str">
        <f aca="false">IF($A243="","",IF($C243&lt;=IFERROR(INDEX(CM_PAGASANTES,MATCH($B243,CM_ID,0)),0),"SIM","NAO"))</f>
        <v/>
      </c>
      <c r="K243" s="36" t="n">
        <f aca="false">IF($A243="",0,SUMIFS(L_Valor,L_ParcID,$A243,L_Status,"REALIZADO"))</f>
        <v>0</v>
      </c>
      <c r="L243" s="38" t="str">
        <f aca="false">IF($A243="","",IFERROR(INDEX(L_Data,MATCH(1,INDEX((L_ParcID=$A243)*(L_Status="REALIZADO"),0),0)),""))</f>
        <v/>
      </c>
      <c r="M243" s="34" t="n">
        <f aca="false">IF($A243="",0,COUNTIFS(L_ParcID,$A243,L_Status,"REALIZADO"))</f>
        <v>0</v>
      </c>
      <c r="N243" s="34" t="n">
        <f aca="false">IF($A243="",0,COUNTIFS(L_ParcID,$A243,L_Status,"PROJETADO"))</f>
        <v>0</v>
      </c>
      <c r="O243" s="35" t="str">
        <f aca="false">IF($A243="","",IF($J243="SIM","PAGA",IF($M243&gt;0,"PAGA",IF($D243&lt;CFG_HOJE,"ATRASADA",IF($D243&lt;=EOMONTH(CFG_HOJE,0),"ABERTA","PROJETADA")))))</f>
        <v/>
      </c>
      <c r="P243" s="34" t="n">
        <f aca="false">IF($O243="ATRASADA",CFG_HOJE-$D243,0)</f>
        <v>0</v>
      </c>
      <c r="Q243" s="36" t="n">
        <f aca="false">IF($A243="",0,IF(AND($O243="PAGA",$J243="NAO"),$K243-$E243,0))</f>
        <v>0</v>
      </c>
    </row>
    <row r="244" customFormat="false" ht="15" hidden="false" customHeight="false" outlineLevel="0" collapsed="false">
      <c r="A244" s="30" t="str">
        <f aca="false">IF($B244="","","PAR-"&amp;TEXT(ROW()-4,"000000"))</f>
        <v/>
      </c>
      <c r="B244" s="32"/>
      <c r="C244" s="37"/>
      <c r="D244" s="31"/>
      <c r="E244" s="33"/>
      <c r="F244" s="32"/>
      <c r="G244" s="35" t="str">
        <f aca="false">IF($B244="","",IFERROR(INDEX(CM_NOME,MATCH($B244,CM_ID,0)),"?"))</f>
        <v/>
      </c>
      <c r="H244" s="34" t="str">
        <f aca="false">IF($B244="","",IFERROR(INDEX(CM_QTD,MATCH($B244,CM_ID,0)),""))</f>
        <v/>
      </c>
      <c r="I244" s="35" t="str">
        <f aca="false">IF($A244="","",$C244&amp;"/"&amp;$H244)</f>
        <v/>
      </c>
      <c r="J244" s="35" t="str">
        <f aca="false">IF($A244="","",IF($C244&lt;=IFERROR(INDEX(CM_PAGASANTES,MATCH($B244,CM_ID,0)),0),"SIM","NAO"))</f>
        <v/>
      </c>
      <c r="K244" s="36" t="n">
        <f aca="false">IF($A244="",0,SUMIFS(L_Valor,L_ParcID,$A244,L_Status,"REALIZADO"))</f>
        <v>0</v>
      </c>
      <c r="L244" s="38" t="str">
        <f aca="false">IF($A244="","",IFERROR(INDEX(L_Data,MATCH(1,INDEX((L_ParcID=$A244)*(L_Status="REALIZADO"),0),0)),""))</f>
        <v/>
      </c>
      <c r="M244" s="34" t="n">
        <f aca="false">IF($A244="",0,COUNTIFS(L_ParcID,$A244,L_Status,"REALIZADO"))</f>
        <v>0</v>
      </c>
      <c r="N244" s="34" t="n">
        <f aca="false">IF($A244="",0,COUNTIFS(L_ParcID,$A244,L_Status,"PROJETADO"))</f>
        <v>0</v>
      </c>
      <c r="O244" s="35" t="str">
        <f aca="false">IF($A244="","",IF($J244="SIM","PAGA",IF($M244&gt;0,"PAGA",IF($D244&lt;CFG_HOJE,"ATRASADA",IF($D244&lt;=EOMONTH(CFG_HOJE,0),"ABERTA","PROJETADA")))))</f>
        <v/>
      </c>
      <c r="P244" s="34" t="n">
        <f aca="false">IF($O244="ATRASADA",CFG_HOJE-$D244,0)</f>
        <v>0</v>
      </c>
      <c r="Q244" s="36" t="n">
        <f aca="false">IF($A244="",0,IF(AND($O244="PAGA",$J244="NAO"),$K244-$E244,0))</f>
        <v>0</v>
      </c>
    </row>
    <row r="245" customFormat="false" ht="15" hidden="false" customHeight="false" outlineLevel="0" collapsed="false">
      <c r="A245" s="30" t="str">
        <f aca="false">IF($B245="","","PAR-"&amp;TEXT(ROW()-4,"000000"))</f>
        <v/>
      </c>
      <c r="B245" s="32"/>
      <c r="C245" s="37"/>
      <c r="D245" s="31"/>
      <c r="E245" s="33"/>
      <c r="F245" s="32"/>
      <c r="G245" s="35" t="str">
        <f aca="false">IF($B245="","",IFERROR(INDEX(CM_NOME,MATCH($B245,CM_ID,0)),"?"))</f>
        <v/>
      </c>
      <c r="H245" s="34" t="str">
        <f aca="false">IF($B245="","",IFERROR(INDEX(CM_QTD,MATCH($B245,CM_ID,0)),""))</f>
        <v/>
      </c>
      <c r="I245" s="35" t="str">
        <f aca="false">IF($A245="","",$C245&amp;"/"&amp;$H245)</f>
        <v/>
      </c>
      <c r="J245" s="35" t="str">
        <f aca="false">IF($A245="","",IF($C245&lt;=IFERROR(INDEX(CM_PAGASANTES,MATCH($B245,CM_ID,0)),0),"SIM","NAO"))</f>
        <v/>
      </c>
      <c r="K245" s="36" t="n">
        <f aca="false">IF($A245="",0,SUMIFS(L_Valor,L_ParcID,$A245,L_Status,"REALIZADO"))</f>
        <v>0</v>
      </c>
      <c r="L245" s="38" t="str">
        <f aca="false">IF($A245="","",IFERROR(INDEX(L_Data,MATCH(1,INDEX((L_ParcID=$A245)*(L_Status="REALIZADO"),0),0)),""))</f>
        <v/>
      </c>
      <c r="M245" s="34" t="n">
        <f aca="false">IF($A245="",0,COUNTIFS(L_ParcID,$A245,L_Status,"REALIZADO"))</f>
        <v>0</v>
      </c>
      <c r="N245" s="34" t="n">
        <f aca="false">IF($A245="",0,COUNTIFS(L_ParcID,$A245,L_Status,"PROJETADO"))</f>
        <v>0</v>
      </c>
      <c r="O245" s="35" t="str">
        <f aca="false">IF($A245="","",IF($J245="SIM","PAGA",IF($M245&gt;0,"PAGA",IF($D245&lt;CFG_HOJE,"ATRASADA",IF($D245&lt;=EOMONTH(CFG_HOJE,0),"ABERTA","PROJETADA")))))</f>
        <v/>
      </c>
      <c r="P245" s="34" t="n">
        <f aca="false">IF($O245="ATRASADA",CFG_HOJE-$D245,0)</f>
        <v>0</v>
      </c>
      <c r="Q245" s="36" t="n">
        <f aca="false">IF($A245="",0,IF(AND($O245="PAGA",$J245="NAO"),$K245-$E245,0))</f>
        <v>0</v>
      </c>
    </row>
    <row r="246" customFormat="false" ht="15" hidden="false" customHeight="false" outlineLevel="0" collapsed="false">
      <c r="A246" s="30" t="str">
        <f aca="false">IF($B246="","","PAR-"&amp;TEXT(ROW()-4,"000000"))</f>
        <v/>
      </c>
      <c r="B246" s="32"/>
      <c r="C246" s="37"/>
      <c r="D246" s="31"/>
      <c r="E246" s="33"/>
      <c r="F246" s="32"/>
      <c r="G246" s="35" t="str">
        <f aca="false">IF($B246="","",IFERROR(INDEX(CM_NOME,MATCH($B246,CM_ID,0)),"?"))</f>
        <v/>
      </c>
      <c r="H246" s="34" t="str">
        <f aca="false">IF($B246="","",IFERROR(INDEX(CM_QTD,MATCH($B246,CM_ID,0)),""))</f>
        <v/>
      </c>
      <c r="I246" s="35" t="str">
        <f aca="false">IF($A246="","",$C246&amp;"/"&amp;$H246)</f>
        <v/>
      </c>
      <c r="J246" s="35" t="str">
        <f aca="false">IF($A246="","",IF($C246&lt;=IFERROR(INDEX(CM_PAGASANTES,MATCH($B246,CM_ID,0)),0),"SIM","NAO"))</f>
        <v/>
      </c>
      <c r="K246" s="36" t="n">
        <f aca="false">IF($A246="",0,SUMIFS(L_Valor,L_ParcID,$A246,L_Status,"REALIZADO"))</f>
        <v>0</v>
      </c>
      <c r="L246" s="38" t="str">
        <f aca="false">IF($A246="","",IFERROR(INDEX(L_Data,MATCH(1,INDEX((L_ParcID=$A246)*(L_Status="REALIZADO"),0),0)),""))</f>
        <v/>
      </c>
      <c r="M246" s="34" t="n">
        <f aca="false">IF($A246="",0,COUNTIFS(L_ParcID,$A246,L_Status,"REALIZADO"))</f>
        <v>0</v>
      </c>
      <c r="N246" s="34" t="n">
        <f aca="false">IF($A246="",0,COUNTIFS(L_ParcID,$A246,L_Status,"PROJETADO"))</f>
        <v>0</v>
      </c>
      <c r="O246" s="35" t="str">
        <f aca="false">IF($A246="","",IF($J246="SIM","PAGA",IF($M246&gt;0,"PAGA",IF($D246&lt;CFG_HOJE,"ATRASADA",IF($D246&lt;=EOMONTH(CFG_HOJE,0),"ABERTA","PROJETADA")))))</f>
        <v/>
      </c>
      <c r="P246" s="34" t="n">
        <f aca="false">IF($O246="ATRASADA",CFG_HOJE-$D246,0)</f>
        <v>0</v>
      </c>
      <c r="Q246" s="36" t="n">
        <f aca="false">IF($A246="",0,IF(AND($O246="PAGA",$J246="NAO"),$K246-$E246,0))</f>
        <v>0</v>
      </c>
    </row>
    <row r="247" customFormat="false" ht="15" hidden="false" customHeight="false" outlineLevel="0" collapsed="false">
      <c r="A247" s="30" t="str">
        <f aca="false">IF($B247="","","PAR-"&amp;TEXT(ROW()-4,"000000"))</f>
        <v/>
      </c>
      <c r="B247" s="32"/>
      <c r="C247" s="37"/>
      <c r="D247" s="31"/>
      <c r="E247" s="33"/>
      <c r="F247" s="32"/>
      <c r="G247" s="35" t="str">
        <f aca="false">IF($B247="","",IFERROR(INDEX(CM_NOME,MATCH($B247,CM_ID,0)),"?"))</f>
        <v/>
      </c>
      <c r="H247" s="34" t="str">
        <f aca="false">IF($B247="","",IFERROR(INDEX(CM_QTD,MATCH($B247,CM_ID,0)),""))</f>
        <v/>
      </c>
      <c r="I247" s="35" t="str">
        <f aca="false">IF($A247="","",$C247&amp;"/"&amp;$H247)</f>
        <v/>
      </c>
      <c r="J247" s="35" t="str">
        <f aca="false">IF($A247="","",IF($C247&lt;=IFERROR(INDEX(CM_PAGASANTES,MATCH($B247,CM_ID,0)),0),"SIM","NAO"))</f>
        <v/>
      </c>
      <c r="K247" s="36" t="n">
        <f aca="false">IF($A247="",0,SUMIFS(L_Valor,L_ParcID,$A247,L_Status,"REALIZADO"))</f>
        <v>0</v>
      </c>
      <c r="L247" s="38" t="str">
        <f aca="false">IF($A247="","",IFERROR(INDEX(L_Data,MATCH(1,INDEX((L_ParcID=$A247)*(L_Status="REALIZADO"),0),0)),""))</f>
        <v/>
      </c>
      <c r="M247" s="34" t="n">
        <f aca="false">IF($A247="",0,COUNTIFS(L_ParcID,$A247,L_Status,"REALIZADO"))</f>
        <v>0</v>
      </c>
      <c r="N247" s="34" t="n">
        <f aca="false">IF($A247="",0,COUNTIFS(L_ParcID,$A247,L_Status,"PROJETADO"))</f>
        <v>0</v>
      </c>
      <c r="O247" s="35" t="str">
        <f aca="false">IF($A247="","",IF($J247="SIM","PAGA",IF($M247&gt;0,"PAGA",IF($D247&lt;CFG_HOJE,"ATRASADA",IF($D247&lt;=EOMONTH(CFG_HOJE,0),"ABERTA","PROJETADA")))))</f>
        <v/>
      </c>
      <c r="P247" s="34" t="n">
        <f aca="false">IF($O247="ATRASADA",CFG_HOJE-$D247,0)</f>
        <v>0</v>
      </c>
      <c r="Q247" s="36" t="n">
        <f aca="false">IF($A247="",0,IF(AND($O247="PAGA",$J247="NAO"),$K247-$E247,0))</f>
        <v>0</v>
      </c>
    </row>
    <row r="248" customFormat="false" ht="15" hidden="false" customHeight="false" outlineLevel="0" collapsed="false">
      <c r="A248" s="30" t="str">
        <f aca="false">IF($B248="","","PAR-"&amp;TEXT(ROW()-4,"000000"))</f>
        <v/>
      </c>
      <c r="B248" s="32"/>
      <c r="C248" s="37"/>
      <c r="D248" s="31"/>
      <c r="E248" s="33"/>
      <c r="F248" s="32"/>
      <c r="G248" s="35" t="str">
        <f aca="false">IF($B248="","",IFERROR(INDEX(CM_NOME,MATCH($B248,CM_ID,0)),"?"))</f>
        <v/>
      </c>
      <c r="H248" s="34" t="str">
        <f aca="false">IF($B248="","",IFERROR(INDEX(CM_QTD,MATCH($B248,CM_ID,0)),""))</f>
        <v/>
      </c>
      <c r="I248" s="35" t="str">
        <f aca="false">IF($A248="","",$C248&amp;"/"&amp;$H248)</f>
        <v/>
      </c>
      <c r="J248" s="35" t="str">
        <f aca="false">IF($A248="","",IF($C248&lt;=IFERROR(INDEX(CM_PAGASANTES,MATCH($B248,CM_ID,0)),0),"SIM","NAO"))</f>
        <v/>
      </c>
      <c r="K248" s="36" t="n">
        <f aca="false">IF($A248="",0,SUMIFS(L_Valor,L_ParcID,$A248,L_Status,"REALIZADO"))</f>
        <v>0</v>
      </c>
      <c r="L248" s="38" t="str">
        <f aca="false">IF($A248="","",IFERROR(INDEX(L_Data,MATCH(1,INDEX((L_ParcID=$A248)*(L_Status="REALIZADO"),0),0)),""))</f>
        <v/>
      </c>
      <c r="M248" s="34" t="n">
        <f aca="false">IF($A248="",0,COUNTIFS(L_ParcID,$A248,L_Status,"REALIZADO"))</f>
        <v>0</v>
      </c>
      <c r="N248" s="34" t="n">
        <f aca="false">IF($A248="",0,COUNTIFS(L_ParcID,$A248,L_Status,"PROJETADO"))</f>
        <v>0</v>
      </c>
      <c r="O248" s="35" t="str">
        <f aca="false">IF($A248="","",IF($J248="SIM","PAGA",IF($M248&gt;0,"PAGA",IF($D248&lt;CFG_HOJE,"ATRASADA",IF($D248&lt;=EOMONTH(CFG_HOJE,0),"ABERTA","PROJETADA")))))</f>
        <v/>
      </c>
      <c r="P248" s="34" t="n">
        <f aca="false">IF($O248="ATRASADA",CFG_HOJE-$D248,0)</f>
        <v>0</v>
      </c>
      <c r="Q248" s="36" t="n">
        <f aca="false">IF($A248="",0,IF(AND($O248="PAGA",$J248="NAO"),$K248-$E248,0))</f>
        <v>0</v>
      </c>
    </row>
    <row r="249" customFormat="false" ht="15" hidden="false" customHeight="false" outlineLevel="0" collapsed="false">
      <c r="A249" s="30" t="str">
        <f aca="false">IF($B249="","","PAR-"&amp;TEXT(ROW()-4,"000000"))</f>
        <v/>
      </c>
      <c r="B249" s="32"/>
      <c r="C249" s="37"/>
      <c r="D249" s="31"/>
      <c r="E249" s="33"/>
      <c r="F249" s="32"/>
      <c r="G249" s="35" t="str">
        <f aca="false">IF($B249="","",IFERROR(INDEX(CM_NOME,MATCH($B249,CM_ID,0)),"?"))</f>
        <v/>
      </c>
      <c r="H249" s="34" t="str">
        <f aca="false">IF($B249="","",IFERROR(INDEX(CM_QTD,MATCH($B249,CM_ID,0)),""))</f>
        <v/>
      </c>
      <c r="I249" s="35" t="str">
        <f aca="false">IF($A249="","",$C249&amp;"/"&amp;$H249)</f>
        <v/>
      </c>
      <c r="J249" s="35" t="str">
        <f aca="false">IF($A249="","",IF($C249&lt;=IFERROR(INDEX(CM_PAGASANTES,MATCH($B249,CM_ID,0)),0),"SIM","NAO"))</f>
        <v/>
      </c>
      <c r="K249" s="36" t="n">
        <f aca="false">IF($A249="",0,SUMIFS(L_Valor,L_ParcID,$A249,L_Status,"REALIZADO"))</f>
        <v>0</v>
      </c>
      <c r="L249" s="38" t="str">
        <f aca="false">IF($A249="","",IFERROR(INDEX(L_Data,MATCH(1,INDEX((L_ParcID=$A249)*(L_Status="REALIZADO"),0),0)),""))</f>
        <v/>
      </c>
      <c r="M249" s="34" t="n">
        <f aca="false">IF($A249="",0,COUNTIFS(L_ParcID,$A249,L_Status,"REALIZADO"))</f>
        <v>0</v>
      </c>
      <c r="N249" s="34" t="n">
        <f aca="false">IF($A249="",0,COUNTIFS(L_ParcID,$A249,L_Status,"PROJETADO"))</f>
        <v>0</v>
      </c>
      <c r="O249" s="35" t="str">
        <f aca="false">IF($A249="","",IF($J249="SIM","PAGA",IF($M249&gt;0,"PAGA",IF($D249&lt;CFG_HOJE,"ATRASADA",IF($D249&lt;=EOMONTH(CFG_HOJE,0),"ABERTA","PROJETADA")))))</f>
        <v/>
      </c>
      <c r="P249" s="34" t="n">
        <f aca="false">IF($O249="ATRASADA",CFG_HOJE-$D249,0)</f>
        <v>0</v>
      </c>
      <c r="Q249" s="36" t="n">
        <f aca="false">IF($A249="",0,IF(AND($O249="PAGA",$J249="NAO"),$K249-$E249,0))</f>
        <v>0</v>
      </c>
    </row>
    <row r="250" customFormat="false" ht="15" hidden="false" customHeight="false" outlineLevel="0" collapsed="false">
      <c r="A250" s="30" t="str">
        <f aca="false">IF($B250="","","PAR-"&amp;TEXT(ROW()-4,"000000"))</f>
        <v/>
      </c>
      <c r="B250" s="32"/>
      <c r="C250" s="37"/>
      <c r="D250" s="31"/>
      <c r="E250" s="33"/>
      <c r="F250" s="32"/>
      <c r="G250" s="35" t="str">
        <f aca="false">IF($B250="","",IFERROR(INDEX(CM_NOME,MATCH($B250,CM_ID,0)),"?"))</f>
        <v/>
      </c>
      <c r="H250" s="34" t="str">
        <f aca="false">IF($B250="","",IFERROR(INDEX(CM_QTD,MATCH($B250,CM_ID,0)),""))</f>
        <v/>
      </c>
      <c r="I250" s="35" t="str">
        <f aca="false">IF($A250="","",$C250&amp;"/"&amp;$H250)</f>
        <v/>
      </c>
      <c r="J250" s="35" t="str">
        <f aca="false">IF($A250="","",IF($C250&lt;=IFERROR(INDEX(CM_PAGASANTES,MATCH($B250,CM_ID,0)),0),"SIM","NAO"))</f>
        <v/>
      </c>
      <c r="K250" s="36" t="n">
        <f aca="false">IF($A250="",0,SUMIFS(L_Valor,L_ParcID,$A250,L_Status,"REALIZADO"))</f>
        <v>0</v>
      </c>
      <c r="L250" s="38" t="str">
        <f aca="false">IF($A250="","",IFERROR(INDEX(L_Data,MATCH(1,INDEX((L_ParcID=$A250)*(L_Status="REALIZADO"),0),0)),""))</f>
        <v/>
      </c>
      <c r="M250" s="34" t="n">
        <f aca="false">IF($A250="",0,COUNTIFS(L_ParcID,$A250,L_Status,"REALIZADO"))</f>
        <v>0</v>
      </c>
      <c r="N250" s="34" t="n">
        <f aca="false">IF($A250="",0,COUNTIFS(L_ParcID,$A250,L_Status,"PROJETADO"))</f>
        <v>0</v>
      </c>
      <c r="O250" s="35" t="str">
        <f aca="false">IF($A250="","",IF($J250="SIM","PAGA",IF($M250&gt;0,"PAGA",IF($D250&lt;CFG_HOJE,"ATRASADA",IF($D250&lt;=EOMONTH(CFG_HOJE,0),"ABERTA","PROJETADA")))))</f>
        <v/>
      </c>
      <c r="P250" s="34" t="n">
        <f aca="false">IF($O250="ATRASADA",CFG_HOJE-$D250,0)</f>
        <v>0</v>
      </c>
      <c r="Q250" s="36" t="n">
        <f aca="false">IF($A250="",0,IF(AND($O250="PAGA",$J250="NAO"),$K250-$E250,0))</f>
        <v>0</v>
      </c>
    </row>
    <row r="251" customFormat="false" ht="15" hidden="false" customHeight="false" outlineLevel="0" collapsed="false">
      <c r="A251" s="30" t="str">
        <f aca="false">IF($B251="","","PAR-"&amp;TEXT(ROW()-4,"000000"))</f>
        <v/>
      </c>
      <c r="B251" s="32"/>
      <c r="C251" s="37"/>
      <c r="D251" s="31"/>
      <c r="E251" s="33"/>
      <c r="F251" s="32"/>
      <c r="G251" s="35" t="str">
        <f aca="false">IF($B251="","",IFERROR(INDEX(CM_NOME,MATCH($B251,CM_ID,0)),"?"))</f>
        <v/>
      </c>
      <c r="H251" s="34" t="str">
        <f aca="false">IF($B251="","",IFERROR(INDEX(CM_QTD,MATCH($B251,CM_ID,0)),""))</f>
        <v/>
      </c>
      <c r="I251" s="35" t="str">
        <f aca="false">IF($A251="","",$C251&amp;"/"&amp;$H251)</f>
        <v/>
      </c>
      <c r="J251" s="35" t="str">
        <f aca="false">IF($A251="","",IF($C251&lt;=IFERROR(INDEX(CM_PAGASANTES,MATCH($B251,CM_ID,0)),0),"SIM","NAO"))</f>
        <v/>
      </c>
      <c r="K251" s="36" t="n">
        <f aca="false">IF($A251="",0,SUMIFS(L_Valor,L_ParcID,$A251,L_Status,"REALIZADO"))</f>
        <v>0</v>
      </c>
      <c r="L251" s="38" t="str">
        <f aca="false">IF($A251="","",IFERROR(INDEX(L_Data,MATCH(1,INDEX((L_ParcID=$A251)*(L_Status="REALIZADO"),0),0)),""))</f>
        <v/>
      </c>
      <c r="M251" s="34" t="n">
        <f aca="false">IF($A251="",0,COUNTIFS(L_ParcID,$A251,L_Status,"REALIZADO"))</f>
        <v>0</v>
      </c>
      <c r="N251" s="34" t="n">
        <f aca="false">IF($A251="",0,COUNTIFS(L_ParcID,$A251,L_Status,"PROJETADO"))</f>
        <v>0</v>
      </c>
      <c r="O251" s="35" t="str">
        <f aca="false">IF($A251="","",IF($J251="SIM","PAGA",IF($M251&gt;0,"PAGA",IF($D251&lt;CFG_HOJE,"ATRASADA",IF($D251&lt;=EOMONTH(CFG_HOJE,0),"ABERTA","PROJETADA")))))</f>
        <v/>
      </c>
      <c r="P251" s="34" t="n">
        <f aca="false">IF($O251="ATRASADA",CFG_HOJE-$D251,0)</f>
        <v>0</v>
      </c>
      <c r="Q251" s="36" t="n">
        <f aca="false">IF($A251="",0,IF(AND($O251="PAGA",$J251="NAO"),$K251-$E251,0))</f>
        <v>0</v>
      </c>
    </row>
    <row r="252" customFormat="false" ht="15" hidden="false" customHeight="false" outlineLevel="0" collapsed="false">
      <c r="A252" s="30" t="str">
        <f aca="false">IF($B252="","","PAR-"&amp;TEXT(ROW()-4,"000000"))</f>
        <v/>
      </c>
      <c r="B252" s="32"/>
      <c r="C252" s="37"/>
      <c r="D252" s="31"/>
      <c r="E252" s="33"/>
      <c r="F252" s="32"/>
      <c r="G252" s="35" t="str">
        <f aca="false">IF($B252="","",IFERROR(INDEX(CM_NOME,MATCH($B252,CM_ID,0)),"?"))</f>
        <v/>
      </c>
      <c r="H252" s="34" t="str">
        <f aca="false">IF($B252="","",IFERROR(INDEX(CM_QTD,MATCH($B252,CM_ID,0)),""))</f>
        <v/>
      </c>
      <c r="I252" s="35" t="str">
        <f aca="false">IF($A252="","",$C252&amp;"/"&amp;$H252)</f>
        <v/>
      </c>
      <c r="J252" s="35" t="str">
        <f aca="false">IF($A252="","",IF($C252&lt;=IFERROR(INDEX(CM_PAGASANTES,MATCH($B252,CM_ID,0)),0),"SIM","NAO"))</f>
        <v/>
      </c>
      <c r="K252" s="36" t="n">
        <f aca="false">IF($A252="",0,SUMIFS(L_Valor,L_ParcID,$A252,L_Status,"REALIZADO"))</f>
        <v>0</v>
      </c>
      <c r="L252" s="38" t="str">
        <f aca="false">IF($A252="","",IFERROR(INDEX(L_Data,MATCH(1,INDEX((L_ParcID=$A252)*(L_Status="REALIZADO"),0),0)),""))</f>
        <v/>
      </c>
      <c r="M252" s="34" t="n">
        <f aca="false">IF($A252="",0,COUNTIFS(L_ParcID,$A252,L_Status,"REALIZADO"))</f>
        <v>0</v>
      </c>
      <c r="N252" s="34" t="n">
        <f aca="false">IF($A252="",0,COUNTIFS(L_ParcID,$A252,L_Status,"PROJETADO"))</f>
        <v>0</v>
      </c>
      <c r="O252" s="35" t="str">
        <f aca="false">IF($A252="","",IF($J252="SIM","PAGA",IF($M252&gt;0,"PAGA",IF($D252&lt;CFG_HOJE,"ATRASADA",IF($D252&lt;=EOMONTH(CFG_HOJE,0),"ABERTA","PROJETADA")))))</f>
        <v/>
      </c>
      <c r="P252" s="34" t="n">
        <f aca="false">IF($O252="ATRASADA",CFG_HOJE-$D252,0)</f>
        <v>0</v>
      </c>
      <c r="Q252" s="36" t="n">
        <f aca="false">IF($A252="",0,IF(AND($O252="PAGA",$J252="NAO"),$K252-$E252,0))</f>
        <v>0</v>
      </c>
    </row>
    <row r="253" customFormat="false" ht="15" hidden="false" customHeight="false" outlineLevel="0" collapsed="false">
      <c r="A253" s="30" t="str">
        <f aca="false">IF($B253="","","PAR-"&amp;TEXT(ROW()-4,"000000"))</f>
        <v/>
      </c>
      <c r="B253" s="32"/>
      <c r="C253" s="37"/>
      <c r="D253" s="31"/>
      <c r="E253" s="33"/>
      <c r="F253" s="32"/>
      <c r="G253" s="35" t="str">
        <f aca="false">IF($B253="","",IFERROR(INDEX(CM_NOME,MATCH($B253,CM_ID,0)),"?"))</f>
        <v/>
      </c>
      <c r="H253" s="34" t="str">
        <f aca="false">IF($B253="","",IFERROR(INDEX(CM_QTD,MATCH($B253,CM_ID,0)),""))</f>
        <v/>
      </c>
      <c r="I253" s="35" t="str">
        <f aca="false">IF($A253="","",$C253&amp;"/"&amp;$H253)</f>
        <v/>
      </c>
      <c r="J253" s="35" t="str">
        <f aca="false">IF($A253="","",IF($C253&lt;=IFERROR(INDEX(CM_PAGASANTES,MATCH($B253,CM_ID,0)),0),"SIM","NAO"))</f>
        <v/>
      </c>
      <c r="K253" s="36" t="n">
        <f aca="false">IF($A253="",0,SUMIFS(L_Valor,L_ParcID,$A253,L_Status,"REALIZADO"))</f>
        <v>0</v>
      </c>
      <c r="L253" s="38" t="str">
        <f aca="false">IF($A253="","",IFERROR(INDEX(L_Data,MATCH(1,INDEX((L_ParcID=$A253)*(L_Status="REALIZADO"),0),0)),""))</f>
        <v/>
      </c>
      <c r="M253" s="34" t="n">
        <f aca="false">IF($A253="",0,COUNTIFS(L_ParcID,$A253,L_Status,"REALIZADO"))</f>
        <v>0</v>
      </c>
      <c r="N253" s="34" t="n">
        <f aca="false">IF($A253="",0,COUNTIFS(L_ParcID,$A253,L_Status,"PROJETADO"))</f>
        <v>0</v>
      </c>
      <c r="O253" s="35" t="str">
        <f aca="false">IF($A253="","",IF($J253="SIM","PAGA",IF($M253&gt;0,"PAGA",IF($D253&lt;CFG_HOJE,"ATRASADA",IF($D253&lt;=EOMONTH(CFG_HOJE,0),"ABERTA","PROJETADA")))))</f>
        <v/>
      </c>
      <c r="P253" s="34" t="n">
        <f aca="false">IF($O253="ATRASADA",CFG_HOJE-$D253,0)</f>
        <v>0</v>
      </c>
      <c r="Q253" s="36" t="n">
        <f aca="false">IF($A253="",0,IF(AND($O253="PAGA",$J253="NAO"),$K253-$E253,0))</f>
        <v>0</v>
      </c>
    </row>
    <row r="254" customFormat="false" ht="15" hidden="false" customHeight="false" outlineLevel="0" collapsed="false">
      <c r="A254" s="30" t="str">
        <f aca="false">IF($B254="","","PAR-"&amp;TEXT(ROW()-4,"000000"))</f>
        <v/>
      </c>
      <c r="B254" s="32"/>
      <c r="C254" s="37"/>
      <c r="D254" s="31"/>
      <c r="E254" s="33"/>
      <c r="F254" s="32"/>
      <c r="G254" s="35" t="str">
        <f aca="false">IF($B254="","",IFERROR(INDEX(CM_NOME,MATCH($B254,CM_ID,0)),"?"))</f>
        <v/>
      </c>
      <c r="H254" s="34" t="str">
        <f aca="false">IF($B254="","",IFERROR(INDEX(CM_QTD,MATCH($B254,CM_ID,0)),""))</f>
        <v/>
      </c>
      <c r="I254" s="35" t="str">
        <f aca="false">IF($A254="","",$C254&amp;"/"&amp;$H254)</f>
        <v/>
      </c>
      <c r="J254" s="35" t="str">
        <f aca="false">IF($A254="","",IF($C254&lt;=IFERROR(INDEX(CM_PAGASANTES,MATCH($B254,CM_ID,0)),0),"SIM","NAO"))</f>
        <v/>
      </c>
      <c r="K254" s="36" t="n">
        <f aca="false">IF($A254="",0,SUMIFS(L_Valor,L_ParcID,$A254,L_Status,"REALIZADO"))</f>
        <v>0</v>
      </c>
      <c r="L254" s="38" t="str">
        <f aca="false">IF($A254="","",IFERROR(INDEX(L_Data,MATCH(1,INDEX((L_ParcID=$A254)*(L_Status="REALIZADO"),0),0)),""))</f>
        <v/>
      </c>
      <c r="M254" s="34" t="n">
        <f aca="false">IF($A254="",0,COUNTIFS(L_ParcID,$A254,L_Status,"REALIZADO"))</f>
        <v>0</v>
      </c>
      <c r="N254" s="34" t="n">
        <f aca="false">IF($A254="",0,COUNTIFS(L_ParcID,$A254,L_Status,"PROJETADO"))</f>
        <v>0</v>
      </c>
      <c r="O254" s="35" t="str">
        <f aca="false">IF($A254="","",IF($J254="SIM","PAGA",IF($M254&gt;0,"PAGA",IF($D254&lt;CFG_HOJE,"ATRASADA",IF($D254&lt;=EOMONTH(CFG_HOJE,0),"ABERTA","PROJETADA")))))</f>
        <v/>
      </c>
      <c r="P254" s="34" t="n">
        <f aca="false">IF($O254="ATRASADA",CFG_HOJE-$D254,0)</f>
        <v>0</v>
      </c>
      <c r="Q254" s="36" t="n">
        <f aca="false">IF($A254="",0,IF(AND($O254="PAGA",$J254="NAO"),$K254-$E254,0))</f>
        <v>0</v>
      </c>
    </row>
    <row r="255" customFormat="false" ht="15" hidden="false" customHeight="false" outlineLevel="0" collapsed="false">
      <c r="A255" s="30" t="str">
        <f aca="false">IF($B255="","","PAR-"&amp;TEXT(ROW()-4,"000000"))</f>
        <v/>
      </c>
      <c r="B255" s="32"/>
      <c r="C255" s="37"/>
      <c r="D255" s="31"/>
      <c r="E255" s="33"/>
      <c r="F255" s="32"/>
      <c r="G255" s="35" t="str">
        <f aca="false">IF($B255="","",IFERROR(INDEX(CM_NOME,MATCH($B255,CM_ID,0)),"?"))</f>
        <v/>
      </c>
      <c r="H255" s="34" t="str">
        <f aca="false">IF($B255="","",IFERROR(INDEX(CM_QTD,MATCH($B255,CM_ID,0)),""))</f>
        <v/>
      </c>
      <c r="I255" s="35" t="str">
        <f aca="false">IF($A255="","",$C255&amp;"/"&amp;$H255)</f>
        <v/>
      </c>
      <c r="J255" s="35" t="str">
        <f aca="false">IF($A255="","",IF($C255&lt;=IFERROR(INDEX(CM_PAGASANTES,MATCH($B255,CM_ID,0)),0),"SIM","NAO"))</f>
        <v/>
      </c>
      <c r="K255" s="36" t="n">
        <f aca="false">IF($A255="",0,SUMIFS(L_Valor,L_ParcID,$A255,L_Status,"REALIZADO"))</f>
        <v>0</v>
      </c>
      <c r="L255" s="38" t="str">
        <f aca="false">IF($A255="","",IFERROR(INDEX(L_Data,MATCH(1,INDEX((L_ParcID=$A255)*(L_Status="REALIZADO"),0),0)),""))</f>
        <v/>
      </c>
      <c r="M255" s="34" t="n">
        <f aca="false">IF($A255="",0,COUNTIFS(L_ParcID,$A255,L_Status,"REALIZADO"))</f>
        <v>0</v>
      </c>
      <c r="N255" s="34" t="n">
        <f aca="false">IF($A255="",0,COUNTIFS(L_ParcID,$A255,L_Status,"PROJETADO"))</f>
        <v>0</v>
      </c>
      <c r="O255" s="35" t="str">
        <f aca="false">IF($A255="","",IF($J255="SIM","PAGA",IF($M255&gt;0,"PAGA",IF($D255&lt;CFG_HOJE,"ATRASADA",IF($D255&lt;=EOMONTH(CFG_HOJE,0),"ABERTA","PROJETADA")))))</f>
        <v/>
      </c>
      <c r="P255" s="34" t="n">
        <f aca="false">IF($O255="ATRASADA",CFG_HOJE-$D255,0)</f>
        <v>0</v>
      </c>
      <c r="Q255" s="36" t="n">
        <f aca="false">IF($A255="",0,IF(AND($O255="PAGA",$J255="NAO"),$K255-$E255,0))</f>
        <v>0</v>
      </c>
    </row>
    <row r="256" customFormat="false" ht="15" hidden="false" customHeight="false" outlineLevel="0" collapsed="false">
      <c r="A256" s="30" t="str">
        <f aca="false">IF($B256="","","PAR-"&amp;TEXT(ROW()-4,"000000"))</f>
        <v/>
      </c>
      <c r="B256" s="32"/>
      <c r="C256" s="37"/>
      <c r="D256" s="31"/>
      <c r="E256" s="33"/>
      <c r="F256" s="32"/>
      <c r="G256" s="35" t="str">
        <f aca="false">IF($B256="","",IFERROR(INDEX(CM_NOME,MATCH($B256,CM_ID,0)),"?"))</f>
        <v/>
      </c>
      <c r="H256" s="34" t="str">
        <f aca="false">IF($B256="","",IFERROR(INDEX(CM_QTD,MATCH($B256,CM_ID,0)),""))</f>
        <v/>
      </c>
      <c r="I256" s="35" t="str">
        <f aca="false">IF($A256="","",$C256&amp;"/"&amp;$H256)</f>
        <v/>
      </c>
      <c r="J256" s="35" t="str">
        <f aca="false">IF($A256="","",IF($C256&lt;=IFERROR(INDEX(CM_PAGASANTES,MATCH($B256,CM_ID,0)),0),"SIM","NAO"))</f>
        <v/>
      </c>
      <c r="K256" s="36" t="n">
        <f aca="false">IF($A256="",0,SUMIFS(L_Valor,L_ParcID,$A256,L_Status,"REALIZADO"))</f>
        <v>0</v>
      </c>
      <c r="L256" s="38" t="str">
        <f aca="false">IF($A256="","",IFERROR(INDEX(L_Data,MATCH(1,INDEX((L_ParcID=$A256)*(L_Status="REALIZADO"),0),0)),""))</f>
        <v/>
      </c>
      <c r="M256" s="34" t="n">
        <f aca="false">IF($A256="",0,COUNTIFS(L_ParcID,$A256,L_Status,"REALIZADO"))</f>
        <v>0</v>
      </c>
      <c r="N256" s="34" t="n">
        <f aca="false">IF($A256="",0,COUNTIFS(L_ParcID,$A256,L_Status,"PROJETADO"))</f>
        <v>0</v>
      </c>
      <c r="O256" s="35" t="str">
        <f aca="false">IF($A256="","",IF($J256="SIM","PAGA",IF($M256&gt;0,"PAGA",IF($D256&lt;CFG_HOJE,"ATRASADA",IF($D256&lt;=EOMONTH(CFG_HOJE,0),"ABERTA","PROJETADA")))))</f>
        <v/>
      </c>
      <c r="P256" s="34" t="n">
        <f aca="false">IF($O256="ATRASADA",CFG_HOJE-$D256,0)</f>
        <v>0</v>
      </c>
      <c r="Q256" s="36" t="n">
        <f aca="false">IF($A256="",0,IF(AND($O256="PAGA",$J256="NAO"),$K256-$E256,0))</f>
        <v>0</v>
      </c>
    </row>
    <row r="257" customFormat="false" ht="15" hidden="false" customHeight="false" outlineLevel="0" collapsed="false">
      <c r="A257" s="30" t="str">
        <f aca="false">IF($B257="","","PAR-"&amp;TEXT(ROW()-4,"000000"))</f>
        <v/>
      </c>
      <c r="B257" s="32"/>
      <c r="C257" s="37"/>
      <c r="D257" s="31"/>
      <c r="E257" s="33"/>
      <c r="F257" s="32"/>
      <c r="G257" s="35" t="str">
        <f aca="false">IF($B257="","",IFERROR(INDEX(CM_NOME,MATCH($B257,CM_ID,0)),"?"))</f>
        <v/>
      </c>
      <c r="H257" s="34" t="str">
        <f aca="false">IF($B257="","",IFERROR(INDEX(CM_QTD,MATCH($B257,CM_ID,0)),""))</f>
        <v/>
      </c>
      <c r="I257" s="35" t="str">
        <f aca="false">IF($A257="","",$C257&amp;"/"&amp;$H257)</f>
        <v/>
      </c>
      <c r="J257" s="35" t="str">
        <f aca="false">IF($A257="","",IF($C257&lt;=IFERROR(INDEX(CM_PAGASANTES,MATCH($B257,CM_ID,0)),0),"SIM","NAO"))</f>
        <v/>
      </c>
      <c r="K257" s="36" t="n">
        <f aca="false">IF($A257="",0,SUMIFS(L_Valor,L_ParcID,$A257,L_Status,"REALIZADO"))</f>
        <v>0</v>
      </c>
      <c r="L257" s="38" t="str">
        <f aca="false">IF($A257="","",IFERROR(INDEX(L_Data,MATCH(1,INDEX((L_ParcID=$A257)*(L_Status="REALIZADO"),0),0)),""))</f>
        <v/>
      </c>
      <c r="M257" s="34" t="n">
        <f aca="false">IF($A257="",0,COUNTIFS(L_ParcID,$A257,L_Status,"REALIZADO"))</f>
        <v>0</v>
      </c>
      <c r="N257" s="34" t="n">
        <f aca="false">IF($A257="",0,COUNTIFS(L_ParcID,$A257,L_Status,"PROJETADO"))</f>
        <v>0</v>
      </c>
      <c r="O257" s="35" t="str">
        <f aca="false">IF($A257="","",IF($J257="SIM","PAGA",IF($M257&gt;0,"PAGA",IF($D257&lt;CFG_HOJE,"ATRASADA",IF($D257&lt;=EOMONTH(CFG_HOJE,0),"ABERTA","PROJETADA")))))</f>
        <v/>
      </c>
      <c r="P257" s="34" t="n">
        <f aca="false">IF($O257="ATRASADA",CFG_HOJE-$D257,0)</f>
        <v>0</v>
      </c>
      <c r="Q257" s="36" t="n">
        <f aca="false">IF($A257="",0,IF(AND($O257="PAGA",$J257="NAO"),$K257-$E257,0))</f>
        <v>0</v>
      </c>
    </row>
    <row r="258" customFormat="false" ht="15" hidden="false" customHeight="false" outlineLevel="0" collapsed="false">
      <c r="A258" s="30" t="str">
        <f aca="false">IF($B258="","","PAR-"&amp;TEXT(ROW()-4,"000000"))</f>
        <v/>
      </c>
      <c r="B258" s="32"/>
      <c r="C258" s="37"/>
      <c r="D258" s="31"/>
      <c r="E258" s="33"/>
      <c r="F258" s="32"/>
      <c r="G258" s="35" t="str">
        <f aca="false">IF($B258="","",IFERROR(INDEX(CM_NOME,MATCH($B258,CM_ID,0)),"?"))</f>
        <v/>
      </c>
      <c r="H258" s="34" t="str">
        <f aca="false">IF($B258="","",IFERROR(INDEX(CM_QTD,MATCH($B258,CM_ID,0)),""))</f>
        <v/>
      </c>
      <c r="I258" s="35" t="str">
        <f aca="false">IF($A258="","",$C258&amp;"/"&amp;$H258)</f>
        <v/>
      </c>
      <c r="J258" s="35" t="str">
        <f aca="false">IF($A258="","",IF($C258&lt;=IFERROR(INDEX(CM_PAGASANTES,MATCH($B258,CM_ID,0)),0),"SIM","NAO"))</f>
        <v/>
      </c>
      <c r="K258" s="36" t="n">
        <f aca="false">IF($A258="",0,SUMIFS(L_Valor,L_ParcID,$A258,L_Status,"REALIZADO"))</f>
        <v>0</v>
      </c>
      <c r="L258" s="38" t="str">
        <f aca="false">IF($A258="","",IFERROR(INDEX(L_Data,MATCH(1,INDEX((L_ParcID=$A258)*(L_Status="REALIZADO"),0),0)),""))</f>
        <v/>
      </c>
      <c r="M258" s="34" t="n">
        <f aca="false">IF($A258="",0,COUNTIFS(L_ParcID,$A258,L_Status,"REALIZADO"))</f>
        <v>0</v>
      </c>
      <c r="N258" s="34" t="n">
        <f aca="false">IF($A258="",0,COUNTIFS(L_ParcID,$A258,L_Status,"PROJETADO"))</f>
        <v>0</v>
      </c>
      <c r="O258" s="35" t="str">
        <f aca="false">IF($A258="","",IF($J258="SIM","PAGA",IF($M258&gt;0,"PAGA",IF($D258&lt;CFG_HOJE,"ATRASADA",IF($D258&lt;=EOMONTH(CFG_HOJE,0),"ABERTA","PROJETADA")))))</f>
        <v/>
      </c>
      <c r="P258" s="34" t="n">
        <f aca="false">IF($O258="ATRASADA",CFG_HOJE-$D258,0)</f>
        <v>0</v>
      </c>
      <c r="Q258" s="36" t="n">
        <f aca="false">IF($A258="",0,IF(AND($O258="PAGA",$J258="NAO"),$K258-$E258,0))</f>
        <v>0</v>
      </c>
    </row>
    <row r="259" customFormat="false" ht="15" hidden="false" customHeight="false" outlineLevel="0" collapsed="false">
      <c r="A259" s="30" t="str">
        <f aca="false">IF($B259="","","PAR-"&amp;TEXT(ROW()-4,"000000"))</f>
        <v/>
      </c>
      <c r="B259" s="32"/>
      <c r="C259" s="37"/>
      <c r="D259" s="31"/>
      <c r="E259" s="33"/>
      <c r="F259" s="32"/>
      <c r="G259" s="35" t="str">
        <f aca="false">IF($B259="","",IFERROR(INDEX(CM_NOME,MATCH($B259,CM_ID,0)),"?"))</f>
        <v/>
      </c>
      <c r="H259" s="34" t="str">
        <f aca="false">IF($B259="","",IFERROR(INDEX(CM_QTD,MATCH($B259,CM_ID,0)),""))</f>
        <v/>
      </c>
      <c r="I259" s="35" t="str">
        <f aca="false">IF($A259="","",$C259&amp;"/"&amp;$H259)</f>
        <v/>
      </c>
      <c r="J259" s="35" t="str">
        <f aca="false">IF($A259="","",IF($C259&lt;=IFERROR(INDEX(CM_PAGASANTES,MATCH($B259,CM_ID,0)),0),"SIM","NAO"))</f>
        <v/>
      </c>
      <c r="K259" s="36" t="n">
        <f aca="false">IF($A259="",0,SUMIFS(L_Valor,L_ParcID,$A259,L_Status,"REALIZADO"))</f>
        <v>0</v>
      </c>
      <c r="L259" s="38" t="str">
        <f aca="false">IF($A259="","",IFERROR(INDEX(L_Data,MATCH(1,INDEX((L_ParcID=$A259)*(L_Status="REALIZADO"),0),0)),""))</f>
        <v/>
      </c>
      <c r="M259" s="34" t="n">
        <f aca="false">IF($A259="",0,COUNTIFS(L_ParcID,$A259,L_Status,"REALIZADO"))</f>
        <v>0</v>
      </c>
      <c r="N259" s="34" t="n">
        <f aca="false">IF($A259="",0,COUNTIFS(L_ParcID,$A259,L_Status,"PROJETADO"))</f>
        <v>0</v>
      </c>
      <c r="O259" s="35" t="str">
        <f aca="false">IF($A259="","",IF($J259="SIM","PAGA",IF($M259&gt;0,"PAGA",IF($D259&lt;CFG_HOJE,"ATRASADA",IF($D259&lt;=EOMONTH(CFG_HOJE,0),"ABERTA","PROJETADA")))))</f>
        <v/>
      </c>
      <c r="P259" s="34" t="n">
        <f aca="false">IF($O259="ATRASADA",CFG_HOJE-$D259,0)</f>
        <v>0</v>
      </c>
      <c r="Q259" s="36" t="n">
        <f aca="false">IF($A259="",0,IF(AND($O259="PAGA",$J259="NAO"),$K259-$E259,0))</f>
        <v>0</v>
      </c>
    </row>
    <row r="260" customFormat="false" ht="15" hidden="false" customHeight="false" outlineLevel="0" collapsed="false">
      <c r="A260" s="30" t="str">
        <f aca="false">IF($B260="","","PAR-"&amp;TEXT(ROW()-4,"000000"))</f>
        <v/>
      </c>
      <c r="B260" s="32"/>
      <c r="C260" s="37"/>
      <c r="D260" s="31"/>
      <c r="E260" s="33"/>
      <c r="F260" s="32"/>
      <c r="G260" s="35" t="str">
        <f aca="false">IF($B260="","",IFERROR(INDEX(CM_NOME,MATCH($B260,CM_ID,0)),"?"))</f>
        <v/>
      </c>
      <c r="H260" s="34" t="str">
        <f aca="false">IF($B260="","",IFERROR(INDEX(CM_QTD,MATCH($B260,CM_ID,0)),""))</f>
        <v/>
      </c>
      <c r="I260" s="35" t="str">
        <f aca="false">IF($A260="","",$C260&amp;"/"&amp;$H260)</f>
        <v/>
      </c>
      <c r="J260" s="35" t="str">
        <f aca="false">IF($A260="","",IF($C260&lt;=IFERROR(INDEX(CM_PAGASANTES,MATCH($B260,CM_ID,0)),0),"SIM","NAO"))</f>
        <v/>
      </c>
      <c r="K260" s="36" t="n">
        <f aca="false">IF($A260="",0,SUMIFS(L_Valor,L_ParcID,$A260,L_Status,"REALIZADO"))</f>
        <v>0</v>
      </c>
      <c r="L260" s="38" t="str">
        <f aca="false">IF($A260="","",IFERROR(INDEX(L_Data,MATCH(1,INDEX((L_ParcID=$A260)*(L_Status="REALIZADO"),0),0)),""))</f>
        <v/>
      </c>
      <c r="M260" s="34" t="n">
        <f aca="false">IF($A260="",0,COUNTIFS(L_ParcID,$A260,L_Status,"REALIZADO"))</f>
        <v>0</v>
      </c>
      <c r="N260" s="34" t="n">
        <f aca="false">IF($A260="",0,COUNTIFS(L_ParcID,$A260,L_Status,"PROJETADO"))</f>
        <v>0</v>
      </c>
      <c r="O260" s="35" t="str">
        <f aca="false">IF($A260="","",IF($J260="SIM","PAGA",IF($M260&gt;0,"PAGA",IF($D260&lt;CFG_HOJE,"ATRASADA",IF($D260&lt;=EOMONTH(CFG_HOJE,0),"ABERTA","PROJETADA")))))</f>
        <v/>
      </c>
      <c r="P260" s="34" t="n">
        <f aca="false">IF($O260="ATRASADA",CFG_HOJE-$D260,0)</f>
        <v>0</v>
      </c>
      <c r="Q260" s="36" t="n">
        <f aca="false">IF($A260="",0,IF(AND($O260="PAGA",$J260="NAO"),$K260-$E260,0))</f>
        <v>0</v>
      </c>
    </row>
    <row r="261" customFormat="false" ht="15" hidden="false" customHeight="false" outlineLevel="0" collapsed="false">
      <c r="A261" s="30" t="str">
        <f aca="false">IF($B261="","","PAR-"&amp;TEXT(ROW()-4,"000000"))</f>
        <v/>
      </c>
      <c r="B261" s="32"/>
      <c r="C261" s="37"/>
      <c r="D261" s="31"/>
      <c r="E261" s="33"/>
      <c r="F261" s="32"/>
      <c r="G261" s="35" t="str">
        <f aca="false">IF($B261="","",IFERROR(INDEX(CM_NOME,MATCH($B261,CM_ID,0)),"?"))</f>
        <v/>
      </c>
      <c r="H261" s="34" t="str">
        <f aca="false">IF($B261="","",IFERROR(INDEX(CM_QTD,MATCH($B261,CM_ID,0)),""))</f>
        <v/>
      </c>
      <c r="I261" s="35" t="str">
        <f aca="false">IF($A261="","",$C261&amp;"/"&amp;$H261)</f>
        <v/>
      </c>
      <c r="J261" s="35" t="str">
        <f aca="false">IF($A261="","",IF($C261&lt;=IFERROR(INDEX(CM_PAGASANTES,MATCH($B261,CM_ID,0)),0),"SIM","NAO"))</f>
        <v/>
      </c>
      <c r="K261" s="36" t="n">
        <f aca="false">IF($A261="",0,SUMIFS(L_Valor,L_ParcID,$A261,L_Status,"REALIZADO"))</f>
        <v>0</v>
      </c>
      <c r="L261" s="38" t="str">
        <f aca="false">IF($A261="","",IFERROR(INDEX(L_Data,MATCH(1,INDEX((L_ParcID=$A261)*(L_Status="REALIZADO"),0),0)),""))</f>
        <v/>
      </c>
      <c r="M261" s="34" t="n">
        <f aca="false">IF($A261="",0,COUNTIFS(L_ParcID,$A261,L_Status,"REALIZADO"))</f>
        <v>0</v>
      </c>
      <c r="N261" s="34" t="n">
        <f aca="false">IF($A261="",0,COUNTIFS(L_ParcID,$A261,L_Status,"PROJETADO"))</f>
        <v>0</v>
      </c>
      <c r="O261" s="35" t="str">
        <f aca="false">IF($A261="","",IF($J261="SIM","PAGA",IF($M261&gt;0,"PAGA",IF($D261&lt;CFG_HOJE,"ATRASADA",IF($D261&lt;=EOMONTH(CFG_HOJE,0),"ABERTA","PROJETADA")))))</f>
        <v/>
      </c>
      <c r="P261" s="34" t="n">
        <f aca="false">IF($O261="ATRASADA",CFG_HOJE-$D261,0)</f>
        <v>0</v>
      </c>
      <c r="Q261" s="36" t="n">
        <f aca="false">IF($A261="",0,IF(AND($O261="PAGA",$J261="NAO"),$K261-$E261,0))</f>
        <v>0</v>
      </c>
    </row>
    <row r="262" customFormat="false" ht="15" hidden="false" customHeight="false" outlineLevel="0" collapsed="false">
      <c r="A262" s="30" t="str">
        <f aca="false">IF($B262="","","PAR-"&amp;TEXT(ROW()-4,"000000"))</f>
        <v/>
      </c>
      <c r="B262" s="32"/>
      <c r="C262" s="37"/>
      <c r="D262" s="31"/>
      <c r="E262" s="33"/>
      <c r="F262" s="32"/>
      <c r="G262" s="35" t="str">
        <f aca="false">IF($B262="","",IFERROR(INDEX(CM_NOME,MATCH($B262,CM_ID,0)),"?"))</f>
        <v/>
      </c>
      <c r="H262" s="34" t="str">
        <f aca="false">IF($B262="","",IFERROR(INDEX(CM_QTD,MATCH($B262,CM_ID,0)),""))</f>
        <v/>
      </c>
      <c r="I262" s="35" t="str">
        <f aca="false">IF($A262="","",$C262&amp;"/"&amp;$H262)</f>
        <v/>
      </c>
      <c r="J262" s="35" t="str">
        <f aca="false">IF($A262="","",IF($C262&lt;=IFERROR(INDEX(CM_PAGASANTES,MATCH($B262,CM_ID,0)),0),"SIM","NAO"))</f>
        <v/>
      </c>
      <c r="K262" s="36" t="n">
        <f aca="false">IF($A262="",0,SUMIFS(L_Valor,L_ParcID,$A262,L_Status,"REALIZADO"))</f>
        <v>0</v>
      </c>
      <c r="L262" s="38" t="str">
        <f aca="false">IF($A262="","",IFERROR(INDEX(L_Data,MATCH(1,INDEX((L_ParcID=$A262)*(L_Status="REALIZADO"),0),0)),""))</f>
        <v/>
      </c>
      <c r="M262" s="34" t="n">
        <f aca="false">IF($A262="",0,COUNTIFS(L_ParcID,$A262,L_Status,"REALIZADO"))</f>
        <v>0</v>
      </c>
      <c r="N262" s="34" t="n">
        <f aca="false">IF($A262="",0,COUNTIFS(L_ParcID,$A262,L_Status,"PROJETADO"))</f>
        <v>0</v>
      </c>
      <c r="O262" s="35" t="str">
        <f aca="false">IF($A262="","",IF($J262="SIM","PAGA",IF($M262&gt;0,"PAGA",IF($D262&lt;CFG_HOJE,"ATRASADA",IF($D262&lt;=EOMONTH(CFG_HOJE,0),"ABERTA","PROJETADA")))))</f>
        <v/>
      </c>
      <c r="P262" s="34" t="n">
        <f aca="false">IF($O262="ATRASADA",CFG_HOJE-$D262,0)</f>
        <v>0</v>
      </c>
      <c r="Q262" s="36" t="n">
        <f aca="false">IF($A262="",0,IF(AND($O262="PAGA",$J262="NAO"),$K262-$E262,0))</f>
        <v>0</v>
      </c>
    </row>
    <row r="263" customFormat="false" ht="15" hidden="false" customHeight="false" outlineLevel="0" collapsed="false">
      <c r="A263" s="30" t="str">
        <f aca="false">IF($B263="","","PAR-"&amp;TEXT(ROW()-4,"000000"))</f>
        <v/>
      </c>
      <c r="B263" s="32"/>
      <c r="C263" s="37"/>
      <c r="D263" s="31"/>
      <c r="E263" s="33"/>
      <c r="F263" s="32"/>
      <c r="G263" s="35" t="str">
        <f aca="false">IF($B263="","",IFERROR(INDEX(CM_NOME,MATCH($B263,CM_ID,0)),"?"))</f>
        <v/>
      </c>
      <c r="H263" s="34" t="str">
        <f aca="false">IF($B263="","",IFERROR(INDEX(CM_QTD,MATCH($B263,CM_ID,0)),""))</f>
        <v/>
      </c>
      <c r="I263" s="35" t="str">
        <f aca="false">IF($A263="","",$C263&amp;"/"&amp;$H263)</f>
        <v/>
      </c>
      <c r="J263" s="35" t="str">
        <f aca="false">IF($A263="","",IF($C263&lt;=IFERROR(INDEX(CM_PAGASANTES,MATCH($B263,CM_ID,0)),0),"SIM","NAO"))</f>
        <v/>
      </c>
      <c r="K263" s="36" t="n">
        <f aca="false">IF($A263="",0,SUMIFS(L_Valor,L_ParcID,$A263,L_Status,"REALIZADO"))</f>
        <v>0</v>
      </c>
      <c r="L263" s="38" t="str">
        <f aca="false">IF($A263="","",IFERROR(INDEX(L_Data,MATCH(1,INDEX((L_ParcID=$A263)*(L_Status="REALIZADO"),0),0)),""))</f>
        <v/>
      </c>
      <c r="M263" s="34" t="n">
        <f aca="false">IF($A263="",0,COUNTIFS(L_ParcID,$A263,L_Status,"REALIZADO"))</f>
        <v>0</v>
      </c>
      <c r="N263" s="34" t="n">
        <f aca="false">IF($A263="",0,COUNTIFS(L_ParcID,$A263,L_Status,"PROJETADO"))</f>
        <v>0</v>
      </c>
      <c r="O263" s="35" t="str">
        <f aca="false">IF($A263="","",IF($J263="SIM","PAGA",IF($M263&gt;0,"PAGA",IF($D263&lt;CFG_HOJE,"ATRASADA",IF($D263&lt;=EOMONTH(CFG_HOJE,0),"ABERTA","PROJETADA")))))</f>
        <v/>
      </c>
      <c r="P263" s="34" t="n">
        <f aca="false">IF($O263="ATRASADA",CFG_HOJE-$D263,0)</f>
        <v>0</v>
      </c>
      <c r="Q263" s="36" t="n">
        <f aca="false">IF($A263="",0,IF(AND($O263="PAGA",$J263="NAO"),$K263-$E263,0))</f>
        <v>0</v>
      </c>
    </row>
    <row r="264" customFormat="false" ht="15" hidden="false" customHeight="false" outlineLevel="0" collapsed="false">
      <c r="A264" s="30" t="str">
        <f aca="false">IF($B264="","","PAR-"&amp;TEXT(ROW()-4,"000000"))</f>
        <v/>
      </c>
      <c r="B264" s="32"/>
      <c r="C264" s="37"/>
      <c r="D264" s="31"/>
      <c r="E264" s="33"/>
      <c r="F264" s="32"/>
      <c r="G264" s="35" t="str">
        <f aca="false">IF($B264="","",IFERROR(INDEX(CM_NOME,MATCH($B264,CM_ID,0)),"?"))</f>
        <v/>
      </c>
      <c r="H264" s="34" t="str">
        <f aca="false">IF($B264="","",IFERROR(INDEX(CM_QTD,MATCH($B264,CM_ID,0)),""))</f>
        <v/>
      </c>
      <c r="I264" s="35" t="str">
        <f aca="false">IF($A264="","",$C264&amp;"/"&amp;$H264)</f>
        <v/>
      </c>
      <c r="J264" s="35" t="str">
        <f aca="false">IF($A264="","",IF($C264&lt;=IFERROR(INDEX(CM_PAGASANTES,MATCH($B264,CM_ID,0)),0),"SIM","NAO"))</f>
        <v/>
      </c>
      <c r="K264" s="36" t="n">
        <f aca="false">IF($A264="",0,SUMIFS(L_Valor,L_ParcID,$A264,L_Status,"REALIZADO"))</f>
        <v>0</v>
      </c>
      <c r="L264" s="38" t="str">
        <f aca="false">IF($A264="","",IFERROR(INDEX(L_Data,MATCH(1,INDEX((L_ParcID=$A264)*(L_Status="REALIZADO"),0),0)),""))</f>
        <v/>
      </c>
      <c r="M264" s="34" t="n">
        <f aca="false">IF($A264="",0,COUNTIFS(L_ParcID,$A264,L_Status,"REALIZADO"))</f>
        <v>0</v>
      </c>
      <c r="N264" s="34" t="n">
        <f aca="false">IF($A264="",0,COUNTIFS(L_ParcID,$A264,L_Status,"PROJETADO"))</f>
        <v>0</v>
      </c>
      <c r="O264" s="35" t="str">
        <f aca="false">IF($A264="","",IF($J264="SIM","PAGA",IF($M264&gt;0,"PAGA",IF($D264&lt;CFG_HOJE,"ATRASADA",IF($D264&lt;=EOMONTH(CFG_HOJE,0),"ABERTA","PROJETADA")))))</f>
        <v/>
      </c>
      <c r="P264" s="34" t="n">
        <f aca="false">IF($O264="ATRASADA",CFG_HOJE-$D264,0)</f>
        <v>0</v>
      </c>
      <c r="Q264" s="36" t="n">
        <f aca="false">IF($A264="",0,IF(AND($O264="PAGA",$J264="NAO"),$K264-$E264,0))</f>
        <v>0</v>
      </c>
    </row>
    <row r="265" customFormat="false" ht="15" hidden="false" customHeight="false" outlineLevel="0" collapsed="false">
      <c r="A265" s="30" t="str">
        <f aca="false">IF($B265="","","PAR-"&amp;TEXT(ROW()-4,"000000"))</f>
        <v/>
      </c>
      <c r="B265" s="32"/>
      <c r="C265" s="37"/>
      <c r="D265" s="31"/>
      <c r="E265" s="33"/>
      <c r="F265" s="32"/>
      <c r="G265" s="35" t="str">
        <f aca="false">IF($B265="","",IFERROR(INDEX(CM_NOME,MATCH($B265,CM_ID,0)),"?"))</f>
        <v/>
      </c>
      <c r="H265" s="34" t="str">
        <f aca="false">IF($B265="","",IFERROR(INDEX(CM_QTD,MATCH($B265,CM_ID,0)),""))</f>
        <v/>
      </c>
      <c r="I265" s="35" t="str">
        <f aca="false">IF($A265="","",$C265&amp;"/"&amp;$H265)</f>
        <v/>
      </c>
      <c r="J265" s="35" t="str">
        <f aca="false">IF($A265="","",IF($C265&lt;=IFERROR(INDEX(CM_PAGASANTES,MATCH($B265,CM_ID,0)),0),"SIM","NAO"))</f>
        <v/>
      </c>
      <c r="K265" s="36" t="n">
        <f aca="false">IF($A265="",0,SUMIFS(L_Valor,L_ParcID,$A265,L_Status,"REALIZADO"))</f>
        <v>0</v>
      </c>
      <c r="L265" s="38" t="str">
        <f aca="false">IF($A265="","",IFERROR(INDEX(L_Data,MATCH(1,INDEX((L_ParcID=$A265)*(L_Status="REALIZADO"),0),0)),""))</f>
        <v/>
      </c>
      <c r="M265" s="34" t="n">
        <f aca="false">IF($A265="",0,COUNTIFS(L_ParcID,$A265,L_Status,"REALIZADO"))</f>
        <v>0</v>
      </c>
      <c r="N265" s="34" t="n">
        <f aca="false">IF($A265="",0,COUNTIFS(L_ParcID,$A265,L_Status,"PROJETADO"))</f>
        <v>0</v>
      </c>
      <c r="O265" s="35" t="str">
        <f aca="false">IF($A265="","",IF($J265="SIM","PAGA",IF($M265&gt;0,"PAGA",IF($D265&lt;CFG_HOJE,"ATRASADA",IF($D265&lt;=EOMONTH(CFG_HOJE,0),"ABERTA","PROJETADA")))))</f>
        <v/>
      </c>
      <c r="P265" s="34" t="n">
        <f aca="false">IF($O265="ATRASADA",CFG_HOJE-$D265,0)</f>
        <v>0</v>
      </c>
      <c r="Q265" s="36" t="n">
        <f aca="false">IF($A265="",0,IF(AND($O265="PAGA",$J265="NAO"),$K265-$E265,0))</f>
        <v>0</v>
      </c>
    </row>
    <row r="266" customFormat="false" ht="15" hidden="false" customHeight="false" outlineLevel="0" collapsed="false">
      <c r="A266" s="30" t="str">
        <f aca="false">IF($B266="","","PAR-"&amp;TEXT(ROW()-4,"000000"))</f>
        <v/>
      </c>
      <c r="B266" s="32"/>
      <c r="C266" s="37"/>
      <c r="D266" s="31"/>
      <c r="E266" s="33"/>
      <c r="F266" s="32"/>
      <c r="G266" s="35" t="str">
        <f aca="false">IF($B266="","",IFERROR(INDEX(CM_NOME,MATCH($B266,CM_ID,0)),"?"))</f>
        <v/>
      </c>
      <c r="H266" s="34" t="str">
        <f aca="false">IF($B266="","",IFERROR(INDEX(CM_QTD,MATCH($B266,CM_ID,0)),""))</f>
        <v/>
      </c>
      <c r="I266" s="35" t="str">
        <f aca="false">IF($A266="","",$C266&amp;"/"&amp;$H266)</f>
        <v/>
      </c>
      <c r="J266" s="35" t="str">
        <f aca="false">IF($A266="","",IF($C266&lt;=IFERROR(INDEX(CM_PAGASANTES,MATCH($B266,CM_ID,0)),0),"SIM","NAO"))</f>
        <v/>
      </c>
      <c r="K266" s="36" t="n">
        <f aca="false">IF($A266="",0,SUMIFS(L_Valor,L_ParcID,$A266,L_Status,"REALIZADO"))</f>
        <v>0</v>
      </c>
      <c r="L266" s="38" t="str">
        <f aca="false">IF($A266="","",IFERROR(INDEX(L_Data,MATCH(1,INDEX((L_ParcID=$A266)*(L_Status="REALIZADO"),0),0)),""))</f>
        <v/>
      </c>
      <c r="M266" s="34" t="n">
        <f aca="false">IF($A266="",0,COUNTIFS(L_ParcID,$A266,L_Status,"REALIZADO"))</f>
        <v>0</v>
      </c>
      <c r="N266" s="34" t="n">
        <f aca="false">IF($A266="",0,COUNTIFS(L_ParcID,$A266,L_Status,"PROJETADO"))</f>
        <v>0</v>
      </c>
      <c r="O266" s="35" t="str">
        <f aca="false">IF($A266="","",IF($J266="SIM","PAGA",IF($M266&gt;0,"PAGA",IF($D266&lt;CFG_HOJE,"ATRASADA",IF($D266&lt;=EOMONTH(CFG_HOJE,0),"ABERTA","PROJETADA")))))</f>
        <v/>
      </c>
      <c r="P266" s="34" t="n">
        <f aca="false">IF($O266="ATRASADA",CFG_HOJE-$D266,0)</f>
        <v>0</v>
      </c>
      <c r="Q266" s="36" t="n">
        <f aca="false">IF($A266="",0,IF(AND($O266="PAGA",$J266="NAO"),$K266-$E266,0))</f>
        <v>0</v>
      </c>
    </row>
    <row r="267" customFormat="false" ht="15" hidden="false" customHeight="false" outlineLevel="0" collapsed="false">
      <c r="A267" s="30" t="str">
        <f aca="false">IF($B267="","","PAR-"&amp;TEXT(ROW()-4,"000000"))</f>
        <v/>
      </c>
      <c r="B267" s="32"/>
      <c r="C267" s="37"/>
      <c r="D267" s="31"/>
      <c r="E267" s="33"/>
      <c r="F267" s="32"/>
      <c r="G267" s="35" t="str">
        <f aca="false">IF($B267="","",IFERROR(INDEX(CM_NOME,MATCH($B267,CM_ID,0)),"?"))</f>
        <v/>
      </c>
      <c r="H267" s="34" t="str">
        <f aca="false">IF($B267="","",IFERROR(INDEX(CM_QTD,MATCH($B267,CM_ID,0)),""))</f>
        <v/>
      </c>
      <c r="I267" s="35" t="str">
        <f aca="false">IF($A267="","",$C267&amp;"/"&amp;$H267)</f>
        <v/>
      </c>
      <c r="J267" s="35" t="str">
        <f aca="false">IF($A267="","",IF($C267&lt;=IFERROR(INDEX(CM_PAGASANTES,MATCH($B267,CM_ID,0)),0),"SIM","NAO"))</f>
        <v/>
      </c>
      <c r="K267" s="36" t="n">
        <f aca="false">IF($A267="",0,SUMIFS(L_Valor,L_ParcID,$A267,L_Status,"REALIZADO"))</f>
        <v>0</v>
      </c>
      <c r="L267" s="38" t="str">
        <f aca="false">IF($A267="","",IFERROR(INDEX(L_Data,MATCH(1,INDEX((L_ParcID=$A267)*(L_Status="REALIZADO"),0),0)),""))</f>
        <v/>
      </c>
      <c r="M267" s="34" t="n">
        <f aca="false">IF($A267="",0,COUNTIFS(L_ParcID,$A267,L_Status,"REALIZADO"))</f>
        <v>0</v>
      </c>
      <c r="N267" s="34" t="n">
        <f aca="false">IF($A267="",0,COUNTIFS(L_ParcID,$A267,L_Status,"PROJETADO"))</f>
        <v>0</v>
      </c>
      <c r="O267" s="35" t="str">
        <f aca="false">IF($A267="","",IF($J267="SIM","PAGA",IF($M267&gt;0,"PAGA",IF($D267&lt;CFG_HOJE,"ATRASADA",IF($D267&lt;=EOMONTH(CFG_HOJE,0),"ABERTA","PROJETADA")))))</f>
        <v/>
      </c>
      <c r="P267" s="34" t="n">
        <f aca="false">IF($O267="ATRASADA",CFG_HOJE-$D267,0)</f>
        <v>0</v>
      </c>
      <c r="Q267" s="36" t="n">
        <f aca="false">IF($A267="",0,IF(AND($O267="PAGA",$J267="NAO"),$K267-$E267,0))</f>
        <v>0</v>
      </c>
    </row>
    <row r="268" customFormat="false" ht="15" hidden="false" customHeight="false" outlineLevel="0" collapsed="false">
      <c r="A268" s="30" t="str">
        <f aca="false">IF($B268="","","PAR-"&amp;TEXT(ROW()-4,"000000"))</f>
        <v/>
      </c>
      <c r="B268" s="32"/>
      <c r="C268" s="37"/>
      <c r="D268" s="31"/>
      <c r="E268" s="33"/>
      <c r="F268" s="32"/>
      <c r="G268" s="35" t="str">
        <f aca="false">IF($B268="","",IFERROR(INDEX(CM_NOME,MATCH($B268,CM_ID,0)),"?"))</f>
        <v/>
      </c>
      <c r="H268" s="34" t="str">
        <f aca="false">IF($B268="","",IFERROR(INDEX(CM_QTD,MATCH($B268,CM_ID,0)),""))</f>
        <v/>
      </c>
      <c r="I268" s="35" t="str">
        <f aca="false">IF($A268="","",$C268&amp;"/"&amp;$H268)</f>
        <v/>
      </c>
      <c r="J268" s="35" t="str">
        <f aca="false">IF($A268="","",IF($C268&lt;=IFERROR(INDEX(CM_PAGASANTES,MATCH($B268,CM_ID,0)),0),"SIM","NAO"))</f>
        <v/>
      </c>
      <c r="K268" s="36" t="n">
        <f aca="false">IF($A268="",0,SUMIFS(L_Valor,L_ParcID,$A268,L_Status,"REALIZADO"))</f>
        <v>0</v>
      </c>
      <c r="L268" s="38" t="str">
        <f aca="false">IF($A268="","",IFERROR(INDEX(L_Data,MATCH(1,INDEX((L_ParcID=$A268)*(L_Status="REALIZADO"),0),0)),""))</f>
        <v/>
      </c>
      <c r="M268" s="34" t="n">
        <f aca="false">IF($A268="",0,COUNTIFS(L_ParcID,$A268,L_Status,"REALIZADO"))</f>
        <v>0</v>
      </c>
      <c r="N268" s="34" t="n">
        <f aca="false">IF($A268="",0,COUNTIFS(L_ParcID,$A268,L_Status,"PROJETADO"))</f>
        <v>0</v>
      </c>
      <c r="O268" s="35" t="str">
        <f aca="false">IF($A268="","",IF($J268="SIM","PAGA",IF($M268&gt;0,"PAGA",IF($D268&lt;CFG_HOJE,"ATRASADA",IF($D268&lt;=EOMONTH(CFG_HOJE,0),"ABERTA","PROJETADA")))))</f>
        <v/>
      </c>
      <c r="P268" s="34" t="n">
        <f aca="false">IF($O268="ATRASADA",CFG_HOJE-$D268,0)</f>
        <v>0</v>
      </c>
      <c r="Q268" s="36" t="n">
        <f aca="false">IF($A268="",0,IF(AND($O268="PAGA",$J268="NAO"),$K268-$E268,0))</f>
        <v>0</v>
      </c>
    </row>
    <row r="269" customFormat="false" ht="15" hidden="false" customHeight="false" outlineLevel="0" collapsed="false">
      <c r="A269" s="30" t="str">
        <f aca="false">IF($B269="","","PAR-"&amp;TEXT(ROW()-4,"000000"))</f>
        <v/>
      </c>
      <c r="B269" s="32"/>
      <c r="C269" s="37"/>
      <c r="D269" s="31"/>
      <c r="E269" s="33"/>
      <c r="F269" s="32"/>
      <c r="G269" s="35" t="str">
        <f aca="false">IF($B269="","",IFERROR(INDEX(CM_NOME,MATCH($B269,CM_ID,0)),"?"))</f>
        <v/>
      </c>
      <c r="H269" s="34" t="str">
        <f aca="false">IF($B269="","",IFERROR(INDEX(CM_QTD,MATCH($B269,CM_ID,0)),""))</f>
        <v/>
      </c>
      <c r="I269" s="35" t="str">
        <f aca="false">IF($A269="","",$C269&amp;"/"&amp;$H269)</f>
        <v/>
      </c>
      <c r="J269" s="35" t="str">
        <f aca="false">IF($A269="","",IF($C269&lt;=IFERROR(INDEX(CM_PAGASANTES,MATCH($B269,CM_ID,0)),0),"SIM","NAO"))</f>
        <v/>
      </c>
      <c r="K269" s="36" t="n">
        <f aca="false">IF($A269="",0,SUMIFS(L_Valor,L_ParcID,$A269,L_Status,"REALIZADO"))</f>
        <v>0</v>
      </c>
      <c r="L269" s="38" t="str">
        <f aca="false">IF($A269="","",IFERROR(INDEX(L_Data,MATCH(1,INDEX((L_ParcID=$A269)*(L_Status="REALIZADO"),0),0)),""))</f>
        <v/>
      </c>
      <c r="M269" s="34" t="n">
        <f aca="false">IF($A269="",0,COUNTIFS(L_ParcID,$A269,L_Status,"REALIZADO"))</f>
        <v>0</v>
      </c>
      <c r="N269" s="34" t="n">
        <f aca="false">IF($A269="",0,COUNTIFS(L_ParcID,$A269,L_Status,"PROJETADO"))</f>
        <v>0</v>
      </c>
      <c r="O269" s="35" t="str">
        <f aca="false">IF($A269="","",IF($J269="SIM","PAGA",IF($M269&gt;0,"PAGA",IF($D269&lt;CFG_HOJE,"ATRASADA",IF($D269&lt;=EOMONTH(CFG_HOJE,0),"ABERTA","PROJETADA")))))</f>
        <v/>
      </c>
      <c r="P269" s="34" t="n">
        <f aca="false">IF($O269="ATRASADA",CFG_HOJE-$D269,0)</f>
        <v>0</v>
      </c>
      <c r="Q269" s="36" t="n">
        <f aca="false">IF($A269="",0,IF(AND($O269="PAGA",$J269="NAO"),$K269-$E269,0))</f>
        <v>0</v>
      </c>
    </row>
    <row r="270" customFormat="false" ht="15" hidden="false" customHeight="false" outlineLevel="0" collapsed="false">
      <c r="A270" s="30" t="str">
        <f aca="false">IF($B270="","","PAR-"&amp;TEXT(ROW()-4,"000000"))</f>
        <v/>
      </c>
      <c r="B270" s="32"/>
      <c r="C270" s="37"/>
      <c r="D270" s="31"/>
      <c r="E270" s="33"/>
      <c r="F270" s="32"/>
      <c r="G270" s="35" t="str">
        <f aca="false">IF($B270="","",IFERROR(INDEX(CM_NOME,MATCH($B270,CM_ID,0)),"?"))</f>
        <v/>
      </c>
      <c r="H270" s="34" t="str">
        <f aca="false">IF($B270="","",IFERROR(INDEX(CM_QTD,MATCH($B270,CM_ID,0)),""))</f>
        <v/>
      </c>
      <c r="I270" s="35" t="str">
        <f aca="false">IF($A270="","",$C270&amp;"/"&amp;$H270)</f>
        <v/>
      </c>
      <c r="J270" s="35" t="str">
        <f aca="false">IF($A270="","",IF($C270&lt;=IFERROR(INDEX(CM_PAGASANTES,MATCH($B270,CM_ID,0)),0),"SIM","NAO"))</f>
        <v/>
      </c>
      <c r="K270" s="36" t="n">
        <f aca="false">IF($A270="",0,SUMIFS(L_Valor,L_ParcID,$A270,L_Status,"REALIZADO"))</f>
        <v>0</v>
      </c>
      <c r="L270" s="38" t="str">
        <f aca="false">IF($A270="","",IFERROR(INDEX(L_Data,MATCH(1,INDEX((L_ParcID=$A270)*(L_Status="REALIZADO"),0),0)),""))</f>
        <v/>
      </c>
      <c r="M270" s="34" t="n">
        <f aca="false">IF($A270="",0,COUNTIFS(L_ParcID,$A270,L_Status,"REALIZADO"))</f>
        <v>0</v>
      </c>
      <c r="N270" s="34" t="n">
        <f aca="false">IF($A270="",0,COUNTIFS(L_ParcID,$A270,L_Status,"PROJETADO"))</f>
        <v>0</v>
      </c>
      <c r="O270" s="35" t="str">
        <f aca="false">IF($A270="","",IF($J270="SIM","PAGA",IF($M270&gt;0,"PAGA",IF($D270&lt;CFG_HOJE,"ATRASADA",IF($D270&lt;=EOMONTH(CFG_HOJE,0),"ABERTA","PROJETADA")))))</f>
        <v/>
      </c>
      <c r="P270" s="34" t="n">
        <f aca="false">IF($O270="ATRASADA",CFG_HOJE-$D270,0)</f>
        <v>0</v>
      </c>
      <c r="Q270" s="36" t="n">
        <f aca="false">IF($A270="",0,IF(AND($O270="PAGA",$J270="NAO"),$K270-$E270,0))</f>
        <v>0</v>
      </c>
    </row>
    <row r="271" customFormat="false" ht="15" hidden="false" customHeight="false" outlineLevel="0" collapsed="false">
      <c r="A271" s="30" t="str">
        <f aca="false">IF($B271="","","PAR-"&amp;TEXT(ROW()-4,"000000"))</f>
        <v/>
      </c>
      <c r="B271" s="32"/>
      <c r="C271" s="37"/>
      <c r="D271" s="31"/>
      <c r="E271" s="33"/>
      <c r="F271" s="32"/>
      <c r="G271" s="35" t="str">
        <f aca="false">IF($B271="","",IFERROR(INDEX(CM_NOME,MATCH($B271,CM_ID,0)),"?"))</f>
        <v/>
      </c>
      <c r="H271" s="34" t="str">
        <f aca="false">IF($B271="","",IFERROR(INDEX(CM_QTD,MATCH($B271,CM_ID,0)),""))</f>
        <v/>
      </c>
      <c r="I271" s="35" t="str">
        <f aca="false">IF($A271="","",$C271&amp;"/"&amp;$H271)</f>
        <v/>
      </c>
      <c r="J271" s="35" t="str">
        <f aca="false">IF($A271="","",IF($C271&lt;=IFERROR(INDEX(CM_PAGASANTES,MATCH($B271,CM_ID,0)),0),"SIM","NAO"))</f>
        <v/>
      </c>
      <c r="K271" s="36" t="n">
        <f aca="false">IF($A271="",0,SUMIFS(L_Valor,L_ParcID,$A271,L_Status,"REALIZADO"))</f>
        <v>0</v>
      </c>
      <c r="L271" s="38" t="str">
        <f aca="false">IF($A271="","",IFERROR(INDEX(L_Data,MATCH(1,INDEX((L_ParcID=$A271)*(L_Status="REALIZADO"),0),0)),""))</f>
        <v/>
      </c>
      <c r="M271" s="34" t="n">
        <f aca="false">IF($A271="",0,COUNTIFS(L_ParcID,$A271,L_Status,"REALIZADO"))</f>
        <v>0</v>
      </c>
      <c r="N271" s="34" t="n">
        <f aca="false">IF($A271="",0,COUNTIFS(L_ParcID,$A271,L_Status,"PROJETADO"))</f>
        <v>0</v>
      </c>
      <c r="O271" s="35" t="str">
        <f aca="false">IF($A271="","",IF($J271="SIM","PAGA",IF($M271&gt;0,"PAGA",IF($D271&lt;CFG_HOJE,"ATRASADA",IF($D271&lt;=EOMONTH(CFG_HOJE,0),"ABERTA","PROJETADA")))))</f>
        <v/>
      </c>
      <c r="P271" s="34" t="n">
        <f aca="false">IF($O271="ATRASADA",CFG_HOJE-$D271,0)</f>
        <v>0</v>
      </c>
      <c r="Q271" s="36" t="n">
        <f aca="false">IF($A271="",0,IF(AND($O271="PAGA",$J271="NAO"),$K271-$E271,0))</f>
        <v>0</v>
      </c>
    </row>
    <row r="272" customFormat="false" ht="15" hidden="false" customHeight="false" outlineLevel="0" collapsed="false">
      <c r="A272" s="30" t="str">
        <f aca="false">IF($B272="","","PAR-"&amp;TEXT(ROW()-4,"000000"))</f>
        <v/>
      </c>
      <c r="B272" s="32"/>
      <c r="C272" s="37"/>
      <c r="D272" s="31"/>
      <c r="E272" s="33"/>
      <c r="F272" s="32"/>
      <c r="G272" s="35" t="str">
        <f aca="false">IF($B272="","",IFERROR(INDEX(CM_NOME,MATCH($B272,CM_ID,0)),"?"))</f>
        <v/>
      </c>
      <c r="H272" s="34" t="str">
        <f aca="false">IF($B272="","",IFERROR(INDEX(CM_QTD,MATCH($B272,CM_ID,0)),""))</f>
        <v/>
      </c>
      <c r="I272" s="35" t="str">
        <f aca="false">IF($A272="","",$C272&amp;"/"&amp;$H272)</f>
        <v/>
      </c>
      <c r="J272" s="35" t="str">
        <f aca="false">IF($A272="","",IF($C272&lt;=IFERROR(INDEX(CM_PAGASANTES,MATCH($B272,CM_ID,0)),0),"SIM","NAO"))</f>
        <v/>
      </c>
      <c r="K272" s="36" t="n">
        <f aca="false">IF($A272="",0,SUMIFS(L_Valor,L_ParcID,$A272,L_Status,"REALIZADO"))</f>
        <v>0</v>
      </c>
      <c r="L272" s="38" t="str">
        <f aca="false">IF($A272="","",IFERROR(INDEX(L_Data,MATCH(1,INDEX((L_ParcID=$A272)*(L_Status="REALIZADO"),0),0)),""))</f>
        <v/>
      </c>
      <c r="M272" s="34" t="n">
        <f aca="false">IF($A272="",0,COUNTIFS(L_ParcID,$A272,L_Status,"REALIZADO"))</f>
        <v>0</v>
      </c>
      <c r="N272" s="34" t="n">
        <f aca="false">IF($A272="",0,COUNTIFS(L_ParcID,$A272,L_Status,"PROJETADO"))</f>
        <v>0</v>
      </c>
      <c r="O272" s="35" t="str">
        <f aca="false">IF($A272="","",IF($J272="SIM","PAGA",IF($M272&gt;0,"PAGA",IF($D272&lt;CFG_HOJE,"ATRASADA",IF($D272&lt;=EOMONTH(CFG_HOJE,0),"ABERTA","PROJETADA")))))</f>
        <v/>
      </c>
      <c r="P272" s="34" t="n">
        <f aca="false">IF($O272="ATRASADA",CFG_HOJE-$D272,0)</f>
        <v>0</v>
      </c>
      <c r="Q272" s="36" t="n">
        <f aca="false">IF($A272="",0,IF(AND($O272="PAGA",$J272="NAO"),$K272-$E272,0))</f>
        <v>0</v>
      </c>
    </row>
    <row r="273" customFormat="false" ht="15" hidden="false" customHeight="false" outlineLevel="0" collapsed="false">
      <c r="A273" s="30" t="str">
        <f aca="false">IF($B273="","","PAR-"&amp;TEXT(ROW()-4,"000000"))</f>
        <v/>
      </c>
      <c r="B273" s="32"/>
      <c r="C273" s="37"/>
      <c r="D273" s="31"/>
      <c r="E273" s="33"/>
      <c r="F273" s="32"/>
      <c r="G273" s="35" t="str">
        <f aca="false">IF($B273="","",IFERROR(INDEX(CM_NOME,MATCH($B273,CM_ID,0)),"?"))</f>
        <v/>
      </c>
      <c r="H273" s="34" t="str">
        <f aca="false">IF($B273="","",IFERROR(INDEX(CM_QTD,MATCH($B273,CM_ID,0)),""))</f>
        <v/>
      </c>
      <c r="I273" s="35" t="str">
        <f aca="false">IF($A273="","",$C273&amp;"/"&amp;$H273)</f>
        <v/>
      </c>
      <c r="J273" s="35" t="str">
        <f aca="false">IF($A273="","",IF($C273&lt;=IFERROR(INDEX(CM_PAGASANTES,MATCH($B273,CM_ID,0)),0),"SIM","NAO"))</f>
        <v/>
      </c>
      <c r="K273" s="36" t="n">
        <f aca="false">IF($A273="",0,SUMIFS(L_Valor,L_ParcID,$A273,L_Status,"REALIZADO"))</f>
        <v>0</v>
      </c>
      <c r="L273" s="38" t="str">
        <f aca="false">IF($A273="","",IFERROR(INDEX(L_Data,MATCH(1,INDEX((L_ParcID=$A273)*(L_Status="REALIZADO"),0),0)),""))</f>
        <v/>
      </c>
      <c r="M273" s="34" t="n">
        <f aca="false">IF($A273="",0,COUNTIFS(L_ParcID,$A273,L_Status,"REALIZADO"))</f>
        <v>0</v>
      </c>
      <c r="N273" s="34" t="n">
        <f aca="false">IF($A273="",0,COUNTIFS(L_ParcID,$A273,L_Status,"PROJETADO"))</f>
        <v>0</v>
      </c>
      <c r="O273" s="35" t="str">
        <f aca="false">IF($A273="","",IF($J273="SIM","PAGA",IF($M273&gt;0,"PAGA",IF($D273&lt;CFG_HOJE,"ATRASADA",IF($D273&lt;=EOMONTH(CFG_HOJE,0),"ABERTA","PROJETADA")))))</f>
        <v/>
      </c>
      <c r="P273" s="34" t="n">
        <f aca="false">IF($O273="ATRASADA",CFG_HOJE-$D273,0)</f>
        <v>0</v>
      </c>
      <c r="Q273" s="36" t="n">
        <f aca="false">IF($A273="",0,IF(AND($O273="PAGA",$J273="NAO"),$K273-$E273,0))</f>
        <v>0</v>
      </c>
    </row>
    <row r="274" customFormat="false" ht="15" hidden="false" customHeight="false" outlineLevel="0" collapsed="false">
      <c r="A274" s="30" t="str">
        <f aca="false">IF($B274="","","PAR-"&amp;TEXT(ROW()-4,"000000"))</f>
        <v/>
      </c>
      <c r="B274" s="32"/>
      <c r="C274" s="37"/>
      <c r="D274" s="31"/>
      <c r="E274" s="33"/>
      <c r="F274" s="32"/>
      <c r="G274" s="35" t="str">
        <f aca="false">IF($B274="","",IFERROR(INDEX(CM_NOME,MATCH($B274,CM_ID,0)),"?"))</f>
        <v/>
      </c>
      <c r="H274" s="34" t="str">
        <f aca="false">IF($B274="","",IFERROR(INDEX(CM_QTD,MATCH($B274,CM_ID,0)),""))</f>
        <v/>
      </c>
      <c r="I274" s="35" t="str">
        <f aca="false">IF($A274="","",$C274&amp;"/"&amp;$H274)</f>
        <v/>
      </c>
      <c r="J274" s="35" t="str">
        <f aca="false">IF($A274="","",IF($C274&lt;=IFERROR(INDEX(CM_PAGASANTES,MATCH($B274,CM_ID,0)),0),"SIM","NAO"))</f>
        <v/>
      </c>
      <c r="K274" s="36" t="n">
        <f aca="false">IF($A274="",0,SUMIFS(L_Valor,L_ParcID,$A274,L_Status,"REALIZADO"))</f>
        <v>0</v>
      </c>
      <c r="L274" s="38" t="str">
        <f aca="false">IF($A274="","",IFERROR(INDEX(L_Data,MATCH(1,INDEX((L_ParcID=$A274)*(L_Status="REALIZADO"),0),0)),""))</f>
        <v/>
      </c>
      <c r="M274" s="34" t="n">
        <f aca="false">IF($A274="",0,COUNTIFS(L_ParcID,$A274,L_Status,"REALIZADO"))</f>
        <v>0</v>
      </c>
      <c r="N274" s="34" t="n">
        <f aca="false">IF($A274="",0,COUNTIFS(L_ParcID,$A274,L_Status,"PROJETADO"))</f>
        <v>0</v>
      </c>
      <c r="O274" s="35" t="str">
        <f aca="false">IF($A274="","",IF($J274="SIM","PAGA",IF($M274&gt;0,"PAGA",IF($D274&lt;CFG_HOJE,"ATRASADA",IF($D274&lt;=EOMONTH(CFG_HOJE,0),"ABERTA","PROJETADA")))))</f>
        <v/>
      </c>
      <c r="P274" s="34" t="n">
        <f aca="false">IF($O274="ATRASADA",CFG_HOJE-$D274,0)</f>
        <v>0</v>
      </c>
      <c r="Q274" s="36" t="n">
        <f aca="false">IF($A274="",0,IF(AND($O274="PAGA",$J274="NAO"),$K274-$E274,0))</f>
        <v>0</v>
      </c>
    </row>
    <row r="275" customFormat="false" ht="15" hidden="false" customHeight="false" outlineLevel="0" collapsed="false">
      <c r="A275" s="30" t="str">
        <f aca="false">IF($B275="","","PAR-"&amp;TEXT(ROW()-4,"000000"))</f>
        <v/>
      </c>
      <c r="B275" s="32"/>
      <c r="C275" s="37"/>
      <c r="D275" s="31"/>
      <c r="E275" s="33"/>
      <c r="F275" s="32"/>
      <c r="G275" s="35" t="str">
        <f aca="false">IF($B275="","",IFERROR(INDEX(CM_NOME,MATCH($B275,CM_ID,0)),"?"))</f>
        <v/>
      </c>
      <c r="H275" s="34" t="str">
        <f aca="false">IF($B275="","",IFERROR(INDEX(CM_QTD,MATCH($B275,CM_ID,0)),""))</f>
        <v/>
      </c>
      <c r="I275" s="35" t="str">
        <f aca="false">IF($A275="","",$C275&amp;"/"&amp;$H275)</f>
        <v/>
      </c>
      <c r="J275" s="35" t="str">
        <f aca="false">IF($A275="","",IF($C275&lt;=IFERROR(INDEX(CM_PAGASANTES,MATCH($B275,CM_ID,0)),0),"SIM","NAO"))</f>
        <v/>
      </c>
      <c r="K275" s="36" t="n">
        <f aca="false">IF($A275="",0,SUMIFS(L_Valor,L_ParcID,$A275,L_Status,"REALIZADO"))</f>
        <v>0</v>
      </c>
      <c r="L275" s="38" t="str">
        <f aca="false">IF($A275="","",IFERROR(INDEX(L_Data,MATCH(1,INDEX((L_ParcID=$A275)*(L_Status="REALIZADO"),0),0)),""))</f>
        <v/>
      </c>
      <c r="M275" s="34" t="n">
        <f aca="false">IF($A275="",0,COUNTIFS(L_ParcID,$A275,L_Status,"REALIZADO"))</f>
        <v>0</v>
      </c>
      <c r="N275" s="34" t="n">
        <f aca="false">IF($A275="",0,COUNTIFS(L_ParcID,$A275,L_Status,"PROJETADO"))</f>
        <v>0</v>
      </c>
      <c r="O275" s="35" t="str">
        <f aca="false">IF($A275="","",IF($J275="SIM","PAGA",IF($M275&gt;0,"PAGA",IF($D275&lt;CFG_HOJE,"ATRASADA",IF($D275&lt;=EOMONTH(CFG_HOJE,0),"ABERTA","PROJETADA")))))</f>
        <v/>
      </c>
      <c r="P275" s="34" t="n">
        <f aca="false">IF($O275="ATRASADA",CFG_HOJE-$D275,0)</f>
        <v>0</v>
      </c>
      <c r="Q275" s="36" t="n">
        <f aca="false">IF($A275="",0,IF(AND($O275="PAGA",$J275="NAO"),$K275-$E275,0))</f>
        <v>0</v>
      </c>
    </row>
    <row r="276" customFormat="false" ht="15" hidden="false" customHeight="false" outlineLevel="0" collapsed="false">
      <c r="A276" s="30" t="str">
        <f aca="false">IF($B276="","","PAR-"&amp;TEXT(ROW()-4,"000000"))</f>
        <v/>
      </c>
      <c r="B276" s="32"/>
      <c r="C276" s="37"/>
      <c r="D276" s="31"/>
      <c r="E276" s="33"/>
      <c r="F276" s="32"/>
      <c r="G276" s="35" t="str">
        <f aca="false">IF($B276="","",IFERROR(INDEX(CM_NOME,MATCH($B276,CM_ID,0)),"?"))</f>
        <v/>
      </c>
      <c r="H276" s="34" t="str">
        <f aca="false">IF($B276="","",IFERROR(INDEX(CM_QTD,MATCH($B276,CM_ID,0)),""))</f>
        <v/>
      </c>
      <c r="I276" s="35" t="str">
        <f aca="false">IF($A276="","",$C276&amp;"/"&amp;$H276)</f>
        <v/>
      </c>
      <c r="J276" s="35" t="str">
        <f aca="false">IF($A276="","",IF($C276&lt;=IFERROR(INDEX(CM_PAGASANTES,MATCH($B276,CM_ID,0)),0),"SIM","NAO"))</f>
        <v/>
      </c>
      <c r="K276" s="36" t="n">
        <f aca="false">IF($A276="",0,SUMIFS(L_Valor,L_ParcID,$A276,L_Status,"REALIZADO"))</f>
        <v>0</v>
      </c>
      <c r="L276" s="38" t="str">
        <f aca="false">IF($A276="","",IFERROR(INDEX(L_Data,MATCH(1,INDEX((L_ParcID=$A276)*(L_Status="REALIZADO"),0),0)),""))</f>
        <v/>
      </c>
      <c r="M276" s="34" t="n">
        <f aca="false">IF($A276="",0,COUNTIFS(L_ParcID,$A276,L_Status,"REALIZADO"))</f>
        <v>0</v>
      </c>
      <c r="N276" s="34" t="n">
        <f aca="false">IF($A276="",0,COUNTIFS(L_ParcID,$A276,L_Status,"PROJETADO"))</f>
        <v>0</v>
      </c>
      <c r="O276" s="35" t="str">
        <f aca="false">IF($A276="","",IF($J276="SIM","PAGA",IF($M276&gt;0,"PAGA",IF($D276&lt;CFG_HOJE,"ATRASADA",IF($D276&lt;=EOMONTH(CFG_HOJE,0),"ABERTA","PROJETADA")))))</f>
        <v/>
      </c>
      <c r="P276" s="34" t="n">
        <f aca="false">IF($O276="ATRASADA",CFG_HOJE-$D276,0)</f>
        <v>0</v>
      </c>
      <c r="Q276" s="36" t="n">
        <f aca="false">IF($A276="",0,IF(AND($O276="PAGA",$J276="NAO"),$K276-$E276,0))</f>
        <v>0</v>
      </c>
    </row>
    <row r="277" customFormat="false" ht="15" hidden="false" customHeight="false" outlineLevel="0" collapsed="false">
      <c r="A277" s="30" t="str">
        <f aca="false">IF($B277="","","PAR-"&amp;TEXT(ROW()-4,"000000"))</f>
        <v/>
      </c>
      <c r="B277" s="32"/>
      <c r="C277" s="37"/>
      <c r="D277" s="31"/>
      <c r="E277" s="33"/>
      <c r="F277" s="32"/>
      <c r="G277" s="35" t="str">
        <f aca="false">IF($B277="","",IFERROR(INDEX(CM_NOME,MATCH($B277,CM_ID,0)),"?"))</f>
        <v/>
      </c>
      <c r="H277" s="34" t="str">
        <f aca="false">IF($B277="","",IFERROR(INDEX(CM_QTD,MATCH($B277,CM_ID,0)),""))</f>
        <v/>
      </c>
      <c r="I277" s="35" t="str">
        <f aca="false">IF($A277="","",$C277&amp;"/"&amp;$H277)</f>
        <v/>
      </c>
      <c r="J277" s="35" t="str">
        <f aca="false">IF($A277="","",IF($C277&lt;=IFERROR(INDEX(CM_PAGASANTES,MATCH($B277,CM_ID,0)),0),"SIM","NAO"))</f>
        <v/>
      </c>
      <c r="K277" s="36" t="n">
        <f aca="false">IF($A277="",0,SUMIFS(L_Valor,L_ParcID,$A277,L_Status,"REALIZADO"))</f>
        <v>0</v>
      </c>
      <c r="L277" s="38" t="str">
        <f aca="false">IF($A277="","",IFERROR(INDEX(L_Data,MATCH(1,INDEX((L_ParcID=$A277)*(L_Status="REALIZADO"),0),0)),""))</f>
        <v/>
      </c>
      <c r="M277" s="34" t="n">
        <f aca="false">IF($A277="",0,COUNTIFS(L_ParcID,$A277,L_Status,"REALIZADO"))</f>
        <v>0</v>
      </c>
      <c r="N277" s="34" t="n">
        <f aca="false">IF($A277="",0,COUNTIFS(L_ParcID,$A277,L_Status,"PROJETADO"))</f>
        <v>0</v>
      </c>
      <c r="O277" s="35" t="str">
        <f aca="false">IF($A277="","",IF($J277="SIM","PAGA",IF($M277&gt;0,"PAGA",IF($D277&lt;CFG_HOJE,"ATRASADA",IF($D277&lt;=EOMONTH(CFG_HOJE,0),"ABERTA","PROJETADA")))))</f>
        <v/>
      </c>
      <c r="P277" s="34" t="n">
        <f aca="false">IF($O277="ATRASADA",CFG_HOJE-$D277,0)</f>
        <v>0</v>
      </c>
      <c r="Q277" s="36" t="n">
        <f aca="false">IF($A277="",0,IF(AND($O277="PAGA",$J277="NAO"),$K277-$E277,0))</f>
        <v>0</v>
      </c>
    </row>
    <row r="278" customFormat="false" ht="15" hidden="false" customHeight="false" outlineLevel="0" collapsed="false">
      <c r="A278" s="30" t="str">
        <f aca="false">IF($B278="","","PAR-"&amp;TEXT(ROW()-4,"000000"))</f>
        <v/>
      </c>
      <c r="B278" s="32"/>
      <c r="C278" s="37"/>
      <c r="D278" s="31"/>
      <c r="E278" s="33"/>
      <c r="F278" s="32"/>
      <c r="G278" s="35" t="str">
        <f aca="false">IF($B278="","",IFERROR(INDEX(CM_NOME,MATCH($B278,CM_ID,0)),"?"))</f>
        <v/>
      </c>
      <c r="H278" s="34" t="str">
        <f aca="false">IF($B278="","",IFERROR(INDEX(CM_QTD,MATCH($B278,CM_ID,0)),""))</f>
        <v/>
      </c>
      <c r="I278" s="35" t="str">
        <f aca="false">IF($A278="","",$C278&amp;"/"&amp;$H278)</f>
        <v/>
      </c>
      <c r="J278" s="35" t="str">
        <f aca="false">IF($A278="","",IF($C278&lt;=IFERROR(INDEX(CM_PAGASANTES,MATCH($B278,CM_ID,0)),0),"SIM","NAO"))</f>
        <v/>
      </c>
      <c r="K278" s="36" t="n">
        <f aca="false">IF($A278="",0,SUMIFS(L_Valor,L_ParcID,$A278,L_Status,"REALIZADO"))</f>
        <v>0</v>
      </c>
      <c r="L278" s="38" t="str">
        <f aca="false">IF($A278="","",IFERROR(INDEX(L_Data,MATCH(1,INDEX((L_ParcID=$A278)*(L_Status="REALIZADO"),0),0)),""))</f>
        <v/>
      </c>
      <c r="M278" s="34" t="n">
        <f aca="false">IF($A278="",0,COUNTIFS(L_ParcID,$A278,L_Status,"REALIZADO"))</f>
        <v>0</v>
      </c>
      <c r="N278" s="34" t="n">
        <f aca="false">IF($A278="",0,COUNTIFS(L_ParcID,$A278,L_Status,"PROJETADO"))</f>
        <v>0</v>
      </c>
      <c r="O278" s="35" t="str">
        <f aca="false">IF($A278="","",IF($J278="SIM","PAGA",IF($M278&gt;0,"PAGA",IF($D278&lt;CFG_HOJE,"ATRASADA",IF($D278&lt;=EOMONTH(CFG_HOJE,0),"ABERTA","PROJETADA")))))</f>
        <v/>
      </c>
      <c r="P278" s="34" t="n">
        <f aca="false">IF($O278="ATRASADA",CFG_HOJE-$D278,0)</f>
        <v>0</v>
      </c>
      <c r="Q278" s="36" t="n">
        <f aca="false">IF($A278="",0,IF(AND($O278="PAGA",$J278="NAO"),$K278-$E278,0))</f>
        <v>0</v>
      </c>
    </row>
    <row r="279" customFormat="false" ht="15" hidden="false" customHeight="false" outlineLevel="0" collapsed="false">
      <c r="A279" s="30" t="str">
        <f aca="false">IF($B279="","","PAR-"&amp;TEXT(ROW()-4,"000000"))</f>
        <v/>
      </c>
      <c r="B279" s="32"/>
      <c r="C279" s="37"/>
      <c r="D279" s="31"/>
      <c r="E279" s="33"/>
      <c r="F279" s="32"/>
      <c r="G279" s="35" t="str">
        <f aca="false">IF($B279="","",IFERROR(INDEX(CM_NOME,MATCH($B279,CM_ID,0)),"?"))</f>
        <v/>
      </c>
      <c r="H279" s="34" t="str">
        <f aca="false">IF($B279="","",IFERROR(INDEX(CM_QTD,MATCH($B279,CM_ID,0)),""))</f>
        <v/>
      </c>
      <c r="I279" s="35" t="str">
        <f aca="false">IF($A279="","",$C279&amp;"/"&amp;$H279)</f>
        <v/>
      </c>
      <c r="J279" s="35" t="str">
        <f aca="false">IF($A279="","",IF($C279&lt;=IFERROR(INDEX(CM_PAGASANTES,MATCH($B279,CM_ID,0)),0),"SIM","NAO"))</f>
        <v/>
      </c>
      <c r="K279" s="36" t="n">
        <f aca="false">IF($A279="",0,SUMIFS(L_Valor,L_ParcID,$A279,L_Status,"REALIZADO"))</f>
        <v>0</v>
      </c>
      <c r="L279" s="38" t="str">
        <f aca="false">IF($A279="","",IFERROR(INDEX(L_Data,MATCH(1,INDEX((L_ParcID=$A279)*(L_Status="REALIZADO"),0),0)),""))</f>
        <v/>
      </c>
      <c r="M279" s="34" t="n">
        <f aca="false">IF($A279="",0,COUNTIFS(L_ParcID,$A279,L_Status,"REALIZADO"))</f>
        <v>0</v>
      </c>
      <c r="N279" s="34" t="n">
        <f aca="false">IF($A279="",0,COUNTIFS(L_ParcID,$A279,L_Status,"PROJETADO"))</f>
        <v>0</v>
      </c>
      <c r="O279" s="35" t="str">
        <f aca="false">IF($A279="","",IF($J279="SIM","PAGA",IF($M279&gt;0,"PAGA",IF($D279&lt;CFG_HOJE,"ATRASADA",IF($D279&lt;=EOMONTH(CFG_HOJE,0),"ABERTA","PROJETADA")))))</f>
        <v/>
      </c>
      <c r="P279" s="34" t="n">
        <f aca="false">IF($O279="ATRASADA",CFG_HOJE-$D279,0)</f>
        <v>0</v>
      </c>
      <c r="Q279" s="36" t="n">
        <f aca="false">IF($A279="",0,IF(AND($O279="PAGA",$J279="NAO"),$K279-$E279,0))</f>
        <v>0</v>
      </c>
    </row>
    <row r="280" customFormat="false" ht="15" hidden="false" customHeight="false" outlineLevel="0" collapsed="false">
      <c r="A280" s="30" t="str">
        <f aca="false">IF($B280="","","PAR-"&amp;TEXT(ROW()-4,"000000"))</f>
        <v/>
      </c>
      <c r="B280" s="32"/>
      <c r="C280" s="37"/>
      <c r="D280" s="31"/>
      <c r="E280" s="33"/>
      <c r="F280" s="32"/>
      <c r="G280" s="35" t="str">
        <f aca="false">IF($B280="","",IFERROR(INDEX(CM_NOME,MATCH($B280,CM_ID,0)),"?"))</f>
        <v/>
      </c>
      <c r="H280" s="34" t="str">
        <f aca="false">IF($B280="","",IFERROR(INDEX(CM_QTD,MATCH($B280,CM_ID,0)),""))</f>
        <v/>
      </c>
      <c r="I280" s="35" t="str">
        <f aca="false">IF($A280="","",$C280&amp;"/"&amp;$H280)</f>
        <v/>
      </c>
      <c r="J280" s="35" t="str">
        <f aca="false">IF($A280="","",IF($C280&lt;=IFERROR(INDEX(CM_PAGASANTES,MATCH($B280,CM_ID,0)),0),"SIM","NAO"))</f>
        <v/>
      </c>
      <c r="K280" s="36" t="n">
        <f aca="false">IF($A280="",0,SUMIFS(L_Valor,L_ParcID,$A280,L_Status,"REALIZADO"))</f>
        <v>0</v>
      </c>
      <c r="L280" s="38" t="str">
        <f aca="false">IF($A280="","",IFERROR(INDEX(L_Data,MATCH(1,INDEX((L_ParcID=$A280)*(L_Status="REALIZADO"),0),0)),""))</f>
        <v/>
      </c>
      <c r="M280" s="34" t="n">
        <f aca="false">IF($A280="",0,COUNTIFS(L_ParcID,$A280,L_Status,"REALIZADO"))</f>
        <v>0</v>
      </c>
      <c r="N280" s="34" t="n">
        <f aca="false">IF($A280="",0,COUNTIFS(L_ParcID,$A280,L_Status,"PROJETADO"))</f>
        <v>0</v>
      </c>
      <c r="O280" s="35" t="str">
        <f aca="false">IF($A280="","",IF($J280="SIM","PAGA",IF($M280&gt;0,"PAGA",IF($D280&lt;CFG_HOJE,"ATRASADA",IF($D280&lt;=EOMONTH(CFG_HOJE,0),"ABERTA","PROJETADA")))))</f>
        <v/>
      </c>
      <c r="P280" s="34" t="n">
        <f aca="false">IF($O280="ATRASADA",CFG_HOJE-$D280,0)</f>
        <v>0</v>
      </c>
      <c r="Q280" s="36" t="n">
        <f aca="false">IF($A280="",0,IF(AND($O280="PAGA",$J280="NAO"),$K280-$E280,0))</f>
        <v>0</v>
      </c>
    </row>
    <row r="281" customFormat="false" ht="15" hidden="false" customHeight="false" outlineLevel="0" collapsed="false">
      <c r="A281" s="30" t="str">
        <f aca="false">IF($B281="","","PAR-"&amp;TEXT(ROW()-4,"000000"))</f>
        <v/>
      </c>
      <c r="B281" s="32"/>
      <c r="C281" s="37"/>
      <c r="D281" s="31"/>
      <c r="E281" s="33"/>
      <c r="F281" s="32"/>
      <c r="G281" s="35" t="str">
        <f aca="false">IF($B281="","",IFERROR(INDEX(CM_NOME,MATCH($B281,CM_ID,0)),"?"))</f>
        <v/>
      </c>
      <c r="H281" s="34" t="str">
        <f aca="false">IF($B281="","",IFERROR(INDEX(CM_QTD,MATCH($B281,CM_ID,0)),""))</f>
        <v/>
      </c>
      <c r="I281" s="35" t="str">
        <f aca="false">IF($A281="","",$C281&amp;"/"&amp;$H281)</f>
        <v/>
      </c>
      <c r="J281" s="35" t="str">
        <f aca="false">IF($A281="","",IF($C281&lt;=IFERROR(INDEX(CM_PAGASANTES,MATCH($B281,CM_ID,0)),0),"SIM","NAO"))</f>
        <v/>
      </c>
      <c r="K281" s="36" t="n">
        <f aca="false">IF($A281="",0,SUMIFS(L_Valor,L_ParcID,$A281,L_Status,"REALIZADO"))</f>
        <v>0</v>
      </c>
      <c r="L281" s="38" t="str">
        <f aca="false">IF($A281="","",IFERROR(INDEX(L_Data,MATCH(1,INDEX((L_ParcID=$A281)*(L_Status="REALIZADO"),0),0)),""))</f>
        <v/>
      </c>
      <c r="M281" s="34" t="n">
        <f aca="false">IF($A281="",0,COUNTIFS(L_ParcID,$A281,L_Status,"REALIZADO"))</f>
        <v>0</v>
      </c>
      <c r="N281" s="34" t="n">
        <f aca="false">IF($A281="",0,COUNTIFS(L_ParcID,$A281,L_Status,"PROJETADO"))</f>
        <v>0</v>
      </c>
      <c r="O281" s="35" t="str">
        <f aca="false">IF($A281="","",IF($J281="SIM","PAGA",IF($M281&gt;0,"PAGA",IF($D281&lt;CFG_HOJE,"ATRASADA",IF($D281&lt;=EOMONTH(CFG_HOJE,0),"ABERTA","PROJETADA")))))</f>
        <v/>
      </c>
      <c r="P281" s="34" t="n">
        <f aca="false">IF($O281="ATRASADA",CFG_HOJE-$D281,0)</f>
        <v>0</v>
      </c>
      <c r="Q281" s="36" t="n">
        <f aca="false">IF($A281="",0,IF(AND($O281="PAGA",$J281="NAO"),$K281-$E281,0))</f>
        <v>0</v>
      </c>
    </row>
    <row r="282" customFormat="false" ht="15" hidden="false" customHeight="false" outlineLevel="0" collapsed="false">
      <c r="A282" s="30" t="str">
        <f aca="false">IF($B282="","","PAR-"&amp;TEXT(ROW()-4,"000000"))</f>
        <v/>
      </c>
      <c r="B282" s="32"/>
      <c r="C282" s="37"/>
      <c r="D282" s="31"/>
      <c r="E282" s="33"/>
      <c r="F282" s="32"/>
      <c r="G282" s="35" t="str">
        <f aca="false">IF($B282="","",IFERROR(INDEX(CM_NOME,MATCH($B282,CM_ID,0)),"?"))</f>
        <v/>
      </c>
      <c r="H282" s="34" t="str">
        <f aca="false">IF($B282="","",IFERROR(INDEX(CM_QTD,MATCH($B282,CM_ID,0)),""))</f>
        <v/>
      </c>
      <c r="I282" s="35" t="str">
        <f aca="false">IF($A282="","",$C282&amp;"/"&amp;$H282)</f>
        <v/>
      </c>
      <c r="J282" s="35" t="str">
        <f aca="false">IF($A282="","",IF($C282&lt;=IFERROR(INDEX(CM_PAGASANTES,MATCH($B282,CM_ID,0)),0),"SIM","NAO"))</f>
        <v/>
      </c>
      <c r="K282" s="36" t="n">
        <f aca="false">IF($A282="",0,SUMIFS(L_Valor,L_ParcID,$A282,L_Status,"REALIZADO"))</f>
        <v>0</v>
      </c>
      <c r="L282" s="38" t="str">
        <f aca="false">IF($A282="","",IFERROR(INDEX(L_Data,MATCH(1,INDEX((L_ParcID=$A282)*(L_Status="REALIZADO"),0),0)),""))</f>
        <v/>
      </c>
      <c r="M282" s="34" t="n">
        <f aca="false">IF($A282="",0,COUNTIFS(L_ParcID,$A282,L_Status,"REALIZADO"))</f>
        <v>0</v>
      </c>
      <c r="N282" s="34" t="n">
        <f aca="false">IF($A282="",0,COUNTIFS(L_ParcID,$A282,L_Status,"PROJETADO"))</f>
        <v>0</v>
      </c>
      <c r="O282" s="35" t="str">
        <f aca="false">IF($A282="","",IF($J282="SIM","PAGA",IF($M282&gt;0,"PAGA",IF($D282&lt;CFG_HOJE,"ATRASADA",IF($D282&lt;=EOMONTH(CFG_HOJE,0),"ABERTA","PROJETADA")))))</f>
        <v/>
      </c>
      <c r="P282" s="34" t="n">
        <f aca="false">IF($O282="ATRASADA",CFG_HOJE-$D282,0)</f>
        <v>0</v>
      </c>
      <c r="Q282" s="36" t="n">
        <f aca="false">IF($A282="",0,IF(AND($O282="PAGA",$J282="NAO"),$K282-$E282,0))</f>
        <v>0</v>
      </c>
    </row>
    <row r="283" customFormat="false" ht="15" hidden="false" customHeight="false" outlineLevel="0" collapsed="false">
      <c r="A283" s="30" t="str">
        <f aca="false">IF($B283="","","PAR-"&amp;TEXT(ROW()-4,"000000"))</f>
        <v/>
      </c>
      <c r="B283" s="32"/>
      <c r="C283" s="37"/>
      <c r="D283" s="31"/>
      <c r="E283" s="33"/>
      <c r="F283" s="32"/>
      <c r="G283" s="35" t="str">
        <f aca="false">IF($B283="","",IFERROR(INDEX(CM_NOME,MATCH($B283,CM_ID,0)),"?"))</f>
        <v/>
      </c>
      <c r="H283" s="34" t="str">
        <f aca="false">IF($B283="","",IFERROR(INDEX(CM_QTD,MATCH($B283,CM_ID,0)),""))</f>
        <v/>
      </c>
      <c r="I283" s="35" t="str">
        <f aca="false">IF($A283="","",$C283&amp;"/"&amp;$H283)</f>
        <v/>
      </c>
      <c r="J283" s="35" t="str">
        <f aca="false">IF($A283="","",IF($C283&lt;=IFERROR(INDEX(CM_PAGASANTES,MATCH($B283,CM_ID,0)),0),"SIM","NAO"))</f>
        <v/>
      </c>
      <c r="K283" s="36" t="n">
        <f aca="false">IF($A283="",0,SUMIFS(L_Valor,L_ParcID,$A283,L_Status,"REALIZADO"))</f>
        <v>0</v>
      </c>
      <c r="L283" s="38" t="str">
        <f aca="false">IF($A283="","",IFERROR(INDEX(L_Data,MATCH(1,INDEX((L_ParcID=$A283)*(L_Status="REALIZADO"),0),0)),""))</f>
        <v/>
      </c>
      <c r="M283" s="34" t="n">
        <f aca="false">IF($A283="",0,COUNTIFS(L_ParcID,$A283,L_Status,"REALIZADO"))</f>
        <v>0</v>
      </c>
      <c r="N283" s="34" t="n">
        <f aca="false">IF($A283="",0,COUNTIFS(L_ParcID,$A283,L_Status,"PROJETADO"))</f>
        <v>0</v>
      </c>
      <c r="O283" s="35" t="str">
        <f aca="false">IF($A283="","",IF($J283="SIM","PAGA",IF($M283&gt;0,"PAGA",IF($D283&lt;CFG_HOJE,"ATRASADA",IF($D283&lt;=EOMONTH(CFG_HOJE,0),"ABERTA","PROJETADA")))))</f>
        <v/>
      </c>
      <c r="P283" s="34" t="n">
        <f aca="false">IF($O283="ATRASADA",CFG_HOJE-$D283,0)</f>
        <v>0</v>
      </c>
      <c r="Q283" s="36" t="n">
        <f aca="false">IF($A283="",0,IF(AND($O283="PAGA",$J283="NAO"),$K283-$E283,0))</f>
        <v>0</v>
      </c>
    </row>
    <row r="284" customFormat="false" ht="15" hidden="false" customHeight="false" outlineLevel="0" collapsed="false">
      <c r="A284" s="30" t="str">
        <f aca="false">IF($B284="","","PAR-"&amp;TEXT(ROW()-4,"000000"))</f>
        <v/>
      </c>
      <c r="B284" s="32"/>
      <c r="C284" s="37"/>
      <c r="D284" s="31"/>
      <c r="E284" s="33"/>
      <c r="F284" s="32"/>
      <c r="G284" s="35" t="str">
        <f aca="false">IF($B284="","",IFERROR(INDEX(CM_NOME,MATCH($B284,CM_ID,0)),"?"))</f>
        <v/>
      </c>
      <c r="H284" s="34" t="str">
        <f aca="false">IF($B284="","",IFERROR(INDEX(CM_QTD,MATCH($B284,CM_ID,0)),""))</f>
        <v/>
      </c>
      <c r="I284" s="35" t="str">
        <f aca="false">IF($A284="","",$C284&amp;"/"&amp;$H284)</f>
        <v/>
      </c>
      <c r="J284" s="35" t="str">
        <f aca="false">IF($A284="","",IF($C284&lt;=IFERROR(INDEX(CM_PAGASANTES,MATCH($B284,CM_ID,0)),0),"SIM","NAO"))</f>
        <v/>
      </c>
      <c r="K284" s="36" t="n">
        <f aca="false">IF($A284="",0,SUMIFS(L_Valor,L_ParcID,$A284,L_Status,"REALIZADO"))</f>
        <v>0</v>
      </c>
      <c r="L284" s="38" t="str">
        <f aca="false">IF($A284="","",IFERROR(INDEX(L_Data,MATCH(1,INDEX((L_ParcID=$A284)*(L_Status="REALIZADO"),0),0)),""))</f>
        <v/>
      </c>
      <c r="M284" s="34" t="n">
        <f aca="false">IF($A284="",0,COUNTIFS(L_ParcID,$A284,L_Status,"REALIZADO"))</f>
        <v>0</v>
      </c>
      <c r="N284" s="34" t="n">
        <f aca="false">IF($A284="",0,COUNTIFS(L_ParcID,$A284,L_Status,"PROJETADO"))</f>
        <v>0</v>
      </c>
      <c r="O284" s="35" t="str">
        <f aca="false">IF($A284="","",IF($J284="SIM","PAGA",IF($M284&gt;0,"PAGA",IF($D284&lt;CFG_HOJE,"ATRASADA",IF($D284&lt;=EOMONTH(CFG_HOJE,0),"ABERTA","PROJETADA")))))</f>
        <v/>
      </c>
      <c r="P284" s="34" t="n">
        <f aca="false">IF($O284="ATRASADA",CFG_HOJE-$D284,0)</f>
        <v>0</v>
      </c>
      <c r="Q284" s="36" t="n">
        <f aca="false">IF($A284="",0,IF(AND($O284="PAGA",$J284="NAO"),$K284-$E284,0))</f>
        <v>0</v>
      </c>
    </row>
    <row r="285" customFormat="false" ht="15" hidden="false" customHeight="false" outlineLevel="0" collapsed="false">
      <c r="A285" s="30" t="str">
        <f aca="false">IF($B285="","","PAR-"&amp;TEXT(ROW()-4,"000000"))</f>
        <v/>
      </c>
      <c r="B285" s="32"/>
      <c r="C285" s="37"/>
      <c r="D285" s="31"/>
      <c r="E285" s="33"/>
      <c r="F285" s="32"/>
      <c r="G285" s="35" t="str">
        <f aca="false">IF($B285="","",IFERROR(INDEX(CM_NOME,MATCH($B285,CM_ID,0)),"?"))</f>
        <v/>
      </c>
      <c r="H285" s="34" t="str">
        <f aca="false">IF($B285="","",IFERROR(INDEX(CM_QTD,MATCH($B285,CM_ID,0)),""))</f>
        <v/>
      </c>
      <c r="I285" s="35" t="str">
        <f aca="false">IF($A285="","",$C285&amp;"/"&amp;$H285)</f>
        <v/>
      </c>
      <c r="J285" s="35" t="str">
        <f aca="false">IF($A285="","",IF($C285&lt;=IFERROR(INDEX(CM_PAGASANTES,MATCH($B285,CM_ID,0)),0),"SIM","NAO"))</f>
        <v/>
      </c>
      <c r="K285" s="36" t="n">
        <f aca="false">IF($A285="",0,SUMIFS(L_Valor,L_ParcID,$A285,L_Status,"REALIZADO"))</f>
        <v>0</v>
      </c>
      <c r="L285" s="38" t="str">
        <f aca="false">IF($A285="","",IFERROR(INDEX(L_Data,MATCH(1,INDEX((L_ParcID=$A285)*(L_Status="REALIZADO"),0),0)),""))</f>
        <v/>
      </c>
      <c r="M285" s="34" t="n">
        <f aca="false">IF($A285="",0,COUNTIFS(L_ParcID,$A285,L_Status,"REALIZADO"))</f>
        <v>0</v>
      </c>
      <c r="N285" s="34" t="n">
        <f aca="false">IF($A285="",0,COUNTIFS(L_ParcID,$A285,L_Status,"PROJETADO"))</f>
        <v>0</v>
      </c>
      <c r="O285" s="35" t="str">
        <f aca="false">IF($A285="","",IF($J285="SIM","PAGA",IF($M285&gt;0,"PAGA",IF($D285&lt;CFG_HOJE,"ATRASADA",IF($D285&lt;=EOMONTH(CFG_HOJE,0),"ABERTA","PROJETADA")))))</f>
        <v/>
      </c>
      <c r="P285" s="34" t="n">
        <f aca="false">IF($O285="ATRASADA",CFG_HOJE-$D285,0)</f>
        <v>0</v>
      </c>
      <c r="Q285" s="36" t="n">
        <f aca="false">IF($A285="",0,IF(AND($O285="PAGA",$J285="NAO"),$K285-$E285,0))</f>
        <v>0</v>
      </c>
    </row>
    <row r="286" customFormat="false" ht="15" hidden="false" customHeight="false" outlineLevel="0" collapsed="false">
      <c r="A286" s="30" t="str">
        <f aca="false">IF($B286="","","PAR-"&amp;TEXT(ROW()-4,"000000"))</f>
        <v/>
      </c>
      <c r="B286" s="32"/>
      <c r="C286" s="37"/>
      <c r="D286" s="31"/>
      <c r="E286" s="33"/>
      <c r="F286" s="32"/>
      <c r="G286" s="35" t="str">
        <f aca="false">IF($B286="","",IFERROR(INDEX(CM_NOME,MATCH($B286,CM_ID,0)),"?"))</f>
        <v/>
      </c>
      <c r="H286" s="34" t="str">
        <f aca="false">IF($B286="","",IFERROR(INDEX(CM_QTD,MATCH($B286,CM_ID,0)),""))</f>
        <v/>
      </c>
      <c r="I286" s="35" t="str">
        <f aca="false">IF($A286="","",$C286&amp;"/"&amp;$H286)</f>
        <v/>
      </c>
      <c r="J286" s="35" t="str">
        <f aca="false">IF($A286="","",IF($C286&lt;=IFERROR(INDEX(CM_PAGASANTES,MATCH($B286,CM_ID,0)),0),"SIM","NAO"))</f>
        <v/>
      </c>
      <c r="K286" s="36" t="n">
        <f aca="false">IF($A286="",0,SUMIFS(L_Valor,L_ParcID,$A286,L_Status,"REALIZADO"))</f>
        <v>0</v>
      </c>
      <c r="L286" s="38" t="str">
        <f aca="false">IF($A286="","",IFERROR(INDEX(L_Data,MATCH(1,INDEX((L_ParcID=$A286)*(L_Status="REALIZADO"),0),0)),""))</f>
        <v/>
      </c>
      <c r="M286" s="34" t="n">
        <f aca="false">IF($A286="",0,COUNTIFS(L_ParcID,$A286,L_Status,"REALIZADO"))</f>
        <v>0</v>
      </c>
      <c r="N286" s="34" t="n">
        <f aca="false">IF($A286="",0,COUNTIFS(L_ParcID,$A286,L_Status,"PROJETADO"))</f>
        <v>0</v>
      </c>
      <c r="O286" s="35" t="str">
        <f aca="false">IF($A286="","",IF($J286="SIM","PAGA",IF($M286&gt;0,"PAGA",IF($D286&lt;CFG_HOJE,"ATRASADA",IF($D286&lt;=EOMONTH(CFG_HOJE,0),"ABERTA","PROJETADA")))))</f>
        <v/>
      </c>
      <c r="P286" s="34" t="n">
        <f aca="false">IF($O286="ATRASADA",CFG_HOJE-$D286,0)</f>
        <v>0</v>
      </c>
      <c r="Q286" s="36" t="n">
        <f aca="false">IF($A286="",0,IF(AND($O286="PAGA",$J286="NAO"),$K286-$E286,0))</f>
        <v>0</v>
      </c>
    </row>
    <row r="287" customFormat="false" ht="15" hidden="false" customHeight="false" outlineLevel="0" collapsed="false">
      <c r="A287" s="30" t="str">
        <f aca="false">IF($B287="","","PAR-"&amp;TEXT(ROW()-4,"000000"))</f>
        <v/>
      </c>
      <c r="B287" s="32"/>
      <c r="C287" s="37"/>
      <c r="D287" s="31"/>
      <c r="E287" s="33"/>
      <c r="F287" s="32"/>
      <c r="G287" s="35" t="str">
        <f aca="false">IF($B287="","",IFERROR(INDEX(CM_NOME,MATCH($B287,CM_ID,0)),"?"))</f>
        <v/>
      </c>
      <c r="H287" s="34" t="str">
        <f aca="false">IF($B287="","",IFERROR(INDEX(CM_QTD,MATCH($B287,CM_ID,0)),""))</f>
        <v/>
      </c>
      <c r="I287" s="35" t="str">
        <f aca="false">IF($A287="","",$C287&amp;"/"&amp;$H287)</f>
        <v/>
      </c>
      <c r="J287" s="35" t="str">
        <f aca="false">IF($A287="","",IF($C287&lt;=IFERROR(INDEX(CM_PAGASANTES,MATCH($B287,CM_ID,0)),0),"SIM","NAO"))</f>
        <v/>
      </c>
      <c r="K287" s="36" t="n">
        <f aca="false">IF($A287="",0,SUMIFS(L_Valor,L_ParcID,$A287,L_Status,"REALIZADO"))</f>
        <v>0</v>
      </c>
      <c r="L287" s="38" t="str">
        <f aca="false">IF($A287="","",IFERROR(INDEX(L_Data,MATCH(1,INDEX((L_ParcID=$A287)*(L_Status="REALIZADO"),0),0)),""))</f>
        <v/>
      </c>
      <c r="M287" s="34" t="n">
        <f aca="false">IF($A287="",0,COUNTIFS(L_ParcID,$A287,L_Status,"REALIZADO"))</f>
        <v>0</v>
      </c>
      <c r="N287" s="34" t="n">
        <f aca="false">IF($A287="",0,COUNTIFS(L_ParcID,$A287,L_Status,"PROJETADO"))</f>
        <v>0</v>
      </c>
      <c r="O287" s="35" t="str">
        <f aca="false">IF($A287="","",IF($J287="SIM","PAGA",IF($M287&gt;0,"PAGA",IF($D287&lt;CFG_HOJE,"ATRASADA",IF($D287&lt;=EOMONTH(CFG_HOJE,0),"ABERTA","PROJETADA")))))</f>
        <v/>
      </c>
      <c r="P287" s="34" t="n">
        <f aca="false">IF($O287="ATRASADA",CFG_HOJE-$D287,0)</f>
        <v>0</v>
      </c>
      <c r="Q287" s="36" t="n">
        <f aca="false">IF($A287="",0,IF(AND($O287="PAGA",$J287="NAO"),$K287-$E287,0))</f>
        <v>0</v>
      </c>
    </row>
    <row r="288" customFormat="false" ht="15" hidden="false" customHeight="false" outlineLevel="0" collapsed="false">
      <c r="A288" s="30" t="str">
        <f aca="false">IF($B288="","","PAR-"&amp;TEXT(ROW()-4,"000000"))</f>
        <v/>
      </c>
      <c r="B288" s="32"/>
      <c r="C288" s="37"/>
      <c r="D288" s="31"/>
      <c r="E288" s="33"/>
      <c r="F288" s="32"/>
      <c r="G288" s="35" t="str">
        <f aca="false">IF($B288="","",IFERROR(INDEX(CM_NOME,MATCH($B288,CM_ID,0)),"?"))</f>
        <v/>
      </c>
      <c r="H288" s="34" t="str">
        <f aca="false">IF($B288="","",IFERROR(INDEX(CM_QTD,MATCH($B288,CM_ID,0)),""))</f>
        <v/>
      </c>
      <c r="I288" s="35" t="str">
        <f aca="false">IF($A288="","",$C288&amp;"/"&amp;$H288)</f>
        <v/>
      </c>
      <c r="J288" s="35" t="str">
        <f aca="false">IF($A288="","",IF($C288&lt;=IFERROR(INDEX(CM_PAGASANTES,MATCH($B288,CM_ID,0)),0),"SIM","NAO"))</f>
        <v/>
      </c>
      <c r="K288" s="36" t="n">
        <f aca="false">IF($A288="",0,SUMIFS(L_Valor,L_ParcID,$A288,L_Status,"REALIZADO"))</f>
        <v>0</v>
      </c>
      <c r="L288" s="38" t="str">
        <f aca="false">IF($A288="","",IFERROR(INDEX(L_Data,MATCH(1,INDEX((L_ParcID=$A288)*(L_Status="REALIZADO"),0),0)),""))</f>
        <v/>
      </c>
      <c r="M288" s="34" t="n">
        <f aca="false">IF($A288="",0,COUNTIFS(L_ParcID,$A288,L_Status,"REALIZADO"))</f>
        <v>0</v>
      </c>
      <c r="N288" s="34" t="n">
        <f aca="false">IF($A288="",0,COUNTIFS(L_ParcID,$A288,L_Status,"PROJETADO"))</f>
        <v>0</v>
      </c>
      <c r="O288" s="35" t="str">
        <f aca="false">IF($A288="","",IF($J288="SIM","PAGA",IF($M288&gt;0,"PAGA",IF($D288&lt;CFG_HOJE,"ATRASADA",IF($D288&lt;=EOMONTH(CFG_HOJE,0),"ABERTA","PROJETADA")))))</f>
        <v/>
      </c>
      <c r="P288" s="34" t="n">
        <f aca="false">IF($O288="ATRASADA",CFG_HOJE-$D288,0)</f>
        <v>0</v>
      </c>
      <c r="Q288" s="36" t="n">
        <f aca="false">IF($A288="",0,IF(AND($O288="PAGA",$J288="NAO"),$K288-$E288,0))</f>
        <v>0</v>
      </c>
    </row>
    <row r="289" customFormat="false" ht="15" hidden="false" customHeight="false" outlineLevel="0" collapsed="false">
      <c r="A289" s="30" t="str">
        <f aca="false">IF($B289="","","PAR-"&amp;TEXT(ROW()-4,"000000"))</f>
        <v/>
      </c>
      <c r="B289" s="32"/>
      <c r="C289" s="37"/>
      <c r="D289" s="31"/>
      <c r="E289" s="33"/>
      <c r="F289" s="32"/>
      <c r="G289" s="35" t="str">
        <f aca="false">IF($B289="","",IFERROR(INDEX(CM_NOME,MATCH($B289,CM_ID,0)),"?"))</f>
        <v/>
      </c>
      <c r="H289" s="34" t="str">
        <f aca="false">IF($B289="","",IFERROR(INDEX(CM_QTD,MATCH($B289,CM_ID,0)),""))</f>
        <v/>
      </c>
      <c r="I289" s="35" t="str">
        <f aca="false">IF($A289="","",$C289&amp;"/"&amp;$H289)</f>
        <v/>
      </c>
      <c r="J289" s="35" t="str">
        <f aca="false">IF($A289="","",IF($C289&lt;=IFERROR(INDEX(CM_PAGASANTES,MATCH($B289,CM_ID,0)),0),"SIM","NAO"))</f>
        <v/>
      </c>
      <c r="K289" s="36" t="n">
        <f aca="false">IF($A289="",0,SUMIFS(L_Valor,L_ParcID,$A289,L_Status,"REALIZADO"))</f>
        <v>0</v>
      </c>
      <c r="L289" s="38" t="str">
        <f aca="false">IF($A289="","",IFERROR(INDEX(L_Data,MATCH(1,INDEX((L_ParcID=$A289)*(L_Status="REALIZADO"),0),0)),""))</f>
        <v/>
      </c>
      <c r="M289" s="34" t="n">
        <f aca="false">IF($A289="",0,COUNTIFS(L_ParcID,$A289,L_Status,"REALIZADO"))</f>
        <v>0</v>
      </c>
      <c r="N289" s="34" t="n">
        <f aca="false">IF($A289="",0,COUNTIFS(L_ParcID,$A289,L_Status,"PROJETADO"))</f>
        <v>0</v>
      </c>
      <c r="O289" s="35" t="str">
        <f aca="false">IF($A289="","",IF($J289="SIM","PAGA",IF($M289&gt;0,"PAGA",IF($D289&lt;CFG_HOJE,"ATRASADA",IF($D289&lt;=EOMONTH(CFG_HOJE,0),"ABERTA","PROJETADA")))))</f>
        <v/>
      </c>
      <c r="P289" s="34" t="n">
        <f aca="false">IF($O289="ATRASADA",CFG_HOJE-$D289,0)</f>
        <v>0</v>
      </c>
      <c r="Q289" s="36" t="n">
        <f aca="false">IF($A289="",0,IF(AND($O289="PAGA",$J289="NAO"),$K289-$E289,0))</f>
        <v>0</v>
      </c>
    </row>
    <row r="290" customFormat="false" ht="15" hidden="false" customHeight="false" outlineLevel="0" collapsed="false">
      <c r="A290" s="30" t="str">
        <f aca="false">IF($B290="","","PAR-"&amp;TEXT(ROW()-4,"000000"))</f>
        <v/>
      </c>
      <c r="B290" s="32"/>
      <c r="C290" s="37"/>
      <c r="D290" s="31"/>
      <c r="E290" s="33"/>
      <c r="F290" s="32"/>
      <c r="G290" s="35" t="str">
        <f aca="false">IF($B290="","",IFERROR(INDEX(CM_NOME,MATCH($B290,CM_ID,0)),"?"))</f>
        <v/>
      </c>
      <c r="H290" s="34" t="str">
        <f aca="false">IF($B290="","",IFERROR(INDEX(CM_QTD,MATCH($B290,CM_ID,0)),""))</f>
        <v/>
      </c>
      <c r="I290" s="35" t="str">
        <f aca="false">IF($A290="","",$C290&amp;"/"&amp;$H290)</f>
        <v/>
      </c>
      <c r="J290" s="35" t="str">
        <f aca="false">IF($A290="","",IF($C290&lt;=IFERROR(INDEX(CM_PAGASANTES,MATCH($B290,CM_ID,0)),0),"SIM","NAO"))</f>
        <v/>
      </c>
      <c r="K290" s="36" t="n">
        <f aca="false">IF($A290="",0,SUMIFS(L_Valor,L_ParcID,$A290,L_Status,"REALIZADO"))</f>
        <v>0</v>
      </c>
      <c r="L290" s="38" t="str">
        <f aca="false">IF($A290="","",IFERROR(INDEX(L_Data,MATCH(1,INDEX((L_ParcID=$A290)*(L_Status="REALIZADO"),0),0)),""))</f>
        <v/>
      </c>
      <c r="M290" s="34" t="n">
        <f aca="false">IF($A290="",0,COUNTIFS(L_ParcID,$A290,L_Status,"REALIZADO"))</f>
        <v>0</v>
      </c>
      <c r="N290" s="34" t="n">
        <f aca="false">IF($A290="",0,COUNTIFS(L_ParcID,$A290,L_Status,"PROJETADO"))</f>
        <v>0</v>
      </c>
      <c r="O290" s="35" t="str">
        <f aca="false">IF($A290="","",IF($J290="SIM","PAGA",IF($M290&gt;0,"PAGA",IF($D290&lt;CFG_HOJE,"ATRASADA",IF($D290&lt;=EOMONTH(CFG_HOJE,0),"ABERTA","PROJETADA")))))</f>
        <v/>
      </c>
      <c r="P290" s="34" t="n">
        <f aca="false">IF($O290="ATRASADA",CFG_HOJE-$D290,0)</f>
        <v>0</v>
      </c>
      <c r="Q290" s="36" t="n">
        <f aca="false">IF($A290="",0,IF(AND($O290="PAGA",$J290="NAO"),$K290-$E290,0))</f>
        <v>0</v>
      </c>
    </row>
    <row r="291" customFormat="false" ht="15" hidden="false" customHeight="false" outlineLevel="0" collapsed="false">
      <c r="A291" s="30" t="str">
        <f aca="false">IF($B291="","","PAR-"&amp;TEXT(ROW()-4,"000000"))</f>
        <v/>
      </c>
      <c r="B291" s="32"/>
      <c r="C291" s="37"/>
      <c r="D291" s="31"/>
      <c r="E291" s="33"/>
      <c r="F291" s="32"/>
      <c r="G291" s="35" t="str">
        <f aca="false">IF($B291="","",IFERROR(INDEX(CM_NOME,MATCH($B291,CM_ID,0)),"?"))</f>
        <v/>
      </c>
      <c r="H291" s="34" t="str">
        <f aca="false">IF($B291="","",IFERROR(INDEX(CM_QTD,MATCH($B291,CM_ID,0)),""))</f>
        <v/>
      </c>
      <c r="I291" s="35" t="str">
        <f aca="false">IF($A291="","",$C291&amp;"/"&amp;$H291)</f>
        <v/>
      </c>
      <c r="J291" s="35" t="str">
        <f aca="false">IF($A291="","",IF($C291&lt;=IFERROR(INDEX(CM_PAGASANTES,MATCH($B291,CM_ID,0)),0),"SIM","NAO"))</f>
        <v/>
      </c>
      <c r="K291" s="36" t="n">
        <f aca="false">IF($A291="",0,SUMIFS(L_Valor,L_ParcID,$A291,L_Status,"REALIZADO"))</f>
        <v>0</v>
      </c>
      <c r="L291" s="38" t="str">
        <f aca="false">IF($A291="","",IFERROR(INDEX(L_Data,MATCH(1,INDEX((L_ParcID=$A291)*(L_Status="REALIZADO"),0),0)),""))</f>
        <v/>
      </c>
      <c r="M291" s="34" t="n">
        <f aca="false">IF($A291="",0,COUNTIFS(L_ParcID,$A291,L_Status,"REALIZADO"))</f>
        <v>0</v>
      </c>
      <c r="N291" s="34" t="n">
        <f aca="false">IF($A291="",0,COUNTIFS(L_ParcID,$A291,L_Status,"PROJETADO"))</f>
        <v>0</v>
      </c>
      <c r="O291" s="35" t="str">
        <f aca="false">IF($A291="","",IF($J291="SIM","PAGA",IF($M291&gt;0,"PAGA",IF($D291&lt;CFG_HOJE,"ATRASADA",IF($D291&lt;=EOMONTH(CFG_HOJE,0),"ABERTA","PROJETADA")))))</f>
        <v/>
      </c>
      <c r="P291" s="34" t="n">
        <f aca="false">IF($O291="ATRASADA",CFG_HOJE-$D291,0)</f>
        <v>0</v>
      </c>
      <c r="Q291" s="36" t="n">
        <f aca="false">IF($A291="",0,IF(AND($O291="PAGA",$J291="NAO"),$K291-$E291,0))</f>
        <v>0</v>
      </c>
    </row>
    <row r="292" customFormat="false" ht="15" hidden="false" customHeight="false" outlineLevel="0" collapsed="false">
      <c r="A292" s="30" t="str">
        <f aca="false">IF($B292="","","PAR-"&amp;TEXT(ROW()-4,"000000"))</f>
        <v/>
      </c>
      <c r="B292" s="32"/>
      <c r="C292" s="37"/>
      <c r="D292" s="31"/>
      <c r="E292" s="33"/>
      <c r="F292" s="32"/>
      <c r="G292" s="35" t="str">
        <f aca="false">IF($B292="","",IFERROR(INDEX(CM_NOME,MATCH($B292,CM_ID,0)),"?"))</f>
        <v/>
      </c>
      <c r="H292" s="34" t="str">
        <f aca="false">IF($B292="","",IFERROR(INDEX(CM_QTD,MATCH($B292,CM_ID,0)),""))</f>
        <v/>
      </c>
      <c r="I292" s="35" t="str">
        <f aca="false">IF($A292="","",$C292&amp;"/"&amp;$H292)</f>
        <v/>
      </c>
      <c r="J292" s="35" t="str">
        <f aca="false">IF($A292="","",IF($C292&lt;=IFERROR(INDEX(CM_PAGASANTES,MATCH($B292,CM_ID,0)),0),"SIM","NAO"))</f>
        <v/>
      </c>
      <c r="K292" s="36" t="n">
        <f aca="false">IF($A292="",0,SUMIFS(L_Valor,L_ParcID,$A292,L_Status,"REALIZADO"))</f>
        <v>0</v>
      </c>
      <c r="L292" s="38" t="str">
        <f aca="false">IF($A292="","",IFERROR(INDEX(L_Data,MATCH(1,INDEX((L_ParcID=$A292)*(L_Status="REALIZADO"),0),0)),""))</f>
        <v/>
      </c>
      <c r="M292" s="34" t="n">
        <f aca="false">IF($A292="",0,COUNTIFS(L_ParcID,$A292,L_Status,"REALIZADO"))</f>
        <v>0</v>
      </c>
      <c r="N292" s="34" t="n">
        <f aca="false">IF($A292="",0,COUNTIFS(L_ParcID,$A292,L_Status,"PROJETADO"))</f>
        <v>0</v>
      </c>
      <c r="O292" s="35" t="str">
        <f aca="false">IF($A292="","",IF($J292="SIM","PAGA",IF($M292&gt;0,"PAGA",IF($D292&lt;CFG_HOJE,"ATRASADA",IF($D292&lt;=EOMONTH(CFG_HOJE,0),"ABERTA","PROJETADA")))))</f>
        <v/>
      </c>
      <c r="P292" s="34" t="n">
        <f aca="false">IF($O292="ATRASADA",CFG_HOJE-$D292,0)</f>
        <v>0</v>
      </c>
      <c r="Q292" s="36" t="n">
        <f aca="false">IF($A292="",0,IF(AND($O292="PAGA",$J292="NAO"),$K292-$E292,0))</f>
        <v>0</v>
      </c>
    </row>
    <row r="293" customFormat="false" ht="15" hidden="false" customHeight="false" outlineLevel="0" collapsed="false">
      <c r="A293" s="30" t="str">
        <f aca="false">IF($B293="","","PAR-"&amp;TEXT(ROW()-4,"000000"))</f>
        <v/>
      </c>
      <c r="B293" s="32"/>
      <c r="C293" s="37"/>
      <c r="D293" s="31"/>
      <c r="E293" s="33"/>
      <c r="F293" s="32"/>
      <c r="G293" s="35" t="str">
        <f aca="false">IF($B293="","",IFERROR(INDEX(CM_NOME,MATCH($B293,CM_ID,0)),"?"))</f>
        <v/>
      </c>
      <c r="H293" s="34" t="str">
        <f aca="false">IF($B293="","",IFERROR(INDEX(CM_QTD,MATCH($B293,CM_ID,0)),""))</f>
        <v/>
      </c>
      <c r="I293" s="35" t="str">
        <f aca="false">IF($A293="","",$C293&amp;"/"&amp;$H293)</f>
        <v/>
      </c>
      <c r="J293" s="35" t="str">
        <f aca="false">IF($A293="","",IF($C293&lt;=IFERROR(INDEX(CM_PAGASANTES,MATCH($B293,CM_ID,0)),0),"SIM","NAO"))</f>
        <v/>
      </c>
      <c r="K293" s="36" t="n">
        <f aca="false">IF($A293="",0,SUMIFS(L_Valor,L_ParcID,$A293,L_Status,"REALIZADO"))</f>
        <v>0</v>
      </c>
      <c r="L293" s="38" t="str">
        <f aca="false">IF($A293="","",IFERROR(INDEX(L_Data,MATCH(1,INDEX((L_ParcID=$A293)*(L_Status="REALIZADO"),0),0)),""))</f>
        <v/>
      </c>
      <c r="M293" s="34" t="n">
        <f aca="false">IF($A293="",0,COUNTIFS(L_ParcID,$A293,L_Status,"REALIZADO"))</f>
        <v>0</v>
      </c>
      <c r="N293" s="34" t="n">
        <f aca="false">IF($A293="",0,COUNTIFS(L_ParcID,$A293,L_Status,"PROJETADO"))</f>
        <v>0</v>
      </c>
      <c r="O293" s="35" t="str">
        <f aca="false">IF($A293="","",IF($J293="SIM","PAGA",IF($M293&gt;0,"PAGA",IF($D293&lt;CFG_HOJE,"ATRASADA",IF($D293&lt;=EOMONTH(CFG_HOJE,0),"ABERTA","PROJETADA")))))</f>
        <v/>
      </c>
      <c r="P293" s="34" t="n">
        <f aca="false">IF($O293="ATRASADA",CFG_HOJE-$D293,0)</f>
        <v>0</v>
      </c>
      <c r="Q293" s="36" t="n">
        <f aca="false">IF($A293="",0,IF(AND($O293="PAGA",$J293="NAO"),$K293-$E293,0))</f>
        <v>0</v>
      </c>
    </row>
    <row r="294" customFormat="false" ht="15" hidden="false" customHeight="false" outlineLevel="0" collapsed="false">
      <c r="A294" s="30" t="str">
        <f aca="false">IF($B294="","","PAR-"&amp;TEXT(ROW()-4,"000000"))</f>
        <v/>
      </c>
      <c r="B294" s="32"/>
      <c r="C294" s="37"/>
      <c r="D294" s="31"/>
      <c r="E294" s="33"/>
      <c r="F294" s="32"/>
      <c r="G294" s="35" t="str">
        <f aca="false">IF($B294="","",IFERROR(INDEX(CM_NOME,MATCH($B294,CM_ID,0)),"?"))</f>
        <v/>
      </c>
      <c r="H294" s="34" t="str">
        <f aca="false">IF($B294="","",IFERROR(INDEX(CM_QTD,MATCH($B294,CM_ID,0)),""))</f>
        <v/>
      </c>
      <c r="I294" s="35" t="str">
        <f aca="false">IF($A294="","",$C294&amp;"/"&amp;$H294)</f>
        <v/>
      </c>
      <c r="J294" s="35" t="str">
        <f aca="false">IF($A294="","",IF($C294&lt;=IFERROR(INDEX(CM_PAGASANTES,MATCH($B294,CM_ID,0)),0),"SIM","NAO"))</f>
        <v/>
      </c>
      <c r="K294" s="36" t="n">
        <f aca="false">IF($A294="",0,SUMIFS(L_Valor,L_ParcID,$A294,L_Status,"REALIZADO"))</f>
        <v>0</v>
      </c>
      <c r="L294" s="38" t="str">
        <f aca="false">IF($A294="","",IFERROR(INDEX(L_Data,MATCH(1,INDEX((L_ParcID=$A294)*(L_Status="REALIZADO"),0),0)),""))</f>
        <v/>
      </c>
      <c r="M294" s="34" t="n">
        <f aca="false">IF($A294="",0,COUNTIFS(L_ParcID,$A294,L_Status,"REALIZADO"))</f>
        <v>0</v>
      </c>
      <c r="N294" s="34" t="n">
        <f aca="false">IF($A294="",0,COUNTIFS(L_ParcID,$A294,L_Status,"PROJETADO"))</f>
        <v>0</v>
      </c>
      <c r="O294" s="35" t="str">
        <f aca="false">IF($A294="","",IF($J294="SIM","PAGA",IF($M294&gt;0,"PAGA",IF($D294&lt;CFG_HOJE,"ATRASADA",IF($D294&lt;=EOMONTH(CFG_HOJE,0),"ABERTA","PROJETADA")))))</f>
        <v/>
      </c>
      <c r="P294" s="34" t="n">
        <f aca="false">IF($O294="ATRASADA",CFG_HOJE-$D294,0)</f>
        <v>0</v>
      </c>
      <c r="Q294" s="36" t="n">
        <f aca="false">IF($A294="",0,IF(AND($O294="PAGA",$J294="NAO"),$K294-$E294,0))</f>
        <v>0</v>
      </c>
    </row>
    <row r="295" customFormat="false" ht="15" hidden="false" customHeight="false" outlineLevel="0" collapsed="false">
      <c r="A295" s="30" t="str">
        <f aca="false">IF($B295="","","PAR-"&amp;TEXT(ROW()-4,"000000"))</f>
        <v/>
      </c>
      <c r="B295" s="32"/>
      <c r="C295" s="37"/>
      <c r="D295" s="31"/>
      <c r="E295" s="33"/>
      <c r="F295" s="32"/>
      <c r="G295" s="35" t="str">
        <f aca="false">IF($B295="","",IFERROR(INDEX(CM_NOME,MATCH($B295,CM_ID,0)),"?"))</f>
        <v/>
      </c>
      <c r="H295" s="34" t="str">
        <f aca="false">IF($B295="","",IFERROR(INDEX(CM_QTD,MATCH($B295,CM_ID,0)),""))</f>
        <v/>
      </c>
      <c r="I295" s="35" t="str">
        <f aca="false">IF($A295="","",$C295&amp;"/"&amp;$H295)</f>
        <v/>
      </c>
      <c r="J295" s="35" t="str">
        <f aca="false">IF($A295="","",IF($C295&lt;=IFERROR(INDEX(CM_PAGASANTES,MATCH($B295,CM_ID,0)),0),"SIM","NAO"))</f>
        <v/>
      </c>
      <c r="K295" s="36" t="n">
        <f aca="false">IF($A295="",0,SUMIFS(L_Valor,L_ParcID,$A295,L_Status,"REALIZADO"))</f>
        <v>0</v>
      </c>
      <c r="L295" s="38" t="str">
        <f aca="false">IF($A295="","",IFERROR(INDEX(L_Data,MATCH(1,INDEX((L_ParcID=$A295)*(L_Status="REALIZADO"),0),0)),""))</f>
        <v/>
      </c>
      <c r="M295" s="34" t="n">
        <f aca="false">IF($A295="",0,COUNTIFS(L_ParcID,$A295,L_Status,"REALIZADO"))</f>
        <v>0</v>
      </c>
      <c r="N295" s="34" t="n">
        <f aca="false">IF($A295="",0,COUNTIFS(L_ParcID,$A295,L_Status,"PROJETADO"))</f>
        <v>0</v>
      </c>
      <c r="O295" s="35" t="str">
        <f aca="false">IF($A295="","",IF($J295="SIM","PAGA",IF($M295&gt;0,"PAGA",IF($D295&lt;CFG_HOJE,"ATRASADA",IF($D295&lt;=EOMONTH(CFG_HOJE,0),"ABERTA","PROJETADA")))))</f>
        <v/>
      </c>
      <c r="P295" s="34" t="n">
        <f aca="false">IF($O295="ATRASADA",CFG_HOJE-$D295,0)</f>
        <v>0</v>
      </c>
      <c r="Q295" s="36" t="n">
        <f aca="false">IF($A295="",0,IF(AND($O295="PAGA",$J295="NAO"),$K295-$E295,0))</f>
        <v>0</v>
      </c>
    </row>
    <row r="296" customFormat="false" ht="15" hidden="false" customHeight="false" outlineLevel="0" collapsed="false">
      <c r="A296" s="30" t="str">
        <f aca="false">IF($B296="","","PAR-"&amp;TEXT(ROW()-4,"000000"))</f>
        <v/>
      </c>
      <c r="B296" s="32"/>
      <c r="C296" s="37"/>
      <c r="D296" s="31"/>
      <c r="E296" s="33"/>
      <c r="F296" s="32"/>
      <c r="G296" s="35" t="str">
        <f aca="false">IF($B296="","",IFERROR(INDEX(CM_NOME,MATCH($B296,CM_ID,0)),"?"))</f>
        <v/>
      </c>
      <c r="H296" s="34" t="str">
        <f aca="false">IF($B296="","",IFERROR(INDEX(CM_QTD,MATCH($B296,CM_ID,0)),""))</f>
        <v/>
      </c>
      <c r="I296" s="35" t="str">
        <f aca="false">IF($A296="","",$C296&amp;"/"&amp;$H296)</f>
        <v/>
      </c>
      <c r="J296" s="35" t="str">
        <f aca="false">IF($A296="","",IF($C296&lt;=IFERROR(INDEX(CM_PAGASANTES,MATCH($B296,CM_ID,0)),0),"SIM","NAO"))</f>
        <v/>
      </c>
      <c r="K296" s="36" t="n">
        <f aca="false">IF($A296="",0,SUMIFS(L_Valor,L_ParcID,$A296,L_Status,"REALIZADO"))</f>
        <v>0</v>
      </c>
      <c r="L296" s="38" t="str">
        <f aca="false">IF($A296="","",IFERROR(INDEX(L_Data,MATCH(1,INDEX((L_ParcID=$A296)*(L_Status="REALIZADO"),0),0)),""))</f>
        <v/>
      </c>
      <c r="M296" s="34" t="n">
        <f aca="false">IF($A296="",0,COUNTIFS(L_ParcID,$A296,L_Status,"REALIZADO"))</f>
        <v>0</v>
      </c>
      <c r="N296" s="34" t="n">
        <f aca="false">IF($A296="",0,COUNTIFS(L_ParcID,$A296,L_Status,"PROJETADO"))</f>
        <v>0</v>
      </c>
      <c r="O296" s="35" t="str">
        <f aca="false">IF($A296="","",IF($J296="SIM","PAGA",IF($M296&gt;0,"PAGA",IF($D296&lt;CFG_HOJE,"ATRASADA",IF($D296&lt;=EOMONTH(CFG_HOJE,0),"ABERTA","PROJETADA")))))</f>
        <v/>
      </c>
      <c r="P296" s="34" t="n">
        <f aca="false">IF($O296="ATRASADA",CFG_HOJE-$D296,0)</f>
        <v>0</v>
      </c>
      <c r="Q296" s="36" t="n">
        <f aca="false">IF($A296="",0,IF(AND($O296="PAGA",$J296="NAO"),$K296-$E296,0))</f>
        <v>0</v>
      </c>
    </row>
    <row r="297" customFormat="false" ht="15" hidden="false" customHeight="false" outlineLevel="0" collapsed="false">
      <c r="A297" s="30" t="str">
        <f aca="false">IF($B297="","","PAR-"&amp;TEXT(ROW()-4,"000000"))</f>
        <v/>
      </c>
      <c r="B297" s="32"/>
      <c r="C297" s="37"/>
      <c r="D297" s="31"/>
      <c r="E297" s="33"/>
      <c r="F297" s="32"/>
      <c r="G297" s="35" t="str">
        <f aca="false">IF($B297="","",IFERROR(INDEX(CM_NOME,MATCH($B297,CM_ID,0)),"?"))</f>
        <v/>
      </c>
      <c r="H297" s="34" t="str">
        <f aca="false">IF($B297="","",IFERROR(INDEX(CM_QTD,MATCH($B297,CM_ID,0)),""))</f>
        <v/>
      </c>
      <c r="I297" s="35" t="str">
        <f aca="false">IF($A297="","",$C297&amp;"/"&amp;$H297)</f>
        <v/>
      </c>
      <c r="J297" s="35" t="str">
        <f aca="false">IF($A297="","",IF($C297&lt;=IFERROR(INDEX(CM_PAGASANTES,MATCH($B297,CM_ID,0)),0),"SIM","NAO"))</f>
        <v/>
      </c>
      <c r="K297" s="36" t="n">
        <f aca="false">IF($A297="",0,SUMIFS(L_Valor,L_ParcID,$A297,L_Status,"REALIZADO"))</f>
        <v>0</v>
      </c>
      <c r="L297" s="38" t="str">
        <f aca="false">IF($A297="","",IFERROR(INDEX(L_Data,MATCH(1,INDEX((L_ParcID=$A297)*(L_Status="REALIZADO"),0),0)),""))</f>
        <v/>
      </c>
      <c r="M297" s="34" t="n">
        <f aca="false">IF($A297="",0,COUNTIFS(L_ParcID,$A297,L_Status,"REALIZADO"))</f>
        <v>0</v>
      </c>
      <c r="N297" s="34" t="n">
        <f aca="false">IF($A297="",0,COUNTIFS(L_ParcID,$A297,L_Status,"PROJETADO"))</f>
        <v>0</v>
      </c>
      <c r="O297" s="35" t="str">
        <f aca="false">IF($A297="","",IF($J297="SIM","PAGA",IF($M297&gt;0,"PAGA",IF($D297&lt;CFG_HOJE,"ATRASADA",IF($D297&lt;=EOMONTH(CFG_HOJE,0),"ABERTA","PROJETADA")))))</f>
        <v/>
      </c>
      <c r="P297" s="34" t="n">
        <f aca="false">IF($O297="ATRASADA",CFG_HOJE-$D297,0)</f>
        <v>0</v>
      </c>
      <c r="Q297" s="36" t="n">
        <f aca="false">IF($A297="",0,IF(AND($O297="PAGA",$J297="NAO"),$K297-$E297,0))</f>
        <v>0</v>
      </c>
    </row>
    <row r="298" customFormat="false" ht="15" hidden="false" customHeight="false" outlineLevel="0" collapsed="false">
      <c r="A298" s="30" t="str">
        <f aca="false">IF($B298="","","PAR-"&amp;TEXT(ROW()-4,"000000"))</f>
        <v/>
      </c>
      <c r="B298" s="32"/>
      <c r="C298" s="37"/>
      <c r="D298" s="31"/>
      <c r="E298" s="33"/>
      <c r="F298" s="32"/>
      <c r="G298" s="35" t="str">
        <f aca="false">IF($B298="","",IFERROR(INDEX(CM_NOME,MATCH($B298,CM_ID,0)),"?"))</f>
        <v/>
      </c>
      <c r="H298" s="34" t="str">
        <f aca="false">IF($B298="","",IFERROR(INDEX(CM_QTD,MATCH($B298,CM_ID,0)),""))</f>
        <v/>
      </c>
      <c r="I298" s="35" t="str">
        <f aca="false">IF($A298="","",$C298&amp;"/"&amp;$H298)</f>
        <v/>
      </c>
      <c r="J298" s="35" t="str">
        <f aca="false">IF($A298="","",IF($C298&lt;=IFERROR(INDEX(CM_PAGASANTES,MATCH($B298,CM_ID,0)),0),"SIM","NAO"))</f>
        <v/>
      </c>
      <c r="K298" s="36" t="n">
        <f aca="false">IF($A298="",0,SUMIFS(L_Valor,L_ParcID,$A298,L_Status,"REALIZADO"))</f>
        <v>0</v>
      </c>
      <c r="L298" s="38" t="str">
        <f aca="false">IF($A298="","",IFERROR(INDEX(L_Data,MATCH(1,INDEX((L_ParcID=$A298)*(L_Status="REALIZADO"),0),0)),""))</f>
        <v/>
      </c>
      <c r="M298" s="34" t="n">
        <f aca="false">IF($A298="",0,COUNTIFS(L_ParcID,$A298,L_Status,"REALIZADO"))</f>
        <v>0</v>
      </c>
      <c r="N298" s="34" t="n">
        <f aca="false">IF($A298="",0,COUNTIFS(L_ParcID,$A298,L_Status,"PROJETADO"))</f>
        <v>0</v>
      </c>
      <c r="O298" s="35" t="str">
        <f aca="false">IF($A298="","",IF($J298="SIM","PAGA",IF($M298&gt;0,"PAGA",IF($D298&lt;CFG_HOJE,"ATRASADA",IF($D298&lt;=EOMONTH(CFG_HOJE,0),"ABERTA","PROJETADA")))))</f>
        <v/>
      </c>
      <c r="P298" s="34" t="n">
        <f aca="false">IF($O298="ATRASADA",CFG_HOJE-$D298,0)</f>
        <v>0</v>
      </c>
      <c r="Q298" s="36" t="n">
        <f aca="false">IF($A298="",0,IF(AND($O298="PAGA",$J298="NAO"),$K298-$E298,0))</f>
        <v>0</v>
      </c>
    </row>
    <row r="299" customFormat="false" ht="15" hidden="false" customHeight="false" outlineLevel="0" collapsed="false">
      <c r="A299" s="30" t="str">
        <f aca="false">IF($B299="","","PAR-"&amp;TEXT(ROW()-4,"000000"))</f>
        <v/>
      </c>
      <c r="B299" s="32"/>
      <c r="C299" s="37"/>
      <c r="D299" s="31"/>
      <c r="E299" s="33"/>
      <c r="F299" s="32"/>
      <c r="G299" s="35" t="str">
        <f aca="false">IF($B299="","",IFERROR(INDEX(CM_NOME,MATCH($B299,CM_ID,0)),"?"))</f>
        <v/>
      </c>
      <c r="H299" s="34" t="str">
        <f aca="false">IF($B299="","",IFERROR(INDEX(CM_QTD,MATCH($B299,CM_ID,0)),""))</f>
        <v/>
      </c>
      <c r="I299" s="35" t="str">
        <f aca="false">IF($A299="","",$C299&amp;"/"&amp;$H299)</f>
        <v/>
      </c>
      <c r="J299" s="35" t="str">
        <f aca="false">IF($A299="","",IF($C299&lt;=IFERROR(INDEX(CM_PAGASANTES,MATCH($B299,CM_ID,0)),0),"SIM","NAO"))</f>
        <v/>
      </c>
      <c r="K299" s="36" t="n">
        <f aca="false">IF($A299="",0,SUMIFS(L_Valor,L_ParcID,$A299,L_Status,"REALIZADO"))</f>
        <v>0</v>
      </c>
      <c r="L299" s="38" t="str">
        <f aca="false">IF($A299="","",IFERROR(INDEX(L_Data,MATCH(1,INDEX((L_ParcID=$A299)*(L_Status="REALIZADO"),0),0)),""))</f>
        <v/>
      </c>
      <c r="M299" s="34" t="n">
        <f aca="false">IF($A299="",0,COUNTIFS(L_ParcID,$A299,L_Status,"REALIZADO"))</f>
        <v>0</v>
      </c>
      <c r="N299" s="34" t="n">
        <f aca="false">IF($A299="",0,COUNTIFS(L_ParcID,$A299,L_Status,"PROJETADO"))</f>
        <v>0</v>
      </c>
      <c r="O299" s="35" t="str">
        <f aca="false">IF($A299="","",IF($J299="SIM","PAGA",IF($M299&gt;0,"PAGA",IF($D299&lt;CFG_HOJE,"ATRASADA",IF($D299&lt;=EOMONTH(CFG_HOJE,0),"ABERTA","PROJETADA")))))</f>
        <v/>
      </c>
      <c r="P299" s="34" t="n">
        <f aca="false">IF($O299="ATRASADA",CFG_HOJE-$D299,0)</f>
        <v>0</v>
      </c>
      <c r="Q299" s="36" t="n">
        <f aca="false">IF($A299="",0,IF(AND($O299="PAGA",$J299="NAO"),$K299-$E299,0))</f>
        <v>0</v>
      </c>
    </row>
    <row r="300" customFormat="false" ht="15" hidden="false" customHeight="false" outlineLevel="0" collapsed="false">
      <c r="A300" s="30" t="str">
        <f aca="false">IF($B300="","","PAR-"&amp;TEXT(ROW()-4,"000000"))</f>
        <v/>
      </c>
      <c r="B300" s="32"/>
      <c r="C300" s="37"/>
      <c r="D300" s="31"/>
      <c r="E300" s="33"/>
      <c r="F300" s="32"/>
      <c r="G300" s="35" t="str">
        <f aca="false">IF($B300="","",IFERROR(INDEX(CM_NOME,MATCH($B300,CM_ID,0)),"?"))</f>
        <v/>
      </c>
      <c r="H300" s="34" t="str">
        <f aca="false">IF($B300="","",IFERROR(INDEX(CM_QTD,MATCH($B300,CM_ID,0)),""))</f>
        <v/>
      </c>
      <c r="I300" s="35" t="str">
        <f aca="false">IF($A300="","",$C300&amp;"/"&amp;$H300)</f>
        <v/>
      </c>
      <c r="J300" s="35" t="str">
        <f aca="false">IF($A300="","",IF($C300&lt;=IFERROR(INDEX(CM_PAGASANTES,MATCH($B300,CM_ID,0)),0),"SIM","NAO"))</f>
        <v/>
      </c>
      <c r="K300" s="36" t="n">
        <f aca="false">IF($A300="",0,SUMIFS(L_Valor,L_ParcID,$A300,L_Status,"REALIZADO"))</f>
        <v>0</v>
      </c>
      <c r="L300" s="38" t="str">
        <f aca="false">IF($A300="","",IFERROR(INDEX(L_Data,MATCH(1,INDEX((L_ParcID=$A300)*(L_Status="REALIZADO"),0),0)),""))</f>
        <v/>
      </c>
      <c r="M300" s="34" t="n">
        <f aca="false">IF($A300="",0,COUNTIFS(L_ParcID,$A300,L_Status,"REALIZADO"))</f>
        <v>0</v>
      </c>
      <c r="N300" s="34" t="n">
        <f aca="false">IF($A300="",0,COUNTIFS(L_ParcID,$A300,L_Status,"PROJETADO"))</f>
        <v>0</v>
      </c>
      <c r="O300" s="35" t="str">
        <f aca="false">IF($A300="","",IF($J300="SIM","PAGA",IF($M300&gt;0,"PAGA",IF($D300&lt;CFG_HOJE,"ATRASADA",IF($D300&lt;=EOMONTH(CFG_HOJE,0),"ABERTA","PROJETADA")))))</f>
        <v/>
      </c>
      <c r="P300" s="34" t="n">
        <f aca="false">IF($O300="ATRASADA",CFG_HOJE-$D300,0)</f>
        <v>0</v>
      </c>
      <c r="Q300" s="36" t="n">
        <f aca="false">IF($A300="",0,IF(AND($O300="PAGA",$J300="NAO"),$K300-$E300,0))</f>
        <v>0</v>
      </c>
    </row>
    <row r="301" customFormat="false" ht="15" hidden="false" customHeight="false" outlineLevel="0" collapsed="false">
      <c r="A301" s="30" t="str">
        <f aca="false">IF($B301="","","PAR-"&amp;TEXT(ROW()-4,"000000"))</f>
        <v/>
      </c>
      <c r="B301" s="32"/>
      <c r="C301" s="37"/>
      <c r="D301" s="31"/>
      <c r="E301" s="33"/>
      <c r="F301" s="32"/>
      <c r="G301" s="35" t="str">
        <f aca="false">IF($B301="","",IFERROR(INDEX(CM_NOME,MATCH($B301,CM_ID,0)),"?"))</f>
        <v/>
      </c>
      <c r="H301" s="34" t="str">
        <f aca="false">IF($B301="","",IFERROR(INDEX(CM_QTD,MATCH($B301,CM_ID,0)),""))</f>
        <v/>
      </c>
      <c r="I301" s="35" t="str">
        <f aca="false">IF($A301="","",$C301&amp;"/"&amp;$H301)</f>
        <v/>
      </c>
      <c r="J301" s="35" t="str">
        <f aca="false">IF($A301="","",IF($C301&lt;=IFERROR(INDEX(CM_PAGASANTES,MATCH($B301,CM_ID,0)),0),"SIM","NAO"))</f>
        <v/>
      </c>
      <c r="K301" s="36" t="n">
        <f aca="false">IF($A301="",0,SUMIFS(L_Valor,L_ParcID,$A301,L_Status,"REALIZADO"))</f>
        <v>0</v>
      </c>
      <c r="L301" s="38" t="str">
        <f aca="false">IF($A301="","",IFERROR(INDEX(L_Data,MATCH(1,INDEX((L_ParcID=$A301)*(L_Status="REALIZADO"),0),0)),""))</f>
        <v/>
      </c>
      <c r="M301" s="34" t="n">
        <f aca="false">IF($A301="",0,COUNTIFS(L_ParcID,$A301,L_Status,"REALIZADO"))</f>
        <v>0</v>
      </c>
      <c r="N301" s="34" t="n">
        <f aca="false">IF($A301="",0,COUNTIFS(L_ParcID,$A301,L_Status,"PROJETADO"))</f>
        <v>0</v>
      </c>
      <c r="O301" s="35" t="str">
        <f aca="false">IF($A301="","",IF($J301="SIM","PAGA",IF($M301&gt;0,"PAGA",IF($D301&lt;CFG_HOJE,"ATRASADA",IF($D301&lt;=EOMONTH(CFG_HOJE,0),"ABERTA","PROJETADA")))))</f>
        <v/>
      </c>
      <c r="P301" s="34" t="n">
        <f aca="false">IF($O301="ATRASADA",CFG_HOJE-$D301,0)</f>
        <v>0</v>
      </c>
      <c r="Q301" s="36" t="n">
        <f aca="false">IF($A301="",0,IF(AND($O301="PAGA",$J301="NAO"),$K301-$E301,0))</f>
        <v>0</v>
      </c>
    </row>
    <row r="302" customFormat="false" ht="15" hidden="false" customHeight="false" outlineLevel="0" collapsed="false">
      <c r="A302" s="30" t="str">
        <f aca="false">IF($B302="","","PAR-"&amp;TEXT(ROW()-4,"000000"))</f>
        <v/>
      </c>
      <c r="B302" s="32"/>
      <c r="C302" s="37"/>
      <c r="D302" s="31"/>
      <c r="E302" s="33"/>
      <c r="F302" s="32"/>
      <c r="G302" s="35" t="str">
        <f aca="false">IF($B302="","",IFERROR(INDEX(CM_NOME,MATCH($B302,CM_ID,0)),"?"))</f>
        <v/>
      </c>
      <c r="H302" s="34" t="str">
        <f aca="false">IF($B302="","",IFERROR(INDEX(CM_QTD,MATCH($B302,CM_ID,0)),""))</f>
        <v/>
      </c>
      <c r="I302" s="35" t="str">
        <f aca="false">IF($A302="","",$C302&amp;"/"&amp;$H302)</f>
        <v/>
      </c>
      <c r="J302" s="35" t="str">
        <f aca="false">IF($A302="","",IF($C302&lt;=IFERROR(INDEX(CM_PAGASANTES,MATCH($B302,CM_ID,0)),0),"SIM","NAO"))</f>
        <v/>
      </c>
      <c r="K302" s="36" t="n">
        <f aca="false">IF($A302="",0,SUMIFS(L_Valor,L_ParcID,$A302,L_Status,"REALIZADO"))</f>
        <v>0</v>
      </c>
      <c r="L302" s="38" t="str">
        <f aca="false">IF($A302="","",IFERROR(INDEX(L_Data,MATCH(1,INDEX((L_ParcID=$A302)*(L_Status="REALIZADO"),0),0)),""))</f>
        <v/>
      </c>
      <c r="M302" s="34" t="n">
        <f aca="false">IF($A302="",0,COUNTIFS(L_ParcID,$A302,L_Status,"REALIZADO"))</f>
        <v>0</v>
      </c>
      <c r="N302" s="34" t="n">
        <f aca="false">IF($A302="",0,COUNTIFS(L_ParcID,$A302,L_Status,"PROJETADO"))</f>
        <v>0</v>
      </c>
      <c r="O302" s="35" t="str">
        <f aca="false">IF($A302="","",IF($J302="SIM","PAGA",IF($M302&gt;0,"PAGA",IF($D302&lt;CFG_HOJE,"ATRASADA",IF($D302&lt;=EOMONTH(CFG_HOJE,0),"ABERTA","PROJETADA")))))</f>
        <v/>
      </c>
      <c r="P302" s="34" t="n">
        <f aca="false">IF($O302="ATRASADA",CFG_HOJE-$D302,0)</f>
        <v>0</v>
      </c>
      <c r="Q302" s="36" t="n">
        <f aca="false">IF($A302="",0,IF(AND($O302="PAGA",$J302="NAO"),$K302-$E302,0))</f>
        <v>0</v>
      </c>
    </row>
    <row r="303" customFormat="false" ht="15" hidden="false" customHeight="false" outlineLevel="0" collapsed="false">
      <c r="A303" s="30" t="str">
        <f aca="false">IF($B303="","","PAR-"&amp;TEXT(ROW()-4,"000000"))</f>
        <v/>
      </c>
      <c r="B303" s="32"/>
      <c r="C303" s="37"/>
      <c r="D303" s="31"/>
      <c r="E303" s="33"/>
      <c r="F303" s="32"/>
      <c r="G303" s="35" t="str">
        <f aca="false">IF($B303="","",IFERROR(INDEX(CM_NOME,MATCH($B303,CM_ID,0)),"?"))</f>
        <v/>
      </c>
      <c r="H303" s="34" t="str">
        <f aca="false">IF($B303="","",IFERROR(INDEX(CM_QTD,MATCH($B303,CM_ID,0)),""))</f>
        <v/>
      </c>
      <c r="I303" s="35" t="str">
        <f aca="false">IF($A303="","",$C303&amp;"/"&amp;$H303)</f>
        <v/>
      </c>
      <c r="J303" s="35" t="str">
        <f aca="false">IF($A303="","",IF($C303&lt;=IFERROR(INDEX(CM_PAGASANTES,MATCH($B303,CM_ID,0)),0),"SIM","NAO"))</f>
        <v/>
      </c>
      <c r="K303" s="36" t="n">
        <f aca="false">IF($A303="",0,SUMIFS(L_Valor,L_ParcID,$A303,L_Status,"REALIZADO"))</f>
        <v>0</v>
      </c>
      <c r="L303" s="38" t="str">
        <f aca="false">IF($A303="","",IFERROR(INDEX(L_Data,MATCH(1,INDEX((L_ParcID=$A303)*(L_Status="REALIZADO"),0),0)),""))</f>
        <v/>
      </c>
      <c r="M303" s="34" t="n">
        <f aca="false">IF($A303="",0,COUNTIFS(L_ParcID,$A303,L_Status,"REALIZADO"))</f>
        <v>0</v>
      </c>
      <c r="N303" s="34" t="n">
        <f aca="false">IF($A303="",0,COUNTIFS(L_ParcID,$A303,L_Status,"PROJETADO"))</f>
        <v>0</v>
      </c>
      <c r="O303" s="35" t="str">
        <f aca="false">IF($A303="","",IF($J303="SIM","PAGA",IF($M303&gt;0,"PAGA",IF($D303&lt;CFG_HOJE,"ATRASADA",IF($D303&lt;=EOMONTH(CFG_HOJE,0),"ABERTA","PROJETADA")))))</f>
        <v/>
      </c>
      <c r="P303" s="34" t="n">
        <f aca="false">IF($O303="ATRASADA",CFG_HOJE-$D303,0)</f>
        <v>0</v>
      </c>
      <c r="Q303" s="36" t="n">
        <f aca="false">IF($A303="",0,IF(AND($O303="PAGA",$J303="NAO"),$K303-$E303,0))</f>
        <v>0</v>
      </c>
    </row>
    <row r="304" customFormat="false" ht="15" hidden="false" customHeight="false" outlineLevel="0" collapsed="false">
      <c r="A304" s="30" t="str">
        <f aca="false">IF($B304="","","PAR-"&amp;TEXT(ROW()-4,"000000"))</f>
        <v/>
      </c>
      <c r="B304" s="32"/>
      <c r="C304" s="37"/>
      <c r="D304" s="31"/>
      <c r="E304" s="33"/>
      <c r="F304" s="32"/>
      <c r="G304" s="35" t="str">
        <f aca="false">IF($B304="","",IFERROR(INDEX(CM_NOME,MATCH($B304,CM_ID,0)),"?"))</f>
        <v/>
      </c>
      <c r="H304" s="34" t="str">
        <f aca="false">IF($B304="","",IFERROR(INDEX(CM_QTD,MATCH($B304,CM_ID,0)),""))</f>
        <v/>
      </c>
      <c r="I304" s="35" t="str">
        <f aca="false">IF($A304="","",$C304&amp;"/"&amp;$H304)</f>
        <v/>
      </c>
      <c r="J304" s="35" t="str">
        <f aca="false">IF($A304="","",IF($C304&lt;=IFERROR(INDEX(CM_PAGASANTES,MATCH($B304,CM_ID,0)),0),"SIM","NAO"))</f>
        <v/>
      </c>
      <c r="K304" s="36" t="n">
        <f aca="false">IF($A304="",0,SUMIFS(L_Valor,L_ParcID,$A304,L_Status,"REALIZADO"))</f>
        <v>0</v>
      </c>
      <c r="L304" s="38" t="str">
        <f aca="false">IF($A304="","",IFERROR(INDEX(L_Data,MATCH(1,INDEX((L_ParcID=$A304)*(L_Status="REALIZADO"),0),0)),""))</f>
        <v/>
      </c>
      <c r="M304" s="34" t="n">
        <f aca="false">IF($A304="",0,COUNTIFS(L_ParcID,$A304,L_Status,"REALIZADO"))</f>
        <v>0</v>
      </c>
      <c r="N304" s="34" t="n">
        <f aca="false">IF($A304="",0,COUNTIFS(L_ParcID,$A304,L_Status,"PROJETADO"))</f>
        <v>0</v>
      </c>
      <c r="O304" s="35" t="str">
        <f aca="false">IF($A304="","",IF($J304="SIM","PAGA",IF($M304&gt;0,"PAGA",IF($D304&lt;CFG_HOJE,"ATRASADA",IF($D304&lt;=EOMONTH(CFG_HOJE,0),"ABERTA","PROJETADA")))))</f>
        <v/>
      </c>
      <c r="P304" s="34" t="n">
        <f aca="false">IF($O304="ATRASADA",CFG_HOJE-$D304,0)</f>
        <v>0</v>
      </c>
      <c r="Q304" s="36" t="n">
        <f aca="false">IF($A304="",0,IF(AND($O304="PAGA",$J304="NAO"),$K304-$E304,0))</f>
        <v>0</v>
      </c>
    </row>
    <row r="305" customFormat="false" ht="15" hidden="false" customHeight="false" outlineLevel="0" collapsed="false">
      <c r="A305" s="30" t="str">
        <f aca="false">IF($B305="","","PAR-"&amp;TEXT(ROW()-4,"000000"))</f>
        <v/>
      </c>
      <c r="B305" s="32"/>
      <c r="C305" s="37"/>
      <c r="D305" s="31"/>
      <c r="E305" s="33"/>
      <c r="F305" s="32"/>
      <c r="G305" s="35" t="str">
        <f aca="false">IF($B305="","",IFERROR(INDEX(CM_NOME,MATCH($B305,CM_ID,0)),"?"))</f>
        <v/>
      </c>
      <c r="H305" s="34" t="str">
        <f aca="false">IF($B305="","",IFERROR(INDEX(CM_QTD,MATCH($B305,CM_ID,0)),""))</f>
        <v/>
      </c>
      <c r="I305" s="35" t="str">
        <f aca="false">IF($A305="","",$C305&amp;"/"&amp;$H305)</f>
        <v/>
      </c>
      <c r="J305" s="35" t="str">
        <f aca="false">IF($A305="","",IF($C305&lt;=IFERROR(INDEX(CM_PAGASANTES,MATCH($B305,CM_ID,0)),0),"SIM","NAO"))</f>
        <v/>
      </c>
      <c r="K305" s="36" t="n">
        <f aca="false">IF($A305="",0,SUMIFS(L_Valor,L_ParcID,$A305,L_Status,"REALIZADO"))</f>
        <v>0</v>
      </c>
      <c r="L305" s="38" t="str">
        <f aca="false">IF($A305="","",IFERROR(INDEX(L_Data,MATCH(1,INDEX((L_ParcID=$A305)*(L_Status="REALIZADO"),0),0)),""))</f>
        <v/>
      </c>
      <c r="M305" s="34" t="n">
        <f aca="false">IF($A305="",0,COUNTIFS(L_ParcID,$A305,L_Status,"REALIZADO"))</f>
        <v>0</v>
      </c>
      <c r="N305" s="34" t="n">
        <f aca="false">IF($A305="",0,COUNTIFS(L_ParcID,$A305,L_Status,"PROJETADO"))</f>
        <v>0</v>
      </c>
      <c r="O305" s="35" t="str">
        <f aca="false">IF($A305="","",IF($J305="SIM","PAGA",IF($M305&gt;0,"PAGA",IF($D305&lt;CFG_HOJE,"ATRASADA",IF($D305&lt;=EOMONTH(CFG_HOJE,0),"ABERTA","PROJETADA")))))</f>
        <v/>
      </c>
      <c r="P305" s="34" t="n">
        <f aca="false">IF($O305="ATRASADA",CFG_HOJE-$D305,0)</f>
        <v>0</v>
      </c>
      <c r="Q305" s="36" t="n">
        <f aca="false">IF($A305="",0,IF(AND($O305="PAGA",$J305="NAO"),$K305-$E305,0))</f>
        <v>0</v>
      </c>
    </row>
    <row r="306" customFormat="false" ht="15" hidden="false" customHeight="false" outlineLevel="0" collapsed="false">
      <c r="A306" s="30" t="str">
        <f aca="false">IF($B306="","","PAR-"&amp;TEXT(ROW()-4,"000000"))</f>
        <v/>
      </c>
      <c r="B306" s="32"/>
      <c r="C306" s="37"/>
      <c r="D306" s="31"/>
      <c r="E306" s="33"/>
      <c r="F306" s="32"/>
      <c r="G306" s="35" t="str">
        <f aca="false">IF($B306="","",IFERROR(INDEX(CM_NOME,MATCH($B306,CM_ID,0)),"?"))</f>
        <v/>
      </c>
      <c r="H306" s="34" t="str">
        <f aca="false">IF($B306="","",IFERROR(INDEX(CM_QTD,MATCH($B306,CM_ID,0)),""))</f>
        <v/>
      </c>
      <c r="I306" s="35" t="str">
        <f aca="false">IF($A306="","",$C306&amp;"/"&amp;$H306)</f>
        <v/>
      </c>
      <c r="J306" s="35" t="str">
        <f aca="false">IF($A306="","",IF($C306&lt;=IFERROR(INDEX(CM_PAGASANTES,MATCH($B306,CM_ID,0)),0),"SIM","NAO"))</f>
        <v/>
      </c>
      <c r="K306" s="36" t="n">
        <f aca="false">IF($A306="",0,SUMIFS(L_Valor,L_ParcID,$A306,L_Status,"REALIZADO"))</f>
        <v>0</v>
      </c>
      <c r="L306" s="38" t="str">
        <f aca="false">IF($A306="","",IFERROR(INDEX(L_Data,MATCH(1,INDEX((L_ParcID=$A306)*(L_Status="REALIZADO"),0),0)),""))</f>
        <v/>
      </c>
      <c r="M306" s="34" t="n">
        <f aca="false">IF($A306="",0,COUNTIFS(L_ParcID,$A306,L_Status,"REALIZADO"))</f>
        <v>0</v>
      </c>
      <c r="N306" s="34" t="n">
        <f aca="false">IF($A306="",0,COUNTIFS(L_ParcID,$A306,L_Status,"PROJETADO"))</f>
        <v>0</v>
      </c>
      <c r="O306" s="35" t="str">
        <f aca="false">IF($A306="","",IF($J306="SIM","PAGA",IF($M306&gt;0,"PAGA",IF($D306&lt;CFG_HOJE,"ATRASADA",IF($D306&lt;=EOMONTH(CFG_HOJE,0),"ABERTA","PROJETADA")))))</f>
        <v/>
      </c>
      <c r="P306" s="34" t="n">
        <f aca="false">IF($O306="ATRASADA",CFG_HOJE-$D306,0)</f>
        <v>0</v>
      </c>
      <c r="Q306" s="36" t="n">
        <f aca="false">IF($A306="",0,IF(AND($O306="PAGA",$J306="NAO"),$K306-$E306,0))</f>
        <v>0</v>
      </c>
    </row>
    <row r="307" customFormat="false" ht="15" hidden="false" customHeight="false" outlineLevel="0" collapsed="false">
      <c r="A307" s="30" t="str">
        <f aca="false">IF($B307="","","PAR-"&amp;TEXT(ROW()-4,"000000"))</f>
        <v/>
      </c>
      <c r="B307" s="32"/>
      <c r="C307" s="37"/>
      <c r="D307" s="31"/>
      <c r="E307" s="33"/>
      <c r="F307" s="32"/>
      <c r="G307" s="35" t="str">
        <f aca="false">IF($B307="","",IFERROR(INDEX(CM_NOME,MATCH($B307,CM_ID,0)),"?"))</f>
        <v/>
      </c>
      <c r="H307" s="34" t="str">
        <f aca="false">IF($B307="","",IFERROR(INDEX(CM_QTD,MATCH($B307,CM_ID,0)),""))</f>
        <v/>
      </c>
      <c r="I307" s="35" t="str">
        <f aca="false">IF($A307="","",$C307&amp;"/"&amp;$H307)</f>
        <v/>
      </c>
      <c r="J307" s="35" t="str">
        <f aca="false">IF($A307="","",IF($C307&lt;=IFERROR(INDEX(CM_PAGASANTES,MATCH($B307,CM_ID,0)),0),"SIM","NAO"))</f>
        <v/>
      </c>
      <c r="K307" s="36" t="n">
        <f aca="false">IF($A307="",0,SUMIFS(L_Valor,L_ParcID,$A307,L_Status,"REALIZADO"))</f>
        <v>0</v>
      </c>
      <c r="L307" s="38" t="str">
        <f aca="false">IF($A307="","",IFERROR(INDEX(L_Data,MATCH(1,INDEX((L_ParcID=$A307)*(L_Status="REALIZADO"),0),0)),""))</f>
        <v/>
      </c>
      <c r="M307" s="34" t="n">
        <f aca="false">IF($A307="",0,COUNTIFS(L_ParcID,$A307,L_Status,"REALIZADO"))</f>
        <v>0</v>
      </c>
      <c r="N307" s="34" t="n">
        <f aca="false">IF($A307="",0,COUNTIFS(L_ParcID,$A307,L_Status,"PROJETADO"))</f>
        <v>0</v>
      </c>
      <c r="O307" s="35" t="str">
        <f aca="false">IF($A307="","",IF($J307="SIM","PAGA",IF($M307&gt;0,"PAGA",IF($D307&lt;CFG_HOJE,"ATRASADA",IF($D307&lt;=EOMONTH(CFG_HOJE,0),"ABERTA","PROJETADA")))))</f>
        <v/>
      </c>
      <c r="P307" s="34" t="n">
        <f aca="false">IF($O307="ATRASADA",CFG_HOJE-$D307,0)</f>
        <v>0</v>
      </c>
      <c r="Q307" s="36" t="n">
        <f aca="false">IF($A307="",0,IF(AND($O307="PAGA",$J307="NAO"),$K307-$E307,0))</f>
        <v>0</v>
      </c>
    </row>
    <row r="308" customFormat="false" ht="15" hidden="false" customHeight="false" outlineLevel="0" collapsed="false">
      <c r="A308" s="30" t="str">
        <f aca="false">IF($B308="","","PAR-"&amp;TEXT(ROW()-4,"000000"))</f>
        <v/>
      </c>
      <c r="B308" s="32"/>
      <c r="C308" s="37"/>
      <c r="D308" s="31"/>
      <c r="E308" s="33"/>
      <c r="F308" s="32"/>
      <c r="G308" s="35" t="str">
        <f aca="false">IF($B308="","",IFERROR(INDEX(CM_NOME,MATCH($B308,CM_ID,0)),"?"))</f>
        <v/>
      </c>
      <c r="H308" s="34" t="str">
        <f aca="false">IF($B308="","",IFERROR(INDEX(CM_QTD,MATCH($B308,CM_ID,0)),""))</f>
        <v/>
      </c>
      <c r="I308" s="35" t="str">
        <f aca="false">IF($A308="","",$C308&amp;"/"&amp;$H308)</f>
        <v/>
      </c>
      <c r="J308" s="35" t="str">
        <f aca="false">IF($A308="","",IF($C308&lt;=IFERROR(INDEX(CM_PAGASANTES,MATCH($B308,CM_ID,0)),0),"SIM","NAO"))</f>
        <v/>
      </c>
      <c r="K308" s="36" t="n">
        <f aca="false">IF($A308="",0,SUMIFS(L_Valor,L_ParcID,$A308,L_Status,"REALIZADO"))</f>
        <v>0</v>
      </c>
      <c r="L308" s="38" t="str">
        <f aca="false">IF($A308="","",IFERROR(INDEX(L_Data,MATCH(1,INDEX((L_ParcID=$A308)*(L_Status="REALIZADO"),0),0)),""))</f>
        <v/>
      </c>
      <c r="M308" s="34" t="n">
        <f aca="false">IF($A308="",0,COUNTIFS(L_ParcID,$A308,L_Status,"REALIZADO"))</f>
        <v>0</v>
      </c>
      <c r="N308" s="34" t="n">
        <f aca="false">IF($A308="",0,COUNTIFS(L_ParcID,$A308,L_Status,"PROJETADO"))</f>
        <v>0</v>
      </c>
      <c r="O308" s="35" t="str">
        <f aca="false">IF($A308="","",IF($J308="SIM","PAGA",IF($M308&gt;0,"PAGA",IF($D308&lt;CFG_HOJE,"ATRASADA",IF($D308&lt;=EOMONTH(CFG_HOJE,0),"ABERTA","PROJETADA")))))</f>
        <v/>
      </c>
      <c r="P308" s="34" t="n">
        <f aca="false">IF($O308="ATRASADA",CFG_HOJE-$D308,0)</f>
        <v>0</v>
      </c>
      <c r="Q308" s="36" t="n">
        <f aca="false">IF($A308="",0,IF(AND($O308="PAGA",$J308="NAO"),$K308-$E308,0))</f>
        <v>0</v>
      </c>
    </row>
    <row r="309" customFormat="false" ht="15" hidden="false" customHeight="false" outlineLevel="0" collapsed="false">
      <c r="A309" s="30" t="str">
        <f aca="false">IF($B309="","","PAR-"&amp;TEXT(ROW()-4,"000000"))</f>
        <v/>
      </c>
      <c r="B309" s="32"/>
      <c r="C309" s="37"/>
      <c r="D309" s="31"/>
      <c r="E309" s="33"/>
      <c r="F309" s="32"/>
      <c r="G309" s="35" t="str">
        <f aca="false">IF($B309="","",IFERROR(INDEX(CM_NOME,MATCH($B309,CM_ID,0)),"?"))</f>
        <v/>
      </c>
      <c r="H309" s="34" t="str">
        <f aca="false">IF($B309="","",IFERROR(INDEX(CM_QTD,MATCH($B309,CM_ID,0)),""))</f>
        <v/>
      </c>
      <c r="I309" s="35" t="str">
        <f aca="false">IF($A309="","",$C309&amp;"/"&amp;$H309)</f>
        <v/>
      </c>
      <c r="J309" s="35" t="str">
        <f aca="false">IF($A309="","",IF($C309&lt;=IFERROR(INDEX(CM_PAGASANTES,MATCH($B309,CM_ID,0)),0),"SIM","NAO"))</f>
        <v/>
      </c>
      <c r="K309" s="36" t="n">
        <f aca="false">IF($A309="",0,SUMIFS(L_Valor,L_ParcID,$A309,L_Status,"REALIZADO"))</f>
        <v>0</v>
      </c>
      <c r="L309" s="38" t="str">
        <f aca="false">IF($A309="","",IFERROR(INDEX(L_Data,MATCH(1,INDEX((L_ParcID=$A309)*(L_Status="REALIZADO"),0),0)),""))</f>
        <v/>
      </c>
      <c r="M309" s="34" t="n">
        <f aca="false">IF($A309="",0,COUNTIFS(L_ParcID,$A309,L_Status,"REALIZADO"))</f>
        <v>0</v>
      </c>
      <c r="N309" s="34" t="n">
        <f aca="false">IF($A309="",0,COUNTIFS(L_ParcID,$A309,L_Status,"PROJETADO"))</f>
        <v>0</v>
      </c>
      <c r="O309" s="35" t="str">
        <f aca="false">IF($A309="","",IF($J309="SIM","PAGA",IF($M309&gt;0,"PAGA",IF($D309&lt;CFG_HOJE,"ATRASADA",IF($D309&lt;=EOMONTH(CFG_HOJE,0),"ABERTA","PROJETADA")))))</f>
        <v/>
      </c>
      <c r="P309" s="34" t="n">
        <f aca="false">IF($O309="ATRASADA",CFG_HOJE-$D309,0)</f>
        <v>0</v>
      </c>
      <c r="Q309" s="36" t="n">
        <f aca="false">IF($A309="",0,IF(AND($O309="PAGA",$J309="NAO"),$K309-$E309,0))</f>
        <v>0</v>
      </c>
    </row>
    <row r="310" customFormat="false" ht="15" hidden="false" customHeight="false" outlineLevel="0" collapsed="false">
      <c r="A310" s="30" t="str">
        <f aca="false">IF($B310="","","PAR-"&amp;TEXT(ROW()-4,"000000"))</f>
        <v/>
      </c>
      <c r="B310" s="32"/>
      <c r="C310" s="37"/>
      <c r="D310" s="31"/>
      <c r="E310" s="33"/>
      <c r="F310" s="32"/>
      <c r="G310" s="35" t="str">
        <f aca="false">IF($B310="","",IFERROR(INDEX(CM_NOME,MATCH($B310,CM_ID,0)),"?"))</f>
        <v/>
      </c>
      <c r="H310" s="34" t="str">
        <f aca="false">IF($B310="","",IFERROR(INDEX(CM_QTD,MATCH($B310,CM_ID,0)),""))</f>
        <v/>
      </c>
      <c r="I310" s="35" t="str">
        <f aca="false">IF($A310="","",$C310&amp;"/"&amp;$H310)</f>
        <v/>
      </c>
      <c r="J310" s="35" t="str">
        <f aca="false">IF($A310="","",IF($C310&lt;=IFERROR(INDEX(CM_PAGASANTES,MATCH($B310,CM_ID,0)),0),"SIM","NAO"))</f>
        <v/>
      </c>
      <c r="K310" s="36" t="n">
        <f aca="false">IF($A310="",0,SUMIFS(L_Valor,L_ParcID,$A310,L_Status,"REALIZADO"))</f>
        <v>0</v>
      </c>
      <c r="L310" s="38" t="str">
        <f aca="false">IF($A310="","",IFERROR(INDEX(L_Data,MATCH(1,INDEX((L_ParcID=$A310)*(L_Status="REALIZADO"),0),0)),""))</f>
        <v/>
      </c>
      <c r="M310" s="34" t="n">
        <f aca="false">IF($A310="",0,COUNTIFS(L_ParcID,$A310,L_Status,"REALIZADO"))</f>
        <v>0</v>
      </c>
      <c r="N310" s="34" t="n">
        <f aca="false">IF($A310="",0,COUNTIFS(L_ParcID,$A310,L_Status,"PROJETADO"))</f>
        <v>0</v>
      </c>
      <c r="O310" s="35" t="str">
        <f aca="false">IF($A310="","",IF($J310="SIM","PAGA",IF($M310&gt;0,"PAGA",IF($D310&lt;CFG_HOJE,"ATRASADA",IF($D310&lt;=EOMONTH(CFG_HOJE,0),"ABERTA","PROJETADA")))))</f>
        <v/>
      </c>
      <c r="P310" s="34" t="n">
        <f aca="false">IF($O310="ATRASADA",CFG_HOJE-$D310,0)</f>
        <v>0</v>
      </c>
      <c r="Q310" s="36" t="n">
        <f aca="false">IF($A310="",0,IF(AND($O310="PAGA",$J310="NAO"),$K310-$E310,0))</f>
        <v>0</v>
      </c>
    </row>
    <row r="311" customFormat="false" ht="15" hidden="false" customHeight="false" outlineLevel="0" collapsed="false">
      <c r="A311" s="30" t="str">
        <f aca="false">IF($B311="","","PAR-"&amp;TEXT(ROW()-4,"000000"))</f>
        <v/>
      </c>
      <c r="B311" s="32"/>
      <c r="C311" s="37"/>
      <c r="D311" s="31"/>
      <c r="E311" s="33"/>
      <c r="F311" s="32"/>
      <c r="G311" s="35" t="str">
        <f aca="false">IF($B311="","",IFERROR(INDEX(CM_NOME,MATCH($B311,CM_ID,0)),"?"))</f>
        <v/>
      </c>
      <c r="H311" s="34" t="str">
        <f aca="false">IF($B311="","",IFERROR(INDEX(CM_QTD,MATCH($B311,CM_ID,0)),""))</f>
        <v/>
      </c>
      <c r="I311" s="35" t="str">
        <f aca="false">IF($A311="","",$C311&amp;"/"&amp;$H311)</f>
        <v/>
      </c>
      <c r="J311" s="35" t="str">
        <f aca="false">IF($A311="","",IF($C311&lt;=IFERROR(INDEX(CM_PAGASANTES,MATCH($B311,CM_ID,0)),0),"SIM","NAO"))</f>
        <v/>
      </c>
      <c r="K311" s="36" t="n">
        <f aca="false">IF($A311="",0,SUMIFS(L_Valor,L_ParcID,$A311,L_Status,"REALIZADO"))</f>
        <v>0</v>
      </c>
      <c r="L311" s="38" t="str">
        <f aca="false">IF($A311="","",IFERROR(INDEX(L_Data,MATCH(1,INDEX((L_ParcID=$A311)*(L_Status="REALIZADO"),0),0)),""))</f>
        <v/>
      </c>
      <c r="M311" s="34" t="n">
        <f aca="false">IF($A311="",0,COUNTIFS(L_ParcID,$A311,L_Status,"REALIZADO"))</f>
        <v>0</v>
      </c>
      <c r="N311" s="34" t="n">
        <f aca="false">IF($A311="",0,COUNTIFS(L_ParcID,$A311,L_Status,"PROJETADO"))</f>
        <v>0</v>
      </c>
      <c r="O311" s="35" t="str">
        <f aca="false">IF($A311="","",IF($J311="SIM","PAGA",IF($M311&gt;0,"PAGA",IF($D311&lt;CFG_HOJE,"ATRASADA",IF($D311&lt;=EOMONTH(CFG_HOJE,0),"ABERTA","PROJETADA")))))</f>
        <v/>
      </c>
      <c r="P311" s="34" t="n">
        <f aca="false">IF($O311="ATRASADA",CFG_HOJE-$D311,0)</f>
        <v>0</v>
      </c>
      <c r="Q311" s="36" t="n">
        <f aca="false">IF($A311="",0,IF(AND($O311="PAGA",$J311="NAO"),$K311-$E311,0))</f>
        <v>0</v>
      </c>
    </row>
    <row r="312" customFormat="false" ht="15" hidden="false" customHeight="false" outlineLevel="0" collapsed="false">
      <c r="A312" s="30" t="str">
        <f aca="false">IF($B312="","","PAR-"&amp;TEXT(ROW()-4,"000000"))</f>
        <v/>
      </c>
      <c r="B312" s="32"/>
      <c r="C312" s="37"/>
      <c r="D312" s="31"/>
      <c r="E312" s="33"/>
      <c r="F312" s="32"/>
      <c r="G312" s="35" t="str">
        <f aca="false">IF($B312="","",IFERROR(INDEX(CM_NOME,MATCH($B312,CM_ID,0)),"?"))</f>
        <v/>
      </c>
      <c r="H312" s="34" t="str">
        <f aca="false">IF($B312="","",IFERROR(INDEX(CM_QTD,MATCH($B312,CM_ID,0)),""))</f>
        <v/>
      </c>
      <c r="I312" s="35" t="str">
        <f aca="false">IF($A312="","",$C312&amp;"/"&amp;$H312)</f>
        <v/>
      </c>
      <c r="J312" s="35" t="str">
        <f aca="false">IF($A312="","",IF($C312&lt;=IFERROR(INDEX(CM_PAGASANTES,MATCH($B312,CM_ID,0)),0),"SIM","NAO"))</f>
        <v/>
      </c>
      <c r="K312" s="36" t="n">
        <f aca="false">IF($A312="",0,SUMIFS(L_Valor,L_ParcID,$A312,L_Status,"REALIZADO"))</f>
        <v>0</v>
      </c>
      <c r="L312" s="38" t="str">
        <f aca="false">IF($A312="","",IFERROR(INDEX(L_Data,MATCH(1,INDEX((L_ParcID=$A312)*(L_Status="REALIZADO"),0),0)),""))</f>
        <v/>
      </c>
      <c r="M312" s="34" t="n">
        <f aca="false">IF($A312="",0,COUNTIFS(L_ParcID,$A312,L_Status,"REALIZADO"))</f>
        <v>0</v>
      </c>
      <c r="N312" s="34" t="n">
        <f aca="false">IF($A312="",0,COUNTIFS(L_ParcID,$A312,L_Status,"PROJETADO"))</f>
        <v>0</v>
      </c>
      <c r="O312" s="35" t="str">
        <f aca="false">IF($A312="","",IF($J312="SIM","PAGA",IF($M312&gt;0,"PAGA",IF($D312&lt;CFG_HOJE,"ATRASADA",IF($D312&lt;=EOMONTH(CFG_HOJE,0),"ABERTA","PROJETADA")))))</f>
        <v/>
      </c>
      <c r="P312" s="34" t="n">
        <f aca="false">IF($O312="ATRASADA",CFG_HOJE-$D312,0)</f>
        <v>0</v>
      </c>
      <c r="Q312" s="36" t="n">
        <f aca="false">IF($A312="",0,IF(AND($O312="PAGA",$J312="NAO"),$K312-$E312,0))</f>
        <v>0</v>
      </c>
    </row>
    <row r="313" customFormat="false" ht="15" hidden="false" customHeight="false" outlineLevel="0" collapsed="false">
      <c r="A313" s="30" t="str">
        <f aca="false">IF($B313="","","PAR-"&amp;TEXT(ROW()-4,"000000"))</f>
        <v/>
      </c>
      <c r="B313" s="32"/>
      <c r="C313" s="37"/>
      <c r="D313" s="31"/>
      <c r="E313" s="33"/>
      <c r="F313" s="32"/>
      <c r="G313" s="35" t="str">
        <f aca="false">IF($B313="","",IFERROR(INDEX(CM_NOME,MATCH($B313,CM_ID,0)),"?"))</f>
        <v/>
      </c>
      <c r="H313" s="34" t="str">
        <f aca="false">IF($B313="","",IFERROR(INDEX(CM_QTD,MATCH($B313,CM_ID,0)),""))</f>
        <v/>
      </c>
      <c r="I313" s="35" t="str">
        <f aca="false">IF($A313="","",$C313&amp;"/"&amp;$H313)</f>
        <v/>
      </c>
      <c r="J313" s="35" t="str">
        <f aca="false">IF($A313="","",IF($C313&lt;=IFERROR(INDEX(CM_PAGASANTES,MATCH($B313,CM_ID,0)),0),"SIM","NAO"))</f>
        <v/>
      </c>
      <c r="K313" s="36" t="n">
        <f aca="false">IF($A313="",0,SUMIFS(L_Valor,L_ParcID,$A313,L_Status,"REALIZADO"))</f>
        <v>0</v>
      </c>
      <c r="L313" s="38" t="str">
        <f aca="false">IF($A313="","",IFERROR(INDEX(L_Data,MATCH(1,INDEX((L_ParcID=$A313)*(L_Status="REALIZADO"),0),0)),""))</f>
        <v/>
      </c>
      <c r="M313" s="34" t="n">
        <f aca="false">IF($A313="",0,COUNTIFS(L_ParcID,$A313,L_Status,"REALIZADO"))</f>
        <v>0</v>
      </c>
      <c r="N313" s="34" t="n">
        <f aca="false">IF($A313="",0,COUNTIFS(L_ParcID,$A313,L_Status,"PROJETADO"))</f>
        <v>0</v>
      </c>
      <c r="O313" s="35" t="str">
        <f aca="false">IF($A313="","",IF($J313="SIM","PAGA",IF($M313&gt;0,"PAGA",IF($D313&lt;CFG_HOJE,"ATRASADA",IF($D313&lt;=EOMONTH(CFG_HOJE,0),"ABERTA","PROJETADA")))))</f>
        <v/>
      </c>
      <c r="P313" s="34" t="n">
        <f aca="false">IF($O313="ATRASADA",CFG_HOJE-$D313,0)</f>
        <v>0</v>
      </c>
      <c r="Q313" s="36" t="n">
        <f aca="false">IF($A313="",0,IF(AND($O313="PAGA",$J313="NAO"),$K313-$E313,0))</f>
        <v>0</v>
      </c>
    </row>
    <row r="314" customFormat="false" ht="15" hidden="false" customHeight="false" outlineLevel="0" collapsed="false">
      <c r="A314" s="30" t="str">
        <f aca="false">IF($B314="","","PAR-"&amp;TEXT(ROW()-4,"000000"))</f>
        <v/>
      </c>
      <c r="B314" s="32"/>
      <c r="C314" s="37"/>
      <c r="D314" s="31"/>
      <c r="E314" s="33"/>
      <c r="F314" s="32"/>
      <c r="G314" s="35" t="str">
        <f aca="false">IF($B314="","",IFERROR(INDEX(CM_NOME,MATCH($B314,CM_ID,0)),"?"))</f>
        <v/>
      </c>
      <c r="H314" s="34" t="str">
        <f aca="false">IF($B314="","",IFERROR(INDEX(CM_QTD,MATCH($B314,CM_ID,0)),""))</f>
        <v/>
      </c>
      <c r="I314" s="35" t="str">
        <f aca="false">IF($A314="","",$C314&amp;"/"&amp;$H314)</f>
        <v/>
      </c>
      <c r="J314" s="35" t="str">
        <f aca="false">IF($A314="","",IF($C314&lt;=IFERROR(INDEX(CM_PAGASANTES,MATCH($B314,CM_ID,0)),0),"SIM","NAO"))</f>
        <v/>
      </c>
      <c r="K314" s="36" t="n">
        <f aca="false">IF($A314="",0,SUMIFS(L_Valor,L_ParcID,$A314,L_Status,"REALIZADO"))</f>
        <v>0</v>
      </c>
      <c r="L314" s="38" t="str">
        <f aca="false">IF($A314="","",IFERROR(INDEX(L_Data,MATCH(1,INDEX((L_ParcID=$A314)*(L_Status="REALIZADO"),0),0)),""))</f>
        <v/>
      </c>
      <c r="M314" s="34" t="n">
        <f aca="false">IF($A314="",0,COUNTIFS(L_ParcID,$A314,L_Status,"REALIZADO"))</f>
        <v>0</v>
      </c>
      <c r="N314" s="34" t="n">
        <f aca="false">IF($A314="",0,COUNTIFS(L_ParcID,$A314,L_Status,"PROJETADO"))</f>
        <v>0</v>
      </c>
      <c r="O314" s="35" t="str">
        <f aca="false">IF($A314="","",IF($J314="SIM","PAGA",IF($M314&gt;0,"PAGA",IF($D314&lt;CFG_HOJE,"ATRASADA",IF($D314&lt;=EOMONTH(CFG_HOJE,0),"ABERTA","PROJETADA")))))</f>
        <v/>
      </c>
      <c r="P314" s="34" t="n">
        <f aca="false">IF($O314="ATRASADA",CFG_HOJE-$D314,0)</f>
        <v>0</v>
      </c>
      <c r="Q314" s="36" t="n">
        <f aca="false">IF($A314="",0,IF(AND($O314="PAGA",$J314="NAO"),$K314-$E314,0))</f>
        <v>0</v>
      </c>
    </row>
    <row r="315" customFormat="false" ht="15" hidden="false" customHeight="false" outlineLevel="0" collapsed="false">
      <c r="A315" s="30" t="str">
        <f aca="false">IF($B315="","","PAR-"&amp;TEXT(ROW()-4,"000000"))</f>
        <v/>
      </c>
      <c r="B315" s="32"/>
      <c r="C315" s="37"/>
      <c r="D315" s="31"/>
      <c r="E315" s="33"/>
      <c r="F315" s="32"/>
      <c r="G315" s="35" t="str">
        <f aca="false">IF($B315="","",IFERROR(INDEX(CM_NOME,MATCH($B315,CM_ID,0)),"?"))</f>
        <v/>
      </c>
      <c r="H315" s="34" t="str">
        <f aca="false">IF($B315="","",IFERROR(INDEX(CM_QTD,MATCH($B315,CM_ID,0)),""))</f>
        <v/>
      </c>
      <c r="I315" s="35" t="str">
        <f aca="false">IF($A315="","",$C315&amp;"/"&amp;$H315)</f>
        <v/>
      </c>
      <c r="J315" s="35" t="str">
        <f aca="false">IF($A315="","",IF($C315&lt;=IFERROR(INDEX(CM_PAGASANTES,MATCH($B315,CM_ID,0)),0),"SIM","NAO"))</f>
        <v/>
      </c>
      <c r="K315" s="36" t="n">
        <f aca="false">IF($A315="",0,SUMIFS(L_Valor,L_ParcID,$A315,L_Status,"REALIZADO"))</f>
        <v>0</v>
      </c>
      <c r="L315" s="38" t="str">
        <f aca="false">IF($A315="","",IFERROR(INDEX(L_Data,MATCH(1,INDEX((L_ParcID=$A315)*(L_Status="REALIZADO"),0),0)),""))</f>
        <v/>
      </c>
      <c r="M315" s="34" t="n">
        <f aca="false">IF($A315="",0,COUNTIFS(L_ParcID,$A315,L_Status,"REALIZADO"))</f>
        <v>0</v>
      </c>
      <c r="N315" s="34" t="n">
        <f aca="false">IF($A315="",0,COUNTIFS(L_ParcID,$A315,L_Status,"PROJETADO"))</f>
        <v>0</v>
      </c>
      <c r="O315" s="35" t="str">
        <f aca="false">IF($A315="","",IF($J315="SIM","PAGA",IF($M315&gt;0,"PAGA",IF($D315&lt;CFG_HOJE,"ATRASADA",IF($D315&lt;=EOMONTH(CFG_HOJE,0),"ABERTA","PROJETADA")))))</f>
        <v/>
      </c>
      <c r="P315" s="34" t="n">
        <f aca="false">IF($O315="ATRASADA",CFG_HOJE-$D315,0)</f>
        <v>0</v>
      </c>
      <c r="Q315" s="36" t="n">
        <f aca="false">IF($A315="",0,IF(AND($O315="PAGA",$J315="NAO"),$K315-$E315,0))</f>
        <v>0</v>
      </c>
    </row>
    <row r="316" customFormat="false" ht="15" hidden="false" customHeight="false" outlineLevel="0" collapsed="false">
      <c r="A316" s="30" t="str">
        <f aca="false">IF($B316="","","PAR-"&amp;TEXT(ROW()-4,"000000"))</f>
        <v/>
      </c>
      <c r="B316" s="32"/>
      <c r="C316" s="37"/>
      <c r="D316" s="31"/>
      <c r="E316" s="33"/>
      <c r="F316" s="32"/>
      <c r="G316" s="35" t="str">
        <f aca="false">IF($B316="","",IFERROR(INDEX(CM_NOME,MATCH($B316,CM_ID,0)),"?"))</f>
        <v/>
      </c>
      <c r="H316" s="34" t="str">
        <f aca="false">IF($B316="","",IFERROR(INDEX(CM_QTD,MATCH($B316,CM_ID,0)),""))</f>
        <v/>
      </c>
      <c r="I316" s="35" t="str">
        <f aca="false">IF($A316="","",$C316&amp;"/"&amp;$H316)</f>
        <v/>
      </c>
      <c r="J316" s="35" t="str">
        <f aca="false">IF($A316="","",IF($C316&lt;=IFERROR(INDEX(CM_PAGASANTES,MATCH($B316,CM_ID,0)),0),"SIM","NAO"))</f>
        <v/>
      </c>
      <c r="K316" s="36" t="n">
        <f aca="false">IF($A316="",0,SUMIFS(L_Valor,L_ParcID,$A316,L_Status,"REALIZADO"))</f>
        <v>0</v>
      </c>
      <c r="L316" s="38" t="str">
        <f aca="false">IF($A316="","",IFERROR(INDEX(L_Data,MATCH(1,INDEX((L_ParcID=$A316)*(L_Status="REALIZADO"),0),0)),""))</f>
        <v/>
      </c>
      <c r="M316" s="34" t="n">
        <f aca="false">IF($A316="",0,COUNTIFS(L_ParcID,$A316,L_Status,"REALIZADO"))</f>
        <v>0</v>
      </c>
      <c r="N316" s="34" t="n">
        <f aca="false">IF($A316="",0,COUNTIFS(L_ParcID,$A316,L_Status,"PROJETADO"))</f>
        <v>0</v>
      </c>
      <c r="O316" s="35" t="str">
        <f aca="false">IF($A316="","",IF($J316="SIM","PAGA",IF($M316&gt;0,"PAGA",IF($D316&lt;CFG_HOJE,"ATRASADA",IF($D316&lt;=EOMONTH(CFG_HOJE,0),"ABERTA","PROJETADA")))))</f>
        <v/>
      </c>
      <c r="P316" s="34" t="n">
        <f aca="false">IF($O316="ATRASADA",CFG_HOJE-$D316,0)</f>
        <v>0</v>
      </c>
      <c r="Q316" s="36" t="n">
        <f aca="false">IF($A316="",0,IF(AND($O316="PAGA",$J316="NAO"),$K316-$E316,0))</f>
        <v>0</v>
      </c>
    </row>
    <row r="317" customFormat="false" ht="15" hidden="false" customHeight="false" outlineLevel="0" collapsed="false">
      <c r="A317" s="30" t="str">
        <f aca="false">IF($B317="","","PAR-"&amp;TEXT(ROW()-4,"000000"))</f>
        <v/>
      </c>
      <c r="B317" s="32"/>
      <c r="C317" s="37"/>
      <c r="D317" s="31"/>
      <c r="E317" s="33"/>
      <c r="F317" s="32"/>
      <c r="G317" s="35" t="str">
        <f aca="false">IF($B317="","",IFERROR(INDEX(CM_NOME,MATCH($B317,CM_ID,0)),"?"))</f>
        <v/>
      </c>
      <c r="H317" s="34" t="str">
        <f aca="false">IF($B317="","",IFERROR(INDEX(CM_QTD,MATCH($B317,CM_ID,0)),""))</f>
        <v/>
      </c>
      <c r="I317" s="35" t="str">
        <f aca="false">IF($A317="","",$C317&amp;"/"&amp;$H317)</f>
        <v/>
      </c>
      <c r="J317" s="35" t="str">
        <f aca="false">IF($A317="","",IF($C317&lt;=IFERROR(INDEX(CM_PAGASANTES,MATCH($B317,CM_ID,0)),0),"SIM","NAO"))</f>
        <v/>
      </c>
      <c r="K317" s="36" t="n">
        <f aca="false">IF($A317="",0,SUMIFS(L_Valor,L_ParcID,$A317,L_Status,"REALIZADO"))</f>
        <v>0</v>
      </c>
      <c r="L317" s="38" t="str">
        <f aca="false">IF($A317="","",IFERROR(INDEX(L_Data,MATCH(1,INDEX((L_ParcID=$A317)*(L_Status="REALIZADO"),0),0)),""))</f>
        <v/>
      </c>
      <c r="M317" s="34" t="n">
        <f aca="false">IF($A317="",0,COUNTIFS(L_ParcID,$A317,L_Status,"REALIZADO"))</f>
        <v>0</v>
      </c>
      <c r="N317" s="34" t="n">
        <f aca="false">IF($A317="",0,COUNTIFS(L_ParcID,$A317,L_Status,"PROJETADO"))</f>
        <v>0</v>
      </c>
      <c r="O317" s="35" t="str">
        <f aca="false">IF($A317="","",IF($J317="SIM","PAGA",IF($M317&gt;0,"PAGA",IF($D317&lt;CFG_HOJE,"ATRASADA",IF($D317&lt;=EOMONTH(CFG_HOJE,0),"ABERTA","PROJETADA")))))</f>
        <v/>
      </c>
      <c r="P317" s="34" t="n">
        <f aca="false">IF($O317="ATRASADA",CFG_HOJE-$D317,0)</f>
        <v>0</v>
      </c>
      <c r="Q317" s="36" t="n">
        <f aca="false">IF($A317="",0,IF(AND($O317="PAGA",$J317="NAO"),$K317-$E317,0))</f>
        <v>0</v>
      </c>
    </row>
    <row r="318" customFormat="false" ht="15" hidden="false" customHeight="false" outlineLevel="0" collapsed="false">
      <c r="A318" s="30" t="str">
        <f aca="false">IF($B318="","","PAR-"&amp;TEXT(ROW()-4,"000000"))</f>
        <v/>
      </c>
      <c r="B318" s="32"/>
      <c r="C318" s="37"/>
      <c r="D318" s="31"/>
      <c r="E318" s="33"/>
      <c r="F318" s="32"/>
      <c r="G318" s="35" t="str">
        <f aca="false">IF($B318="","",IFERROR(INDEX(CM_NOME,MATCH($B318,CM_ID,0)),"?"))</f>
        <v/>
      </c>
      <c r="H318" s="34" t="str">
        <f aca="false">IF($B318="","",IFERROR(INDEX(CM_QTD,MATCH($B318,CM_ID,0)),""))</f>
        <v/>
      </c>
      <c r="I318" s="35" t="str">
        <f aca="false">IF($A318="","",$C318&amp;"/"&amp;$H318)</f>
        <v/>
      </c>
      <c r="J318" s="35" t="str">
        <f aca="false">IF($A318="","",IF($C318&lt;=IFERROR(INDEX(CM_PAGASANTES,MATCH($B318,CM_ID,0)),0),"SIM","NAO"))</f>
        <v/>
      </c>
      <c r="K318" s="36" t="n">
        <f aca="false">IF($A318="",0,SUMIFS(L_Valor,L_ParcID,$A318,L_Status,"REALIZADO"))</f>
        <v>0</v>
      </c>
      <c r="L318" s="38" t="str">
        <f aca="false">IF($A318="","",IFERROR(INDEX(L_Data,MATCH(1,INDEX((L_ParcID=$A318)*(L_Status="REALIZADO"),0),0)),""))</f>
        <v/>
      </c>
      <c r="M318" s="34" t="n">
        <f aca="false">IF($A318="",0,COUNTIFS(L_ParcID,$A318,L_Status,"REALIZADO"))</f>
        <v>0</v>
      </c>
      <c r="N318" s="34" t="n">
        <f aca="false">IF($A318="",0,COUNTIFS(L_ParcID,$A318,L_Status,"PROJETADO"))</f>
        <v>0</v>
      </c>
      <c r="O318" s="35" t="str">
        <f aca="false">IF($A318="","",IF($J318="SIM","PAGA",IF($M318&gt;0,"PAGA",IF($D318&lt;CFG_HOJE,"ATRASADA",IF($D318&lt;=EOMONTH(CFG_HOJE,0),"ABERTA","PROJETADA")))))</f>
        <v/>
      </c>
      <c r="P318" s="34" t="n">
        <f aca="false">IF($O318="ATRASADA",CFG_HOJE-$D318,0)</f>
        <v>0</v>
      </c>
      <c r="Q318" s="36" t="n">
        <f aca="false">IF($A318="",0,IF(AND($O318="PAGA",$J318="NAO"),$K318-$E318,0))</f>
        <v>0</v>
      </c>
    </row>
    <row r="319" customFormat="false" ht="15" hidden="false" customHeight="false" outlineLevel="0" collapsed="false">
      <c r="A319" s="30" t="str">
        <f aca="false">IF($B319="","","PAR-"&amp;TEXT(ROW()-4,"000000"))</f>
        <v/>
      </c>
      <c r="B319" s="32"/>
      <c r="C319" s="37"/>
      <c r="D319" s="31"/>
      <c r="E319" s="33"/>
      <c r="F319" s="32"/>
      <c r="G319" s="35" t="str">
        <f aca="false">IF($B319="","",IFERROR(INDEX(CM_NOME,MATCH($B319,CM_ID,0)),"?"))</f>
        <v/>
      </c>
      <c r="H319" s="34" t="str">
        <f aca="false">IF($B319="","",IFERROR(INDEX(CM_QTD,MATCH($B319,CM_ID,0)),""))</f>
        <v/>
      </c>
      <c r="I319" s="35" t="str">
        <f aca="false">IF($A319="","",$C319&amp;"/"&amp;$H319)</f>
        <v/>
      </c>
      <c r="J319" s="35" t="str">
        <f aca="false">IF($A319="","",IF($C319&lt;=IFERROR(INDEX(CM_PAGASANTES,MATCH($B319,CM_ID,0)),0),"SIM","NAO"))</f>
        <v/>
      </c>
      <c r="K319" s="36" t="n">
        <f aca="false">IF($A319="",0,SUMIFS(L_Valor,L_ParcID,$A319,L_Status,"REALIZADO"))</f>
        <v>0</v>
      </c>
      <c r="L319" s="38" t="str">
        <f aca="false">IF($A319="","",IFERROR(INDEX(L_Data,MATCH(1,INDEX((L_ParcID=$A319)*(L_Status="REALIZADO"),0),0)),""))</f>
        <v/>
      </c>
      <c r="M319" s="34" t="n">
        <f aca="false">IF($A319="",0,COUNTIFS(L_ParcID,$A319,L_Status,"REALIZADO"))</f>
        <v>0</v>
      </c>
      <c r="N319" s="34" t="n">
        <f aca="false">IF($A319="",0,COUNTIFS(L_ParcID,$A319,L_Status,"PROJETADO"))</f>
        <v>0</v>
      </c>
      <c r="O319" s="35" t="str">
        <f aca="false">IF($A319="","",IF($J319="SIM","PAGA",IF($M319&gt;0,"PAGA",IF($D319&lt;CFG_HOJE,"ATRASADA",IF($D319&lt;=EOMONTH(CFG_HOJE,0),"ABERTA","PROJETADA")))))</f>
        <v/>
      </c>
      <c r="P319" s="34" t="n">
        <f aca="false">IF($O319="ATRASADA",CFG_HOJE-$D319,0)</f>
        <v>0</v>
      </c>
      <c r="Q319" s="36" t="n">
        <f aca="false">IF($A319="",0,IF(AND($O319="PAGA",$J319="NAO"),$K319-$E319,0))</f>
        <v>0</v>
      </c>
    </row>
    <row r="320" customFormat="false" ht="15" hidden="false" customHeight="false" outlineLevel="0" collapsed="false">
      <c r="A320" s="30" t="str">
        <f aca="false">IF($B320="","","PAR-"&amp;TEXT(ROW()-4,"000000"))</f>
        <v/>
      </c>
      <c r="B320" s="32"/>
      <c r="C320" s="37"/>
      <c r="D320" s="31"/>
      <c r="E320" s="33"/>
      <c r="F320" s="32"/>
      <c r="G320" s="35" t="str">
        <f aca="false">IF($B320="","",IFERROR(INDEX(CM_NOME,MATCH($B320,CM_ID,0)),"?"))</f>
        <v/>
      </c>
      <c r="H320" s="34" t="str">
        <f aca="false">IF($B320="","",IFERROR(INDEX(CM_QTD,MATCH($B320,CM_ID,0)),""))</f>
        <v/>
      </c>
      <c r="I320" s="35" t="str">
        <f aca="false">IF($A320="","",$C320&amp;"/"&amp;$H320)</f>
        <v/>
      </c>
      <c r="J320" s="35" t="str">
        <f aca="false">IF($A320="","",IF($C320&lt;=IFERROR(INDEX(CM_PAGASANTES,MATCH($B320,CM_ID,0)),0),"SIM","NAO"))</f>
        <v/>
      </c>
      <c r="K320" s="36" t="n">
        <f aca="false">IF($A320="",0,SUMIFS(L_Valor,L_ParcID,$A320,L_Status,"REALIZADO"))</f>
        <v>0</v>
      </c>
      <c r="L320" s="38" t="str">
        <f aca="false">IF($A320="","",IFERROR(INDEX(L_Data,MATCH(1,INDEX((L_ParcID=$A320)*(L_Status="REALIZADO"),0),0)),""))</f>
        <v/>
      </c>
      <c r="M320" s="34" t="n">
        <f aca="false">IF($A320="",0,COUNTIFS(L_ParcID,$A320,L_Status,"REALIZADO"))</f>
        <v>0</v>
      </c>
      <c r="N320" s="34" t="n">
        <f aca="false">IF($A320="",0,COUNTIFS(L_ParcID,$A320,L_Status,"PROJETADO"))</f>
        <v>0</v>
      </c>
      <c r="O320" s="35" t="str">
        <f aca="false">IF($A320="","",IF($J320="SIM","PAGA",IF($M320&gt;0,"PAGA",IF($D320&lt;CFG_HOJE,"ATRASADA",IF($D320&lt;=EOMONTH(CFG_HOJE,0),"ABERTA","PROJETADA")))))</f>
        <v/>
      </c>
      <c r="P320" s="34" t="n">
        <f aca="false">IF($O320="ATRASADA",CFG_HOJE-$D320,0)</f>
        <v>0</v>
      </c>
      <c r="Q320" s="36" t="n">
        <f aca="false">IF($A320="",0,IF(AND($O320="PAGA",$J320="NAO"),$K320-$E320,0))</f>
        <v>0</v>
      </c>
    </row>
    <row r="321" customFormat="false" ht="15" hidden="false" customHeight="false" outlineLevel="0" collapsed="false">
      <c r="A321" s="30" t="str">
        <f aca="false">IF($B321="","","PAR-"&amp;TEXT(ROW()-4,"000000"))</f>
        <v/>
      </c>
      <c r="B321" s="32"/>
      <c r="C321" s="37"/>
      <c r="D321" s="31"/>
      <c r="E321" s="33"/>
      <c r="F321" s="32"/>
      <c r="G321" s="35" t="str">
        <f aca="false">IF($B321="","",IFERROR(INDEX(CM_NOME,MATCH($B321,CM_ID,0)),"?"))</f>
        <v/>
      </c>
      <c r="H321" s="34" t="str">
        <f aca="false">IF($B321="","",IFERROR(INDEX(CM_QTD,MATCH($B321,CM_ID,0)),""))</f>
        <v/>
      </c>
      <c r="I321" s="35" t="str">
        <f aca="false">IF($A321="","",$C321&amp;"/"&amp;$H321)</f>
        <v/>
      </c>
      <c r="J321" s="35" t="str">
        <f aca="false">IF($A321="","",IF($C321&lt;=IFERROR(INDEX(CM_PAGASANTES,MATCH($B321,CM_ID,0)),0),"SIM","NAO"))</f>
        <v/>
      </c>
      <c r="K321" s="36" t="n">
        <f aca="false">IF($A321="",0,SUMIFS(L_Valor,L_ParcID,$A321,L_Status,"REALIZADO"))</f>
        <v>0</v>
      </c>
      <c r="L321" s="38" t="str">
        <f aca="false">IF($A321="","",IFERROR(INDEX(L_Data,MATCH(1,INDEX((L_ParcID=$A321)*(L_Status="REALIZADO"),0),0)),""))</f>
        <v/>
      </c>
      <c r="M321" s="34" t="n">
        <f aca="false">IF($A321="",0,COUNTIFS(L_ParcID,$A321,L_Status,"REALIZADO"))</f>
        <v>0</v>
      </c>
      <c r="N321" s="34" t="n">
        <f aca="false">IF($A321="",0,COUNTIFS(L_ParcID,$A321,L_Status,"PROJETADO"))</f>
        <v>0</v>
      </c>
      <c r="O321" s="35" t="str">
        <f aca="false">IF($A321="","",IF($J321="SIM","PAGA",IF($M321&gt;0,"PAGA",IF($D321&lt;CFG_HOJE,"ATRASADA",IF($D321&lt;=EOMONTH(CFG_HOJE,0),"ABERTA","PROJETADA")))))</f>
        <v/>
      </c>
      <c r="P321" s="34" t="n">
        <f aca="false">IF($O321="ATRASADA",CFG_HOJE-$D321,0)</f>
        <v>0</v>
      </c>
      <c r="Q321" s="36" t="n">
        <f aca="false">IF($A321="",0,IF(AND($O321="PAGA",$J321="NAO"),$K321-$E321,0))</f>
        <v>0</v>
      </c>
    </row>
    <row r="322" customFormat="false" ht="15" hidden="false" customHeight="false" outlineLevel="0" collapsed="false">
      <c r="A322" s="30" t="str">
        <f aca="false">IF($B322="","","PAR-"&amp;TEXT(ROW()-4,"000000"))</f>
        <v/>
      </c>
      <c r="B322" s="32"/>
      <c r="C322" s="37"/>
      <c r="D322" s="31"/>
      <c r="E322" s="33"/>
      <c r="F322" s="32"/>
      <c r="G322" s="35" t="str">
        <f aca="false">IF($B322="","",IFERROR(INDEX(CM_NOME,MATCH($B322,CM_ID,0)),"?"))</f>
        <v/>
      </c>
      <c r="H322" s="34" t="str">
        <f aca="false">IF($B322="","",IFERROR(INDEX(CM_QTD,MATCH($B322,CM_ID,0)),""))</f>
        <v/>
      </c>
      <c r="I322" s="35" t="str">
        <f aca="false">IF($A322="","",$C322&amp;"/"&amp;$H322)</f>
        <v/>
      </c>
      <c r="J322" s="35" t="str">
        <f aca="false">IF($A322="","",IF($C322&lt;=IFERROR(INDEX(CM_PAGASANTES,MATCH($B322,CM_ID,0)),0),"SIM","NAO"))</f>
        <v/>
      </c>
      <c r="K322" s="36" t="n">
        <f aca="false">IF($A322="",0,SUMIFS(L_Valor,L_ParcID,$A322,L_Status,"REALIZADO"))</f>
        <v>0</v>
      </c>
      <c r="L322" s="38" t="str">
        <f aca="false">IF($A322="","",IFERROR(INDEX(L_Data,MATCH(1,INDEX((L_ParcID=$A322)*(L_Status="REALIZADO"),0),0)),""))</f>
        <v/>
      </c>
      <c r="M322" s="34" t="n">
        <f aca="false">IF($A322="",0,COUNTIFS(L_ParcID,$A322,L_Status,"REALIZADO"))</f>
        <v>0</v>
      </c>
      <c r="N322" s="34" t="n">
        <f aca="false">IF($A322="",0,COUNTIFS(L_ParcID,$A322,L_Status,"PROJETADO"))</f>
        <v>0</v>
      </c>
      <c r="O322" s="35" t="str">
        <f aca="false">IF($A322="","",IF($J322="SIM","PAGA",IF($M322&gt;0,"PAGA",IF($D322&lt;CFG_HOJE,"ATRASADA",IF($D322&lt;=EOMONTH(CFG_HOJE,0),"ABERTA","PROJETADA")))))</f>
        <v/>
      </c>
      <c r="P322" s="34" t="n">
        <f aca="false">IF($O322="ATRASADA",CFG_HOJE-$D322,0)</f>
        <v>0</v>
      </c>
      <c r="Q322" s="36" t="n">
        <f aca="false">IF($A322="",0,IF(AND($O322="PAGA",$J322="NAO"),$K322-$E322,0))</f>
        <v>0</v>
      </c>
    </row>
    <row r="323" customFormat="false" ht="15" hidden="false" customHeight="false" outlineLevel="0" collapsed="false">
      <c r="A323" s="30" t="str">
        <f aca="false">IF($B323="","","PAR-"&amp;TEXT(ROW()-4,"000000"))</f>
        <v/>
      </c>
      <c r="B323" s="32"/>
      <c r="C323" s="37"/>
      <c r="D323" s="31"/>
      <c r="E323" s="33"/>
      <c r="F323" s="32"/>
      <c r="G323" s="35" t="str">
        <f aca="false">IF($B323="","",IFERROR(INDEX(CM_NOME,MATCH($B323,CM_ID,0)),"?"))</f>
        <v/>
      </c>
      <c r="H323" s="34" t="str">
        <f aca="false">IF($B323="","",IFERROR(INDEX(CM_QTD,MATCH($B323,CM_ID,0)),""))</f>
        <v/>
      </c>
      <c r="I323" s="35" t="str">
        <f aca="false">IF($A323="","",$C323&amp;"/"&amp;$H323)</f>
        <v/>
      </c>
      <c r="J323" s="35" t="str">
        <f aca="false">IF($A323="","",IF($C323&lt;=IFERROR(INDEX(CM_PAGASANTES,MATCH($B323,CM_ID,0)),0),"SIM","NAO"))</f>
        <v/>
      </c>
      <c r="K323" s="36" t="n">
        <f aca="false">IF($A323="",0,SUMIFS(L_Valor,L_ParcID,$A323,L_Status,"REALIZADO"))</f>
        <v>0</v>
      </c>
      <c r="L323" s="38" t="str">
        <f aca="false">IF($A323="","",IFERROR(INDEX(L_Data,MATCH(1,INDEX((L_ParcID=$A323)*(L_Status="REALIZADO"),0),0)),""))</f>
        <v/>
      </c>
      <c r="M323" s="34" t="n">
        <f aca="false">IF($A323="",0,COUNTIFS(L_ParcID,$A323,L_Status,"REALIZADO"))</f>
        <v>0</v>
      </c>
      <c r="N323" s="34" t="n">
        <f aca="false">IF($A323="",0,COUNTIFS(L_ParcID,$A323,L_Status,"PROJETADO"))</f>
        <v>0</v>
      </c>
      <c r="O323" s="35" t="str">
        <f aca="false">IF($A323="","",IF($J323="SIM","PAGA",IF($M323&gt;0,"PAGA",IF($D323&lt;CFG_HOJE,"ATRASADA",IF($D323&lt;=EOMONTH(CFG_HOJE,0),"ABERTA","PROJETADA")))))</f>
        <v/>
      </c>
      <c r="P323" s="34" t="n">
        <f aca="false">IF($O323="ATRASADA",CFG_HOJE-$D323,0)</f>
        <v>0</v>
      </c>
      <c r="Q323" s="36" t="n">
        <f aca="false">IF($A323="",0,IF(AND($O323="PAGA",$J323="NAO"),$K323-$E323,0))</f>
        <v>0</v>
      </c>
    </row>
    <row r="324" customFormat="false" ht="15" hidden="false" customHeight="false" outlineLevel="0" collapsed="false">
      <c r="A324" s="30" t="str">
        <f aca="false">IF($B324="","","PAR-"&amp;TEXT(ROW()-4,"000000"))</f>
        <v/>
      </c>
      <c r="B324" s="32"/>
      <c r="C324" s="37"/>
      <c r="D324" s="31"/>
      <c r="E324" s="33"/>
      <c r="F324" s="32"/>
      <c r="G324" s="35" t="str">
        <f aca="false">IF($B324="","",IFERROR(INDEX(CM_NOME,MATCH($B324,CM_ID,0)),"?"))</f>
        <v/>
      </c>
      <c r="H324" s="34" t="str">
        <f aca="false">IF($B324="","",IFERROR(INDEX(CM_QTD,MATCH($B324,CM_ID,0)),""))</f>
        <v/>
      </c>
      <c r="I324" s="35" t="str">
        <f aca="false">IF($A324="","",$C324&amp;"/"&amp;$H324)</f>
        <v/>
      </c>
      <c r="J324" s="35" t="str">
        <f aca="false">IF($A324="","",IF($C324&lt;=IFERROR(INDEX(CM_PAGASANTES,MATCH($B324,CM_ID,0)),0),"SIM","NAO"))</f>
        <v/>
      </c>
      <c r="K324" s="36" t="n">
        <f aca="false">IF($A324="",0,SUMIFS(L_Valor,L_ParcID,$A324,L_Status,"REALIZADO"))</f>
        <v>0</v>
      </c>
      <c r="L324" s="38" t="str">
        <f aca="false">IF($A324="","",IFERROR(INDEX(L_Data,MATCH(1,INDEX((L_ParcID=$A324)*(L_Status="REALIZADO"),0),0)),""))</f>
        <v/>
      </c>
      <c r="M324" s="34" t="n">
        <f aca="false">IF($A324="",0,COUNTIFS(L_ParcID,$A324,L_Status,"REALIZADO"))</f>
        <v>0</v>
      </c>
      <c r="N324" s="34" t="n">
        <f aca="false">IF($A324="",0,COUNTIFS(L_ParcID,$A324,L_Status,"PROJETADO"))</f>
        <v>0</v>
      </c>
      <c r="O324" s="35" t="str">
        <f aca="false">IF($A324="","",IF($J324="SIM","PAGA",IF($M324&gt;0,"PAGA",IF($D324&lt;CFG_HOJE,"ATRASADA",IF($D324&lt;=EOMONTH(CFG_HOJE,0),"ABERTA","PROJETADA")))))</f>
        <v/>
      </c>
      <c r="P324" s="34" t="n">
        <f aca="false">IF($O324="ATRASADA",CFG_HOJE-$D324,0)</f>
        <v>0</v>
      </c>
      <c r="Q324" s="36" t="n">
        <f aca="false">IF($A324="",0,IF(AND($O324="PAGA",$J324="NAO"),$K324-$E324,0))</f>
        <v>0</v>
      </c>
    </row>
    <row r="325" customFormat="false" ht="15" hidden="false" customHeight="false" outlineLevel="0" collapsed="false">
      <c r="A325" s="30" t="str">
        <f aca="false">IF($B325="","","PAR-"&amp;TEXT(ROW()-4,"000000"))</f>
        <v/>
      </c>
      <c r="B325" s="32"/>
      <c r="C325" s="37"/>
      <c r="D325" s="31"/>
      <c r="E325" s="33"/>
      <c r="F325" s="32"/>
      <c r="G325" s="35" t="str">
        <f aca="false">IF($B325="","",IFERROR(INDEX(CM_NOME,MATCH($B325,CM_ID,0)),"?"))</f>
        <v/>
      </c>
      <c r="H325" s="34" t="str">
        <f aca="false">IF($B325="","",IFERROR(INDEX(CM_QTD,MATCH($B325,CM_ID,0)),""))</f>
        <v/>
      </c>
      <c r="I325" s="35" t="str">
        <f aca="false">IF($A325="","",$C325&amp;"/"&amp;$H325)</f>
        <v/>
      </c>
      <c r="J325" s="35" t="str">
        <f aca="false">IF($A325="","",IF($C325&lt;=IFERROR(INDEX(CM_PAGASANTES,MATCH($B325,CM_ID,0)),0),"SIM","NAO"))</f>
        <v/>
      </c>
      <c r="K325" s="36" t="n">
        <f aca="false">IF($A325="",0,SUMIFS(L_Valor,L_ParcID,$A325,L_Status,"REALIZADO"))</f>
        <v>0</v>
      </c>
      <c r="L325" s="38" t="str">
        <f aca="false">IF($A325="","",IFERROR(INDEX(L_Data,MATCH(1,INDEX((L_ParcID=$A325)*(L_Status="REALIZADO"),0),0)),""))</f>
        <v/>
      </c>
      <c r="M325" s="34" t="n">
        <f aca="false">IF($A325="",0,COUNTIFS(L_ParcID,$A325,L_Status,"REALIZADO"))</f>
        <v>0</v>
      </c>
      <c r="N325" s="34" t="n">
        <f aca="false">IF($A325="",0,COUNTIFS(L_ParcID,$A325,L_Status,"PROJETADO"))</f>
        <v>0</v>
      </c>
      <c r="O325" s="35" t="str">
        <f aca="false">IF($A325="","",IF($J325="SIM","PAGA",IF($M325&gt;0,"PAGA",IF($D325&lt;CFG_HOJE,"ATRASADA",IF($D325&lt;=EOMONTH(CFG_HOJE,0),"ABERTA","PROJETADA")))))</f>
        <v/>
      </c>
      <c r="P325" s="34" t="n">
        <f aca="false">IF($O325="ATRASADA",CFG_HOJE-$D325,0)</f>
        <v>0</v>
      </c>
      <c r="Q325" s="36" t="n">
        <f aca="false">IF($A325="",0,IF(AND($O325="PAGA",$J325="NAO"),$K325-$E325,0))</f>
        <v>0</v>
      </c>
    </row>
    <row r="326" customFormat="false" ht="15" hidden="false" customHeight="false" outlineLevel="0" collapsed="false">
      <c r="A326" s="30" t="str">
        <f aca="false">IF($B326="","","PAR-"&amp;TEXT(ROW()-4,"000000"))</f>
        <v/>
      </c>
      <c r="B326" s="32"/>
      <c r="C326" s="37"/>
      <c r="D326" s="31"/>
      <c r="E326" s="33"/>
      <c r="F326" s="32"/>
      <c r="G326" s="35" t="str">
        <f aca="false">IF($B326="","",IFERROR(INDEX(CM_NOME,MATCH($B326,CM_ID,0)),"?"))</f>
        <v/>
      </c>
      <c r="H326" s="34" t="str">
        <f aca="false">IF($B326="","",IFERROR(INDEX(CM_QTD,MATCH($B326,CM_ID,0)),""))</f>
        <v/>
      </c>
      <c r="I326" s="35" t="str">
        <f aca="false">IF($A326="","",$C326&amp;"/"&amp;$H326)</f>
        <v/>
      </c>
      <c r="J326" s="35" t="str">
        <f aca="false">IF($A326="","",IF($C326&lt;=IFERROR(INDEX(CM_PAGASANTES,MATCH($B326,CM_ID,0)),0),"SIM","NAO"))</f>
        <v/>
      </c>
      <c r="K326" s="36" t="n">
        <f aca="false">IF($A326="",0,SUMIFS(L_Valor,L_ParcID,$A326,L_Status,"REALIZADO"))</f>
        <v>0</v>
      </c>
      <c r="L326" s="38" t="str">
        <f aca="false">IF($A326="","",IFERROR(INDEX(L_Data,MATCH(1,INDEX((L_ParcID=$A326)*(L_Status="REALIZADO"),0),0)),""))</f>
        <v/>
      </c>
      <c r="M326" s="34" t="n">
        <f aca="false">IF($A326="",0,COUNTIFS(L_ParcID,$A326,L_Status,"REALIZADO"))</f>
        <v>0</v>
      </c>
      <c r="N326" s="34" t="n">
        <f aca="false">IF($A326="",0,COUNTIFS(L_ParcID,$A326,L_Status,"PROJETADO"))</f>
        <v>0</v>
      </c>
      <c r="O326" s="35" t="str">
        <f aca="false">IF($A326="","",IF($J326="SIM","PAGA",IF($M326&gt;0,"PAGA",IF($D326&lt;CFG_HOJE,"ATRASADA",IF($D326&lt;=EOMONTH(CFG_HOJE,0),"ABERTA","PROJETADA")))))</f>
        <v/>
      </c>
      <c r="P326" s="34" t="n">
        <f aca="false">IF($O326="ATRASADA",CFG_HOJE-$D326,0)</f>
        <v>0</v>
      </c>
      <c r="Q326" s="36" t="n">
        <f aca="false">IF($A326="",0,IF(AND($O326="PAGA",$J326="NAO"),$K326-$E326,0))</f>
        <v>0</v>
      </c>
    </row>
    <row r="327" customFormat="false" ht="15" hidden="false" customHeight="false" outlineLevel="0" collapsed="false">
      <c r="A327" s="30" t="str">
        <f aca="false">IF($B327="","","PAR-"&amp;TEXT(ROW()-4,"000000"))</f>
        <v/>
      </c>
      <c r="B327" s="32"/>
      <c r="C327" s="37"/>
      <c r="D327" s="31"/>
      <c r="E327" s="33"/>
      <c r="F327" s="32"/>
      <c r="G327" s="35" t="str">
        <f aca="false">IF($B327="","",IFERROR(INDEX(CM_NOME,MATCH($B327,CM_ID,0)),"?"))</f>
        <v/>
      </c>
      <c r="H327" s="34" t="str">
        <f aca="false">IF($B327="","",IFERROR(INDEX(CM_QTD,MATCH($B327,CM_ID,0)),""))</f>
        <v/>
      </c>
      <c r="I327" s="35" t="str">
        <f aca="false">IF($A327="","",$C327&amp;"/"&amp;$H327)</f>
        <v/>
      </c>
      <c r="J327" s="35" t="str">
        <f aca="false">IF($A327="","",IF($C327&lt;=IFERROR(INDEX(CM_PAGASANTES,MATCH($B327,CM_ID,0)),0),"SIM","NAO"))</f>
        <v/>
      </c>
      <c r="K327" s="36" t="n">
        <f aca="false">IF($A327="",0,SUMIFS(L_Valor,L_ParcID,$A327,L_Status,"REALIZADO"))</f>
        <v>0</v>
      </c>
      <c r="L327" s="38" t="str">
        <f aca="false">IF($A327="","",IFERROR(INDEX(L_Data,MATCH(1,INDEX((L_ParcID=$A327)*(L_Status="REALIZADO"),0),0)),""))</f>
        <v/>
      </c>
      <c r="M327" s="34" t="n">
        <f aca="false">IF($A327="",0,COUNTIFS(L_ParcID,$A327,L_Status,"REALIZADO"))</f>
        <v>0</v>
      </c>
      <c r="N327" s="34" t="n">
        <f aca="false">IF($A327="",0,COUNTIFS(L_ParcID,$A327,L_Status,"PROJETADO"))</f>
        <v>0</v>
      </c>
      <c r="O327" s="35" t="str">
        <f aca="false">IF($A327="","",IF($J327="SIM","PAGA",IF($M327&gt;0,"PAGA",IF($D327&lt;CFG_HOJE,"ATRASADA",IF($D327&lt;=EOMONTH(CFG_HOJE,0),"ABERTA","PROJETADA")))))</f>
        <v/>
      </c>
      <c r="P327" s="34" t="n">
        <f aca="false">IF($O327="ATRASADA",CFG_HOJE-$D327,0)</f>
        <v>0</v>
      </c>
      <c r="Q327" s="36" t="n">
        <f aca="false">IF($A327="",0,IF(AND($O327="PAGA",$J327="NAO"),$K327-$E327,0))</f>
        <v>0</v>
      </c>
    </row>
    <row r="328" customFormat="false" ht="15" hidden="false" customHeight="false" outlineLevel="0" collapsed="false">
      <c r="A328" s="30" t="str">
        <f aca="false">IF($B328="","","PAR-"&amp;TEXT(ROW()-4,"000000"))</f>
        <v/>
      </c>
      <c r="B328" s="32"/>
      <c r="C328" s="37"/>
      <c r="D328" s="31"/>
      <c r="E328" s="33"/>
      <c r="F328" s="32"/>
      <c r="G328" s="35" t="str">
        <f aca="false">IF($B328="","",IFERROR(INDEX(CM_NOME,MATCH($B328,CM_ID,0)),"?"))</f>
        <v/>
      </c>
      <c r="H328" s="34" t="str">
        <f aca="false">IF($B328="","",IFERROR(INDEX(CM_QTD,MATCH($B328,CM_ID,0)),""))</f>
        <v/>
      </c>
      <c r="I328" s="35" t="str">
        <f aca="false">IF($A328="","",$C328&amp;"/"&amp;$H328)</f>
        <v/>
      </c>
      <c r="J328" s="35" t="str">
        <f aca="false">IF($A328="","",IF($C328&lt;=IFERROR(INDEX(CM_PAGASANTES,MATCH($B328,CM_ID,0)),0),"SIM","NAO"))</f>
        <v/>
      </c>
      <c r="K328" s="36" t="n">
        <f aca="false">IF($A328="",0,SUMIFS(L_Valor,L_ParcID,$A328,L_Status,"REALIZADO"))</f>
        <v>0</v>
      </c>
      <c r="L328" s="38" t="str">
        <f aca="false">IF($A328="","",IFERROR(INDEX(L_Data,MATCH(1,INDEX((L_ParcID=$A328)*(L_Status="REALIZADO"),0),0)),""))</f>
        <v/>
      </c>
      <c r="M328" s="34" t="n">
        <f aca="false">IF($A328="",0,COUNTIFS(L_ParcID,$A328,L_Status,"REALIZADO"))</f>
        <v>0</v>
      </c>
      <c r="N328" s="34" t="n">
        <f aca="false">IF($A328="",0,COUNTIFS(L_ParcID,$A328,L_Status,"PROJETADO"))</f>
        <v>0</v>
      </c>
      <c r="O328" s="35" t="str">
        <f aca="false">IF($A328="","",IF($J328="SIM","PAGA",IF($M328&gt;0,"PAGA",IF($D328&lt;CFG_HOJE,"ATRASADA",IF($D328&lt;=EOMONTH(CFG_HOJE,0),"ABERTA","PROJETADA")))))</f>
        <v/>
      </c>
      <c r="P328" s="34" t="n">
        <f aca="false">IF($O328="ATRASADA",CFG_HOJE-$D328,0)</f>
        <v>0</v>
      </c>
      <c r="Q328" s="36" t="n">
        <f aca="false">IF($A328="",0,IF(AND($O328="PAGA",$J328="NAO"),$K328-$E328,0))</f>
        <v>0</v>
      </c>
    </row>
    <row r="329" customFormat="false" ht="15" hidden="false" customHeight="false" outlineLevel="0" collapsed="false">
      <c r="A329" s="30" t="str">
        <f aca="false">IF($B329="","","PAR-"&amp;TEXT(ROW()-4,"000000"))</f>
        <v/>
      </c>
      <c r="B329" s="32"/>
      <c r="C329" s="37"/>
      <c r="D329" s="31"/>
      <c r="E329" s="33"/>
      <c r="F329" s="32"/>
      <c r="G329" s="35" t="str">
        <f aca="false">IF($B329="","",IFERROR(INDEX(CM_NOME,MATCH($B329,CM_ID,0)),"?"))</f>
        <v/>
      </c>
      <c r="H329" s="34" t="str">
        <f aca="false">IF($B329="","",IFERROR(INDEX(CM_QTD,MATCH($B329,CM_ID,0)),""))</f>
        <v/>
      </c>
      <c r="I329" s="35" t="str">
        <f aca="false">IF($A329="","",$C329&amp;"/"&amp;$H329)</f>
        <v/>
      </c>
      <c r="J329" s="35" t="str">
        <f aca="false">IF($A329="","",IF($C329&lt;=IFERROR(INDEX(CM_PAGASANTES,MATCH($B329,CM_ID,0)),0),"SIM","NAO"))</f>
        <v/>
      </c>
      <c r="K329" s="36" t="n">
        <f aca="false">IF($A329="",0,SUMIFS(L_Valor,L_ParcID,$A329,L_Status,"REALIZADO"))</f>
        <v>0</v>
      </c>
      <c r="L329" s="38" t="str">
        <f aca="false">IF($A329="","",IFERROR(INDEX(L_Data,MATCH(1,INDEX((L_ParcID=$A329)*(L_Status="REALIZADO"),0),0)),""))</f>
        <v/>
      </c>
      <c r="M329" s="34" t="n">
        <f aca="false">IF($A329="",0,COUNTIFS(L_ParcID,$A329,L_Status,"REALIZADO"))</f>
        <v>0</v>
      </c>
      <c r="N329" s="34" t="n">
        <f aca="false">IF($A329="",0,COUNTIFS(L_ParcID,$A329,L_Status,"PROJETADO"))</f>
        <v>0</v>
      </c>
      <c r="O329" s="35" t="str">
        <f aca="false">IF($A329="","",IF($J329="SIM","PAGA",IF($M329&gt;0,"PAGA",IF($D329&lt;CFG_HOJE,"ATRASADA",IF($D329&lt;=EOMONTH(CFG_HOJE,0),"ABERTA","PROJETADA")))))</f>
        <v/>
      </c>
      <c r="P329" s="34" t="n">
        <f aca="false">IF($O329="ATRASADA",CFG_HOJE-$D329,0)</f>
        <v>0</v>
      </c>
      <c r="Q329" s="36" t="n">
        <f aca="false">IF($A329="",0,IF(AND($O329="PAGA",$J329="NAO"),$K329-$E329,0))</f>
        <v>0</v>
      </c>
    </row>
    <row r="330" customFormat="false" ht="15" hidden="false" customHeight="false" outlineLevel="0" collapsed="false">
      <c r="A330" s="30" t="str">
        <f aca="false">IF($B330="","","PAR-"&amp;TEXT(ROW()-4,"000000"))</f>
        <v/>
      </c>
      <c r="B330" s="32"/>
      <c r="C330" s="37"/>
      <c r="D330" s="31"/>
      <c r="E330" s="33"/>
      <c r="F330" s="32"/>
      <c r="G330" s="35" t="str">
        <f aca="false">IF($B330="","",IFERROR(INDEX(CM_NOME,MATCH($B330,CM_ID,0)),"?"))</f>
        <v/>
      </c>
      <c r="H330" s="34" t="str">
        <f aca="false">IF($B330="","",IFERROR(INDEX(CM_QTD,MATCH($B330,CM_ID,0)),""))</f>
        <v/>
      </c>
      <c r="I330" s="35" t="str">
        <f aca="false">IF($A330="","",$C330&amp;"/"&amp;$H330)</f>
        <v/>
      </c>
      <c r="J330" s="35" t="str">
        <f aca="false">IF($A330="","",IF($C330&lt;=IFERROR(INDEX(CM_PAGASANTES,MATCH($B330,CM_ID,0)),0),"SIM","NAO"))</f>
        <v/>
      </c>
      <c r="K330" s="36" t="n">
        <f aca="false">IF($A330="",0,SUMIFS(L_Valor,L_ParcID,$A330,L_Status,"REALIZADO"))</f>
        <v>0</v>
      </c>
      <c r="L330" s="38" t="str">
        <f aca="false">IF($A330="","",IFERROR(INDEX(L_Data,MATCH(1,INDEX((L_ParcID=$A330)*(L_Status="REALIZADO"),0),0)),""))</f>
        <v/>
      </c>
      <c r="M330" s="34" t="n">
        <f aca="false">IF($A330="",0,COUNTIFS(L_ParcID,$A330,L_Status,"REALIZADO"))</f>
        <v>0</v>
      </c>
      <c r="N330" s="34" t="n">
        <f aca="false">IF($A330="",0,COUNTIFS(L_ParcID,$A330,L_Status,"PROJETADO"))</f>
        <v>0</v>
      </c>
      <c r="O330" s="35" t="str">
        <f aca="false">IF($A330="","",IF($J330="SIM","PAGA",IF($M330&gt;0,"PAGA",IF($D330&lt;CFG_HOJE,"ATRASADA",IF($D330&lt;=EOMONTH(CFG_HOJE,0),"ABERTA","PROJETADA")))))</f>
        <v/>
      </c>
      <c r="P330" s="34" t="n">
        <f aca="false">IF($O330="ATRASADA",CFG_HOJE-$D330,0)</f>
        <v>0</v>
      </c>
      <c r="Q330" s="36" t="n">
        <f aca="false">IF($A330="",0,IF(AND($O330="PAGA",$J330="NAO"),$K330-$E330,0))</f>
        <v>0</v>
      </c>
    </row>
    <row r="331" customFormat="false" ht="15" hidden="false" customHeight="false" outlineLevel="0" collapsed="false">
      <c r="A331" s="30" t="str">
        <f aca="false">IF($B331="","","PAR-"&amp;TEXT(ROW()-4,"000000"))</f>
        <v/>
      </c>
      <c r="B331" s="32"/>
      <c r="C331" s="37"/>
      <c r="D331" s="31"/>
      <c r="E331" s="33"/>
      <c r="F331" s="32"/>
      <c r="G331" s="35" t="str">
        <f aca="false">IF($B331="","",IFERROR(INDEX(CM_NOME,MATCH($B331,CM_ID,0)),"?"))</f>
        <v/>
      </c>
      <c r="H331" s="34" t="str">
        <f aca="false">IF($B331="","",IFERROR(INDEX(CM_QTD,MATCH($B331,CM_ID,0)),""))</f>
        <v/>
      </c>
      <c r="I331" s="35" t="str">
        <f aca="false">IF($A331="","",$C331&amp;"/"&amp;$H331)</f>
        <v/>
      </c>
      <c r="J331" s="35" t="str">
        <f aca="false">IF($A331="","",IF($C331&lt;=IFERROR(INDEX(CM_PAGASANTES,MATCH($B331,CM_ID,0)),0),"SIM","NAO"))</f>
        <v/>
      </c>
      <c r="K331" s="36" t="n">
        <f aca="false">IF($A331="",0,SUMIFS(L_Valor,L_ParcID,$A331,L_Status,"REALIZADO"))</f>
        <v>0</v>
      </c>
      <c r="L331" s="38" t="str">
        <f aca="false">IF($A331="","",IFERROR(INDEX(L_Data,MATCH(1,INDEX((L_ParcID=$A331)*(L_Status="REALIZADO"),0),0)),""))</f>
        <v/>
      </c>
      <c r="M331" s="34" t="n">
        <f aca="false">IF($A331="",0,COUNTIFS(L_ParcID,$A331,L_Status,"REALIZADO"))</f>
        <v>0</v>
      </c>
      <c r="N331" s="34" t="n">
        <f aca="false">IF($A331="",0,COUNTIFS(L_ParcID,$A331,L_Status,"PROJETADO"))</f>
        <v>0</v>
      </c>
      <c r="O331" s="35" t="str">
        <f aca="false">IF($A331="","",IF($J331="SIM","PAGA",IF($M331&gt;0,"PAGA",IF($D331&lt;CFG_HOJE,"ATRASADA",IF($D331&lt;=EOMONTH(CFG_HOJE,0),"ABERTA","PROJETADA")))))</f>
        <v/>
      </c>
      <c r="P331" s="34" t="n">
        <f aca="false">IF($O331="ATRASADA",CFG_HOJE-$D331,0)</f>
        <v>0</v>
      </c>
      <c r="Q331" s="36" t="n">
        <f aca="false">IF($A331="",0,IF(AND($O331="PAGA",$J331="NAO"),$K331-$E331,0))</f>
        <v>0</v>
      </c>
    </row>
    <row r="332" customFormat="false" ht="15" hidden="false" customHeight="false" outlineLevel="0" collapsed="false">
      <c r="A332" s="30" t="str">
        <f aca="false">IF($B332="","","PAR-"&amp;TEXT(ROW()-4,"000000"))</f>
        <v/>
      </c>
      <c r="B332" s="32"/>
      <c r="C332" s="37"/>
      <c r="D332" s="31"/>
      <c r="E332" s="33"/>
      <c r="F332" s="32"/>
      <c r="G332" s="35" t="str">
        <f aca="false">IF($B332="","",IFERROR(INDEX(CM_NOME,MATCH($B332,CM_ID,0)),"?"))</f>
        <v/>
      </c>
      <c r="H332" s="34" t="str">
        <f aca="false">IF($B332="","",IFERROR(INDEX(CM_QTD,MATCH($B332,CM_ID,0)),""))</f>
        <v/>
      </c>
      <c r="I332" s="35" t="str">
        <f aca="false">IF($A332="","",$C332&amp;"/"&amp;$H332)</f>
        <v/>
      </c>
      <c r="J332" s="35" t="str">
        <f aca="false">IF($A332="","",IF($C332&lt;=IFERROR(INDEX(CM_PAGASANTES,MATCH($B332,CM_ID,0)),0),"SIM","NAO"))</f>
        <v/>
      </c>
      <c r="K332" s="36" t="n">
        <f aca="false">IF($A332="",0,SUMIFS(L_Valor,L_ParcID,$A332,L_Status,"REALIZADO"))</f>
        <v>0</v>
      </c>
      <c r="L332" s="38" t="str">
        <f aca="false">IF($A332="","",IFERROR(INDEX(L_Data,MATCH(1,INDEX((L_ParcID=$A332)*(L_Status="REALIZADO"),0),0)),""))</f>
        <v/>
      </c>
      <c r="M332" s="34" t="n">
        <f aca="false">IF($A332="",0,COUNTIFS(L_ParcID,$A332,L_Status,"REALIZADO"))</f>
        <v>0</v>
      </c>
      <c r="N332" s="34" t="n">
        <f aca="false">IF($A332="",0,COUNTIFS(L_ParcID,$A332,L_Status,"PROJETADO"))</f>
        <v>0</v>
      </c>
      <c r="O332" s="35" t="str">
        <f aca="false">IF($A332="","",IF($J332="SIM","PAGA",IF($M332&gt;0,"PAGA",IF($D332&lt;CFG_HOJE,"ATRASADA",IF($D332&lt;=EOMONTH(CFG_HOJE,0),"ABERTA","PROJETADA")))))</f>
        <v/>
      </c>
      <c r="P332" s="34" t="n">
        <f aca="false">IF($O332="ATRASADA",CFG_HOJE-$D332,0)</f>
        <v>0</v>
      </c>
      <c r="Q332" s="36" t="n">
        <f aca="false">IF($A332="",0,IF(AND($O332="PAGA",$J332="NAO"),$K332-$E332,0))</f>
        <v>0</v>
      </c>
    </row>
    <row r="333" customFormat="false" ht="15" hidden="false" customHeight="false" outlineLevel="0" collapsed="false">
      <c r="A333" s="30" t="str">
        <f aca="false">IF($B333="","","PAR-"&amp;TEXT(ROW()-4,"000000"))</f>
        <v/>
      </c>
      <c r="B333" s="32"/>
      <c r="C333" s="37"/>
      <c r="D333" s="31"/>
      <c r="E333" s="33"/>
      <c r="F333" s="32"/>
      <c r="G333" s="35" t="str">
        <f aca="false">IF($B333="","",IFERROR(INDEX(CM_NOME,MATCH($B333,CM_ID,0)),"?"))</f>
        <v/>
      </c>
      <c r="H333" s="34" t="str">
        <f aca="false">IF($B333="","",IFERROR(INDEX(CM_QTD,MATCH($B333,CM_ID,0)),""))</f>
        <v/>
      </c>
      <c r="I333" s="35" t="str">
        <f aca="false">IF($A333="","",$C333&amp;"/"&amp;$H333)</f>
        <v/>
      </c>
      <c r="J333" s="35" t="str">
        <f aca="false">IF($A333="","",IF($C333&lt;=IFERROR(INDEX(CM_PAGASANTES,MATCH($B333,CM_ID,0)),0),"SIM","NAO"))</f>
        <v/>
      </c>
      <c r="K333" s="36" t="n">
        <f aca="false">IF($A333="",0,SUMIFS(L_Valor,L_ParcID,$A333,L_Status,"REALIZADO"))</f>
        <v>0</v>
      </c>
      <c r="L333" s="38" t="str">
        <f aca="false">IF($A333="","",IFERROR(INDEX(L_Data,MATCH(1,INDEX((L_ParcID=$A333)*(L_Status="REALIZADO"),0),0)),""))</f>
        <v/>
      </c>
      <c r="M333" s="34" t="n">
        <f aca="false">IF($A333="",0,COUNTIFS(L_ParcID,$A333,L_Status,"REALIZADO"))</f>
        <v>0</v>
      </c>
      <c r="N333" s="34" t="n">
        <f aca="false">IF($A333="",0,COUNTIFS(L_ParcID,$A333,L_Status,"PROJETADO"))</f>
        <v>0</v>
      </c>
      <c r="O333" s="35" t="str">
        <f aca="false">IF($A333="","",IF($J333="SIM","PAGA",IF($M333&gt;0,"PAGA",IF($D333&lt;CFG_HOJE,"ATRASADA",IF($D333&lt;=EOMONTH(CFG_HOJE,0),"ABERTA","PROJETADA")))))</f>
        <v/>
      </c>
      <c r="P333" s="34" t="n">
        <f aca="false">IF($O333="ATRASADA",CFG_HOJE-$D333,0)</f>
        <v>0</v>
      </c>
      <c r="Q333" s="36" t="n">
        <f aca="false">IF($A333="",0,IF(AND($O333="PAGA",$J333="NAO"),$K333-$E333,0))</f>
        <v>0</v>
      </c>
    </row>
    <row r="334" customFormat="false" ht="15" hidden="false" customHeight="false" outlineLevel="0" collapsed="false">
      <c r="A334" s="30" t="str">
        <f aca="false">IF($B334="","","PAR-"&amp;TEXT(ROW()-4,"000000"))</f>
        <v/>
      </c>
      <c r="B334" s="32"/>
      <c r="C334" s="37"/>
      <c r="D334" s="31"/>
      <c r="E334" s="33"/>
      <c r="F334" s="32"/>
      <c r="G334" s="35" t="str">
        <f aca="false">IF($B334="","",IFERROR(INDEX(CM_NOME,MATCH($B334,CM_ID,0)),"?"))</f>
        <v/>
      </c>
      <c r="H334" s="34" t="str">
        <f aca="false">IF($B334="","",IFERROR(INDEX(CM_QTD,MATCH($B334,CM_ID,0)),""))</f>
        <v/>
      </c>
      <c r="I334" s="35" t="str">
        <f aca="false">IF($A334="","",$C334&amp;"/"&amp;$H334)</f>
        <v/>
      </c>
      <c r="J334" s="35" t="str">
        <f aca="false">IF($A334="","",IF($C334&lt;=IFERROR(INDEX(CM_PAGASANTES,MATCH($B334,CM_ID,0)),0),"SIM","NAO"))</f>
        <v/>
      </c>
      <c r="K334" s="36" t="n">
        <f aca="false">IF($A334="",0,SUMIFS(L_Valor,L_ParcID,$A334,L_Status,"REALIZADO"))</f>
        <v>0</v>
      </c>
      <c r="L334" s="38" t="str">
        <f aca="false">IF($A334="","",IFERROR(INDEX(L_Data,MATCH(1,INDEX((L_ParcID=$A334)*(L_Status="REALIZADO"),0),0)),""))</f>
        <v/>
      </c>
      <c r="M334" s="34" t="n">
        <f aca="false">IF($A334="",0,COUNTIFS(L_ParcID,$A334,L_Status,"REALIZADO"))</f>
        <v>0</v>
      </c>
      <c r="N334" s="34" t="n">
        <f aca="false">IF($A334="",0,COUNTIFS(L_ParcID,$A334,L_Status,"PROJETADO"))</f>
        <v>0</v>
      </c>
      <c r="O334" s="35" t="str">
        <f aca="false">IF($A334="","",IF($J334="SIM","PAGA",IF($M334&gt;0,"PAGA",IF($D334&lt;CFG_HOJE,"ATRASADA",IF($D334&lt;=EOMONTH(CFG_HOJE,0),"ABERTA","PROJETADA")))))</f>
        <v/>
      </c>
      <c r="P334" s="34" t="n">
        <f aca="false">IF($O334="ATRASADA",CFG_HOJE-$D334,0)</f>
        <v>0</v>
      </c>
      <c r="Q334" s="36" t="n">
        <f aca="false">IF($A334="",0,IF(AND($O334="PAGA",$J334="NAO"),$K334-$E334,0))</f>
        <v>0</v>
      </c>
    </row>
    <row r="335" customFormat="false" ht="15" hidden="false" customHeight="false" outlineLevel="0" collapsed="false">
      <c r="A335" s="30" t="str">
        <f aca="false">IF($B335="","","PAR-"&amp;TEXT(ROW()-4,"000000"))</f>
        <v/>
      </c>
      <c r="B335" s="32"/>
      <c r="C335" s="37"/>
      <c r="D335" s="31"/>
      <c r="E335" s="33"/>
      <c r="F335" s="32"/>
      <c r="G335" s="35" t="str">
        <f aca="false">IF($B335="","",IFERROR(INDEX(CM_NOME,MATCH($B335,CM_ID,0)),"?"))</f>
        <v/>
      </c>
      <c r="H335" s="34" t="str">
        <f aca="false">IF($B335="","",IFERROR(INDEX(CM_QTD,MATCH($B335,CM_ID,0)),""))</f>
        <v/>
      </c>
      <c r="I335" s="35" t="str">
        <f aca="false">IF($A335="","",$C335&amp;"/"&amp;$H335)</f>
        <v/>
      </c>
      <c r="J335" s="35" t="str">
        <f aca="false">IF($A335="","",IF($C335&lt;=IFERROR(INDEX(CM_PAGASANTES,MATCH($B335,CM_ID,0)),0),"SIM","NAO"))</f>
        <v/>
      </c>
      <c r="K335" s="36" t="n">
        <f aca="false">IF($A335="",0,SUMIFS(L_Valor,L_ParcID,$A335,L_Status,"REALIZADO"))</f>
        <v>0</v>
      </c>
      <c r="L335" s="38" t="str">
        <f aca="false">IF($A335="","",IFERROR(INDEX(L_Data,MATCH(1,INDEX((L_ParcID=$A335)*(L_Status="REALIZADO"),0),0)),""))</f>
        <v/>
      </c>
      <c r="M335" s="34" t="n">
        <f aca="false">IF($A335="",0,COUNTIFS(L_ParcID,$A335,L_Status,"REALIZADO"))</f>
        <v>0</v>
      </c>
      <c r="N335" s="34" t="n">
        <f aca="false">IF($A335="",0,COUNTIFS(L_ParcID,$A335,L_Status,"PROJETADO"))</f>
        <v>0</v>
      </c>
      <c r="O335" s="35" t="str">
        <f aca="false">IF($A335="","",IF($J335="SIM","PAGA",IF($M335&gt;0,"PAGA",IF($D335&lt;CFG_HOJE,"ATRASADA",IF($D335&lt;=EOMONTH(CFG_HOJE,0),"ABERTA","PROJETADA")))))</f>
        <v/>
      </c>
      <c r="P335" s="34" t="n">
        <f aca="false">IF($O335="ATRASADA",CFG_HOJE-$D335,0)</f>
        <v>0</v>
      </c>
      <c r="Q335" s="36" t="n">
        <f aca="false">IF($A335="",0,IF(AND($O335="PAGA",$J335="NAO"),$K335-$E335,0))</f>
        <v>0</v>
      </c>
    </row>
    <row r="336" customFormat="false" ht="15" hidden="false" customHeight="false" outlineLevel="0" collapsed="false">
      <c r="A336" s="30" t="str">
        <f aca="false">IF($B336="","","PAR-"&amp;TEXT(ROW()-4,"000000"))</f>
        <v/>
      </c>
      <c r="B336" s="32"/>
      <c r="C336" s="37"/>
      <c r="D336" s="31"/>
      <c r="E336" s="33"/>
      <c r="F336" s="32"/>
      <c r="G336" s="35" t="str">
        <f aca="false">IF($B336="","",IFERROR(INDEX(CM_NOME,MATCH($B336,CM_ID,0)),"?"))</f>
        <v/>
      </c>
      <c r="H336" s="34" t="str">
        <f aca="false">IF($B336="","",IFERROR(INDEX(CM_QTD,MATCH($B336,CM_ID,0)),""))</f>
        <v/>
      </c>
      <c r="I336" s="35" t="str">
        <f aca="false">IF($A336="","",$C336&amp;"/"&amp;$H336)</f>
        <v/>
      </c>
      <c r="J336" s="35" t="str">
        <f aca="false">IF($A336="","",IF($C336&lt;=IFERROR(INDEX(CM_PAGASANTES,MATCH($B336,CM_ID,0)),0),"SIM","NAO"))</f>
        <v/>
      </c>
      <c r="K336" s="36" t="n">
        <f aca="false">IF($A336="",0,SUMIFS(L_Valor,L_ParcID,$A336,L_Status,"REALIZADO"))</f>
        <v>0</v>
      </c>
      <c r="L336" s="38" t="str">
        <f aca="false">IF($A336="","",IFERROR(INDEX(L_Data,MATCH(1,INDEX((L_ParcID=$A336)*(L_Status="REALIZADO"),0),0)),""))</f>
        <v/>
      </c>
      <c r="M336" s="34" t="n">
        <f aca="false">IF($A336="",0,COUNTIFS(L_ParcID,$A336,L_Status,"REALIZADO"))</f>
        <v>0</v>
      </c>
      <c r="N336" s="34" t="n">
        <f aca="false">IF($A336="",0,COUNTIFS(L_ParcID,$A336,L_Status,"PROJETADO"))</f>
        <v>0</v>
      </c>
      <c r="O336" s="35" t="str">
        <f aca="false">IF($A336="","",IF($J336="SIM","PAGA",IF($M336&gt;0,"PAGA",IF($D336&lt;CFG_HOJE,"ATRASADA",IF($D336&lt;=EOMONTH(CFG_HOJE,0),"ABERTA","PROJETADA")))))</f>
        <v/>
      </c>
      <c r="P336" s="34" t="n">
        <f aca="false">IF($O336="ATRASADA",CFG_HOJE-$D336,0)</f>
        <v>0</v>
      </c>
      <c r="Q336" s="36" t="n">
        <f aca="false">IF($A336="",0,IF(AND($O336="PAGA",$J336="NAO"),$K336-$E336,0))</f>
        <v>0</v>
      </c>
    </row>
    <row r="337" customFormat="false" ht="15" hidden="false" customHeight="false" outlineLevel="0" collapsed="false">
      <c r="A337" s="30" t="str">
        <f aca="false">IF($B337="","","PAR-"&amp;TEXT(ROW()-4,"000000"))</f>
        <v/>
      </c>
      <c r="B337" s="32"/>
      <c r="C337" s="37"/>
      <c r="D337" s="31"/>
      <c r="E337" s="33"/>
      <c r="F337" s="32"/>
      <c r="G337" s="35" t="str">
        <f aca="false">IF($B337="","",IFERROR(INDEX(CM_NOME,MATCH($B337,CM_ID,0)),"?"))</f>
        <v/>
      </c>
      <c r="H337" s="34" t="str">
        <f aca="false">IF($B337="","",IFERROR(INDEX(CM_QTD,MATCH($B337,CM_ID,0)),""))</f>
        <v/>
      </c>
      <c r="I337" s="35" t="str">
        <f aca="false">IF($A337="","",$C337&amp;"/"&amp;$H337)</f>
        <v/>
      </c>
      <c r="J337" s="35" t="str">
        <f aca="false">IF($A337="","",IF($C337&lt;=IFERROR(INDEX(CM_PAGASANTES,MATCH($B337,CM_ID,0)),0),"SIM","NAO"))</f>
        <v/>
      </c>
      <c r="K337" s="36" t="n">
        <f aca="false">IF($A337="",0,SUMIFS(L_Valor,L_ParcID,$A337,L_Status,"REALIZADO"))</f>
        <v>0</v>
      </c>
      <c r="L337" s="38" t="str">
        <f aca="false">IF($A337="","",IFERROR(INDEX(L_Data,MATCH(1,INDEX((L_ParcID=$A337)*(L_Status="REALIZADO"),0),0)),""))</f>
        <v/>
      </c>
      <c r="M337" s="34" t="n">
        <f aca="false">IF($A337="",0,COUNTIFS(L_ParcID,$A337,L_Status,"REALIZADO"))</f>
        <v>0</v>
      </c>
      <c r="N337" s="34" t="n">
        <f aca="false">IF($A337="",0,COUNTIFS(L_ParcID,$A337,L_Status,"PROJETADO"))</f>
        <v>0</v>
      </c>
      <c r="O337" s="35" t="str">
        <f aca="false">IF($A337="","",IF($J337="SIM","PAGA",IF($M337&gt;0,"PAGA",IF($D337&lt;CFG_HOJE,"ATRASADA",IF($D337&lt;=EOMONTH(CFG_HOJE,0),"ABERTA","PROJETADA")))))</f>
        <v/>
      </c>
      <c r="P337" s="34" t="n">
        <f aca="false">IF($O337="ATRASADA",CFG_HOJE-$D337,0)</f>
        <v>0</v>
      </c>
      <c r="Q337" s="36" t="n">
        <f aca="false">IF($A337="",0,IF(AND($O337="PAGA",$J337="NAO"),$K337-$E337,0))</f>
        <v>0</v>
      </c>
    </row>
    <row r="338" customFormat="false" ht="15" hidden="false" customHeight="false" outlineLevel="0" collapsed="false">
      <c r="A338" s="30" t="str">
        <f aca="false">IF($B338="","","PAR-"&amp;TEXT(ROW()-4,"000000"))</f>
        <v/>
      </c>
      <c r="B338" s="32"/>
      <c r="C338" s="37"/>
      <c r="D338" s="31"/>
      <c r="E338" s="33"/>
      <c r="F338" s="32"/>
      <c r="G338" s="35" t="str">
        <f aca="false">IF($B338="","",IFERROR(INDEX(CM_NOME,MATCH($B338,CM_ID,0)),"?"))</f>
        <v/>
      </c>
      <c r="H338" s="34" t="str">
        <f aca="false">IF($B338="","",IFERROR(INDEX(CM_QTD,MATCH($B338,CM_ID,0)),""))</f>
        <v/>
      </c>
      <c r="I338" s="35" t="str">
        <f aca="false">IF($A338="","",$C338&amp;"/"&amp;$H338)</f>
        <v/>
      </c>
      <c r="J338" s="35" t="str">
        <f aca="false">IF($A338="","",IF($C338&lt;=IFERROR(INDEX(CM_PAGASANTES,MATCH($B338,CM_ID,0)),0),"SIM","NAO"))</f>
        <v/>
      </c>
      <c r="K338" s="36" t="n">
        <f aca="false">IF($A338="",0,SUMIFS(L_Valor,L_ParcID,$A338,L_Status,"REALIZADO"))</f>
        <v>0</v>
      </c>
      <c r="L338" s="38" t="str">
        <f aca="false">IF($A338="","",IFERROR(INDEX(L_Data,MATCH(1,INDEX((L_ParcID=$A338)*(L_Status="REALIZADO"),0),0)),""))</f>
        <v/>
      </c>
      <c r="M338" s="34" t="n">
        <f aca="false">IF($A338="",0,COUNTIFS(L_ParcID,$A338,L_Status,"REALIZADO"))</f>
        <v>0</v>
      </c>
      <c r="N338" s="34" t="n">
        <f aca="false">IF($A338="",0,COUNTIFS(L_ParcID,$A338,L_Status,"PROJETADO"))</f>
        <v>0</v>
      </c>
      <c r="O338" s="35" t="str">
        <f aca="false">IF($A338="","",IF($J338="SIM","PAGA",IF($M338&gt;0,"PAGA",IF($D338&lt;CFG_HOJE,"ATRASADA",IF($D338&lt;=EOMONTH(CFG_HOJE,0),"ABERTA","PROJETADA")))))</f>
        <v/>
      </c>
      <c r="P338" s="34" t="n">
        <f aca="false">IF($O338="ATRASADA",CFG_HOJE-$D338,0)</f>
        <v>0</v>
      </c>
      <c r="Q338" s="36" t="n">
        <f aca="false">IF($A338="",0,IF(AND($O338="PAGA",$J338="NAO"),$K338-$E338,0))</f>
        <v>0</v>
      </c>
    </row>
    <row r="339" customFormat="false" ht="15" hidden="false" customHeight="false" outlineLevel="0" collapsed="false">
      <c r="A339" s="30" t="str">
        <f aca="false">IF($B339="","","PAR-"&amp;TEXT(ROW()-4,"000000"))</f>
        <v/>
      </c>
      <c r="B339" s="32"/>
      <c r="C339" s="37"/>
      <c r="D339" s="31"/>
      <c r="E339" s="33"/>
      <c r="F339" s="32"/>
      <c r="G339" s="35" t="str">
        <f aca="false">IF($B339="","",IFERROR(INDEX(CM_NOME,MATCH($B339,CM_ID,0)),"?"))</f>
        <v/>
      </c>
      <c r="H339" s="34" t="str">
        <f aca="false">IF($B339="","",IFERROR(INDEX(CM_QTD,MATCH($B339,CM_ID,0)),""))</f>
        <v/>
      </c>
      <c r="I339" s="35" t="str">
        <f aca="false">IF($A339="","",$C339&amp;"/"&amp;$H339)</f>
        <v/>
      </c>
      <c r="J339" s="35" t="str">
        <f aca="false">IF($A339="","",IF($C339&lt;=IFERROR(INDEX(CM_PAGASANTES,MATCH($B339,CM_ID,0)),0),"SIM","NAO"))</f>
        <v/>
      </c>
      <c r="K339" s="36" t="n">
        <f aca="false">IF($A339="",0,SUMIFS(L_Valor,L_ParcID,$A339,L_Status,"REALIZADO"))</f>
        <v>0</v>
      </c>
      <c r="L339" s="38" t="str">
        <f aca="false">IF($A339="","",IFERROR(INDEX(L_Data,MATCH(1,INDEX((L_ParcID=$A339)*(L_Status="REALIZADO"),0),0)),""))</f>
        <v/>
      </c>
      <c r="M339" s="34" t="n">
        <f aca="false">IF($A339="",0,COUNTIFS(L_ParcID,$A339,L_Status,"REALIZADO"))</f>
        <v>0</v>
      </c>
      <c r="N339" s="34" t="n">
        <f aca="false">IF($A339="",0,COUNTIFS(L_ParcID,$A339,L_Status,"PROJETADO"))</f>
        <v>0</v>
      </c>
      <c r="O339" s="35" t="str">
        <f aca="false">IF($A339="","",IF($J339="SIM","PAGA",IF($M339&gt;0,"PAGA",IF($D339&lt;CFG_HOJE,"ATRASADA",IF($D339&lt;=EOMONTH(CFG_HOJE,0),"ABERTA","PROJETADA")))))</f>
        <v/>
      </c>
      <c r="P339" s="34" t="n">
        <f aca="false">IF($O339="ATRASADA",CFG_HOJE-$D339,0)</f>
        <v>0</v>
      </c>
      <c r="Q339" s="36" t="n">
        <f aca="false">IF($A339="",0,IF(AND($O339="PAGA",$J339="NAO"),$K339-$E339,0))</f>
        <v>0</v>
      </c>
    </row>
    <row r="340" customFormat="false" ht="15" hidden="false" customHeight="false" outlineLevel="0" collapsed="false">
      <c r="A340" s="30" t="str">
        <f aca="false">IF($B340="","","PAR-"&amp;TEXT(ROW()-4,"000000"))</f>
        <v/>
      </c>
      <c r="B340" s="32"/>
      <c r="C340" s="37"/>
      <c r="D340" s="31"/>
      <c r="E340" s="33"/>
      <c r="F340" s="32"/>
      <c r="G340" s="35" t="str">
        <f aca="false">IF($B340="","",IFERROR(INDEX(CM_NOME,MATCH($B340,CM_ID,0)),"?"))</f>
        <v/>
      </c>
      <c r="H340" s="34" t="str">
        <f aca="false">IF($B340="","",IFERROR(INDEX(CM_QTD,MATCH($B340,CM_ID,0)),""))</f>
        <v/>
      </c>
      <c r="I340" s="35" t="str">
        <f aca="false">IF($A340="","",$C340&amp;"/"&amp;$H340)</f>
        <v/>
      </c>
      <c r="J340" s="35" t="str">
        <f aca="false">IF($A340="","",IF($C340&lt;=IFERROR(INDEX(CM_PAGASANTES,MATCH($B340,CM_ID,0)),0),"SIM","NAO"))</f>
        <v/>
      </c>
      <c r="K340" s="36" t="n">
        <f aca="false">IF($A340="",0,SUMIFS(L_Valor,L_ParcID,$A340,L_Status,"REALIZADO"))</f>
        <v>0</v>
      </c>
      <c r="L340" s="38" t="str">
        <f aca="false">IF($A340="","",IFERROR(INDEX(L_Data,MATCH(1,INDEX((L_ParcID=$A340)*(L_Status="REALIZADO"),0),0)),""))</f>
        <v/>
      </c>
      <c r="M340" s="34" t="n">
        <f aca="false">IF($A340="",0,COUNTIFS(L_ParcID,$A340,L_Status,"REALIZADO"))</f>
        <v>0</v>
      </c>
      <c r="N340" s="34" t="n">
        <f aca="false">IF($A340="",0,COUNTIFS(L_ParcID,$A340,L_Status,"PROJETADO"))</f>
        <v>0</v>
      </c>
      <c r="O340" s="35" t="str">
        <f aca="false">IF($A340="","",IF($J340="SIM","PAGA",IF($M340&gt;0,"PAGA",IF($D340&lt;CFG_HOJE,"ATRASADA",IF($D340&lt;=EOMONTH(CFG_HOJE,0),"ABERTA","PROJETADA")))))</f>
        <v/>
      </c>
      <c r="P340" s="34" t="n">
        <f aca="false">IF($O340="ATRASADA",CFG_HOJE-$D340,0)</f>
        <v>0</v>
      </c>
      <c r="Q340" s="36" t="n">
        <f aca="false">IF($A340="",0,IF(AND($O340="PAGA",$J340="NAO"),$K340-$E340,0))</f>
        <v>0</v>
      </c>
    </row>
    <row r="341" customFormat="false" ht="15" hidden="false" customHeight="false" outlineLevel="0" collapsed="false">
      <c r="A341" s="30" t="str">
        <f aca="false">IF($B341="","","PAR-"&amp;TEXT(ROW()-4,"000000"))</f>
        <v/>
      </c>
      <c r="B341" s="32"/>
      <c r="C341" s="37"/>
      <c r="D341" s="31"/>
      <c r="E341" s="33"/>
      <c r="F341" s="32"/>
      <c r="G341" s="35" t="str">
        <f aca="false">IF($B341="","",IFERROR(INDEX(CM_NOME,MATCH($B341,CM_ID,0)),"?"))</f>
        <v/>
      </c>
      <c r="H341" s="34" t="str">
        <f aca="false">IF($B341="","",IFERROR(INDEX(CM_QTD,MATCH($B341,CM_ID,0)),""))</f>
        <v/>
      </c>
      <c r="I341" s="35" t="str">
        <f aca="false">IF($A341="","",$C341&amp;"/"&amp;$H341)</f>
        <v/>
      </c>
      <c r="J341" s="35" t="str">
        <f aca="false">IF($A341="","",IF($C341&lt;=IFERROR(INDEX(CM_PAGASANTES,MATCH($B341,CM_ID,0)),0),"SIM","NAO"))</f>
        <v/>
      </c>
      <c r="K341" s="36" t="n">
        <f aca="false">IF($A341="",0,SUMIFS(L_Valor,L_ParcID,$A341,L_Status,"REALIZADO"))</f>
        <v>0</v>
      </c>
      <c r="L341" s="38" t="str">
        <f aca="false">IF($A341="","",IFERROR(INDEX(L_Data,MATCH(1,INDEX((L_ParcID=$A341)*(L_Status="REALIZADO"),0),0)),""))</f>
        <v/>
      </c>
      <c r="M341" s="34" t="n">
        <f aca="false">IF($A341="",0,COUNTIFS(L_ParcID,$A341,L_Status,"REALIZADO"))</f>
        <v>0</v>
      </c>
      <c r="N341" s="34" t="n">
        <f aca="false">IF($A341="",0,COUNTIFS(L_ParcID,$A341,L_Status,"PROJETADO"))</f>
        <v>0</v>
      </c>
      <c r="O341" s="35" t="str">
        <f aca="false">IF($A341="","",IF($J341="SIM","PAGA",IF($M341&gt;0,"PAGA",IF($D341&lt;CFG_HOJE,"ATRASADA",IF($D341&lt;=EOMONTH(CFG_HOJE,0),"ABERTA","PROJETADA")))))</f>
        <v/>
      </c>
      <c r="P341" s="34" t="n">
        <f aca="false">IF($O341="ATRASADA",CFG_HOJE-$D341,0)</f>
        <v>0</v>
      </c>
      <c r="Q341" s="36" t="n">
        <f aca="false">IF($A341="",0,IF(AND($O341="PAGA",$J341="NAO"),$K341-$E341,0))</f>
        <v>0</v>
      </c>
    </row>
    <row r="342" customFormat="false" ht="15" hidden="false" customHeight="false" outlineLevel="0" collapsed="false">
      <c r="A342" s="30" t="str">
        <f aca="false">IF($B342="","","PAR-"&amp;TEXT(ROW()-4,"000000"))</f>
        <v/>
      </c>
      <c r="B342" s="32"/>
      <c r="C342" s="37"/>
      <c r="D342" s="31"/>
      <c r="E342" s="33"/>
      <c r="F342" s="32"/>
      <c r="G342" s="35" t="str">
        <f aca="false">IF($B342="","",IFERROR(INDEX(CM_NOME,MATCH($B342,CM_ID,0)),"?"))</f>
        <v/>
      </c>
      <c r="H342" s="34" t="str">
        <f aca="false">IF($B342="","",IFERROR(INDEX(CM_QTD,MATCH($B342,CM_ID,0)),""))</f>
        <v/>
      </c>
      <c r="I342" s="35" t="str">
        <f aca="false">IF($A342="","",$C342&amp;"/"&amp;$H342)</f>
        <v/>
      </c>
      <c r="J342" s="35" t="str">
        <f aca="false">IF($A342="","",IF($C342&lt;=IFERROR(INDEX(CM_PAGASANTES,MATCH($B342,CM_ID,0)),0),"SIM","NAO"))</f>
        <v/>
      </c>
      <c r="K342" s="36" t="n">
        <f aca="false">IF($A342="",0,SUMIFS(L_Valor,L_ParcID,$A342,L_Status,"REALIZADO"))</f>
        <v>0</v>
      </c>
      <c r="L342" s="38" t="str">
        <f aca="false">IF($A342="","",IFERROR(INDEX(L_Data,MATCH(1,INDEX((L_ParcID=$A342)*(L_Status="REALIZADO"),0),0)),""))</f>
        <v/>
      </c>
      <c r="M342" s="34" t="n">
        <f aca="false">IF($A342="",0,COUNTIFS(L_ParcID,$A342,L_Status,"REALIZADO"))</f>
        <v>0</v>
      </c>
      <c r="N342" s="34" t="n">
        <f aca="false">IF($A342="",0,COUNTIFS(L_ParcID,$A342,L_Status,"PROJETADO"))</f>
        <v>0</v>
      </c>
      <c r="O342" s="35" t="str">
        <f aca="false">IF($A342="","",IF($J342="SIM","PAGA",IF($M342&gt;0,"PAGA",IF($D342&lt;CFG_HOJE,"ATRASADA",IF($D342&lt;=EOMONTH(CFG_HOJE,0),"ABERTA","PROJETADA")))))</f>
        <v/>
      </c>
      <c r="P342" s="34" t="n">
        <f aca="false">IF($O342="ATRASADA",CFG_HOJE-$D342,0)</f>
        <v>0</v>
      </c>
      <c r="Q342" s="36" t="n">
        <f aca="false">IF($A342="",0,IF(AND($O342="PAGA",$J342="NAO"),$K342-$E342,0))</f>
        <v>0</v>
      </c>
    </row>
    <row r="343" customFormat="false" ht="15" hidden="false" customHeight="false" outlineLevel="0" collapsed="false">
      <c r="A343" s="30" t="str">
        <f aca="false">IF($B343="","","PAR-"&amp;TEXT(ROW()-4,"000000"))</f>
        <v/>
      </c>
      <c r="B343" s="32"/>
      <c r="C343" s="37"/>
      <c r="D343" s="31"/>
      <c r="E343" s="33"/>
      <c r="F343" s="32"/>
      <c r="G343" s="35" t="str">
        <f aca="false">IF($B343="","",IFERROR(INDEX(CM_NOME,MATCH($B343,CM_ID,0)),"?"))</f>
        <v/>
      </c>
      <c r="H343" s="34" t="str">
        <f aca="false">IF($B343="","",IFERROR(INDEX(CM_QTD,MATCH($B343,CM_ID,0)),""))</f>
        <v/>
      </c>
      <c r="I343" s="35" t="str">
        <f aca="false">IF($A343="","",$C343&amp;"/"&amp;$H343)</f>
        <v/>
      </c>
      <c r="J343" s="35" t="str">
        <f aca="false">IF($A343="","",IF($C343&lt;=IFERROR(INDEX(CM_PAGASANTES,MATCH($B343,CM_ID,0)),0),"SIM","NAO"))</f>
        <v/>
      </c>
      <c r="K343" s="36" t="n">
        <f aca="false">IF($A343="",0,SUMIFS(L_Valor,L_ParcID,$A343,L_Status,"REALIZADO"))</f>
        <v>0</v>
      </c>
      <c r="L343" s="38" t="str">
        <f aca="false">IF($A343="","",IFERROR(INDEX(L_Data,MATCH(1,INDEX((L_ParcID=$A343)*(L_Status="REALIZADO"),0),0)),""))</f>
        <v/>
      </c>
      <c r="M343" s="34" t="n">
        <f aca="false">IF($A343="",0,COUNTIFS(L_ParcID,$A343,L_Status,"REALIZADO"))</f>
        <v>0</v>
      </c>
      <c r="N343" s="34" t="n">
        <f aca="false">IF($A343="",0,COUNTIFS(L_ParcID,$A343,L_Status,"PROJETADO"))</f>
        <v>0</v>
      </c>
      <c r="O343" s="35" t="str">
        <f aca="false">IF($A343="","",IF($J343="SIM","PAGA",IF($M343&gt;0,"PAGA",IF($D343&lt;CFG_HOJE,"ATRASADA",IF($D343&lt;=EOMONTH(CFG_HOJE,0),"ABERTA","PROJETADA")))))</f>
        <v/>
      </c>
      <c r="P343" s="34" t="n">
        <f aca="false">IF($O343="ATRASADA",CFG_HOJE-$D343,0)</f>
        <v>0</v>
      </c>
      <c r="Q343" s="36" t="n">
        <f aca="false">IF($A343="",0,IF(AND($O343="PAGA",$J343="NAO"),$K343-$E343,0))</f>
        <v>0</v>
      </c>
    </row>
    <row r="344" customFormat="false" ht="15" hidden="false" customHeight="false" outlineLevel="0" collapsed="false">
      <c r="A344" s="30" t="str">
        <f aca="false">IF($B344="","","PAR-"&amp;TEXT(ROW()-4,"000000"))</f>
        <v/>
      </c>
      <c r="B344" s="32"/>
      <c r="C344" s="37"/>
      <c r="D344" s="31"/>
      <c r="E344" s="33"/>
      <c r="F344" s="32"/>
      <c r="G344" s="35" t="str">
        <f aca="false">IF($B344="","",IFERROR(INDEX(CM_NOME,MATCH($B344,CM_ID,0)),"?"))</f>
        <v/>
      </c>
      <c r="H344" s="34" t="str">
        <f aca="false">IF($B344="","",IFERROR(INDEX(CM_QTD,MATCH($B344,CM_ID,0)),""))</f>
        <v/>
      </c>
      <c r="I344" s="35" t="str">
        <f aca="false">IF($A344="","",$C344&amp;"/"&amp;$H344)</f>
        <v/>
      </c>
      <c r="J344" s="35" t="str">
        <f aca="false">IF($A344="","",IF($C344&lt;=IFERROR(INDEX(CM_PAGASANTES,MATCH($B344,CM_ID,0)),0),"SIM","NAO"))</f>
        <v/>
      </c>
      <c r="K344" s="36" t="n">
        <f aca="false">IF($A344="",0,SUMIFS(L_Valor,L_ParcID,$A344,L_Status,"REALIZADO"))</f>
        <v>0</v>
      </c>
      <c r="L344" s="38" t="str">
        <f aca="false">IF($A344="","",IFERROR(INDEX(L_Data,MATCH(1,INDEX((L_ParcID=$A344)*(L_Status="REALIZADO"),0),0)),""))</f>
        <v/>
      </c>
      <c r="M344" s="34" t="n">
        <f aca="false">IF($A344="",0,COUNTIFS(L_ParcID,$A344,L_Status,"REALIZADO"))</f>
        <v>0</v>
      </c>
      <c r="N344" s="34" t="n">
        <f aca="false">IF($A344="",0,COUNTIFS(L_ParcID,$A344,L_Status,"PROJETADO"))</f>
        <v>0</v>
      </c>
      <c r="O344" s="35" t="str">
        <f aca="false">IF($A344="","",IF($J344="SIM","PAGA",IF($M344&gt;0,"PAGA",IF($D344&lt;CFG_HOJE,"ATRASADA",IF($D344&lt;=EOMONTH(CFG_HOJE,0),"ABERTA","PROJETADA")))))</f>
        <v/>
      </c>
      <c r="P344" s="34" t="n">
        <f aca="false">IF($O344="ATRASADA",CFG_HOJE-$D344,0)</f>
        <v>0</v>
      </c>
      <c r="Q344" s="36" t="n">
        <f aca="false">IF($A344="",0,IF(AND($O344="PAGA",$J344="NAO"),$K344-$E344,0))</f>
        <v>0</v>
      </c>
    </row>
    <row r="345" customFormat="false" ht="15" hidden="false" customHeight="false" outlineLevel="0" collapsed="false">
      <c r="A345" s="30" t="str">
        <f aca="false">IF($B345="","","PAR-"&amp;TEXT(ROW()-4,"000000"))</f>
        <v/>
      </c>
      <c r="B345" s="32"/>
      <c r="C345" s="37"/>
      <c r="D345" s="31"/>
      <c r="E345" s="33"/>
      <c r="F345" s="32"/>
      <c r="G345" s="35" t="str">
        <f aca="false">IF($B345="","",IFERROR(INDEX(CM_NOME,MATCH($B345,CM_ID,0)),"?"))</f>
        <v/>
      </c>
      <c r="H345" s="34" t="str">
        <f aca="false">IF($B345="","",IFERROR(INDEX(CM_QTD,MATCH($B345,CM_ID,0)),""))</f>
        <v/>
      </c>
      <c r="I345" s="35" t="str">
        <f aca="false">IF($A345="","",$C345&amp;"/"&amp;$H345)</f>
        <v/>
      </c>
      <c r="J345" s="35" t="str">
        <f aca="false">IF($A345="","",IF($C345&lt;=IFERROR(INDEX(CM_PAGASANTES,MATCH($B345,CM_ID,0)),0),"SIM","NAO"))</f>
        <v/>
      </c>
      <c r="K345" s="36" t="n">
        <f aca="false">IF($A345="",0,SUMIFS(L_Valor,L_ParcID,$A345,L_Status,"REALIZADO"))</f>
        <v>0</v>
      </c>
      <c r="L345" s="38" t="str">
        <f aca="false">IF($A345="","",IFERROR(INDEX(L_Data,MATCH(1,INDEX((L_ParcID=$A345)*(L_Status="REALIZADO"),0),0)),""))</f>
        <v/>
      </c>
      <c r="M345" s="34" t="n">
        <f aca="false">IF($A345="",0,COUNTIFS(L_ParcID,$A345,L_Status,"REALIZADO"))</f>
        <v>0</v>
      </c>
      <c r="N345" s="34" t="n">
        <f aca="false">IF($A345="",0,COUNTIFS(L_ParcID,$A345,L_Status,"PROJETADO"))</f>
        <v>0</v>
      </c>
      <c r="O345" s="35" t="str">
        <f aca="false">IF($A345="","",IF($J345="SIM","PAGA",IF($M345&gt;0,"PAGA",IF($D345&lt;CFG_HOJE,"ATRASADA",IF($D345&lt;=EOMONTH(CFG_HOJE,0),"ABERTA","PROJETADA")))))</f>
        <v/>
      </c>
      <c r="P345" s="34" t="n">
        <f aca="false">IF($O345="ATRASADA",CFG_HOJE-$D345,0)</f>
        <v>0</v>
      </c>
      <c r="Q345" s="36" t="n">
        <f aca="false">IF($A345="",0,IF(AND($O345="PAGA",$J345="NAO"),$K345-$E345,0))</f>
        <v>0</v>
      </c>
    </row>
    <row r="346" customFormat="false" ht="15" hidden="false" customHeight="false" outlineLevel="0" collapsed="false">
      <c r="A346" s="30" t="str">
        <f aca="false">IF($B346="","","PAR-"&amp;TEXT(ROW()-4,"000000"))</f>
        <v/>
      </c>
      <c r="B346" s="32"/>
      <c r="C346" s="37"/>
      <c r="D346" s="31"/>
      <c r="E346" s="33"/>
      <c r="F346" s="32"/>
      <c r="G346" s="35" t="str">
        <f aca="false">IF($B346="","",IFERROR(INDEX(CM_NOME,MATCH($B346,CM_ID,0)),"?"))</f>
        <v/>
      </c>
      <c r="H346" s="34" t="str">
        <f aca="false">IF($B346="","",IFERROR(INDEX(CM_QTD,MATCH($B346,CM_ID,0)),""))</f>
        <v/>
      </c>
      <c r="I346" s="35" t="str">
        <f aca="false">IF($A346="","",$C346&amp;"/"&amp;$H346)</f>
        <v/>
      </c>
      <c r="J346" s="35" t="str">
        <f aca="false">IF($A346="","",IF($C346&lt;=IFERROR(INDEX(CM_PAGASANTES,MATCH($B346,CM_ID,0)),0),"SIM","NAO"))</f>
        <v/>
      </c>
      <c r="K346" s="36" t="n">
        <f aca="false">IF($A346="",0,SUMIFS(L_Valor,L_ParcID,$A346,L_Status,"REALIZADO"))</f>
        <v>0</v>
      </c>
      <c r="L346" s="38" t="str">
        <f aca="false">IF($A346="","",IFERROR(INDEX(L_Data,MATCH(1,INDEX((L_ParcID=$A346)*(L_Status="REALIZADO"),0),0)),""))</f>
        <v/>
      </c>
      <c r="M346" s="34" t="n">
        <f aca="false">IF($A346="",0,COUNTIFS(L_ParcID,$A346,L_Status,"REALIZADO"))</f>
        <v>0</v>
      </c>
      <c r="N346" s="34" t="n">
        <f aca="false">IF($A346="",0,COUNTIFS(L_ParcID,$A346,L_Status,"PROJETADO"))</f>
        <v>0</v>
      </c>
      <c r="O346" s="35" t="str">
        <f aca="false">IF($A346="","",IF($J346="SIM","PAGA",IF($M346&gt;0,"PAGA",IF($D346&lt;CFG_HOJE,"ATRASADA",IF($D346&lt;=EOMONTH(CFG_HOJE,0),"ABERTA","PROJETADA")))))</f>
        <v/>
      </c>
      <c r="P346" s="34" t="n">
        <f aca="false">IF($O346="ATRASADA",CFG_HOJE-$D346,0)</f>
        <v>0</v>
      </c>
      <c r="Q346" s="36" t="n">
        <f aca="false">IF($A346="",0,IF(AND($O346="PAGA",$J346="NAO"),$K346-$E346,0))</f>
        <v>0</v>
      </c>
    </row>
    <row r="347" customFormat="false" ht="15" hidden="false" customHeight="false" outlineLevel="0" collapsed="false">
      <c r="A347" s="30" t="str">
        <f aca="false">IF($B347="","","PAR-"&amp;TEXT(ROW()-4,"000000"))</f>
        <v/>
      </c>
      <c r="B347" s="32"/>
      <c r="C347" s="37"/>
      <c r="D347" s="31"/>
      <c r="E347" s="33"/>
      <c r="F347" s="32"/>
      <c r="G347" s="35" t="str">
        <f aca="false">IF($B347="","",IFERROR(INDEX(CM_NOME,MATCH($B347,CM_ID,0)),"?"))</f>
        <v/>
      </c>
      <c r="H347" s="34" t="str">
        <f aca="false">IF($B347="","",IFERROR(INDEX(CM_QTD,MATCH($B347,CM_ID,0)),""))</f>
        <v/>
      </c>
      <c r="I347" s="35" t="str">
        <f aca="false">IF($A347="","",$C347&amp;"/"&amp;$H347)</f>
        <v/>
      </c>
      <c r="J347" s="35" t="str">
        <f aca="false">IF($A347="","",IF($C347&lt;=IFERROR(INDEX(CM_PAGASANTES,MATCH($B347,CM_ID,0)),0),"SIM","NAO"))</f>
        <v/>
      </c>
      <c r="K347" s="36" t="n">
        <f aca="false">IF($A347="",0,SUMIFS(L_Valor,L_ParcID,$A347,L_Status,"REALIZADO"))</f>
        <v>0</v>
      </c>
      <c r="L347" s="38" t="str">
        <f aca="false">IF($A347="","",IFERROR(INDEX(L_Data,MATCH(1,INDEX((L_ParcID=$A347)*(L_Status="REALIZADO"),0),0)),""))</f>
        <v/>
      </c>
      <c r="M347" s="34" t="n">
        <f aca="false">IF($A347="",0,COUNTIFS(L_ParcID,$A347,L_Status,"REALIZADO"))</f>
        <v>0</v>
      </c>
      <c r="N347" s="34" t="n">
        <f aca="false">IF($A347="",0,COUNTIFS(L_ParcID,$A347,L_Status,"PROJETADO"))</f>
        <v>0</v>
      </c>
      <c r="O347" s="35" t="str">
        <f aca="false">IF($A347="","",IF($J347="SIM","PAGA",IF($M347&gt;0,"PAGA",IF($D347&lt;CFG_HOJE,"ATRASADA",IF($D347&lt;=EOMONTH(CFG_HOJE,0),"ABERTA","PROJETADA")))))</f>
        <v/>
      </c>
      <c r="P347" s="34" t="n">
        <f aca="false">IF($O347="ATRASADA",CFG_HOJE-$D347,0)</f>
        <v>0</v>
      </c>
      <c r="Q347" s="36" t="n">
        <f aca="false">IF($A347="",0,IF(AND($O347="PAGA",$J347="NAO"),$K347-$E347,0))</f>
        <v>0</v>
      </c>
    </row>
    <row r="348" customFormat="false" ht="15" hidden="false" customHeight="false" outlineLevel="0" collapsed="false">
      <c r="A348" s="30" t="str">
        <f aca="false">IF($B348="","","PAR-"&amp;TEXT(ROW()-4,"000000"))</f>
        <v/>
      </c>
      <c r="B348" s="32"/>
      <c r="C348" s="37"/>
      <c r="D348" s="31"/>
      <c r="E348" s="33"/>
      <c r="F348" s="32"/>
      <c r="G348" s="35" t="str">
        <f aca="false">IF($B348="","",IFERROR(INDEX(CM_NOME,MATCH($B348,CM_ID,0)),"?"))</f>
        <v/>
      </c>
      <c r="H348" s="34" t="str">
        <f aca="false">IF($B348="","",IFERROR(INDEX(CM_QTD,MATCH($B348,CM_ID,0)),""))</f>
        <v/>
      </c>
      <c r="I348" s="35" t="str">
        <f aca="false">IF($A348="","",$C348&amp;"/"&amp;$H348)</f>
        <v/>
      </c>
      <c r="J348" s="35" t="str">
        <f aca="false">IF($A348="","",IF($C348&lt;=IFERROR(INDEX(CM_PAGASANTES,MATCH($B348,CM_ID,0)),0),"SIM","NAO"))</f>
        <v/>
      </c>
      <c r="K348" s="36" t="n">
        <f aca="false">IF($A348="",0,SUMIFS(L_Valor,L_ParcID,$A348,L_Status,"REALIZADO"))</f>
        <v>0</v>
      </c>
      <c r="L348" s="38" t="str">
        <f aca="false">IF($A348="","",IFERROR(INDEX(L_Data,MATCH(1,INDEX((L_ParcID=$A348)*(L_Status="REALIZADO"),0),0)),""))</f>
        <v/>
      </c>
      <c r="M348" s="34" t="n">
        <f aca="false">IF($A348="",0,COUNTIFS(L_ParcID,$A348,L_Status,"REALIZADO"))</f>
        <v>0</v>
      </c>
      <c r="N348" s="34" t="n">
        <f aca="false">IF($A348="",0,COUNTIFS(L_ParcID,$A348,L_Status,"PROJETADO"))</f>
        <v>0</v>
      </c>
      <c r="O348" s="35" t="str">
        <f aca="false">IF($A348="","",IF($J348="SIM","PAGA",IF($M348&gt;0,"PAGA",IF($D348&lt;CFG_HOJE,"ATRASADA",IF($D348&lt;=EOMONTH(CFG_HOJE,0),"ABERTA","PROJETADA")))))</f>
        <v/>
      </c>
      <c r="P348" s="34" t="n">
        <f aca="false">IF($O348="ATRASADA",CFG_HOJE-$D348,0)</f>
        <v>0</v>
      </c>
      <c r="Q348" s="36" t="n">
        <f aca="false">IF($A348="",0,IF(AND($O348="PAGA",$J348="NAO"),$K348-$E348,0))</f>
        <v>0</v>
      </c>
    </row>
    <row r="349" customFormat="false" ht="15" hidden="false" customHeight="false" outlineLevel="0" collapsed="false">
      <c r="A349" s="30" t="str">
        <f aca="false">IF($B349="","","PAR-"&amp;TEXT(ROW()-4,"000000"))</f>
        <v/>
      </c>
      <c r="B349" s="32"/>
      <c r="C349" s="37"/>
      <c r="D349" s="31"/>
      <c r="E349" s="33"/>
      <c r="F349" s="32"/>
      <c r="G349" s="35" t="str">
        <f aca="false">IF($B349="","",IFERROR(INDEX(CM_NOME,MATCH($B349,CM_ID,0)),"?"))</f>
        <v/>
      </c>
      <c r="H349" s="34" t="str">
        <f aca="false">IF($B349="","",IFERROR(INDEX(CM_QTD,MATCH($B349,CM_ID,0)),""))</f>
        <v/>
      </c>
      <c r="I349" s="35" t="str">
        <f aca="false">IF($A349="","",$C349&amp;"/"&amp;$H349)</f>
        <v/>
      </c>
      <c r="J349" s="35" t="str">
        <f aca="false">IF($A349="","",IF($C349&lt;=IFERROR(INDEX(CM_PAGASANTES,MATCH($B349,CM_ID,0)),0),"SIM","NAO"))</f>
        <v/>
      </c>
      <c r="K349" s="36" t="n">
        <f aca="false">IF($A349="",0,SUMIFS(L_Valor,L_ParcID,$A349,L_Status,"REALIZADO"))</f>
        <v>0</v>
      </c>
      <c r="L349" s="38" t="str">
        <f aca="false">IF($A349="","",IFERROR(INDEX(L_Data,MATCH(1,INDEX((L_ParcID=$A349)*(L_Status="REALIZADO"),0),0)),""))</f>
        <v/>
      </c>
      <c r="M349" s="34" t="n">
        <f aca="false">IF($A349="",0,COUNTIFS(L_ParcID,$A349,L_Status,"REALIZADO"))</f>
        <v>0</v>
      </c>
      <c r="N349" s="34" t="n">
        <f aca="false">IF($A349="",0,COUNTIFS(L_ParcID,$A349,L_Status,"PROJETADO"))</f>
        <v>0</v>
      </c>
      <c r="O349" s="35" t="str">
        <f aca="false">IF($A349="","",IF($J349="SIM","PAGA",IF($M349&gt;0,"PAGA",IF($D349&lt;CFG_HOJE,"ATRASADA",IF($D349&lt;=EOMONTH(CFG_HOJE,0),"ABERTA","PROJETADA")))))</f>
        <v/>
      </c>
      <c r="P349" s="34" t="n">
        <f aca="false">IF($O349="ATRASADA",CFG_HOJE-$D349,0)</f>
        <v>0</v>
      </c>
      <c r="Q349" s="36" t="n">
        <f aca="false">IF($A349="",0,IF(AND($O349="PAGA",$J349="NAO"),$K349-$E349,0))</f>
        <v>0</v>
      </c>
    </row>
    <row r="350" customFormat="false" ht="15" hidden="false" customHeight="false" outlineLevel="0" collapsed="false">
      <c r="A350" s="30" t="str">
        <f aca="false">IF($B350="","","PAR-"&amp;TEXT(ROW()-4,"000000"))</f>
        <v/>
      </c>
      <c r="B350" s="32"/>
      <c r="C350" s="37"/>
      <c r="D350" s="31"/>
      <c r="E350" s="33"/>
      <c r="F350" s="32"/>
      <c r="G350" s="35" t="str">
        <f aca="false">IF($B350="","",IFERROR(INDEX(CM_NOME,MATCH($B350,CM_ID,0)),"?"))</f>
        <v/>
      </c>
      <c r="H350" s="34" t="str">
        <f aca="false">IF($B350="","",IFERROR(INDEX(CM_QTD,MATCH($B350,CM_ID,0)),""))</f>
        <v/>
      </c>
      <c r="I350" s="35" t="str">
        <f aca="false">IF($A350="","",$C350&amp;"/"&amp;$H350)</f>
        <v/>
      </c>
      <c r="J350" s="35" t="str">
        <f aca="false">IF($A350="","",IF($C350&lt;=IFERROR(INDEX(CM_PAGASANTES,MATCH($B350,CM_ID,0)),0),"SIM","NAO"))</f>
        <v/>
      </c>
      <c r="K350" s="36" t="n">
        <f aca="false">IF($A350="",0,SUMIFS(L_Valor,L_ParcID,$A350,L_Status,"REALIZADO"))</f>
        <v>0</v>
      </c>
      <c r="L350" s="38" t="str">
        <f aca="false">IF($A350="","",IFERROR(INDEX(L_Data,MATCH(1,INDEX((L_ParcID=$A350)*(L_Status="REALIZADO"),0),0)),""))</f>
        <v/>
      </c>
      <c r="M350" s="34" t="n">
        <f aca="false">IF($A350="",0,COUNTIFS(L_ParcID,$A350,L_Status,"REALIZADO"))</f>
        <v>0</v>
      </c>
      <c r="N350" s="34" t="n">
        <f aca="false">IF($A350="",0,COUNTIFS(L_ParcID,$A350,L_Status,"PROJETADO"))</f>
        <v>0</v>
      </c>
      <c r="O350" s="35" t="str">
        <f aca="false">IF($A350="","",IF($J350="SIM","PAGA",IF($M350&gt;0,"PAGA",IF($D350&lt;CFG_HOJE,"ATRASADA",IF($D350&lt;=EOMONTH(CFG_HOJE,0),"ABERTA","PROJETADA")))))</f>
        <v/>
      </c>
      <c r="P350" s="34" t="n">
        <f aca="false">IF($O350="ATRASADA",CFG_HOJE-$D350,0)</f>
        <v>0</v>
      </c>
      <c r="Q350" s="36" t="n">
        <f aca="false">IF($A350="",0,IF(AND($O350="PAGA",$J350="NAO"),$K350-$E350,0))</f>
        <v>0</v>
      </c>
    </row>
    <row r="351" customFormat="false" ht="15" hidden="false" customHeight="false" outlineLevel="0" collapsed="false">
      <c r="A351" s="30" t="str">
        <f aca="false">IF($B351="","","PAR-"&amp;TEXT(ROW()-4,"000000"))</f>
        <v/>
      </c>
      <c r="B351" s="32"/>
      <c r="C351" s="37"/>
      <c r="D351" s="31"/>
      <c r="E351" s="33"/>
      <c r="F351" s="32"/>
      <c r="G351" s="35" t="str">
        <f aca="false">IF($B351="","",IFERROR(INDEX(CM_NOME,MATCH($B351,CM_ID,0)),"?"))</f>
        <v/>
      </c>
      <c r="H351" s="34" t="str">
        <f aca="false">IF($B351="","",IFERROR(INDEX(CM_QTD,MATCH($B351,CM_ID,0)),""))</f>
        <v/>
      </c>
      <c r="I351" s="35" t="str">
        <f aca="false">IF($A351="","",$C351&amp;"/"&amp;$H351)</f>
        <v/>
      </c>
      <c r="J351" s="35" t="str">
        <f aca="false">IF($A351="","",IF($C351&lt;=IFERROR(INDEX(CM_PAGASANTES,MATCH($B351,CM_ID,0)),0),"SIM","NAO"))</f>
        <v/>
      </c>
      <c r="K351" s="36" t="n">
        <f aca="false">IF($A351="",0,SUMIFS(L_Valor,L_ParcID,$A351,L_Status,"REALIZADO"))</f>
        <v>0</v>
      </c>
      <c r="L351" s="38" t="str">
        <f aca="false">IF($A351="","",IFERROR(INDEX(L_Data,MATCH(1,INDEX((L_ParcID=$A351)*(L_Status="REALIZADO"),0),0)),""))</f>
        <v/>
      </c>
      <c r="M351" s="34" t="n">
        <f aca="false">IF($A351="",0,COUNTIFS(L_ParcID,$A351,L_Status,"REALIZADO"))</f>
        <v>0</v>
      </c>
      <c r="N351" s="34" t="n">
        <f aca="false">IF($A351="",0,COUNTIFS(L_ParcID,$A351,L_Status,"PROJETADO"))</f>
        <v>0</v>
      </c>
      <c r="O351" s="35" t="str">
        <f aca="false">IF($A351="","",IF($J351="SIM","PAGA",IF($M351&gt;0,"PAGA",IF($D351&lt;CFG_HOJE,"ATRASADA",IF($D351&lt;=EOMONTH(CFG_HOJE,0),"ABERTA","PROJETADA")))))</f>
        <v/>
      </c>
      <c r="P351" s="34" t="n">
        <f aca="false">IF($O351="ATRASADA",CFG_HOJE-$D351,0)</f>
        <v>0</v>
      </c>
      <c r="Q351" s="36" t="n">
        <f aca="false">IF($A351="",0,IF(AND($O351="PAGA",$J351="NAO"),$K351-$E351,0))</f>
        <v>0</v>
      </c>
    </row>
    <row r="352" customFormat="false" ht="15" hidden="false" customHeight="false" outlineLevel="0" collapsed="false">
      <c r="A352" s="30" t="str">
        <f aca="false">IF($B352="","","PAR-"&amp;TEXT(ROW()-4,"000000"))</f>
        <v/>
      </c>
      <c r="B352" s="32"/>
      <c r="C352" s="37"/>
      <c r="D352" s="31"/>
      <c r="E352" s="33"/>
      <c r="F352" s="32"/>
      <c r="G352" s="35" t="str">
        <f aca="false">IF($B352="","",IFERROR(INDEX(CM_NOME,MATCH($B352,CM_ID,0)),"?"))</f>
        <v/>
      </c>
      <c r="H352" s="34" t="str">
        <f aca="false">IF($B352="","",IFERROR(INDEX(CM_QTD,MATCH($B352,CM_ID,0)),""))</f>
        <v/>
      </c>
      <c r="I352" s="35" t="str">
        <f aca="false">IF($A352="","",$C352&amp;"/"&amp;$H352)</f>
        <v/>
      </c>
      <c r="J352" s="35" t="str">
        <f aca="false">IF($A352="","",IF($C352&lt;=IFERROR(INDEX(CM_PAGASANTES,MATCH($B352,CM_ID,0)),0),"SIM","NAO"))</f>
        <v/>
      </c>
      <c r="K352" s="36" t="n">
        <f aca="false">IF($A352="",0,SUMIFS(L_Valor,L_ParcID,$A352,L_Status,"REALIZADO"))</f>
        <v>0</v>
      </c>
      <c r="L352" s="38" t="str">
        <f aca="false">IF($A352="","",IFERROR(INDEX(L_Data,MATCH(1,INDEX((L_ParcID=$A352)*(L_Status="REALIZADO"),0),0)),""))</f>
        <v/>
      </c>
      <c r="M352" s="34" t="n">
        <f aca="false">IF($A352="",0,COUNTIFS(L_ParcID,$A352,L_Status,"REALIZADO"))</f>
        <v>0</v>
      </c>
      <c r="N352" s="34" t="n">
        <f aca="false">IF($A352="",0,COUNTIFS(L_ParcID,$A352,L_Status,"PROJETADO"))</f>
        <v>0</v>
      </c>
      <c r="O352" s="35" t="str">
        <f aca="false">IF($A352="","",IF($J352="SIM","PAGA",IF($M352&gt;0,"PAGA",IF($D352&lt;CFG_HOJE,"ATRASADA",IF($D352&lt;=EOMONTH(CFG_HOJE,0),"ABERTA","PROJETADA")))))</f>
        <v/>
      </c>
      <c r="P352" s="34" t="n">
        <f aca="false">IF($O352="ATRASADA",CFG_HOJE-$D352,0)</f>
        <v>0</v>
      </c>
      <c r="Q352" s="36" t="n">
        <f aca="false">IF($A352="",0,IF(AND($O352="PAGA",$J352="NAO"),$K352-$E352,0))</f>
        <v>0</v>
      </c>
    </row>
    <row r="353" customFormat="false" ht="15" hidden="false" customHeight="false" outlineLevel="0" collapsed="false">
      <c r="A353" s="30" t="str">
        <f aca="false">IF($B353="","","PAR-"&amp;TEXT(ROW()-4,"000000"))</f>
        <v/>
      </c>
      <c r="B353" s="32"/>
      <c r="C353" s="37"/>
      <c r="D353" s="31"/>
      <c r="E353" s="33"/>
      <c r="F353" s="32"/>
      <c r="G353" s="35" t="str">
        <f aca="false">IF($B353="","",IFERROR(INDEX(CM_NOME,MATCH($B353,CM_ID,0)),"?"))</f>
        <v/>
      </c>
      <c r="H353" s="34" t="str">
        <f aca="false">IF($B353="","",IFERROR(INDEX(CM_QTD,MATCH($B353,CM_ID,0)),""))</f>
        <v/>
      </c>
      <c r="I353" s="35" t="str">
        <f aca="false">IF($A353="","",$C353&amp;"/"&amp;$H353)</f>
        <v/>
      </c>
      <c r="J353" s="35" t="str">
        <f aca="false">IF($A353="","",IF($C353&lt;=IFERROR(INDEX(CM_PAGASANTES,MATCH($B353,CM_ID,0)),0),"SIM","NAO"))</f>
        <v/>
      </c>
      <c r="K353" s="36" t="n">
        <f aca="false">IF($A353="",0,SUMIFS(L_Valor,L_ParcID,$A353,L_Status,"REALIZADO"))</f>
        <v>0</v>
      </c>
      <c r="L353" s="38" t="str">
        <f aca="false">IF($A353="","",IFERROR(INDEX(L_Data,MATCH(1,INDEX((L_ParcID=$A353)*(L_Status="REALIZADO"),0),0)),""))</f>
        <v/>
      </c>
      <c r="M353" s="34" t="n">
        <f aca="false">IF($A353="",0,COUNTIFS(L_ParcID,$A353,L_Status,"REALIZADO"))</f>
        <v>0</v>
      </c>
      <c r="N353" s="34" t="n">
        <f aca="false">IF($A353="",0,COUNTIFS(L_ParcID,$A353,L_Status,"PROJETADO"))</f>
        <v>0</v>
      </c>
      <c r="O353" s="35" t="str">
        <f aca="false">IF($A353="","",IF($J353="SIM","PAGA",IF($M353&gt;0,"PAGA",IF($D353&lt;CFG_HOJE,"ATRASADA",IF($D353&lt;=EOMONTH(CFG_HOJE,0),"ABERTA","PROJETADA")))))</f>
        <v/>
      </c>
      <c r="P353" s="34" t="n">
        <f aca="false">IF($O353="ATRASADA",CFG_HOJE-$D353,0)</f>
        <v>0</v>
      </c>
      <c r="Q353" s="36" t="n">
        <f aca="false">IF($A353="",0,IF(AND($O353="PAGA",$J353="NAO"),$K353-$E353,0))</f>
        <v>0</v>
      </c>
    </row>
    <row r="354" customFormat="false" ht="15" hidden="false" customHeight="false" outlineLevel="0" collapsed="false">
      <c r="A354" s="30" t="str">
        <f aca="false">IF($B354="","","PAR-"&amp;TEXT(ROW()-4,"000000"))</f>
        <v/>
      </c>
      <c r="B354" s="32"/>
      <c r="C354" s="37"/>
      <c r="D354" s="31"/>
      <c r="E354" s="33"/>
      <c r="F354" s="32"/>
      <c r="G354" s="35" t="str">
        <f aca="false">IF($B354="","",IFERROR(INDEX(CM_NOME,MATCH($B354,CM_ID,0)),"?"))</f>
        <v/>
      </c>
      <c r="H354" s="34" t="str">
        <f aca="false">IF($B354="","",IFERROR(INDEX(CM_QTD,MATCH($B354,CM_ID,0)),""))</f>
        <v/>
      </c>
      <c r="I354" s="35" t="str">
        <f aca="false">IF($A354="","",$C354&amp;"/"&amp;$H354)</f>
        <v/>
      </c>
      <c r="J354" s="35" t="str">
        <f aca="false">IF($A354="","",IF($C354&lt;=IFERROR(INDEX(CM_PAGASANTES,MATCH($B354,CM_ID,0)),0),"SIM","NAO"))</f>
        <v/>
      </c>
      <c r="K354" s="36" t="n">
        <f aca="false">IF($A354="",0,SUMIFS(L_Valor,L_ParcID,$A354,L_Status,"REALIZADO"))</f>
        <v>0</v>
      </c>
      <c r="L354" s="38" t="str">
        <f aca="false">IF($A354="","",IFERROR(INDEX(L_Data,MATCH(1,INDEX((L_ParcID=$A354)*(L_Status="REALIZADO"),0),0)),""))</f>
        <v/>
      </c>
      <c r="M354" s="34" t="n">
        <f aca="false">IF($A354="",0,COUNTIFS(L_ParcID,$A354,L_Status,"REALIZADO"))</f>
        <v>0</v>
      </c>
      <c r="N354" s="34" t="n">
        <f aca="false">IF($A354="",0,COUNTIFS(L_ParcID,$A354,L_Status,"PROJETADO"))</f>
        <v>0</v>
      </c>
      <c r="O354" s="35" t="str">
        <f aca="false">IF($A354="","",IF($J354="SIM","PAGA",IF($M354&gt;0,"PAGA",IF($D354&lt;CFG_HOJE,"ATRASADA",IF($D354&lt;=EOMONTH(CFG_HOJE,0),"ABERTA","PROJETADA")))))</f>
        <v/>
      </c>
      <c r="P354" s="34" t="n">
        <f aca="false">IF($O354="ATRASADA",CFG_HOJE-$D354,0)</f>
        <v>0</v>
      </c>
      <c r="Q354" s="36" t="n">
        <f aca="false">IF($A354="",0,IF(AND($O354="PAGA",$J354="NAO"),$K354-$E354,0))</f>
        <v>0</v>
      </c>
    </row>
    <row r="355" customFormat="false" ht="15" hidden="false" customHeight="false" outlineLevel="0" collapsed="false">
      <c r="A355" s="30" t="str">
        <f aca="false">IF($B355="","","PAR-"&amp;TEXT(ROW()-4,"000000"))</f>
        <v/>
      </c>
      <c r="B355" s="32"/>
      <c r="C355" s="37"/>
      <c r="D355" s="31"/>
      <c r="E355" s="33"/>
      <c r="F355" s="32"/>
      <c r="G355" s="35" t="str">
        <f aca="false">IF($B355="","",IFERROR(INDEX(CM_NOME,MATCH($B355,CM_ID,0)),"?"))</f>
        <v/>
      </c>
      <c r="H355" s="34" t="str">
        <f aca="false">IF($B355="","",IFERROR(INDEX(CM_QTD,MATCH($B355,CM_ID,0)),""))</f>
        <v/>
      </c>
      <c r="I355" s="35" t="str">
        <f aca="false">IF($A355="","",$C355&amp;"/"&amp;$H355)</f>
        <v/>
      </c>
      <c r="J355" s="35" t="str">
        <f aca="false">IF($A355="","",IF($C355&lt;=IFERROR(INDEX(CM_PAGASANTES,MATCH($B355,CM_ID,0)),0),"SIM","NAO"))</f>
        <v/>
      </c>
      <c r="K355" s="36" t="n">
        <f aca="false">IF($A355="",0,SUMIFS(L_Valor,L_ParcID,$A355,L_Status,"REALIZADO"))</f>
        <v>0</v>
      </c>
      <c r="L355" s="38" t="str">
        <f aca="false">IF($A355="","",IFERROR(INDEX(L_Data,MATCH(1,INDEX((L_ParcID=$A355)*(L_Status="REALIZADO"),0),0)),""))</f>
        <v/>
      </c>
      <c r="M355" s="34" t="n">
        <f aca="false">IF($A355="",0,COUNTIFS(L_ParcID,$A355,L_Status,"REALIZADO"))</f>
        <v>0</v>
      </c>
      <c r="N355" s="34" t="n">
        <f aca="false">IF($A355="",0,COUNTIFS(L_ParcID,$A355,L_Status,"PROJETADO"))</f>
        <v>0</v>
      </c>
      <c r="O355" s="35" t="str">
        <f aca="false">IF($A355="","",IF($J355="SIM","PAGA",IF($M355&gt;0,"PAGA",IF($D355&lt;CFG_HOJE,"ATRASADA",IF($D355&lt;=EOMONTH(CFG_HOJE,0),"ABERTA","PROJETADA")))))</f>
        <v/>
      </c>
      <c r="P355" s="34" t="n">
        <f aca="false">IF($O355="ATRASADA",CFG_HOJE-$D355,0)</f>
        <v>0</v>
      </c>
      <c r="Q355" s="36" t="n">
        <f aca="false">IF($A355="",0,IF(AND($O355="PAGA",$J355="NAO"),$K355-$E355,0))</f>
        <v>0</v>
      </c>
    </row>
    <row r="356" customFormat="false" ht="15" hidden="false" customHeight="false" outlineLevel="0" collapsed="false">
      <c r="A356" s="30" t="str">
        <f aca="false">IF($B356="","","PAR-"&amp;TEXT(ROW()-4,"000000"))</f>
        <v/>
      </c>
      <c r="B356" s="32"/>
      <c r="C356" s="37"/>
      <c r="D356" s="31"/>
      <c r="E356" s="33"/>
      <c r="F356" s="32"/>
      <c r="G356" s="35" t="str">
        <f aca="false">IF($B356="","",IFERROR(INDEX(CM_NOME,MATCH($B356,CM_ID,0)),"?"))</f>
        <v/>
      </c>
      <c r="H356" s="34" t="str">
        <f aca="false">IF($B356="","",IFERROR(INDEX(CM_QTD,MATCH($B356,CM_ID,0)),""))</f>
        <v/>
      </c>
      <c r="I356" s="35" t="str">
        <f aca="false">IF($A356="","",$C356&amp;"/"&amp;$H356)</f>
        <v/>
      </c>
      <c r="J356" s="35" t="str">
        <f aca="false">IF($A356="","",IF($C356&lt;=IFERROR(INDEX(CM_PAGASANTES,MATCH($B356,CM_ID,0)),0),"SIM","NAO"))</f>
        <v/>
      </c>
      <c r="K356" s="36" t="n">
        <f aca="false">IF($A356="",0,SUMIFS(L_Valor,L_ParcID,$A356,L_Status,"REALIZADO"))</f>
        <v>0</v>
      </c>
      <c r="L356" s="38" t="str">
        <f aca="false">IF($A356="","",IFERROR(INDEX(L_Data,MATCH(1,INDEX((L_ParcID=$A356)*(L_Status="REALIZADO"),0),0)),""))</f>
        <v/>
      </c>
      <c r="M356" s="34" t="n">
        <f aca="false">IF($A356="",0,COUNTIFS(L_ParcID,$A356,L_Status,"REALIZADO"))</f>
        <v>0</v>
      </c>
      <c r="N356" s="34" t="n">
        <f aca="false">IF($A356="",0,COUNTIFS(L_ParcID,$A356,L_Status,"PROJETADO"))</f>
        <v>0</v>
      </c>
      <c r="O356" s="35" t="str">
        <f aca="false">IF($A356="","",IF($J356="SIM","PAGA",IF($M356&gt;0,"PAGA",IF($D356&lt;CFG_HOJE,"ATRASADA",IF($D356&lt;=EOMONTH(CFG_HOJE,0),"ABERTA","PROJETADA")))))</f>
        <v/>
      </c>
      <c r="P356" s="34" t="n">
        <f aca="false">IF($O356="ATRASADA",CFG_HOJE-$D356,0)</f>
        <v>0</v>
      </c>
      <c r="Q356" s="36" t="n">
        <f aca="false">IF($A356="",0,IF(AND($O356="PAGA",$J356="NAO"),$K356-$E356,0))</f>
        <v>0</v>
      </c>
    </row>
    <row r="357" customFormat="false" ht="15" hidden="false" customHeight="false" outlineLevel="0" collapsed="false">
      <c r="A357" s="30" t="str">
        <f aca="false">IF($B357="","","PAR-"&amp;TEXT(ROW()-4,"000000"))</f>
        <v/>
      </c>
      <c r="B357" s="32"/>
      <c r="C357" s="37"/>
      <c r="D357" s="31"/>
      <c r="E357" s="33"/>
      <c r="F357" s="32"/>
      <c r="G357" s="35" t="str">
        <f aca="false">IF($B357="","",IFERROR(INDEX(CM_NOME,MATCH($B357,CM_ID,0)),"?"))</f>
        <v/>
      </c>
      <c r="H357" s="34" t="str">
        <f aca="false">IF($B357="","",IFERROR(INDEX(CM_QTD,MATCH($B357,CM_ID,0)),""))</f>
        <v/>
      </c>
      <c r="I357" s="35" t="str">
        <f aca="false">IF($A357="","",$C357&amp;"/"&amp;$H357)</f>
        <v/>
      </c>
      <c r="J357" s="35" t="str">
        <f aca="false">IF($A357="","",IF($C357&lt;=IFERROR(INDEX(CM_PAGASANTES,MATCH($B357,CM_ID,0)),0),"SIM","NAO"))</f>
        <v/>
      </c>
      <c r="K357" s="36" t="n">
        <f aca="false">IF($A357="",0,SUMIFS(L_Valor,L_ParcID,$A357,L_Status,"REALIZADO"))</f>
        <v>0</v>
      </c>
      <c r="L357" s="38" t="str">
        <f aca="false">IF($A357="","",IFERROR(INDEX(L_Data,MATCH(1,INDEX((L_ParcID=$A357)*(L_Status="REALIZADO"),0),0)),""))</f>
        <v/>
      </c>
      <c r="M357" s="34" t="n">
        <f aca="false">IF($A357="",0,COUNTIFS(L_ParcID,$A357,L_Status,"REALIZADO"))</f>
        <v>0</v>
      </c>
      <c r="N357" s="34" t="n">
        <f aca="false">IF($A357="",0,COUNTIFS(L_ParcID,$A357,L_Status,"PROJETADO"))</f>
        <v>0</v>
      </c>
      <c r="O357" s="35" t="str">
        <f aca="false">IF($A357="","",IF($J357="SIM","PAGA",IF($M357&gt;0,"PAGA",IF($D357&lt;CFG_HOJE,"ATRASADA",IF($D357&lt;=EOMONTH(CFG_HOJE,0),"ABERTA","PROJETADA")))))</f>
        <v/>
      </c>
      <c r="P357" s="34" t="n">
        <f aca="false">IF($O357="ATRASADA",CFG_HOJE-$D357,0)</f>
        <v>0</v>
      </c>
      <c r="Q357" s="36" t="n">
        <f aca="false">IF($A357="",0,IF(AND($O357="PAGA",$J357="NAO"),$K357-$E357,0))</f>
        <v>0</v>
      </c>
    </row>
    <row r="358" customFormat="false" ht="15" hidden="false" customHeight="false" outlineLevel="0" collapsed="false">
      <c r="A358" s="30" t="str">
        <f aca="false">IF($B358="","","PAR-"&amp;TEXT(ROW()-4,"000000"))</f>
        <v/>
      </c>
      <c r="B358" s="32"/>
      <c r="C358" s="37"/>
      <c r="D358" s="31"/>
      <c r="E358" s="33"/>
      <c r="F358" s="32"/>
      <c r="G358" s="35" t="str">
        <f aca="false">IF($B358="","",IFERROR(INDEX(CM_NOME,MATCH($B358,CM_ID,0)),"?"))</f>
        <v/>
      </c>
      <c r="H358" s="34" t="str">
        <f aca="false">IF($B358="","",IFERROR(INDEX(CM_QTD,MATCH($B358,CM_ID,0)),""))</f>
        <v/>
      </c>
      <c r="I358" s="35" t="str">
        <f aca="false">IF($A358="","",$C358&amp;"/"&amp;$H358)</f>
        <v/>
      </c>
      <c r="J358" s="35" t="str">
        <f aca="false">IF($A358="","",IF($C358&lt;=IFERROR(INDEX(CM_PAGASANTES,MATCH($B358,CM_ID,0)),0),"SIM","NAO"))</f>
        <v/>
      </c>
      <c r="K358" s="36" t="n">
        <f aca="false">IF($A358="",0,SUMIFS(L_Valor,L_ParcID,$A358,L_Status,"REALIZADO"))</f>
        <v>0</v>
      </c>
      <c r="L358" s="38" t="str">
        <f aca="false">IF($A358="","",IFERROR(INDEX(L_Data,MATCH(1,INDEX((L_ParcID=$A358)*(L_Status="REALIZADO"),0),0)),""))</f>
        <v/>
      </c>
      <c r="M358" s="34" t="n">
        <f aca="false">IF($A358="",0,COUNTIFS(L_ParcID,$A358,L_Status,"REALIZADO"))</f>
        <v>0</v>
      </c>
      <c r="N358" s="34" t="n">
        <f aca="false">IF($A358="",0,COUNTIFS(L_ParcID,$A358,L_Status,"PROJETADO"))</f>
        <v>0</v>
      </c>
      <c r="O358" s="35" t="str">
        <f aca="false">IF($A358="","",IF($J358="SIM","PAGA",IF($M358&gt;0,"PAGA",IF($D358&lt;CFG_HOJE,"ATRASADA",IF($D358&lt;=EOMONTH(CFG_HOJE,0),"ABERTA","PROJETADA")))))</f>
        <v/>
      </c>
      <c r="P358" s="34" t="n">
        <f aca="false">IF($O358="ATRASADA",CFG_HOJE-$D358,0)</f>
        <v>0</v>
      </c>
      <c r="Q358" s="36" t="n">
        <f aca="false">IF($A358="",0,IF(AND($O358="PAGA",$J358="NAO"),$K358-$E358,0))</f>
        <v>0</v>
      </c>
    </row>
    <row r="359" customFormat="false" ht="15" hidden="false" customHeight="false" outlineLevel="0" collapsed="false">
      <c r="A359" s="30" t="str">
        <f aca="false">IF($B359="","","PAR-"&amp;TEXT(ROW()-4,"000000"))</f>
        <v/>
      </c>
      <c r="B359" s="32"/>
      <c r="C359" s="37"/>
      <c r="D359" s="31"/>
      <c r="E359" s="33"/>
      <c r="F359" s="32"/>
      <c r="G359" s="35" t="str">
        <f aca="false">IF($B359="","",IFERROR(INDEX(CM_NOME,MATCH($B359,CM_ID,0)),"?"))</f>
        <v/>
      </c>
      <c r="H359" s="34" t="str">
        <f aca="false">IF($B359="","",IFERROR(INDEX(CM_QTD,MATCH($B359,CM_ID,0)),""))</f>
        <v/>
      </c>
      <c r="I359" s="35" t="str">
        <f aca="false">IF($A359="","",$C359&amp;"/"&amp;$H359)</f>
        <v/>
      </c>
      <c r="J359" s="35" t="str">
        <f aca="false">IF($A359="","",IF($C359&lt;=IFERROR(INDEX(CM_PAGASANTES,MATCH($B359,CM_ID,0)),0),"SIM","NAO"))</f>
        <v/>
      </c>
      <c r="K359" s="36" t="n">
        <f aca="false">IF($A359="",0,SUMIFS(L_Valor,L_ParcID,$A359,L_Status,"REALIZADO"))</f>
        <v>0</v>
      </c>
      <c r="L359" s="38" t="str">
        <f aca="false">IF($A359="","",IFERROR(INDEX(L_Data,MATCH(1,INDEX((L_ParcID=$A359)*(L_Status="REALIZADO"),0),0)),""))</f>
        <v/>
      </c>
      <c r="M359" s="34" t="n">
        <f aca="false">IF($A359="",0,COUNTIFS(L_ParcID,$A359,L_Status,"REALIZADO"))</f>
        <v>0</v>
      </c>
      <c r="N359" s="34" t="n">
        <f aca="false">IF($A359="",0,COUNTIFS(L_ParcID,$A359,L_Status,"PROJETADO"))</f>
        <v>0</v>
      </c>
      <c r="O359" s="35" t="str">
        <f aca="false">IF($A359="","",IF($J359="SIM","PAGA",IF($M359&gt;0,"PAGA",IF($D359&lt;CFG_HOJE,"ATRASADA",IF($D359&lt;=EOMONTH(CFG_HOJE,0),"ABERTA","PROJETADA")))))</f>
        <v/>
      </c>
      <c r="P359" s="34" t="n">
        <f aca="false">IF($O359="ATRASADA",CFG_HOJE-$D359,0)</f>
        <v>0</v>
      </c>
      <c r="Q359" s="36" t="n">
        <f aca="false">IF($A359="",0,IF(AND($O359="PAGA",$J359="NAO"),$K359-$E359,0))</f>
        <v>0</v>
      </c>
    </row>
    <row r="360" customFormat="false" ht="15" hidden="false" customHeight="false" outlineLevel="0" collapsed="false">
      <c r="A360" s="30" t="str">
        <f aca="false">IF($B360="","","PAR-"&amp;TEXT(ROW()-4,"000000"))</f>
        <v/>
      </c>
      <c r="B360" s="32"/>
      <c r="C360" s="37"/>
      <c r="D360" s="31"/>
      <c r="E360" s="33"/>
      <c r="F360" s="32"/>
      <c r="G360" s="35" t="str">
        <f aca="false">IF($B360="","",IFERROR(INDEX(CM_NOME,MATCH($B360,CM_ID,0)),"?"))</f>
        <v/>
      </c>
      <c r="H360" s="34" t="str">
        <f aca="false">IF($B360="","",IFERROR(INDEX(CM_QTD,MATCH($B360,CM_ID,0)),""))</f>
        <v/>
      </c>
      <c r="I360" s="35" t="str">
        <f aca="false">IF($A360="","",$C360&amp;"/"&amp;$H360)</f>
        <v/>
      </c>
      <c r="J360" s="35" t="str">
        <f aca="false">IF($A360="","",IF($C360&lt;=IFERROR(INDEX(CM_PAGASANTES,MATCH($B360,CM_ID,0)),0),"SIM","NAO"))</f>
        <v/>
      </c>
      <c r="K360" s="36" t="n">
        <f aca="false">IF($A360="",0,SUMIFS(L_Valor,L_ParcID,$A360,L_Status,"REALIZADO"))</f>
        <v>0</v>
      </c>
      <c r="L360" s="38" t="str">
        <f aca="false">IF($A360="","",IFERROR(INDEX(L_Data,MATCH(1,INDEX((L_ParcID=$A360)*(L_Status="REALIZADO"),0),0)),""))</f>
        <v/>
      </c>
      <c r="M360" s="34" t="n">
        <f aca="false">IF($A360="",0,COUNTIFS(L_ParcID,$A360,L_Status,"REALIZADO"))</f>
        <v>0</v>
      </c>
      <c r="N360" s="34" t="n">
        <f aca="false">IF($A360="",0,COUNTIFS(L_ParcID,$A360,L_Status,"PROJETADO"))</f>
        <v>0</v>
      </c>
      <c r="O360" s="35" t="str">
        <f aca="false">IF($A360="","",IF($J360="SIM","PAGA",IF($M360&gt;0,"PAGA",IF($D360&lt;CFG_HOJE,"ATRASADA",IF($D360&lt;=EOMONTH(CFG_HOJE,0),"ABERTA","PROJETADA")))))</f>
        <v/>
      </c>
      <c r="P360" s="34" t="n">
        <f aca="false">IF($O360="ATRASADA",CFG_HOJE-$D360,0)</f>
        <v>0</v>
      </c>
      <c r="Q360" s="36" t="n">
        <f aca="false">IF($A360="",0,IF(AND($O360="PAGA",$J360="NAO"),$K360-$E360,0))</f>
        <v>0</v>
      </c>
    </row>
    <row r="361" customFormat="false" ht="15" hidden="false" customHeight="false" outlineLevel="0" collapsed="false">
      <c r="A361" s="30" t="str">
        <f aca="false">IF($B361="","","PAR-"&amp;TEXT(ROW()-4,"000000"))</f>
        <v/>
      </c>
      <c r="B361" s="32"/>
      <c r="C361" s="37"/>
      <c r="D361" s="31"/>
      <c r="E361" s="33"/>
      <c r="F361" s="32"/>
      <c r="G361" s="35" t="str">
        <f aca="false">IF($B361="","",IFERROR(INDEX(CM_NOME,MATCH($B361,CM_ID,0)),"?"))</f>
        <v/>
      </c>
      <c r="H361" s="34" t="str">
        <f aca="false">IF($B361="","",IFERROR(INDEX(CM_QTD,MATCH($B361,CM_ID,0)),""))</f>
        <v/>
      </c>
      <c r="I361" s="35" t="str">
        <f aca="false">IF($A361="","",$C361&amp;"/"&amp;$H361)</f>
        <v/>
      </c>
      <c r="J361" s="35" t="str">
        <f aca="false">IF($A361="","",IF($C361&lt;=IFERROR(INDEX(CM_PAGASANTES,MATCH($B361,CM_ID,0)),0),"SIM","NAO"))</f>
        <v/>
      </c>
      <c r="K361" s="36" t="n">
        <f aca="false">IF($A361="",0,SUMIFS(L_Valor,L_ParcID,$A361,L_Status,"REALIZADO"))</f>
        <v>0</v>
      </c>
      <c r="L361" s="38" t="str">
        <f aca="false">IF($A361="","",IFERROR(INDEX(L_Data,MATCH(1,INDEX((L_ParcID=$A361)*(L_Status="REALIZADO"),0),0)),""))</f>
        <v/>
      </c>
      <c r="M361" s="34" t="n">
        <f aca="false">IF($A361="",0,COUNTIFS(L_ParcID,$A361,L_Status,"REALIZADO"))</f>
        <v>0</v>
      </c>
      <c r="N361" s="34" t="n">
        <f aca="false">IF($A361="",0,COUNTIFS(L_ParcID,$A361,L_Status,"PROJETADO"))</f>
        <v>0</v>
      </c>
      <c r="O361" s="35" t="str">
        <f aca="false">IF($A361="","",IF($J361="SIM","PAGA",IF($M361&gt;0,"PAGA",IF($D361&lt;CFG_HOJE,"ATRASADA",IF($D361&lt;=EOMONTH(CFG_HOJE,0),"ABERTA","PROJETADA")))))</f>
        <v/>
      </c>
      <c r="P361" s="34" t="n">
        <f aca="false">IF($O361="ATRASADA",CFG_HOJE-$D361,0)</f>
        <v>0</v>
      </c>
      <c r="Q361" s="36" t="n">
        <f aca="false">IF($A361="",0,IF(AND($O361="PAGA",$J361="NAO"),$K361-$E361,0))</f>
        <v>0</v>
      </c>
    </row>
    <row r="362" customFormat="false" ht="15" hidden="false" customHeight="false" outlineLevel="0" collapsed="false">
      <c r="A362" s="30" t="str">
        <f aca="false">IF($B362="","","PAR-"&amp;TEXT(ROW()-4,"000000"))</f>
        <v/>
      </c>
      <c r="B362" s="32"/>
      <c r="C362" s="37"/>
      <c r="D362" s="31"/>
      <c r="E362" s="33"/>
      <c r="F362" s="32"/>
      <c r="G362" s="35" t="str">
        <f aca="false">IF($B362="","",IFERROR(INDEX(CM_NOME,MATCH($B362,CM_ID,0)),"?"))</f>
        <v/>
      </c>
      <c r="H362" s="34" t="str">
        <f aca="false">IF($B362="","",IFERROR(INDEX(CM_QTD,MATCH($B362,CM_ID,0)),""))</f>
        <v/>
      </c>
      <c r="I362" s="35" t="str">
        <f aca="false">IF($A362="","",$C362&amp;"/"&amp;$H362)</f>
        <v/>
      </c>
      <c r="J362" s="35" t="str">
        <f aca="false">IF($A362="","",IF($C362&lt;=IFERROR(INDEX(CM_PAGASANTES,MATCH($B362,CM_ID,0)),0),"SIM","NAO"))</f>
        <v/>
      </c>
      <c r="K362" s="36" t="n">
        <f aca="false">IF($A362="",0,SUMIFS(L_Valor,L_ParcID,$A362,L_Status,"REALIZADO"))</f>
        <v>0</v>
      </c>
      <c r="L362" s="38" t="str">
        <f aca="false">IF($A362="","",IFERROR(INDEX(L_Data,MATCH(1,INDEX((L_ParcID=$A362)*(L_Status="REALIZADO"),0),0)),""))</f>
        <v/>
      </c>
      <c r="M362" s="34" t="n">
        <f aca="false">IF($A362="",0,COUNTIFS(L_ParcID,$A362,L_Status,"REALIZADO"))</f>
        <v>0</v>
      </c>
      <c r="N362" s="34" t="n">
        <f aca="false">IF($A362="",0,COUNTIFS(L_ParcID,$A362,L_Status,"PROJETADO"))</f>
        <v>0</v>
      </c>
      <c r="O362" s="35" t="str">
        <f aca="false">IF($A362="","",IF($J362="SIM","PAGA",IF($M362&gt;0,"PAGA",IF($D362&lt;CFG_HOJE,"ATRASADA",IF($D362&lt;=EOMONTH(CFG_HOJE,0),"ABERTA","PROJETADA")))))</f>
        <v/>
      </c>
      <c r="P362" s="34" t="n">
        <f aca="false">IF($O362="ATRASADA",CFG_HOJE-$D362,0)</f>
        <v>0</v>
      </c>
      <c r="Q362" s="36" t="n">
        <f aca="false">IF($A362="",0,IF(AND($O362="PAGA",$J362="NAO"),$K362-$E362,0))</f>
        <v>0</v>
      </c>
    </row>
    <row r="363" customFormat="false" ht="15" hidden="false" customHeight="false" outlineLevel="0" collapsed="false">
      <c r="A363" s="30" t="str">
        <f aca="false">IF($B363="","","PAR-"&amp;TEXT(ROW()-4,"000000"))</f>
        <v/>
      </c>
      <c r="B363" s="32"/>
      <c r="C363" s="37"/>
      <c r="D363" s="31"/>
      <c r="E363" s="33"/>
      <c r="F363" s="32"/>
      <c r="G363" s="35" t="str">
        <f aca="false">IF($B363="","",IFERROR(INDEX(CM_NOME,MATCH($B363,CM_ID,0)),"?"))</f>
        <v/>
      </c>
      <c r="H363" s="34" t="str">
        <f aca="false">IF($B363="","",IFERROR(INDEX(CM_QTD,MATCH($B363,CM_ID,0)),""))</f>
        <v/>
      </c>
      <c r="I363" s="35" t="str">
        <f aca="false">IF($A363="","",$C363&amp;"/"&amp;$H363)</f>
        <v/>
      </c>
      <c r="J363" s="35" t="str">
        <f aca="false">IF($A363="","",IF($C363&lt;=IFERROR(INDEX(CM_PAGASANTES,MATCH($B363,CM_ID,0)),0),"SIM","NAO"))</f>
        <v/>
      </c>
      <c r="K363" s="36" t="n">
        <f aca="false">IF($A363="",0,SUMIFS(L_Valor,L_ParcID,$A363,L_Status,"REALIZADO"))</f>
        <v>0</v>
      </c>
      <c r="L363" s="38" t="str">
        <f aca="false">IF($A363="","",IFERROR(INDEX(L_Data,MATCH(1,INDEX((L_ParcID=$A363)*(L_Status="REALIZADO"),0),0)),""))</f>
        <v/>
      </c>
      <c r="M363" s="34" t="n">
        <f aca="false">IF($A363="",0,COUNTIFS(L_ParcID,$A363,L_Status,"REALIZADO"))</f>
        <v>0</v>
      </c>
      <c r="N363" s="34" t="n">
        <f aca="false">IF($A363="",0,COUNTIFS(L_ParcID,$A363,L_Status,"PROJETADO"))</f>
        <v>0</v>
      </c>
      <c r="O363" s="35" t="str">
        <f aca="false">IF($A363="","",IF($J363="SIM","PAGA",IF($M363&gt;0,"PAGA",IF($D363&lt;CFG_HOJE,"ATRASADA",IF($D363&lt;=EOMONTH(CFG_HOJE,0),"ABERTA","PROJETADA")))))</f>
        <v/>
      </c>
      <c r="P363" s="34" t="n">
        <f aca="false">IF($O363="ATRASADA",CFG_HOJE-$D363,0)</f>
        <v>0</v>
      </c>
      <c r="Q363" s="36" t="n">
        <f aca="false">IF($A363="",0,IF(AND($O363="PAGA",$J363="NAO"),$K363-$E363,0))</f>
        <v>0</v>
      </c>
    </row>
    <row r="364" customFormat="false" ht="15" hidden="false" customHeight="false" outlineLevel="0" collapsed="false">
      <c r="A364" s="30" t="str">
        <f aca="false">IF($B364="","","PAR-"&amp;TEXT(ROW()-4,"000000"))</f>
        <v/>
      </c>
      <c r="B364" s="32"/>
      <c r="C364" s="37"/>
      <c r="D364" s="31"/>
      <c r="E364" s="33"/>
      <c r="F364" s="32"/>
      <c r="G364" s="35" t="str">
        <f aca="false">IF($B364="","",IFERROR(INDEX(CM_NOME,MATCH($B364,CM_ID,0)),"?"))</f>
        <v/>
      </c>
      <c r="H364" s="34" t="str">
        <f aca="false">IF($B364="","",IFERROR(INDEX(CM_QTD,MATCH($B364,CM_ID,0)),""))</f>
        <v/>
      </c>
      <c r="I364" s="35" t="str">
        <f aca="false">IF($A364="","",$C364&amp;"/"&amp;$H364)</f>
        <v/>
      </c>
      <c r="J364" s="35" t="str">
        <f aca="false">IF($A364="","",IF($C364&lt;=IFERROR(INDEX(CM_PAGASANTES,MATCH($B364,CM_ID,0)),0),"SIM","NAO"))</f>
        <v/>
      </c>
      <c r="K364" s="36" t="n">
        <f aca="false">IF($A364="",0,SUMIFS(L_Valor,L_ParcID,$A364,L_Status,"REALIZADO"))</f>
        <v>0</v>
      </c>
      <c r="L364" s="38" t="str">
        <f aca="false">IF($A364="","",IFERROR(INDEX(L_Data,MATCH(1,INDEX((L_ParcID=$A364)*(L_Status="REALIZADO"),0),0)),""))</f>
        <v/>
      </c>
      <c r="M364" s="34" t="n">
        <f aca="false">IF($A364="",0,COUNTIFS(L_ParcID,$A364,L_Status,"REALIZADO"))</f>
        <v>0</v>
      </c>
      <c r="N364" s="34" t="n">
        <f aca="false">IF($A364="",0,COUNTIFS(L_ParcID,$A364,L_Status,"PROJETADO"))</f>
        <v>0</v>
      </c>
      <c r="O364" s="35" t="str">
        <f aca="false">IF($A364="","",IF($J364="SIM","PAGA",IF($M364&gt;0,"PAGA",IF($D364&lt;CFG_HOJE,"ATRASADA",IF($D364&lt;=EOMONTH(CFG_HOJE,0),"ABERTA","PROJETADA")))))</f>
        <v/>
      </c>
      <c r="P364" s="34" t="n">
        <f aca="false">IF($O364="ATRASADA",CFG_HOJE-$D364,0)</f>
        <v>0</v>
      </c>
      <c r="Q364" s="36" t="n">
        <f aca="false">IF($A364="",0,IF(AND($O364="PAGA",$J364="NAO"),$K364-$E364,0))</f>
        <v>0</v>
      </c>
    </row>
    <row r="365" customFormat="false" ht="15" hidden="false" customHeight="false" outlineLevel="0" collapsed="false">
      <c r="A365" s="30" t="str">
        <f aca="false">IF($B365="","","PAR-"&amp;TEXT(ROW()-4,"000000"))</f>
        <v/>
      </c>
      <c r="B365" s="32"/>
      <c r="C365" s="37"/>
      <c r="D365" s="31"/>
      <c r="E365" s="33"/>
      <c r="F365" s="32"/>
      <c r="G365" s="35" t="str">
        <f aca="false">IF($B365="","",IFERROR(INDEX(CM_NOME,MATCH($B365,CM_ID,0)),"?"))</f>
        <v/>
      </c>
      <c r="H365" s="34" t="str">
        <f aca="false">IF($B365="","",IFERROR(INDEX(CM_QTD,MATCH($B365,CM_ID,0)),""))</f>
        <v/>
      </c>
      <c r="I365" s="35" t="str">
        <f aca="false">IF($A365="","",$C365&amp;"/"&amp;$H365)</f>
        <v/>
      </c>
      <c r="J365" s="35" t="str">
        <f aca="false">IF($A365="","",IF($C365&lt;=IFERROR(INDEX(CM_PAGASANTES,MATCH($B365,CM_ID,0)),0),"SIM","NAO"))</f>
        <v/>
      </c>
      <c r="K365" s="36" t="n">
        <f aca="false">IF($A365="",0,SUMIFS(L_Valor,L_ParcID,$A365,L_Status,"REALIZADO"))</f>
        <v>0</v>
      </c>
      <c r="L365" s="38" t="str">
        <f aca="false">IF($A365="","",IFERROR(INDEX(L_Data,MATCH(1,INDEX((L_ParcID=$A365)*(L_Status="REALIZADO"),0),0)),""))</f>
        <v/>
      </c>
      <c r="M365" s="34" t="n">
        <f aca="false">IF($A365="",0,COUNTIFS(L_ParcID,$A365,L_Status,"REALIZADO"))</f>
        <v>0</v>
      </c>
      <c r="N365" s="34" t="n">
        <f aca="false">IF($A365="",0,COUNTIFS(L_ParcID,$A365,L_Status,"PROJETADO"))</f>
        <v>0</v>
      </c>
      <c r="O365" s="35" t="str">
        <f aca="false">IF($A365="","",IF($J365="SIM","PAGA",IF($M365&gt;0,"PAGA",IF($D365&lt;CFG_HOJE,"ATRASADA",IF($D365&lt;=EOMONTH(CFG_HOJE,0),"ABERTA","PROJETADA")))))</f>
        <v/>
      </c>
      <c r="P365" s="34" t="n">
        <f aca="false">IF($O365="ATRASADA",CFG_HOJE-$D365,0)</f>
        <v>0</v>
      </c>
      <c r="Q365" s="36" t="n">
        <f aca="false">IF($A365="",0,IF(AND($O365="PAGA",$J365="NAO"),$K365-$E365,0))</f>
        <v>0</v>
      </c>
    </row>
    <row r="366" customFormat="false" ht="15" hidden="false" customHeight="false" outlineLevel="0" collapsed="false">
      <c r="A366" s="30" t="str">
        <f aca="false">IF($B366="","","PAR-"&amp;TEXT(ROW()-4,"000000"))</f>
        <v/>
      </c>
      <c r="B366" s="32"/>
      <c r="C366" s="37"/>
      <c r="D366" s="31"/>
      <c r="E366" s="33"/>
      <c r="F366" s="32"/>
      <c r="G366" s="35" t="str">
        <f aca="false">IF($B366="","",IFERROR(INDEX(CM_NOME,MATCH($B366,CM_ID,0)),"?"))</f>
        <v/>
      </c>
      <c r="H366" s="34" t="str">
        <f aca="false">IF($B366="","",IFERROR(INDEX(CM_QTD,MATCH($B366,CM_ID,0)),""))</f>
        <v/>
      </c>
      <c r="I366" s="35" t="str">
        <f aca="false">IF($A366="","",$C366&amp;"/"&amp;$H366)</f>
        <v/>
      </c>
      <c r="J366" s="35" t="str">
        <f aca="false">IF($A366="","",IF($C366&lt;=IFERROR(INDEX(CM_PAGASANTES,MATCH($B366,CM_ID,0)),0),"SIM","NAO"))</f>
        <v/>
      </c>
      <c r="K366" s="36" t="n">
        <f aca="false">IF($A366="",0,SUMIFS(L_Valor,L_ParcID,$A366,L_Status,"REALIZADO"))</f>
        <v>0</v>
      </c>
      <c r="L366" s="38" t="str">
        <f aca="false">IF($A366="","",IFERROR(INDEX(L_Data,MATCH(1,INDEX((L_ParcID=$A366)*(L_Status="REALIZADO"),0),0)),""))</f>
        <v/>
      </c>
      <c r="M366" s="34" t="n">
        <f aca="false">IF($A366="",0,COUNTIFS(L_ParcID,$A366,L_Status,"REALIZADO"))</f>
        <v>0</v>
      </c>
      <c r="N366" s="34" t="n">
        <f aca="false">IF($A366="",0,COUNTIFS(L_ParcID,$A366,L_Status,"PROJETADO"))</f>
        <v>0</v>
      </c>
      <c r="O366" s="35" t="str">
        <f aca="false">IF($A366="","",IF($J366="SIM","PAGA",IF($M366&gt;0,"PAGA",IF($D366&lt;CFG_HOJE,"ATRASADA",IF($D366&lt;=EOMONTH(CFG_HOJE,0),"ABERTA","PROJETADA")))))</f>
        <v/>
      </c>
      <c r="P366" s="34" t="n">
        <f aca="false">IF($O366="ATRASADA",CFG_HOJE-$D366,0)</f>
        <v>0</v>
      </c>
      <c r="Q366" s="36" t="n">
        <f aca="false">IF($A366="",0,IF(AND($O366="PAGA",$J366="NAO"),$K366-$E366,0))</f>
        <v>0</v>
      </c>
    </row>
    <row r="367" customFormat="false" ht="15" hidden="false" customHeight="false" outlineLevel="0" collapsed="false">
      <c r="A367" s="30" t="str">
        <f aca="false">IF($B367="","","PAR-"&amp;TEXT(ROW()-4,"000000"))</f>
        <v/>
      </c>
      <c r="B367" s="32"/>
      <c r="C367" s="37"/>
      <c r="D367" s="31"/>
      <c r="E367" s="33"/>
      <c r="F367" s="32"/>
      <c r="G367" s="35" t="str">
        <f aca="false">IF($B367="","",IFERROR(INDEX(CM_NOME,MATCH($B367,CM_ID,0)),"?"))</f>
        <v/>
      </c>
      <c r="H367" s="34" t="str">
        <f aca="false">IF($B367="","",IFERROR(INDEX(CM_QTD,MATCH($B367,CM_ID,0)),""))</f>
        <v/>
      </c>
      <c r="I367" s="35" t="str">
        <f aca="false">IF($A367="","",$C367&amp;"/"&amp;$H367)</f>
        <v/>
      </c>
      <c r="J367" s="35" t="str">
        <f aca="false">IF($A367="","",IF($C367&lt;=IFERROR(INDEX(CM_PAGASANTES,MATCH($B367,CM_ID,0)),0),"SIM","NAO"))</f>
        <v/>
      </c>
      <c r="K367" s="36" t="n">
        <f aca="false">IF($A367="",0,SUMIFS(L_Valor,L_ParcID,$A367,L_Status,"REALIZADO"))</f>
        <v>0</v>
      </c>
      <c r="L367" s="38" t="str">
        <f aca="false">IF($A367="","",IFERROR(INDEX(L_Data,MATCH(1,INDEX((L_ParcID=$A367)*(L_Status="REALIZADO"),0),0)),""))</f>
        <v/>
      </c>
      <c r="M367" s="34" t="n">
        <f aca="false">IF($A367="",0,COUNTIFS(L_ParcID,$A367,L_Status,"REALIZADO"))</f>
        <v>0</v>
      </c>
      <c r="N367" s="34" t="n">
        <f aca="false">IF($A367="",0,COUNTIFS(L_ParcID,$A367,L_Status,"PROJETADO"))</f>
        <v>0</v>
      </c>
      <c r="O367" s="35" t="str">
        <f aca="false">IF($A367="","",IF($J367="SIM","PAGA",IF($M367&gt;0,"PAGA",IF($D367&lt;CFG_HOJE,"ATRASADA",IF($D367&lt;=EOMONTH(CFG_HOJE,0),"ABERTA","PROJETADA")))))</f>
        <v/>
      </c>
      <c r="P367" s="34" t="n">
        <f aca="false">IF($O367="ATRASADA",CFG_HOJE-$D367,0)</f>
        <v>0</v>
      </c>
      <c r="Q367" s="36" t="n">
        <f aca="false">IF($A367="",0,IF(AND($O367="PAGA",$J367="NAO"),$K367-$E367,0))</f>
        <v>0</v>
      </c>
    </row>
    <row r="368" customFormat="false" ht="15" hidden="false" customHeight="false" outlineLevel="0" collapsed="false">
      <c r="A368" s="30" t="str">
        <f aca="false">IF($B368="","","PAR-"&amp;TEXT(ROW()-4,"000000"))</f>
        <v/>
      </c>
      <c r="B368" s="32"/>
      <c r="C368" s="37"/>
      <c r="D368" s="31"/>
      <c r="E368" s="33"/>
      <c r="F368" s="32"/>
      <c r="G368" s="35" t="str">
        <f aca="false">IF($B368="","",IFERROR(INDEX(CM_NOME,MATCH($B368,CM_ID,0)),"?"))</f>
        <v/>
      </c>
      <c r="H368" s="34" t="str">
        <f aca="false">IF($B368="","",IFERROR(INDEX(CM_QTD,MATCH($B368,CM_ID,0)),""))</f>
        <v/>
      </c>
      <c r="I368" s="35" t="str">
        <f aca="false">IF($A368="","",$C368&amp;"/"&amp;$H368)</f>
        <v/>
      </c>
      <c r="J368" s="35" t="str">
        <f aca="false">IF($A368="","",IF($C368&lt;=IFERROR(INDEX(CM_PAGASANTES,MATCH($B368,CM_ID,0)),0),"SIM","NAO"))</f>
        <v/>
      </c>
      <c r="K368" s="36" t="n">
        <f aca="false">IF($A368="",0,SUMIFS(L_Valor,L_ParcID,$A368,L_Status,"REALIZADO"))</f>
        <v>0</v>
      </c>
      <c r="L368" s="38" t="str">
        <f aca="false">IF($A368="","",IFERROR(INDEX(L_Data,MATCH(1,INDEX((L_ParcID=$A368)*(L_Status="REALIZADO"),0),0)),""))</f>
        <v/>
      </c>
      <c r="M368" s="34" t="n">
        <f aca="false">IF($A368="",0,COUNTIFS(L_ParcID,$A368,L_Status,"REALIZADO"))</f>
        <v>0</v>
      </c>
      <c r="N368" s="34" t="n">
        <f aca="false">IF($A368="",0,COUNTIFS(L_ParcID,$A368,L_Status,"PROJETADO"))</f>
        <v>0</v>
      </c>
      <c r="O368" s="35" t="str">
        <f aca="false">IF($A368="","",IF($J368="SIM","PAGA",IF($M368&gt;0,"PAGA",IF($D368&lt;CFG_HOJE,"ATRASADA",IF($D368&lt;=EOMONTH(CFG_HOJE,0),"ABERTA","PROJETADA")))))</f>
        <v/>
      </c>
      <c r="P368" s="34" t="n">
        <f aca="false">IF($O368="ATRASADA",CFG_HOJE-$D368,0)</f>
        <v>0</v>
      </c>
      <c r="Q368" s="36" t="n">
        <f aca="false">IF($A368="",0,IF(AND($O368="PAGA",$J368="NAO"),$K368-$E368,0))</f>
        <v>0</v>
      </c>
    </row>
    <row r="369" customFormat="false" ht="15" hidden="false" customHeight="false" outlineLevel="0" collapsed="false">
      <c r="A369" s="30" t="str">
        <f aca="false">IF($B369="","","PAR-"&amp;TEXT(ROW()-4,"000000"))</f>
        <v/>
      </c>
      <c r="B369" s="32"/>
      <c r="C369" s="37"/>
      <c r="D369" s="31"/>
      <c r="E369" s="33"/>
      <c r="F369" s="32"/>
      <c r="G369" s="35" t="str">
        <f aca="false">IF($B369="","",IFERROR(INDEX(CM_NOME,MATCH($B369,CM_ID,0)),"?"))</f>
        <v/>
      </c>
      <c r="H369" s="34" t="str">
        <f aca="false">IF($B369="","",IFERROR(INDEX(CM_QTD,MATCH($B369,CM_ID,0)),""))</f>
        <v/>
      </c>
      <c r="I369" s="35" t="str">
        <f aca="false">IF($A369="","",$C369&amp;"/"&amp;$H369)</f>
        <v/>
      </c>
      <c r="J369" s="35" t="str">
        <f aca="false">IF($A369="","",IF($C369&lt;=IFERROR(INDEX(CM_PAGASANTES,MATCH($B369,CM_ID,0)),0),"SIM","NAO"))</f>
        <v/>
      </c>
      <c r="K369" s="36" t="n">
        <f aca="false">IF($A369="",0,SUMIFS(L_Valor,L_ParcID,$A369,L_Status,"REALIZADO"))</f>
        <v>0</v>
      </c>
      <c r="L369" s="38" t="str">
        <f aca="false">IF($A369="","",IFERROR(INDEX(L_Data,MATCH(1,INDEX((L_ParcID=$A369)*(L_Status="REALIZADO"),0),0)),""))</f>
        <v/>
      </c>
      <c r="M369" s="34" t="n">
        <f aca="false">IF($A369="",0,COUNTIFS(L_ParcID,$A369,L_Status,"REALIZADO"))</f>
        <v>0</v>
      </c>
      <c r="N369" s="34" t="n">
        <f aca="false">IF($A369="",0,COUNTIFS(L_ParcID,$A369,L_Status,"PROJETADO"))</f>
        <v>0</v>
      </c>
      <c r="O369" s="35" t="str">
        <f aca="false">IF($A369="","",IF($J369="SIM","PAGA",IF($M369&gt;0,"PAGA",IF($D369&lt;CFG_HOJE,"ATRASADA",IF($D369&lt;=EOMONTH(CFG_HOJE,0),"ABERTA","PROJETADA")))))</f>
        <v/>
      </c>
      <c r="P369" s="34" t="n">
        <f aca="false">IF($O369="ATRASADA",CFG_HOJE-$D369,0)</f>
        <v>0</v>
      </c>
      <c r="Q369" s="36" t="n">
        <f aca="false">IF($A369="",0,IF(AND($O369="PAGA",$J369="NAO"),$K369-$E369,0))</f>
        <v>0</v>
      </c>
    </row>
    <row r="370" customFormat="false" ht="15" hidden="false" customHeight="false" outlineLevel="0" collapsed="false">
      <c r="A370" s="30" t="str">
        <f aca="false">IF($B370="","","PAR-"&amp;TEXT(ROW()-4,"000000"))</f>
        <v/>
      </c>
      <c r="B370" s="32"/>
      <c r="C370" s="37"/>
      <c r="D370" s="31"/>
      <c r="E370" s="33"/>
      <c r="F370" s="32"/>
      <c r="G370" s="35" t="str">
        <f aca="false">IF($B370="","",IFERROR(INDEX(CM_NOME,MATCH($B370,CM_ID,0)),"?"))</f>
        <v/>
      </c>
      <c r="H370" s="34" t="str">
        <f aca="false">IF($B370="","",IFERROR(INDEX(CM_QTD,MATCH($B370,CM_ID,0)),""))</f>
        <v/>
      </c>
      <c r="I370" s="35" t="str">
        <f aca="false">IF($A370="","",$C370&amp;"/"&amp;$H370)</f>
        <v/>
      </c>
      <c r="J370" s="35" t="str">
        <f aca="false">IF($A370="","",IF($C370&lt;=IFERROR(INDEX(CM_PAGASANTES,MATCH($B370,CM_ID,0)),0),"SIM","NAO"))</f>
        <v/>
      </c>
      <c r="K370" s="36" t="n">
        <f aca="false">IF($A370="",0,SUMIFS(L_Valor,L_ParcID,$A370,L_Status,"REALIZADO"))</f>
        <v>0</v>
      </c>
      <c r="L370" s="38" t="str">
        <f aca="false">IF($A370="","",IFERROR(INDEX(L_Data,MATCH(1,INDEX((L_ParcID=$A370)*(L_Status="REALIZADO"),0),0)),""))</f>
        <v/>
      </c>
      <c r="M370" s="34" t="n">
        <f aca="false">IF($A370="",0,COUNTIFS(L_ParcID,$A370,L_Status,"REALIZADO"))</f>
        <v>0</v>
      </c>
      <c r="N370" s="34" t="n">
        <f aca="false">IF($A370="",0,COUNTIFS(L_ParcID,$A370,L_Status,"PROJETADO"))</f>
        <v>0</v>
      </c>
      <c r="O370" s="35" t="str">
        <f aca="false">IF($A370="","",IF($J370="SIM","PAGA",IF($M370&gt;0,"PAGA",IF($D370&lt;CFG_HOJE,"ATRASADA",IF($D370&lt;=EOMONTH(CFG_HOJE,0),"ABERTA","PROJETADA")))))</f>
        <v/>
      </c>
      <c r="P370" s="34" t="n">
        <f aca="false">IF($O370="ATRASADA",CFG_HOJE-$D370,0)</f>
        <v>0</v>
      </c>
      <c r="Q370" s="36" t="n">
        <f aca="false">IF($A370="",0,IF(AND($O370="PAGA",$J370="NAO"),$K370-$E370,0))</f>
        <v>0</v>
      </c>
    </row>
    <row r="371" customFormat="false" ht="15" hidden="false" customHeight="false" outlineLevel="0" collapsed="false">
      <c r="A371" s="30" t="str">
        <f aca="false">IF($B371="","","PAR-"&amp;TEXT(ROW()-4,"000000"))</f>
        <v/>
      </c>
      <c r="B371" s="32"/>
      <c r="C371" s="37"/>
      <c r="D371" s="31"/>
      <c r="E371" s="33"/>
      <c r="F371" s="32"/>
      <c r="G371" s="35" t="str">
        <f aca="false">IF($B371="","",IFERROR(INDEX(CM_NOME,MATCH($B371,CM_ID,0)),"?"))</f>
        <v/>
      </c>
      <c r="H371" s="34" t="str">
        <f aca="false">IF($B371="","",IFERROR(INDEX(CM_QTD,MATCH($B371,CM_ID,0)),""))</f>
        <v/>
      </c>
      <c r="I371" s="35" t="str">
        <f aca="false">IF($A371="","",$C371&amp;"/"&amp;$H371)</f>
        <v/>
      </c>
      <c r="J371" s="35" t="str">
        <f aca="false">IF($A371="","",IF($C371&lt;=IFERROR(INDEX(CM_PAGASANTES,MATCH($B371,CM_ID,0)),0),"SIM","NAO"))</f>
        <v/>
      </c>
      <c r="K371" s="36" t="n">
        <f aca="false">IF($A371="",0,SUMIFS(L_Valor,L_ParcID,$A371,L_Status,"REALIZADO"))</f>
        <v>0</v>
      </c>
      <c r="L371" s="38" t="str">
        <f aca="false">IF($A371="","",IFERROR(INDEX(L_Data,MATCH(1,INDEX((L_ParcID=$A371)*(L_Status="REALIZADO"),0),0)),""))</f>
        <v/>
      </c>
      <c r="M371" s="34" t="n">
        <f aca="false">IF($A371="",0,COUNTIFS(L_ParcID,$A371,L_Status,"REALIZADO"))</f>
        <v>0</v>
      </c>
      <c r="N371" s="34" t="n">
        <f aca="false">IF($A371="",0,COUNTIFS(L_ParcID,$A371,L_Status,"PROJETADO"))</f>
        <v>0</v>
      </c>
      <c r="O371" s="35" t="str">
        <f aca="false">IF($A371="","",IF($J371="SIM","PAGA",IF($M371&gt;0,"PAGA",IF($D371&lt;CFG_HOJE,"ATRASADA",IF($D371&lt;=EOMONTH(CFG_HOJE,0),"ABERTA","PROJETADA")))))</f>
        <v/>
      </c>
      <c r="P371" s="34" t="n">
        <f aca="false">IF($O371="ATRASADA",CFG_HOJE-$D371,0)</f>
        <v>0</v>
      </c>
      <c r="Q371" s="36" t="n">
        <f aca="false">IF($A371="",0,IF(AND($O371="PAGA",$J371="NAO"),$K371-$E371,0))</f>
        <v>0</v>
      </c>
    </row>
    <row r="372" customFormat="false" ht="15" hidden="false" customHeight="false" outlineLevel="0" collapsed="false">
      <c r="A372" s="30" t="str">
        <f aca="false">IF($B372="","","PAR-"&amp;TEXT(ROW()-4,"000000"))</f>
        <v/>
      </c>
      <c r="B372" s="32"/>
      <c r="C372" s="37"/>
      <c r="D372" s="31"/>
      <c r="E372" s="33"/>
      <c r="F372" s="32"/>
      <c r="G372" s="35" t="str">
        <f aca="false">IF($B372="","",IFERROR(INDEX(CM_NOME,MATCH($B372,CM_ID,0)),"?"))</f>
        <v/>
      </c>
      <c r="H372" s="34" t="str">
        <f aca="false">IF($B372="","",IFERROR(INDEX(CM_QTD,MATCH($B372,CM_ID,0)),""))</f>
        <v/>
      </c>
      <c r="I372" s="35" t="str">
        <f aca="false">IF($A372="","",$C372&amp;"/"&amp;$H372)</f>
        <v/>
      </c>
      <c r="J372" s="35" t="str">
        <f aca="false">IF($A372="","",IF($C372&lt;=IFERROR(INDEX(CM_PAGASANTES,MATCH($B372,CM_ID,0)),0),"SIM","NAO"))</f>
        <v/>
      </c>
      <c r="K372" s="36" t="n">
        <f aca="false">IF($A372="",0,SUMIFS(L_Valor,L_ParcID,$A372,L_Status,"REALIZADO"))</f>
        <v>0</v>
      </c>
      <c r="L372" s="38" t="str">
        <f aca="false">IF($A372="","",IFERROR(INDEX(L_Data,MATCH(1,INDEX((L_ParcID=$A372)*(L_Status="REALIZADO"),0),0)),""))</f>
        <v/>
      </c>
      <c r="M372" s="34" t="n">
        <f aca="false">IF($A372="",0,COUNTIFS(L_ParcID,$A372,L_Status,"REALIZADO"))</f>
        <v>0</v>
      </c>
      <c r="N372" s="34" t="n">
        <f aca="false">IF($A372="",0,COUNTIFS(L_ParcID,$A372,L_Status,"PROJETADO"))</f>
        <v>0</v>
      </c>
      <c r="O372" s="35" t="str">
        <f aca="false">IF($A372="","",IF($J372="SIM","PAGA",IF($M372&gt;0,"PAGA",IF($D372&lt;CFG_HOJE,"ATRASADA",IF($D372&lt;=EOMONTH(CFG_HOJE,0),"ABERTA","PROJETADA")))))</f>
        <v/>
      </c>
      <c r="P372" s="34" t="n">
        <f aca="false">IF($O372="ATRASADA",CFG_HOJE-$D372,0)</f>
        <v>0</v>
      </c>
      <c r="Q372" s="36" t="n">
        <f aca="false">IF($A372="",0,IF(AND($O372="PAGA",$J372="NAO"),$K372-$E372,0))</f>
        <v>0</v>
      </c>
    </row>
    <row r="373" customFormat="false" ht="15" hidden="false" customHeight="false" outlineLevel="0" collapsed="false">
      <c r="A373" s="30" t="str">
        <f aca="false">IF($B373="","","PAR-"&amp;TEXT(ROW()-4,"000000"))</f>
        <v/>
      </c>
      <c r="B373" s="32"/>
      <c r="C373" s="37"/>
      <c r="D373" s="31"/>
      <c r="E373" s="33"/>
      <c r="F373" s="32"/>
      <c r="G373" s="35" t="str">
        <f aca="false">IF($B373="","",IFERROR(INDEX(CM_NOME,MATCH($B373,CM_ID,0)),"?"))</f>
        <v/>
      </c>
      <c r="H373" s="34" t="str">
        <f aca="false">IF($B373="","",IFERROR(INDEX(CM_QTD,MATCH($B373,CM_ID,0)),""))</f>
        <v/>
      </c>
      <c r="I373" s="35" t="str">
        <f aca="false">IF($A373="","",$C373&amp;"/"&amp;$H373)</f>
        <v/>
      </c>
      <c r="J373" s="35" t="str">
        <f aca="false">IF($A373="","",IF($C373&lt;=IFERROR(INDEX(CM_PAGASANTES,MATCH($B373,CM_ID,0)),0),"SIM","NAO"))</f>
        <v/>
      </c>
      <c r="K373" s="36" t="n">
        <f aca="false">IF($A373="",0,SUMIFS(L_Valor,L_ParcID,$A373,L_Status,"REALIZADO"))</f>
        <v>0</v>
      </c>
      <c r="L373" s="38" t="str">
        <f aca="false">IF($A373="","",IFERROR(INDEX(L_Data,MATCH(1,INDEX((L_ParcID=$A373)*(L_Status="REALIZADO"),0),0)),""))</f>
        <v/>
      </c>
      <c r="M373" s="34" t="n">
        <f aca="false">IF($A373="",0,COUNTIFS(L_ParcID,$A373,L_Status,"REALIZADO"))</f>
        <v>0</v>
      </c>
      <c r="N373" s="34" t="n">
        <f aca="false">IF($A373="",0,COUNTIFS(L_ParcID,$A373,L_Status,"PROJETADO"))</f>
        <v>0</v>
      </c>
      <c r="O373" s="35" t="str">
        <f aca="false">IF($A373="","",IF($J373="SIM","PAGA",IF($M373&gt;0,"PAGA",IF($D373&lt;CFG_HOJE,"ATRASADA",IF($D373&lt;=EOMONTH(CFG_HOJE,0),"ABERTA","PROJETADA")))))</f>
        <v/>
      </c>
      <c r="P373" s="34" t="n">
        <f aca="false">IF($O373="ATRASADA",CFG_HOJE-$D373,0)</f>
        <v>0</v>
      </c>
      <c r="Q373" s="36" t="n">
        <f aca="false">IF($A373="",0,IF(AND($O373="PAGA",$J373="NAO"),$K373-$E373,0))</f>
        <v>0</v>
      </c>
    </row>
    <row r="374" customFormat="false" ht="15" hidden="false" customHeight="false" outlineLevel="0" collapsed="false">
      <c r="A374" s="30" t="str">
        <f aca="false">IF($B374="","","PAR-"&amp;TEXT(ROW()-4,"000000"))</f>
        <v/>
      </c>
      <c r="B374" s="32"/>
      <c r="C374" s="37"/>
      <c r="D374" s="31"/>
      <c r="E374" s="33"/>
      <c r="F374" s="32"/>
      <c r="G374" s="35" t="str">
        <f aca="false">IF($B374="","",IFERROR(INDEX(CM_NOME,MATCH($B374,CM_ID,0)),"?"))</f>
        <v/>
      </c>
      <c r="H374" s="34" t="str">
        <f aca="false">IF($B374="","",IFERROR(INDEX(CM_QTD,MATCH($B374,CM_ID,0)),""))</f>
        <v/>
      </c>
      <c r="I374" s="35" t="str">
        <f aca="false">IF($A374="","",$C374&amp;"/"&amp;$H374)</f>
        <v/>
      </c>
      <c r="J374" s="35" t="str">
        <f aca="false">IF($A374="","",IF($C374&lt;=IFERROR(INDEX(CM_PAGASANTES,MATCH($B374,CM_ID,0)),0),"SIM","NAO"))</f>
        <v/>
      </c>
      <c r="K374" s="36" t="n">
        <f aca="false">IF($A374="",0,SUMIFS(L_Valor,L_ParcID,$A374,L_Status,"REALIZADO"))</f>
        <v>0</v>
      </c>
      <c r="L374" s="38" t="str">
        <f aca="false">IF($A374="","",IFERROR(INDEX(L_Data,MATCH(1,INDEX((L_ParcID=$A374)*(L_Status="REALIZADO"),0),0)),""))</f>
        <v/>
      </c>
      <c r="M374" s="34" t="n">
        <f aca="false">IF($A374="",0,COUNTIFS(L_ParcID,$A374,L_Status,"REALIZADO"))</f>
        <v>0</v>
      </c>
      <c r="N374" s="34" t="n">
        <f aca="false">IF($A374="",0,COUNTIFS(L_ParcID,$A374,L_Status,"PROJETADO"))</f>
        <v>0</v>
      </c>
      <c r="O374" s="35" t="str">
        <f aca="false">IF($A374="","",IF($J374="SIM","PAGA",IF($M374&gt;0,"PAGA",IF($D374&lt;CFG_HOJE,"ATRASADA",IF($D374&lt;=EOMONTH(CFG_HOJE,0),"ABERTA","PROJETADA")))))</f>
        <v/>
      </c>
      <c r="P374" s="34" t="n">
        <f aca="false">IF($O374="ATRASADA",CFG_HOJE-$D374,0)</f>
        <v>0</v>
      </c>
      <c r="Q374" s="36" t="n">
        <f aca="false">IF($A374="",0,IF(AND($O374="PAGA",$J374="NAO"),$K374-$E374,0))</f>
        <v>0</v>
      </c>
    </row>
    <row r="375" customFormat="false" ht="15" hidden="false" customHeight="false" outlineLevel="0" collapsed="false">
      <c r="A375" s="30" t="str">
        <f aca="false">IF($B375="","","PAR-"&amp;TEXT(ROW()-4,"000000"))</f>
        <v/>
      </c>
      <c r="B375" s="32"/>
      <c r="C375" s="37"/>
      <c r="D375" s="31"/>
      <c r="E375" s="33"/>
      <c r="F375" s="32"/>
      <c r="G375" s="35" t="str">
        <f aca="false">IF($B375="","",IFERROR(INDEX(CM_NOME,MATCH($B375,CM_ID,0)),"?"))</f>
        <v/>
      </c>
      <c r="H375" s="34" t="str">
        <f aca="false">IF($B375="","",IFERROR(INDEX(CM_QTD,MATCH($B375,CM_ID,0)),""))</f>
        <v/>
      </c>
      <c r="I375" s="35" t="str">
        <f aca="false">IF($A375="","",$C375&amp;"/"&amp;$H375)</f>
        <v/>
      </c>
      <c r="J375" s="35" t="str">
        <f aca="false">IF($A375="","",IF($C375&lt;=IFERROR(INDEX(CM_PAGASANTES,MATCH($B375,CM_ID,0)),0),"SIM","NAO"))</f>
        <v/>
      </c>
      <c r="K375" s="36" t="n">
        <f aca="false">IF($A375="",0,SUMIFS(L_Valor,L_ParcID,$A375,L_Status,"REALIZADO"))</f>
        <v>0</v>
      </c>
      <c r="L375" s="38" t="str">
        <f aca="false">IF($A375="","",IFERROR(INDEX(L_Data,MATCH(1,INDEX((L_ParcID=$A375)*(L_Status="REALIZADO"),0),0)),""))</f>
        <v/>
      </c>
      <c r="M375" s="34" t="n">
        <f aca="false">IF($A375="",0,COUNTIFS(L_ParcID,$A375,L_Status,"REALIZADO"))</f>
        <v>0</v>
      </c>
      <c r="N375" s="34" t="n">
        <f aca="false">IF($A375="",0,COUNTIFS(L_ParcID,$A375,L_Status,"PROJETADO"))</f>
        <v>0</v>
      </c>
      <c r="O375" s="35" t="str">
        <f aca="false">IF($A375="","",IF($J375="SIM","PAGA",IF($M375&gt;0,"PAGA",IF($D375&lt;CFG_HOJE,"ATRASADA",IF($D375&lt;=EOMONTH(CFG_HOJE,0),"ABERTA","PROJETADA")))))</f>
        <v/>
      </c>
      <c r="P375" s="34" t="n">
        <f aca="false">IF($O375="ATRASADA",CFG_HOJE-$D375,0)</f>
        <v>0</v>
      </c>
      <c r="Q375" s="36" t="n">
        <f aca="false">IF($A375="",0,IF(AND($O375="PAGA",$J375="NAO"),$K375-$E375,0))</f>
        <v>0</v>
      </c>
    </row>
    <row r="376" customFormat="false" ht="15" hidden="false" customHeight="false" outlineLevel="0" collapsed="false">
      <c r="A376" s="30" t="str">
        <f aca="false">IF($B376="","","PAR-"&amp;TEXT(ROW()-4,"000000"))</f>
        <v/>
      </c>
      <c r="B376" s="32"/>
      <c r="C376" s="37"/>
      <c r="D376" s="31"/>
      <c r="E376" s="33"/>
      <c r="F376" s="32"/>
      <c r="G376" s="35" t="str">
        <f aca="false">IF($B376="","",IFERROR(INDEX(CM_NOME,MATCH($B376,CM_ID,0)),"?"))</f>
        <v/>
      </c>
      <c r="H376" s="34" t="str">
        <f aca="false">IF($B376="","",IFERROR(INDEX(CM_QTD,MATCH($B376,CM_ID,0)),""))</f>
        <v/>
      </c>
      <c r="I376" s="35" t="str">
        <f aca="false">IF($A376="","",$C376&amp;"/"&amp;$H376)</f>
        <v/>
      </c>
      <c r="J376" s="35" t="str">
        <f aca="false">IF($A376="","",IF($C376&lt;=IFERROR(INDEX(CM_PAGASANTES,MATCH($B376,CM_ID,0)),0),"SIM","NAO"))</f>
        <v/>
      </c>
      <c r="K376" s="36" t="n">
        <f aca="false">IF($A376="",0,SUMIFS(L_Valor,L_ParcID,$A376,L_Status,"REALIZADO"))</f>
        <v>0</v>
      </c>
      <c r="L376" s="38" t="str">
        <f aca="false">IF($A376="","",IFERROR(INDEX(L_Data,MATCH(1,INDEX((L_ParcID=$A376)*(L_Status="REALIZADO"),0),0)),""))</f>
        <v/>
      </c>
      <c r="M376" s="34" t="n">
        <f aca="false">IF($A376="",0,COUNTIFS(L_ParcID,$A376,L_Status,"REALIZADO"))</f>
        <v>0</v>
      </c>
      <c r="N376" s="34" t="n">
        <f aca="false">IF($A376="",0,COUNTIFS(L_ParcID,$A376,L_Status,"PROJETADO"))</f>
        <v>0</v>
      </c>
      <c r="O376" s="35" t="str">
        <f aca="false">IF($A376="","",IF($J376="SIM","PAGA",IF($M376&gt;0,"PAGA",IF($D376&lt;CFG_HOJE,"ATRASADA",IF($D376&lt;=EOMONTH(CFG_HOJE,0),"ABERTA","PROJETADA")))))</f>
        <v/>
      </c>
      <c r="P376" s="34" t="n">
        <f aca="false">IF($O376="ATRASADA",CFG_HOJE-$D376,0)</f>
        <v>0</v>
      </c>
      <c r="Q376" s="36" t="n">
        <f aca="false">IF($A376="",0,IF(AND($O376="PAGA",$J376="NAO"),$K376-$E376,0))</f>
        <v>0</v>
      </c>
    </row>
    <row r="377" customFormat="false" ht="15" hidden="false" customHeight="false" outlineLevel="0" collapsed="false">
      <c r="A377" s="30" t="str">
        <f aca="false">IF($B377="","","PAR-"&amp;TEXT(ROW()-4,"000000"))</f>
        <v/>
      </c>
      <c r="B377" s="32"/>
      <c r="C377" s="37"/>
      <c r="D377" s="31"/>
      <c r="E377" s="33"/>
      <c r="F377" s="32"/>
      <c r="G377" s="35" t="str">
        <f aca="false">IF($B377="","",IFERROR(INDEX(CM_NOME,MATCH($B377,CM_ID,0)),"?"))</f>
        <v/>
      </c>
      <c r="H377" s="34" t="str">
        <f aca="false">IF($B377="","",IFERROR(INDEX(CM_QTD,MATCH($B377,CM_ID,0)),""))</f>
        <v/>
      </c>
      <c r="I377" s="35" t="str">
        <f aca="false">IF($A377="","",$C377&amp;"/"&amp;$H377)</f>
        <v/>
      </c>
      <c r="J377" s="35" t="str">
        <f aca="false">IF($A377="","",IF($C377&lt;=IFERROR(INDEX(CM_PAGASANTES,MATCH($B377,CM_ID,0)),0),"SIM","NAO"))</f>
        <v/>
      </c>
      <c r="K377" s="36" t="n">
        <f aca="false">IF($A377="",0,SUMIFS(L_Valor,L_ParcID,$A377,L_Status,"REALIZADO"))</f>
        <v>0</v>
      </c>
      <c r="L377" s="38" t="str">
        <f aca="false">IF($A377="","",IFERROR(INDEX(L_Data,MATCH(1,INDEX((L_ParcID=$A377)*(L_Status="REALIZADO"),0),0)),""))</f>
        <v/>
      </c>
      <c r="M377" s="34" t="n">
        <f aca="false">IF($A377="",0,COUNTIFS(L_ParcID,$A377,L_Status,"REALIZADO"))</f>
        <v>0</v>
      </c>
      <c r="N377" s="34" t="n">
        <f aca="false">IF($A377="",0,COUNTIFS(L_ParcID,$A377,L_Status,"PROJETADO"))</f>
        <v>0</v>
      </c>
      <c r="O377" s="35" t="str">
        <f aca="false">IF($A377="","",IF($J377="SIM","PAGA",IF($M377&gt;0,"PAGA",IF($D377&lt;CFG_HOJE,"ATRASADA",IF($D377&lt;=EOMONTH(CFG_HOJE,0),"ABERTA","PROJETADA")))))</f>
        <v/>
      </c>
      <c r="P377" s="34" t="n">
        <f aca="false">IF($O377="ATRASADA",CFG_HOJE-$D377,0)</f>
        <v>0</v>
      </c>
      <c r="Q377" s="36" t="n">
        <f aca="false">IF($A377="",0,IF(AND($O377="PAGA",$J377="NAO"),$K377-$E377,0))</f>
        <v>0</v>
      </c>
    </row>
    <row r="378" customFormat="false" ht="15" hidden="false" customHeight="false" outlineLevel="0" collapsed="false">
      <c r="A378" s="30" t="str">
        <f aca="false">IF($B378="","","PAR-"&amp;TEXT(ROW()-4,"000000"))</f>
        <v/>
      </c>
      <c r="B378" s="32"/>
      <c r="C378" s="37"/>
      <c r="D378" s="31"/>
      <c r="E378" s="33"/>
      <c r="F378" s="32"/>
      <c r="G378" s="35" t="str">
        <f aca="false">IF($B378="","",IFERROR(INDEX(CM_NOME,MATCH($B378,CM_ID,0)),"?"))</f>
        <v/>
      </c>
      <c r="H378" s="34" t="str">
        <f aca="false">IF($B378="","",IFERROR(INDEX(CM_QTD,MATCH($B378,CM_ID,0)),""))</f>
        <v/>
      </c>
      <c r="I378" s="35" t="str">
        <f aca="false">IF($A378="","",$C378&amp;"/"&amp;$H378)</f>
        <v/>
      </c>
      <c r="J378" s="35" t="str">
        <f aca="false">IF($A378="","",IF($C378&lt;=IFERROR(INDEX(CM_PAGASANTES,MATCH($B378,CM_ID,0)),0),"SIM","NAO"))</f>
        <v/>
      </c>
      <c r="K378" s="36" t="n">
        <f aca="false">IF($A378="",0,SUMIFS(L_Valor,L_ParcID,$A378,L_Status,"REALIZADO"))</f>
        <v>0</v>
      </c>
      <c r="L378" s="38" t="str">
        <f aca="false">IF($A378="","",IFERROR(INDEX(L_Data,MATCH(1,INDEX((L_ParcID=$A378)*(L_Status="REALIZADO"),0),0)),""))</f>
        <v/>
      </c>
      <c r="M378" s="34" t="n">
        <f aca="false">IF($A378="",0,COUNTIFS(L_ParcID,$A378,L_Status,"REALIZADO"))</f>
        <v>0</v>
      </c>
      <c r="N378" s="34" t="n">
        <f aca="false">IF($A378="",0,COUNTIFS(L_ParcID,$A378,L_Status,"PROJETADO"))</f>
        <v>0</v>
      </c>
      <c r="O378" s="35" t="str">
        <f aca="false">IF($A378="","",IF($J378="SIM","PAGA",IF($M378&gt;0,"PAGA",IF($D378&lt;CFG_HOJE,"ATRASADA",IF($D378&lt;=EOMONTH(CFG_HOJE,0),"ABERTA","PROJETADA")))))</f>
        <v/>
      </c>
      <c r="P378" s="34" t="n">
        <f aca="false">IF($O378="ATRASADA",CFG_HOJE-$D378,0)</f>
        <v>0</v>
      </c>
      <c r="Q378" s="36" t="n">
        <f aca="false">IF($A378="",0,IF(AND($O378="PAGA",$J378="NAO"),$K378-$E378,0))</f>
        <v>0</v>
      </c>
    </row>
    <row r="379" customFormat="false" ht="15" hidden="false" customHeight="false" outlineLevel="0" collapsed="false">
      <c r="A379" s="30" t="str">
        <f aca="false">IF($B379="","","PAR-"&amp;TEXT(ROW()-4,"000000"))</f>
        <v/>
      </c>
      <c r="B379" s="32"/>
      <c r="C379" s="37"/>
      <c r="D379" s="31"/>
      <c r="E379" s="33"/>
      <c r="F379" s="32"/>
      <c r="G379" s="35" t="str">
        <f aca="false">IF($B379="","",IFERROR(INDEX(CM_NOME,MATCH($B379,CM_ID,0)),"?"))</f>
        <v/>
      </c>
      <c r="H379" s="34" t="str">
        <f aca="false">IF($B379="","",IFERROR(INDEX(CM_QTD,MATCH($B379,CM_ID,0)),""))</f>
        <v/>
      </c>
      <c r="I379" s="35" t="str">
        <f aca="false">IF($A379="","",$C379&amp;"/"&amp;$H379)</f>
        <v/>
      </c>
      <c r="J379" s="35" t="str">
        <f aca="false">IF($A379="","",IF($C379&lt;=IFERROR(INDEX(CM_PAGASANTES,MATCH($B379,CM_ID,0)),0),"SIM","NAO"))</f>
        <v/>
      </c>
      <c r="K379" s="36" t="n">
        <f aca="false">IF($A379="",0,SUMIFS(L_Valor,L_ParcID,$A379,L_Status,"REALIZADO"))</f>
        <v>0</v>
      </c>
      <c r="L379" s="38" t="str">
        <f aca="false">IF($A379="","",IFERROR(INDEX(L_Data,MATCH(1,INDEX((L_ParcID=$A379)*(L_Status="REALIZADO"),0),0)),""))</f>
        <v/>
      </c>
      <c r="M379" s="34" t="n">
        <f aca="false">IF($A379="",0,COUNTIFS(L_ParcID,$A379,L_Status,"REALIZADO"))</f>
        <v>0</v>
      </c>
      <c r="N379" s="34" t="n">
        <f aca="false">IF($A379="",0,COUNTIFS(L_ParcID,$A379,L_Status,"PROJETADO"))</f>
        <v>0</v>
      </c>
      <c r="O379" s="35" t="str">
        <f aca="false">IF($A379="","",IF($J379="SIM","PAGA",IF($M379&gt;0,"PAGA",IF($D379&lt;CFG_HOJE,"ATRASADA",IF($D379&lt;=EOMONTH(CFG_HOJE,0),"ABERTA","PROJETADA")))))</f>
        <v/>
      </c>
      <c r="P379" s="34" t="n">
        <f aca="false">IF($O379="ATRASADA",CFG_HOJE-$D379,0)</f>
        <v>0</v>
      </c>
      <c r="Q379" s="36" t="n">
        <f aca="false">IF($A379="",0,IF(AND($O379="PAGA",$J379="NAO"),$K379-$E379,0))</f>
        <v>0</v>
      </c>
    </row>
    <row r="380" customFormat="false" ht="15" hidden="false" customHeight="false" outlineLevel="0" collapsed="false">
      <c r="A380" s="30" t="str">
        <f aca="false">IF($B380="","","PAR-"&amp;TEXT(ROW()-4,"000000"))</f>
        <v/>
      </c>
      <c r="B380" s="32"/>
      <c r="C380" s="37"/>
      <c r="D380" s="31"/>
      <c r="E380" s="33"/>
      <c r="F380" s="32"/>
      <c r="G380" s="35" t="str">
        <f aca="false">IF($B380="","",IFERROR(INDEX(CM_NOME,MATCH($B380,CM_ID,0)),"?"))</f>
        <v/>
      </c>
      <c r="H380" s="34" t="str">
        <f aca="false">IF($B380="","",IFERROR(INDEX(CM_QTD,MATCH($B380,CM_ID,0)),""))</f>
        <v/>
      </c>
      <c r="I380" s="35" t="str">
        <f aca="false">IF($A380="","",$C380&amp;"/"&amp;$H380)</f>
        <v/>
      </c>
      <c r="J380" s="35" t="str">
        <f aca="false">IF($A380="","",IF($C380&lt;=IFERROR(INDEX(CM_PAGASANTES,MATCH($B380,CM_ID,0)),0),"SIM","NAO"))</f>
        <v/>
      </c>
      <c r="K380" s="36" t="n">
        <f aca="false">IF($A380="",0,SUMIFS(L_Valor,L_ParcID,$A380,L_Status,"REALIZADO"))</f>
        <v>0</v>
      </c>
      <c r="L380" s="38" t="str">
        <f aca="false">IF($A380="","",IFERROR(INDEX(L_Data,MATCH(1,INDEX((L_ParcID=$A380)*(L_Status="REALIZADO"),0),0)),""))</f>
        <v/>
      </c>
      <c r="M380" s="34" t="n">
        <f aca="false">IF($A380="",0,COUNTIFS(L_ParcID,$A380,L_Status,"REALIZADO"))</f>
        <v>0</v>
      </c>
      <c r="N380" s="34" t="n">
        <f aca="false">IF($A380="",0,COUNTIFS(L_ParcID,$A380,L_Status,"PROJETADO"))</f>
        <v>0</v>
      </c>
      <c r="O380" s="35" t="str">
        <f aca="false">IF($A380="","",IF($J380="SIM","PAGA",IF($M380&gt;0,"PAGA",IF($D380&lt;CFG_HOJE,"ATRASADA",IF($D380&lt;=EOMONTH(CFG_HOJE,0),"ABERTA","PROJETADA")))))</f>
        <v/>
      </c>
      <c r="P380" s="34" t="n">
        <f aca="false">IF($O380="ATRASADA",CFG_HOJE-$D380,0)</f>
        <v>0</v>
      </c>
      <c r="Q380" s="36" t="n">
        <f aca="false">IF($A380="",0,IF(AND($O380="PAGA",$J380="NAO"),$K380-$E380,0))</f>
        <v>0</v>
      </c>
    </row>
    <row r="381" customFormat="false" ht="15" hidden="false" customHeight="false" outlineLevel="0" collapsed="false">
      <c r="A381" s="30" t="str">
        <f aca="false">IF($B381="","","PAR-"&amp;TEXT(ROW()-4,"000000"))</f>
        <v/>
      </c>
      <c r="B381" s="32"/>
      <c r="C381" s="37"/>
      <c r="D381" s="31"/>
      <c r="E381" s="33"/>
      <c r="F381" s="32"/>
      <c r="G381" s="35" t="str">
        <f aca="false">IF($B381="","",IFERROR(INDEX(CM_NOME,MATCH($B381,CM_ID,0)),"?"))</f>
        <v/>
      </c>
      <c r="H381" s="34" t="str">
        <f aca="false">IF($B381="","",IFERROR(INDEX(CM_QTD,MATCH($B381,CM_ID,0)),""))</f>
        <v/>
      </c>
      <c r="I381" s="35" t="str">
        <f aca="false">IF($A381="","",$C381&amp;"/"&amp;$H381)</f>
        <v/>
      </c>
      <c r="J381" s="35" t="str">
        <f aca="false">IF($A381="","",IF($C381&lt;=IFERROR(INDEX(CM_PAGASANTES,MATCH($B381,CM_ID,0)),0),"SIM","NAO"))</f>
        <v/>
      </c>
      <c r="K381" s="36" t="n">
        <f aca="false">IF($A381="",0,SUMIFS(L_Valor,L_ParcID,$A381,L_Status,"REALIZADO"))</f>
        <v>0</v>
      </c>
      <c r="L381" s="38" t="str">
        <f aca="false">IF($A381="","",IFERROR(INDEX(L_Data,MATCH(1,INDEX((L_ParcID=$A381)*(L_Status="REALIZADO"),0),0)),""))</f>
        <v/>
      </c>
      <c r="M381" s="34" t="n">
        <f aca="false">IF($A381="",0,COUNTIFS(L_ParcID,$A381,L_Status,"REALIZADO"))</f>
        <v>0</v>
      </c>
      <c r="N381" s="34" t="n">
        <f aca="false">IF($A381="",0,COUNTIFS(L_ParcID,$A381,L_Status,"PROJETADO"))</f>
        <v>0</v>
      </c>
      <c r="O381" s="35" t="str">
        <f aca="false">IF($A381="","",IF($J381="SIM","PAGA",IF($M381&gt;0,"PAGA",IF($D381&lt;CFG_HOJE,"ATRASADA",IF($D381&lt;=EOMONTH(CFG_HOJE,0),"ABERTA","PROJETADA")))))</f>
        <v/>
      </c>
      <c r="P381" s="34" t="n">
        <f aca="false">IF($O381="ATRASADA",CFG_HOJE-$D381,0)</f>
        <v>0</v>
      </c>
      <c r="Q381" s="36" t="n">
        <f aca="false">IF($A381="",0,IF(AND($O381="PAGA",$J381="NAO"),$K381-$E381,0))</f>
        <v>0</v>
      </c>
    </row>
    <row r="382" customFormat="false" ht="15" hidden="false" customHeight="false" outlineLevel="0" collapsed="false">
      <c r="A382" s="30" t="str">
        <f aca="false">IF($B382="","","PAR-"&amp;TEXT(ROW()-4,"000000"))</f>
        <v/>
      </c>
      <c r="B382" s="32"/>
      <c r="C382" s="37"/>
      <c r="D382" s="31"/>
      <c r="E382" s="33"/>
      <c r="F382" s="32"/>
      <c r="G382" s="35" t="str">
        <f aca="false">IF($B382="","",IFERROR(INDEX(CM_NOME,MATCH($B382,CM_ID,0)),"?"))</f>
        <v/>
      </c>
      <c r="H382" s="34" t="str">
        <f aca="false">IF($B382="","",IFERROR(INDEX(CM_QTD,MATCH($B382,CM_ID,0)),""))</f>
        <v/>
      </c>
      <c r="I382" s="35" t="str">
        <f aca="false">IF($A382="","",$C382&amp;"/"&amp;$H382)</f>
        <v/>
      </c>
      <c r="J382" s="35" t="str">
        <f aca="false">IF($A382="","",IF($C382&lt;=IFERROR(INDEX(CM_PAGASANTES,MATCH($B382,CM_ID,0)),0),"SIM","NAO"))</f>
        <v/>
      </c>
      <c r="K382" s="36" t="n">
        <f aca="false">IF($A382="",0,SUMIFS(L_Valor,L_ParcID,$A382,L_Status,"REALIZADO"))</f>
        <v>0</v>
      </c>
      <c r="L382" s="38" t="str">
        <f aca="false">IF($A382="","",IFERROR(INDEX(L_Data,MATCH(1,INDEX((L_ParcID=$A382)*(L_Status="REALIZADO"),0),0)),""))</f>
        <v/>
      </c>
      <c r="M382" s="34" t="n">
        <f aca="false">IF($A382="",0,COUNTIFS(L_ParcID,$A382,L_Status,"REALIZADO"))</f>
        <v>0</v>
      </c>
      <c r="N382" s="34" t="n">
        <f aca="false">IF($A382="",0,COUNTIFS(L_ParcID,$A382,L_Status,"PROJETADO"))</f>
        <v>0</v>
      </c>
      <c r="O382" s="35" t="str">
        <f aca="false">IF($A382="","",IF($J382="SIM","PAGA",IF($M382&gt;0,"PAGA",IF($D382&lt;CFG_HOJE,"ATRASADA",IF($D382&lt;=EOMONTH(CFG_HOJE,0),"ABERTA","PROJETADA")))))</f>
        <v/>
      </c>
      <c r="P382" s="34" t="n">
        <f aca="false">IF($O382="ATRASADA",CFG_HOJE-$D382,0)</f>
        <v>0</v>
      </c>
      <c r="Q382" s="36" t="n">
        <f aca="false">IF($A382="",0,IF(AND($O382="PAGA",$J382="NAO"),$K382-$E382,0))</f>
        <v>0</v>
      </c>
    </row>
    <row r="383" customFormat="false" ht="15" hidden="false" customHeight="false" outlineLevel="0" collapsed="false">
      <c r="A383" s="30" t="str">
        <f aca="false">IF($B383="","","PAR-"&amp;TEXT(ROW()-4,"000000"))</f>
        <v/>
      </c>
      <c r="B383" s="32"/>
      <c r="C383" s="37"/>
      <c r="D383" s="31"/>
      <c r="E383" s="33"/>
      <c r="F383" s="32"/>
      <c r="G383" s="35" t="str">
        <f aca="false">IF($B383="","",IFERROR(INDEX(CM_NOME,MATCH($B383,CM_ID,0)),"?"))</f>
        <v/>
      </c>
      <c r="H383" s="34" t="str">
        <f aca="false">IF($B383="","",IFERROR(INDEX(CM_QTD,MATCH($B383,CM_ID,0)),""))</f>
        <v/>
      </c>
      <c r="I383" s="35" t="str">
        <f aca="false">IF($A383="","",$C383&amp;"/"&amp;$H383)</f>
        <v/>
      </c>
      <c r="J383" s="35" t="str">
        <f aca="false">IF($A383="","",IF($C383&lt;=IFERROR(INDEX(CM_PAGASANTES,MATCH($B383,CM_ID,0)),0),"SIM","NAO"))</f>
        <v/>
      </c>
      <c r="K383" s="36" t="n">
        <f aca="false">IF($A383="",0,SUMIFS(L_Valor,L_ParcID,$A383,L_Status,"REALIZADO"))</f>
        <v>0</v>
      </c>
      <c r="L383" s="38" t="str">
        <f aca="false">IF($A383="","",IFERROR(INDEX(L_Data,MATCH(1,INDEX((L_ParcID=$A383)*(L_Status="REALIZADO"),0),0)),""))</f>
        <v/>
      </c>
      <c r="M383" s="34" t="n">
        <f aca="false">IF($A383="",0,COUNTIFS(L_ParcID,$A383,L_Status,"REALIZADO"))</f>
        <v>0</v>
      </c>
      <c r="N383" s="34" t="n">
        <f aca="false">IF($A383="",0,COUNTIFS(L_ParcID,$A383,L_Status,"PROJETADO"))</f>
        <v>0</v>
      </c>
      <c r="O383" s="35" t="str">
        <f aca="false">IF($A383="","",IF($J383="SIM","PAGA",IF($M383&gt;0,"PAGA",IF($D383&lt;CFG_HOJE,"ATRASADA",IF($D383&lt;=EOMONTH(CFG_HOJE,0),"ABERTA","PROJETADA")))))</f>
        <v/>
      </c>
      <c r="P383" s="34" t="n">
        <f aca="false">IF($O383="ATRASADA",CFG_HOJE-$D383,0)</f>
        <v>0</v>
      </c>
      <c r="Q383" s="36" t="n">
        <f aca="false">IF($A383="",0,IF(AND($O383="PAGA",$J383="NAO"),$K383-$E383,0))</f>
        <v>0</v>
      </c>
    </row>
    <row r="384" customFormat="false" ht="15" hidden="false" customHeight="false" outlineLevel="0" collapsed="false">
      <c r="A384" s="30" t="str">
        <f aca="false">IF($B384="","","PAR-"&amp;TEXT(ROW()-4,"000000"))</f>
        <v/>
      </c>
      <c r="B384" s="32"/>
      <c r="C384" s="37"/>
      <c r="D384" s="31"/>
      <c r="E384" s="33"/>
      <c r="F384" s="32"/>
      <c r="G384" s="35" t="str">
        <f aca="false">IF($B384="","",IFERROR(INDEX(CM_NOME,MATCH($B384,CM_ID,0)),"?"))</f>
        <v/>
      </c>
      <c r="H384" s="34" t="str">
        <f aca="false">IF($B384="","",IFERROR(INDEX(CM_QTD,MATCH($B384,CM_ID,0)),""))</f>
        <v/>
      </c>
      <c r="I384" s="35" t="str">
        <f aca="false">IF($A384="","",$C384&amp;"/"&amp;$H384)</f>
        <v/>
      </c>
      <c r="J384" s="35" t="str">
        <f aca="false">IF($A384="","",IF($C384&lt;=IFERROR(INDEX(CM_PAGASANTES,MATCH($B384,CM_ID,0)),0),"SIM","NAO"))</f>
        <v/>
      </c>
      <c r="K384" s="36" t="n">
        <f aca="false">IF($A384="",0,SUMIFS(L_Valor,L_ParcID,$A384,L_Status,"REALIZADO"))</f>
        <v>0</v>
      </c>
      <c r="L384" s="38" t="str">
        <f aca="false">IF($A384="","",IFERROR(INDEX(L_Data,MATCH(1,INDEX((L_ParcID=$A384)*(L_Status="REALIZADO"),0),0)),""))</f>
        <v/>
      </c>
      <c r="M384" s="34" t="n">
        <f aca="false">IF($A384="",0,COUNTIFS(L_ParcID,$A384,L_Status,"REALIZADO"))</f>
        <v>0</v>
      </c>
      <c r="N384" s="34" t="n">
        <f aca="false">IF($A384="",0,COUNTIFS(L_ParcID,$A384,L_Status,"PROJETADO"))</f>
        <v>0</v>
      </c>
      <c r="O384" s="35" t="str">
        <f aca="false">IF($A384="","",IF($J384="SIM","PAGA",IF($M384&gt;0,"PAGA",IF($D384&lt;CFG_HOJE,"ATRASADA",IF($D384&lt;=EOMONTH(CFG_HOJE,0),"ABERTA","PROJETADA")))))</f>
        <v/>
      </c>
      <c r="P384" s="34" t="n">
        <f aca="false">IF($O384="ATRASADA",CFG_HOJE-$D384,0)</f>
        <v>0</v>
      </c>
      <c r="Q384" s="36" t="n">
        <f aca="false">IF($A384="",0,IF(AND($O384="PAGA",$J384="NAO"),$K384-$E384,0))</f>
        <v>0</v>
      </c>
    </row>
    <row r="385" customFormat="false" ht="15" hidden="false" customHeight="false" outlineLevel="0" collapsed="false">
      <c r="A385" s="30" t="str">
        <f aca="false">IF($B385="","","PAR-"&amp;TEXT(ROW()-4,"000000"))</f>
        <v/>
      </c>
      <c r="B385" s="32"/>
      <c r="C385" s="37"/>
      <c r="D385" s="31"/>
      <c r="E385" s="33"/>
      <c r="F385" s="32"/>
      <c r="G385" s="35" t="str">
        <f aca="false">IF($B385="","",IFERROR(INDEX(CM_NOME,MATCH($B385,CM_ID,0)),"?"))</f>
        <v/>
      </c>
      <c r="H385" s="34" t="str">
        <f aca="false">IF($B385="","",IFERROR(INDEX(CM_QTD,MATCH($B385,CM_ID,0)),""))</f>
        <v/>
      </c>
      <c r="I385" s="35" t="str">
        <f aca="false">IF($A385="","",$C385&amp;"/"&amp;$H385)</f>
        <v/>
      </c>
      <c r="J385" s="35" t="str">
        <f aca="false">IF($A385="","",IF($C385&lt;=IFERROR(INDEX(CM_PAGASANTES,MATCH($B385,CM_ID,0)),0),"SIM","NAO"))</f>
        <v/>
      </c>
      <c r="K385" s="36" t="n">
        <f aca="false">IF($A385="",0,SUMIFS(L_Valor,L_ParcID,$A385,L_Status,"REALIZADO"))</f>
        <v>0</v>
      </c>
      <c r="L385" s="38" t="str">
        <f aca="false">IF($A385="","",IFERROR(INDEX(L_Data,MATCH(1,INDEX((L_ParcID=$A385)*(L_Status="REALIZADO"),0),0)),""))</f>
        <v/>
      </c>
      <c r="M385" s="34" t="n">
        <f aca="false">IF($A385="",0,COUNTIFS(L_ParcID,$A385,L_Status,"REALIZADO"))</f>
        <v>0</v>
      </c>
      <c r="N385" s="34" t="n">
        <f aca="false">IF($A385="",0,COUNTIFS(L_ParcID,$A385,L_Status,"PROJETADO"))</f>
        <v>0</v>
      </c>
      <c r="O385" s="35" t="str">
        <f aca="false">IF($A385="","",IF($J385="SIM","PAGA",IF($M385&gt;0,"PAGA",IF($D385&lt;CFG_HOJE,"ATRASADA",IF($D385&lt;=EOMONTH(CFG_HOJE,0),"ABERTA","PROJETADA")))))</f>
        <v/>
      </c>
      <c r="P385" s="34" t="n">
        <f aca="false">IF($O385="ATRASADA",CFG_HOJE-$D385,0)</f>
        <v>0</v>
      </c>
      <c r="Q385" s="36" t="n">
        <f aca="false">IF($A385="",0,IF(AND($O385="PAGA",$J385="NAO"),$K385-$E385,0))</f>
        <v>0</v>
      </c>
    </row>
    <row r="386" customFormat="false" ht="15" hidden="false" customHeight="false" outlineLevel="0" collapsed="false">
      <c r="A386" s="30" t="str">
        <f aca="false">IF($B386="","","PAR-"&amp;TEXT(ROW()-4,"000000"))</f>
        <v/>
      </c>
      <c r="B386" s="32"/>
      <c r="C386" s="37"/>
      <c r="D386" s="31"/>
      <c r="E386" s="33"/>
      <c r="F386" s="32"/>
      <c r="G386" s="35" t="str">
        <f aca="false">IF($B386="","",IFERROR(INDEX(CM_NOME,MATCH($B386,CM_ID,0)),"?"))</f>
        <v/>
      </c>
      <c r="H386" s="34" t="str">
        <f aca="false">IF($B386="","",IFERROR(INDEX(CM_QTD,MATCH($B386,CM_ID,0)),""))</f>
        <v/>
      </c>
      <c r="I386" s="35" t="str">
        <f aca="false">IF($A386="","",$C386&amp;"/"&amp;$H386)</f>
        <v/>
      </c>
      <c r="J386" s="35" t="str">
        <f aca="false">IF($A386="","",IF($C386&lt;=IFERROR(INDEX(CM_PAGASANTES,MATCH($B386,CM_ID,0)),0),"SIM","NAO"))</f>
        <v/>
      </c>
      <c r="K386" s="36" t="n">
        <f aca="false">IF($A386="",0,SUMIFS(L_Valor,L_ParcID,$A386,L_Status,"REALIZADO"))</f>
        <v>0</v>
      </c>
      <c r="L386" s="38" t="str">
        <f aca="false">IF($A386="","",IFERROR(INDEX(L_Data,MATCH(1,INDEX((L_ParcID=$A386)*(L_Status="REALIZADO"),0),0)),""))</f>
        <v/>
      </c>
      <c r="M386" s="34" t="n">
        <f aca="false">IF($A386="",0,COUNTIFS(L_ParcID,$A386,L_Status,"REALIZADO"))</f>
        <v>0</v>
      </c>
      <c r="N386" s="34" t="n">
        <f aca="false">IF($A386="",0,COUNTIFS(L_ParcID,$A386,L_Status,"PROJETADO"))</f>
        <v>0</v>
      </c>
      <c r="O386" s="35" t="str">
        <f aca="false">IF($A386="","",IF($J386="SIM","PAGA",IF($M386&gt;0,"PAGA",IF($D386&lt;CFG_HOJE,"ATRASADA",IF($D386&lt;=EOMONTH(CFG_HOJE,0),"ABERTA","PROJETADA")))))</f>
        <v/>
      </c>
      <c r="P386" s="34" t="n">
        <f aca="false">IF($O386="ATRASADA",CFG_HOJE-$D386,0)</f>
        <v>0</v>
      </c>
      <c r="Q386" s="36" t="n">
        <f aca="false">IF($A386="",0,IF(AND($O386="PAGA",$J386="NAO"),$K386-$E386,0))</f>
        <v>0</v>
      </c>
    </row>
    <row r="387" customFormat="false" ht="15" hidden="false" customHeight="false" outlineLevel="0" collapsed="false">
      <c r="A387" s="30" t="str">
        <f aca="false">IF($B387="","","PAR-"&amp;TEXT(ROW()-4,"000000"))</f>
        <v/>
      </c>
      <c r="B387" s="32"/>
      <c r="C387" s="37"/>
      <c r="D387" s="31"/>
      <c r="E387" s="33"/>
      <c r="F387" s="32"/>
      <c r="G387" s="35" t="str">
        <f aca="false">IF($B387="","",IFERROR(INDEX(CM_NOME,MATCH($B387,CM_ID,0)),"?"))</f>
        <v/>
      </c>
      <c r="H387" s="34" t="str">
        <f aca="false">IF($B387="","",IFERROR(INDEX(CM_QTD,MATCH($B387,CM_ID,0)),""))</f>
        <v/>
      </c>
      <c r="I387" s="35" t="str">
        <f aca="false">IF($A387="","",$C387&amp;"/"&amp;$H387)</f>
        <v/>
      </c>
      <c r="J387" s="35" t="str">
        <f aca="false">IF($A387="","",IF($C387&lt;=IFERROR(INDEX(CM_PAGASANTES,MATCH($B387,CM_ID,0)),0),"SIM","NAO"))</f>
        <v/>
      </c>
      <c r="K387" s="36" t="n">
        <f aca="false">IF($A387="",0,SUMIFS(L_Valor,L_ParcID,$A387,L_Status,"REALIZADO"))</f>
        <v>0</v>
      </c>
      <c r="L387" s="38" t="str">
        <f aca="false">IF($A387="","",IFERROR(INDEX(L_Data,MATCH(1,INDEX((L_ParcID=$A387)*(L_Status="REALIZADO"),0),0)),""))</f>
        <v/>
      </c>
      <c r="M387" s="34" t="n">
        <f aca="false">IF($A387="",0,COUNTIFS(L_ParcID,$A387,L_Status,"REALIZADO"))</f>
        <v>0</v>
      </c>
      <c r="N387" s="34" t="n">
        <f aca="false">IF($A387="",0,COUNTIFS(L_ParcID,$A387,L_Status,"PROJETADO"))</f>
        <v>0</v>
      </c>
      <c r="O387" s="35" t="str">
        <f aca="false">IF($A387="","",IF($J387="SIM","PAGA",IF($M387&gt;0,"PAGA",IF($D387&lt;CFG_HOJE,"ATRASADA",IF($D387&lt;=EOMONTH(CFG_HOJE,0),"ABERTA","PROJETADA")))))</f>
        <v/>
      </c>
      <c r="P387" s="34" t="n">
        <f aca="false">IF($O387="ATRASADA",CFG_HOJE-$D387,0)</f>
        <v>0</v>
      </c>
      <c r="Q387" s="36" t="n">
        <f aca="false">IF($A387="",0,IF(AND($O387="PAGA",$J387="NAO"),$K387-$E387,0))</f>
        <v>0</v>
      </c>
    </row>
    <row r="388" customFormat="false" ht="15" hidden="false" customHeight="false" outlineLevel="0" collapsed="false">
      <c r="A388" s="30" t="str">
        <f aca="false">IF($B388="","","PAR-"&amp;TEXT(ROW()-4,"000000"))</f>
        <v/>
      </c>
      <c r="B388" s="32"/>
      <c r="C388" s="37"/>
      <c r="D388" s="31"/>
      <c r="E388" s="33"/>
      <c r="F388" s="32"/>
      <c r="G388" s="35" t="str">
        <f aca="false">IF($B388="","",IFERROR(INDEX(CM_NOME,MATCH($B388,CM_ID,0)),"?"))</f>
        <v/>
      </c>
      <c r="H388" s="34" t="str">
        <f aca="false">IF($B388="","",IFERROR(INDEX(CM_QTD,MATCH($B388,CM_ID,0)),""))</f>
        <v/>
      </c>
      <c r="I388" s="35" t="str">
        <f aca="false">IF($A388="","",$C388&amp;"/"&amp;$H388)</f>
        <v/>
      </c>
      <c r="J388" s="35" t="str">
        <f aca="false">IF($A388="","",IF($C388&lt;=IFERROR(INDEX(CM_PAGASANTES,MATCH($B388,CM_ID,0)),0),"SIM","NAO"))</f>
        <v/>
      </c>
      <c r="K388" s="36" t="n">
        <f aca="false">IF($A388="",0,SUMIFS(L_Valor,L_ParcID,$A388,L_Status,"REALIZADO"))</f>
        <v>0</v>
      </c>
      <c r="L388" s="38" t="str">
        <f aca="false">IF($A388="","",IFERROR(INDEX(L_Data,MATCH(1,INDEX((L_ParcID=$A388)*(L_Status="REALIZADO"),0),0)),""))</f>
        <v/>
      </c>
      <c r="M388" s="34" t="n">
        <f aca="false">IF($A388="",0,COUNTIFS(L_ParcID,$A388,L_Status,"REALIZADO"))</f>
        <v>0</v>
      </c>
      <c r="N388" s="34" t="n">
        <f aca="false">IF($A388="",0,COUNTIFS(L_ParcID,$A388,L_Status,"PROJETADO"))</f>
        <v>0</v>
      </c>
      <c r="O388" s="35" t="str">
        <f aca="false">IF($A388="","",IF($J388="SIM","PAGA",IF($M388&gt;0,"PAGA",IF($D388&lt;CFG_HOJE,"ATRASADA",IF($D388&lt;=EOMONTH(CFG_HOJE,0),"ABERTA","PROJETADA")))))</f>
        <v/>
      </c>
      <c r="P388" s="34" t="n">
        <f aca="false">IF($O388="ATRASADA",CFG_HOJE-$D388,0)</f>
        <v>0</v>
      </c>
      <c r="Q388" s="36" t="n">
        <f aca="false">IF($A388="",0,IF(AND($O388="PAGA",$J388="NAO"),$K388-$E388,0))</f>
        <v>0</v>
      </c>
    </row>
    <row r="389" customFormat="false" ht="15" hidden="false" customHeight="false" outlineLevel="0" collapsed="false">
      <c r="A389" s="30" t="str">
        <f aca="false">IF($B389="","","PAR-"&amp;TEXT(ROW()-4,"000000"))</f>
        <v/>
      </c>
      <c r="B389" s="32"/>
      <c r="C389" s="37"/>
      <c r="D389" s="31"/>
      <c r="E389" s="33"/>
      <c r="F389" s="32"/>
      <c r="G389" s="35" t="str">
        <f aca="false">IF($B389="","",IFERROR(INDEX(CM_NOME,MATCH($B389,CM_ID,0)),"?"))</f>
        <v/>
      </c>
      <c r="H389" s="34" t="str">
        <f aca="false">IF($B389="","",IFERROR(INDEX(CM_QTD,MATCH($B389,CM_ID,0)),""))</f>
        <v/>
      </c>
      <c r="I389" s="35" t="str">
        <f aca="false">IF($A389="","",$C389&amp;"/"&amp;$H389)</f>
        <v/>
      </c>
      <c r="J389" s="35" t="str">
        <f aca="false">IF($A389="","",IF($C389&lt;=IFERROR(INDEX(CM_PAGASANTES,MATCH($B389,CM_ID,0)),0),"SIM","NAO"))</f>
        <v/>
      </c>
      <c r="K389" s="36" t="n">
        <f aca="false">IF($A389="",0,SUMIFS(L_Valor,L_ParcID,$A389,L_Status,"REALIZADO"))</f>
        <v>0</v>
      </c>
      <c r="L389" s="38" t="str">
        <f aca="false">IF($A389="","",IFERROR(INDEX(L_Data,MATCH(1,INDEX((L_ParcID=$A389)*(L_Status="REALIZADO"),0),0)),""))</f>
        <v/>
      </c>
      <c r="M389" s="34" t="n">
        <f aca="false">IF($A389="",0,COUNTIFS(L_ParcID,$A389,L_Status,"REALIZADO"))</f>
        <v>0</v>
      </c>
      <c r="N389" s="34" t="n">
        <f aca="false">IF($A389="",0,COUNTIFS(L_ParcID,$A389,L_Status,"PROJETADO"))</f>
        <v>0</v>
      </c>
      <c r="O389" s="35" t="str">
        <f aca="false">IF($A389="","",IF($J389="SIM","PAGA",IF($M389&gt;0,"PAGA",IF($D389&lt;CFG_HOJE,"ATRASADA",IF($D389&lt;=EOMONTH(CFG_HOJE,0),"ABERTA","PROJETADA")))))</f>
        <v/>
      </c>
      <c r="P389" s="34" t="n">
        <f aca="false">IF($O389="ATRASADA",CFG_HOJE-$D389,0)</f>
        <v>0</v>
      </c>
      <c r="Q389" s="36" t="n">
        <f aca="false">IF($A389="",0,IF(AND($O389="PAGA",$J389="NAO"),$K389-$E389,0))</f>
        <v>0</v>
      </c>
    </row>
    <row r="390" customFormat="false" ht="15" hidden="false" customHeight="false" outlineLevel="0" collapsed="false">
      <c r="A390" s="30" t="str">
        <f aca="false">IF($B390="","","PAR-"&amp;TEXT(ROW()-4,"000000"))</f>
        <v/>
      </c>
      <c r="B390" s="32"/>
      <c r="C390" s="37"/>
      <c r="D390" s="31"/>
      <c r="E390" s="33"/>
      <c r="F390" s="32"/>
      <c r="G390" s="35" t="str">
        <f aca="false">IF($B390="","",IFERROR(INDEX(CM_NOME,MATCH($B390,CM_ID,0)),"?"))</f>
        <v/>
      </c>
      <c r="H390" s="34" t="str">
        <f aca="false">IF($B390="","",IFERROR(INDEX(CM_QTD,MATCH($B390,CM_ID,0)),""))</f>
        <v/>
      </c>
      <c r="I390" s="35" t="str">
        <f aca="false">IF($A390="","",$C390&amp;"/"&amp;$H390)</f>
        <v/>
      </c>
      <c r="J390" s="35" t="str">
        <f aca="false">IF($A390="","",IF($C390&lt;=IFERROR(INDEX(CM_PAGASANTES,MATCH($B390,CM_ID,0)),0),"SIM","NAO"))</f>
        <v/>
      </c>
      <c r="K390" s="36" t="n">
        <f aca="false">IF($A390="",0,SUMIFS(L_Valor,L_ParcID,$A390,L_Status,"REALIZADO"))</f>
        <v>0</v>
      </c>
      <c r="L390" s="38" t="str">
        <f aca="false">IF($A390="","",IFERROR(INDEX(L_Data,MATCH(1,INDEX((L_ParcID=$A390)*(L_Status="REALIZADO"),0),0)),""))</f>
        <v/>
      </c>
      <c r="M390" s="34" t="n">
        <f aca="false">IF($A390="",0,COUNTIFS(L_ParcID,$A390,L_Status,"REALIZADO"))</f>
        <v>0</v>
      </c>
      <c r="N390" s="34" t="n">
        <f aca="false">IF($A390="",0,COUNTIFS(L_ParcID,$A390,L_Status,"PROJETADO"))</f>
        <v>0</v>
      </c>
      <c r="O390" s="35" t="str">
        <f aca="false">IF($A390="","",IF($J390="SIM","PAGA",IF($M390&gt;0,"PAGA",IF($D390&lt;CFG_HOJE,"ATRASADA",IF($D390&lt;=EOMONTH(CFG_HOJE,0),"ABERTA","PROJETADA")))))</f>
        <v/>
      </c>
      <c r="P390" s="34" t="n">
        <f aca="false">IF($O390="ATRASADA",CFG_HOJE-$D390,0)</f>
        <v>0</v>
      </c>
      <c r="Q390" s="36" t="n">
        <f aca="false">IF($A390="",0,IF(AND($O390="PAGA",$J390="NAO"),$K390-$E390,0))</f>
        <v>0</v>
      </c>
    </row>
    <row r="391" customFormat="false" ht="15" hidden="false" customHeight="false" outlineLevel="0" collapsed="false">
      <c r="A391" s="30" t="str">
        <f aca="false">IF($B391="","","PAR-"&amp;TEXT(ROW()-4,"000000"))</f>
        <v/>
      </c>
      <c r="B391" s="32"/>
      <c r="C391" s="37"/>
      <c r="D391" s="31"/>
      <c r="E391" s="33"/>
      <c r="F391" s="32"/>
      <c r="G391" s="35" t="str">
        <f aca="false">IF($B391="","",IFERROR(INDEX(CM_NOME,MATCH($B391,CM_ID,0)),"?"))</f>
        <v/>
      </c>
      <c r="H391" s="34" t="str">
        <f aca="false">IF($B391="","",IFERROR(INDEX(CM_QTD,MATCH($B391,CM_ID,0)),""))</f>
        <v/>
      </c>
      <c r="I391" s="35" t="str">
        <f aca="false">IF($A391="","",$C391&amp;"/"&amp;$H391)</f>
        <v/>
      </c>
      <c r="J391" s="35" t="str">
        <f aca="false">IF($A391="","",IF($C391&lt;=IFERROR(INDEX(CM_PAGASANTES,MATCH($B391,CM_ID,0)),0),"SIM","NAO"))</f>
        <v/>
      </c>
      <c r="K391" s="36" t="n">
        <f aca="false">IF($A391="",0,SUMIFS(L_Valor,L_ParcID,$A391,L_Status,"REALIZADO"))</f>
        <v>0</v>
      </c>
      <c r="L391" s="38" t="str">
        <f aca="false">IF($A391="","",IFERROR(INDEX(L_Data,MATCH(1,INDEX((L_ParcID=$A391)*(L_Status="REALIZADO"),0),0)),""))</f>
        <v/>
      </c>
      <c r="M391" s="34" t="n">
        <f aca="false">IF($A391="",0,COUNTIFS(L_ParcID,$A391,L_Status,"REALIZADO"))</f>
        <v>0</v>
      </c>
      <c r="N391" s="34" t="n">
        <f aca="false">IF($A391="",0,COUNTIFS(L_ParcID,$A391,L_Status,"PROJETADO"))</f>
        <v>0</v>
      </c>
      <c r="O391" s="35" t="str">
        <f aca="false">IF($A391="","",IF($J391="SIM","PAGA",IF($M391&gt;0,"PAGA",IF($D391&lt;CFG_HOJE,"ATRASADA",IF($D391&lt;=EOMONTH(CFG_HOJE,0),"ABERTA","PROJETADA")))))</f>
        <v/>
      </c>
      <c r="P391" s="34" t="n">
        <f aca="false">IF($O391="ATRASADA",CFG_HOJE-$D391,0)</f>
        <v>0</v>
      </c>
      <c r="Q391" s="36" t="n">
        <f aca="false">IF($A391="",0,IF(AND($O391="PAGA",$J391="NAO"),$K391-$E391,0))</f>
        <v>0</v>
      </c>
    </row>
    <row r="392" customFormat="false" ht="15" hidden="false" customHeight="false" outlineLevel="0" collapsed="false">
      <c r="A392" s="30" t="str">
        <f aca="false">IF($B392="","","PAR-"&amp;TEXT(ROW()-4,"000000"))</f>
        <v/>
      </c>
      <c r="B392" s="32"/>
      <c r="C392" s="37"/>
      <c r="D392" s="31"/>
      <c r="E392" s="33"/>
      <c r="F392" s="32"/>
      <c r="G392" s="35" t="str">
        <f aca="false">IF($B392="","",IFERROR(INDEX(CM_NOME,MATCH($B392,CM_ID,0)),"?"))</f>
        <v/>
      </c>
      <c r="H392" s="34" t="str">
        <f aca="false">IF($B392="","",IFERROR(INDEX(CM_QTD,MATCH($B392,CM_ID,0)),""))</f>
        <v/>
      </c>
      <c r="I392" s="35" t="str">
        <f aca="false">IF($A392="","",$C392&amp;"/"&amp;$H392)</f>
        <v/>
      </c>
      <c r="J392" s="35" t="str">
        <f aca="false">IF($A392="","",IF($C392&lt;=IFERROR(INDEX(CM_PAGASANTES,MATCH($B392,CM_ID,0)),0),"SIM","NAO"))</f>
        <v/>
      </c>
      <c r="K392" s="36" t="n">
        <f aca="false">IF($A392="",0,SUMIFS(L_Valor,L_ParcID,$A392,L_Status,"REALIZADO"))</f>
        <v>0</v>
      </c>
      <c r="L392" s="38" t="str">
        <f aca="false">IF($A392="","",IFERROR(INDEX(L_Data,MATCH(1,INDEX((L_ParcID=$A392)*(L_Status="REALIZADO"),0),0)),""))</f>
        <v/>
      </c>
      <c r="M392" s="34" t="n">
        <f aca="false">IF($A392="",0,COUNTIFS(L_ParcID,$A392,L_Status,"REALIZADO"))</f>
        <v>0</v>
      </c>
      <c r="N392" s="34" t="n">
        <f aca="false">IF($A392="",0,COUNTIFS(L_ParcID,$A392,L_Status,"PROJETADO"))</f>
        <v>0</v>
      </c>
      <c r="O392" s="35" t="str">
        <f aca="false">IF($A392="","",IF($J392="SIM","PAGA",IF($M392&gt;0,"PAGA",IF($D392&lt;CFG_HOJE,"ATRASADA",IF($D392&lt;=EOMONTH(CFG_HOJE,0),"ABERTA","PROJETADA")))))</f>
        <v/>
      </c>
      <c r="P392" s="34" t="n">
        <f aca="false">IF($O392="ATRASADA",CFG_HOJE-$D392,0)</f>
        <v>0</v>
      </c>
      <c r="Q392" s="36" t="n">
        <f aca="false">IF($A392="",0,IF(AND($O392="PAGA",$J392="NAO"),$K392-$E392,0))</f>
        <v>0</v>
      </c>
    </row>
    <row r="393" customFormat="false" ht="15" hidden="false" customHeight="false" outlineLevel="0" collapsed="false">
      <c r="A393" s="30" t="str">
        <f aca="false">IF($B393="","","PAR-"&amp;TEXT(ROW()-4,"000000"))</f>
        <v/>
      </c>
      <c r="B393" s="32"/>
      <c r="C393" s="37"/>
      <c r="D393" s="31"/>
      <c r="E393" s="33"/>
      <c r="F393" s="32"/>
      <c r="G393" s="35" t="str">
        <f aca="false">IF($B393="","",IFERROR(INDEX(CM_NOME,MATCH($B393,CM_ID,0)),"?"))</f>
        <v/>
      </c>
      <c r="H393" s="34" t="str">
        <f aca="false">IF($B393="","",IFERROR(INDEX(CM_QTD,MATCH($B393,CM_ID,0)),""))</f>
        <v/>
      </c>
      <c r="I393" s="35" t="str">
        <f aca="false">IF($A393="","",$C393&amp;"/"&amp;$H393)</f>
        <v/>
      </c>
      <c r="J393" s="35" t="str">
        <f aca="false">IF($A393="","",IF($C393&lt;=IFERROR(INDEX(CM_PAGASANTES,MATCH($B393,CM_ID,0)),0),"SIM","NAO"))</f>
        <v/>
      </c>
      <c r="K393" s="36" t="n">
        <f aca="false">IF($A393="",0,SUMIFS(L_Valor,L_ParcID,$A393,L_Status,"REALIZADO"))</f>
        <v>0</v>
      </c>
      <c r="L393" s="38" t="str">
        <f aca="false">IF($A393="","",IFERROR(INDEX(L_Data,MATCH(1,INDEX((L_ParcID=$A393)*(L_Status="REALIZADO"),0),0)),""))</f>
        <v/>
      </c>
      <c r="M393" s="34" t="n">
        <f aca="false">IF($A393="",0,COUNTIFS(L_ParcID,$A393,L_Status,"REALIZADO"))</f>
        <v>0</v>
      </c>
      <c r="N393" s="34" t="n">
        <f aca="false">IF($A393="",0,COUNTIFS(L_ParcID,$A393,L_Status,"PROJETADO"))</f>
        <v>0</v>
      </c>
      <c r="O393" s="35" t="str">
        <f aca="false">IF($A393="","",IF($J393="SIM","PAGA",IF($M393&gt;0,"PAGA",IF($D393&lt;CFG_HOJE,"ATRASADA",IF($D393&lt;=EOMONTH(CFG_HOJE,0),"ABERTA","PROJETADA")))))</f>
        <v/>
      </c>
      <c r="P393" s="34" t="n">
        <f aca="false">IF($O393="ATRASADA",CFG_HOJE-$D393,0)</f>
        <v>0</v>
      </c>
      <c r="Q393" s="36" t="n">
        <f aca="false">IF($A393="",0,IF(AND($O393="PAGA",$J393="NAO"),$K393-$E393,0))</f>
        <v>0</v>
      </c>
    </row>
    <row r="394" customFormat="false" ht="15" hidden="false" customHeight="false" outlineLevel="0" collapsed="false">
      <c r="A394" s="30" t="str">
        <f aca="false">IF($B394="","","PAR-"&amp;TEXT(ROW()-4,"000000"))</f>
        <v/>
      </c>
      <c r="B394" s="32"/>
      <c r="C394" s="37"/>
      <c r="D394" s="31"/>
      <c r="E394" s="33"/>
      <c r="F394" s="32"/>
      <c r="G394" s="35" t="str">
        <f aca="false">IF($B394="","",IFERROR(INDEX(CM_NOME,MATCH($B394,CM_ID,0)),"?"))</f>
        <v/>
      </c>
      <c r="H394" s="34" t="str">
        <f aca="false">IF($B394="","",IFERROR(INDEX(CM_QTD,MATCH($B394,CM_ID,0)),""))</f>
        <v/>
      </c>
      <c r="I394" s="35" t="str">
        <f aca="false">IF($A394="","",$C394&amp;"/"&amp;$H394)</f>
        <v/>
      </c>
      <c r="J394" s="35" t="str">
        <f aca="false">IF($A394="","",IF($C394&lt;=IFERROR(INDEX(CM_PAGASANTES,MATCH($B394,CM_ID,0)),0),"SIM","NAO"))</f>
        <v/>
      </c>
      <c r="K394" s="36" t="n">
        <f aca="false">IF($A394="",0,SUMIFS(L_Valor,L_ParcID,$A394,L_Status,"REALIZADO"))</f>
        <v>0</v>
      </c>
      <c r="L394" s="38" t="str">
        <f aca="false">IF($A394="","",IFERROR(INDEX(L_Data,MATCH(1,INDEX((L_ParcID=$A394)*(L_Status="REALIZADO"),0),0)),""))</f>
        <v/>
      </c>
      <c r="M394" s="34" t="n">
        <f aca="false">IF($A394="",0,COUNTIFS(L_ParcID,$A394,L_Status,"REALIZADO"))</f>
        <v>0</v>
      </c>
      <c r="N394" s="34" t="n">
        <f aca="false">IF($A394="",0,COUNTIFS(L_ParcID,$A394,L_Status,"PROJETADO"))</f>
        <v>0</v>
      </c>
      <c r="O394" s="35" t="str">
        <f aca="false">IF($A394="","",IF($J394="SIM","PAGA",IF($M394&gt;0,"PAGA",IF($D394&lt;CFG_HOJE,"ATRASADA",IF($D394&lt;=EOMONTH(CFG_HOJE,0),"ABERTA","PROJETADA")))))</f>
        <v/>
      </c>
      <c r="P394" s="34" t="n">
        <f aca="false">IF($O394="ATRASADA",CFG_HOJE-$D394,0)</f>
        <v>0</v>
      </c>
      <c r="Q394" s="36" t="n">
        <f aca="false">IF($A394="",0,IF(AND($O394="PAGA",$J394="NAO"),$K394-$E394,0))</f>
        <v>0</v>
      </c>
    </row>
    <row r="395" customFormat="false" ht="15" hidden="false" customHeight="false" outlineLevel="0" collapsed="false">
      <c r="A395" s="30" t="str">
        <f aca="false">IF($B395="","","PAR-"&amp;TEXT(ROW()-4,"000000"))</f>
        <v/>
      </c>
      <c r="B395" s="32"/>
      <c r="C395" s="37"/>
      <c r="D395" s="31"/>
      <c r="E395" s="33"/>
      <c r="F395" s="32"/>
      <c r="G395" s="35" t="str">
        <f aca="false">IF($B395="","",IFERROR(INDEX(CM_NOME,MATCH($B395,CM_ID,0)),"?"))</f>
        <v/>
      </c>
      <c r="H395" s="34" t="str">
        <f aca="false">IF($B395="","",IFERROR(INDEX(CM_QTD,MATCH($B395,CM_ID,0)),""))</f>
        <v/>
      </c>
      <c r="I395" s="35" t="str">
        <f aca="false">IF($A395="","",$C395&amp;"/"&amp;$H395)</f>
        <v/>
      </c>
      <c r="J395" s="35" t="str">
        <f aca="false">IF($A395="","",IF($C395&lt;=IFERROR(INDEX(CM_PAGASANTES,MATCH($B395,CM_ID,0)),0),"SIM","NAO"))</f>
        <v/>
      </c>
      <c r="K395" s="36" t="n">
        <f aca="false">IF($A395="",0,SUMIFS(L_Valor,L_ParcID,$A395,L_Status,"REALIZADO"))</f>
        <v>0</v>
      </c>
      <c r="L395" s="38" t="str">
        <f aca="false">IF($A395="","",IFERROR(INDEX(L_Data,MATCH(1,INDEX((L_ParcID=$A395)*(L_Status="REALIZADO"),0),0)),""))</f>
        <v/>
      </c>
      <c r="M395" s="34" t="n">
        <f aca="false">IF($A395="",0,COUNTIFS(L_ParcID,$A395,L_Status,"REALIZADO"))</f>
        <v>0</v>
      </c>
      <c r="N395" s="34" t="n">
        <f aca="false">IF($A395="",0,COUNTIFS(L_ParcID,$A395,L_Status,"PROJETADO"))</f>
        <v>0</v>
      </c>
      <c r="O395" s="35" t="str">
        <f aca="false">IF($A395="","",IF($J395="SIM","PAGA",IF($M395&gt;0,"PAGA",IF($D395&lt;CFG_HOJE,"ATRASADA",IF($D395&lt;=EOMONTH(CFG_HOJE,0),"ABERTA","PROJETADA")))))</f>
        <v/>
      </c>
      <c r="P395" s="34" t="n">
        <f aca="false">IF($O395="ATRASADA",CFG_HOJE-$D395,0)</f>
        <v>0</v>
      </c>
      <c r="Q395" s="36" t="n">
        <f aca="false">IF($A395="",0,IF(AND($O395="PAGA",$J395="NAO"),$K395-$E395,0))</f>
        <v>0</v>
      </c>
    </row>
    <row r="396" customFormat="false" ht="15" hidden="false" customHeight="false" outlineLevel="0" collapsed="false">
      <c r="A396" s="30" t="str">
        <f aca="false">IF($B396="","","PAR-"&amp;TEXT(ROW()-4,"000000"))</f>
        <v/>
      </c>
      <c r="B396" s="32"/>
      <c r="C396" s="37"/>
      <c r="D396" s="31"/>
      <c r="E396" s="33"/>
      <c r="F396" s="32"/>
      <c r="G396" s="35" t="str">
        <f aca="false">IF($B396="","",IFERROR(INDEX(CM_NOME,MATCH($B396,CM_ID,0)),"?"))</f>
        <v/>
      </c>
      <c r="H396" s="34" t="str">
        <f aca="false">IF($B396="","",IFERROR(INDEX(CM_QTD,MATCH($B396,CM_ID,0)),""))</f>
        <v/>
      </c>
      <c r="I396" s="35" t="str">
        <f aca="false">IF($A396="","",$C396&amp;"/"&amp;$H396)</f>
        <v/>
      </c>
      <c r="J396" s="35" t="str">
        <f aca="false">IF($A396="","",IF($C396&lt;=IFERROR(INDEX(CM_PAGASANTES,MATCH($B396,CM_ID,0)),0),"SIM","NAO"))</f>
        <v/>
      </c>
      <c r="K396" s="36" t="n">
        <f aca="false">IF($A396="",0,SUMIFS(L_Valor,L_ParcID,$A396,L_Status,"REALIZADO"))</f>
        <v>0</v>
      </c>
      <c r="L396" s="38" t="str">
        <f aca="false">IF($A396="","",IFERROR(INDEX(L_Data,MATCH(1,INDEX((L_ParcID=$A396)*(L_Status="REALIZADO"),0),0)),""))</f>
        <v/>
      </c>
      <c r="M396" s="34" t="n">
        <f aca="false">IF($A396="",0,COUNTIFS(L_ParcID,$A396,L_Status,"REALIZADO"))</f>
        <v>0</v>
      </c>
      <c r="N396" s="34" t="n">
        <f aca="false">IF($A396="",0,COUNTIFS(L_ParcID,$A396,L_Status,"PROJETADO"))</f>
        <v>0</v>
      </c>
      <c r="O396" s="35" t="str">
        <f aca="false">IF($A396="","",IF($J396="SIM","PAGA",IF($M396&gt;0,"PAGA",IF($D396&lt;CFG_HOJE,"ATRASADA",IF($D396&lt;=EOMONTH(CFG_HOJE,0),"ABERTA","PROJETADA")))))</f>
        <v/>
      </c>
      <c r="P396" s="34" t="n">
        <f aca="false">IF($O396="ATRASADA",CFG_HOJE-$D396,0)</f>
        <v>0</v>
      </c>
      <c r="Q396" s="36" t="n">
        <f aca="false">IF($A396="",0,IF(AND($O396="PAGA",$J396="NAO"),$K396-$E396,0))</f>
        <v>0</v>
      </c>
    </row>
    <row r="397" customFormat="false" ht="15" hidden="false" customHeight="false" outlineLevel="0" collapsed="false">
      <c r="A397" s="30" t="str">
        <f aca="false">IF($B397="","","PAR-"&amp;TEXT(ROW()-4,"000000"))</f>
        <v/>
      </c>
      <c r="B397" s="32"/>
      <c r="C397" s="37"/>
      <c r="D397" s="31"/>
      <c r="E397" s="33"/>
      <c r="F397" s="32"/>
      <c r="G397" s="35" t="str">
        <f aca="false">IF($B397="","",IFERROR(INDEX(CM_NOME,MATCH($B397,CM_ID,0)),"?"))</f>
        <v/>
      </c>
      <c r="H397" s="34" t="str">
        <f aca="false">IF($B397="","",IFERROR(INDEX(CM_QTD,MATCH($B397,CM_ID,0)),""))</f>
        <v/>
      </c>
      <c r="I397" s="35" t="str">
        <f aca="false">IF($A397="","",$C397&amp;"/"&amp;$H397)</f>
        <v/>
      </c>
      <c r="J397" s="35" t="str">
        <f aca="false">IF($A397="","",IF($C397&lt;=IFERROR(INDEX(CM_PAGASANTES,MATCH($B397,CM_ID,0)),0),"SIM","NAO"))</f>
        <v/>
      </c>
      <c r="K397" s="36" t="n">
        <f aca="false">IF($A397="",0,SUMIFS(L_Valor,L_ParcID,$A397,L_Status,"REALIZADO"))</f>
        <v>0</v>
      </c>
      <c r="L397" s="38" t="str">
        <f aca="false">IF($A397="","",IFERROR(INDEX(L_Data,MATCH(1,INDEX((L_ParcID=$A397)*(L_Status="REALIZADO"),0),0)),""))</f>
        <v/>
      </c>
      <c r="M397" s="34" t="n">
        <f aca="false">IF($A397="",0,COUNTIFS(L_ParcID,$A397,L_Status,"REALIZADO"))</f>
        <v>0</v>
      </c>
      <c r="N397" s="34" t="n">
        <f aca="false">IF($A397="",0,COUNTIFS(L_ParcID,$A397,L_Status,"PROJETADO"))</f>
        <v>0</v>
      </c>
      <c r="O397" s="35" t="str">
        <f aca="false">IF($A397="","",IF($J397="SIM","PAGA",IF($M397&gt;0,"PAGA",IF($D397&lt;CFG_HOJE,"ATRASADA",IF($D397&lt;=EOMONTH(CFG_HOJE,0),"ABERTA","PROJETADA")))))</f>
        <v/>
      </c>
      <c r="P397" s="34" t="n">
        <f aca="false">IF($O397="ATRASADA",CFG_HOJE-$D397,0)</f>
        <v>0</v>
      </c>
      <c r="Q397" s="36" t="n">
        <f aca="false">IF($A397="",0,IF(AND($O397="PAGA",$J397="NAO"),$K397-$E397,0))</f>
        <v>0</v>
      </c>
    </row>
    <row r="398" customFormat="false" ht="15" hidden="false" customHeight="false" outlineLevel="0" collapsed="false">
      <c r="A398" s="30" t="str">
        <f aca="false">IF($B398="","","PAR-"&amp;TEXT(ROW()-4,"000000"))</f>
        <v/>
      </c>
      <c r="B398" s="32"/>
      <c r="C398" s="37"/>
      <c r="D398" s="31"/>
      <c r="E398" s="33"/>
      <c r="F398" s="32"/>
      <c r="G398" s="35" t="str">
        <f aca="false">IF($B398="","",IFERROR(INDEX(CM_NOME,MATCH($B398,CM_ID,0)),"?"))</f>
        <v/>
      </c>
      <c r="H398" s="34" t="str">
        <f aca="false">IF($B398="","",IFERROR(INDEX(CM_QTD,MATCH($B398,CM_ID,0)),""))</f>
        <v/>
      </c>
      <c r="I398" s="35" t="str">
        <f aca="false">IF($A398="","",$C398&amp;"/"&amp;$H398)</f>
        <v/>
      </c>
      <c r="J398" s="35" t="str">
        <f aca="false">IF($A398="","",IF($C398&lt;=IFERROR(INDEX(CM_PAGASANTES,MATCH($B398,CM_ID,0)),0),"SIM","NAO"))</f>
        <v/>
      </c>
      <c r="K398" s="36" t="n">
        <f aca="false">IF($A398="",0,SUMIFS(L_Valor,L_ParcID,$A398,L_Status,"REALIZADO"))</f>
        <v>0</v>
      </c>
      <c r="L398" s="38" t="str">
        <f aca="false">IF($A398="","",IFERROR(INDEX(L_Data,MATCH(1,INDEX((L_ParcID=$A398)*(L_Status="REALIZADO"),0),0)),""))</f>
        <v/>
      </c>
      <c r="M398" s="34" t="n">
        <f aca="false">IF($A398="",0,COUNTIFS(L_ParcID,$A398,L_Status,"REALIZADO"))</f>
        <v>0</v>
      </c>
      <c r="N398" s="34" t="n">
        <f aca="false">IF($A398="",0,COUNTIFS(L_ParcID,$A398,L_Status,"PROJETADO"))</f>
        <v>0</v>
      </c>
      <c r="O398" s="35" t="str">
        <f aca="false">IF($A398="","",IF($J398="SIM","PAGA",IF($M398&gt;0,"PAGA",IF($D398&lt;CFG_HOJE,"ATRASADA",IF($D398&lt;=EOMONTH(CFG_HOJE,0),"ABERTA","PROJETADA")))))</f>
        <v/>
      </c>
      <c r="P398" s="34" t="n">
        <f aca="false">IF($O398="ATRASADA",CFG_HOJE-$D398,0)</f>
        <v>0</v>
      </c>
      <c r="Q398" s="36" t="n">
        <f aca="false">IF($A398="",0,IF(AND($O398="PAGA",$J398="NAO"),$K398-$E398,0))</f>
        <v>0</v>
      </c>
    </row>
    <row r="399" customFormat="false" ht="15" hidden="false" customHeight="false" outlineLevel="0" collapsed="false">
      <c r="A399" s="30" t="str">
        <f aca="false">IF($B399="","","PAR-"&amp;TEXT(ROW()-4,"000000"))</f>
        <v/>
      </c>
      <c r="B399" s="32"/>
      <c r="C399" s="37"/>
      <c r="D399" s="31"/>
      <c r="E399" s="33"/>
      <c r="F399" s="32"/>
      <c r="G399" s="35" t="str">
        <f aca="false">IF($B399="","",IFERROR(INDEX(CM_NOME,MATCH($B399,CM_ID,0)),"?"))</f>
        <v/>
      </c>
      <c r="H399" s="34" t="str">
        <f aca="false">IF($B399="","",IFERROR(INDEX(CM_QTD,MATCH($B399,CM_ID,0)),""))</f>
        <v/>
      </c>
      <c r="I399" s="35" t="str">
        <f aca="false">IF($A399="","",$C399&amp;"/"&amp;$H399)</f>
        <v/>
      </c>
      <c r="J399" s="35" t="str">
        <f aca="false">IF($A399="","",IF($C399&lt;=IFERROR(INDEX(CM_PAGASANTES,MATCH($B399,CM_ID,0)),0),"SIM","NAO"))</f>
        <v/>
      </c>
      <c r="K399" s="36" t="n">
        <f aca="false">IF($A399="",0,SUMIFS(L_Valor,L_ParcID,$A399,L_Status,"REALIZADO"))</f>
        <v>0</v>
      </c>
      <c r="L399" s="38" t="str">
        <f aca="false">IF($A399="","",IFERROR(INDEX(L_Data,MATCH(1,INDEX((L_ParcID=$A399)*(L_Status="REALIZADO"),0),0)),""))</f>
        <v/>
      </c>
      <c r="M399" s="34" t="n">
        <f aca="false">IF($A399="",0,COUNTIFS(L_ParcID,$A399,L_Status,"REALIZADO"))</f>
        <v>0</v>
      </c>
      <c r="N399" s="34" t="n">
        <f aca="false">IF($A399="",0,COUNTIFS(L_ParcID,$A399,L_Status,"PROJETADO"))</f>
        <v>0</v>
      </c>
      <c r="O399" s="35" t="str">
        <f aca="false">IF($A399="","",IF($J399="SIM","PAGA",IF($M399&gt;0,"PAGA",IF($D399&lt;CFG_HOJE,"ATRASADA",IF($D399&lt;=EOMONTH(CFG_HOJE,0),"ABERTA","PROJETADA")))))</f>
        <v/>
      </c>
      <c r="P399" s="34" t="n">
        <f aca="false">IF($O399="ATRASADA",CFG_HOJE-$D399,0)</f>
        <v>0</v>
      </c>
      <c r="Q399" s="36" t="n">
        <f aca="false">IF($A399="",0,IF(AND($O399="PAGA",$J399="NAO"),$K399-$E399,0))</f>
        <v>0</v>
      </c>
    </row>
    <row r="400" customFormat="false" ht="15" hidden="false" customHeight="false" outlineLevel="0" collapsed="false">
      <c r="A400" s="30" t="str">
        <f aca="false">IF($B400="","","PAR-"&amp;TEXT(ROW()-4,"000000"))</f>
        <v/>
      </c>
      <c r="B400" s="32"/>
      <c r="C400" s="37"/>
      <c r="D400" s="31"/>
      <c r="E400" s="33"/>
      <c r="F400" s="32"/>
      <c r="G400" s="35" t="str">
        <f aca="false">IF($B400="","",IFERROR(INDEX(CM_NOME,MATCH($B400,CM_ID,0)),"?"))</f>
        <v/>
      </c>
      <c r="H400" s="34" t="str">
        <f aca="false">IF($B400="","",IFERROR(INDEX(CM_QTD,MATCH($B400,CM_ID,0)),""))</f>
        <v/>
      </c>
      <c r="I400" s="35" t="str">
        <f aca="false">IF($A400="","",$C400&amp;"/"&amp;$H400)</f>
        <v/>
      </c>
      <c r="J400" s="35" t="str">
        <f aca="false">IF($A400="","",IF($C400&lt;=IFERROR(INDEX(CM_PAGASANTES,MATCH($B400,CM_ID,0)),0),"SIM","NAO"))</f>
        <v/>
      </c>
      <c r="K400" s="36" t="n">
        <f aca="false">IF($A400="",0,SUMIFS(L_Valor,L_ParcID,$A400,L_Status,"REALIZADO"))</f>
        <v>0</v>
      </c>
      <c r="L400" s="38" t="str">
        <f aca="false">IF($A400="","",IFERROR(INDEX(L_Data,MATCH(1,INDEX((L_ParcID=$A400)*(L_Status="REALIZADO"),0),0)),""))</f>
        <v/>
      </c>
      <c r="M400" s="34" t="n">
        <f aca="false">IF($A400="",0,COUNTIFS(L_ParcID,$A400,L_Status,"REALIZADO"))</f>
        <v>0</v>
      </c>
      <c r="N400" s="34" t="n">
        <f aca="false">IF($A400="",0,COUNTIFS(L_ParcID,$A400,L_Status,"PROJETADO"))</f>
        <v>0</v>
      </c>
      <c r="O400" s="35" t="str">
        <f aca="false">IF($A400="","",IF($J400="SIM","PAGA",IF($M400&gt;0,"PAGA",IF($D400&lt;CFG_HOJE,"ATRASADA",IF($D400&lt;=EOMONTH(CFG_HOJE,0),"ABERTA","PROJETADA")))))</f>
        <v/>
      </c>
      <c r="P400" s="34" t="n">
        <f aca="false">IF($O400="ATRASADA",CFG_HOJE-$D400,0)</f>
        <v>0</v>
      </c>
      <c r="Q400" s="36" t="n">
        <f aca="false">IF($A400="",0,IF(AND($O400="PAGA",$J400="NAO"),$K400-$E400,0))</f>
        <v>0</v>
      </c>
    </row>
    <row r="401" customFormat="false" ht="15" hidden="false" customHeight="false" outlineLevel="0" collapsed="false">
      <c r="A401" s="30" t="str">
        <f aca="false">IF($B401="","","PAR-"&amp;TEXT(ROW()-4,"000000"))</f>
        <v/>
      </c>
      <c r="B401" s="32"/>
      <c r="C401" s="37"/>
      <c r="D401" s="31"/>
      <c r="E401" s="33"/>
      <c r="F401" s="32"/>
      <c r="G401" s="35" t="str">
        <f aca="false">IF($B401="","",IFERROR(INDEX(CM_NOME,MATCH($B401,CM_ID,0)),"?"))</f>
        <v/>
      </c>
      <c r="H401" s="34" t="str">
        <f aca="false">IF($B401="","",IFERROR(INDEX(CM_QTD,MATCH($B401,CM_ID,0)),""))</f>
        <v/>
      </c>
      <c r="I401" s="35" t="str">
        <f aca="false">IF($A401="","",$C401&amp;"/"&amp;$H401)</f>
        <v/>
      </c>
      <c r="J401" s="35" t="str">
        <f aca="false">IF($A401="","",IF($C401&lt;=IFERROR(INDEX(CM_PAGASANTES,MATCH($B401,CM_ID,0)),0),"SIM","NAO"))</f>
        <v/>
      </c>
      <c r="K401" s="36" t="n">
        <f aca="false">IF($A401="",0,SUMIFS(L_Valor,L_ParcID,$A401,L_Status,"REALIZADO"))</f>
        <v>0</v>
      </c>
      <c r="L401" s="38" t="str">
        <f aca="false">IF($A401="","",IFERROR(INDEX(L_Data,MATCH(1,INDEX((L_ParcID=$A401)*(L_Status="REALIZADO"),0),0)),""))</f>
        <v/>
      </c>
      <c r="M401" s="34" t="n">
        <f aca="false">IF($A401="",0,COUNTIFS(L_ParcID,$A401,L_Status,"REALIZADO"))</f>
        <v>0</v>
      </c>
      <c r="N401" s="34" t="n">
        <f aca="false">IF($A401="",0,COUNTIFS(L_ParcID,$A401,L_Status,"PROJETADO"))</f>
        <v>0</v>
      </c>
      <c r="O401" s="35" t="str">
        <f aca="false">IF($A401="","",IF($J401="SIM","PAGA",IF($M401&gt;0,"PAGA",IF($D401&lt;CFG_HOJE,"ATRASADA",IF($D401&lt;=EOMONTH(CFG_HOJE,0),"ABERTA","PROJETADA")))))</f>
        <v/>
      </c>
      <c r="P401" s="34" t="n">
        <f aca="false">IF($O401="ATRASADA",CFG_HOJE-$D401,0)</f>
        <v>0</v>
      </c>
      <c r="Q401" s="36" t="n">
        <f aca="false">IF($A401="",0,IF(AND($O401="PAGA",$J401="NAO"),$K401-$E401,0))</f>
        <v>0</v>
      </c>
    </row>
    <row r="402" customFormat="false" ht="15" hidden="false" customHeight="false" outlineLevel="0" collapsed="false">
      <c r="A402" s="30" t="str">
        <f aca="false">IF($B402="","","PAR-"&amp;TEXT(ROW()-4,"000000"))</f>
        <v/>
      </c>
      <c r="B402" s="32"/>
      <c r="C402" s="37"/>
      <c r="D402" s="31"/>
      <c r="E402" s="33"/>
      <c r="F402" s="32"/>
      <c r="G402" s="35" t="str">
        <f aca="false">IF($B402="","",IFERROR(INDEX(CM_NOME,MATCH($B402,CM_ID,0)),"?"))</f>
        <v/>
      </c>
      <c r="H402" s="34" t="str">
        <f aca="false">IF($B402="","",IFERROR(INDEX(CM_QTD,MATCH($B402,CM_ID,0)),""))</f>
        <v/>
      </c>
      <c r="I402" s="35" t="str">
        <f aca="false">IF($A402="","",$C402&amp;"/"&amp;$H402)</f>
        <v/>
      </c>
      <c r="J402" s="35" t="str">
        <f aca="false">IF($A402="","",IF($C402&lt;=IFERROR(INDEX(CM_PAGASANTES,MATCH($B402,CM_ID,0)),0),"SIM","NAO"))</f>
        <v/>
      </c>
      <c r="K402" s="36" t="n">
        <f aca="false">IF($A402="",0,SUMIFS(L_Valor,L_ParcID,$A402,L_Status,"REALIZADO"))</f>
        <v>0</v>
      </c>
      <c r="L402" s="38" t="str">
        <f aca="false">IF($A402="","",IFERROR(INDEX(L_Data,MATCH(1,INDEX((L_ParcID=$A402)*(L_Status="REALIZADO"),0),0)),""))</f>
        <v/>
      </c>
      <c r="M402" s="34" t="n">
        <f aca="false">IF($A402="",0,COUNTIFS(L_ParcID,$A402,L_Status,"REALIZADO"))</f>
        <v>0</v>
      </c>
      <c r="N402" s="34" t="n">
        <f aca="false">IF($A402="",0,COUNTIFS(L_ParcID,$A402,L_Status,"PROJETADO"))</f>
        <v>0</v>
      </c>
      <c r="O402" s="35" t="str">
        <f aca="false">IF($A402="","",IF($J402="SIM","PAGA",IF($M402&gt;0,"PAGA",IF($D402&lt;CFG_HOJE,"ATRASADA",IF($D402&lt;=EOMONTH(CFG_HOJE,0),"ABERTA","PROJETADA")))))</f>
        <v/>
      </c>
      <c r="P402" s="34" t="n">
        <f aca="false">IF($O402="ATRASADA",CFG_HOJE-$D402,0)</f>
        <v>0</v>
      </c>
      <c r="Q402" s="36" t="n">
        <f aca="false">IF($A402="",0,IF(AND($O402="PAGA",$J402="NAO"),$K402-$E402,0))</f>
        <v>0</v>
      </c>
    </row>
    <row r="403" customFormat="false" ht="15" hidden="false" customHeight="false" outlineLevel="0" collapsed="false">
      <c r="A403" s="30" t="str">
        <f aca="false">IF($B403="","","PAR-"&amp;TEXT(ROW()-4,"000000"))</f>
        <v/>
      </c>
      <c r="B403" s="32"/>
      <c r="C403" s="37"/>
      <c r="D403" s="31"/>
      <c r="E403" s="33"/>
      <c r="F403" s="32"/>
      <c r="G403" s="35" t="str">
        <f aca="false">IF($B403="","",IFERROR(INDEX(CM_NOME,MATCH($B403,CM_ID,0)),"?"))</f>
        <v/>
      </c>
      <c r="H403" s="34" t="str">
        <f aca="false">IF($B403="","",IFERROR(INDEX(CM_QTD,MATCH($B403,CM_ID,0)),""))</f>
        <v/>
      </c>
      <c r="I403" s="35" t="str">
        <f aca="false">IF($A403="","",$C403&amp;"/"&amp;$H403)</f>
        <v/>
      </c>
      <c r="J403" s="35" t="str">
        <f aca="false">IF($A403="","",IF($C403&lt;=IFERROR(INDEX(CM_PAGASANTES,MATCH($B403,CM_ID,0)),0),"SIM","NAO"))</f>
        <v/>
      </c>
      <c r="K403" s="36" t="n">
        <f aca="false">IF($A403="",0,SUMIFS(L_Valor,L_ParcID,$A403,L_Status,"REALIZADO"))</f>
        <v>0</v>
      </c>
      <c r="L403" s="38" t="str">
        <f aca="false">IF($A403="","",IFERROR(INDEX(L_Data,MATCH(1,INDEX((L_ParcID=$A403)*(L_Status="REALIZADO"),0),0)),""))</f>
        <v/>
      </c>
      <c r="M403" s="34" t="n">
        <f aca="false">IF($A403="",0,COUNTIFS(L_ParcID,$A403,L_Status,"REALIZADO"))</f>
        <v>0</v>
      </c>
      <c r="N403" s="34" t="n">
        <f aca="false">IF($A403="",0,COUNTIFS(L_ParcID,$A403,L_Status,"PROJETADO"))</f>
        <v>0</v>
      </c>
      <c r="O403" s="35" t="str">
        <f aca="false">IF($A403="","",IF($J403="SIM","PAGA",IF($M403&gt;0,"PAGA",IF($D403&lt;CFG_HOJE,"ATRASADA",IF($D403&lt;=EOMONTH(CFG_HOJE,0),"ABERTA","PROJETADA")))))</f>
        <v/>
      </c>
      <c r="P403" s="34" t="n">
        <f aca="false">IF($O403="ATRASADA",CFG_HOJE-$D403,0)</f>
        <v>0</v>
      </c>
      <c r="Q403" s="36" t="n">
        <f aca="false">IF($A403="",0,IF(AND($O403="PAGA",$J403="NAO"),$K403-$E403,0))</f>
        <v>0</v>
      </c>
    </row>
    <row r="404" customFormat="false" ht="15" hidden="false" customHeight="false" outlineLevel="0" collapsed="false">
      <c r="A404" s="30" t="str">
        <f aca="false">IF($B404="","","PAR-"&amp;TEXT(ROW()-4,"000000"))</f>
        <v/>
      </c>
      <c r="B404" s="32"/>
      <c r="C404" s="37"/>
      <c r="D404" s="31"/>
      <c r="E404" s="33"/>
      <c r="F404" s="32"/>
      <c r="G404" s="35" t="str">
        <f aca="false">IF($B404="","",IFERROR(INDEX(CM_NOME,MATCH($B404,CM_ID,0)),"?"))</f>
        <v/>
      </c>
      <c r="H404" s="34" t="str">
        <f aca="false">IF($B404="","",IFERROR(INDEX(CM_QTD,MATCH($B404,CM_ID,0)),""))</f>
        <v/>
      </c>
      <c r="I404" s="35" t="str">
        <f aca="false">IF($A404="","",$C404&amp;"/"&amp;$H404)</f>
        <v/>
      </c>
      <c r="J404" s="35" t="str">
        <f aca="false">IF($A404="","",IF($C404&lt;=IFERROR(INDEX(CM_PAGASANTES,MATCH($B404,CM_ID,0)),0),"SIM","NAO"))</f>
        <v/>
      </c>
      <c r="K404" s="36" t="n">
        <f aca="false">IF($A404="",0,SUMIFS(L_Valor,L_ParcID,$A404,L_Status,"REALIZADO"))</f>
        <v>0</v>
      </c>
      <c r="L404" s="38" t="str">
        <f aca="false">IF($A404="","",IFERROR(INDEX(L_Data,MATCH(1,INDEX((L_ParcID=$A404)*(L_Status="REALIZADO"),0),0)),""))</f>
        <v/>
      </c>
      <c r="M404" s="34" t="n">
        <f aca="false">IF($A404="",0,COUNTIFS(L_ParcID,$A404,L_Status,"REALIZADO"))</f>
        <v>0</v>
      </c>
      <c r="N404" s="34" t="n">
        <f aca="false">IF($A404="",0,COUNTIFS(L_ParcID,$A404,L_Status,"PROJETADO"))</f>
        <v>0</v>
      </c>
      <c r="O404" s="35" t="str">
        <f aca="false">IF($A404="","",IF($J404="SIM","PAGA",IF($M404&gt;0,"PAGA",IF($D404&lt;CFG_HOJE,"ATRASADA",IF($D404&lt;=EOMONTH(CFG_HOJE,0),"ABERTA","PROJETADA")))))</f>
        <v/>
      </c>
      <c r="P404" s="34" t="n">
        <f aca="false">IF($O404="ATRASADA",CFG_HOJE-$D404,0)</f>
        <v>0</v>
      </c>
      <c r="Q404" s="36" t="n">
        <f aca="false">IF($A404="",0,IF(AND($O404="PAGA",$J404="NAO"),$K404-$E404,0))</f>
        <v>0</v>
      </c>
    </row>
    <row r="405" customFormat="false" ht="15" hidden="false" customHeight="false" outlineLevel="0" collapsed="false">
      <c r="A405" s="30" t="str">
        <f aca="false">IF($B405="","","PAR-"&amp;TEXT(ROW()-4,"000000"))</f>
        <v/>
      </c>
      <c r="B405" s="32"/>
      <c r="C405" s="37"/>
      <c r="D405" s="31"/>
      <c r="E405" s="33"/>
      <c r="F405" s="32"/>
      <c r="G405" s="35" t="str">
        <f aca="false">IF($B405="","",IFERROR(INDEX(CM_NOME,MATCH($B405,CM_ID,0)),"?"))</f>
        <v/>
      </c>
      <c r="H405" s="34" t="str">
        <f aca="false">IF($B405="","",IFERROR(INDEX(CM_QTD,MATCH($B405,CM_ID,0)),""))</f>
        <v/>
      </c>
      <c r="I405" s="35" t="str">
        <f aca="false">IF($A405="","",$C405&amp;"/"&amp;$H405)</f>
        <v/>
      </c>
      <c r="J405" s="35" t="str">
        <f aca="false">IF($A405="","",IF($C405&lt;=IFERROR(INDEX(CM_PAGASANTES,MATCH($B405,CM_ID,0)),0),"SIM","NAO"))</f>
        <v/>
      </c>
      <c r="K405" s="36" t="n">
        <f aca="false">IF($A405="",0,SUMIFS(L_Valor,L_ParcID,$A405,L_Status,"REALIZADO"))</f>
        <v>0</v>
      </c>
      <c r="L405" s="38" t="str">
        <f aca="false">IF($A405="","",IFERROR(INDEX(L_Data,MATCH(1,INDEX((L_ParcID=$A405)*(L_Status="REALIZADO"),0),0)),""))</f>
        <v/>
      </c>
      <c r="M405" s="34" t="n">
        <f aca="false">IF($A405="",0,COUNTIFS(L_ParcID,$A405,L_Status,"REALIZADO"))</f>
        <v>0</v>
      </c>
      <c r="N405" s="34" t="n">
        <f aca="false">IF($A405="",0,COUNTIFS(L_ParcID,$A405,L_Status,"PROJETADO"))</f>
        <v>0</v>
      </c>
      <c r="O405" s="35" t="str">
        <f aca="false">IF($A405="","",IF($J405="SIM","PAGA",IF($M405&gt;0,"PAGA",IF($D405&lt;CFG_HOJE,"ATRASADA",IF($D405&lt;=EOMONTH(CFG_HOJE,0),"ABERTA","PROJETADA")))))</f>
        <v/>
      </c>
      <c r="P405" s="34" t="n">
        <f aca="false">IF($O405="ATRASADA",CFG_HOJE-$D405,0)</f>
        <v>0</v>
      </c>
      <c r="Q405" s="36" t="n">
        <f aca="false">IF($A405="",0,IF(AND($O405="PAGA",$J405="NAO"),$K405-$E405,0))</f>
        <v>0</v>
      </c>
    </row>
    <row r="406" customFormat="false" ht="15" hidden="false" customHeight="false" outlineLevel="0" collapsed="false">
      <c r="A406" s="30" t="str">
        <f aca="false">IF($B406="","","PAR-"&amp;TEXT(ROW()-4,"000000"))</f>
        <v/>
      </c>
      <c r="B406" s="32"/>
      <c r="C406" s="37"/>
      <c r="D406" s="31"/>
      <c r="E406" s="33"/>
      <c r="F406" s="32"/>
      <c r="G406" s="35" t="str">
        <f aca="false">IF($B406="","",IFERROR(INDEX(CM_NOME,MATCH($B406,CM_ID,0)),"?"))</f>
        <v/>
      </c>
      <c r="H406" s="34" t="str">
        <f aca="false">IF($B406="","",IFERROR(INDEX(CM_QTD,MATCH($B406,CM_ID,0)),""))</f>
        <v/>
      </c>
      <c r="I406" s="35" t="str">
        <f aca="false">IF($A406="","",$C406&amp;"/"&amp;$H406)</f>
        <v/>
      </c>
      <c r="J406" s="35" t="str">
        <f aca="false">IF($A406="","",IF($C406&lt;=IFERROR(INDEX(CM_PAGASANTES,MATCH($B406,CM_ID,0)),0),"SIM","NAO"))</f>
        <v/>
      </c>
      <c r="K406" s="36" t="n">
        <f aca="false">IF($A406="",0,SUMIFS(L_Valor,L_ParcID,$A406,L_Status,"REALIZADO"))</f>
        <v>0</v>
      </c>
      <c r="L406" s="38" t="str">
        <f aca="false">IF($A406="","",IFERROR(INDEX(L_Data,MATCH(1,INDEX((L_ParcID=$A406)*(L_Status="REALIZADO"),0),0)),""))</f>
        <v/>
      </c>
      <c r="M406" s="34" t="n">
        <f aca="false">IF($A406="",0,COUNTIFS(L_ParcID,$A406,L_Status,"REALIZADO"))</f>
        <v>0</v>
      </c>
      <c r="N406" s="34" t="n">
        <f aca="false">IF($A406="",0,COUNTIFS(L_ParcID,$A406,L_Status,"PROJETADO"))</f>
        <v>0</v>
      </c>
      <c r="O406" s="35" t="str">
        <f aca="false">IF($A406="","",IF($J406="SIM","PAGA",IF($M406&gt;0,"PAGA",IF($D406&lt;CFG_HOJE,"ATRASADA",IF($D406&lt;=EOMONTH(CFG_HOJE,0),"ABERTA","PROJETADA")))))</f>
        <v/>
      </c>
      <c r="P406" s="34" t="n">
        <f aca="false">IF($O406="ATRASADA",CFG_HOJE-$D406,0)</f>
        <v>0</v>
      </c>
      <c r="Q406" s="36" t="n">
        <f aca="false">IF($A406="",0,IF(AND($O406="PAGA",$J406="NAO"),$K406-$E406,0))</f>
        <v>0</v>
      </c>
    </row>
    <row r="407" customFormat="false" ht="15" hidden="false" customHeight="false" outlineLevel="0" collapsed="false">
      <c r="A407" s="30" t="str">
        <f aca="false">IF($B407="","","PAR-"&amp;TEXT(ROW()-4,"000000"))</f>
        <v/>
      </c>
      <c r="B407" s="32"/>
      <c r="C407" s="37"/>
      <c r="D407" s="31"/>
      <c r="E407" s="33"/>
      <c r="F407" s="32"/>
      <c r="G407" s="35" t="str">
        <f aca="false">IF($B407="","",IFERROR(INDEX(CM_NOME,MATCH($B407,CM_ID,0)),"?"))</f>
        <v/>
      </c>
      <c r="H407" s="34" t="str">
        <f aca="false">IF($B407="","",IFERROR(INDEX(CM_QTD,MATCH($B407,CM_ID,0)),""))</f>
        <v/>
      </c>
      <c r="I407" s="35" t="str">
        <f aca="false">IF($A407="","",$C407&amp;"/"&amp;$H407)</f>
        <v/>
      </c>
      <c r="J407" s="35" t="str">
        <f aca="false">IF($A407="","",IF($C407&lt;=IFERROR(INDEX(CM_PAGASANTES,MATCH($B407,CM_ID,0)),0),"SIM","NAO"))</f>
        <v/>
      </c>
      <c r="K407" s="36" t="n">
        <f aca="false">IF($A407="",0,SUMIFS(L_Valor,L_ParcID,$A407,L_Status,"REALIZADO"))</f>
        <v>0</v>
      </c>
      <c r="L407" s="38" t="str">
        <f aca="false">IF($A407="","",IFERROR(INDEX(L_Data,MATCH(1,INDEX((L_ParcID=$A407)*(L_Status="REALIZADO"),0),0)),""))</f>
        <v/>
      </c>
      <c r="M407" s="34" t="n">
        <f aca="false">IF($A407="",0,COUNTIFS(L_ParcID,$A407,L_Status,"REALIZADO"))</f>
        <v>0</v>
      </c>
      <c r="N407" s="34" t="n">
        <f aca="false">IF($A407="",0,COUNTIFS(L_ParcID,$A407,L_Status,"PROJETADO"))</f>
        <v>0</v>
      </c>
      <c r="O407" s="35" t="str">
        <f aca="false">IF($A407="","",IF($J407="SIM","PAGA",IF($M407&gt;0,"PAGA",IF($D407&lt;CFG_HOJE,"ATRASADA",IF($D407&lt;=EOMONTH(CFG_HOJE,0),"ABERTA","PROJETADA")))))</f>
        <v/>
      </c>
      <c r="P407" s="34" t="n">
        <f aca="false">IF($O407="ATRASADA",CFG_HOJE-$D407,0)</f>
        <v>0</v>
      </c>
      <c r="Q407" s="36" t="n">
        <f aca="false">IF($A407="",0,IF(AND($O407="PAGA",$J407="NAO"),$K407-$E407,0))</f>
        <v>0</v>
      </c>
    </row>
    <row r="408" customFormat="false" ht="15" hidden="false" customHeight="false" outlineLevel="0" collapsed="false">
      <c r="A408" s="30" t="str">
        <f aca="false">IF($B408="","","PAR-"&amp;TEXT(ROW()-4,"000000"))</f>
        <v/>
      </c>
      <c r="B408" s="32"/>
      <c r="C408" s="37"/>
      <c r="D408" s="31"/>
      <c r="E408" s="33"/>
      <c r="F408" s="32"/>
      <c r="G408" s="35" t="str">
        <f aca="false">IF($B408="","",IFERROR(INDEX(CM_NOME,MATCH($B408,CM_ID,0)),"?"))</f>
        <v/>
      </c>
      <c r="H408" s="34" t="str">
        <f aca="false">IF($B408="","",IFERROR(INDEX(CM_QTD,MATCH($B408,CM_ID,0)),""))</f>
        <v/>
      </c>
      <c r="I408" s="35" t="str">
        <f aca="false">IF($A408="","",$C408&amp;"/"&amp;$H408)</f>
        <v/>
      </c>
      <c r="J408" s="35" t="str">
        <f aca="false">IF($A408="","",IF($C408&lt;=IFERROR(INDEX(CM_PAGASANTES,MATCH($B408,CM_ID,0)),0),"SIM","NAO"))</f>
        <v/>
      </c>
      <c r="K408" s="36" t="n">
        <f aca="false">IF($A408="",0,SUMIFS(L_Valor,L_ParcID,$A408,L_Status,"REALIZADO"))</f>
        <v>0</v>
      </c>
      <c r="L408" s="38" t="str">
        <f aca="false">IF($A408="","",IFERROR(INDEX(L_Data,MATCH(1,INDEX((L_ParcID=$A408)*(L_Status="REALIZADO"),0),0)),""))</f>
        <v/>
      </c>
      <c r="M408" s="34" t="n">
        <f aca="false">IF($A408="",0,COUNTIFS(L_ParcID,$A408,L_Status,"REALIZADO"))</f>
        <v>0</v>
      </c>
      <c r="N408" s="34" t="n">
        <f aca="false">IF($A408="",0,COUNTIFS(L_ParcID,$A408,L_Status,"PROJETADO"))</f>
        <v>0</v>
      </c>
      <c r="O408" s="35" t="str">
        <f aca="false">IF($A408="","",IF($J408="SIM","PAGA",IF($M408&gt;0,"PAGA",IF($D408&lt;CFG_HOJE,"ATRASADA",IF($D408&lt;=EOMONTH(CFG_HOJE,0),"ABERTA","PROJETADA")))))</f>
        <v/>
      </c>
      <c r="P408" s="34" t="n">
        <f aca="false">IF($O408="ATRASADA",CFG_HOJE-$D408,0)</f>
        <v>0</v>
      </c>
      <c r="Q408" s="36" t="n">
        <f aca="false">IF($A408="",0,IF(AND($O408="PAGA",$J408="NAO"),$K408-$E408,0))</f>
        <v>0</v>
      </c>
    </row>
    <row r="409" customFormat="false" ht="15" hidden="false" customHeight="false" outlineLevel="0" collapsed="false">
      <c r="A409" s="30" t="str">
        <f aca="false">IF($B409="","","PAR-"&amp;TEXT(ROW()-4,"000000"))</f>
        <v/>
      </c>
      <c r="B409" s="32"/>
      <c r="C409" s="37"/>
      <c r="D409" s="31"/>
      <c r="E409" s="33"/>
      <c r="F409" s="32"/>
      <c r="G409" s="35" t="str">
        <f aca="false">IF($B409="","",IFERROR(INDEX(CM_NOME,MATCH($B409,CM_ID,0)),"?"))</f>
        <v/>
      </c>
      <c r="H409" s="34" t="str">
        <f aca="false">IF($B409="","",IFERROR(INDEX(CM_QTD,MATCH($B409,CM_ID,0)),""))</f>
        <v/>
      </c>
      <c r="I409" s="35" t="str">
        <f aca="false">IF($A409="","",$C409&amp;"/"&amp;$H409)</f>
        <v/>
      </c>
      <c r="J409" s="35" t="str">
        <f aca="false">IF($A409="","",IF($C409&lt;=IFERROR(INDEX(CM_PAGASANTES,MATCH($B409,CM_ID,0)),0),"SIM","NAO"))</f>
        <v/>
      </c>
      <c r="K409" s="36" t="n">
        <f aca="false">IF($A409="",0,SUMIFS(L_Valor,L_ParcID,$A409,L_Status,"REALIZADO"))</f>
        <v>0</v>
      </c>
      <c r="L409" s="38" t="str">
        <f aca="false">IF($A409="","",IFERROR(INDEX(L_Data,MATCH(1,INDEX((L_ParcID=$A409)*(L_Status="REALIZADO"),0),0)),""))</f>
        <v/>
      </c>
      <c r="M409" s="34" t="n">
        <f aca="false">IF($A409="",0,COUNTIFS(L_ParcID,$A409,L_Status,"REALIZADO"))</f>
        <v>0</v>
      </c>
      <c r="N409" s="34" t="n">
        <f aca="false">IF($A409="",0,COUNTIFS(L_ParcID,$A409,L_Status,"PROJETADO"))</f>
        <v>0</v>
      </c>
      <c r="O409" s="35" t="str">
        <f aca="false">IF($A409="","",IF($J409="SIM","PAGA",IF($M409&gt;0,"PAGA",IF($D409&lt;CFG_HOJE,"ATRASADA",IF($D409&lt;=EOMONTH(CFG_HOJE,0),"ABERTA","PROJETADA")))))</f>
        <v/>
      </c>
      <c r="P409" s="34" t="n">
        <f aca="false">IF($O409="ATRASADA",CFG_HOJE-$D409,0)</f>
        <v>0</v>
      </c>
      <c r="Q409" s="36" t="n">
        <f aca="false">IF($A409="",0,IF(AND($O409="PAGA",$J409="NAO"),$K409-$E409,0))</f>
        <v>0</v>
      </c>
    </row>
    <row r="410" customFormat="false" ht="15" hidden="false" customHeight="false" outlineLevel="0" collapsed="false">
      <c r="A410" s="30" t="str">
        <f aca="false">IF($B410="","","PAR-"&amp;TEXT(ROW()-4,"000000"))</f>
        <v/>
      </c>
      <c r="B410" s="32"/>
      <c r="C410" s="37"/>
      <c r="D410" s="31"/>
      <c r="E410" s="33"/>
      <c r="F410" s="32"/>
      <c r="G410" s="35" t="str">
        <f aca="false">IF($B410="","",IFERROR(INDEX(CM_NOME,MATCH($B410,CM_ID,0)),"?"))</f>
        <v/>
      </c>
      <c r="H410" s="34" t="str">
        <f aca="false">IF($B410="","",IFERROR(INDEX(CM_QTD,MATCH($B410,CM_ID,0)),""))</f>
        <v/>
      </c>
      <c r="I410" s="35" t="str">
        <f aca="false">IF($A410="","",$C410&amp;"/"&amp;$H410)</f>
        <v/>
      </c>
      <c r="J410" s="35" t="str">
        <f aca="false">IF($A410="","",IF($C410&lt;=IFERROR(INDEX(CM_PAGASANTES,MATCH($B410,CM_ID,0)),0),"SIM","NAO"))</f>
        <v/>
      </c>
      <c r="K410" s="36" t="n">
        <f aca="false">IF($A410="",0,SUMIFS(L_Valor,L_ParcID,$A410,L_Status,"REALIZADO"))</f>
        <v>0</v>
      </c>
      <c r="L410" s="38" t="str">
        <f aca="false">IF($A410="","",IFERROR(INDEX(L_Data,MATCH(1,INDEX((L_ParcID=$A410)*(L_Status="REALIZADO"),0),0)),""))</f>
        <v/>
      </c>
      <c r="M410" s="34" t="n">
        <f aca="false">IF($A410="",0,COUNTIFS(L_ParcID,$A410,L_Status,"REALIZADO"))</f>
        <v>0</v>
      </c>
      <c r="N410" s="34" t="n">
        <f aca="false">IF($A410="",0,COUNTIFS(L_ParcID,$A410,L_Status,"PROJETADO"))</f>
        <v>0</v>
      </c>
      <c r="O410" s="35" t="str">
        <f aca="false">IF($A410="","",IF($J410="SIM","PAGA",IF($M410&gt;0,"PAGA",IF($D410&lt;CFG_HOJE,"ATRASADA",IF($D410&lt;=EOMONTH(CFG_HOJE,0),"ABERTA","PROJETADA")))))</f>
        <v/>
      </c>
      <c r="P410" s="34" t="n">
        <f aca="false">IF($O410="ATRASADA",CFG_HOJE-$D410,0)</f>
        <v>0</v>
      </c>
      <c r="Q410" s="36" t="n">
        <f aca="false">IF($A410="",0,IF(AND($O410="PAGA",$J410="NAO"),$K410-$E410,0))</f>
        <v>0</v>
      </c>
    </row>
    <row r="411" customFormat="false" ht="15" hidden="false" customHeight="false" outlineLevel="0" collapsed="false">
      <c r="A411" s="30" t="str">
        <f aca="false">IF($B411="","","PAR-"&amp;TEXT(ROW()-4,"000000"))</f>
        <v/>
      </c>
      <c r="B411" s="32"/>
      <c r="C411" s="37"/>
      <c r="D411" s="31"/>
      <c r="E411" s="33"/>
      <c r="F411" s="32"/>
      <c r="G411" s="35" t="str">
        <f aca="false">IF($B411="","",IFERROR(INDEX(CM_NOME,MATCH($B411,CM_ID,0)),"?"))</f>
        <v/>
      </c>
      <c r="H411" s="34" t="str">
        <f aca="false">IF($B411="","",IFERROR(INDEX(CM_QTD,MATCH($B411,CM_ID,0)),""))</f>
        <v/>
      </c>
      <c r="I411" s="35" t="str">
        <f aca="false">IF($A411="","",$C411&amp;"/"&amp;$H411)</f>
        <v/>
      </c>
      <c r="J411" s="35" t="str">
        <f aca="false">IF($A411="","",IF($C411&lt;=IFERROR(INDEX(CM_PAGASANTES,MATCH($B411,CM_ID,0)),0),"SIM","NAO"))</f>
        <v/>
      </c>
      <c r="K411" s="36" t="n">
        <f aca="false">IF($A411="",0,SUMIFS(L_Valor,L_ParcID,$A411,L_Status,"REALIZADO"))</f>
        <v>0</v>
      </c>
      <c r="L411" s="38" t="str">
        <f aca="false">IF($A411="","",IFERROR(INDEX(L_Data,MATCH(1,INDEX((L_ParcID=$A411)*(L_Status="REALIZADO"),0),0)),""))</f>
        <v/>
      </c>
      <c r="M411" s="34" t="n">
        <f aca="false">IF($A411="",0,COUNTIFS(L_ParcID,$A411,L_Status,"REALIZADO"))</f>
        <v>0</v>
      </c>
      <c r="N411" s="34" t="n">
        <f aca="false">IF($A411="",0,COUNTIFS(L_ParcID,$A411,L_Status,"PROJETADO"))</f>
        <v>0</v>
      </c>
      <c r="O411" s="35" t="str">
        <f aca="false">IF($A411="","",IF($J411="SIM","PAGA",IF($M411&gt;0,"PAGA",IF($D411&lt;CFG_HOJE,"ATRASADA",IF($D411&lt;=EOMONTH(CFG_HOJE,0),"ABERTA","PROJETADA")))))</f>
        <v/>
      </c>
      <c r="P411" s="34" t="n">
        <f aca="false">IF($O411="ATRASADA",CFG_HOJE-$D411,0)</f>
        <v>0</v>
      </c>
      <c r="Q411" s="36" t="n">
        <f aca="false">IF($A411="",0,IF(AND($O411="PAGA",$J411="NAO"),$K411-$E411,0))</f>
        <v>0</v>
      </c>
    </row>
    <row r="412" customFormat="false" ht="15" hidden="false" customHeight="false" outlineLevel="0" collapsed="false">
      <c r="A412" s="30" t="str">
        <f aca="false">IF($B412="","","PAR-"&amp;TEXT(ROW()-4,"000000"))</f>
        <v/>
      </c>
      <c r="B412" s="32"/>
      <c r="C412" s="37"/>
      <c r="D412" s="31"/>
      <c r="E412" s="33"/>
      <c r="F412" s="32"/>
      <c r="G412" s="35" t="str">
        <f aca="false">IF($B412="","",IFERROR(INDEX(CM_NOME,MATCH($B412,CM_ID,0)),"?"))</f>
        <v/>
      </c>
      <c r="H412" s="34" t="str">
        <f aca="false">IF($B412="","",IFERROR(INDEX(CM_QTD,MATCH($B412,CM_ID,0)),""))</f>
        <v/>
      </c>
      <c r="I412" s="35" t="str">
        <f aca="false">IF($A412="","",$C412&amp;"/"&amp;$H412)</f>
        <v/>
      </c>
      <c r="J412" s="35" t="str">
        <f aca="false">IF($A412="","",IF($C412&lt;=IFERROR(INDEX(CM_PAGASANTES,MATCH($B412,CM_ID,0)),0),"SIM","NAO"))</f>
        <v/>
      </c>
      <c r="K412" s="36" t="n">
        <f aca="false">IF($A412="",0,SUMIFS(L_Valor,L_ParcID,$A412,L_Status,"REALIZADO"))</f>
        <v>0</v>
      </c>
      <c r="L412" s="38" t="str">
        <f aca="false">IF($A412="","",IFERROR(INDEX(L_Data,MATCH(1,INDEX((L_ParcID=$A412)*(L_Status="REALIZADO"),0),0)),""))</f>
        <v/>
      </c>
      <c r="M412" s="34" t="n">
        <f aca="false">IF($A412="",0,COUNTIFS(L_ParcID,$A412,L_Status,"REALIZADO"))</f>
        <v>0</v>
      </c>
      <c r="N412" s="34" t="n">
        <f aca="false">IF($A412="",0,COUNTIFS(L_ParcID,$A412,L_Status,"PROJETADO"))</f>
        <v>0</v>
      </c>
      <c r="O412" s="35" t="str">
        <f aca="false">IF($A412="","",IF($J412="SIM","PAGA",IF($M412&gt;0,"PAGA",IF($D412&lt;CFG_HOJE,"ATRASADA",IF($D412&lt;=EOMONTH(CFG_HOJE,0),"ABERTA","PROJETADA")))))</f>
        <v/>
      </c>
      <c r="P412" s="34" t="n">
        <f aca="false">IF($O412="ATRASADA",CFG_HOJE-$D412,0)</f>
        <v>0</v>
      </c>
      <c r="Q412" s="36" t="n">
        <f aca="false">IF($A412="",0,IF(AND($O412="PAGA",$J412="NAO"),$K412-$E412,0))</f>
        <v>0</v>
      </c>
    </row>
    <row r="413" customFormat="false" ht="15" hidden="false" customHeight="false" outlineLevel="0" collapsed="false">
      <c r="A413" s="30" t="str">
        <f aca="false">IF($B413="","","PAR-"&amp;TEXT(ROW()-4,"000000"))</f>
        <v/>
      </c>
      <c r="B413" s="32"/>
      <c r="C413" s="37"/>
      <c r="D413" s="31"/>
      <c r="E413" s="33"/>
      <c r="F413" s="32"/>
      <c r="G413" s="35" t="str">
        <f aca="false">IF($B413="","",IFERROR(INDEX(CM_NOME,MATCH($B413,CM_ID,0)),"?"))</f>
        <v/>
      </c>
      <c r="H413" s="34" t="str">
        <f aca="false">IF($B413="","",IFERROR(INDEX(CM_QTD,MATCH($B413,CM_ID,0)),""))</f>
        <v/>
      </c>
      <c r="I413" s="35" t="str">
        <f aca="false">IF($A413="","",$C413&amp;"/"&amp;$H413)</f>
        <v/>
      </c>
      <c r="J413" s="35" t="str">
        <f aca="false">IF($A413="","",IF($C413&lt;=IFERROR(INDEX(CM_PAGASANTES,MATCH($B413,CM_ID,0)),0),"SIM","NAO"))</f>
        <v/>
      </c>
      <c r="K413" s="36" t="n">
        <f aca="false">IF($A413="",0,SUMIFS(L_Valor,L_ParcID,$A413,L_Status,"REALIZADO"))</f>
        <v>0</v>
      </c>
      <c r="L413" s="38" t="str">
        <f aca="false">IF($A413="","",IFERROR(INDEX(L_Data,MATCH(1,INDEX((L_ParcID=$A413)*(L_Status="REALIZADO"),0),0)),""))</f>
        <v/>
      </c>
      <c r="M413" s="34" t="n">
        <f aca="false">IF($A413="",0,COUNTIFS(L_ParcID,$A413,L_Status,"REALIZADO"))</f>
        <v>0</v>
      </c>
      <c r="N413" s="34" t="n">
        <f aca="false">IF($A413="",0,COUNTIFS(L_ParcID,$A413,L_Status,"PROJETADO"))</f>
        <v>0</v>
      </c>
      <c r="O413" s="35" t="str">
        <f aca="false">IF($A413="","",IF($J413="SIM","PAGA",IF($M413&gt;0,"PAGA",IF($D413&lt;CFG_HOJE,"ATRASADA",IF($D413&lt;=EOMONTH(CFG_HOJE,0),"ABERTA","PROJETADA")))))</f>
        <v/>
      </c>
      <c r="P413" s="34" t="n">
        <f aca="false">IF($O413="ATRASADA",CFG_HOJE-$D413,0)</f>
        <v>0</v>
      </c>
      <c r="Q413" s="36" t="n">
        <f aca="false">IF($A413="",0,IF(AND($O413="PAGA",$J413="NAO"),$K413-$E413,0))</f>
        <v>0</v>
      </c>
    </row>
    <row r="414" customFormat="false" ht="15" hidden="false" customHeight="false" outlineLevel="0" collapsed="false">
      <c r="A414" s="30" t="str">
        <f aca="false">IF($B414="","","PAR-"&amp;TEXT(ROW()-4,"000000"))</f>
        <v/>
      </c>
      <c r="B414" s="32"/>
      <c r="C414" s="37"/>
      <c r="D414" s="31"/>
      <c r="E414" s="33"/>
      <c r="F414" s="32"/>
      <c r="G414" s="35" t="str">
        <f aca="false">IF($B414="","",IFERROR(INDEX(CM_NOME,MATCH($B414,CM_ID,0)),"?"))</f>
        <v/>
      </c>
      <c r="H414" s="34" t="str">
        <f aca="false">IF($B414="","",IFERROR(INDEX(CM_QTD,MATCH($B414,CM_ID,0)),""))</f>
        <v/>
      </c>
      <c r="I414" s="35" t="str">
        <f aca="false">IF($A414="","",$C414&amp;"/"&amp;$H414)</f>
        <v/>
      </c>
      <c r="J414" s="35" t="str">
        <f aca="false">IF($A414="","",IF($C414&lt;=IFERROR(INDEX(CM_PAGASANTES,MATCH($B414,CM_ID,0)),0),"SIM","NAO"))</f>
        <v/>
      </c>
      <c r="K414" s="36" t="n">
        <f aca="false">IF($A414="",0,SUMIFS(L_Valor,L_ParcID,$A414,L_Status,"REALIZADO"))</f>
        <v>0</v>
      </c>
      <c r="L414" s="38" t="str">
        <f aca="false">IF($A414="","",IFERROR(INDEX(L_Data,MATCH(1,INDEX((L_ParcID=$A414)*(L_Status="REALIZADO"),0),0)),""))</f>
        <v/>
      </c>
      <c r="M414" s="34" t="n">
        <f aca="false">IF($A414="",0,COUNTIFS(L_ParcID,$A414,L_Status,"REALIZADO"))</f>
        <v>0</v>
      </c>
      <c r="N414" s="34" t="n">
        <f aca="false">IF($A414="",0,COUNTIFS(L_ParcID,$A414,L_Status,"PROJETADO"))</f>
        <v>0</v>
      </c>
      <c r="O414" s="35" t="str">
        <f aca="false">IF($A414="","",IF($J414="SIM","PAGA",IF($M414&gt;0,"PAGA",IF($D414&lt;CFG_HOJE,"ATRASADA",IF($D414&lt;=EOMONTH(CFG_HOJE,0),"ABERTA","PROJETADA")))))</f>
        <v/>
      </c>
      <c r="P414" s="34" t="n">
        <f aca="false">IF($O414="ATRASADA",CFG_HOJE-$D414,0)</f>
        <v>0</v>
      </c>
      <c r="Q414" s="36" t="n">
        <f aca="false">IF($A414="",0,IF(AND($O414="PAGA",$J414="NAO"),$K414-$E414,0))</f>
        <v>0</v>
      </c>
    </row>
    <row r="415" customFormat="false" ht="15" hidden="false" customHeight="false" outlineLevel="0" collapsed="false">
      <c r="A415" s="30" t="str">
        <f aca="false">IF($B415="","","PAR-"&amp;TEXT(ROW()-4,"000000"))</f>
        <v/>
      </c>
      <c r="B415" s="32"/>
      <c r="C415" s="37"/>
      <c r="D415" s="31"/>
      <c r="E415" s="33"/>
      <c r="F415" s="32"/>
      <c r="G415" s="35" t="str">
        <f aca="false">IF($B415="","",IFERROR(INDEX(CM_NOME,MATCH($B415,CM_ID,0)),"?"))</f>
        <v/>
      </c>
      <c r="H415" s="34" t="str">
        <f aca="false">IF($B415="","",IFERROR(INDEX(CM_QTD,MATCH($B415,CM_ID,0)),""))</f>
        <v/>
      </c>
      <c r="I415" s="35" t="str">
        <f aca="false">IF($A415="","",$C415&amp;"/"&amp;$H415)</f>
        <v/>
      </c>
      <c r="J415" s="35" t="str">
        <f aca="false">IF($A415="","",IF($C415&lt;=IFERROR(INDEX(CM_PAGASANTES,MATCH($B415,CM_ID,0)),0),"SIM","NAO"))</f>
        <v/>
      </c>
      <c r="K415" s="36" t="n">
        <f aca="false">IF($A415="",0,SUMIFS(L_Valor,L_ParcID,$A415,L_Status,"REALIZADO"))</f>
        <v>0</v>
      </c>
      <c r="L415" s="38" t="str">
        <f aca="false">IF($A415="","",IFERROR(INDEX(L_Data,MATCH(1,INDEX((L_ParcID=$A415)*(L_Status="REALIZADO"),0),0)),""))</f>
        <v/>
      </c>
      <c r="M415" s="34" t="n">
        <f aca="false">IF($A415="",0,COUNTIFS(L_ParcID,$A415,L_Status,"REALIZADO"))</f>
        <v>0</v>
      </c>
      <c r="N415" s="34" t="n">
        <f aca="false">IF($A415="",0,COUNTIFS(L_ParcID,$A415,L_Status,"PROJETADO"))</f>
        <v>0</v>
      </c>
      <c r="O415" s="35" t="str">
        <f aca="false">IF($A415="","",IF($J415="SIM","PAGA",IF($M415&gt;0,"PAGA",IF($D415&lt;CFG_HOJE,"ATRASADA",IF($D415&lt;=EOMONTH(CFG_HOJE,0),"ABERTA","PROJETADA")))))</f>
        <v/>
      </c>
      <c r="P415" s="34" t="n">
        <f aca="false">IF($O415="ATRASADA",CFG_HOJE-$D415,0)</f>
        <v>0</v>
      </c>
      <c r="Q415" s="36" t="n">
        <f aca="false">IF($A415="",0,IF(AND($O415="PAGA",$J415="NAO"),$K415-$E415,0))</f>
        <v>0</v>
      </c>
    </row>
    <row r="416" customFormat="false" ht="15" hidden="false" customHeight="false" outlineLevel="0" collapsed="false">
      <c r="A416" s="30" t="str">
        <f aca="false">IF($B416="","","PAR-"&amp;TEXT(ROW()-4,"000000"))</f>
        <v/>
      </c>
      <c r="B416" s="32"/>
      <c r="C416" s="37"/>
      <c r="D416" s="31"/>
      <c r="E416" s="33"/>
      <c r="F416" s="32"/>
      <c r="G416" s="35" t="str">
        <f aca="false">IF($B416="","",IFERROR(INDEX(CM_NOME,MATCH($B416,CM_ID,0)),"?"))</f>
        <v/>
      </c>
      <c r="H416" s="34" t="str">
        <f aca="false">IF($B416="","",IFERROR(INDEX(CM_QTD,MATCH($B416,CM_ID,0)),""))</f>
        <v/>
      </c>
      <c r="I416" s="35" t="str">
        <f aca="false">IF($A416="","",$C416&amp;"/"&amp;$H416)</f>
        <v/>
      </c>
      <c r="J416" s="35" t="str">
        <f aca="false">IF($A416="","",IF($C416&lt;=IFERROR(INDEX(CM_PAGASANTES,MATCH($B416,CM_ID,0)),0),"SIM","NAO"))</f>
        <v/>
      </c>
      <c r="K416" s="36" t="n">
        <f aca="false">IF($A416="",0,SUMIFS(L_Valor,L_ParcID,$A416,L_Status,"REALIZADO"))</f>
        <v>0</v>
      </c>
      <c r="L416" s="38" t="str">
        <f aca="false">IF($A416="","",IFERROR(INDEX(L_Data,MATCH(1,INDEX((L_ParcID=$A416)*(L_Status="REALIZADO"),0),0)),""))</f>
        <v/>
      </c>
      <c r="M416" s="34" t="n">
        <f aca="false">IF($A416="",0,COUNTIFS(L_ParcID,$A416,L_Status,"REALIZADO"))</f>
        <v>0</v>
      </c>
      <c r="N416" s="34" t="n">
        <f aca="false">IF($A416="",0,COUNTIFS(L_ParcID,$A416,L_Status,"PROJETADO"))</f>
        <v>0</v>
      </c>
      <c r="O416" s="35" t="str">
        <f aca="false">IF($A416="","",IF($J416="SIM","PAGA",IF($M416&gt;0,"PAGA",IF($D416&lt;CFG_HOJE,"ATRASADA",IF($D416&lt;=EOMONTH(CFG_HOJE,0),"ABERTA","PROJETADA")))))</f>
        <v/>
      </c>
      <c r="P416" s="34" t="n">
        <f aca="false">IF($O416="ATRASADA",CFG_HOJE-$D416,0)</f>
        <v>0</v>
      </c>
      <c r="Q416" s="36" t="n">
        <f aca="false">IF($A416="",0,IF(AND($O416="PAGA",$J416="NAO"),$K416-$E416,0))</f>
        <v>0</v>
      </c>
    </row>
    <row r="417" customFormat="false" ht="15" hidden="false" customHeight="false" outlineLevel="0" collapsed="false">
      <c r="A417" s="30" t="str">
        <f aca="false">IF($B417="","","PAR-"&amp;TEXT(ROW()-4,"000000"))</f>
        <v/>
      </c>
      <c r="B417" s="32"/>
      <c r="C417" s="37"/>
      <c r="D417" s="31"/>
      <c r="E417" s="33"/>
      <c r="F417" s="32"/>
      <c r="G417" s="35" t="str">
        <f aca="false">IF($B417="","",IFERROR(INDEX(CM_NOME,MATCH($B417,CM_ID,0)),"?"))</f>
        <v/>
      </c>
      <c r="H417" s="34" t="str">
        <f aca="false">IF($B417="","",IFERROR(INDEX(CM_QTD,MATCH($B417,CM_ID,0)),""))</f>
        <v/>
      </c>
      <c r="I417" s="35" t="str">
        <f aca="false">IF($A417="","",$C417&amp;"/"&amp;$H417)</f>
        <v/>
      </c>
      <c r="J417" s="35" t="str">
        <f aca="false">IF($A417="","",IF($C417&lt;=IFERROR(INDEX(CM_PAGASANTES,MATCH($B417,CM_ID,0)),0),"SIM","NAO"))</f>
        <v/>
      </c>
      <c r="K417" s="36" t="n">
        <f aca="false">IF($A417="",0,SUMIFS(L_Valor,L_ParcID,$A417,L_Status,"REALIZADO"))</f>
        <v>0</v>
      </c>
      <c r="L417" s="38" t="str">
        <f aca="false">IF($A417="","",IFERROR(INDEX(L_Data,MATCH(1,INDEX((L_ParcID=$A417)*(L_Status="REALIZADO"),0),0)),""))</f>
        <v/>
      </c>
      <c r="M417" s="34" t="n">
        <f aca="false">IF($A417="",0,COUNTIFS(L_ParcID,$A417,L_Status,"REALIZADO"))</f>
        <v>0</v>
      </c>
      <c r="N417" s="34" t="n">
        <f aca="false">IF($A417="",0,COUNTIFS(L_ParcID,$A417,L_Status,"PROJETADO"))</f>
        <v>0</v>
      </c>
      <c r="O417" s="35" t="str">
        <f aca="false">IF($A417="","",IF($J417="SIM","PAGA",IF($M417&gt;0,"PAGA",IF($D417&lt;CFG_HOJE,"ATRASADA",IF($D417&lt;=EOMONTH(CFG_HOJE,0),"ABERTA","PROJETADA")))))</f>
        <v/>
      </c>
      <c r="P417" s="34" t="n">
        <f aca="false">IF($O417="ATRASADA",CFG_HOJE-$D417,0)</f>
        <v>0</v>
      </c>
      <c r="Q417" s="36" t="n">
        <f aca="false">IF($A417="",0,IF(AND($O417="PAGA",$J417="NAO"),$K417-$E417,0))</f>
        <v>0</v>
      </c>
    </row>
    <row r="418" customFormat="false" ht="15" hidden="false" customHeight="false" outlineLevel="0" collapsed="false">
      <c r="A418" s="30" t="str">
        <f aca="false">IF($B418="","","PAR-"&amp;TEXT(ROW()-4,"000000"))</f>
        <v/>
      </c>
      <c r="B418" s="32"/>
      <c r="C418" s="37"/>
      <c r="D418" s="31"/>
      <c r="E418" s="33"/>
      <c r="F418" s="32"/>
      <c r="G418" s="35" t="str">
        <f aca="false">IF($B418="","",IFERROR(INDEX(CM_NOME,MATCH($B418,CM_ID,0)),"?"))</f>
        <v/>
      </c>
      <c r="H418" s="34" t="str">
        <f aca="false">IF($B418="","",IFERROR(INDEX(CM_QTD,MATCH($B418,CM_ID,0)),""))</f>
        <v/>
      </c>
      <c r="I418" s="35" t="str">
        <f aca="false">IF($A418="","",$C418&amp;"/"&amp;$H418)</f>
        <v/>
      </c>
      <c r="J418" s="35" t="str">
        <f aca="false">IF($A418="","",IF($C418&lt;=IFERROR(INDEX(CM_PAGASANTES,MATCH($B418,CM_ID,0)),0),"SIM","NAO"))</f>
        <v/>
      </c>
      <c r="K418" s="36" t="n">
        <f aca="false">IF($A418="",0,SUMIFS(L_Valor,L_ParcID,$A418,L_Status,"REALIZADO"))</f>
        <v>0</v>
      </c>
      <c r="L418" s="38" t="str">
        <f aca="false">IF($A418="","",IFERROR(INDEX(L_Data,MATCH(1,INDEX((L_ParcID=$A418)*(L_Status="REALIZADO"),0),0)),""))</f>
        <v/>
      </c>
      <c r="M418" s="34" t="n">
        <f aca="false">IF($A418="",0,COUNTIFS(L_ParcID,$A418,L_Status,"REALIZADO"))</f>
        <v>0</v>
      </c>
      <c r="N418" s="34" t="n">
        <f aca="false">IF($A418="",0,COUNTIFS(L_ParcID,$A418,L_Status,"PROJETADO"))</f>
        <v>0</v>
      </c>
      <c r="O418" s="35" t="str">
        <f aca="false">IF($A418="","",IF($J418="SIM","PAGA",IF($M418&gt;0,"PAGA",IF($D418&lt;CFG_HOJE,"ATRASADA",IF($D418&lt;=EOMONTH(CFG_HOJE,0),"ABERTA","PROJETADA")))))</f>
        <v/>
      </c>
      <c r="P418" s="34" t="n">
        <f aca="false">IF($O418="ATRASADA",CFG_HOJE-$D418,0)</f>
        <v>0</v>
      </c>
      <c r="Q418" s="36" t="n">
        <f aca="false">IF($A418="",0,IF(AND($O418="PAGA",$J418="NAO"),$K418-$E418,0))</f>
        <v>0</v>
      </c>
    </row>
    <row r="419" customFormat="false" ht="15" hidden="false" customHeight="false" outlineLevel="0" collapsed="false">
      <c r="A419" s="30" t="str">
        <f aca="false">IF($B419="","","PAR-"&amp;TEXT(ROW()-4,"000000"))</f>
        <v/>
      </c>
      <c r="B419" s="32"/>
      <c r="C419" s="37"/>
      <c r="D419" s="31"/>
      <c r="E419" s="33"/>
      <c r="F419" s="32"/>
      <c r="G419" s="35" t="str">
        <f aca="false">IF($B419="","",IFERROR(INDEX(CM_NOME,MATCH($B419,CM_ID,0)),"?"))</f>
        <v/>
      </c>
      <c r="H419" s="34" t="str">
        <f aca="false">IF($B419="","",IFERROR(INDEX(CM_QTD,MATCH($B419,CM_ID,0)),""))</f>
        <v/>
      </c>
      <c r="I419" s="35" t="str">
        <f aca="false">IF($A419="","",$C419&amp;"/"&amp;$H419)</f>
        <v/>
      </c>
      <c r="J419" s="35" t="str">
        <f aca="false">IF($A419="","",IF($C419&lt;=IFERROR(INDEX(CM_PAGASANTES,MATCH($B419,CM_ID,0)),0),"SIM","NAO"))</f>
        <v/>
      </c>
      <c r="K419" s="36" t="n">
        <f aca="false">IF($A419="",0,SUMIFS(L_Valor,L_ParcID,$A419,L_Status,"REALIZADO"))</f>
        <v>0</v>
      </c>
      <c r="L419" s="38" t="str">
        <f aca="false">IF($A419="","",IFERROR(INDEX(L_Data,MATCH(1,INDEX((L_ParcID=$A419)*(L_Status="REALIZADO"),0),0)),""))</f>
        <v/>
      </c>
      <c r="M419" s="34" t="n">
        <f aca="false">IF($A419="",0,COUNTIFS(L_ParcID,$A419,L_Status,"REALIZADO"))</f>
        <v>0</v>
      </c>
      <c r="N419" s="34" t="n">
        <f aca="false">IF($A419="",0,COUNTIFS(L_ParcID,$A419,L_Status,"PROJETADO"))</f>
        <v>0</v>
      </c>
      <c r="O419" s="35" t="str">
        <f aca="false">IF($A419="","",IF($J419="SIM","PAGA",IF($M419&gt;0,"PAGA",IF($D419&lt;CFG_HOJE,"ATRASADA",IF($D419&lt;=EOMONTH(CFG_HOJE,0),"ABERTA","PROJETADA")))))</f>
        <v/>
      </c>
      <c r="P419" s="34" t="n">
        <f aca="false">IF($O419="ATRASADA",CFG_HOJE-$D419,0)</f>
        <v>0</v>
      </c>
      <c r="Q419" s="36" t="n">
        <f aca="false">IF($A419="",0,IF(AND($O419="PAGA",$J419="NAO"),$K419-$E419,0))</f>
        <v>0</v>
      </c>
    </row>
    <row r="420" customFormat="false" ht="15" hidden="false" customHeight="false" outlineLevel="0" collapsed="false">
      <c r="A420" s="30" t="str">
        <f aca="false">IF($B420="","","PAR-"&amp;TEXT(ROW()-4,"000000"))</f>
        <v/>
      </c>
      <c r="B420" s="32"/>
      <c r="C420" s="37"/>
      <c r="D420" s="31"/>
      <c r="E420" s="33"/>
      <c r="F420" s="32"/>
      <c r="G420" s="35" t="str">
        <f aca="false">IF($B420="","",IFERROR(INDEX(CM_NOME,MATCH($B420,CM_ID,0)),"?"))</f>
        <v/>
      </c>
      <c r="H420" s="34" t="str">
        <f aca="false">IF($B420="","",IFERROR(INDEX(CM_QTD,MATCH($B420,CM_ID,0)),""))</f>
        <v/>
      </c>
      <c r="I420" s="35" t="str">
        <f aca="false">IF($A420="","",$C420&amp;"/"&amp;$H420)</f>
        <v/>
      </c>
      <c r="J420" s="35" t="str">
        <f aca="false">IF($A420="","",IF($C420&lt;=IFERROR(INDEX(CM_PAGASANTES,MATCH($B420,CM_ID,0)),0),"SIM","NAO"))</f>
        <v/>
      </c>
      <c r="K420" s="36" t="n">
        <f aca="false">IF($A420="",0,SUMIFS(L_Valor,L_ParcID,$A420,L_Status,"REALIZADO"))</f>
        <v>0</v>
      </c>
      <c r="L420" s="38" t="str">
        <f aca="false">IF($A420="","",IFERROR(INDEX(L_Data,MATCH(1,INDEX((L_ParcID=$A420)*(L_Status="REALIZADO"),0),0)),""))</f>
        <v/>
      </c>
      <c r="M420" s="34" t="n">
        <f aca="false">IF($A420="",0,COUNTIFS(L_ParcID,$A420,L_Status,"REALIZADO"))</f>
        <v>0</v>
      </c>
      <c r="N420" s="34" t="n">
        <f aca="false">IF($A420="",0,COUNTIFS(L_ParcID,$A420,L_Status,"PROJETADO"))</f>
        <v>0</v>
      </c>
      <c r="O420" s="35" t="str">
        <f aca="false">IF($A420="","",IF($J420="SIM","PAGA",IF($M420&gt;0,"PAGA",IF($D420&lt;CFG_HOJE,"ATRASADA",IF($D420&lt;=EOMONTH(CFG_HOJE,0),"ABERTA","PROJETADA")))))</f>
        <v/>
      </c>
      <c r="P420" s="34" t="n">
        <f aca="false">IF($O420="ATRASADA",CFG_HOJE-$D420,0)</f>
        <v>0</v>
      </c>
      <c r="Q420" s="36" t="n">
        <f aca="false">IF($A420="",0,IF(AND($O420="PAGA",$J420="NAO"),$K420-$E420,0))</f>
        <v>0</v>
      </c>
    </row>
    <row r="421" customFormat="false" ht="15" hidden="false" customHeight="false" outlineLevel="0" collapsed="false">
      <c r="A421" s="30" t="str">
        <f aca="false">IF($B421="","","PAR-"&amp;TEXT(ROW()-4,"000000"))</f>
        <v/>
      </c>
      <c r="B421" s="32"/>
      <c r="C421" s="37"/>
      <c r="D421" s="31"/>
      <c r="E421" s="33"/>
      <c r="F421" s="32"/>
      <c r="G421" s="35" t="str">
        <f aca="false">IF($B421="","",IFERROR(INDEX(CM_NOME,MATCH($B421,CM_ID,0)),"?"))</f>
        <v/>
      </c>
      <c r="H421" s="34" t="str">
        <f aca="false">IF($B421="","",IFERROR(INDEX(CM_QTD,MATCH($B421,CM_ID,0)),""))</f>
        <v/>
      </c>
      <c r="I421" s="35" t="str">
        <f aca="false">IF($A421="","",$C421&amp;"/"&amp;$H421)</f>
        <v/>
      </c>
      <c r="J421" s="35" t="str">
        <f aca="false">IF($A421="","",IF($C421&lt;=IFERROR(INDEX(CM_PAGASANTES,MATCH($B421,CM_ID,0)),0),"SIM","NAO"))</f>
        <v/>
      </c>
      <c r="K421" s="36" t="n">
        <f aca="false">IF($A421="",0,SUMIFS(L_Valor,L_ParcID,$A421,L_Status,"REALIZADO"))</f>
        <v>0</v>
      </c>
      <c r="L421" s="38" t="str">
        <f aca="false">IF($A421="","",IFERROR(INDEX(L_Data,MATCH(1,INDEX((L_ParcID=$A421)*(L_Status="REALIZADO"),0),0)),""))</f>
        <v/>
      </c>
      <c r="M421" s="34" t="n">
        <f aca="false">IF($A421="",0,COUNTIFS(L_ParcID,$A421,L_Status,"REALIZADO"))</f>
        <v>0</v>
      </c>
      <c r="N421" s="34" t="n">
        <f aca="false">IF($A421="",0,COUNTIFS(L_ParcID,$A421,L_Status,"PROJETADO"))</f>
        <v>0</v>
      </c>
      <c r="O421" s="35" t="str">
        <f aca="false">IF($A421="","",IF($J421="SIM","PAGA",IF($M421&gt;0,"PAGA",IF($D421&lt;CFG_HOJE,"ATRASADA",IF($D421&lt;=EOMONTH(CFG_HOJE,0),"ABERTA","PROJETADA")))))</f>
        <v/>
      </c>
      <c r="P421" s="34" t="n">
        <f aca="false">IF($O421="ATRASADA",CFG_HOJE-$D421,0)</f>
        <v>0</v>
      </c>
      <c r="Q421" s="36" t="n">
        <f aca="false">IF($A421="",0,IF(AND($O421="PAGA",$J421="NAO"),$K421-$E421,0))</f>
        <v>0</v>
      </c>
    </row>
    <row r="422" customFormat="false" ht="15" hidden="false" customHeight="false" outlineLevel="0" collapsed="false">
      <c r="A422" s="30" t="str">
        <f aca="false">IF($B422="","","PAR-"&amp;TEXT(ROW()-4,"000000"))</f>
        <v/>
      </c>
      <c r="B422" s="32"/>
      <c r="C422" s="37"/>
      <c r="D422" s="31"/>
      <c r="E422" s="33"/>
      <c r="F422" s="32"/>
      <c r="G422" s="35" t="str">
        <f aca="false">IF($B422="","",IFERROR(INDEX(CM_NOME,MATCH($B422,CM_ID,0)),"?"))</f>
        <v/>
      </c>
      <c r="H422" s="34" t="str">
        <f aca="false">IF($B422="","",IFERROR(INDEX(CM_QTD,MATCH($B422,CM_ID,0)),""))</f>
        <v/>
      </c>
      <c r="I422" s="35" t="str">
        <f aca="false">IF($A422="","",$C422&amp;"/"&amp;$H422)</f>
        <v/>
      </c>
      <c r="J422" s="35" t="str">
        <f aca="false">IF($A422="","",IF($C422&lt;=IFERROR(INDEX(CM_PAGASANTES,MATCH($B422,CM_ID,0)),0),"SIM","NAO"))</f>
        <v/>
      </c>
      <c r="K422" s="36" t="n">
        <f aca="false">IF($A422="",0,SUMIFS(L_Valor,L_ParcID,$A422,L_Status,"REALIZADO"))</f>
        <v>0</v>
      </c>
      <c r="L422" s="38" t="str">
        <f aca="false">IF($A422="","",IFERROR(INDEX(L_Data,MATCH(1,INDEX((L_ParcID=$A422)*(L_Status="REALIZADO"),0),0)),""))</f>
        <v/>
      </c>
      <c r="M422" s="34" t="n">
        <f aca="false">IF($A422="",0,COUNTIFS(L_ParcID,$A422,L_Status,"REALIZADO"))</f>
        <v>0</v>
      </c>
      <c r="N422" s="34" t="n">
        <f aca="false">IF($A422="",0,COUNTIFS(L_ParcID,$A422,L_Status,"PROJETADO"))</f>
        <v>0</v>
      </c>
      <c r="O422" s="35" t="str">
        <f aca="false">IF($A422="","",IF($J422="SIM","PAGA",IF($M422&gt;0,"PAGA",IF($D422&lt;CFG_HOJE,"ATRASADA",IF($D422&lt;=EOMONTH(CFG_HOJE,0),"ABERTA","PROJETADA")))))</f>
        <v/>
      </c>
      <c r="P422" s="34" t="n">
        <f aca="false">IF($O422="ATRASADA",CFG_HOJE-$D422,0)</f>
        <v>0</v>
      </c>
      <c r="Q422" s="36" t="n">
        <f aca="false">IF($A422="",0,IF(AND($O422="PAGA",$J422="NAO"),$K422-$E422,0))</f>
        <v>0</v>
      </c>
    </row>
    <row r="423" customFormat="false" ht="15" hidden="false" customHeight="false" outlineLevel="0" collapsed="false">
      <c r="A423" s="30" t="str">
        <f aca="false">IF($B423="","","PAR-"&amp;TEXT(ROW()-4,"000000"))</f>
        <v/>
      </c>
      <c r="B423" s="32"/>
      <c r="C423" s="37"/>
      <c r="D423" s="31"/>
      <c r="E423" s="33"/>
      <c r="F423" s="32"/>
      <c r="G423" s="35" t="str">
        <f aca="false">IF($B423="","",IFERROR(INDEX(CM_NOME,MATCH($B423,CM_ID,0)),"?"))</f>
        <v/>
      </c>
      <c r="H423" s="34" t="str">
        <f aca="false">IF($B423="","",IFERROR(INDEX(CM_QTD,MATCH($B423,CM_ID,0)),""))</f>
        <v/>
      </c>
      <c r="I423" s="35" t="str">
        <f aca="false">IF($A423="","",$C423&amp;"/"&amp;$H423)</f>
        <v/>
      </c>
      <c r="J423" s="35" t="str">
        <f aca="false">IF($A423="","",IF($C423&lt;=IFERROR(INDEX(CM_PAGASANTES,MATCH($B423,CM_ID,0)),0),"SIM","NAO"))</f>
        <v/>
      </c>
      <c r="K423" s="36" t="n">
        <f aca="false">IF($A423="",0,SUMIFS(L_Valor,L_ParcID,$A423,L_Status,"REALIZADO"))</f>
        <v>0</v>
      </c>
      <c r="L423" s="38" t="str">
        <f aca="false">IF($A423="","",IFERROR(INDEX(L_Data,MATCH(1,INDEX((L_ParcID=$A423)*(L_Status="REALIZADO"),0),0)),""))</f>
        <v/>
      </c>
      <c r="M423" s="34" t="n">
        <f aca="false">IF($A423="",0,COUNTIFS(L_ParcID,$A423,L_Status,"REALIZADO"))</f>
        <v>0</v>
      </c>
      <c r="N423" s="34" t="n">
        <f aca="false">IF($A423="",0,COUNTIFS(L_ParcID,$A423,L_Status,"PROJETADO"))</f>
        <v>0</v>
      </c>
      <c r="O423" s="35" t="str">
        <f aca="false">IF($A423="","",IF($J423="SIM","PAGA",IF($M423&gt;0,"PAGA",IF($D423&lt;CFG_HOJE,"ATRASADA",IF($D423&lt;=EOMONTH(CFG_HOJE,0),"ABERTA","PROJETADA")))))</f>
        <v/>
      </c>
      <c r="P423" s="34" t="n">
        <f aca="false">IF($O423="ATRASADA",CFG_HOJE-$D423,0)</f>
        <v>0</v>
      </c>
      <c r="Q423" s="36" t="n">
        <f aca="false">IF($A423="",0,IF(AND($O423="PAGA",$J423="NAO"),$K423-$E423,0))</f>
        <v>0</v>
      </c>
    </row>
    <row r="424" customFormat="false" ht="15" hidden="false" customHeight="false" outlineLevel="0" collapsed="false">
      <c r="A424" s="30" t="str">
        <f aca="false">IF($B424="","","PAR-"&amp;TEXT(ROW()-4,"000000"))</f>
        <v/>
      </c>
      <c r="B424" s="32"/>
      <c r="C424" s="37"/>
      <c r="D424" s="31"/>
      <c r="E424" s="33"/>
      <c r="F424" s="32"/>
      <c r="G424" s="35" t="str">
        <f aca="false">IF($B424="","",IFERROR(INDEX(CM_NOME,MATCH($B424,CM_ID,0)),"?"))</f>
        <v/>
      </c>
      <c r="H424" s="34" t="str">
        <f aca="false">IF($B424="","",IFERROR(INDEX(CM_QTD,MATCH($B424,CM_ID,0)),""))</f>
        <v/>
      </c>
      <c r="I424" s="35" t="str">
        <f aca="false">IF($A424="","",$C424&amp;"/"&amp;$H424)</f>
        <v/>
      </c>
      <c r="J424" s="35" t="str">
        <f aca="false">IF($A424="","",IF($C424&lt;=IFERROR(INDEX(CM_PAGASANTES,MATCH($B424,CM_ID,0)),0),"SIM","NAO"))</f>
        <v/>
      </c>
      <c r="K424" s="36" t="n">
        <f aca="false">IF($A424="",0,SUMIFS(L_Valor,L_ParcID,$A424,L_Status,"REALIZADO"))</f>
        <v>0</v>
      </c>
      <c r="L424" s="38" t="str">
        <f aca="false">IF($A424="","",IFERROR(INDEX(L_Data,MATCH(1,INDEX((L_ParcID=$A424)*(L_Status="REALIZADO"),0),0)),""))</f>
        <v/>
      </c>
      <c r="M424" s="34" t="n">
        <f aca="false">IF($A424="",0,COUNTIFS(L_ParcID,$A424,L_Status,"REALIZADO"))</f>
        <v>0</v>
      </c>
      <c r="N424" s="34" t="n">
        <f aca="false">IF($A424="",0,COUNTIFS(L_ParcID,$A424,L_Status,"PROJETADO"))</f>
        <v>0</v>
      </c>
      <c r="O424" s="35" t="str">
        <f aca="false">IF($A424="","",IF($J424="SIM","PAGA",IF($M424&gt;0,"PAGA",IF($D424&lt;CFG_HOJE,"ATRASADA",IF($D424&lt;=EOMONTH(CFG_HOJE,0),"ABERTA","PROJETADA")))))</f>
        <v/>
      </c>
      <c r="P424" s="34" t="n">
        <f aca="false">IF($O424="ATRASADA",CFG_HOJE-$D424,0)</f>
        <v>0</v>
      </c>
      <c r="Q424" s="36" t="n">
        <f aca="false">IF($A424="",0,IF(AND($O424="PAGA",$J424="NAO"),$K424-$E424,0))</f>
        <v>0</v>
      </c>
    </row>
    <row r="425" customFormat="false" ht="15" hidden="false" customHeight="false" outlineLevel="0" collapsed="false">
      <c r="A425" s="30" t="str">
        <f aca="false">IF($B425="","","PAR-"&amp;TEXT(ROW()-4,"000000"))</f>
        <v/>
      </c>
      <c r="B425" s="32"/>
      <c r="C425" s="37"/>
      <c r="D425" s="31"/>
      <c r="E425" s="33"/>
      <c r="F425" s="32"/>
      <c r="G425" s="35" t="str">
        <f aca="false">IF($B425="","",IFERROR(INDEX(CM_NOME,MATCH($B425,CM_ID,0)),"?"))</f>
        <v/>
      </c>
      <c r="H425" s="34" t="str">
        <f aca="false">IF($B425="","",IFERROR(INDEX(CM_QTD,MATCH($B425,CM_ID,0)),""))</f>
        <v/>
      </c>
      <c r="I425" s="35" t="str">
        <f aca="false">IF($A425="","",$C425&amp;"/"&amp;$H425)</f>
        <v/>
      </c>
      <c r="J425" s="35" t="str">
        <f aca="false">IF($A425="","",IF($C425&lt;=IFERROR(INDEX(CM_PAGASANTES,MATCH($B425,CM_ID,0)),0),"SIM","NAO"))</f>
        <v/>
      </c>
      <c r="K425" s="36" t="n">
        <f aca="false">IF($A425="",0,SUMIFS(L_Valor,L_ParcID,$A425,L_Status,"REALIZADO"))</f>
        <v>0</v>
      </c>
      <c r="L425" s="38" t="str">
        <f aca="false">IF($A425="","",IFERROR(INDEX(L_Data,MATCH(1,INDEX((L_ParcID=$A425)*(L_Status="REALIZADO"),0),0)),""))</f>
        <v/>
      </c>
      <c r="M425" s="34" t="n">
        <f aca="false">IF($A425="",0,COUNTIFS(L_ParcID,$A425,L_Status,"REALIZADO"))</f>
        <v>0</v>
      </c>
      <c r="N425" s="34" t="n">
        <f aca="false">IF($A425="",0,COUNTIFS(L_ParcID,$A425,L_Status,"PROJETADO"))</f>
        <v>0</v>
      </c>
      <c r="O425" s="35" t="str">
        <f aca="false">IF($A425="","",IF($J425="SIM","PAGA",IF($M425&gt;0,"PAGA",IF($D425&lt;CFG_HOJE,"ATRASADA",IF($D425&lt;=EOMONTH(CFG_HOJE,0),"ABERTA","PROJETADA")))))</f>
        <v/>
      </c>
      <c r="P425" s="34" t="n">
        <f aca="false">IF($O425="ATRASADA",CFG_HOJE-$D425,0)</f>
        <v>0</v>
      </c>
      <c r="Q425" s="36" t="n">
        <f aca="false">IF($A425="",0,IF(AND($O425="PAGA",$J425="NAO"),$K425-$E425,0))</f>
        <v>0</v>
      </c>
    </row>
    <row r="426" customFormat="false" ht="15" hidden="false" customHeight="false" outlineLevel="0" collapsed="false">
      <c r="A426" s="30" t="str">
        <f aca="false">IF($B426="","","PAR-"&amp;TEXT(ROW()-4,"000000"))</f>
        <v/>
      </c>
      <c r="B426" s="32"/>
      <c r="C426" s="37"/>
      <c r="D426" s="31"/>
      <c r="E426" s="33"/>
      <c r="F426" s="32"/>
      <c r="G426" s="35" t="str">
        <f aca="false">IF($B426="","",IFERROR(INDEX(CM_NOME,MATCH($B426,CM_ID,0)),"?"))</f>
        <v/>
      </c>
      <c r="H426" s="34" t="str">
        <f aca="false">IF($B426="","",IFERROR(INDEX(CM_QTD,MATCH($B426,CM_ID,0)),""))</f>
        <v/>
      </c>
      <c r="I426" s="35" t="str">
        <f aca="false">IF($A426="","",$C426&amp;"/"&amp;$H426)</f>
        <v/>
      </c>
      <c r="J426" s="35" t="str">
        <f aca="false">IF($A426="","",IF($C426&lt;=IFERROR(INDEX(CM_PAGASANTES,MATCH($B426,CM_ID,0)),0),"SIM","NAO"))</f>
        <v/>
      </c>
      <c r="K426" s="36" t="n">
        <f aca="false">IF($A426="",0,SUMIFS(L_Valor,L_ParcID,$A426,L_Status,"REALIZADO"))</f>
        <v>0</v>
      </c>
      <c r="L426" s="38" t="str">
        <f aca="false">IF($A426="","",IFERROR(INDEX(L_Data,MATCH(1,INDEX((L_ParcID=$A426)*(L_Status="REALIZADO"),0),0)),""))</f>
        <v/>
      </c>
      <c r="M426" s="34" t="n">
        <f aca="false">IF($A426="",0,COUNTIFS(L_ParcID,$A426,L_Status,"REALIZADO"))</f>
        <v>0</v>
      </c>
      <c r="N426" s="34" t="n">
        <f aca="false">IF($A426="",0,COUNTIFS(L_ParcID,$A426,L_Status,"PROJETADO"))</f>
        <v>0</v>
      </c>
      <c r="O426" s="35" t="str">
        <f aca="false">IF($A426="","",IF($J426="SIM","PAGA",IF($M426&gt;0,"PAGA",IF($D426&lt;CFG_HOJE,"ATRASADA",IF($D426&lt;=EOMONTH(CFG_HOJE,0),"ABERTA","PROJETADA")))))</f>
        <v/>
      </c>
      <c r="P426" s="34" t="n">
        <f aca="false">IF($O426="ATRASADA",CFG_HOJE-$D426,0)</f>
        <v>0</v>
      </c>
      <c r="Q426" s="36" t="n">
        <f aca="false">IF($A426="",0,IF(AND($O426="PAGA",$J426="NAO"),$K426-$E426,0))</f>
        <v>0</v>
      </c>
    </row>
    <row r="427" customFormat="false" ht="15" hidden="false" customHeight="false" outlineLevel="0" collapsed="false">
      <c r="A427" s="30" t="str">
        <f aca="false">IF($B427="","","PAR-"&amp;TEXT(ROW()-4,"000000"))</f>
        <v/>
      </c>
      <c r="B427" s="32"/>
      <c r="C427" s="37"/>
      <c r="D427" s="31"/>
      <c r="E427" s="33"/>
      <c r="F427" s="32"/>
      <c r="G427" s="35" t="str">
        <f aca="false">IF($B427="","",IFERROR(INDEX(CM_NOME,MATCH($B427,CM_ID,0)),"?"))</f>
        <v/>
      </c>
      <c r="H427" s="34" t="str">
        <f aca="false">IF($B427="","",IFERROR(INDEX(CM_QTD,MATCH($B427,CM_ID,0)),""))</f>
        <v/>
      </c>
      <c r="I427" s="35" t="str">
        <f aca="false">IF($A427="","",$C427&amp;"/"&amp;$H427)</f>
        <v/>
      </c>
      <c r="J427" s="35" t="str">
        <f aca="false">IF($A427="","",IF($C427&lt;=IFERROR(INDEX(CM_PAGASANTES,MATCH($B427,CM_ID,0)),0),"SIM","NAO"))</f>
        <v/>
      </c>
      <c r="K427" s="36" t="n">
        <f aca="false">IF($A427="",0,SUMIFS(L_Valor,L_ParcID,$A427,L_Status,"REALIZADO"))</f>
        <v>0</v>
      </c>
      <c r="L427" s="38" t="str">
        <f aca="false">IF($A427="","",IFERROR(INDEX(L_Data,MATCH(1,INDEX((L_ParcID=$A427)*(L_Status="REALIZADO"),0),0)),""))</f>
        <v/>
      </c>
      <c r="M427" s="34" t="n">
        <f aca="false">IF($A427="",0,COUNTIFS(L_ParcID,$A427,L_Status,"REALIZADO"))</f>
        <v>0</v>
      </c>
      <c r="N427" s="34" t="n">
        <f aca="false">IF($A427="",0,COUNTIFS(L_ParcID,$A427,L_Status,"PROJETADO"))</f>
        <v>0</v>
      </c>
      <c r="O427" s="35" t="str">
        <f aca="false">IF($A427="","",IF($J427="SIM","PAGA",IF($M427&gt;0,"PAGA",IF($D427&lt;CFG_HOJE,"ATRASADA",IF($D427&lt;=EOMONTH(CFG_HOJE,0),"ABERTA","PROJETADA")))))</f>
        <v/>
      </c>
      <c r="P427" s="34" t="n">
        <f aca="false">IF($O427="ATRASADA",CFG_HOJE-$D427,0)</f>
        <v>0</v>
      </c>
      <c r="Q427" s="36" t="n">
        <f aca="false">IF($A427="",0,IF(AND($O427="PAGA",$J427="NAO"),$K427-$E427,0))</f>
        <v>0</v>
      </c>
    </row>
    <row r="428" customFormat="false" ht="15" hidden="false" customHeight="false" outlineLevel="0" collapsed="false">
      <c r="A428" s="30" t="str">
        <f aca="false">IF($B428="","","PAR-"&amp;TEXT(ROW()-4,"000000"))</f>
        <v/>
      </c>
      <c r="B428" s="32"/>
      <c r="C428" s="37"/>
      <c r="D428" s="31"/>
      <c r="E428" s="33"/>
      <c r="F428" s="32"/>
      <c r="G428" s="35" t="str">
        <f aca="false">IF($B428="","",IFERROR(INDEX(CM_NOME,MATCH($B428,CM_ID,0)),"?"))</f>
        <v/>
      </c>
      <c r="H428" s="34" t="str">
        <f aca="false">IF($B428="","",IFERROR(INDEX(CM_QTD,MATCH($B428,CM_ID,0)),""))</f>
        <v/>
      </c>
      <c r="I428" s="35" t="str">
        <f aca="false">IF($A428="","",$C428&amp;"/"&amp;$H428)</f>
        <v/>
      </c>
      <c r="J428" s="35" t="str">
        <f aca="false">IF($A428="","",IF($C428&lt;=IFERROR(INDEX(CM_PAGASANTES,MATCH($B428,CM_ID,0)),0),"SIM","NAO"))</f>
        <v/>
      </c>
      <c r="K428" s="36" t="n">
        <f aca="false">IF($A428="",0,SUMIFS(L_Valor,L_ParcID,$A428,L_Status,"REALIZADO"))</f>
        <v>0</v>
      </c>
      <c r="L428" s="38" t="str">
        <f aca="false">IF($A428="","",IFERROR(INDEX(L_Data,MATCH(1,INDEX((L_ParcID=$A428)*(L_Status="REALIZADO"),0),0)),""))</f>
        <v/>
      </c>
      <c r="M428" s="34" t="n">
        <f aca="false">IF($A428="",0,COUNTIFS(L_ParcID,$A428,L_Status,"REALIZADO"))</f>
        <v>0</v>
      </c>
      <c r="N428" s="34" t="n">
        <f aca="false">IF($A428="",0,COUNTIFS(L_ParcID,$A428,L_Status,"PROJETADO"))</f>
        <v>0</v>
      </c>
      <c r="O428" s="35" t="str">
        <f aca="false">IF($A428="","",IF($J428="SIM","PAGA",IF($M428&gt;0,"PAGA",IF($D428&lt;CFG_HOJE,"ATRASADA",IF($D428&lt;=EOMONTH(CFG_HOJE,0),"ABERTA","PROJETADA")))))</f>
        <v/>
      </c>
      <c r="P428" s="34" t="n">
        <f aca="false">IF($O428="ATRASADA",CFG_HOJE-$D428,0)</f>
        <v>0</v>
      </c>
      <c r="Q428" s="36" t="n">
        <f aca="false">IF($A428="",0,IF(AND($O428="PAGA",$J428="NAO"),$K428-$E428,0))</f>
        <v>0</v>
      </c>
    </row>
    <row r="429" customFormat="false" ht="15" hidden="false" customHeight="false" outlineLevel="0" collapsed="false">
      <c r="A429" s="30" t="str">
        <f aca="false">IF($B429="","","PAR-"&amp;TEXT(ROW()-4,"000000"))</f>
        <v/>
      </c>
      <c r="B429" s="32"/>
      <c r="C429" s="37"/>
      <c r="D429" s="31"/>
      <c r="E429" s="33"/>
      <c r="F429" s="32"/>
      <c r="G429" s="35" t="str">
        <f aca="false">IF($B429="","",IFERROR(INDEX(CM_NOME,MATCH($B429,CM_ID,0)),"?"))</f>
        <v/>
      </c>
      <c r="H429" s="34" t="str">
        <f aca="false">IF($B429="","",IFERROR(INDEX(CM_QTD,MATCH($B429,CM_ID,0)),""))</f>
        <v/>
      </c>
      <c r="I429" s="35" t="str">
        <f aca="false">IF($A429="","",$C429&amp;"/"&amp;$H429)</f>
        <v/>
      </c>
      <c r="J429" s="35" t="str">
        <f aca="false">IF($A429="","",IF($C429&lt;=IFERROR(INDEX(CM_PAGASANTES,MATCH($B429,CM_ID,0)),0),"SIM","NAO"))</f>
        <v/>
      </c>
      <c r="K429" s="36" t="n">
        <f aca="false">IF($A429="",0,SUMIFS(L_Valor,L_ParcID,$A429,L_Status,"REALIZADO"))</f>
        <v>0</v>
      </c>
      <c r="L429" s="38" t="str">
        <f aca="false">IF($A429="","",IFERROR(INDEX(L_Data,MATCH(1,INDEX((L_ParcID=$A429)*(L_Status="REALIZADO"),0),0)),""))</f>
        <v/>
      </c>
      <c r="M429" s="34" t="n">
        <f aca="false">IF($A429="",0,COUNTIFS(L_ParcID,$A429,L_Status,"REALIZADO"))</f>
        <v>0</v>
      </c>
      <c r="N429" s="34" t="n">
        <f aca="false">IF($A429="",0,COUNTIFS(L_ParcID,$A429,L_Status,"PROJETADO"))</f>
        <v>0</v>
      </c>
      <c r="O429" s="35" t="str">
        <f aca="false">IF($A429="","",IF($J429="SIM","PAGA",IF($M429&gt;0,"PAGA",IF($D429&lt;CFG_HOJE,"ATRASADA",IF($D429&lt;=EOMONTH(CFG_HOJE,0),"ABERTA","PROJETADA")))))</f>
        <v/>
      </c>
      <c r="P429" s="34" t="n">
        <f aca="false">IF($O429="ATRASADA",CFG_HOJE-$D429,0)</f>
        <v>0</v>
      </c>
      <c r="Q429" s="36" t="n">
        <f aca="false">IF($A429="",0,IF(AND($O429="PAGA",$J429="NAO"),$K429-$E429,0))</f>
        <v>0</v>
      </c>
    </row>
    <row r="430" customFormat="false" ht="15" hidden="false" customHeight="false" outlineLevel="0" collapsed="false">
      <c r="A430" s="30" t="str">
        <f aca="false">IF($B430="","","PAR-"&amp;TEXT(ROW()-4,"000000"))</f>
        <v/>
      </c>
      <c r="B430" s="32"/>
      <c r="C430" s="37"/>
      <c r="D430" s="31"/>
      <c r="E430" s="33"/>
      <c r="F430" s="32"/>
      <c r="G430" s="35" t="str">
        <f aca="false">IF($B430="","",IFERROR(INDEX(CM_NOME,MATCH($B430,CM_ID,0)),"?"))</f>
        <v/>
      </c>
      <c r="H430" s="34" t="str">
        <f aca="false">IF($B430="","",IFERROR(INDEX(CM_QTD,MATCH($B430,CM_ID,0)),""))</f>
        <v/>
      </c>
      <c r="I430" s="35" t="str">
        <f aca="false">IF($A430="","",$C430&amp;"/"&amp;$H430)</f>
        <v/>
      </c>
      <c r="J430" s="35" t="str">
        <f aca="false">IF($A430="","",IF($C430&lt;=IFERROR(INDEX(CM_PAGASANTES,MATCH($B430,CM_ID,0)),0),"SIM","NAO"))</f>
        <v/>
      </c>
      <c r="K430" s="36" t="n">
        <f aca="false">IF($A430="",0,SUMIFS(L_Valor,L_ParcID,$A430,L_Status,"REALIZADO"))</f>
        <v>0</v>
      </c>
      <c r="L430" s="38" t="str">
        <f aca="false">IF($A430="","",IFERROR(INDEX(L_Data,MATCH(1,INDEX((L_ParcID=$A430)*(L_Status="REALIZADO"),0),0)),""))</f>
        <v/>
      </c>
      <c r="M430" s="34" t="n">
        <f aca="false">IF($A430="",0,COUNTIFS(L_ParcID,$A430,L_Status,"REALIZADO"))</f>
        <v>0</v>
      </c>
      <c r="N430" s="34" t="n">
        <f aca="false">IF($A430="",0,COUNTIFS(L_ParcID,$A430,L_Status,"PROJETADO"))</f>
        <v>0</v>
      </c>
      <c r="O430" s="35" t="str">
        <f aca="false">IF($A430="","",IF($J430="SIM","PAGA",IF($M430&gt;0,"PAGA",IF($D430&lt;CFG_HOJE,"ATRASADA",IF($D430&lt;=EOMONTH(CFG_HOJE,0),"ABERTA","PROJETADA")))))</f>
        <v/>
      </c>
      <c r="P430" s="34" t="n">
        <f aca="false">IF($O430="ATRASADA",CFG_HOJE-$D430,0)</f>
        <v>0</v>
      </c>
      <c r="Q430" s="36" t="n">
        <f aca="false">IF($A430="",0,IF(AND($O430="PAGA",$J430="NAO"),$K430-$E430,0))</f>
        <v>0</v>
      </c>
    </row>
    <row r="431" customFormat="false" ht="15" hidden="false" customHeight="false" outlineLevel="0" collapsed="false">
      <c r="A431" s="30" t="str">
        <f aca="false">IF($B431="","","PAR-"&amp;TEXT(ROW()-4,"000000"))</f>
        <v/>
      </c>
      <c r="B431" s="32"/>
      <c r="C431" s="37"/>
      <c r="D431" s="31"/>
      <c r="E431" s="33"/>
      <c r="F431" s="32"/>
      <c r="G431" s="35" t="str">
        <f aca="false">IF($B431="","",IFERROR(INDEX(CM_NOME,MATCH($B431,CM_ID,0)),"?"))</f>
        <v/>
      </c>
      <c r="H431" s="34" t="str">
        <f aca="false">IF($B431="","",IFERROR(INDEX(CM_QTD,MATCH($B431,CM_ID,0)),""))</f>
        <v/>
      </c>
      <c r="I431" s="35" t="str">
        <f aca="false">IF($A431="","",$C431&amp;"/"&amp;$H431)</f>
        <v/>
      </c>
      <c r="J431" s="35" t="str">
        <f aca="false">IF($A431="","",IF($C431&lt;=IFERROR(INDEX(CM_PAGASANTES,MATCH($B431,CM_ID,0)),0),"SIM","NAO"))</f>
        <v/>
      </c>
      <c r="K431" s="36" t="n">
        <f aca="false">IF($A431="",0,SUMIFS(L_Valor,L_ParcID,$A431,L_Status,"REALIZADO"))</f>
        <v>0</v>
      </c>
      <c r="L431" s="38" t="str">
        <f aca="false">IF($A431="","",IFERROR(INDEX(L_Data,MATCH(1,INDEX((L_ParcID=$A431)*(L_Status="REALIZADO"),0),0)),""))</f>
        <v/>
      </c>
      <c r="M431" s="34" t="n">
        <f aca="false">IF($A431="",0,COUNTIFS(L_ParcID,$A431,L_Status,"REALIZADO"))</f>
        <v>0</v>
      </c>
      <c r="N431" s="34" t="n">
        <f aca="false">IF($A431="",0,COUNTIFS(L_ParcID,$A431,L_Status,"PROJETADO"))</f>
        <v>0</v>
      </c>
      <c r="O431" s="35" t="str">
        <f aca="false">IF($A431="","",IF($J431="SIM","PAGA",IF($M431&gt;0,"PAGA",IF($D431&lt;CFG_HOJE,"ATRASADA",IF($D431&lt;=EOMONTH(CFG_HOJE,0),"ABERTA","PROJETADA")))))</f>
        <v/>
      </c>
      <c r="P431" s="34" t="n">
        <f aca="false">IF($O431="ATRASADA",CFG_HOJE-$D431,0)</f>
        <v>0</v>
      </c>
      <c r="Q431" s="36" t="n">
        <f aca="false">IF($A431="",0,IF(AND($O431="PAGA",$J431="NAO"),$K431-$E431,0))</f>
        <v>0</v>
      </c>
    </row>
    <row r="432" customFormat="false" ht="15" hidden="false" customHeight="false" outlineLevel="0" collapsed="false">
      <c r="A432" s="30" t="str">
        <f aca="false">IF($B432="","","PAR-"&amp;TEXT(ROW()-4,"000000"))</f>
        <v/>
      </c>
      <c r="B432" s="32"/>
      <c r="C432" s="37"/>
      <c r="D432" s="31"/>
      <c r="E432" s="33"/>
      <c r="F432" s="32"/>
      <c r="G432" s="35" t="str">
        <f aca="false">IF($B432="","",IFERROR(INDEX(CM_NOME,MATCH($B432,CM_ID,0)),"?"))</f>
        <v/>
      </c>
      <c r="H432" s="34" t="str">
        <f aca="false">IF($B432="","",IFERROR(INDEX(CM_QTD,MATCH($B432,CM_ID,0)),""))</f>
        <v/>
      </c>
      <c r="I432" s="35" t="str">
        <f aca="false">IF($A432="","",$C432&amp;"/"&amp;$H432)</f>
        <v/>
      </c>
      <c r="J432" s="35" t="str">
        <f aca="false">IF($A432="","",IF($C432&lt;=IFERROR(INDEX(CM_PAGASANTES,MATCH($B432,CM_ID,0)),0),"SIM","NAO"))</f>
        <v/>
      </c>
      <c r="K432" s="36" t="n">
        <f aca="false">IF($A432="",0,SUMIFS(L_Valor,L_ParcID,$A432,L_Status,"REALIZADO"))</f>
        <v>0</v>
      </c>
      <c r="L432" s="38" t="str">
        <f aca="false">IF($A432="","",IFERROR(INDEX(L_Data,MATCH(1,INDEX((L_ParcID=$A432)*(L_Status="REALIZADO"),0),0)),""))</f>
        <v/>
      </c>
      <c r="M432" s="34" t="n">
        <f aca="false">IF($A432="",0,COUNTIFS(L_ParcID,$A432,L_Status,"REALIZADO"))</f>
        <v>0</v>
      </c>
      <c r="N432" s="34" t="n">
        <f aca="false">IF($A432="",0,COUNTIFS(L_ParcID,$A432,L_Status,"PROJETADO"))</f>
        <v>0</v>
      </c>
      <c r="O432" s="35" t="str">
        <f aca="false">IF($A432="","",IF($J432="SIM","PAGA",IF($M432&gt;0,"PAGA",IF($D432&lt;CFG_HOJE,"ATRASADA",IF($D432&lt;=EOMONTH(CFG_HOJE,0),"ABERTA","PROJETADA")))))</f>
        <v/>
      </c>
      <c r="P432" s="34" t="n">
        <f aca="false">IF($O432="ATRASADA",CFG_HOJE-$D432,0)</f>
        <v>0</v>
      </c>
      <c r="Q432" s="36" t="n">
        <f aca="false">IF($A432="",0,IF(AND($O432="PAGA",$J432="NAO"),$K432-$E432,0))</f>
        <v>0</v>
      </c>
    </row>
    <row r="433" customFormat="false" ht="15" hidden="false" customHeight="false" outlineLevel="0" collapsed="false">
      <c r="A433" s="30" t="str">
        <f aca="false">IF($B433="","","PAR-"&amp;TEXT(ROW()-4,"000000"))</f>
        <v/>
      </c>
      <c r="B433" s="32"/>
      <c r="C433" s="37"/>
      <c r="D433" s="31"/>
      <c r="E433" s="33"/>
      <c r="F433" s="32"/>
      <c r="G433" s="35" t="str">
        <f aca="false">IF($B433="","",IFERROR(INDEX(CM_NOME,MATCH($B433,CM_ID,0)),"?"))</f>
        <v/>
      </c>
      <c r="H433" s="34" t="str">
        <f aca="false">IF($B433="","",IFERROR(INDEX(CM_QTD,MATCH($B433,CM_ID,0)),""))</f>
        <v/>
      </c>
      <c r="I433" s="35" t="str">
        <f aca="false">IF($A433="","",$C433&amp;"/"&amp;$H433)</f>
        <v/>
      </c>
      <c r="J433" s="35" t="str">
        <f aca="false">IF($A433="","",IF($C433&lt;=IFERROR(INDEX(CM_PAGASANTES,MATCH($B433,CM_ID,0)),0),"SIM","NAO"))</f>
        <v/>
      </c>
      <c r="K433" s="36" t="n">
        <f aca="false">IF($A433="",0,SUMIFS(L_Valor,L_ParcID,$A433,L_Status,"REALIZADO"))</f>
        <v>0</v>
      </c>
      <c r="L433" s="38" t="str">
        <f aca="false">IF($A433="","",IFERROR(INDEX(L_Data,MATCH(1,INDEX((L_ParcID=$A433)*(L_Status="REALIZADO"),0),0)),""))</f>
        <v/>
      </c>
      <c r="M433" s="34" t="n">
        <f aca="false">IF($A433="",0,COUNTIFS(L_ParcID,$A433,L_Status,"REALIZADO"))</f>
        <v>0</v>
      </c>
      <c r="N433" s="34" t="n">
        <f aca="false">IF($A433="",0,COUNTIFS(L_ParcID,$A433,L_Status,"PROJETADO"))</f>
        <v>0</v>
      </c>
      <c r="O433" s="35" t="str">
        <f aca="false">IF($A433="","",IF($J433="SIM","PAGA",IF($M433&gt;0,"PAGA",IF($D433&lt;CFG_HOJE,"ATRASADA",IF($D433&lt;=EOMONTH(CFG_HOJE,0),"ABERTA","PROJETADA")))))</f>
        <v/>
      </c>
      <c r="P433" s="34" t="n">
        <f aca="false">IF($O433="ATRASADA",CFG_HOJE-$D433,0)</f>
        <v>0</v>
      </c>
      <c r="Q433" s="36" t="n">
        <f aca="false">IF($A433="",0,IF(AND($O433="PAGA",$J433="NAO"),$K433-$E433,0))</f>
        <v>0</v>
      </c>
    </row>
    <row r="434" customFormat="false" ht="15" hidden="false" customHeight="false" outlineLevel="0" collapsed="false">
      <c r="A434" s="30" t="str">
        <f aca="false">IF($B434="","","PAR-"&amp;TEXT(ROW()-4,"000000"))</f>
        <v/>
      </c>
      <c r="B434" s="32"/>
      <c r="C434" s="37"/>
      <c r="D434" s="31"/>
      <c r="E434" s="33"/>
      <c r="F434" s="32"/>
      <c r="G434" s="35" t="str">
        <f aca="false">IF($B434="","",IFERROR(INDEX(CM_NOME,MATCH($B434,CM_ID,0)),"?"))</f>
        <v/>
      </c>
      <c r="H434" s="34" t="str">
        <f aca="false">IF($B434="","",IFERROR(INDEX(CM_QTD,MATCH($B434,CM_ID,0)),""))</f>
        <v/>
      </c>
      <c r="I434" s="35" t="str">
        <f aca="false">IF($A434="","",$C434&amp;"/"&amp;$H434)</f>
        <v/>
      </c>
      <c r="J434" s="35" t="str">
        <f aca="false">IF($A434="","",IF($C434&lt;=IFERROR(INDEX(CM_PAGASANTES,MATCH($B434,CM_ID,0)),0),"SIM","NAO"))</f>
        <v/>
      </c>
      <c r="K434" s="36" t="n">
        <f aca="false">IF($A434="",0,SUMIFS(L_Valor,L_ParcID,$A434,L_Status,"REALIZADO"))</f>
        <v>0</v>
      </c>
      <c r="L434" s="38" t="str">
        <f aca="false">IF($A434="","",IFERROR(INDEX(L_Data,MATCH(1,INDEX((L_ParcID=$A434)*(L_Status="REALIZADO"),0),0)),""))</f>
        <v/>
      </c>
      <c r="M434" s="34" t="n">
        <f aca="false">IF($A434="",0,COUNTIFS(L_ParcID,$A434,L_Status,"REALIZADO"))</f>
        <v>0</v>
      </c>
      <c r="N434" s="34" t="n">
        <f aca="false">IF($A434="",0,COUNTIFS(L_ParcID,$A434,L_Status,"PROJETADO"))</f>
        <v>0</v>
      </c>
      <c r="O434" s="35" t="str">
        <f aca="false">IF($A434="","",IF($J434="SIM","PAGA",IF($M434&gt;0,"PAGA",IF($D434&lt;CFG_HOJE,"ATRASADA",IF($D434&lt;=EOMONTH(CFG_HOJE,0),"ABERTA","PROJETADA")))))</f>
        <v/>
      </c>
      <c r="P434" s="34" t="n">
        <f aca="false">IF($O434="ATRASADA",CFG_HOJE-$D434,0)</f>
        <v>0</v>
      </c>
      <c r="Q434" s="36" t="n">
        <f aca="false">IF($A434="",0,IF(AND($O434="PAGA",$J434="NAO"),$K434-$E434,0))</f>
        <v>0</v>
      </c>
    </row>
    <row r="435" customFormat="false" ht="15" hidden="false" customHeight="false" outlineLevel="0" collapsed="false">
      <c r="A435" s="30" t="str">
        <f aca="false">IF($B435="","","PAR-"&amp;TEXT(ROW()-4,"000000"))</f>
        <v/>
      </c>
      <c r="B435" s="32"/>
      <c r="C435" s="37"/>
      <c r="D435" s="31"/>
      <c r="E435" s="33"/>
      <c r="F435" s="32"/>
      <c r="G435" s="35" t="str">
        <f aca="false">IF($B435="","",IFERROR(INDEX(CM_NOME,MATCH($B435,CM_ID,0)),"?"))</f>
        <v/>
      </c>
      <c r="H435" s="34" t="str">
        <f aca="false">IF($B435="","",IFERROR(INDEX(CM_QTD,MATCH($B435,CM_ID,0)),""))</f>
        <v/>
      </c>
      <c r="I435" s="35" t="str">
        <f aca="false">IF($A435="","",$C435&amp;"/"&amp;$H435)</f>
        <v/>
      </c>
      <c r="J435" s="35" t="str">
        <f aca="false">IF($A435="","",IF($C435&lt;=IFERROR(INDEX(CM_PAGASANTES,MATCH($B435,CM_ID,0)),0),"SIM","NAO"))</f>
        <v/>
      </c>
      <c r="K435" s="36" t="n">
        <f aca="false">IF($A435="",0,SUMIFS(L_Valor,L_ParcID,$A435,L_Status,"REALIZADO"))</f>
        <v>0</v>
      </c>
      <c r="L435" s="38" t="str">
        <f aca="false">IF($A435="","",IFERROR(INDEX(L_Data,MATCH(1,INDEX((L_ParcID=$A435)*(L_Status="REALIZADO"),0),0)),""))</f>
        <v/>
      </c>
      <c r="M435" s="34" t="n">
        <f aca="false">IF($A435="",0,COUNTIFS(L_ParcID,$A435,L_Status,"REALIZADO"))</f>
        <v>0</v>
      </c>
      <c r="N435" s="34" t="n">
        <f aca="false">IF($A435="",0,COUNTIFS(L_ParcID,$A435,L_Status,"PROJETADO"))</f>
        <v>0</v>
      </c>
      <c r="O435" s="35" t="str">
        <f aca="false">IF($A435="","",IF($J435="SIM","PAGA",IF($M435&gt;0,"PAGA",IF($D435&lt;CFG_HOJE,"ATRASADA",IF($D435&lt;=EOMONTH(CFG_HOJE,0),"ABERTA","PROJETADA")))))</f>
        <v/>
      </c>
      <c r="P435" s="34" t="n">
        <f aca="false">IF($O435="ATRASADA",CFG_HOJE-$D435,0)</f>
        <v>0</v>
      </c>
      <c r="Q435" s="36" t="n">
        <f aca="false">IF($A435="",0,IF(AND($O435="PAGA",$J435="NAO"),$K435-$E435,0))</f>
        <v>0</v>
      </c>
    </row>
    <row r="436" customFormat="false" ht="15" hidden="false" customHeight="false" outlineLevel="0" collapsed="false">
      <c r="A436" s="30" t="str">
        <f aca="false">IF($B436="","","PAR-"&amp;TEXT(ROW()-4,"000000"))</f>
        <v/>
      </c>
      <c r="B436" s="32"/>
      <c r="C436" s="37"/>
      <c r="D436" s="31"/>
      <c r="E436" s="33"/>
      <c r="F436" s="32"/>
      <c r="G436" s="35" t="str">
        <f aca="false">IF($B436="","",IFERROR(INDEX(CM_NOME,MATCH($B436,CM_ID,0)),"?"))</f>
        <v/>
      </c>
      <c r="H436" s="34" t="str">
        <f aca="false">IF($B436="","",IFERROR(INDEX(CM_QTD,MATCH($B436,CM_ID,0)),""))</f>
        <v/>
      </c>
      <c r="I436" s="35" t="str">
        <f aca="false">IF($A436="","",$C436&amp;"/"&amp;$H436)</f>
        <v/>
      </c>
      <c r="J436" s="35" t="str">
        <f aca="false">IF($A436="","",IF($C436&lt;=IFERROR(INDEX(CM_PAGASANTES,MATCH($B436,CM_ID,0)),0),"SIM","NAO"))</f>
        <v/>
      </c>
      <c r="K436" s="36" t="n">
        <f aca="false">IF($A436="",0,SUMIFS(L_Valor,L_ParcID,$A436,L_Status,"REALIZADO"))</f>
        <v>0</v>
      </c>
      <c r="L436" s="38" t="str">
        <f aca="false">IF($A436="","",IFERROR(INDEX(L_Data,MATCH(1,INDEX((L_ParcID=$A436)*(L_Status="REALIZADO"),0),0)),""))</f>
        <v/>
      </c>
      <c r="M436" s="34" t="n">
        <f aca="false">IF($A436="",0,COUNTIFS(L_ParcID,$A436,L_Status,"REALIZADO"))</f>
        <v>0</v>
      </c>
      <c r="N436" s="34" t="n">
        <f aca="false">IF($A436="",0,COUNTIFS(L_ParcID,$A436,L_Status,"PROJETADO"))</f>
        <v>0</v>
      </c>
      <c r="O436" s="35" t="str">
        <f aca="false">IF($A436="","",IF($J436="SIM","PAGA",IF($M436&gt;0,"PAGA",IF($D436&lt;CFG_HOJE,"ATRASADA",IF($D436&lt;=EOMONTH(CFG_HOJE,0),"ABERTA","PROJETADA")))))</f>
        <v/>
      </c>
      <c r="P436" s="34" t="n">
        <f aca="false">IF($O436="ATRASADA",CFG_HOJE-$D436,0)</f>
        <v>0</v>
      </c>
      <c r="Q436" s="36" t="n">
        <f aca="false">IF($A436="",0,IF(AND($O436="PAGA",$J436="NAO"),$K436-$E436,0))</f>
        <v>0</v>
      </c>
    </row>
    <row r="437" customFormat="false" ht="15" hidden="false" customHeight="false" outlineLevel="0" collapsed="false">
      <c r="A437" s="30" t="str">
        <f aca="false">IF($B437="","","PAR-"&amp;TEXT(ROW()-4,"000000"))</f>
        <v/>
      </c>
      <c r="B437" s="32"/>
      <c r="C437" s="37"/>
      <c r="D437" s="31"/>
      <c r="E437" s="33"/>
      <c r="F437" s="32"/>
      <c r="G437" s="35" t="str">
        <f aca="false">IF($B437="","",IFERROR(INDEX(CM_NOME,MATCH($B437,CM_ID,0)),"?"))</f>
        <v/>
      </c>
      <c r="H437" s="34" t="str">
        <f aca="false">IF($B437="","",IFERROR(INDEX(CM_QTD,MATCH($B437,CM_ID,0)),""))</f>
        <v/>
      </c>
      <c r="I437" s="35" t="str">
        <f aca="false">IF($A437="","",$C437&amp;"/"&amp;$H437)</f>
        <v/>
      </c>
      <c r="J437" s="35" t="str">
        <f aca="false">IF($A437="","",IF($C437&lt;=IFERROR(INDEX(CM_PAGASANTES,MATCH($B437,CM_ID,0)),0),"SIM","NAO"))</f>
        <v/>
      </c>
      <c r="K437" s="36" t="n">
        <f aca="false">IF($A437="",0,SUMIFS(L_Valor,L_ParcID,$A437,L_Status,"REALIZADO"))</f>
        <v>0</v>
      </c>
      <c r="L437" s="38" t="str">
        <f aca="false">IF($A437="","",IFERROR(INDEX(L_Data,MATCH(1,INDEX((L_ParcID=$A437)*(L_Status="REALIZADO"),0),0)),""))</f>
        <v/>
      </c>
      <c r="M437" s="34" t="n">
        <f aca="false">IF($A437="",0,COUNTIFS(L_ParcID,$A437,L_Status,"REALIZADO"))</f>
        <v>0</v>
      </c>
      <c r="N437" s="34" t="n">
        <f aca="false">IF($A437="",0,COUNTIFS(L_ParcID,$A437,L_Status,"PROJETADO"))</f>
        <v>0</v>
      </c>
      <c r="O437" s="35" t="str">
        <f aca="false">IF($A437="","",IF($J437="SIM","PAGA",IF($M437&gt;0,"PAGA",IF($D437&lt;CFG_HOJE,"ATRASADA",IF($D437&lt;=EOMONTH(CFG_HOJE,0),"ABERTA","PROJETADA")))))</f>
        <v/>
      </c>
      <c r="P437" s="34" t="n">
        <f aca="false">IF($O437="ATRASADA",CFG_HOJE-$D437,0)</f>
        <v>0</v>
      </c>
      <c r="Q437" s="36" t="n">
        <f aca="false">IF($A437="",0,IF(AND($O437="PAGA",$J437="NAO"),$K437-$E437,0))</f>
        <v>0</v>
      </c>
    </row>
    <row r="438" customFormat="false" ht="15" hidden="false" customHeight="false" outlineLevel="0" collapsed="false">
      <c r="A438" s="30" t="str">
        <f aca="false">IF($B438="","","PAR-"&amp;TEXT(ROW()-4,"000000"))</f>
        <v/>
      </c>
      <c r="B438" s="32"/>
      <c r="C438" s="37"/>
      <c r="D438" s="31"/>
      <c r="E438" s="33"/>
      <c r="F438" s="32"/>
      <c r="G438" s="35" t="str">
        <f aca="false">IF($B438="","",IFERROR(INDEX(CM_NOME,MATCH($B438,CM_ID,0)),"?"))</f>
        <v/>
      </c>
      <c r="H438" s="34" t="str">
        <f aca="false">IF($B438="","",IFERROR(INDEX(CM_QTD,MATCH($B438,CM_ID,0)),""))</f>
        <v/>
      </c>
      <c r="I438" s="35" t="str">
        <f aca="false">IF($A438="","",$C438&amp;"/"&amp;$H438)</f>
        <v/>
      </c>
      <c r="J438" s="35" t="str">
        <f aca="false">IF($A438="","",IF($C438&lt;=IFERROR(INDEX(CM_PAGASANTES,MATCH($B438,CM_ID,0)),0),"SIM","NAO"))</f>
        <v/>
      </c>
      <c r="K438" s="36" t="n">
        <f aca="false">IF($A438="",0,SUMIFS(L_Valor,L_ParcID,$A438,L_Status,"REALIZADO"))</f>
        <v>0</v>
      </c>
      <c r="L438" s="38" t="str">
        <f aca="false">IF($A438="","",IFERROR(INDEX(L_Data,MATCH(1,INDEX((L_ParcID=$A438)*(L_Status="REALIZADO"),0),0)),""))</f>
        <v/>
      </c>
      <c r="M438" s="34" t="n">
        <f aca="false">IF($A438="",0,COUNTIFS(L_ParcID,$A438,L_Status,"REALIZADO"))</f>
        <v>0</v>
      </c>
      <c r="N438" s="34" t="n">
        <f aca="false">IF($A438="",0,COUNTIFS(L_ParcID,$A438,L_Status,"PROJETADO"))</f>
        <v>0</v>
      </c>
      <c r="O438" s="35" t="str">
        <f aca="false">IF($A438="","",IF($J438="SIM","PAGA",IF($M438&gt;0,"PAGA",IF($D438&lt;CFG_HOJE,"ATRASADA",IF($D438&lt;=EOMONTH(CFG_HOJE,0),"ABERTA","PROJETADA")))))</f>
        <v/>
      </c>
      <c r="P438" s="34" t="n">
        <f aca="false">IF($O438="ATRASADA",CFG_HOJE-$D438,0)</f>
        <v>0</v>
      </c>
      <c r="Q438" s="36" t="n">
        <f aca="false">IF($A438="",0,IF(AND($O438="PAGA",$J438="NAO"),$K438-$E438,0))</f>
        <v>0</v>
      </c>
    </row>
    <row r="439" customFormat="false" ht="15" hidden="false" customHeight="false" outlineLevel="0" collapsed="false">
      <c r="A439" s="30" t="str">
        <f aca="false">IF($B439="","","PAR-"&amp;TEXT(ROW()-4,"000000"))</f>
        <v/>
      </c>
      <c r="B439" s="32"/>
      <c r="C439" s="37"/>
      <c r="D439" s="31"/>
      <c r="E439" s="33"/>
      <c r="F439" s="32"/>
      <c r="G439" s="35" t="str">
        <f aca="false">IF($B439="","",IFERROR(INDEX(CM_NOME,MATCH($B439,CM_ID,0)),"?"))</f>
        <v/>
      </c>
      <c r="H439" s="34" t="str">
        <f aca="false">IF($B439="","",IFERROR(INDEX(CM_QTD,MATCH($B439,CM_ID,0)),""))</f>
        <v/>
      </c>
      <c r="I439" s="35" t="str">
        <f aca="false">IF($A439="","",$C439&amp;"/"&amp;$H439)</f>
        <v/>
      </c>
      <c r="J439" s="35" t="str">
        <f aca="false">IF($A439="","",IF($C439&lt;=IFERROR(INDEX(CM_PAGASANTES,MATCH($B439,CM_ID,0)),0),"SIM","NAO"))</f>
        <v/>
      </c>
      <c r="K439" s="36" t="n">
        <f aca="false">IF($A439="",0,SUMIFS(L_Valor,L_ParcID,$A439,L_Status,"REALIZADO"))</f>
        <v>0</v>
      </c>
      <c r="L439" s="38" t="str">
        <f aca="false">IF($A439="","",IFERROR(INDEX(L_Data,MATCH(1,INDEX((L_ParcID=$A439)*(L_Status="REALIZADO"),0),0)),""))</f>
        <v/>
      </c>
      <c r="M439" s="34" t="n">
        <f aca="false">IF($A439="",0,COUNTIFS(L_ParcID,$A439,L_Status,"REALIZADO"))</f>
        <v>0</v>
      </c>
      <c r="N439" s="34" t="n">
        <f aca="false">IF($A439="",0,COUNTIFS(L_ParcID,$A439,L_Status,"PROJETADO"))</f>
        <v>0</v>
      </c>
      <c r="O439" s="35" t="str">
        <f aca="false">IF($A439="","",IF($J439="SIM","PAGA",IF($M439&gt;0,"PAGA",IF($D439&lt;CFG_HOJE,"ATRASADA",IF($D439&lt;=EOMONTH(CFG_HOJE,0),"ABERTA","PROJETADA")))))</f>
        <v/>
      </c>
      <c r="P439" s="34" t="n">
        <f aca="false">IF($O439="ATRASADA",CFG_HOJE-$D439,0)</f>
        <v>0</v>
      </c>
      <c r="Q439" s="36" t="n">
        <f aca="false">IF($A439="",0,IF(AND($O439="PAGA",$J439="NAO"),$K439-$E439,0))</f>
        <v>0</v>
      </c>
    </row>
    <row r="440" customFormat="false" ht="15" hidden="false" customHeight="false" outlineLevel="0" collapsed="false">
      <c r="A440" s="30" t="str">
        <f aca="false">IF($B440="","","PAR-"&amp;TEXT(ROW()-4,"000000"))</f>
        <v/>
      </c>
      <c r="B440" s="32"/>
      <c r="C440" s="37"/>
      <c r="D440" s="31"/>
      <c r="E440" s="33"/>
      <c r="F440" s="32"/>
      <c r="G440" s="35" t="str">
        <f aca="false">IF($B440="","",IFERROR(INDEX(CM_NOME,MATCH($B440,CM_ID,0)),"?"))</f>
        <v/>
      </c>
      <c r="H440" s="34" t="str">
        <f aca="false">IF($B440="","",IFERROR(INDEX(CM_QTD,MATCH($B440,CM_ID,0)),""))</f>
        <v/>
      </c>
      <c r="I440" s="35" t="str">
        <f aca="false">IF($A440="","",$C440&amp;"/"&amp;$H440)</f>
        <v/>
      </c>
      <c r="J440" s="35" t="str">
        <f aca="false">IF($A440="","",IF($C440&lt;=IFERROR(INDEX(CM_PAGASANTES,MATCH($B440,CM_ID,0)),0),"SIM","NAO"))</f>
        <v/>
      </c>
      <c r="K440" s="36" t="n">
        <f aca="false">IF($A440="",0,SUMIFS(L_Valor,L_ParcID,$A440,L_Status,"REALIZADO"))</f>
        <v>0</v>
      </c>
      <c r="L440" s="38" t="str">
        <f aca="false">IF($A440="","",IFERROR(INDEX(L_Data,MATCH(1,INDEX((L_ParcID=$A440)*(L_Status="REALIZADO"),0),0)),""))</f>
        <v/>
      </c>
      <c r="M440" s="34" t="n">
        <f aca="false">IF($A440="",0,COUNTIFS(L_ParcID,$A440,L_Status,"REALIZADO"))</f>
        <v>0</v>
      </c>
      <c r="N440" s="34" t="n">
        <f aca="false">IF($A440="",0,COUNTIFS(L_ParcID,$A440,L_Status,"PROJETADO"))</f>
        <v>0</v>
      </c>
      <c r="O440" s="35" t="str">
        <f aca="false">IF($A440="","",IF($J440="SIM","PAGA",IF($M440&gt;0,"PAGA",IF($D440&lt;CFG_HOJE,"ATRASADA",IF($D440&lt;=EOMONTH(CFG_HOJE,0),"ABERTA","PROJETADA")))))</f>
        <v/>
      </c>
      <c r="P440" s="34" t="n">
        <f aca="false">IF($O440="ATRASADA",CFG_HOJE-$D440,0)</f>
        <v>0</v>
      </c>
      <c r="Q440" s="36" t="n">
        <f aca="false">IF($A440="",0,IF(AND($O440="PAGA",$J440="NAO"),$K440-$E440,0))</f>
        <v>0</v>
      </c>
    </row>
    <row r="441" customFormat="false" ht="15" hidden="false" customHeight="false" outlineLevel="0" collapsed="false">
      <c r="A441" s="30" t="str">
        <f aca="false">IF($B441="","","PAR-"&amp;TEXT(ROW()-4,"000000"))</f>
        <v/>
      </c>
      <c r="B441" s="32"/>
      <c r="C441" s="37"/>
      <c r="D441" s="31"/>
      <c r="E441" s="33"/>
      <c r="F441" s="32"/>
      <c r="G441" s="35" t="str">
        <f aca="false">IF($B441="","",IFERROR(INDEX(CM_NOME,MATCH($B441,CM_ID,0)),"?"))</f>
        <v/>
      </c>
      <c r="H441" s="34" t="str">
        <f aca="false">IF($B441="","",IFERROR(INDEX(CM_QTD,MATCH($B441,CM_ID,0)),""))</f>
        <v/>
      </c>
      <c r="I441" s="35" t="str">
        <f aca="false">IF($A441="","",$C441&amp;"/"&amp;$H441)</f>
        <v/>
      </c>
      <c r="J441" s="35" t="str">
        <f aca="false">IF($A441="","",IF($C441&lt;=IFERROR(INDEX(CM_PAGASANTES,MATCH($B441,CM_ID,0)),0),"SIM","NAO"))</f>
        <v/>
      </c>
      <c r="K441" s="36" t="n">
        <f aca="false">IF($A441="",0,SUMIFS(L_Valor,L_ParcID,$A441,L_Status,"REALIZADO"))</f>
        <v>0</v>
      </c>
      <c r="L441" s="38" t="str">
        <f aca="false">IF($A441="","",IFERROR(INDEX(L_Data,MATCH(1,INDEX((L_ParcID=$A441)*(L_Status="REALIZADO"),0),0)),""))</f>
        <v/>
      </c>
      <c r="M441" s="34" t="n">
        <f aca="false">IF($A441="",0,COUNTIFS(L_ParcID,$A441,L_Status,"REALIZADO"))</f>
        <v>0</v>
      </c>
      <c r="N441" s="34" t="n">
        <f aca="false">IF($A441="",0,COUNTIFS(L_ParcID,$A441,L_Status,"PROJETADO"))</f>
        <v>0</v>
      </c>
      <c r="O441" s="35" t="str">
        <f aca="false">IF($A441="","",IF($J441="SIM","PAGA",IF($M441&gt;0,"PAGA",IF($D441&lt;CFG_HOJE,"ATRASADA",IF($D441&lt;=EOMONTH(CFG_HOJE,0),"ABERTA","PROJETADA")))))</f>
        <v/>
      </c>
      <c r="P441" s="34" t="n">
        <f aca="false">IF($O441="ATRASADA",CFG_HOJE-$D441,0)</f>
        <v>0</v>
      </c>
      <c r="Q441" s="36" t="n">
        <f aca="false">IF($A441="",0,IF(AND($O441="PAGA",$J441="NAO"),$K441-$E441,0))</f>
        <v>0</v>
      </c>
    </row>
    <row r="442" customFormat="false" ht="15" hidden="false" customHeight="false" outlineLevel="0" collapsed="false">
      <c r="A442" s="30" t="str">
        <f aca="false">IF($B442="","","PAR-"&amp;TEXT(ROW()-4,"000000"))</f>
        <v/>
      </c>
      <c r="B442" s="32"/>
      <c r="C442" s="37"/>
      <c r="D442" s="31"/>
      <c r="E442" s="33"/>
      <c r="F442" s="32"/>
      <c r="G442" s="35" t="str">
        <f aca="false">IF($B442="","",IFERROR(INDEX(CM_NOME,MATCH($B442,CM_ID,0)),"?"))</f>
        <v/>
      </c>
      <c r="H442" s="34" t="str">
        <f aca="false">IF($B442="","",IFERROR(INDEX(CM_QTD,MATCH($B442,CM_ID,0)),""))</f>
        <v/>
      </c>
      <c r="I442" s="35" t="str">
        <f aca="false">IF($A442="","",$C442&amp;"/"&amp;$H442)</f>
        <v/>
      </c>
      <c r="J442" s="35" t="str">
        <f aca="false">IF($A442="","",IF($C442&lt;=IFERROR(INDEX(CM_PAGASANTES,MATCH($B442,CM_ID,0)),0),"SIM","NAO"))</f>
        <v/>
      </c>
      <c r="K442" s="36" t="n">
        <f aca="false">IF($A442="",0,SUMIFS(L_Valor,L_ParcID,$A442,L_Status,"REALIZADO"))</f>
        <v>0</v>
      </c>
      <c r="L442" s="38" t="str">
        <f aca="false">IF($A442="","",IFERROR(INDEX(L_Data,MATCH(1,INDEX((L_ParcID=$A442)*(L_Status="REALIZADO"),0),0)),""))</f>
        <v/>
      </c>
      <c r="M442" s="34" t="n">
        <f aca="false">IF($A442="",0,COUNTIFS(L_ParcID,$A442,L_Status,"REALIZADO"))</f>
        <v>0</v>
      </c>
      <c r="N442" s="34" t="n">
        <f aca="false">IF($A442="",0,COUNTIFS(L_ParcID,$A442,L_Status,"PROJETADO"))</f>
        <v>0</v>
      </c>
      <c r="O442" s="35" t="str">
        <f aca="false">IF($A442="","",IF($J442="SIM","PAGA",IF($M442&gt;0,"PAGA",IF($D442&lt;CFG_HOJE,"ATRASADA",IF($D442&lt;=EOMONTH(CFG_HOJE,0),"ABERTA","PROJETADA")))))</f>
        <v/>
      </c>
      <c r="P442" s="34" t="n">
        <f aca="false">IF($O442="ATRASADA",CFG_HOJE-$D442,0)</f>
        <v>0</v>
      </c>
      <c r="Q442" s="36" t="n">
        <f aca="false">IF($A442="",0,IF(AND($O442="PAGA",$J442="NAO"),$K442-$E442,0))</f>
        <v>0</v>
      </c>
    </row>
    <row r="443" customFormat="false" ht="15" hidden="false" customHeight="false" outlineLevel="0" collapsed="false">
      <c r="A443" s="30" t="str">
        <f aca="false">IF($B443="","","PAR-"&amp;TEXT(ROW()-4,"000000"))</f>
        <v/>
      </c>
      <c r="B443" s="32"/>
      <c r="C443" s="37"/>
      <c r="D443" s="31"/>
      <c r="E443" s="33"/>
      <c r="F443" s="32"/>
      <c r="G443" s="35" t="str">
        <f aca="false">IF($B443="","",IFERROR(INDEX(CM_NOME,MATCH($B443,CM_ID,0)),"?"))</f>
        <v/>
      </c>
      <c r="H443" s="34" t="str">
        <f aca="false">IF($B443="","",IFERROR(INDEX(CM_QTD,MATCH($B443,CM_ID,0)),""))</f>
        <v/>
      </c>
      <c r="I443" s="35" t="str">
        <f aca="false">IF($A443="","",$C443&amp;"/"&amp;$H443)</f>
        <v/>
      </c>
      <c r="J443" s="35" t="str">
        <f aca="false">IF($A443="","",IF($C443&lt;=IFERROR(INDEX(CM_PAGASANTES,MATCH($B443,CM_ID,0)),0),"SIM","NAO"))</f>
        <v/>
      </c>
      <c r="K443" s="36" t="n">
        <f aca="false">IF($A443="",0,SUMIFS(L_Valor,L_ParcID,$A443,L_Status,"REALIZADO"))</f>
        <v>0</v>
      </c>
      <c r="L443" s="38" t="str">
        <f aca="false">IF($A443="","",IFERROR(INDEX(L_Data,MATCH(1,INDEX((L_ParcID=$A443)*(L_Status="REALIZADO"),0),0)),""))</f>
        <v/>
      </c>
      <c r="M443" s="34" t="n">
        <f aca="false">IF($A443="",0,COUNTIFS(L_ParcID,$A443,L_Status,"REALIZADO"))</f>
        <v>0</v>
      </c>
      <c r="N443" s="34" t="n">
        <f aca="false">IF($A443="",0,COUNTIFS(L_ParcID,$A443,L_Status,"PROJETADO"))</f>
        <v>0</v>
      </c>
      <c r="O443" s="35" t="str">
        <f aca="false">IF($A443="","",IF($J443="SIM","PAGA",IF($M443&gt;0,"PAGA",IF($D443&lt;CFG_HOJE,"ATRASADA",IF($D443&lt;=EOMONTH(CFG_HOJE,0),"ABERTA","PROJETADA")))))</f>
        <v/>
      </c>
      <c r="P443" s="34" t="n">
        <f aca="false">IF($O443="ATRASADA",CFG_HOJE-$D443,0)</f>
        <v>0</v>
      </c>
      <c r="Q443" s="36" t="n">
        <f aca="false">IF($A443="",0,IF(AND($O443="PAGA",$J443="NAO"),$K443-$E443,0))</f>
        <v>0</v>
      </c>
    </row>
    <row r="444" customFormat="false" ht="15" hidden="false" customHeight="false" outlineLevel="0" collapsed="false">
      <c r="A444" s="30" t="str">
        <f aca="false">IF($B444="","","PAR-"&amp;TEXT(ROW()-4,"000000"))</f>
        <v/>
      </c>
      <c r="B444" s="32"/>
      <c r="C444" s="37"/>
      <c r="D444" s="31"/>
      <c r="E444" s="33"/>
      <c r="F444" s="32"/>
      <c r="G444" s="35" t="str">
        <f aca="false">IF($B444="","",IFERROR(INDEX(CM_NOME,MATCH($B444,CM_ID,0)),"?"))</f>
        <v/>
      </c>
      <c r="H444" s="34" t="str">
        <f aca="false">IF($B444="","",IFERROR(INDEX(CM_QTD,MATCH($B444,CM_ID,0)),""))</f>
        <v/>
      </c>
      <c r="I444" s="35" t="str">
        <f aca="false">IF($A444="","",$C444&amp;"/"&amp;$H444)</f>
        <v/>
      </c>
      <c r="J444" s="35" t="str">
        <f aca="false">IF($A444="","",IF($C444&lt;=IFERROR(INDEX(CM_PAGASANTES,MATCH($B444,CM_ID,0)),0),"SIM","NAO"))</f>
        <v/>
      </c>
      <c r="K444" s="36" t="n">
        <f aca="false">IF($A444="",0,SUMIFS(L_Valor,L_ParcID,$A444,L_Status,"REALIZADO"))</f>
        <v>0</v>
      </c>
      <c r="L444" s="38" t="str">
        <f aca="false">IF($A444="","",IFERROR(INDEX(L_Data,MATCH(1,INDEX((L_ParcID=$A444)*(L_Status="REALIZADO"),0),0)),""))</f>
        <v/>
      </c>
      <c r="M444" s="34" t="n">
        <f aca="false">IF($A444="",0,COUNTIFS(L_ParcID,$A444,L_Status,"REALIZADO"))</f>
        <v>0</v>
      </c>
      <c r="N444" s="34" t="n">
        <f aca="false">IF($A444="",0,COUNTIFS(L_ParcID,$A444,L_Status,"PROJETADO"))</f>
        <v>0</v>
      </c>
      <c r="O444" s="35" t="str">
        <f aca="false">IF($A444="","",IF($J444="SIM","PAGA",IF($M444&gt;0,"PAGA",IF($D444&lt;CFG_HOJE,"ATRASADA",IF($D444&lt;=EOMONTH(CFG_HOJE,0),"ABERTA","PROJETADA")))))</f>
        <v/>
      </c>
      <c r="P444" s="34" t="n">
        <f aca="false">IF($O444="ATRASADA",CFG_HOJE-$D444,0)</f>
        <v>0</v>
      </c>
      <c r="Q444" s="36" t="n">
        <f aca="false">IF($A444="",0,IF(AND($O444="PAGA",$J444="NAO"),$K444-$E444,0))</f>
        <v>0</v>
      </c>
    </row>
    <row r="445" customFormat="false" ht="15" hidden="false" customHeight="false" outlineLevel="0" collapsed="false">
      <c r="A445" s="30" t="str">
        <f aca="false">IF($B445="","","PAR-"&amp;TEXT(ROW()-4,"000000"))</f>
        <v/>
      </c>
      <c r="B445" s="32"/>
      <c r="C445" s="37"/>
      <c r="D445" s="31"/>
      <c r="E445" s="33"/>
      <c r="F445" s="32"/>
      <c r="G445" s="35" t="str">
        <f aca="false">IF($B445="","",IFERROR(INDEX(CM_NOME,MATCH($B445,CM_ID,0)),"?"))</f>
        <v/>
      </c>
      <c r="H445" s="34" t="str">
        <f aca="false">IF($B445="","",IFERROR(INDEX(CM_QTD,MATCH($B445,CM_ID,0)),""))</f>
        <v/>
      </c>
      <c r="I445" s="35" t="str">
        <f aca="false">IF($A445="","",$C445&amp;"/"&amp;$H445)</f>
        <v/>
      </c>
      <c r="J445" s="35" t="str">
        <f aca="false">IF($A445="","",IF($C445&lt;=IFERROR(INDEX(CM_PAGASANTES,MATCH($B445,CM_ID,0)),0),"SIM","NAO"))</f>
        <v/>
      </c>
      <c r="K445" s="36" t="n">
        <f aca="false">IF($A445="",0,SUMIFS(L_Valor,L_ParcID,$A445,L_Status,"REALIZADO"))</f>
        <v>0</v>
      </c>
      <c r="L445" s="38" t="str">
        <f aca="false">IF($A445="","",IFERROR(INDEX(L_Data,MATCH(1,INDEX((L_ParcID=$A445)*(L_Status="REALIZADO"),0),0)),""))</f>
        <v/>
      </c>
      <c r="M445" s="34" t="n">
        <f aca="false">IF($A445="",0,COUNTIFS(L_ParcID,$A445,L_Status,"REALIZADO"))</f>
        <v>0</v>
      </c>
      <c r="N445" s="34" t="n">
        <f aca="false">IF($A445="",0,COUNTIFS(L_ParcID,$A445,L_Status,"PROJETADO"))</f>
        <v>0</v>
      </c>
      <c r="O445" s="35" t="str">
        <f aca="false">IF($A445="","",IF($J445="SIM","PAGA",IF($M445&gt;0,"PAGA",IF($D445&lt;CFG_HOJE,"ATRASADA",IF($D445&lt;=EOMONTH(CFG_HOJE,0),"ABERTA","PROJETADA")))))</f>
        <v/>
      </c>
      <c r="P445" s="34" t="n">
        <f aca="false">IF($O445="ATRASADA",CFG_HOJE-$D445,0)</f>
        <v>0</v>
      </c>
      <c r="Q445" s="36" t="n">
        <f aca="false">IF($A445="",0,IF(AND($O445="PAGA",$J445="NAO"),$K445-$E445,0))</f>
        <v>0</v>
      </c>
    </row>
    <row r="446" customFormat="false" ht="15" hidden="false" customHeight="false" outlineLevel="0" collapsed="false">
      <c r="A446" s="30" t="str">
        <f aca="false">IF($B446="","","PAR-"&amp;TEXT(ROW()-4,"000000"))</f>
        <v/>
      </c>
      <c r="B446" s="32"/>
      <c r="C446" s="37"/>
      <c r="D446" s="31"/>
      <c r="E446" s="33"/>
      <c r="F446" s="32"/>
      <c r="G446" s="35" t="str">
        <f aca="false">IF($B446="","",IFERROR(INDEX(CM_NOME,MATCH($B446,CM_ID,0)),"?"))</f>
        <v/>
      </c>
      <c r="H446" s="34" t="str">
        <f aca="false">IF($B446="","",IFERROR(INDEX(CM_QTD,MATCH($B446,CM_ID,0)),""))</f>
        <v/>
      </c>
      <c r="I446" s="35" t="str">
        <f aca="false">IF($A446="","",$C446&amp;"/"&amp;$H446)</f>
        <v/>
      </c>
      <c r="J446" s="35" t="str">
        <f aca="false">IF($A446="","",IF($C446&lt;=IFERROR(INDEX(CM_PAGASANTES,MATCH($B446,CM_ID,0)),0),"SIM","NAO"))</f>
        <v/>
      </c>
      <c r="K446" s="36" t="n">
        <f aca="false">IF($A446="",0,SUMIFS(L_Valor,L_ParcID,$A446,L_Status,"REALIZADO"))</f>
        <v>0</v>
      </c>
      <c r="L446" s="38" t="str">
        <f aca="false">IF($A446="","",IFERROR(INDEX(L_Data,MATCH(1,INDEX((L_ParcID=$A446)*(L_Status="REALIZADO"),0),0)),""))</f>
        <v/>
      </c>
      <c r="M446" s="34" t="n">
        <f aca="false">IF($A446="",0,COUNTIFS(L_ParcID,$A446,L_Status,"REALIZADO"))</f>
        <v>0</v>
      </c>
      <c r="N446" s="34" t="n">
        <f aca="false">IF($A446="",0,COUNTIFS(L_ParcID,$A446,L_Status,"PROJETADO"))</f>
        <v>0</v>
      </c>
      <c r="O446" s="35" t="str">
        <f aca="false">IF($A446="","",IF($J446="SIM","PAGA",IF($M446&gt;0,"PAGA",IF($D446&lt;CFG_HOJE,"ATRASADA",IF($D446&lt;=EOMONTH(CFG_HOJE,0),"ABERTA","PROJETADA")))))</f>
        <v/>
      </c>
      <c r="P446" s="34" t="n">
        <f aca="false">IF($O446="ATRASADA",CFG_HOJE-$D446,0)</f>
        <v>0</v>
      </c>
      <c r="Q446" s="36" t="n">
        <f aca="false">IF($A446="",0,IF(AND($O446="PAGA",$J446="NAO"),$K446-$E446,0))</f>
        <v>0</v>
      </c>
    </row>
    <row r="447" customFormat="false" ht="15" hidden="false" customHeight="false" outlineLevel="0" collapsed="false">
      <c r="A447" s="30" t="str">
        <f aca="false">IF($B447="","","PAR-"&amp;TEXT(ROW()-4,"000000"))</f>
        <v/>
      </c>
      <c r="B447" s="32"/>
      <c r="C447" s="37"/>
      <c r="D447" s="31"/>
      <c r="E447" s="33"/>
      <c r="F447" s="32"/>
      <c r="G447" s="35" t="str">
        <f aca="false">IF($B447="","",IFERROR(INDEX(CM_NOME,MATCH($B447,CM_ID,0)),"?"))</f>
        <v/>
      </c>
      <c r="H447" s="34" t="str">
        <f aca="false">IF($B447="","",IFERROR(INDEX(CM_QTD,MATCH($B447,CM_ID,0)),""))</f>
        <v/>
      </c>
      <c r="I447" s="35" t="str">
        <f aca="false">IF($A447="","",$C447&amp;"/"&amp;$H447)</f>
        <v/>
      </c>
      <c r="J447" s="35" t="str">
        <f aca="false">IF($A447="","",IF($C447&lt;=IFERROR(INDEX(CM_PAGASANTES,MATCH($B447,CM_ID,0)),0),"SIM","NAO"))</f>
        <v/>
      </c>
      <c r="K447" s="36" t="n">
        <f aca="false">IF($A447="",0,SUMIFS(L_Valor,L_ParcID,$A447,L_Status,"REALIZADO"))</f>
        <v>0</v>
      </c>
      <c r="L447" s="38" t="str">
        <f aca="false">IF($A447="","",IFERROR(INDEX(L_Data,MATCH(1,INDEX((L_ParcID=$A447)*(L_Status="REALIZADO"),0),0)),""))</f>
        <v/>
      </c>
      <c r="M447" s="34" t="n">
        <f aca="false">IF($A447="",0,COUNTIFS(L_ParcID,$A447,L_Status,"REALIZADO"))</f>
        <v>0</v>
      </c>
      <c r="N447" s="34" t="n">
        <f aca="false">IF($A447="",0,COUNTIFS(L_ParcID,$A447,L_Status,"PROJETADO"))</f>
        <v>0</v>
      </c>
      <c r="O447" s="35" t="str">
        <f aca="false">IF($A447="","",IF($J447="SIM","PAGA",IF($M447&gt;0,"PAGA",IF($D447&lt;CFG_HOJE,"ATRASADA",IF($D447&lt;=EOMONTH(CFG_HOJE,0),"ABERTA","PROJETADA")))))</f>
        <v/>
      </c>
      <c r="P447" s="34" t="n">
        <f aca="false">IF($O447="ATRASADA",CFG_HOJE-$D447,0)</f>
        <v>0</v>
      </c>
      <c r="Q447" s="36" t="n">
        <f aca="false">IF($A447="",0,IF(AND($O447="PAGA",$J447="NAO"),$K447-$E447,0))</f>
        <v>0</v>
      </c>
    </row>
    <row r="448" customFormat="false" ht="15" hidden="false" customHeight="false" outlineLevel="0" collapsed="false">
      <c r="A448" s="30" t="str">
        <f aca="false">IF($B448="","","PAR-"&amp;TEXT(ROW()-4,"000000"))</f>
        <v/>
      </c>
      <c r="B448" s="32"/>
      <c r="C448" s="37"/>
      <c r="D448" s="31"/>
      <c r="E448" s="33"/>
      <c r="F448" s="32"/>
      <c r="G448" s="35" t="str">
        <f aca="false">IF($B448="","",IFERROR(INDEX(CM_NOME,MATCH($B448,CM_ID,0)),"?"))</f>
        <v/>
      </c>
      <c r="H448" s="34" t="str">
        <f aca="false">IF($B448="","",IFERROR(INDEX(CM_QTD,MATCH($B448,CM_ID,0)),""))</f>
        <v/>
      </c>
      <c r="I448" s="35" t="str">
        <f aca="false">IF($A448="","",$C448&amp;"/"&amp;$H448)</f>
        <v/>
      </c>
      <c r="J448" s="35" t="str">
        <f aca="false">IF($A448="","",IF($C448&lt;=IFERROR(INDEX(CM_PAGASANTES,MATCH($B448,CM_ID,0)),0),"SIM","NAO"))</f>
        <v/>
      </c>
      <c r="K448" s="36" t="n">
        <f aca="false">IF($A448="",0,SUMIFS(L_Valor,L_ParcID,$A448,L_Status,"REALIZADO"))</f>
        <v>0</v>
      </c>
      <c r="L448" s="38" t="str">
        <f aca="false">IF($A448="","",IFERROR(INDEX(L_Data,MATCH(1,INDEX((L_ParcID=$A448)*(L_Status="REALIZADO"),0),0)),""))</f>
        <v/>
      </c>
      <c r="M448" s="34" t="n">
        <f aca="false">IF($A448="",0,COUNTIFS(L_ParcID,$A448,L_Status,"REALIZADO"))</f>
        <v>0</v>
      </c>
      <c r="N448" s="34" t="n">
        <f aca="false">IF($A448="",0,COUNTIFS(L_ParcID,$A448,L_Status,"PROJETADO"))</f>
        <v>0</v>
      </c>
      <c r="O448" s="35" t="str">
        <f aca="false">IF($A448="","",IF($J448="SIM","PAGA",IF($M448&gt;0,"PAGA",IF($D448&lt;CFG_HOJE,"ATRASADA",IF($D448&lt;=EOMONTH(CFG_HOJE,0),"ABERTA","PROJETADA")))))</f>
        <v/>
      </c>
      <c r="P448" s="34" t="n">
        <f aca="false">IF($O448="ATRASADA",CFG_HOJE-$D448,0)</f>
        <v>0</v>
      </c>
      <c r="Q448" s="36" t="n">
        <f aca="false">IF($A448="",0,IF(AND($O448="PAGA",$J448="NAO"),$K448-$E448,0))</f>
        <v>0</v>
      </c>
    </row>
    <row r="449" customFormat="false" ht="15" hidden="false" customHeight="false" outlineLevel="0" collapsed="false">
      <c r="A449" s="30" t="str">
        <f aca="false">IF($B449="","","PAR-"&amp;TEXT(ROW()-4,"000000"))</f>
        <v/>
      </c>
      <c r="B449" s="32"/>
      <c r="C449" s="37"/>
      <c r="D449" s="31"/>
      <c r="E449" s="33"/>
      <c r="F449" s="32"/>
      <c r="G449" s="35" t="str">
        <f aca="false">IF($B449="","",IFERROR(INDEX(CM_NOME,MATCH($B449,CM_ID,0)),"?"))</f>
        <v/>
      </c>
      <c r="H449" s="34" t="str">
        <f aca="false">IF($B449="","",IFERROR(INDEX(CM_QTD,MATCH($B449,CM_ID,0)),""))</f>
        <v/>
      </c>
      <c r="I449" s="35" t="str">
        <f aca="false">IF($A449="","",$C449&amp;"/"&amp;$H449)</f>
        <v/>
      </c>
      <c r="J449" s="35" t="str">
        <f aca="false">IF($A449="","",IF($C449&lt;=IFERROR(INDEX(CM_PAGASANTES,MATCH($B449,CM_ID,0)),0),"SIM","NAO"))</f>
        <v/>
      </c>
      <c r="K449" s="36" t="n">
        <f aca="false">IF($A449="",0,SUMIFS(L_Valor,L_ParcID,$A449,L_Status,"REALIZADO"))</f>
        <v>0</v>
      </c>
      <c r="L449" s="38" t="str">
        <f aca="false">IF($A449="","",IFERROR(INDEX(L_Data,MATCH(1,INDEX((L_ParcID=$A449)*(L_Status="REALIZADO"),0),0)),""))</f>
        <v/>
      </c>
      <c r="M449" s="34" t="n">
        <f aca="false">IF($A449="",0,COUNTIFS(L_ParcID,$A449,L_Status,"REALIZADO"))</f>
        <v>0</v>
      </c>
      <c r="N449" s="34" t="n">
        <f aca="false">IF($A449="",0,COUNTIFS(L_ParcID,$A449,L_Status,"PROJETADO"))</f>
        <v>0</v>
      </c>
      <c r="O449" s="35" t="str">
        <f aca="false">IF($A449="","",IF($J449="SIM","PAGA",IF($M449&gt;0,"PAGA",IF($D449&lt;CFG_HOJE,"ATRASADA",IF($D449&lt;=EOMONTH(CFG_HOJE,0),"ABERTA","PROJETADA")))))</f>
        <v/>
      </c>
      <c r="P449" s="34" t="n">
        <f aca="false">IF($O449="ATRASADA",CFG_HOJE-$D449,0)</f>
        <v>0</v>
      </c>
      <c r="Q449" s="36" t="n">
        <f aca="false">IF($A449="",0,IF(AND($O449="PAGA",$J449="NAO"),$K449-$E449,0))</f>
        <v>0</v>
      </c>
    </row>
    <row r="450" customFormat="false" ht="15" hidden="false" customHeight="false" outlineLevel="0" collapsed="false">
      <c r="A450" s="30" t="str">
        <f aca="false">IF($B450="","","PAR-"&amp;TEXT(ROW()-4,"000000"))</f>
        <v/>
      </c>
      <c r="B450" s="32"/>
      <c r="C450" s="37"/>
      <c r="D450" s="31"/>
      <c r="E450" s="33"/>
      <c r="F450" s="32"/>
      <c r="G450" s="35" t="str">
        <f aca="false">IF($B450="","",IFERROR(INDEX(CM_NOME,MATCH($B450,CM_ID,0)),"?"))</f>
        <v/>
      </c>
      <c r="H450" s="34" t="str">
        <f aca="false">IF($B450="","",IFERROR(INDEX(CM_QTD,MATCH($B450,CM_ID,0)),""))</f>
        <v/>
      </c>
      <c r="I450" s="35" t="str">
        <f aca="false">IF($A450="","",$C450&amp;"/"&amp;$H450)</f>
        <v/>
      </c>
      <c r="J450" s="35" t="str">
        <f aca="false">IF($A450="","",IF($C450&lt;=IFERROR(INDEX(CM_PAGASANTES,MATCH($B450,CM_ID,0)),0),"SIM","NAO"))</f>
        <v/>
      </c>
      <c r="K450" s="36" t="n">
        <f aca="false">IF($A450="",0,SUMIFS(L_Valor,L_ParcID,$A450,L_Status,"REALIZADO"))</f>
        <v>0</v>
      </c>
      <c r="L450" s="38" t="str">
        <f aca="false">IF($A450="","",IFERROR(INDEX(L_Data,MATCH(1,INDEX((L_ParcID=$A450)*(L_Status="REALIZADO"),0),0)),""))</f>
        <v/>
      </c>
      <c r="M450" s="34" t="n">
        <f aca="false">IF($A450="",0,COUNTIFS(L_ParcID,$A450,L_Status,"REALIZADO"))</f>
        <v>0</v>
      </c>
      <c r="N450" s="34" t="n">
        <f aca="false">IF($A450="",0,COUNTIFS(L_ParcID,$A450,L_Status,"PROJETADO"))</f>
        <v>0</v>
      </c>
      <c r="O450" s="35" t="str">
        <f aca="false">IF($A450="","",IF($J450="SIM","PAGA",IF($M450&gt;0,"PAGA",IF($D450&lt;CFG_HOJE,"ATRASADA",IF($D450&lt;=EOMONTH(CFG_HOJE,0),"ABERTA","PROJETADA")))))</f>
        <v/>
      </c>
      <c r="P450" s="34" t="n">
        <f aca="false">IF($O450="ATRASADA",CFG_HOJE-$D450,0)</f>
        <v>0</v>
      </c>
      <c r="Q450" s="36" t="n">
        <f aca="false">IF($A450="",0,IF(AND($O450="PAGA",$J450="NAO"),$K450-$E450,0))</f>
        <v>0</v>
      </c>
    </row>
    <row r="451" customFormat="false" ht="15" hidden="false" customHeight="false" outlineLevel="0" collapsed="false">
      <c r="A451" s="30" t="str">
        <f aca="false">IF($B451="","","PAR-"&amp;TEXT(ROW()-4,"000000"))</f>
        <v/>
      </c>
      <c r="B451" s="32"/>
      <c r="C451" s="37"/>
      <c r="D451" s="31"/>
      <c r="E451" s="33"/>
      <c r="F451" s="32"/>
      <c r="G451" s="35" t="str">
        <f aca="false">IF($B451="","",IFERROR(INDEX(CM_NOME,MATCH($B451,CM_ID,0)),"?"))</f>
        <v/>
      </c>
      <c r="H451" s="34" t="str">
        <f aca="false">IF($B451="","",IFERROR(INDEX(CM_QTD,MATCH($B451,CM_ID,0)),""))</f>
        <v/>
      </c>
      <c r="I451" s="35" t="str">
        <f aca="false">IF($A451="","",$C451&amp;"/"&amp;$H451)</f>
        <v/>
      </c>
      <c r="J451" s="35" t="str">
        <f aca="false">IF($A451="","",IF($C451&lt;=IFERROR(INDEX(CM_PAGASANTES,MATCH($B451,CM_ID,0)),0),"SIM","NAO"))</f>
        <v/>
      </c>
      <c r="K451" s="36" t="n">
        <f aca="false">IF($A451="",0,SUMIFS(L_Valor,L_ParcID,$A451,L_Status,"REALIZADO"))</f>
        <v>0</v>
      </c>
      <c r="L451" s="38" t="str">
        <f aca="false">IF($A451="","",IFERROR(INDEX(L_Data,MATCH(1,INDEX((L_ParcID=$A451)*(L_Status="REALIZADO"),0),0)),""))</f>
        <v/>
      </c>
      <c r="M451" s="34" t="n">
        <f aca="false">IF($A451="",0,COUNTIFS(L_ParcID,$A451,L_Status,"REALIZADO"))</f>
        <v>0</v>
      </c>
      <c r="N451" s="34" t="n">
        <f aca="false">IF($A451="",0,COUNTIFS(L_ParcID,$A451,L_Status,"PROJETADO"))</f>
        <v>0</v>
      </c>
      <c r="O451" s="35" t="str">
        <f aca="false">IF($A451="","",IF($J451="SIM","PAGA",IF($M451&gt;0,"PAGA",IF($D451&lt;CFG_HOJE,"ATRASADA",IF($D451&lt;=EOMONTH(CFG_HOJE,0),"ABERTA","PROJETADA")))))</f>
        <v/>
      </c>
      <c r="P451" s="34" t="n">
        <f aca="false">IF($O451="ATRASADA",CFG_HOJE-$D451,0)</f>
        <v>0</v>
      </c>
      <c r="Q451" s="36" t="n">
        <f aca="false">IF($A451="",0,IF(AND($O451="PAGA",$J451="NAO"),$K451-$E451,0))</f>
        <v>0</v>
      </c>
    </row>
    <row r="452" customFormat="false" ht="15" hidden="false" customHeight="false" outlineLevel="0" collapsed="false">
      <c r="A452" s="30" t="str">
        <f aca="false">IF($B452="","","PAR-"&amp;TEXT(ROW()-4,"000000"))</f>
        <v/>
      </c>
      <c r="B452" s="32"/>
      <c r="C452" s="37"/>
      <c r="D452" s="31"/>
      <c r="E452" s="33"/>
      <c r="F452" s="32"/>
      <c r="G452" s="35" t="str">
        <f aca="false">IF($B452="","",IFERROR(INDEX(CM_NOME,MATCH($B452,CM_ID,0)),"?"))</f>
        <v/>
      </c>
      <c r="H452" s="34" t="str">
        <f aca="false">IF($B452="","",IFERROR(INDEX(CM_QTD,MATCH($B452,CM_ID,0)),""))</f>
        <v/>
      </c>
      <c r="I452" s="35" t="str">
        <f aca="false">IF($A452="","",$C452&amp;"/"&amp;$H452)</f>
        <v/>
      </c>
      <c r="J452" s="35" t="str">
        <f aca="false">IF($A452="","",IF($C452&lt;=IFERROR(INDEX(CM_PAGASANTES,MATCH($B452,CM_ID,0)),0),"SIM","NAO"))</f>
        <v/>
      </c>
      <c r="K452" s="36" t="n">
        <f aca="false">IF($A452="",0,SUMIFS(L_Valor,L_ParcID,$A452,L_Status,"REALIZADO"))</f>
        <v>0</v>
      </c>
      <c r="L452" s="38" t="str">
        <f aca="false">IF($A452="","",IFERROR(INDEX(L_Data,MATCH(1,INDEX((L_ParcID=$A452)*(L_Status="REALIZADO"),0),0)),""))</f>
        <v/>
      </c>
      <c r="M452" s="34" t="n">
        <f aca="false">IF($A452="",0,COUNTIFS(L_ParcID,$A452,L_Status,"REALIZADO"))</f>
        <v>0</v>
      </c>
      <c r="N452" s="34" t="n">
        <f aca="false">IF($A452="",0,COUNTIFS(L_ParcID,$A452,L_Status,"PROJETADO"))</f>
        <v>0</v>
      </c>
      <c r="O452" s="35" t="str">
        <f aca="false">IF($A452="","",IF($J452="SIM","PAGA",IF($M452&gt;0,"PAGA",IF($D452&lt;CFG_HOJE,"ATRASADA",IF($D452&lt;=EOMONTH(CFG_HOJE,0),"ABERTA","PROJETADA")))))</f>
        <v/>
      </c>
      <c r="P452" s="34" t="n">
        <f aca="false">IF($O452="ATRASADA",CFG_HOJE-$D452,0)</f>
        <v>0</v>
      </c>
      <c r="Q452" s="36" t="n">
        <f aca="false">IF($A452="",0,IF(AND($O452="PAGA",$J452="NAO"),$K452-$E452,0))</f>
        <v>0</v>
      </c>
    </row>
    <row r="453" customFormat="false" ht="15" hidden="false" customHeight="false" outlineLevel="0" collapsed="false">
      <c r="A453" s="30" t="str">
        <f aca="false">IF($B453="","","PAR-"&amp;TEXT(ROW()-4,"000000"))</f>
        <v/>
      </c>
      <c r="B453" s="32"/>
      <c r="C453" s="37"/>
      <c r="D453" s="31"/>
      <c r="E453" s="33"/>
      <c r="F453" s="32"/>
      <c r="G453" s="35" t="str">
        <f aca="false">IF($B453="","",IFERROR(INDEX(CM_NOME,MATCH($B453,CM_ID,0)),"?"))</f>
        <v/>
      </c>
      <c r="H453" s="34" t="str">
        <f aca="false">IF($B453="","",IFERROR(INDEX(CM_QTD,MATCH($B453,CM_ID,0)),""))</f>
        <v/>
      </c>
      <c r="I453" s="35" t="str">
        <f aca="false">IF($A453="","",$C453&amp;"/"&amp;$H453)</f>
        <v/>
      </c>
      <c r="J453" s="35" t="str">
        <f aca="false">IF($A453="","",IF($C453&lt;=IFERROR(INDEX(CM_PAGASANTES,MATCH($B453,CM_ID,0)),0),"SIM","NAO"))</f>
        <v/>
      </c>
      <c r="K453" s="36" t="n">
        <f aca="false">IF($A453="",0,SUMIFS(L_Valor,L_ParcID,$A453,L_Status,"REALIZADO"))</f>
        <v>0</v>
      </c>
      <c r="L453" s="38" t="str">
        <f aca="false">IF($A453="","",IFERROR(INDEX(L_Data,MATCH(1,INDEX((L_ParcID=$A453)*(L_Status="REALIZADO"),0),0)),""))</f>
        <v/>
      </c>
      <c r="M453" s="34" t="n">
        <f aca="false">IF($A453="",0,COUNTIFS(L_ParcID,$A453,L_Status,"REALIZADO"))</f>
        <v>0</v>
      </c>
      <c r="N453" s="34" t="n">
        <f aca="false">IF($A453="",0,COUNTIFS(L_ParcID,$A453,L_Status,"PROJETADO"))</f>
        <v>0</v>
      </c>
      <c r="O453" s="35" t="str">
        <f aca="false">IF($A453="","",IF($J453="SIM","PAGA",IF($M453&gt;0,"PAGA",IF($D453&lt;CFG_HOJE,"ATRASADA",IF($D453&lt;=EOMONTH(CFG_HOJE,0),"ABERTA","PROJETADA")))))</f>
        <v/>
      </c>
      <c r="P453" s="34" t="n">
        <f aca="false">IF($O453="ATRASADA",CFG_HOJE-$D453,0)</f>
        <v>0</v>
      </c>
      <c r="Q453" s="36" t="n">
        <f aca="false">IF($A453="",0,IF(AND($O453="PAGA",$J453="NAO"),$K453-$E453,0))</f>
        <v>0</v>
      </c>
    </row>
    <row r="454" customFormat="false" ht="15" hidden="false" customHeight="false" outlineLevel="0" collapsed="false">
      <c r="A454" s="30" t="str">
        <f aca="false">IF($B454="","","PAR-"&amp;TEXT(ROW()-4,"000000"))</f>
        <v/>
      </c>
      <c r="B454" s="32"/>
      <c r="C454" s="37"/>
      <c r="D454" s="31"/>
      <c r="E454" s="33"/>
      <c r="F454" s="32"/>
      <c r="G454" s="35" t="str">
        <f aca="false">IF($B454="","",IFERROR(INDEX(CM_NOME,MATCH($B454,CM_ID,0)),"?"))</f>
        <v/>
      </c>
      <c r="H454" s="34" t="str">
        <f aca="false">IF($B454="","",IFERROR(INDEX(CM_QTD,MATCH($B454,CM_ID,0)),""))</f>
        <v/>
      </c>
      <c r="I454" s="35" t="str">
        <f aca="false">IF($A454="","",$C454&amp;"/"&amp;$H454)</f>
        <v/>
      </c>
      <c r="J454" s="35" t="str">
        <f aca="false">IF($A454="","",IF($C454&lt;=IFERROR(INDEX(CM_PAGASANTES,MATCH($B454,CM_ID,0)),0),"SIM","NAO"))</f>
        <v/>
      </c>
      <c r="K454" s="36" t="n">
        <f aca="false">IF($A454="",0,SUMIFS(L_Valor,L_ParcID,$A454,L_Status,"REALIZADO"))</f>
        <v>0</v>
      </c>
      <c r="L454" s="38" t="str">
        <f aca="false">IF($A454="","",IFERROR(INDEX(L_Data,MATCH(1,INDEX((L_ParcID=$A454)*(L_Status="REALIZADO"),0),0)),""))</f>
        <v/>
      </c>
      <c r="M454" s="34" t="n">
        <f aca="false">IF($A454="",0,COUNTIFS(L_ParcID,$A454,L_Status,"REALIZADO"))</f>
        <v>0</v>
      </c>
      <c r="N454" s="34" t="n">
        <f aca="false">IF($A454="",0,COUNTIFS(L_ParcID,$A454,L_Status,"PROJETADO"))</f>
        <v>0</v>
      </c>
      <c r="O454" s="35" t="str">
        <f aca="false">IF($A454="","",IF($J454="SIM","PAGA",IF($M454&gt;0,"PAGA",IF($D454&lt;CFG_HOJE,"ATRASADA",IF($D454&lt;=EOMONTH(CFG_HOJE,0),"ABERTA","PROJETADA")))))</f>
        <v/>
      </c>
      <c r="P454" s="34" t="n">
        <f aca="false">IF($O454="ATRASADA",CFG_HOJE-$D454,0)</f>
        <v>0</v>
      </c>
      <c r="Q454" s="36" t="n">
        <f aca="false">IF($A454="",0,IF(AND($O454="PAGA",$J454="NAO"),$K454-$E454,0))</f>
        <v>0</v>
      </c>
    </row>
    <row r="455" customFormat="false" ht="15" hidden="false" customHeight="false" outlineLevel="0" collapsed="false">
      <c r="A455" s="30" t="str">
        <f aca="false">IF($B455="","","PAR-"&amp;TEXT(ROW()-4,"000000"))</f>
        <v/>
      </c>
      <c r="B455" s="32"/>
      <c r="C455" s="37"/>
      <c r="D455" s="31"/>
      <c r="E455" s="33"/>
      <c r="F455" s="32"/>
      <c r="G455" s="35" t="str">
        <f aca="false">IF($B455="","",IFERROR(INDEX(CM_NOME,MATCH($B455,CM_ID,0)),"?"))</f>
        <v/>
      </c>
      <c r="H455" s="34" t="str">
        <f aca="false">IF($B455="","",IFERROR(INDEX(CM_QTD,MATCH($B455,CM_ID,0)),""))</f>
        <v/>
      </c>
      <c r="I455" s="35" t="str">
        <f aca="false">IF($A455="","",$C455&amp;"/"&amp;$H455)</f>
        <v/>
      </c>
      <c r="J455" s="35" t="str">
        <f aca="false">IF($A455="","",IF($C455&lt;=IFERROR(INDEX(CM_PAGASANTES,MATCH($B455,CM_ID,0)),0),"SIM","NAO"))</f>
        <v/>
      </c>
      <c r="K455" s="36" t="n">
        <f aca="false">IF($A455="",0,SUMIFS(L_Valor,L_ParcID,$A455,L_Status,"REALIZADO"))</f>
        <v>0</v>
      </c>
      <c r="L455" s="38" t="str">
        <f aca="false">IF($A455="","",IFERROR(INDEX(L_Data,MATCH(1,INDEX((L_ParcID=$A455)*(L_Status="REALIZADO"),0),0)),""))</f>
        <v/>
      </c>
      <c r="M455" s="34" t="n">
        <f aca="false">IF($A455="",0,COUNTIFS(L_ParcID,$A455,L_Status,"REALIZADO"))</f>
        <v>0</v>
      </c>
      <c r="N455" s="34" t="n">
        <f aca="false">IF($A455="",0,COUNTIFS(L_ParcID,$A455,L_Status,"PROJETADO"))</f>
        <v>0</v>
      </c>
      <c r="O455" s="35" t="str">
        <f aca="false">IF($A455="","",IF($J455="SIM","PAGA",IF($M455&gt;0,"PAGA",IF($D455&lt;CFG_HOJE,"ATRASADA",IF($D455&lt;=EOMONTH(CFG_HOJE,0),"ABERTA","PROJETADA")))))</f>
        <v/>
      </c>
      <c r="P455" s="34" t="n">
        <f aca="false">IF($O455="ATRASADA",CFG_HOJE-$D455,0)</f>
        <v>0</v>
      </c>
      <c r="Q455" s="36" t="n">
        <f aca="false">IF($A455="",0,IF(AND($O455="PAGA",$J455="NAO"),$K455-$E455,0))</f>
        <v>0</v>
      </c>
    </row>
    <row r="456" customFormat="false" ht="15" hidden="false" customHeight="false" outlineLevel="0" collapsed="false">
      <c r="A456" s="30" t="str">
        <f aca="false">IF($B456="","","PAR-"&amp;TEXT(ROW()-4,"000000"))</f>
        <v/>
      </c>
      <c r="B456" s="32"/>
      <c r="C456" s="37"/>
      <c r="D456" s="31"/>
      <c r="E456" s="33"/>
      <c r="F456" s="32"/>
      <c r="G456" s="35" t="str">
        <f aca="false">IF($B456="","",IFERROR(INDEX(CM_NOME,MATCH($B456,CM_ID,0)),"?"))</f>
        <v/>
      </c>
      <c r="H456" s="34" t="str">
        <f aca="false">IF($B456="","",IFERROR(INDEX(CM_QTD,MATCH($B456,CM_ID,0)),""))</f>
        <v/>
      </c>
      <c r="I456" s="35" t="str">
        <f aca="false">IF($A456="","",$C456&amp;"/"&amp;$H456)</f>
        <v/>
      </c>
      <c r="J456" s="35" t="str">
        <f aca="false">IF($A456="","",IF($C456&lt;=IFERROR(INDEX(CM_PAGASANTES,MATCH($B456,CM_ID,0)),0),"SIM","NAO"))</f>
        <v/>
      </c>
      <c r="K456" s="36" t="n">
        <f aca="false">IF($A456="",0,SUMIFS(L_Valor,L_ParcID,$A456,L_Status,"REALIZADO"))</f>
        <v>0</v>
      </c>
      <c r="L456" s="38" t="str">
        <f aca="false">IF($A456="","",IFERROR(INDEX(L_Data,MATCH(1,INDEX((L_ParcID=$A456)*(L_Status="REALIZADO"),0),0)),""))</f>
        <v/>
      </c>
      <c r="M456" s="34" t="n">
        <f aca="false">IF($A456="",0,COUNTIFS(L_ParcID,$A456,L_Status,"REALIZADO"))</f>
        <v>0</v>
      </c>
      <c r="N456" s="34" t="n">
        <f aca="false">IF($A456="",0,COUNTIFS(L_ParcID,$A456,L_Status,"PROJETADO"))</f>
        <v>0</v>
      </c>
      <c r="O456" s="35" t="str">
        <f aca="false">IF($A456="","",IF($J456="SIM","PAGA",IF($M456&gt;0,"PAGA",IF($D456&lt;CFG_HOJE,"ATRASADA",IF($D456&lt;=EOMONTH(CFG_HOJE,0),"ABERTA","PROJETADA")))))</f>
        <v/>
      </c>
      <c r="P456" s="34" t="n">
        <f aca="false">IF($O456="ATRASADA",CFG_HOJE-$D456,0)</f>
        <v>0</v>
      </c>
      <c r="Q456" s="36" t="n">
        <f aca="false">IF($A456="",0,IF(AND($O456="PAGA",$J456="NAO"),$K456-$E456,0))</f>
        <v>0</v>
      </c>
    </row>
    <row r="457" customFormat="false" ht="15" hidden="false" customHeight="false" outlineLevel="0" collapsed="false">
      <c r="A457" s="30" t="str">
        <f aca="false">IF($B457="","","PAR-"&amp;TEXT(ROW()-4,"000000"))</f>
        <v/>
      </c>
      <c r="B457" s="32"/>
      <c r="C457" s="37"/>
      <c r="D457" s="31"/>
      <c r="E457" s="33"/>
      <c r="F457" s="32"/>
      <c r="G457" s="35" t="str">
        <f aca="false">IF($B457="","",IFERROR(INDEX(CM_NOME,MATCH($B457,CM_ID,0)),"?"))</f>
        <v/>
      </c>
      <c r="H457" s="34" t="str">
        <f aca="false">IF($B457="","",IFERROR(INDEX(CM_QTD,MATCH($B457,CM_ID,0)),""))</f>
        <v/>
      </c>
      <c r="I457" s="35" t="str">
        <f aca="false">IF($A457="","",$C457&amp;"/"&amp;$H457)</f>
        <v/>
      </c>
      <c r="J457" s="35" t="str">
        <f aca="false">IF($A457="","",IF($C457&lt;=IFERROR(INDEX(CM_PAGASANTES,MATCH($B457,CM_ID,0)),0),"SIM","NAO"))</f>
        <v/>
      </c>
      <c r="K457" s="36" t="n">
        <f aca="false">IF($A457="",0,SUMIFS(L_Valor,L_ParcID,$A457,L_Status,"REALIZADO"))</f>
        <v>0</v>
      </c>
      <c r="L457" s="38" t="str">
        <f aca="false">IF($A457="","",IFERROR(INDEX(L_Data,MATCH(1,INDEX((L_ParcID=$A457)*(L_Status="REALIZADO"),0),0)),""))</f>
        <v/>
      </c>
      <c r="M457" s="34" t="n">
        <f aca="false">IF($A457="",0,COUNTIFS(L_ParcID,$A457,L_Status,"REALIZADO"))</f>
        <v>0</v>
      </c>
      <c r="N457" s="34" t="n">
        <f aca="false">IF($A457="",0,COUNTIFS(L_ParcID,$A457,L_Status,"PROJETADO"))</f>
        <v>0</v>
      </c>
      <c r="O457" s="35" t="str">
        <f aca="false">IF($A457="","",IF($J457="SIM","PAGA",IF($M457&gt;0,"PAGA",IF($D457&lt;CFG_HOJE,"ATRASADA",IF($D457&lt;=EOMONTH(CFG_HOJE,0),"ABERTA","PROJETADA")))))</f>
        <v/>
      </c>
      <c r="P457" s="34" t="n">
        <f aca="false">IF($O457="ATRASADA",CFG_HOJE-$D457,0)</f>
        <v>0</v>
      </c>
      <c r="Q457" s="36" t="n">
        <f aca="false">IF($A457="",0,IF(AND($O457="PAGA",$J457="NAO"),$K457-$E457,0))</f>
        <v>0</v>
      </c>
    </row>
    <row r="458" customFormat="false" ht="15" hidden="false" customHeight="false" outlineLevel="0" collapsed="false">
      <c r="A458" s="30" t="str">
        <f aca="false">IF($B458="","","PAR-"&amp;TEXT(ROW()-4,"000000"))</f>
        <v/>
      </c>
      <c r="B458" s="32"/>
      <c r="C458" s="37"/>
      <c r="D458" s="31"/>
      <c r="E458" s="33"/>
      <c r="F458" s="32"/>
      <c r="G458" s="35" t="str">
        <f aca="false">IF($B458="","",IFERROR(INDEX(CM_NOME,MATCH($B458,CM_ID,0)),"?"))</f>
        <v/>
      </c>
      <c r="H458" s="34" t="str">
        <f aca="false">IF($B458="","",IFERROR(INDEX(CM_QTD,MATCH($B458,CM_ID,0)),""))</f>
        <v/>
      </c>
      <c r="I458" s="35" t="str">
        <f aca="false">IF($A458="","",$C458&amp;"/"&amp;$H458)</f>
        <v/>
      </c>
      <c r="J458" s="35" t="str">
        <f aca="false">IF($A458="","",IF($C458&lt;=IFERROR(INDEX(CM_PAGASANTES,MATCH($B458,CM_ID,0)),0),"SIM","NAO"))</f>
        <v/>
      </c>
      <c r="K458" s="36" t="n">
        <f aca="false">IF($A458="",0,SUMIFS(L_Valor,L_ParcID,$A458,L_Status,"REALIZADO"))</f>
        <v>0</v>
      </c>
      <c r="L458" s="38" t="str">
        <f aca="false">IF($A458="","",IFERROR(INDEX(L_Data,MATCH(1,INDEX((L_ParcID=$A458)*(L_Status="REALIZADO"),0),0)),""))</f>
        <v/>
      </c>
      <c r="M458" s="34" t="n">
        <f aca="false">IF($A458="",0,COUNTIFS(L_ParcID,$A458,L_Status,"REALIZADO"))</f>
        <v>0</v>
      </c>
      <c r="N458" s="34" t="n">
        <f aca="false">IF($A458="",0,COUNTIFS(L_ParcID,$A458,L_Status,"PROJETADO"))</f>
        <v>0</v>
      </c>
      <c r="O458" s="35" t="str">
        <f aca="false">IF($A458="","",IF($J458="SIM","PAGA",IF($M458&gt;0,"PAGA",IF($D458&lt;CFG_HOJE,"ATRASADA",IF($D458&lt;=EOMONTH(CFG_HOJE,0),"ABERTA","PROJETADA")))))</f>
        <v/>
      </c>
      <c r="P458" s="34" t="n">
        <f aca="false">IF($O458="ATRASADA",CFG_HOJE-$D458,0)</f>
        <v>0</v>
      </c>
      <c r="Q458" s="36" t="n">
        <f aca="false">IF($A458="",0,IF(AND($O458="PAGA",$J458="NAO"),$K458-$E458,0))</f>
        <v>0</v>
      </c>
    </row>
    <row r="459" customFormat="false" ht="15" hidden="false" customHeight="false" outlineLevel="0" collapsed="false">
      <c r="A459" s="30" t="str">
        <f aca="false">IF($B459="","","PAR-"&amp;TEXT(ROW()-4,"000000"))</f>
        <v/>
      </c>
      <c r="B459" s="32"/>
      <c r="C459" s="37"/>
      <c r="D459" s="31"/>
      <c r="E459" s="33"/>
      <c r="F459" s="32"/>
      <c r="G459" s="35" t="str">
        <f aca="false">IF($B459="","",IFERROR(INDEX(CM_NOME,MATCH($B459,CM_ID,0)),"?"))</f>
        <v/>
      </c>
      <c r="H459" s="34" t="str">
        <f aca="false">IF($B459="","",IFERROR(INDEX(CM_QTD,MATCH($B459,CM_ID,0)),""))</f>
        <v/>
      </c>
      <c r="I459" s="35" t="str">
        <f aca="false">IF($A459="","",$C459&amp;"/"&amp;$H459)</f>
        <v/>
      </c>
      <c r="J459" s="35" t="str">
        <f aca="false">IF($A459="","",IF($C459&lt;=IFERROR(INDEX(CM_PAGASANTES,MATCH($B459,CM_ID,0)),0),"SIM","NAO"))</f>
        <v/>
      </c>
      <c r="K459" s="36" t="n">
        <f aca="false">IF($A459="",0,SUMIFS(L_Valor,L_ParcID,$A459,L_Status,"REALIZADO"))</f>
        <v>0</v>
      </c>
      <c r="L459" s="38" t="str">
        <f aca="false">IF($A459="","",IFERROR(INDEX(L_Data,MATCH(1,INDEX((L_ParcID=$A459)*(L_Status="REALIZADO"),0),0)),""))</f>
        <v/>
      </c>
      <c r="M459" s="34" t="n">
        <f aca="false">IF($A459="",0,COUNTIFS(L_ParcID,$A459,L_Status,"REALIZADO"))</f>
        <v>0</v>
      </c>
      <c r="N459" s="34" t="n">
        <f aca="false">IF($A459="",0,COUNTIFS(L_ParcID,$A459,L_Status,"PROJETADO"))</f>
        <v>0</v>
      </c>
      <c r="O459" s="35" t="str">
        <f aca="false">IF($A459="","",IF($J459="SIM","PAGA",IF($M459&gt;0,"PAGA",IF($D459&lt;CFG_HOJE,"ATRASADA",IF($D459&lt;=EOMONTH(CFG_HOJE,0),"ABERTA","PROJETADA")))))</f>
        <v/>
      </c>
      <c r="P459" s="34" t="n">
        <f aca="false">IF($O459="ATRASADA",CFG_HOJE-$D459,0)</f>
        <v>0</v>
      </c>
      <c r="Q459" s="36" t="n">
        <f aca="false">IF($A459="",0,IF(AND($O459="PAGA",$J459="NAO"),$K459-$E459,0))</f>
        <v>0</v>
      </c>
    </row>
    <row r="460" customFormat="false" ht="15" hidden="false" customHeight="false" outlineLevel="0" collapsed="false">
      <c r="A460" s="30" t="str">
        <f aca="false">IF($B460="","","PAR-"&amp;TEXT(ROW()-4,"000000"))</f>
        <v/>
      </c>
      <c r="B460" s="32"/>
      <c r="C460" s="37"/>
      <c r="D460" s="31"/>
      <c r="E460" s="33"/>
      <c r="F460" s="32"/>
      <c r="G460" s="35" t="str">
        <f aca="false">IF($B460="","",IFERROR(INDEX(CM_NOME,MATCH($B460,CM_ID,0)),"?"))</f>
        <v/>
      </c>
      <c r="H460" s="34" t="str">
        <f aca="false">IF($B460="","",IFERROR(INDEX(CM_QTD,MATCH($B460,CM_ID,0)),""))</f>
        <v/>
      </c>
      <c r="I460" s="35" t="str">
        <f aca="false">IF($A460="","",$C460&amp;"/"&amp;$H460)</f>
        <v/>
      </c>
      <c r="J460" s="35" t="str">
        <f aca="false">IF($A460="","",IF($C460&lt;=IFERROR(INDEX(CM_PAGASANTES,MATCH($B460,CM_ID,0)),0),"SIM","NAO"))</f>
        <v/>
      </c>
      <c r="K460" s="36" t="n">
        <f aca="false">IF($A460="",0,SUMIFS(L_Valor,L_ParcID,$A460,L_Status,"REALIZADO"))</f>
        <v>0</v>
      </c>
      <c r="L460" s="38" t="str">
        <f aca="false">IF($A460="","",IFERROR(INDEX(L_Data,MATCH(1,INDEX((L_ParcID=$A460)*(L_Status="REALIZADO"),0),0)),""))</f>
        <v/>
      </c>
      <c r="M460" s="34" t="n">
        <f aca="false">IF($A460="",0,COUNTIFS(L_ParcID,$A460,L_Status,"REALIZADO"))</f>
        <v>0</v>
      </c>
      <c r="N460" s="34" t="n">
        <f aca="false">IF($A460="",0,COUNTIFS(L_ParcID,$A460,L_Status,"PROJETADO"))</f>
        <v>0</v>
      </c>
      <c r="O460" s="35" t="str">
        <f aca="false">IF($A460="","",IF($J460="SIM","PAGA",IF($M460&gt;0,"PAGA",IF($D460&lt;CFG_HOJE,"ATRASADA",IF($D460&lt;=EOMONTH(CFG_HOJE,0),"ABERTA","PROJETADA")))))</f>
        <v/>
      </c>
      <c r="P460" s="34" t="n">
        <f aca="false">IF($O460="ATRASADA",CFG_HOJE-$D460,0)</f>
        <v>0</v>
      </c>
      <c r="Q460" s="36" t="n">
        <f aca="false">IF($A460="",0,IF(AND($O460="PAGA",$J460="NAO"),$K460-$E460,0))</f>
        <v>0</v>
      </c>
    </row>
    <row r="461" customFormat="false" ht="15" hidden="false" customHeight="false" outlineLevel="0" collapsed="false">
      <c r="A461" s="30" t="str">
        <f aca="false">IF($B461="","","PAR-"&amp;TEXT(ROW()-4,"000000"))</f>
        <v/>
      </c>
      <c r="B461" s="32"/>
      <c r="C461" s="37"/>
      <c r="D461" s="31"/>
      <c r="E461" s="33"/>
      <c r="F461" s="32"/>
      <c r="G461" s="35" t="str">
        <f aca="false">IF($B461="","",IFERROR(INDEX(CM_NOME,MATCH($B461,CM_ID,0)),"?"))</f>
        <v/>
      </c>
      <c r="H461" s="34" t="str">
        <f aca="false">IF($B461="","",IFERROR(INDEX(CM_QTD,MATCH($B461,CM_ID,0)),""))</f>
        <v/>
      </c>
      <c r="I461" s="35" t="str">
        <f aca="false">IF($A461="","",$C461&amp;"/"&amp;$H461)</f>
        <v/>
      </c>
      <c r="J461" s="35" t="str">
        <f aca="false">IF($A461="","",IF($C461&lt;=IFERROR(INDEX(CM_PAGASANTES,MATCH($B461,CM_ID,0)),0),"SIM","NAO"))</f>
        <v/>
      </c>
      <c r="K461" s="36" t="n">
        <f aca="false">IF($A461="",0,SUMIFS(L_Valor,L_ParcID,$A461,L_Status,"REALIZADO"))</f>
        <v>0</v>
      </c>
      <c r="L461" s="38" t="str">
        <f aca="false">IF($A461="","",IFERROR(INDEX(L_Data,MATCH(1,INDEX((L_ParcID=$A461)*(L_Status="REALIZADO"),0),0)),""))</f>
        <v/>
      </c>
      <c r="M461" s="34" t="n">
        <f aca="false">IF($A461="",0,COUNTIFS(L_ParcID,$A461,L_Status,"REALIZADO"))</f>
        <v>0</v>
      </c>
      <c r="N461" s="34" t="n">
        <f aca="false">IF($A461="",0,COUNTIFS(L_ParcID,$A461,L_Status,"PROJETADO"))</f>
        <v>0</v>
      </c>
      <c r="O461" s="35" t="str">
        <f aca="false">IF($A461="","",IF($J461="SIM","PAGA",IF($M461&gt;0,"PAGA",IF($D461&lt;CFG_HOJE,"ATRASADA",IF($D461&lt;=EOMONTH(CFG_HOJE,0),"ABERTA","PROJETADA")))))</f>
        <v/>
      </c>
      <c r="P461" s="34" t="n">
        <f aca="false">IF($O461="ATRASADA",CFG_HOJE-$D461,0)</f>
        <v>0</v>
      </c>
      <c r="Q461" s="36" t="n">
        <f aca="false">IF($A461="",0,IF(AND($O461="PAGA",$J461="NAO"),$K461-$E461,0))</f>
        <v>0</v>
      </c>
    </row>
    <row r="462" customFormat="false" ht="15" hidden="false" customHeight="false" outlineLevel="0" collapsed="false">
      <c r="A462" s="30" t="str">
        <f aca="false">IF($B462="","","PAR-"&amp;TEXT(ROW()-4,"000000"))</f>
        <v/>
      </c>
      <c r="B462" s="32"/>
      <c r="C462" s="37"/>
      <c r="D462" s="31"/>
      <c r="E462" s="33"/>
      <c r="F462" s="32"/>
      <c r="G462" s="35" t="str">
        <f aca="false">IF($B462="","",IFERROR(INDEX(CM_NOME,MATCH($B462,CM_ID,0)),"?"))</f>
        <v/>
      </c>
      <c r="H462" s="34" t="str">
        <f aca="false">IF($B462="","",IFERROR(INDEX(CM_QTD,MATCH($B462,CM_ID,0)),""))</f>
        <v/>
      </c>
      <c r="I462" s="35" t="str">
        <f aca="false">IF($A462="","",$C462&amp;"/"&amp;$H462)</f>
        <v/>
      </c>
      <c r="J462" s="35" t="str">
        <f aca="false">IF($A462="","",IF($C462&lt;=IFERROR(INDEX(CM_PAGASANTES,MATCH($B462,CM_ID,0)),0),"SIM","NAO"))</f>
        <v/>
      </c>
      <c r="K462" s="36" t="n">
        <f aca="false">IF($A462="",0,SUMIFS(L_Valor,L_ParcID,$A462,L_Status,"REALIZADO"))</f>
        <v>0</v>
      </c>
      <c r="L462" s="38" t="str">
        <f aca="false">IF($A462="","",IFERROR(INDEX(L_Data,MATCH(1,INDEX((L_ParcID=$A462)*(L_Status="REALIZADO"),0),0)),""))</f>
        <v/>
      </c>
      <c r="M462" s="34" t="n">
        <f aca="false">IF($A462="",0,COUNTIFS(L_ParcID,$A462,L_Status,"REALIZADO"))</f>
        <v>0</v>
      </c>
      <c r="N462" s="34" t="n">
        <f aca="false">IF($A462="",0,COUNTIFS(L_ParcID,$A462,L_Status,"PROJETADO"))</f>
        <v>0</v>
      </c>
      <c r="O462" s="35" t="str">
        <f aca="false">IF($A462="","",IF($J462="SIM","PAGA",IF($M462&gt;0,"PAGA",IF($D462&lt;CFG_HOJE,"ATRASADA",IF($D462&lt;=EOMONTH(CFG_HOJE,0),"ABERTA","PROJETADA")))))</f>
        <v/>
      </c>
      <c r="P462" s="34" t="n">
        <f aca="false">IF($O462="ATRASADA",CFG_HOJE-$D462,0)</f>
        <v>0</v>
      </c>
      <c r="Q462" s="36" t="n">
        <f aca="false">IF($A462="",0,IF(AND($O462="PAGA",$J462="NAO"),$K462-$E462,0))</f>
        <v>0</v>
      </c>
    </row>
    <row r="463" customFormat="false" ht="15" hidden="false" customHeight="false" outlineLevel="0" collapsed="false">
      <c r="A463" s="30" t="str">
        <f aca="false">IF($B463="","","PAR-"&amp;TEXT(ROW()-4,"000000"))</f>
        <v/>
      </c>
      <c r="B463" s="32"/>
      <c r="C463" s="37"/>
      <c r="D463" s="31"/>
      <c r="E463" s="33"/>
      <c r="F463" s="32"/>
      <c r="G463" s="35" t="str">
        <f aca="false">IF($B463="","",IFERROR(INDEX(CM_NOME,MATCH($B463,CM_ID,0)),"?"))</f>
        <v/>
      </c>
      <c r="H463" s="34" t="str">
        <f aca="false">IF($B463="","",IFERROR(INDEX(CM_QTD,MATCH($B463,CM_ID,0)),""))</f>
        <v/>
      </c>
      <c r="I463" s="35" t="str">
        <f aca="false">IF($A463="","",$C463&amp;"/"&amp;$H463)</f>
        <v/>
      </c>
      <c r="J463" s="35" t="str">
        <f aca="false">IF($A463="","",IF($C463&lt;=IFERROR(INDEX(CM_PAGASANTES,MATCH($B463,CM_ID,0)),0),"SIM","NAO"))</f>
        <v/>
      </c>
      <c r="K463" s="36" t="n">
        <f aca="false">IF($A463="",0,SUMIFS(L_Valor,L_ParcID,$A463,L_Status,"REALIZADO"))</f>
        <v>0</v>
      </c>
      <c r="L463" s="38" t="str">
        <f aca="false">IF($A463="","",IFERROR(INDEX(L_Data,MATCH(1,INDEX((L_ParcID=$A463)*(L_Status="REALIZADO"),0),0)),""))</f>
        <v/>
      </c>
      <c r="M463" s="34" t="n">
        <f aca="false">IF($A463="",0,COUNTIFS(L_ParcID,$A463,L_Status,"REALIZADO"))</f>
        <v>0</v>
      </c>
      <c r="N463" s="34" t="n">
        <f aca="false">IF($A463="",0,COUNTIFS(L_ParcID,$A463,L_Status,"PROJETADO"))</f>
        <v>0</v>
      </c>
      <c r="O463" s="35" t="str">
        <f aca="false">IF($A463="","",IF($J463="SIM","PAGA",IF($M463&gt;0,"PAGA",IF($D463&lt;CFG_HOJE,"ATRASADA",IF($D463&lt;=EOMONTH(CFG_HOJE,0),"ABERTA","PROJETADA")))))</f>
        <v/>
      </c>
      <c r="P463" s="34" t="n">
        <f aca="false">IF($O463="ATRASADA",CFG_HOJE-$D463,0)</f>
        <v>0</v>
      </c>
      <c r="Q463" s="36" t="n">
        <f aca="false">IF($A463="",0,IF(AND($O463="PAGA",$J463="NAO"),$K463-$E463,0))</f>
        <v>0</v>
      </c>
    </row>
    <row r="464" customFormat="false" ht="15" hidden="false" customHeight="false" outlineLevel="0" collapsed="false">
      <c r="A464" s="30" t="str">
        <f aca="false">IF($B464="","","PAR-"&amp;TEXT(ROW()-4,"000000"))</f>
        <v/>
      </c>
      <c r="B464" s="32"/>
      <c r="C464" s="37"/>
      <c r="D464" s="31"/>
      <c r="E464" s="33"/>
      <c r="F464" s="32"/>
      <c r="G464" s="35" t="str">
        <f aca="false">IF($B464="","",IFERROR(INDEX(CM_NOME,MATCH($B464,CM_ID,0)),"?"))</f>
        <v/>
      </c>
      <c r="H464" s="34" t="str">
        <f aca="false">IF($B464="","",IFERROR(INDEX(CM_QTD,MATCH($B464,CM_ID,0)),""))</f>
        <v/>
      </c>
      <c r="I464" s="35" t="str">
        <f aca="false">IF($A464="","",$C464&amp;"/"&amp;$H464)</f>
        <v/>
      </c>
      <c r="J464" s="35" t="str">
        <f aca="false">IF($A464="","",IF($C464&lt;=IFERROR(INDEX(CM_PAGASANTES,MATCH($B464,CM_ID,0)),0),"SIM","NAO"))</f>
        <v/>
      </c>
      <c r="K464" s="36" t="n">
        <f aca="false">IF($A464="",0,SUMIFS(L_Valor,L_ParcID,$A464,L_Status,"REALIZADO"))</f>
        <v>0</v>
      </c>
      <c r="L464" s="38" t="str">
        <f aca="false">IF($A464="","",IFERROR(INDEX(L_Data,MATCH(1,INDEX((L_ParcID=$A464)*(L_Status="REALIZADO"),0),0)),""))</f>
        <v/>
      </c>
      <c r="M464" s="34" t="n">
        <f aca="false">IF($A464="",0,COUNTIFS(L_ParcID,$A464,L_Status,"REALIZADO"))</f>
        <v>0</v>
      </c>
      <c r="N464" s="34" t="n">
        <f aca="false">IF($A464="",0,COUNTIFS(L_ParcID,$A464,L_Status,"PROJETADO"))</f>
        <v>0</v>
      </c>
      <c r="O464" s="35" t="str">
        <f aca="false">IF($A464="","",IF($J464="SIM","PAGA",IF($M464&gt;0,"PAGA",IF($D464&lt;CFG_HOJE,"ATRASADA",IF($D464&lt;=EOMONTH(CFG_HOJE,0),"ABERTA","PROJETADA")))))</f>
        <v/>
      </c>
      <c r="P464" s="34" t="n">
        <f aca="false">IF($O464="ATRASADA",CFG_HOJE-$D464,0)</f>
        <v>0</v>
      </c>
      <c r="Q464" s="36" t="n">
        <f aca="false">IF($A464="",0,IF(AND($O464="PAGA",$J464="NAO"),$K464-$E464,0))</f>
        <v>0</v>
      </c>
    </row>
    <row r="465" customFormat="false" ht="15" hidden="false" customHeight="false" outlineLevel="0" collapsed="false">
      <c r="A465" s="30" t="str">
        <f aca="false">IF($B465="","","PAR-"&amp;TEXT(ROW()-4,"000000"))</f>
        <v/>
      </c>
      <c r="B465" s="32"/>
      <c r="C465" s="37"/>
      <c r="D465" s="31"/>
      <c r="E465" s="33"/>
      <c r="F465" s="32"/>
      <c r="G465" s="35" t="str">
        <f aca="false">IF($B465="","",IFERROR(INDEX(CM_NOME,MATCH($B465,CM_ID,0)),"?"))</f>
        <v/>
      </c>
      <c r="H465" s="34" t="str">
        <f aca="false">IF($B465="","",IFERROR(INDEX(CM_QTD,MATCH($B465,CM_ID,0)),""))</f>
        <v/>
      </c>
      <c r="I465" s="35" t="str">
        <f aca="false">IF($A465="","",$C465&amp;"/"&amp;$H465)</f>
        <v/>
      </c>
      <c r="J465" s="35" t="str">
        <f aca="false">IF($A465="","",IF($C465&lt;=IFERROR(INDEX(CM_PAGASANTES,MATCH($B465,CM_ID,0)),0),"SIM","NAO"))</f>
        <v/>
      </c>
      <c r="K465" s="36" t="n">
        <f aca="false">IF($A465="",0,SUMIFS(L_Valor,L_ParcID,$A465,L_Status,"REALIZADO"))</f>
        <v>0</v>
      </c>
      <c r="L465" s="38" t="str">
        <f aca="false">IF($A465="","",IFERROR(INDEX(L_Data,MATCH(1,INDEX((L_ParcID=$A465)*(L_Status="REALIZADO"),0),0)),""))</f>
        <v/>
      </c>
      <c r="M465" s="34" t="n">
        <f aca="false">IF($A465="",0,COUNTIFS(L_ParcID,$A465,L_Status,"REALIZADO"))</f>
        <v>0</v>
      </c>
      <c r="N465" s="34" t="n">
        <f aca="false">IF($A465="",0,COUNTIFS(L_ParcID,$A465,L_Status,"PROJETADO"))</f>
        <v>0</v>
      </c>
      <c r="O465" s="35" t="str">
        <f aca="false">IF($A465="","",IF($J465="SIM","PAGA",IF($M465&gt;0,"PAGA",IF($D465&lt;CFG_HOJE,"ATRASADA",IF($D465&lt;=EOMONTH(CFG_HOJE,0),"ABERTA","PROJETADA")))))</f>
        <v/>
      </c>
      <c r="P465" s="34" t="n">
        <f aca="false">IF($O465="ATRASADA",CFG_HOJE-$D465,0)</f>
        <v>0</v>
      </c>
      <c r="Q465" s="36" t="n">
        <f aca="false">IF($A465="",0,IF(AND($O465="PAGA",$J465="NAO"),$K465-$E465,0))</f>
        <v>0</v>
      </c>
    </row>
    <row r="466" customFormat="false" ht="15" hidden="false" customHeight="false" outlineLevel="0" collapsed="false">
      <c r="A466" s="30" t="str">
        <f aca="false">IF($B466="","","PAR-"&amp;TEXT(ROW()-4,"000000"))</f>
        <v/>
      </c>
      <c r="B466" s="32"/>
      <c r="C466" s="37"/>
      <c r="D466" s="31"/>
      <c r="E466" s="33"/>
      <c r="F466" s="32"/>
      <c r="G466" s="35" t="str">
        <f aca="false">IF($B466="","",IFERROR(INDEX(CM_NOME,MATCH($B466,CM_ID,0)),"?"))</f>
        <v/>
      </c>
      <c r="H466" s="34" t="str">
        <f aca="false">IF($B466="","",IFERROR(INDEX(CM_QTD,MATCH($B466,CM_ID,0)),""))</f>
        <v/>
      </c>
      <c r="I466" s="35" t="str">
        <f aca="false">IF($A466="","",$C466&amp;"/"&amp;$H466)</f>
        <v/>
      </c>
      <c r="J466" s="35" t="str">
        <f aca="false">IF($A466="","",IF($C466&lt;=IFERROR(INDEX(CM_PAGASANTES,MATCH($B466,CM_ID,0)),0),"SIM","NAO"))</f>
        <v/>
      </c>
      <c r="K466" s="36" t="n">
        <f aca="false">IF($A466="",0,SUMIFS(L_Valor,L_ParcID,$A466,L_Status,"REALIZADO"))</f>
        <v>0</v>
      </c>
      <c r="L466" s="38" t="str">
        <f aca="false">IF($A466="","",IFERROR(INDEX(L_Data,MATCH(1,INDEX((L_ParcID=$A466)*(L_Status="REALIZADO"),0),0)),""))</f>
        <v/>
      </c>
      <c r="M466" s="34" t="n">
        <f aca="false">IF($A466="",0,COUNTIFS(L_ParcID,$A466,L_Status,"REALIZADO"))</f>
        <v>0</v>
      </c>
      <c r="N466" s="34" t="n">
        <f aca="false">IF($A466="",0,COUNTIFS(L_ParcID,$A466,L_Status,"PROJETADO"))</f>
        <v>0</v>
      </c>
      <c r="O466" s="35" t="str">
        <f aca="false">IF($A466="","",IF($J466="SIM","PAGA",IF($M466&gt;0,"PAGA",IF($D466&lt;CFG_HOJE,"ATRASADA",IF($D466&lt;=EOMONTH(CFG_HOJE,0),"ABERTA","PROJETADA")))))</f>
        <v/>
      </c>
      <c r="P466" s="34" t="n">
        <f aca="false">IF($O466="ATRASADA",CFG_HOJE-$D466,0)</f>
        <v>0</v>
      </c>
      <c r="Q466" s="36" t="n">
        <f aca="false">IF($A466="",0,IF(AND($O466="PAGA",$J466="NAO"),$K466-$E466,0))</f>
        <v>0</v>
      </c>
    </row>
    <row r="467" customFormat="false" ht="15" hidden="false" customHeight="false" outlineLevel="0" collapsed="false">
      <c r="A467" s="30" t="str">
        <f aca="false">IF($B467="","","PAR-"&amp;TEXT(ROW()-4,"000000"))</f>
        <v/>
      </c>
      <c r="B467" s="32"/>
      <c r="C467" s="37"/>
      <c r="D467" s="31"/>
      <c r="E467" s="33"/>
      <c r="F467" s="32"/>
      <c r="G467" s="35" t="str">
        <f aca="false">IF($B467="","",IFERROR(INDEX(CM_NOME,MATCH($B467,CM_ID,0)),"?"))</f>
        <v/>
      </c>
      <c r="H467" s="34" t="str">
        <f aca="false">IF($B467="","",IFERROR(INDEX(CM_QTD,MATCH($B467,CM_ID,0)),""))</f>
        <v/>
      </c>
      <c r="I467" s="35" t="str">
        <f aca="false">IF($A467="","",$C467&amp;"/"&amp;$H467)</f>
        <v/>
      </c>
      <c r="J467" s="35" t="str">
        <f aca="false">IF($A467="","",IF($C467&lt;=IFERROR(INDEX(CM_PAGASANTES,MATCH($B467,CM_ID,0)),0),"SIM","NAO"))</f>
        <v/>
      </c>
      <c r="K467" s="36" t="n">
        <f aca="false">IF($A467="",0,SUMIFS(L_Valor,L_ParcID,$A467,L_Status,"REALIZADO"))</f>
        <v>0</v>
      </c>
      <c r="L467" s="38" t="str">
        <f aca="false">IF($A467="","",IFERROR(INDEX(L_Data,MATCH(1,INDEX((L_ParcID=$A467)*(L_Status="REALIZADO"),0),0)),""))</f>
        <v/>
      </c>
      <c r="M467" s="34" t="n">
        <f aca="false">IF($A467="",0,COUNTIFS(L_ParcID,$A467,L_Status,"REALIZADO"))</f>
        <v>0</v>
      </c>
      <c r="N467" s="34" t="n">
        <f aca="false">IF($A467="",0,COUNTIFS(L_ParcID,$A467,L_Status,"PROJETADO"))</f>
        <v>0</v>
      </c>
      <c r="O467" s="35" t="str">
        <f aca="false">IF($A467="","",IF($J467="SIM","PAGA",IF($M467&gt;0,"PAGA",IF($D467&lt;CFG_HOJE,"ATRASADA",IF($D467&lt;=EOMONTH(CFG_HOJE,0),"ABERTA","PROJETADA")))))</f>
        <v/>
      </c>
      <c r="P467" s="34" t="n">
        <f aca="false">IF($O467="ATRASADA",CFG_HOJE-$D467,0)</f>
        <v>0</v>
      </c>
      <c r="Q467" s="36" t="n">
        <f aca="false">IF($A467="",0,IF(AND($O467="PAGA",$J467="NAO"),$K467-$E467,0))</f>
        <v>0</v>
      </c>
    </row>
    <row r="468" customFormat="false" ht="15" hidden="false" customHeight="false" outlineLevel="0" collapsed="false">
      <c r="A468" s="30" t="str">
        <f aca="false">IF($B468="","","PAR-"&amp;TEXT(ROW()-4,"000000"))</f>
        <v/>
      </c>
      <c r="B468" s="32"/>
      <c r="C468" s="37"/>
      <c r="D468" s="31"/>
      <c r="E468" s="33"/>
      <c r="F468" s="32"/>
      <c r="G468" s="35" t="str">
        <f aca="false">IF($B468="","",IFERROR(INDEX(CM_NOME,MATCH($B468,CM_ID,0)),"?"))</f>
        <v/>
      </c>
      <c r="H468" s="34" t="str">
        <f aca="false">IF($B468="","",IFERROR(INDEX(CM_QTD,MATCH($B468,CM_ID,0)),""))</f>
        <v/>
      </c>
      <c r="I468" s="35" t="str">
        <f aca="false">IF($A468="","",$C468&amp;"/"&amp;$H468)</f>
        <v/>
      </c>
      <c r="J468" s="35" t="str">
        <f aca="false">IF($A468="","",IF($C468&lt;=IFERROR(INDEX(CM_PAGASANTES,MATCH($B468,CM_ID,0)),0),"SIM","NAO"))</f>
        <v/>
      </c>
      <c r="K468" s="36" t="n">
        <f aca="false">IF($A468="",0,SUMIFS(L_Valor,L_ParcID,$A468,L_Status,"REALIZADO"))</f>
        <v>0</v>
      </c>
      <c r="L468" s="38" t="str">
        <f aca="false">IF($A468="","",IFERROR(INDEX(L_Data,MATCH(1,INDEX((L_ParcID=$A468)*(L_Status="REALIZADO"),0),0)),""))</f>
        <v/>
      </c>
      <c r="M468" s="34" t="n">
        <f aca="false">IF($A468="",0,COUNTIFS(L_ParcID,$A468,L_Status,"REALIZADO"))</f>
        <v>0</v>
      </c>
      <c r="N468" s="34" t="n">
        <f aca="false">IF($A468="",0,COUNTIFS(L_ParcID,$A468,L_Status,"PROJETADO"))</f>
        <v>0</v>
      </c>
      <c r="O468" s="35" t="str">
        <f aca="false">IF($A468="","",IF($J468="SIM","PAGA",IF($M468&gt;0,"PAGA",IF($D468&lt;CFG_HOJE,"ATRASADA",IF($D468&lt;=EOMONTH(CFG_HOJE,0),"ABERTA","PROJETADA")))))</f>
        <v/>
      </c>
      <c r="P468" s="34" t="n">
        <f aca="false">IF($O468="ATRASADA",CFG_HOJE-$D468,0)</f>
        <v>0</v>
      </c>
      <c r="Q468" s="36" t="n">
        <f aca="false">IF($A468="",0,IF(AND($O468="PAGA",$J468="NAO"),$K468-$E468,0))</f>
        <v>0</v>
      </c>
    </row>
    <row r="469" customFormat="false" ht="15" hidden="false" customHeight="false" outlineLevel="0" collapsed="false">
      <c r="A469" s="30" t="str">
        <f aca="false">IF($B469="","","PAR-"&amp;TEXT(ROW()-4,"000000"))</f>
        <v/>
      </c>
      <c r="B469" s="32"/>
      <c r="C469" s="37"/>
      <c r="D469" s="31"/>
      <c r="E469" s="33"/>
      <c r="F469" s="32"/>
      <c r="G469" s="35" t="str">
        <f aca="false">IF($B469="","",IFERROR(INDEX(CM_NOME,MATCH($B469,CM_ID,0)),"?"))</f>
        <v/>
      </c>
      <c r="H469" s="34" t="str">
        <f aca="false">IF($B469="","",IFERROR(INDEX(CM_QTD,MATCH($B469,CM_ID,0)),""))</f>
        <v/>
      </c>
      <c r="I469" s="35" t="str">
        <f aca="false">IF($A469="","",$C469&amp;"/"&amp;$H469)</f>
        <v/>
      </c>
      <c r="J469" s="35" t="str">
        <f aca="false">IF($A469="","",IF($C469&lt;=IFERROR(INDEX(CM_PAGASANTES,MATCH($B469,CM_ID,0)),0),"SIM","NAO"))</f>
        <v/>
      </c>
      <c r="K469" s="36" t="n">
        <f aca="false">IF($A469="",0,SUMIFS(L_Valor,L_ParcID,$A469,L_Status,"REALIZADO"))</f>
        <v>0</v>
      </c>
      <c r="L469" s="38" t="str">
        <f aca="false">IF($A469="","",IFERROR(INDEX(L_Data,MATCH(1,INDEX((L_ParcID=$A469)*(L_Status="REALIZADO"),0),0)),""))</f>
        <v/>
      </c>
      <c r="M469" s="34" t="n">
        <f aca="false">IF($A469="",0,COUNTIFS(L_ParcID,$A469,L_Status,"REALIZADO"))</f>
        <v>0</v>
      </c>
      <c r="N469" s="34" t="n">
        <f aca="false">IF($A469="",0,COUNTIFS(L_ParcID,$A469,L_Status,"PROJETADO"))</f>
        <v>0</v>
      </c>
      <c r="O469" s="35" t="str">
        <f aca="false">IF($A469="","",IF($J469="SIM","PAGA",IF($M469&gt;0,"PAGA",IF($D469&lt;CFG_HOJE,"ATRASADA",IF($D469&lt;=EOMONTH(CFG_HOJE,0),"ABERTA","PROJETADA")))))</f>
        <v/>
      </c>
      <c r="P469" s="34" t="n">
        <f aca="false">IF($O469="ATRASADA",CFG_HOJE-$D469,0)</f>
        <v>0</v>
      </c>
      <c r="Q469" s="36" t="n">
        <f aca="false">IF($A469="",0,IF(AND($O469="PAGA",$J469="NAO"),$K469-$E469,0))</f>
        <v>0</v>
      </c>
    </row>
    <row r="470" customFormat="false" ht="15" hidden="false" customHeight="false" outlineLevel="0" collapsed="false">
      <c r="A470" s="30" t="str">
        <f aca="false">IF($B470="","","PAR-"&amp;TEXT(ROW()-4,"000000"))</f>
        <v/>
      </c>
      <c r="B470" s="32"/>
      <c r="C470" s="37"/>
      <c r="D470" s="31"/>
      <c r="E470" s="33"/>
      <c r="F470" s="32"/>
      <c r="G470" s="35" t="str">
        <f aca="false">IF($B470="","",IFERROR(INDEX(CM_NOME,MATCH($B470,CM_ID,0)),"?"))</f>
        <v/>
      </c>
      <c r="H470" s="34" t="str">
        <f aca="false">IF($B470="","",IFERROR(INDEX(CM_QTD,MATCH($B470,CM_ID,0)),""))</f>
        <v/>
      </c>
      <c r="I470" s="35" t="str">
        <f aca="false">IF($A470="","",$C470&amp;"/"&amp;$H470)</f>
        <v/>
      </c>
      <c r="J470" s="35" t="str">
        <f aca="false">IF($A470="","",IF($C470&lt;=IFERROR(INDEX(CM_PAGASANTES,MATCH($B470,CM_ID,0)),0),"SIM","NAO"))</f>
        <v/>
      </c>
      <c r="K470" s="36" t="n">
        <f aca="false">IF($A470="",0,SUMIFS(L_Valor,L_ParcID,$A470,L_Status,"REALIZADO"))</f>
        <v>0</v>
      </c>
      <c r="L470" s="38" t="str">
        <f aca="false">IF($A470="","",IFERROR(INDEX(L_Data,MATCH(1,INDEX((L_ParcID=$A470)*(L_Status="REALIZADO"),0),0)),""))</f>
        <v/>
      </c>
      <c r="M470" s="34" t="n">
        <f aca="false">IF($A470="",0,COUNTIFS(L_ParcID,$A470,L_Status,"REALIZADO"))</f>
        <v>0</v>
      </c>
      <c r="N470" s="34" t="n">
        <f aca="false">IF($A470="",0,COUNTIFS(L_ParcID,$A470,L_Status,"PROJETADO"))</f>
        <v>0</v>
      </c>
      <c r="O470" s="35" t="str">
        <f aca="false">IF($A470="","",IF($J470="SIM","PAGA",IF($M470&gt;0,"PAGA",IF($D470&lt;CFG_HOJE,"ATRASADA",IF($D470&lt;=EOMONTH(CFG_HOJE,0),"ABERTA","PROJETADA")))))</f>
        <v/>
      </c>
      <c r="P470" s="34" t="n">
        <f aca="false">IF($O470="ATRASADA",CFG_HOJE-$D470,0)</f>
        <v>0</v>
      </c>
      <c r="Q470" s="36" t="n">
        <f aca="false">IF($A470="",0,IF(AND($O470="PAGA",$J470="NAO"),$K470-$E470,0))</f>
        <v>0</v>
      </c>
    </row>
    <row r="471" customFormat="false" ht="15" hidden="false" customHeight="false" outlineLevel="0" collapsed="false">
      <c r="A471" s="30" t="str">
        <f aca="false">IF($B471="","","PAR-"&amp;TEXT(ROW()-4,"000000"))</f>
        <v/>
      </c>
      <c r="B471" s="32"/>
      <c r="C471" s="37"/>
      <c r="D471" s="31"/>
      <c r="E471" s="33"/>
      <c r="F471" s="32"/>
      <c r="G471" s="35" t="str">
        <f aca="false">IF($B471="","",IFERROR(INDEX(CM_NOME,MATCH($B471,CM_ID,0)),"?"))</f>
        <v/>
      </c>
      <c r="H471" s="34" t="str">
        <f aca="false">IF($B471="","",IFERROR(INDEX(CM_QTD,MATCH($B471,CM_ID,0)),""))</f>
        <v/>
      </c>
      <c r="I471" s="35" t="str">
        <f aca="false">IF($A471="","",$C471&amp;"/"&amp;$H471)</f>
        <v/>
      </c>
      <c r="J471" s="35" t="str">
        <f aca="false">IF($A471="","",IF($C471&lt;=IFERROR(INDEX(CM_PAGASANTES,MATCH($B471,CM_ID,0)),0),"SIM","NAO"))</f>
        <v/>
      </c>
      <c r="K471" s="36" t="n">
        <f aca="false">IF($A471="",0,SUMIFS(L_Valor,L_ParcID,$A471,L_Status,"REALIZADO"))</f>
        <v>0</v>
      </c>
      <c r="L471" s="38" t="str">
        <f aca="false">IF($A471="","",IFERROR(INDEX(L_Data,MATCH(1,INDEX((L_ParcID=$A471)*(L_Status="REALIZADO"),0),0)),""))</f>
        <v/>
      </c>
      <c r="M471" s="34" t="n">
        <f aca="false">IF($A471="",0,COUNTIFS(L_ParcID,$A471,L_Status,"REALIZADO"))</f>
        <v>0</v>
      </c>
      <c r="N471" s="34" t="n">
        <f aca="false">IF($A471="",0,COUNTIFS(L_ParcID,$A471,L_Status,"PROJETADO"))</f>
        <v>0</v>
      </c>
      <c r="O471" s="35" t="str">
        <f aca="false">IF($A471="","",IF($J471="SIM","PAGA",IF($M471&gt;0,"PAGA",IF($D471&lt;CFG_HOJE,"ATRASADA",IF($D471&lt;=EOMONTH(CFG_HOJE,0),"ABERTA","PROJETADA")))))</f>
        <v/>
      </c>
      <c r="P471" s="34" t="n">
        <f aca="false">IF($O471="ATRASADA",CFG_HOJE-$D471,0)</f>
        <v>0</v>
      </c>
      <c r="Q471" s="36" t="n">
        <f aca="false">IF($A471="",0,IF(AND($O471="PAGA",$J471="NAO"),$K471-$E471,0))</f>
        <v>0</v>
      </c>
    </row>
    <row r="472" customFormat="false" ht="15" hidden="false" customHeight="false" outlineLevel="0" collapsed="false">
      <c r="A472" s="30" t="str">
        <f aca="false">IF($B472="","","PAR-"&amp;TEXT(ROW()-4,"000000"))</f>
        <v/>
      </c>
      <c r="B472" s="32"/>
      <c r="C472" s="37"/>
      <c r="D472" s="31"/>
      <c r="E472" s="33"/>
      <c r="F472" s="32"/>
      <c r="G472" s="35" t="str">
        <f aca="false">IF($B472="","",IFERROR(INDEX(CM_NOME,MATCH($B472,CM_ID,0)),"?"))</f>
        <v/>
      </c>
      <c r="H472" s="34" t="str">
        <f aca="false">IF($B472="","",IFERROR(INDEX(CM_QTD,MATCH($B472,CM_ID,0)),""))</f>
        <v/>
      </c>
      <c r="I472" s="35" t="str">
        <f aca="false">IF($A472="","",$C472&amp;"/"&amp;$H472)</f>
        <v/>
      </c>
      <c r="J472" s="35" t="str">
        <f aca="false">IF($A472="","",IF($C472&lt;=IFERROR(INDEX(CM_PAGASANTES,MATCH($B472,CM_ID,0)),0),"SIM","NAO"))</f>
        <v/>
      </c>
      <c r="K472" s="36" t="n">
        <f aca="false">IF($A472="",0,SUMIFS(L_Valor,L_ParcID,$A472,L_Status,"REALIZADO"))</f>
        <v>0</v>
      </c>
      <c r="L472" s="38" t="str">
        <f aca="false">IF($A472="","",IFERROR(INDEX(L_Data,MATCH(1,INDEX((L_ParcID=$A472)*(L_Status="REALIZADO"),0),0)),""))</f>
        <v/>
      </c>
      <c r="M472" s="34" t="n">
        <f aca="false">IF($A472="",0,COUNTIFS(L_ParcID,$A472,L_Status,"REALIZADO"))</f>
        <v>0</v>
      </c>
      <c r="N472" s="34" t="n">
        <f aca="false">IF($A472="",0,COUNTIFS(L_ParcID,$A472,L_Status,"PROJETADO"))</f>
        <v>0</v>
      </c>
      <c r="O472" s="35" t="str">
        <f aca="false">IF($A472="","",IF($J472="SIM","PAGA",IF($M472&gt;0,"PAGA",IF($D472&lt;CFG_HOJE,"ATRASADA",IF($D472&lt;=EOMONTH(CFG_HOJE,0),"ABERTA","PROJETADA")))))</f>
        <v/>
      </c>
      <c r="P472" s="34" t="n">
        <f aca="false">IF($O472="ATRASADA",CFG_HOJE-$D472,0)</f>
        <v>0</v>
      </c>
      <c r="Q472" s="36" t="n">
        <f aca="false">IF($A472="",0,IF(AND($O472="PAGA",$J472="NAO"),$K472-$E472,0))</f>
        <v>0</v>
      </c>
    </row>
    <row r="473" customFormat="false" ht="15" hidden="false" customHeight="false" outlineLevel="0" collapsed="false">
      <c r="A473" s="30" t="str">
        <f aca="false">IF($B473="","","PAR-"&amp;TEXT(ROW()-4,"000000"))</f>
        <v/>
      </c>
      <c r="B473" s="32"/>
      <c r="C473" s="37"/>
      <c r="D473" s="31"/>
      <c r="E473" s="33"/>
      <c r="F473" s="32"/>
      <c r="G473" s="35" t="str">
        <f aca="false">IF($B473="","",IFERROR(INDEX(CM_NOME,MATCH($B473,CM_ID,0)),"?"))</f>
        <v/>
      </c>
      <c r="H473" s="34" t="str">
        <f aca="false">IF($B473="","",IFERROR(INDEX(CM_QTD,MATCH($B473,CM_ID,0)),""))</f>
        <v/>
      </c>
      <c r="I473" s="35" t="str">
        <f aca="false">IF($A473="","",$C473&amp;"/"&amp;$H473)</f>
        <v/>
      </c>
      <c r="J473" s="35" t="str">
        <f aca="false">IF($A473="","",IF($C473&lt;=IFERROR(INDEX(CM_PAGASANTES,MATCH($B473,CM_ID,0)),0),"SIM","NAO"))</f>
        <v/>
      </c>
      <c r="K473" s="36" t="n">
        <f aca="false">IF($A473="",0,SUMIFS(L_Valor,L_ParcID,$A473,L_Status,"REALIZADO"))</f>
        <v>0</v>
      </c>
      <c r="L473" s="38" t="str">
        <f aca="false">IF($A473="","",IFERROR(INDEX(L_Data,MATCH(1,INDEX((L_ParcID=$A473)*(L_Status="REALIZADO"),0),0)),""))</f>
        <v/>
      </c>
      <c r="M473" s="34" t="n">
        <f aca="false">IF($A473="",0,COUNTIFS(L_ParcID,$A473,L_Status,"REALIZADO"))</f>
        <v>0</v>
      </c>
      <c r="N473" s="34" t="n">
        <f aca="false">IF($A473="",0,COUNTIFS(L_ParcID,$A473,L_Status,"PROJETADO"))</f>
        <v>0</v>
      </c>
      <c r="O473" s="35" t="str">
        <f aca="false">IF($A473="","",IF($J473="SIM","PAGA",IF($M473&gt;0,"PAGA",IF($D473&lt;CFG_HOJE,"ATRASADA",IF($D473&lt;=EOMONTH(CFG_HOJE,0),"ABERTA","PROJETADA")))))</f>
        <v/>
      </c>
      <c r="P473" s="34" t="n">
        <f aca="false">IF($O473="ATRASADA",CFG_HOJE-$D473,0)</f>
        <v>0</v>
      </c>
      <c r="Q473" s="36" t="n">
        <f aca="false">IF($A473="",0,IF(AND($O473="PAGA",$J473="NAO"),$K473-$E473,0))</f>
        <v>0</v>
      </c>
    </row>
    <row r="474" customFormat="false" ht="15" hidden="false" customHeight="false" outlineLevel="0" collapsed="false">
      <c r="A474" s="30" t="str">
        <f aca="false">IF($B474="","","PAR-"&amp;TEXT(ROW()-4,"000000"))</f>
        <v/>
      </c>
      <c r="B474" s="32"/>
      <c r="C474" s="37"/>
      <c r="D474" s="31"/>
      <c r="E474" s="33"/>
      <c r="F474" s="32"/>
      <c r="G474" s="35" t="str">
        <f aca="false">IF($B474="","",IFERROR(INDEX(CM_NOME,MATCH($B474,CM_ID,0)),"?"))</f>
        <v/>
      </c>
      <c r="H474" s="34" t="str">
        <f aca="false">IF($B474="","",IFERROR(INDEX(CM_QTD,MATCH($B474,CM_ID,0)),""))</f>
        <v/>
      </c>
      <c r="I474" s="35" t="str">
        <f aca="false">IF($A474="","",$C474&amp;"/"&amp;$H474)</f>
        <v/>
      </c>
      <c r="J474" s="35" t="str">
        <f aca="false">IF($A474="","",IF($C474&lt;=IFERROR(INDEX(CM_PAGASANTES,MATCH($B474,CM_ID,0)),0),"SIM","NAO"))</f>
        <v/>
      </c>
      <c r="K474" s="36" t="n">
        <f aca="false">IF($A474="",0,SUMIFS(L_Valor,L_ParcID,$A474,L_Status,"REALIZADO"))</f>
        <v>0</v>
      </c>
      <c r="L474" s="38" t="str">
        <f aca="false">IF($A474="","",IFERROR(INDEX(L_Data,MATCH(1,INDEX((L_ParcID=$A474)*(L_Status="REALIZADO"),0),0)),""))</f>
        <v/>
      </c>
      <c r="M474" s="34" t="n">
        <f aca="false">IF($A474="",0,COUNTIFS(L_ParcID,$A474,L_Status,"REALIZADO"))</f>
        <v>0</v>
      </c>
      <c r="N474" s="34" t="n">
        <f aca="false">IF($A474="",0,COUNTIFS(L_ParcID,$A474,L_Status,"PROJETADO"))</f>
        <v>0</v>
      </c>
      <c r="O474" s="35" t="str">
        <f aca="false">IF($A474="","",IF($J474="SIM","PAGA",IF($M474&gt;0,"PAGA",IF($D474&lt;CFG_HOJE,"ATRASADA",IF($D474&lt;=EOMONTH(CFG_HOJE,0),"ABERTA","PROJETADA")))))</f>
        <v/>
      </c>
      <c r="P474" s="34" t="n">
        <f aca="false">IF($O474="ATRASADA",CFG_HOJE-$D474,0)</f>
        <v>0</v>
      </c>
      <c r="Q474" s="36" t="n">
        <f aca="false">IF($A474="",0,IF(AND($O474="PAGA",$J474="NAO"),$K474-$E474,0))</f>
        <v>0</v>
      </c>
    </row>
    <row r="475" customFormat="false" ht="15" hidden="false" customHeight="false" outlineLevel="0" collapsed="false">
      <c r="A475" s="30" t="str">
        <f aca="false">IF($B475="","","PAR-"&amp;TEXT(ROW()-4,"000000"))</f>
        <v/>
      </c>
      <c r="B475" s="32"/>
      <c r="C475" s="37"/>
      <c r="D475" s="31"/>
      <c r="E475" s="33"/>
      <c r="F475" s="32"/>
      <c r="G475" s="35" t="str">
        <f aca="false">IF($B475="","",IFERROR(INDEX(CM_NOME,MATCH($B475,CM_ID,0)),"?"))</f>
        <v/>
      </c>
      <c r="H475" s="34" t="str">
        <f aca="false">IF($B475="","",IFERROR(INDEX(CM_QTD,MATCH($B475,CM_ID,0)),""))</f>
        <v/>
      </c>
      <c r="I475" s="35" t="str">
        <f aca="false">IF($A475="","",$C475&amp;"/"&amp;$H475)</f>
        <v/>
      </c>
      <c r="J475" s="35" t="str">
        <f aca="false">IF($A475="","",IF($C475&lt;=IFERROR(INDEX(CM_PAGASANTES,MATCH($B475,CM_ID,0)),0),"SIM","NAO"))</f>
        <v/>
      </c>
      <c r="K475" s="36" t="n">
        <f aca="false">IF($A475="",0,SUMIFS(L_Valor,L_ParcID,$A475,L_Status,"REALIZADO"))</f>
        <v>0</v>
      </c>
      <c r="L475" s="38" t="str">
        <f aca="false">IF($A475="","",IFERROR(INDEX(L_Data,MATCH(1,INDEX((L_ParcID=$A475)*(L_Status="REALIZADO"),0),0)),""))</f>
        <v/>
      </c>
      <c r="M475" s="34" t="n">
        <f aca="false">IF($A475="",0,COUNTIFS(L_ParcID,$A475,L_Status,"REALIZADO"))</f>
        <v>0</v>
      </c>
      <c r="N475" s="34" t="n">
        <f aca="false">IF($A475="",0,COUNTIFS(L_ParcID,$A475,L_Status,"PROJETADO"))</f>
        <v>0</v>
      </c>
      <c r="O475" s="35" t="str">
        <f aca="false">IF($A475="","",IF($J475="SIM","PAGA",IF($M475&gt;0,"PAGA",IF($D475&lt;CFG_HOJE,"ATRASADA",IF($D475&lt;=EOMONTH(CFG_HOJE,0),"ABERTA","PROJETADA")))))</f>
        <v/>
      </c>
      <c r="P475" s="34" t="n">
        <f aca="false">IF($O475="ATRASADA",CFG_HOJE-$D475,0)</f>
        <v>0</v>
      </c>
      <c r="Q475" s="36" t="n">
        <f aca="false">IF($A475="",0,IF(AND($O475="PAGA",$J475="NAO"),$K475-$E475,0))</f>
        <v>0</v>
      </c>
    </row>
    <row r="476" customFormat="false" ht="15" hidden="false" customHeight="false" outlineLevel="0" collapsed="false">
      <c r="A476" s="30" t="str">
        <f aca="false">IF($B476="","","PAR-"&amp;TEXT(ROW()-4,"000000"))</f>
        <v/>
      </c>
      <c r="B476" s="32"/>
      <c r="C476" s="37"/>
      <c r="D476" s="31"/>
      <c r="E476" s="33"/>
      <c r="F476" s="32"/>
      <c r="G476" s="35" t="str">
        <f aca="false">IF($B476="","",IFERROR(INDEX(CM_NOME,MATCH($B476,CM_ID,0)),"?"))</f>
        <v/>
      </c>
      <c r="H476" s="34" t="str">
        <f aca="false">IF($B476="","",IFERROR(INDEX(CM_QTD,MATCH($B476,CM_ID,0)),""))</f>
        <v/>
      </c>
      <c r="I476" s="35" t="str">
        <f aca="false">IF($A476="","",$C476&amp;"/"&amp;$H476)</f>
        <v/>
      </c>
      <c r="J476" s="35" t="str">
        <f aca="false">IF($A476="","",IF($C476&lt;=IFERROR(INDEX(CM_PAGASANTES,MATCH($B476,CM_ID,0)),0),"SIM","NAO"))</f>
        <v/>
      </c>
      <c r="K476" s="36" t="n">
        <f aca="false">IF($A476="",0,SUMIFS(L_Valor,L_ParcID,$A476,L_Status,"REALIZADO"))</f>
        <v>0</v>
      </c>
      <c r="L476" s="38" t="str">
        <f aca="false">IF($A476="","",IFERROR(INDEX(L_Data,MATCH(1,INDEX((L_ParcID=$A476)*(L_Status="REALIZADO"),0),0)),""))</f>
        <v/>
      </c>
      <c r="M476" s="34" t="n">
        <f aca="false">IF($A476="",0,COUNTIFS(L_ParcID,$A476,L_Status,"REALIZADO"))</f>
        <v>0</v>
      </c>
      <c r="N476" s="34" t="n">
        <f aca="false">IF($A476="",0,COUNTIFS(L_ParcID,$A476,L_Status,"PROJETADO"))</f>
        <v>0</v>
      </c>
      <c r="O476" s="35" t="str">
        <f aca="false">IF($A476="","",IF($J476="SIM","PAGA",IF($M476&gt;0,"PAGA",IF($D476&lt;CFG_HOJE,"ATRASADA",IF($D476&lt;=EOMONTH(CFG_HOJE,0),"ABERTA","PROJETADA")))))</f>
        <v/>
      </c>
      <c r="P476" s="34" t="n">
        <f aca="false">IF($O476="ATRASADA",CFG_HOJE-$D476,0)</f>
        <v>0</v>
      </c>
      <c r="Q476" s="36" t="n">
        <f aca="false">IF($A476="",0,IF(AND($O476="PAGA",$J476="NAO"),$K476-$E476,0))</f>
        <v>0</v>
      </c>
    </row>
    <row r="477" customFormat="false" ht="15" hidden="false" customHeight="false" outlineLevel="0" collapsed="false">
      <c r="A477" s="30" t="str">
        <f aca="false">IF($B477="","","PAR-"&amp;TEXT(ROW()-4,"000000"))</f>
        <v/>
      </c>
      <c r="B477" s="32"/>
      <c r="C477" s="37"/>
      <c r="D477" s="31"/>
      <c r="E477" s="33"/>
      <c r="F477" s="32"/>
      <c r="G477" s="35" t="str">
        <f aca="false">IF($B477="","",IFERROR(INDEX(CM_NOME,MATCH($B477,CM_ID,0)),"?"))</f>
        <v/>
      </c>
      <c r="H477" s="34" t="str">
        <f aca="false">IF($B477="","",IFERROR(INDEX(CM_QTD,MATCH($B477,CM_ID,0)),""))</f>
        <v/>
      </c>
      <c r="I477" s="35" t="str">
        <f aca="false">IF($A477="","",$C477&amp;"/"&amp;$H477)</f>
        <v/>
      </c>
      <c r="J477" s="35" t="str">
        <f aca="false">IF($A477="","",IF($C477&lt;=IFERROR(INDEX(CM_PAGASANTES,MATCH($B477,CM_ID,0)),0),"SIM","NAO"))</f>
        <v/>
      </c>
      <c r="K477" s="36" t="n">
        <f aca="false">IF($A477="",0,SUMIFS(L_Valor,L_ParcID,$A477,L_Status,"REALIZADO"))</f>
        <v>0</v>
      </c>
      <c r="L477" s="38" t="str">
        <f aca="false">IF($A477="","",IFERROR(INDEX(L_Data,MATCH(1,INDEX((L_ParcID=$A477)*(L_Status="REALIZADO"),0),0)),""))</f>
        <v/>
      </c>
      <c r="M477" s="34" t="n">
        <f aca="false">IF($A477="",0,COUNTIFS(L_ParcID,$A477,L_Status,"REALIZADO"))</f>
        <v>0</v>
      </c>
      <c r="N477" s="34" t="n">
        <f aca="false">IF($A477="",0,COUNTIFS(L_ParcID,$A477,L_Status,"PROJETADO"))</f>
        <v>0</v>
      </c>
      <c r="O477" s="35" t="str">
        <f aca="false">IF($A477="","",IF($J477="SIM","PAGA",IF($M477&gt;0,"PAGA",IF($D477&lt;CFG_HOJE,"ATRASADA",IF($D477&lt;=EOMONTH(CFG_HOJE,0),"ABERTA","PROJETADA")))))</f>
        <v/>
      </c>
      <c r="P477" s="34" t="n">
        <f aca="false">IF($O477="ATRASADA",CFG_HOJE-$D477,0)</f>
        <v>0</v>
      </c>
      <c r="Q477" s="36" t="n">
        <f aca="false">IF($A477="",0,IF(AND($O477="PAGA",$J477="NAO"),$K477-$E477,0))</f>
        <v>0</v>
      </c>
    </row>
    <row r="478" customFormat="false" ht="15" hidden="false" customHeight="false" outlineLevel="0" collapsed="false">
      <c r="A478" s="30" t="str">
        <f aca="false">IF($B478="","","PAR-"&amp;TEXT(ROW()-4,"000000"))</f>
        <v/>
      </c>
      <c r="B478" s="32"/>
      <c r="C478" s="37"/>
      <c r="D478" s="31"/>
      <c r="E478" s="33"/>
      <c r="F478" s="32"/>
      <c r="G478" s="35" t="str">
        <f aca="false">IF($B478="","",IFERROR(INDEX(CM_NOME,MATCH($B478,CM_ID,0)),"?"))</f>
        <v/>
      </c>
      <c r="H478" s="34" t="str">
        <f aca="false">IF($B478="","",IFERROR(INDEX(CM_QTD,MATCH($B478,CM_ID,0)),""))</f>
        <v/>
      </c>
      <c r="I478" s="35" t="str">
        <f aca="false">IF($A478="","",$C478&amp;"/"&amp;$H478)</f>
        <v/>
      </c>
      <c r="J478" s="35" t="str">
        <f aca="false">IF($A478="","",IF($C478&lt;=IFERROR(INDEX(CM_PAGASANTES,MATCH($B478,CM_ID,0)),0),"SIM","NAO"))</f>
        <v/>
      </c>
      <c r="K478" s="36" t="n">
        <f aca="false">IF($A478="",0,SUMIFS(L_Valor,L_ParcID,$A478,L_Status,"REALIZADO"))</f>
        <v>0</v>
      </c>
      <c r="L478" s="38" t="str">
        <f aca="false">IF($A478="","",IFERROR(INDEX(L_Data,MATCH(1,INDEX((L_ParcID=$A478)*(L_Status="REALIZADO"),0),0)),""))</f>
        <v/>
      </c>
      <c r="M478" s="34" t="n">
        <f aca="false">IF($A478="",0,COUNTIFS(L_ParcID,$A478,L_Status,"REALIZADO"))</f>
        <v>0</v>
      </c>
      <c r="N478" s="34" t="n">
        <f aca="false">IF($A478="",0,COUNTIFS(L_ParcID,$A478,L_Status,"PROJETADO"))</f>
        <v>0</v>
      </c>
      <c r="O478" s="35" t="str">
        <f aca="false">IF($A478="","",IF($J478="SIM","PAGA",IF($M478&gt;0,"PAGA",IF($D478&lt;CFG_HOJE,"ATRASADA",IF($D478&lt;=EOMONTH(CFG_HOJE,0),"ABERTA","PROJETADA")))))</f>
        <v/>
      </c>
      <c r="P478" s="34" t="n">
        <f aca="false">IF($O478="ATRASADA",CFG_HOJE-$D478,0)</f>
        <v>0</v>
      </c>
      <c r="Q478" s="36" t="n">
        <f aca="false">IF($A478="",0,IF(AND($O478="PAGA",$J478="NAO"),$K478-$E478,0))</f>
        <v>0</v>
      </c>
    </row>
    <row r="479" customFormat="false" ht="15" hidden="false" customHeight="false" outlineLevel="0" collapsed="false">
      <c r="A479" s="30" t="str">
        <f aca="false">IF($B479="","","PAR-"&amp;TEXT(ROW()-4,"000000"))</f>
        <v/>
      </c>
      <c r="B479" s="32"/>
      <c r="C479" s="37"/>
      <c r="D479" s="31"/>
      <c r="E479" s="33"/>
      <c r="F479" s="32"/>
      <c r="G479" s="35" t="str">
        <f aca="false">IF($B479="","",IFERROR(INDEX(CM_NOME,MATCH($B479,CM_ID,0)),"?"))</f>
        <v/>
      </c>
      <c r="H479" s="34" t="str">
        <f aca="false">IF($B479="","",IFERROR(INDEX(CM_QTD,MATCH($B479,CM_ID,0)),""))</f>
        <v/>
      </c>
      <c r="I479" s="35" t="str">
        <f aca="false">IF($A479="","",$C479&amp;"/"&amp;$H479)</f>
        <v/>
      </c>
      <c r="J479" s="35" t="str">
        <f aca="false">IF($A479="","",IF($C479&lt;=IFERROR(INDEX(CM_PAGASANTES,MATCH($B479,CM_ID,0)),0),"SIM","NAO"))</f>
        <v/>
      </c>
      <c r="K479" s="36" t="n">
        <f aca="false">IF($A479="",0,SUMIFS(L_Valor,L_ParcID,$A479,L_Status,"REALIZADO"))</f>
        <v>0</v>
      </c>
      <c r="L479" s="38" t="str">
        <f aca="false">IF($A479="","",IFERROR(INDEX(L_Data,MATCH(1,INDEX((L_ParcID=$A479)*(L_Status="REALIZADO"),0),0)),""))</f>
        <v/>
      </c>
      <c r="M479" s="34" t="n">
        <f aca="false">IF($A479="",0,COUNTIFS(L_ParcID,$A479,L_Status,"REALIZADO"))</f>
        <v>0</v>
      </c>
      <c r="N479" s="34" t="n">
        <f aca="false">IF($A479="",0,COUNTIFS(L_ParcID,$A479,L_Status,"PROJETADO"))</f>
        <v>0</v>
      </c>
      <c r="O479" s="35" t="str">
        <f aca="false">IF($A479="","",IF($J479="SIM","PAGA",IF($M479&gt;0,"PAGA",IF($D479&lt;CFG_HOJE,"ATRASADA",IF($D479&lt;=EOMONTH(CFG_HOJE,0),"ABERTA","PROJETADA")))))</f>
        <v/>
      </c>
      <c r="P479" s="34" t="n">
        <f aca="false">IF($O479="ATRASADA",CFG_HOJE-$D479,0)</f>
        <v>0</v>
      </c>
      <c r="Q479" s="36" t="n">
        <f aca="false">IF($A479="",0,IF(AND($O479="PAGA",$J479="NAO"),$K479-$E479,0))</f>
        <v>0</v>
      </c>
    </row>
    <row r="480" customFormat="false" ht="15" hidden="false" customHeight="false" outlineLevel="0" collapsed="false">
      <c r="A480" s="30" t="str">
        <f aca="false">IF($B480="","","PAR-"&amp;TEXT(ROW()-4,"000000"))</f>
        <v/>
      </c>
      <c r="B480" s="32"/>
      <c r="C480" s="37"/>
      <c r="D480" s="31"/>
      <c r="E480" s="33"/>
      <c r="F480" s="32"/>
      <c r="G480" s="35" t="str">
        <f aca="false">IF($B480="","",IFERROR(INDEX(CM_NOME,MATCH($B480,CM_ID,0)),"?"))</f>
        <v/>
      </c>
      <c r="H480" s="34" t="str">
        <f aca="false">IF($B480="","",IFERROR(INDEX(CM_QTD,MATCH($B480,CM_ID,0)),""))</f>
        <v/>
      </c>
      <c r="I480" s="35" t="str">
        <f aca="false">IF($A480="","",$C480&amp;"/"&amp;$H480)</f>
        <v/>
      </c>
      <c r="J480" s="35" t="str">
        <f aca="false">IF($A480="","",IF($C480&lt;=IFERROR(INDEX(CM_PAGASANTES,MATCH($B480,CM_ID,0)),0),"SIM","NAO"))</f>
        <v/>
      </c>
      <c r="K480" s="36" t="n">
        <f aca="false">IF($A480="",0,SUMIFS(L_Valor,L_ParcID,$A480,L_Status,"REALIZADO"))</f>
        <v>0</v>
      </c>
      <c r="L480" s="38" t="str">
        <f aca="false">IF($A480="","",IFERROR(INDEX(L_Data,MATCH(1,INDEX((L_ParcID=$A480)*(L_Status="REALIZADO"),0),0)),""))</f>
        <v/>
      </c>
      <c r="M480" s="34" t="n">
        <f aca="false">IF($A480="",0,COUNTIFS(L_ParcID,$A480,L_Status,"REALIZADO"))</f>
        <v>0</v>
      </c>
      <c r="N480" s="34" t="n">
        <f aca="false">IF($A480="",0,COUNTIFS(L_ParcID,$A480,L_Status,"PROJETADO"))</f>
        <v>0</v>
      </c>
      <c r="O480" s="35" t="str">
        <f aca="false">IF($A480="","",IF($J480="SIM","PAGA",IF($M480&gt;0,"PAGA",IF($D480&lt;CFG_HOJE,"ATRASADA",IF($D480&lt;=EOMONTH(CFG_HOJE,0),"ABERTA","PROJETADA")))))</f>
        <v/>
      </c>
      <c r="P480" s="34" t="n">
        <f aca="false">IF($O480="ATRASADA",CFG_HOJE-$D480,0)</f>
        <v>0</v>
      </c>
      <c r="Q480" s="36" t="n">
        <f aca="false">IF($A480="",0,IF(AND($O480="PAGA",$J480="NAO"),$K480-$E480,0))</f>
        <v>0</v>
      </c>
    </row>
    <row r="481" customFormat="false" ht="15" hidden="false" customHeight="false" outlineLevel="0" collapsed="false">
      <c r="A481" s="30" t="str">
        <f aca="false">IF($B481="","","PAR-"&amp;TEXT(ROW()-4,"000000"))</f>
        <v/>
      </c>
      <c r="B481" s="32"/>
      <c r="C481" s="37"/>
      <c r="D481" s="31"/>
      <c r="E481" s="33"/>
      <c r="F481" s="32"/>
      <c r="G481" s="35" t="str">
        <f aca="false">IF($B481="","",IFERROR(INDEX(CM_NOME,MATCH($B481,CM_ID,0)),"?"))</f>
        <v/>
      </c>
      <c r="H481" s="34" t="str">
        <f aca="false">IF($B481="","",IFERROR(INDEX(CM_QTD,MATCH($B481,CM_ID,0)),""))</f>
        <v/>
      </c>
      <c r="I481" s="35" t="str">
        <f aca="false">IF($A481="","",$C481&amp;"/"&amp;$H481)</f>
        <v/>
      </c>
      <c r="J481" s="35" t="str">
        <f aca="false">IF($A481="","",IF($C481&lt;=IFERROR(INDEX(CM_PAGASANTES,MATCH($B481,CM_ID,0)),0),"SIM","NAO"))</f>
        <v/>
      </c>
      <c r="K481" s="36" t="n">
        <f aca="false">IF($A481="",0,SUMIFS(L_Valor,L_ParcID,$A481,L_Status,"REALIZADO"))</f>
        <v>0</v>
      </c>
      <c r="L481" s="38" t="str">
        <f aca="false">IF($A481="","",IFERROR(INDEX(L_Data,MATCH(1,INDEX((L_ParcID=$A481)*(L_Status="REALIZADO"),0),0)),""))</f>
        <v/>
      </c>
      <c r="M481" s="34" t="n">
        <f aca="false">IF($A481="",0,COUNTIFS(L_ParcID,$A481,L_Status,"REALIZADO"))</f>
        <v>0</v>
      </c>
      <c r="N481" s="34" t="n">
        <f aca="false">IF($A481="",0,COUNTIFS(L_ParcID,$A481,L_Status,"PROJETADO"))</f>
        <v>0</v>
      </c>
      <c r="O481" s="35" t="str">
        <f aca="false">IF($A481="","",IF($J481="SIM","PAGA",IF($M481&gt;0,"PAGA",IF($D481&lt;CFG_HOJE,"ATRASADA",IF($D481&lt;=EOMONTH(CFG_HOJE,0),"ABERTA","PROJETADA")))))</f>
        <v/>
      </c>
      <c r="P481" s="34" t="n">
        <f aca="false">IF($O481="ATRASADA",CFG_HOJE-$D481,0)</f>
        <v>0</v>
      </c>
      <c r="Q481" s="36" t="n">
        <f aca="false">IF($A481="",0,IF(AND($O481="PAGA",$J481="NAO"),$K481-$E481,0))</f>
        <v>0</v>
      </c>
    </row>
    <row r="482" customFormat="false" ht="15" hidden="false" customHeight="false" outlineLevel="0" collapsed="false">
      <c r="A482" s="30" t="str">
        <f aca="false">IF($B482="","","PAR-"&amp;TEXT(ROW()-4,"000000"))</f>
        <v/>
      </c>
      <c r="B482" s="32"/>
      <c r="C482" s="37"/>
      <c r="D482" s="31"/>
      <c r="E482" s="33"/>
      <c r="F482" s="32"/>
      <c r="G482" s="35" t="str">
        <f aca="false">IF($B482="","",IFERROR(INDEX(CM_NOME,MATCH($B482,CM_ID,0)),"?"))</f>
        <v/>
      </c>
      <c r="H482" s="34" t="str">
        <f aca="false">IF($B482="","",IFERROR(INDEX(CM_QTD,MATCH($B482,CM_ID,0)),""))</f>
        <v/>
      </c>
      <c r="I482" s="35" t="str">
        <f aca="false">IF($A482="","",$C482&amp;"/"&amp;$H482)</f>
        <v/>
      </c>
      <c r="J482" s="35" t="str">
        <f aca="false">IF($A482="","",IF($C482&lt;=IFERROR(INDEX(CM_PAGASANTES,MATCH($B482,CM_ID,0)),0),"SIM","NAO"))</f>
        <v/>
      </c>
      <c r="K482" s="36" t="n">
        <f aca="false">IF($A482="",0,SUMIFS(L_Valor,L_ParcID,$A482,L_Status,"REALIZADO"))</f>
        <v>0</v>
      </c>
      <c r="L482" s="38" t="str">
        <f aca="false">IF($A482="","",IFERROR(INDEX(L_Data,MATCH(1,INDEX((L_ParcID=$A482)*(L_Status="REALIZADO"),0),0)),""))</f>
        <v/>
      </c>
      <c r="M482" s="34" t="n">
        <f aca="false">IF($A482="",0,COUNTIFS(L_ParcID,$A482,L_Status,"REALIZADO"))</f>
        <v>0</v>
      </c>
      <c r="N482" s="34" t="n">
        <f aca="false">IF($A482="",0,COUNTIFS(L_ParcID,$A482,L_Status,"PROJETADO"))</f>
        <v>0</v>
      </c>
      <c r="O482" s="35" t="str">
        <f aca="false">IF($A482="","",IF($J482="SIM","PAGA",IF($M482&gt;0,"PAGA",IF($D482&lt;CFG_HOJE,"ATRASADA",IF($D482&lt;=EOMONTH(CFG_HOJE,0),"ABERTA","PROJETADA")))))</f>
        <v/>
      </c>
      <c r="P482" s="34" t="n">
        <f aca="false">IF($O482="ATRASADA",CFG_HOJE-$D482,0)</f>
        <v>0</v>
      </c>
      <c r="Q482" s="36" t="n">
        <f aca="false">IF($A482="",0,IF(AND($O482="PAGA",$J482="NAO"),$K482-$E482,0))</f>
        <v>0</v>
      </c>
    </row>
    <row r="483" customFormat="false" ht="15" hidden="false" customHeight="false" outlineLevel="0" collapsed="false">
      <c r="A483" s="30" t="str">
        <f aca="false">IF($B483="","","PAR-"&amp;TEXT(ROW()-4,"000000"))</f>
        <v/>
      </c>
      <c r="B483" s="32"/>
      <c r="C483" s="37"/>
      <c r="D483" s="31"/>
      <c r="E483" s="33"/>
      <c r="F483" s="32"/>
      <c r="G483" s="35" t="str">
        <f aca="false">IF($B483="","",IFERROR(INDEX(CM_NOME,MATCH($B483,CM_ID,0)),"?"))</f>
        <v/>
      </c>
      <c r="H483" s="34" t="str">
        <f aca="false">IF($B483="","",IFERROR(INDEX(CM_QTD,MATCH($B483,CM_ID,0)),""))</f>
        <v/>
      </c>
      <c r="I483" s="35" t="str">
        <f aca="false">IF($A483="","",$C483&amp;"/"&amp;$H483)</f>
        <v/>
      </c>
      <c r="J483" s="35" t="str">
        <f aca="false">IF($A483="","",IF($C483&lt;=IFERROR(INDEX(CM_PAGASANTES,MATCH($B483,CM_ID,0)),0),"SIM","NAO"))</f>
        <v/>
      </c>
      <c r="K483" s="36" t="n">
        <f aca="false">IF($A483="",0,SUMIFS(L_Valor,L_ParcID,$A483,L_Status,"REALIZADO"))</f>
        <v>0</v>
      </c>
      <c r="L483" s="38" t="str">
        <f aca="false">IF($A483="","",IFERROR(INDEX(L_Data,MATCH(1,INDEX((L_ParcID=$A483)*(L_Status="REALIZADO"),0),0)),""))</f>
        <v/>
      </c>
      <c r="M483" s="34" t="n">
        <f aca="false">IF($A483="",0,COUNTIFS(L_ParcID,$A483,L_Status,"REALIZADO"))</f>
        <v>0</v>
      </c>
      <c r="N483" s="34" t="n">
        <f aca="false">IF($A483="",0,COUNTIFS(L_ParcID,$A483,L_Status,"PROJETADO"))</f>
        <v>0</v>
      </c>
      <c r="O483" s="35" t="str">
        <f aca="false">IF($A483="","",IF($J483="SIM","PAGA",IF($M483&gt;0,"PAGA",IF($D483&lt;CFG_HOJE,"ATRASADA",IF($D483&lt;=EOMONTH(CFG_HOJE,0),"ABERTA","PROJETADA")))))</f>
        <v/>
      </c>
      <c r="P483" s="34" t="n">
        <f aca="false">IF($O483="ATRASADA",CFG_HOJE-$D483,0)</f>
        <v>0</v>
      </c>
      <c r="Q483" s="36" t="n">
        <f aca="false">IF($A483="",0,IF(AND($O483="PAGA",$J483="NAO"),$K483-$E483,0))</f>
        <v>0</v>
      </c>
    </row>
    <row r="484" customFormat="false" ht="15" hidden="false" customHeight="false" outlineLevel="0" collapsed="false">
      <c r="A484" s="30" t="str">
        <f aca="false">IF($B484="","","PAR-"&amp;TEXT(ROW()-4,"000000"))</f>
        <v/>
      </c>
      <c r="B484" s="32"/>
      <c r="C484" s="37"/>
      <c r="D484" s="31"/>
      <c r="E484" s="33"/>
      <c r="F484" s="32"/>
      <c r="G484" s="35" t="str">
        <f aca="false">IF($B484="","",IFERROR(INDEX(CM_NOME,MATCH($B484,CM_ID,0)),"?"))</f>
        <v/>
      </c>
      <c r="H484" s="34" t="str">
        <f aca="false">IF($B484="","",IFERROR(INDEX(CM_QTD,MATCH($B484,CM_ID,0)),""))</f>
        <v/>
      </c>
      <c r="I484" s="35" t="str">
        <f aca="false">IF($A484="","",$C484&amp;"/"&amp;$H484)</f>
        <v/>
      </c>
      <c r="J484" s="35" t="str">
        <f aca="false">IF($A484="","",IF($C484&lt;=IFERROR(INDEX(CM_PAGASANTES,MATCH($B484,CM_ID,0)),0),"SIM","NAO"))</f>
        <v/>
      </c>
      <c r="K484" s="36" t="n">
        <f aca="false">IF($A484="",0,SUMIFS(L_Valor,L_ParcID,$A484,L_Status,"REALIZADO"))</f>
        <v>0</v>
      </c>
      <c r="L484" s="38" t="str">
        <f aca="false">IF($A484="","",IFERROR(INDEX(L_Data,MATCH(1,INDEX((L_ParcID=$A484)*(L_Status="REALIZADO"),0),0)),""))</f>
        <v/>
      </c>
      <c r="M484" s="34" t="n">
        <f aca="false">IF($A484="",0,COUNTIFS(L_ParcID,$A484,L_Status,"REALIZADO"))</f>
        <v>0</v>
      </c>
      <c r="N484" s="34" t="n">
        <f aca="false">IF($A484="",0,COUNTIFS(L_ParcID,$A484,L_Status,"PROJETADO"))</f>
        <v>0</v>
      </c>
      <c r="O484" s="35" t="str">
        <f aca="false">IF($A484="","",IF($J484="SIM","PAGA",IF($M484&gt;0,"PAGA",IF($D484&lt;CFG_HOJE,"ATRASADA",IF($D484&lt;=EOMONTH(CFG_HOJE,0),"ABERTA","PROJETADA")))))</f>
        <v/>
      </c>
      <c r="P484" s="34" t="n">
        <f aca="false">IF($O484="ATRASADA",CFG_HOJE-$D484,0)</f>
        <v>0</v>
      </c>
      <c r="Q484" s="36" t="n">
        <f aca="false">IF($A484="",0,IF(AND($O484="PAGA",$J484="NAO"),$K484-$E484,0))</f>
        <v>0</v>
      </c>
    </row>
    <row r="485" customFormat="false" ht="15" hidden="false" customHeight="false" outlineLevel="0" collapsed="false">
      <c r="A485" s="30" t="str">
        <f aca="false">IF($B485="","","PAR-"&amp;TEXT(ROW()-4,"000000"))</f>
        <v/>
      </c>
      <c r="B485" s="32"/>
      <c r="C485" s="37"/>
      <c r="D485" s="31"/>
      <c r="E485" s="33"/>
      <c r="F485" s="32"/>
      <c r="G485" s="35" t="str">
        <f aca="false">IF($B485="","",IFERROR(INDEX(CM_NOME,MATCH($B485,CM_ID,0)),"?"))</f>
        <v/>
      </c>
      <c r="H485" s="34" t="str">
        <f aca="false">IF($B485="","",IFERROR(INDEX(CM_QTD,MATCH($B485,CM_ID,0)),""))</f>
        <v/>
      </c>
      <c r="I485" s="35" t="str">
        <f aca="false">IF($A485="","",$C485&amp;"/"&amp;$H485)</f>
        <v/>
      </c>
      <c r="J485" s="35" t="str">
        <f aca="false">IF($A485="","",IF($C485&lt;=IFERROR(INDEX(CM_PAGASANTES,MATCH($B485,CM_ID,0)),0),"SIM","NAO"))</f>
        <v/>
      </c>
      <c r="K485" s="36" t="n">
        <f aca="false">IF($A485="",0,SUMIFS(L_Valor,L_ParcID,$A485,L_Status,"REALIZADO"))</f>
        <v>0</v>
      </c>
      <c r="L485" s="38" t="str">
        <f aca="false">IF($A485="","",IFERROR(INDEX(L_Data,MATCH(1,INDEX((L_ParcID=$A485)*(L_Status="REALIZADO"),0),0)),""))</f>
        <v/>
      </c>
      <c r="M485" s="34" t="n">
        <f aca="false">IF($A485="",0,COUNTIFS(L_ParcID,$A485,L_Status,"REALIZADO"))</f>
        <v>0</v>
      </c>
      <c r="N485" s="34" t="n">
        <f aca="false">IF($A485="",0,COUNTIFS(L_ParcID,$A485,L_Status,"PROJETADO"))</f>
        <v>0</v>
      </c>
      <c r="O485" s="35" t="str">
        <f aca="false">IF($A485="","",IF($J485="SIM","PAGA",IF($M485&gt;0,"PAGA",IF($D485&lt;CFG_HOJE,"ATRASADA",IF($D485&lt;=EOMONTH(CFG_HOJE,0),"ABERTA","PROJETADA")))))</f>
        <v/>
      </c>
      <c r="P485" s="34" t="n">
        <f aca="false">IF($O485="ATRASADA",CFG_HOJE-$D485,0)</f>
        <v>0</v>
      </c>
      <c r="Q485" s="36" t="n">
        <f aca="false">IF($A485="",0,IF(AND($O485="PAGA",$J485="NAO"),$K485-$E485,0))</f>
        <v>0</v>
      </c>
    </row>
    <row r="486" customFormat="false" ht="15" hidden="false" customHeight="false" outlineLevel="0" collapsed="false">
      <c r="A486" s="30" t="str">
        <f aca="false">IF($B486="","","PAR-"&amp;TEXT(ROW()-4,"000000"))</f>
        <v/>
      </c>
      <c r="B486" s="32"/>
      <c r="C486" s="37"/>
      <c r="D486" s="31"/>
      <c r="E486" s="33"/>
      <c r="F486" s="32"/>
      <c r="G486" s="35" t="str">
        <f aca="false">IF($B486="","",IFERROR(INDEX(CM_NOME,MATCH($B486,CM_ID,0)),"?"))</f>
        <v/>
      </c>
      <c r="H486" s="34" t="str">
        <f aca="false">IF($B486="","",IFERROR(INDEX(CM_QTD,MATCH($B486,CM_ID,0)),""))</f>
        <v/>
      </c>
      <c r="I486" s="35" t="str">
        <f aca="false">IF($A486="","",$C486&amp;"/"&amp;$H486)</f>
        <v/>
      </c>
      <c r="J486" s="35" t="str">
        <f aca="false">IF($A486="","",IF($C486&lt;=IFERROR(INDEX(CM_PAGASANTES,MATCH($B486,CM_ID,0)),0),"SIM","NAO"))</f>
        <v/>
      </c>
      <c r="K486" s="36" t="n">
        <f aca="false">IF($A486="",0,SUMIFS(L_Valor,L_ParcID,$A486,L_Status,"REALIZADO"))</f>
        <v>0</v>
      </c>
      <c r="L486" s="38" t="str">
        <f aca="false">IF($A486="","",IFERROR(INDEX(L_Data,MATCH(1,INDEX((L_ParcID=$A486)*(L_Status="REALIZADO"),0),0)),""))</f>
        <v/>
      </c>
      <c r="M486" s="34" t="n">
        <f aca="false">IF($A486="",0,COUNTIFS(L_ParcID,$A486,L_Status,"REALIZADO"))</f>
        <v>0</v>
      </c>
      <c r="N486" s="34" t="n">
        <f aca="false">IF($A486="",0,COUNTIFS(L_ParcID,$A486,L_Status,"PROJETADO"))</f>
        <v>0</v>
      </c>
      <c r="O486" s="35" t="str">
        <f aca="false">IF($A486="","",IF($J486="SIM","PAGA",IF($M486&gt;0,"PAGA",IF($D486&lt;CFG_HOJE,"ATRASADA",IF($D486&lt;=EOMONTH(CFG_HOJE,0),"ABERTA","PROJETADA")))))</f>
        <v/>
      </c>
      <c r="P486" s="34" t="n">
        <f aca="false">IF($O486="ATRASADA",CFG_HOJE-$D486,0)</f>
        <v>0</v>
      </c>
      <c r="Q486" s="36" t="n">
        <f aca="false">IF($A486="",0,IF(AND($O486="PAGA",$J486="NAO"),$K486-$E486,0))</f>
        <v>0</v>
      </c>
    </row>
    <row r="487" customFormat="false" ht="15" hidden="false" customHeight="false" outlineLevel="0" collapsed="false">
      <c r="A487" s="30" t="str">
        <f aca="false">IF($B487="","","PAR-"&amp;TEXT(ROW()-4,"000000"))</f>
        <v/>
      </c>
      <c r="B487" s="32"/>
      <c r="C487" s="37"/>
      <c r="D487" s="31"/>
      <c r="E487" s="33"/>
      <c r="F487" s="32"/>
      <c r="G487" s="35" t="str">
        <f aca="false">IF($B487="","",IFERROR(INDEX(CM_NOME,MATCH($B487,CM_ID,0)),"?"))</f>
        <v/>
      </c>
      <c r="H487" s="34" t="str">
        <f aca="false">IF($B487="","",IFERROR(INDEX(CM_QTD,MATCH($B487,CM_ID,0)),""))</f>
        <v/>
      </c>
      <c r="I487" s="35" t="str">
        <f aca="false">IF($A487="","",$C487&amp;"/"&amp;$H487)</f>
        <v/>
      </c>
      <c r="J487" s="35" t="str">
        <f aca="false">IF($A487="","",IF($C487&lt;=IFERROR(INDEX(CM_PAGASANTES,MATCH($B487,CM_ID,0)),0),"SIM","NAO"))</f>
        <v/>
      </c>
      <c r="K487" s="36" t="n">
        <f aca="false">IF($A487="",0,SUMIFS(L_Valor,L_ParcID,$A487,L_Status,"REALIZADO"))</f>
        <v>0</v>
      </c>
      <c r="L487" s="38" t="str">
        <f aca="false">IF($A487="","",IFERROR(INDEX(L_Data,MATCH(1,INDEX((L_ParcID=$A487)*(L_Status="REALIZADO"),0),0)),""))</f>
        <v/>
      </c>
      <c r="M487" s="34" t="n">
        <f aca="false">IF($A487="",0,COUNTIFS(L_ParcID,$A487,L_Status,"REALIZADO"))</f>
        <v>0</v>
      </c>
      <c r="N487" s="34" t="n">
        <f aca="false">IF($A487="",0,COUNTIFS(L_ParcID,$A487,L_Status,"PROJETADO"))</f>
        <v>0</v>
      </c>
      <c r="O487" s="35" t="str">
        <f aca="false">IF($A487="","",IF($J487="SIM","PAGA",IF($M487&gt;0,"PAGA",IF($D487&lt;CFG_HOJE,"ATRASADA",IF($D487&lt;=EOMONTH(CFG_HOJE,0),"ABERTA","PROJETADA")))))</f>
        <v/>
      </c>
      <c r="P487" s="34" t="n">
        <f aca="false">IF($O487="ATRASADA",CFG_HOJE-$D487,0)</f>
        <v>0</v>
      </c>
      <c r="Q487" s="36" t="n">
        <f aca="false">IF($A487="",0,IF(AND($O487="PAGA",$J487="NAO"),$K487-$E487,0))</f>
        <v>0</v>
      </c>
    </row>
    <row r="488" customFormat="false" ht="15" hidden="false" customHeight="false" outlineLevel="0" collapsed="false">
      <c r="A488" s="30" t="str">
        <f aca="false">IF($B488="","","PAR-"&amp;TEXT(ROW()-4,"000000"))</f>
        <v/>
      </c>
      <c r="B488" s="32"/>
      <c r="C488" s="37"/>
      <c r="D488" s="31"/>
      <c r="E488" s="33"/>
      <c r="F488" s="32"/>
      <c r="G488" s="35" t="str">
        <f aca="false">IF($B488="","",IFERROR(INDEX(CM_NOME,MATCH($B488,CM_ID,0)),"?"))</f>
        <v/>
      </c>
      <c r="H488" s="34" t="str">
        <f aca="false">IF($B488="","",IFERROR(INDEX(CM_QTD,MATCH($B488,CM_ID,0)),""))</f>
        <v/>
      </c>
      <c r="I488" s="35" t="str">
        <f aca="false">IF($A488="","",$C488&amp;"/"&amp;$H488)</f>
        <v/>
      </c>
      <c r="J488" s="35" t="str">
        <f aca="false">IF($A488="","",IF($C488&lt;=IFERROR(INDEX(CM_PAGASANTES,MATCH($B488,CM_ID,0)),0),"SIM","NAO"))</f>
        <v/>
      </c>
      <c r="K488" s="36" t="n">
        <f aca="false">IF($A488="",0,SUMIFS(L_Valor,L_ParcID,$A488,L_Status,"REALIZADO"))</f>
        <v>0</v>
      </c>
      <c r="L488" s="38" t="str">
        <f aca="false">IF($A488="","",IFERROR(INDEX(L_Data,MATCH(1,INDEX((L_ParcID=$A488)*(L_Status="REALIZADO"),0),0)),""))</f>
        <v/>
      </c>
      <c r="M488" s="34" t="n">
        <f aca="false">IF($A488="",0,COUNTIFS(L_ParcID,$A488,L_Status,"REALIZADO"))</f>
        <v>0</v>
      </c>
      <c r="N488" s="34" t="n">
        <f aca="false">IF($A488="",0,COUNTIFS(L_ParcID,$A488,L_Status,"PROJETADO"))</f>
        <v>0</v>
      </c>
      <c r="O488" s="35" t="str">
        <f aca="false">IF($A488="","",IF($J488="SIM","PAGA",IF($M488&gt;0,"PAGA",IF($D488&lt;CFG_HOJE,"ATRASADA",IF($D488&lt;=EOMONTH(CFG_HOJE,0),"ABERTA","PROJETADA")))))</f>
        <v/>
      </c>
      <c r="P488" s="34" t="n">
        <f aca="false">IF($O488="ATRASADA",CFG_HOJE-$D488,0)</f>
        <v>0</v>
      </c>
      <c r="Q488" s="36" t="n">
        <f aca="false">IF($A488="",0,IF(AND($O488="PAGA",$J488="NAO"),$K488-$E488,0))</f>
        <v>0</v>
      </c>
    </row>
    <row r="489" customFormat="false" ht="15" hidden="false" customHeight="false" outlineLevel="0" collapsed="false">
      <c r="A489" s="30" t="str">
        <f aca="false">IF($B489="","","PAR-"&amp;TEXT(ROW()-4,"000000"))</f>
        <v/>
      </c>
      <c r="B489" s="32"/>
      <c r="C489" s="37"/>
      <c r="D489" s="31"/>
      <c r="E489" s="33"/>
      <c r="F489" s="32"/>
      <c r="G489" s="35" t="str">
        <f aca="false">IF($B489="","",IFERROR(INDEX(CM_NOME,MATCH($B489,CM_ID,0)),"?"))</f>
        <v/>
      </c>
      <c r="H489" s="34" t="str">
        <f aca="false">IF($B489="","",IFERROR(INDEX(CM_QTD,MATCH($B489,CM_ID,0)),""))</f>
        <v/>
      </c>
      <c r="I489" s="35" t="str">
        <f aca="false">IF($A489="","",$C489&amp;"/"&amp;$H489)</f>
        <v/>
      </c>
      <c r="J489" s="35" t="str">
        <f aca="false">IF($A489="","",IF($C489&lt;=IFERROR(INDEX(CM_PAGASANTES,MATCH($B489,CM_ID,0)),0),"SIM","NAO"))</f>
        <v/>
      </c>
      <c r="K489" s="36" t="n">
        <f aca="false">IF($A489="",0,SUMIFS(L_Valor,L_ParcID,$A489,L_Status,"REALIZADO"))</f>
        <v>0</v>
      </c>
      <c r="L489" s="38" t="str">
        <f aca="false">IF($A489="","",IFERROR(INDEX(L_Data,MATCH(1,INDEX((L_ParcID=$A489)*(L_Status="REALIZADO"),0),0)),""))</f>
        <v/>
      </c>
      <c r="M489" s="34" t="n">
        <f aca="false">IF($A489="",0,COUNTIFS(L_ParcID,$A489,L_Status,"REALIZADO"))</f>
        <v>0</v>
      </c>
      <c r="N489" s="34" t="n">
        <f aca="false">IF($A489="",0,COUNTIFS(L_ParcID,$A489,L_Status,"PROJETADO"))</f>
        <v>0</v>
      </c>
      <c r="O489" s="35" t="str">
        <f aca="false">IF($A489="","",IF($J489="SIM","PAGA",IF($M489&gt;0,"PAGA",IF($D489&lt;CFG_HOJE,"ATRASADA",IF($D489&lt;=EOMONTH(CFG_HOJE,0),"ABERTA","PROJETADA")))))</f>
        <v/>
      </c>
      <c r="P489" s="34" t="n">
        <f aca="false">IF($O489="ATRASADA",CFG_HOJE-$D489,0)</f>
        <v>0</v>
      </c>
      <c r="Q489" s="36" t="n">
        <f aca="false">IF($A489="",0,IF(AND($O489="PAGA",$J489="NAO"),$K489-$E489,0))</f>
        <v>0</v>
      </c>
    </row>
    <row r="490" customFormat="false" ht="15" hidden="false" customHeight="false" outlineLevel="0" collapsed="false">
      <c r="A490" s="30" t="str">
        <f aca="false">IF($B490="","","PAR-"&amp;TEXT(ROW()-4,"000000"))</f>
        <v/>
      </c>
      <c r="B490" s="32"/>
      <c r="C490" s="37"/>
      <c r="D490" s="31"/>
      <c r="E490" s="33"/>
      <c r="F490" s="32"/>
      <c r="G490" s="35" t="str">
        <f aca="false">IF($B490="","",IFERROR(INDEX(CM_NOME,MATCH($B490,CM_ID,0)),"?"))</f>
        <v/>
      </c>
      <c r="H490" s="34" t="str">
        <f aca="false">IF($B490="","",IFERROR(INDEX(CM_QTD,MATCH($B490,CM_ID,0)),""))</f>
        <v/>
      </c>
      <c r="I490" s="35" t="str">
        <f aca="false">IF($A490="","",$C490&amp;"/"&amp;$H490)</f>
        <v/>
      </c>
      <c r="J490" s="35" t="str">
        <f aca="false">IF($A490="","",IF($C490&lt;=IFERROR(INDEX(CM_PAGASANTES,MATCH($B490,CM_ID,0)),0),"SIM","NAO"))</f>
        <v/>
      </c>
      <c r="K490" s="36" t="n">
        <f aca="false">IF($A490="",0,SUMIFS(L_Valor,L_ParcID,$A490,L_Status,"REALIZADO"))</f>
        <v>0</v>
      </c>
      <c r="L490" s="38" t="str">
        <f aca="false">IF($A490="","",IFERROR(INDEX(L_Data,MATCH(1,INDEX((L_ParcID=$A490)*(L_Status="REALIZADO"),0),0)),""))</f>
        <v/>
      </c>
      <c r="M490" s="34" t="n">
        <f aca="false">IF($A490="",0,COUNTIFS(L_ParcID,$A490,L_Status,"REALIZADO"))</f>
        <v>0</v>
      </c>
      <c r="N490" s="34" t="n">
        <f aca="false">IF($A490="",0,COUNTIFS(L_ParcID,$A490,L_Status,"PROJETADO"))</f>
        <v>0</v>
      </c>
      <c r="O490" s="35" t="str">
        <f aca="false">IF($A490="","",IF($J490="SIM","PAGA",IF($M490&gt;0,"PAGA",IF($D490&lt;CFG_HOJE,"ATRASADA",IF($D490&lt;=EOMONTH(CFG_HOJE,0),"ABERTA","PROJETADA")))))</f>
        <v/>
      </c>
      <c r="P490" s="34" t="n">
        <f aca="false">IF($O490="ATRASADA",CFG_HOJE-$D490,0)</f>
        <v>0</v>
      </c>
      <c r="Q490" s="36" t="n">
        <f aca="false">IF($A490="",0,IF(AND($O490="PAGA",$J490="NAO"),$K490-$E490,0))</f>
        <v>0</v>
      </c>
    </row>
    <row r="491" customFormat="false" ht="15" hidden="false" customHeight="false" outlineLevel="0" collapsed="false">
      <c r="A491" s="30" t="str">
        <f aca="false">IF($B491="","","PAR-"&amp;TEXT(ROW()-4,"000000"))</f>
        <v/>
      </c>
      <c r="B491" s="32"/>
      <c r="C491" s="37"/>
      <c r="D491" s="31"/>
      <c r="E491" s="33"/>
      <c r="F491" s="32"/>
      <c r="G491" s="35" t="str">
        <f aca="false">IF($B491="","",IFERROR(INDEX(CM_NOME,MATCH($B491,CM_ID,0)),"?"))</f>
        <v/>
      </c>
      <c r="H491" s="34" t="str">
        <f aca="false">IF($B491="","",IFERROR(INDEX(CM_QTD,MATCH($B491,CM_ID,0)),""))</f>
        <v/>
      </c>
      <c r="I491" s="35" t="str">
        <f aca="false">IF($A491="","",$C491&amp;"/"&amp;$H491)</f>
        <v/>
      </c>
      <c r="J491" s="35" t="str">
        <f aca="false">IF($A491="","",IF($C491&lt;=IFERROR(INDEX(CM_PAGASANTES,MATCH($B491,CM_ID,0)),0),"SIM","NAO"))</f>
        <v/>
      </c>
      <c r="K491" s="36" t="n">
        <f aca="false">IF($A491="",0,SUMIFS(L_Valor,L_ParcID,$A491,L_Status,"REALIZADO"))</f>
        <v>0</v>
      </c>
      <c r="L491" s="38" t="str">
        <f aca="false">IF($A491="","",IFERROR(INDEX(L_Data,MATCH(1,INDEX((L_ParcID=$A491)*(L_Status="REALIZADO"),0),0)),""))</f>
        <v/>
      </c>
      <c r="M491" s="34" t="n">
        <f aca="false">IF($A491="",0,COUNTIFS(L_ParcID,$A491,L_Status,"REALIZADO"))</f>
        <v>0</v>
      </c>
      <c r="N491" s="34" t="n">
        <f aca="false">IF($A491="",0,COUNTIFS(L_ParcID,$A491,L_Status,"PROJETADO"))</f>
        <v>0</v>
      </c>
      <c r="O491" s="35" t="str">
        <f aca="false">IF($A491="","",IF($J491="SIM","PAGA",IF($M491&gt;0,"PAGA",IF($D491&lt;CFG_HOJE,"ATRASADA",IF($D491&lt;=EOMONTH(CFG_HOJE,0),"ABERTA","PROJETADA")))))</f>
        <v/>
      </c>
      <c r="P491" s="34" t="n">
        <f aca="false">IF($O491="ATRASADA",CFG_HOJE-$D491,0)</f>
        <v>0</v>
      </c>
      <c r="Q491" s="36" t="n">
        <f aca="false">IF($A491="",0,IF(AND($O491="PAGA",$J491="NAO"),$K491-$E491,0))</f>
        <v>0</v>
      </c>
    </row>
    <row r="492" customFormat="false" ht="15" hidden="false" customHeight="false" outlineLevel="0" collapsed="false">
      <c r="A492" s="30" t="str">
        <f aca="false">IF($B492="","","PAR-"&amp;TEXT(ROW()-4,"000000"))</f>
        <v/>
      </c>
      <c r="B492" s="32"/>
      <c r="C492" s="37"/>
      <c r="D492" s="31"/>
      <c r="E492" s="33"/>
      <c r="F492" s="32"/>
      <c r="G492" s="35" t="str">
        <f aca="false">IF($B492="","",IFERROR(INDEX(CM_NOME,MATCH($B492,CM_ID,0)),"?"))</f>
        <v/>
      </c>
      <c r="H492" s="34" t="str">
        <f aca="false">IF($B492="","",IFERROR(INDEX(CM_QTD,MATCH($B492,CM_ID,0)),""))</f>
        <v/>
      </c>
      <c r="I492" s="35" t="str">
        <f aca="false">IF($A492="","",$C492&amp;"/"&amp;$H492)</f>
        <v/>
      </c>
      <c r="J492" s="35" t="str">
        <f aca="false">IF($A492="","",IF($C492&lt;=IFERROR(INDEX(CM_PAGASANTES,MATCH($B492,CM_ID,0)),0),"SIM","NAO"))</f>
        <v/>
      </c>
      <c r="K492" s="36" t="n">
        <f aca="false">IF($A492="",0,SUMIFS(L_Valor,L_ParcID,$A492,L_Status,"REALIZADO"))</f>
        <v>0</v>
      </c>
      <c r="L492" s="38" t="str">
        <f aca="false">IF($A492="","",IFERROR(INDEX(L_Data,MATCH(1,INDEX((L_ParcID=$A492)*(L_Status="REALIZADO"),0),0)),""))</f>
        <v/>
      </c>
      <c r="M492" s="34" t="n">
        <f aca="false">IF($A492="",0,COUNTIFS(L_ParcID,$A492,L_Status,"REALIZADO"))</f>
        <v>0</v>
      </c>
      <c r="N492" s="34" t="n">
        <f aca="false">IF($A492="",0,COUNTIFS(L_ParcID,$A492,L_Status,"PROJETADO"))</f>
        <v>0</v>
      </c>
      <c r="O492" s="35" t="str">
        <f aca="false">IF($A492="","",IF($J492="SIM","PAGA",IF($M492&gt;0,"PAGA",IF($D492&lt;CFG_HOJE,"ATRASADA",IF($D492&lt;=EOMONTH(CFG_HOJE,0),"ABERTA","PROJETADA")))))</f>
        <v/>
      </c>
      <c r="P492" s="34" t="n">
        <f aca="false">IF($O492="ATRASADA",CFG_HOJE-$D492,0)</f>
        <v>0</v>
      </c>
      <c r="Q492" s="36" t="n">
        <f aca="false">IF($A492="",0,IF(AND($O492="PAGA",$J492="NAO"),$K492-$E492,0))</f>
        <v>0</v>
      </c>
    </row>
    <row r="493" customFormat="false" ht="15" hidden="false" customHeight="false" outlineLevel="0" collapsed="false">
      <c r="A493" s="30" t="str">
        <f aca="false">IF($B493="","","PAR-"&amp;TEXT(ROW()-4,"000000"))</f>
        <v/>
      </c>
      <c r="B493" s="32"/>
      <c r="C493" s="37"/>
      <c r="D493" s="31"/>
      <c r="E493" s="33"/>
      <c r="F493" s="32"/>
      <c r="G493" s="35" t="str">
        <f aca="false">IF($B493="","",IFERROR(INDEX(CM_NOME,MATCH($B493,CM_ID,0)),"?"))</f>
        <v/>
      </c>
      <c r="H493" s="34" t="str">
        <f aca="false">IF($B493="","",IFERROR(INDEX(CM_QTD,MATCH($B493,CM_ID,0)),""))</f>
        <v/>
      </c>
      <c r="I493" s="35" t="str">
        <f aca="false">IF($A493="","",$C493&amp;"/"&amp;$H493)</f>
        <v/>
      </c>
      <c r="J493" s="35" t="str">
        <f aca="false">IF($A493="","",IF($C493&lt;=IFERROR(INDEX(CM_PAGASANTES,MATCH($B493,CM_ID,0)),0),"SIM","NAO"))</f>
        <v/>
      </c>
      <c r="K493" s="36" t="n">
        <f aca="false">IF($A493="",0,SUMIFS(L_Valor,L_ParcID,$A493,L_Status,"REALIZADO"))</f>
        <v>0</v>
      </c>
      <c r="L493" s="38" t="str">
        <f aca="false">IF($A493="","",IFERROR(INDEX(L_Data,MATCH(1,INDEX((L_ParcID=$A493)*(L_Status="REALIZADO"),0),0)),""))</f>
        <v/>
      </c>
      <c r="M493" s="34" t="n">
        <f aca="false">IF($A493="",0,COUNTIFS(L_ParcID,$A493,L_Status,"REALIZADO"))</f>
        <v>0</v>
      </c>
      <c r="N493" s="34" t="n">
        <f aca="false">IF($A493="",0,COUNTIFS(L_ParcID,$A493,L_Status,"PROJETADO"))</f>
        <v>0</v>
      </c>
      <c r="O493" s="35" t="str">
        <f aca="false">IF($A493="","",IF($J493="SIM","PAGA",IF($M493&gt;0,"PAGA",IF($D493&lt;CFG_HOJE,"ATRASADA",IF($D493&lt;=EOMONTH(CFG_HOJE,0),"ABERTA","PROJETADA")))))</f>
        <v/>
      </c>
      <c r="P493" s="34" t="n">
        <f aca="false">IF($O493="ATRASADA",CFG_HOJE-$D493,0)</f>
        <v>0</v>
      </c>
      <c r="Q493" s="36" t="n">
        <f aca="false">IF($A493="",0,IF(AND($O493="PAGA",$J493="NAO"),$K493-$E493,0))</f>
        <v>0</v>
      </c>
    </row>
    <row r="494" customFormat="false" ht="15" hidden="false" customHeight="false" outlineLevel="0" collapsed="false">
      <c r="A494" s="30" t="str">
        <f aca="false">IF($B494="","","PAR-"&amp;TEXT(ROW()-4,"000000"))</f>
        <v/>
      </c>
      <c r="B494" s="32"/>
      <c r="C494" s="37"/>
      <c r="D494" s="31"/>
      <c r="E494" s="33"/>
      <c r="F494" s="32"/>
      <c r="G494" s="35" t="str">
        <f aca="false">IF($B494="","",IFERROR(INDEX(CM_NOME,MATCH($B494,CM_ID,0)),"?"))</f>
        <v/>
      </c>
      <c r="H494" s="34" t="str">
        <f aca="false">IF($B494="","",IFERROR(INDEX(CM_QTD,MATCH($B494,CM_ID,0)),""))</f>
        <v/>
      </c>
      <c r="I494" s="35" t="str">
        <f aca="false">IF($A494="","",$C494&amp;"/"&amp;$H494)</f>
        <v/>
      </c>
      <c r="J494" s="35" t="str">
        <f aca="false">IF($A494="","",IF($C494&lt;=IFERROR(INDEX(CM_PAGASANTES,MATCH($B494,CM_ID,0)),0),"SIM","NAO"))</f>
        <v/>
      </c>
      <c r="K494" s="36" t="n">
        <f aca="false">IF($A494="",0,SUMIFS(L_Valor,L_ParcID,$A494,L_Status,"REALIZADO"))</f>
        <v>0</v>
      </c>
      <c r="L494" s="38" t="str">
        <f aca="false">IF($A494="","",IFERROR(INDEX(L_Data,MATCH(1,INDEX((L_ParcID=$A494)*(L_Status="REALIZADO"),0),0)),""))</f>
        <v/>
      </c>
      <c r="M494" s="34" t="n">
        <f aca="false">IF($A494="",0,COUNTIFS(L_ParcID,$A494,L_Status,"REALIZADO"))</f>
        <v>0</v>
      </c>
      <c r="N494" s="34" t="n">
        <f aca="false">IF($A494="",0,COUNTIFS(L_ParcID,$A494,L_Status,"PROJETADO"))</f>
        <v>0</v>
      </c>
      <c r="O494" s="35" t="str">
        <f aca="false">IF($A494="","",IF($J494="SIM","PAGA",IF($M494&gt;0,"PAGA",IF($D494&lt;CFG_HOJE,"ATRASADA",IF($D494&lt;=EOMONTH(CFG_HOJE,0),"ABERTA","PROJETADA")))))</f>
        <v/>
      </c>
      <c r="P494" s="34" t="n">
        <f aca="false">IF($O494="ATRASADA",CFG_HOJE-$D494,0)</f>
        <v>0</v>
      </c>
      <c r="Q494" s="36" t="n">
        <f aca="false">IF($A494="",0,IF(AND($O494="PAGA",$J494="NAO"),$K494-$E494,0))</f>
        <v>0</v>
      </c>
    </row>
    <row r="495" customFormat="false" ht="15" hidden="false" customHeight="false" outlineLevel="0" collapsed="false">
      <c r="A495" s="30" t="str">
        <f aca="false">IF($B495="","","PAR-"&amp;TEXT(ROW()-4,"000000"))</f>
        <v/>
      </c>
      <c r="B495" s="32"/>
      <c r="C495" s="37"/>
      <c r="D495" s="31"/>
      <c r="E495" s="33"/>
      <c r="F495" s="32"/>
      <c r="G495" s="35" t="str">
        <f aca="false">IF($B495="","",IFERROR(INDEX(CM_NOME,MATCH($B495,CM_ID,0)),"?"))</f>
        <v/>
      </c>
      <c r="H495" s="34" t="str">
        <f aca="false">IF($B495="","",IFERROR(INDEX(CM_QTD,MATCH($B495,CM_ID,0)),""))</f>
        <v/>
      </c>
      <c r="I495" s="35" t="str">
        <f aca="false">IF($A495="","",$C495&amp;"/"&amp;$H495)</f>
        <v/>
      </c>
      <c r="J495" s="35" t="str">
        <f aca="false">IF($A495="","",IF($C495&lt;=IFERROR(INDEX(CM_PAGASANTES,MATCH($B495,CM_ID,0)),0),"SIM","NAO"))</f>
        <v/>
      </c>
      <c r="K495" s="36" t="n">
        <f aca="false">IF($A495="",0,SUMIFS(L_Valor,L_ParcID,$A495,L_Status,"REALIZADO"))</f>
        <v>0</v>
      </c>
      <c r="L495" s="38" t="str">
        <f aca="false">IF($A495="","",IFERROR(INDEX(L_Data,MATCH(1,INDEX((L_ParcID=$A495)*(L_Status="REALIZADO"),0),0)),""))</f>
        <v/>
      </c>
      <c r="M495" s="34" t="n">
        <f aca="false">IF($A495="",0,COUNTIFS(L_ParcID,$A495,L_Status,"REALIZADO"))</f>
        <v>0</v>
      </c>
      <c r="N495" s="34" t="n">
        <f aca="false">IF($A495="",0,COUNTIFS(L_ParcID,$A495,L_Status,"PROJETADO"))</f>
        <v>0</v>
      </c>
      <c r="O495" s="35" t="str">
        <f aca="false">IF($A495="","",IF($J495="SIM","PAGA",IF($M495&gt;0,"PAGA",IF($D495&lt;CFG_HOJE,"ATRASADA",IF($D495&lt;=EOMONTH(CFG_HOJE,0),"ABERTA","PROJETADA")))))</f>
        <v/>
      </c>
      <c r="P495" s="34" t="n">
        <f aca="false">IF($O495="ATRASADA",CFG_HOJE-$D495,0)</f>
        <v>0</v>
      </c>
      <c r="Q495" s="36" t="n">
        <f aca="false">IF($A495="",0,IF(AND($O495="PAGA",$J495="NAO"),$K495-$E495,0))</f>
        <v>0</v>
      </c>
    </row>
    <row r="496" customFormat="false" ht="15" hidden="false" customHeight="false" outlineLevel="0" collapsed="false">
      <c r="A496" s="30" t="str">
        <f aca="false">IF($B496="","","PAR-"&amp;TEXT(ROW()-4,"000000"))</f>
        <v/>
      </c>
      <c r="B496" s="32"/>
      <c r="C496" s="37"/>
      <c r="D496" s="31"/>
      <c r="E496" s="33"/>
      <c r="F496" s="32"/>
      <c r="G496" s="35" t="str">
        <f aca="false">IF($B496="","",IFERROR(INDEX(CM_NOME,MATCH($B496,CM_ID,0)),"?"))</f>
        <v/>
      </c>
      <c r="H496" s="34" t="str">
        <f aca="false">IF($B496="","",IFERROR(INDEX(CM_QTD,MATCH($B496,CM_ID,0)),""))</f>
        <v/>
      </c>
      <c r="I496" s="35" t="str">
        <f aca="false">IF($A496="","",$C496&amp;"/"&amp;$H496)</f>
        <v/>
      </c>
      <c r="J496" s="35" t="str">
        <f aca="false">IF($A496="","",IF($C496&lt;=IFERROR(INDEX(CM_PAGASANTES,MATCH($B496,CM_ID,0)),0),"SIM","NAO"))</f>
        <v/>
      </c>
      <c r="K496" s="36" t="n">
        <f aca="false">IF($A496="",0,SUMIFS(L_Valor,L_ParcID,$A496,L_Status,"REALIZADO"))</f>
        <v>0</v>
      </c>
      <c r="L496" s="38" t="str">
        <f aca="false">IF($A496="","",IFERROR(INDEX(L_Data,MATCH(1,INDEX((L_ParcID=$A496)*(L_Status="REALIZADO"),0),0)),""))</f>
        <v/>
      </c>
      <c r="M496" s="34" t="n">
        <f aca="false">IF($A496="",0,COUNTIFS(L_ParcID,$A496,L_Status,"REALIZADO"))</f>
        <v>0</v>
      </c>
      <c r="N496" s="34" t="n">
        <f aca="false">IF($A496="",0,COUNTIFS(L_ParcID,$A496,L_Status,"PROJETADO"))</f>
        <v>0</v>
      </c>
      <c r="O496" s="35" t="str">
        <f aca="false">IF($A496="","",IF($J496="SIM","PAGA",IF($M496&gt;0,"PAGA",IF($D496&lt;CFG_HOJE,"ATRASADA",IF($D496&lt;=EOMONTH(CFG_HOJE,0),"ABERTA","PROJETADA")))))</f>
        <v/>
      </c>
      <c r="P496" s="34" t="n">
        <f aca="false">IF($O496="ATRASADA",CFG_HOJE-$D496,0)</f>
        <v>0</v>
      </c>
      <c r="Q496" s="36" t="n">
        <f aca="false">IF($A496="",0,IF(AND($O496="PAGA",$J496="NAO"),$K496-$E496,0))</f>
        <v>0</v>
      </c>
    </row>
    <row r="497" customFormat="false" ht="15" hidden="false" customHeight="false" outlineLevel="0" collapsed="false">
      <c r="A497" s="30" t="str">
        <f aca="false">IF($B497="","","PAR-"&amp;TEXT(ROW()-4,"000000"))</f>
        <v/>
      </c>
      <c r="B497" s="32"/>
      <c r="C497" s="37"/>
      <c r="D497" s="31"/>
      <c r="E497" s="33"/>
      <c r="F497" s="32"/>
      <c r="G497" s="35" t="str">
        <f aca="false">IF($B497="","",IFERROR(INDEX(CM_NOME,MATCH($B497,CM_ID,0)),"?"))</f>
        <v/>
      </c>
      <c r="H497" s="34" t="str">
        <f aca="false">IF($B497="","",IFERROR(INDEX(CM_QTD,MATCH($B497,CM_ID,0)),""))</f>
        <v/>
      </c>
      <c r="I497" s="35" t="str">
        <f aca="false">IF($A497="","",$C497&amp;"/"&amp;$H497)</f>
        <v/>
      </c>
      <c r="J497" s="35" t="str">
        <f aca="false">IF($A497="","",IF($C497&lt;=IFERROR(INDEX(CM_PAGASANTES,MATCH($B497,CM_ID,0)),0),"SIM","NAO"))</f>
        <v/>
      </c>
      <c r="K497" s="36" t="n">
        <f aca="false">IF($A497="",0,SUMIFS(L_Valor,L_ParcID,$A497,L_Status,"REALIZADO"))</f>
        <v>0</v>
      </c>
      <c r="L497" s="38" t="str">
        <f aca="false">IF($A497="","",IFERROR(INDEX(L_Data,MATCH(1,INDEX((L_ParcID=$A497)*(L_Status="REALIZADO"),0),0)),""))</f>
        <v/>
      </c>
      <c r="M497" s="34" t="n">
        <f aca="false">IF($A497="",0,COUNTIFS(L_ParcID,$A497,L_Status,"REALIZADO"))</f>
        <v>0</v>
      </c>
      <c r="N497" s="34" t="n">
        <f aca="false">IF($A497="",0,COUNTIFS(L_ParcID,$A497,L_Status,"PROJETADO"))</f>
        <v>0</v>
      </c>
      <c r="O497" s="35" t="str">
        <f aca="false">IF($A497="","",IF($J497="SIM","PAGA",IF($M497&gt;0,"PAGA",IF($D497&lt;CFG_HOJE,"ATRASADA",IF($D497&lt;=EOMONTH(CFG_HOJE,0),"ABERTA","PROJETADA")))))</f>
        <v/>
      </c>
      <c r="P497" s="34" t="n">
        <f aca="false">IF($O497="ATRASADA",CFG_HOJE-$D497,0)</f>
        <v>0</v>
      </c>
      <c r="Q497" s="36" t="n">
        <f aca="false">IF($A497="",0,IF(AND($O497="PAGA",$J497="NAO"),$K497-$E497,0))</f>
        <v>0</v>
      </c>
    </row>
    <row r="498" customFormat="false" ht="15" hidden="false" customHeight="false" outlineLevel="0" collapsed="false">
      <c r="A498" s="30" t="str">
        <f aca="false">IF($B498="","","PAR-"&amp;TEXT(ROW()-4,"000000"))</f>
        <v/>
      </c>
      <c r="B498" s="32"/>
      <c r="C498" s="37"/>
      <c r="D498" s="31"/>
      <c r="E498" s="33"/>
      <c r="F498" s="32"/>
      <c r="G498" s="35" t="str">
        <f aca="false">IF($B498="","",IFERROR(INDEX(CM_NOME,MATCH($B498,CM_ID,0)),"?"))</f>
        <v/>
      </c>
      <c r="H498" s="34" t="str">
        <f aca="false">IF($B498="","",IFERROR(INDEX(CM_QTD,MATCH($B498,CM_ID,0)),""))</f>
        <v/>
      </c>
      <c r="I498" s="35" t="str">
        <f aca="false">IF($A498="","",$C498&amp;"/"&amp;$H498)</f>
        <v/>
      </c>
      <c r="J498" s="35" t="str">
        <f aca="false">IF($A498="","",IF($C498&lt;=IFERROR(INDEX(CM_PAGASANTES,MATCH($B498,CM_ID,0)),0),"SIM","NAO"))</f>
        <v/>
      </c>
      <c r="K498" s="36" t="n">
        <f aca="false">IF($A498="",0,SUMIFS(L_Valor,L_ParcID,$A498,L_Status,"REALIZADO"))</f>
        <v>0</v>
      </c>
      <c r="L498" s="38" t="str">
        <f aca="false">IF($A498="","",IFERROR(INDEX(L_Data,MATCH(1,INDEX((L_ParcID=$A498)*(L_Status="REALIZADO"),0),0)),""))</f>
        <v/>
      </c>
      <c r="M498" s="34" t="n">
        <f aca="false">IF($A498="",0,COUNTIFS(L_ParcID,$A498,L_Status,"REALIZADO"))</f>
        <v>0</v>
      </c>
      <c r="N498" s="34" t="n">
        <f aca="false">IF($A498="",0,COUNTIFS(L_ParcID,$A498,L_Status,"PROJETADO"))</f>
        <v>0</v>
      </c>
      <c r="O498" s="35" t="str">
        <f aca="false">IF($A498="","",IF($J498="SIM","PAGA",IF($M498&gt;0,"PAGA",IF($D498&lt;CFG_HOJE,"ATRASADA",IF($D498&lt;=EOMONTH(CFG_HOJE,0),"ABERTA","PROJETADA")))))</f>
        <v/>
      </c>
      <c r="P498" s="34" t="n">
        <f aca="false">IF($O498="ATRASADA",CFG_HOJE-$D498,0)</f>
        <v>0</v>
      </c>
      <c r="Q498" s="36" t="n">
        <f aca="false">IF($A498="",0,IF(AND($O498="PAGA",$J498="NAO"),$K498-$E498,0))</f>
        <v>0</v>
      </c>
    </row>
    <row r="499" customFormat="false" ht="15" hidden="false" customHeight="false" outlineLevel="0" collapsed="false">
      <c r="A499" s="30" t="str">
        <f aca="false">IF($B499="","","PAR-"&amp;TEXT(ROW()-4,"000000"))</f>
        <v/>
      </c>
      <c r="B499" s="32"/>
      <c r="C499" s="37"/>
      <c r="D499" s="31"/>
      <c r="E499" s="33"/>
      <c r="F499" s="32"/>
      <c r="G499" s="35" t="str">
        <f aca="false">IF($B499="","",IFERROR(INDEX(CM_NOME,MATCH($B499,CM_ID,0)),"?"))</f>
        <v/>
      </c>
      <c r="H499" s="34" t="str">
        <f aca="false">IF($B499="","",IFERROR(INDEX(CM_QTD,MATCH($B499,CM_ID,0)),""))</f>
        <v/>
      </c>
      <c r="I499" s="35" t="str">
        <f aca="false">IF($A499="","",$C499&amp;"/"&amp;$H499)</f>
        <v/>
      </c>
      <c r="J499" s="35" t="str">
        <f aca="false">IF($A499="","",IF($C499&lt;=IFERROR(INDEX(CM_PAGASANTES,MATCH($B499,CM_ID,0)),0),"SIM","NAO"))</f>
        <v/>
      </c>
      <c r="K499" s="36" t="n">
        <f aca="false">IF($A499="",0,SUMIFS(L_Valor,L_ParcID,$A499,L_Status,"REALIZADO"))</f>
        <v>0</v>
      </c>
      <c r="L499" s="38" t="str">
        <f aca="false">IF($A499="","",IFERROR(INDEX(L_Data,MATCH(1,INDEX((L_ParcID=$A499)*(L_Status="REALIZADO"),0),0)),""))</f>
        <v/>
      </c>
      <c r="M499" s="34" t="n">
        <f aca="false">IF($A499="",0,COUNTIFS(L_ParcID,$A499,L_Status,"REALIZADO"))</f>
        <v>0</v>
      </c>
      <c r="N499" s="34" t="n">
        <f aca="false">IF($A499="",0,COUNTIFS(L_ParcID,$A499,L_Status,"PROJETADO"))</f>
        <v>0</v>
      </c>
      <c r="O499" s="35" t="str">
        <f aca="false">IF($A499="","",IF($J499="SIM","PAGA",IF($M499&gt;0,"PAGA",IF($D499&lt;CFG_HOJE,"ATRASADA",IF($D499&lt;=EOMONTH(CFG_HOJE,0),"ABERTA","PROJETADA")))))</f>
        <v/>
      </c>
      <c r="P499" s="34" t="n">
        <f aca="false">IF($O499="ATRASADA",CFG_HOJE-$D499,0)</f>
        <v>0</v>
      </c>
      <c r="Q499" s="36" t="n">
        <f aca="false">IF($A499="",0,IF(AND($O499="PAGA",$J499="NAO"),$K499-$E499,0))</f>
        <v>0</v>
      </c>
    </row>
    <row r="500" customFormat="false" ht="15" hidden="false" customHeight="false" outlineLevel="0" collapsed="false">
      <c r="A500" s="30" t="str">
        <f aca="false">IF($B500="","","PAR-"&amp;TEXT(ROW()-4,"000000"))</f>
        <v/>
      </c>
      <c r="B500" s="32"/>
      <c r="C500" s="37"/>
      <c r="D500" s="31"/>
      <c r="E500" s="33"/>
      <c r="F500" s="32"/>
      <c r="G500" s="35" t="str">
        <f aca="false">IF($B500="","",IFERROR(INDEX(CM_NOME,MATCH($B500,CM_ID,0)),"?"))</f>
        <v/>
      </c>
      <c r="H500" s="34" t="str">
        <f aca="false">IF($B500="","",IFERROR(INDEX(CM_QTD,MATCH($B500,CM_ID,0)),""))</f>
        <v/>
      </c>
      <c r="I500" s="35" t="str">
        <f aca="false">IF($A500="","",$C500&amp;"/"&amp;$H500)</f>
        <v/>
      </c>
      <c r="J500" s="35" t="str">
        <f aca="false">IF($A500="","",IF($C500&lt;=IFERROR(INDEX(CM_PAGASANTES,MATCH($B500,CM_ID,0)),0),"SIM","NAO"))</f>
        <v/>
      </c>
      <c r="K500" s="36" t="n">
        <f aca="false">IF($A500="",0,SUMIFS(L_Valor,L_ParcID,$A500,L_Status,"REALIZADO"))</f>
        <v>0</v>
      </c>
      <c r="L500" s="38" t="str">
        <f aca="false">IF($A500="","",IFERROR(INDEX(L_Data,MATCH(1,INDEX((L_ParcID=$A500)*(L_Status="REALIZADO"),0),0)),""))</f>
        <v/>
      </c>
      <c r="M500" s="34" t="n">
        <f aca="false">IF($A500="",0,COUNTIFS(L_ParcID,$A500,L_Status,"REALIZADO"))</f>
        <v>0</v>
      </c>
      <c r="N500" s="34" t="n">
        <f aca="false">IF($A500="",0,COUNTIFS(L_ParcID,$A500,L_Status,"PROJETADO"))</f>
        <v>0</v>
      </c>
      <c r="O500" s="35" t="str">
        <f aca="false">IF($A500="","",IF($J500="SIM","PAGA",IF($M500&gt;0,"PAGA",IF($D500&lt;CFG_HOJE,"ATRASADA",IF($D500&lt;=EOMONTH(CFG_HOJE,0),"ABERTA","PROJETADA")))))</f>
        <v/>
      </c>
      <c r="P500" s="34" t="n">
        <f aca="false">IF($O500="ATRASADA",CFG_HOJE-$D500,0)</f>
        <v>0</v>
      </c>
      <c r="Q500" s="36" t="n">
        <f aca="false">IF($A500="",0,IF(AND($O500="PAGA",$J500="NAO"),$K500-$E500,0))</f>
        <v>0</v>
      </c>
    </row>
    <row r="501" customFormat="false" ht="15" hidden="false" customHeight="false" outlineLevel="0" collapsed="false">
      <c r="A501" s="30" t="str">
        <f aca="false">IF($B501="","","PAR-"&amp;TEXT(ROW()-4,"000000"))</f>
        <v/>
      </c>
      <c r="B501" s="32"/>
      <c r="C501" s="37"/>
      <c r="D501" s="31"/>
      <c r="E501" s="33"/>
      <c r="F501" s="32"/>
      <c r="G501" s="35" t="str">
        <f aca="false">IF($B501="","",IFERROR(INDEX(CM_NOME,MATCH($B501,CM_ID,0)),"?"))</f>
        <v/>
      </c>
      <c r="H501" s="34" t="str">
        <f aca="false">IF($B501="","",IFERROR(INDEX(CM_QTD,MATCH($B501,CM_ID,0)),""))</f>
        <v/>
      </c>
      <c r="I501" s="35" t="str">
        <f aca="false">IF($A501="","",$C501&amp;"/"&amp;$H501)</f>
        <v/>
      </c>
      <c r="J501" s="35" t="str">
        <f aca="false">IF($A501="","",IF($C501&lt;=IFERROR(INDEX(CM_PAGASANTES,MATCH($B501,CM_ID,0)),0),"SIM","NAO"))</f>
        <v/>
      </c>
      <c r="K501" s="36" t="n">
        <f aca="false">IF($A501="",0,SUMIFS(L_Valor,L_ParcID,$A501,L_Status,"REALIZADO"))</f>
        <v>0</v>
      </c>
      <c r="L501" s="38" t="str">
        <f aca="false">IF($A501="","",IFERROR(INDEX(L_Data,MATCH(1,INDEX((L_ParcID=$A501)*(L_Status="REALIZADO"),0),0)),""))</f>
        <v/>
      </c>
      <c r="M501" s="34" t="n">
        <f aca="false">IF($A501="",0,COUNTIFS(L_ParcID,$A501,L_Status,"REALIZADO"))</f>
        <v>0</v>
      </c>
      <c r="N501" s="34" t="n">
        <f aca="false">IF($A501="",0,COUNTIFS(L_ParcID,$A501,L_Status,"PROJETADO"))</f>
        <v>0</v>
      </c>
      <c r="O501" s="35" t="str">
        <f aca="false">IF($A501="","",IF($J501="SIM","PAGA",IF($M501&gt;0,"PAGA",IF($D501&lt;CFG_HOJE,"ATRASADA",IF($D501&lt;=EOMONTH(CFG_HOJE,0),"ABERTA","PROJETADA")))))</f>
        <v/>
      </c>
      <c r="P501" s="34" t="n">
        <f aca="false">IF($O501="ATRASADA",CFG_HOJE-$D501,0)</f>
        <v>0</v>
      </c>
      <c r="Q501" s="36" t="n">
        <f aca="false">IF($A501="",0,IF(AND($O501="PAGA",$J501="NAO"),$K501-$E501,0))</f>
        <v>0</v>
      </c>
    </row>
    <row r="502" customFormat="false" ht="15" hidden="false" customHeight="false" outlineLevel="0" collapsed="false">
      <c r="A502" s="30" t="str">
        <f aca="false">IF($B502="","","PAR-"&amp;TEXT(ROW()-4,"000000"))</f>
        <v/>
      </c>
      <c r="B502" s="32"/>
      <c r="C502" s="37"/>
      <c r="D502" s="31"/>
      <c r="E502" s="33"/>
      <c r="F502" s="32"/>
      <c r="G502" s="35" t="str">
        <f aca="false">IF($B502="","",IFERROR(INDEX(CM_NOME,MATCH($B502,CM_ID,0)),"?"))</f>
        <v/>
      </c>
      <c r="H502" s="34" t="str">
        <f aca="false">IF($B502="","",IFERROR(INDEX(CM_QTD,MATCH($B502,CM_ID,0)),""))</f>
        <v/>
      </c>
      <c r="I502" s="35" t="str">
        <f aca="false">IF($A502="","",$C502&amp;"/"&amp;$H502)</f>
        <v/>
      </c>
      <c r="J502" s="35" t="str">
        <f aca="false">IF($A502="","",IF($C502&lt;=IFERROR(INDEX(CM_PAGASANTES,MATCH($B502,CM_ID,0)),0),"SIM","NAO"))</f>
        <v/>
      </c>
      <c r="K502" s="36" t="n">
        <f aca="false">IF($A502="",0,SUMIFS(L_Valor,L_ParcID,$A502,L_Status,"REALIZADO"))</f>
        <v>0</v>
      </c>
      <c r="L502" s="38" t="str">
        <f aca="false">IF($A502="","",IFERROR(INDEX(L_Data,MATCH(1,INDEX((L_ParcID=$A502)*(L_Status="REALIZADO"),0),0)),""))</f>
        <v/>
      </c>
      <c r="M502" s="34" t="n">
        <f aca="false">IF($A502="",0,COUNTIFS(L_ParcID,$A502,L_Status,"REALIZADO"))</f>
        <v>0</v>
      </c>
      <c r="N502" s="34" t="n">
        <f aca="false">IF($A502="",0,COUNTIFS(L_ParcID,$A502,L_Status,"PROJETADO"))</f>
        <v>0</v>
      </c>
      <c r="O502" s="35" t="str">
        <f aca="false">IF($A502="","",IF($J502="SIM","PAGA",IF($M502&gt;0,"PAGA",IF($D502&lt;CFG_HOJE,"ATRASADA",IF($D502&lt;=EOMONTH(CFG_HOJE,0),"ABERTA","PROJETADA")))))</f>
        <v/>
      </c>
      <c r="P502" s="34" t="n">
        <f aca="false">IF($O502="ATRASADA",CFG_HOJE-$D502,0)</f>
        <v>0</v>
      </c>
      <c r="Q502" s="36" t="n">
        <f aca="false">IF($A502="",0,IF(AND($O502="PAGA",$J502="NAO"),$K502-$E502,0))</f>
        <v>0</v>
      </c>
    </row>
    <row r="503" customFormat="false" ht="15" hidden="false" customHeight="false" outlineLevel="0" collapsed="false">
      <c r="A503" s="30" t="str">
        <f aca="false">IF($B503="","","PAR-"&amp;TEXT(ROW()-4,"000000"))</f>
        <v/>
      </c>
      <c r="B503" s="32"/>
      <c r="C503" s="37"/>
      <c r="D503" s="31"/>
      <c r="E503" s="33"/>
      <c r="F503" s="32"/>
      <c r="G503" s="35" t="str">
        <f aca="false">IF($B503="","",IFERROR(INDEX(CM_NOME,MATCH($B503,CM_ID,0)),"?"))</f>
        <v/>
      </c>
      <c r="H503" s="34" t="str">
        <f aca="false">IF($B503="","",IFERROR(INDEX(CM_QTD,MATCH($B503,CM_ID,0)),""))</f>
        <v/>
      </c>
      <c r="I503" s="35" t="str">
        <f aca="false">IF($A503="","",$C503&amp;"/"&amp;$H503)</f>
        <v/>
      </c>
      <c r="J503" s="35" t="str">
        <f aca="false">IF($A503="","",IF($C503&lt;=IFERROR(INDEX(CM_PAGASANTES,MATCH($B503,CM_ID,0)),0),"SIM","NAO"))</f>
        <v/>
      </c>
      <c r="K503" s="36" t="n">
        <f aca="false">IF($A503="",0,SUMIFS(L_Valor,L_ParcID,$A503,L_Status,"REALIZADO"))</f>
        <v>0</v>
      </c>
      <c r="L503" s="38" t="str">
        <f aca="false">IF($A503="","",IFERROR(INDEX(L_Data,MATCH(1,INDEX((L_ParcID=$A503)*(L_Status="REALIZADO"),0),0)),""))</f>
        <v/>
      </c>
      <c r="M503" s="34" t="n">
        <f aca="false">IF($A503="",0,COUNTIFS(L_ParcID,$A503,L_Status,"REALIZADO"))</f>
        <v>0</v>
      </c>
      <c r="N503" s="34" t="n">
        <f aca="false">IF($A503="",0,COUNTIFS(L_ParcID,$A503,L_Status,"PROJETADO"))</f>
        <v>0</v>
      </c>
      <c r="O503" s="35" t="str">
        <f aca="false">IF($A503="","",IF($J503="SIM","PAGA",IF($M503&gt;0,"PAGA",IF($D503&lt;CFG_HOJE,"ATRASADA",IF($D503&lt;=EOMONTH(CFG_HOJE,0),"ABERTA","PROJETADA")))))</f>
        <v/>
      </c>
      <c r="P503" s="34" t="n">
        <f aca="false">IF($O503="ATRASADA",CFG_HOJE-$D503,0)</f>
        <v>0</v>
      </c>
      <c r="Q503" s="36" t="n">
        <f aca="false">IF($A503="",0,IF(AND($O503="PAGA",$J503="NAO"),$K503-$E503,0))</f>
        <v>0</v>
      </c>
    </row>
    <row r="504" customFormat="false" ht="15" hidden="false" customHeight="false" outlineLevel="0" collapsed="false">
      <c r="A504" s="30" t="str">
        <f aca="false">IF($B504="","","PAR-"&amp;TEXT(ROW()-4,"000000"))</f>
        <v/>
      </c>
      <c r="B504" s="32"/>
      <c r="C504" s="37"/>
      <c r="D504" s="31"/>
      <c r="E504" s="33"/>
      <c r="F504" s="32"/>
      <c r="G504" s="35" t="str">
        <f aca="false">IF($B504="","",IFERROR(INDEX(CM_NOME,MATCH($B504,CM_ID,0)),"?"))</f>
        <v/>
      </c>
      <c r="H504" s="34" t="str">
        <f aca="false">IF($B504="","",IFERROR(INDEX(CM_QTD,MATCH($B504,CM_ID,0)),""))</f>
        <v/>
      </c>
      <c r="I504" s="35" t="str">
        <f aca="false">IF($A504="","",$C504&amp;"/"&amp;$H504)</f>
        <v/>
      </c>
      <c r="J504" s="35" t="str">
        <f aca="false">IF($A504="","",IF($C504&lt;=IFERROR(INDEX(CM_PAGASANTES,MATCH($B504,CM_ID,0)),0),"SIM","NAO"))</f>
        <v/>
      </c>
      <c r="K504" s="36" t="n">
        <f aca="false">IF($A504="",0,SUMIFS(L_Valor,L_ParcID,$A504,L_Status,"REALIZADO"))</f>
        <v>0</v>
      </c>
      <c r="L504" s="38" t="str">
        <f aca="false">IF($A504="","",IFERROR(INDEX(L_Data,MATCH(1,INDEX((L_ParcID=$A504)*(L_Status="REALIZADO"),0),0)),""))</f>
        <v/>
      </c>
      <c r="M504" s="34" t="n">
        <f aca="false">IF($A504="",0,COUNTIFS(L_ParcID,$A504,L_Status,"REALIZADO"))</f>
        <v>0</v>
      </c>
      <c r="N504" s="34" t="n">
        <f aca="false">IF($A504="",0,COUNTIFS(L_ParcID,$A504,L_Status,"PROJETADO"))</f>
        <v>0</v>
      </c>
      <c r="O504" s="35" t="str">
        <f aca="false">IF($A504="","",IF($J504="SIM","PAGA",IF($M504&gt;0,"PAGA",IF($D504&lt;CFG_HOJE,"ATRASADA",IF($D504&lt;=EOMONTH(CFG_HOJE,0),"ABERTA","PROJETADA")))))</f>
        <v/>
      </c>
      <c r="P504" s="34" t="n">
        <f aca="false">IF($O504="ATRASADA",CFG_HOJE-$D504,0)</f>
        <v>0</v>
      </c>
      <c r="Q504" s="36" t="n">
        <f aca="false">IF($A504="",0,IF(AND($O504="PAGA",$J504="NAO"),$K504-$E504,0))</f>
        <v>0</v>
      </c>
    </row>
    <row r="505" customFormat="false" ht="15" hidden="false" customHeight="false" outlineLevel="0" collapsed="false">
      <c r="A505" s="30" t="str">
        <f aca="false">IF($B505="","","PAR-"&amp;TEXT(ROW()-4,"000000"))</f>
        <v/>
      </c>
      <c r="B505" s="32"/>
      <c r="C505" s="37"/>
      <c r="D505" s="31"/>
      <c r="E505" s="33"/>
      <c r="F505" s="32"/>
      <c r="G505" s="35" t="str">
        <f aca="false">IF($B505="","",IFERROR(INDEX(CM_NOME,MATCH($B505,CM_ID,0)),"?"))</f>
        <v/>
      </c>
      <c r="H505" s="34" t="str">
        <f aca="false">IF($B505="","",IFERROR(INDEX(CM_QTD,MATCH($B505,CM_ID,0)),""))</f>
        <v/>
      </c>
      <c r="I505" s="35" t="str">
        <f aca="false">IF($A505="","",$C505&amp;"/"&amp;$H505)</f>
        <v/>
      </c>
      <c r="J505" s="35" t="str">
        <f aca="false">IF($A505="","",IF($C505&lt;=IFERROR(INDEX(CM_PAGASANTES,MATCH($B505,CM_ID,0)),0),"SIM","NAO"))</f>
        <v/>
      </c>
      <c r="K505" s="36" t="n">
        <f aca="false">IF($A505="",0,SUMIFS(L_Valor,L_ParcID,$A505,L_Status,"REALIZADO"))</f>
        <v>0</v>
      </c>
      <c r="L505" s="38" t="str">
        <f aca="false">IF($A505="","",IFERROR(INDEX(L_Data,MATCH(1,INDEX((L_ParcID=$A505)*(L_Status="REALIZADO"),0),0)),""))</f>
        <v/>
      </c>
      <c r="M505" s="34" t="n">
        <f aca="false">IF($A505="",0,COUNTIFS(L_ParcID,$A505,L_Status,"REALIZADO"))</f>
        <v>0</v>
      </c>
      <c r="N505" s="34" t="n">
        <f aca="false">IF($A505="",0,COUNTIFS(L_ParcID,$A505,L_Status,"PROJETADO"))</f>
        <v>0</v>
      </c>
      <c r="O505" s="35" t="str">
        <f aca="false">IF($A505="","",IF($J505="SIM","PAGA",IF($M505&gt;0,"PAGA",IF($D505&lt;CFG_HOJE,"ATRASADA",IF($D505&lt;=EOMONTH(CFG_HOJE,0),"ABERTA","PROJETADA")))))</f>
        <v/>
      </c>
      <c r="P505" s="34" t="n">
        <f aca="false">IF($O505="ATRASADA",CFG_HOJE-$D505,0)</f>
        <v>0</v>
      </c>
      <c r="Q505" s="36" t="n">
        <f aca="false">IF($A505="",0,IF(AND($O505="PAGA",$J505="NAO"),$K505-$E505,0))</f>
        <v>0</v>
      </c>
    </row>
    <row r="506" customFormat="false" ht="15" hidden="false" customHeight="false" outlineLevel="0" collapsed="false">
      <c r="A506" s="30" t="str">
        <f aca="false">IF($B506="","","PAR-"&amp;TEXT(ROW()-4,"000000"))</f>
        <v/>
      </c>
      <c r="B506" s="32"/>
      <c r="C506" s="37"/>
      <c r="D506" s="31"/>
      <c r="E506" s="33"/>
      <c r="F506" s="32"/>
      <c r="G506" s="35" t="str">
        <f aca="false">IF($B506="","",IFERROR(INDEX(CM_NOME,MATCH($B506,CM_ID,0)),"?"))</f>
        <v/>
      </c>
      <c r="H506" s="34" t="str">
        <f aca="false">IF($B506="","",IFERROR(INDEX(CM_QTD,MATCH($B506,CM_ID,0)),""))</f>
        <v/>
      </c>
      <c r="I506" s="35" t="str">
        <f aca="false">IF($A506="","",$C506&amp;"/"&amp;$H506)</f>
        <v/>
      </c>
      <c r="J506" s="35" t="str">
        <f aca="false">IF($A506="","",IF($C506&lt;=IFERROR(INDEX(CM_PAGASANTES,MATCH($B506,CM_ID,0)),0),"SIM","NAO"))</f>
        <v/>
      </c>
      <c r="K506" s="36" t="n">
        <f aca="false">IF($A506="",0,SUMIFS(L_Valor,L_ParcID,$A506,L_Status,"REALIZADO"))</f>
        <v>0</v>
      </c>
      <c r="L506" s="38" t="str">
        <f aca="false">IF($A506="","",IFERROR(INDEX(L_Data,MATCH(1,INDEX((L_ParcID=$A506)*(L_Status="REALIZADO"),0),0)),""))</f>
        <v/>
      </c>
      <c r="M506" s="34" t="n">
        <f aca="false">IF($A506="",0,COUNTIFS(L_ParcID,$A506,L_Status,"REALIZADO"))</f>
        <v>0</v>
      </c>
      <c r="N506" s="34" t="n">
        <f aca="false">IF($A506="",0,COUNTIFS(L_ParcID,$A506,L_Status,"PROJETADO"))</f>
        <v>0</v>
      </c>
      <c r="O506" s="35" t="str">
        <f aca="false">IF($A506="","",IF($J506="SIM","PAGA",IF($M506&gt;0,"PAGA",IF($D506&lt;CFG_HOJE,"ATRASADA",IF($D506&lt;=EOMONTH(CFG_HOJE,0),"ABERTA","PROJETADA")))))</f>
        <v/>
      </c>
      <c r="P506" s="34" t="n">
        <f aca="false">IF($O506="ATRASADA",CFG_HOJE-$D506,0)</f>
        <v>0</v>
      </c>
      <c r="Q506" s="36" t="n">
        <f aca="false">IF($A506="",0,IF(AND($O506="PAGA",$J506="NAO"),$K506-$E506,0))</f>
        <v>0</v>
      </c>
    </row>
    <row r="507" customFormat="false" ht="15" hidden="false" customHeight="false" outlineLevel="0" collapsed="false">
      <c r="A507" s="30" t="str">
        <f aca="false">IF($B507="","","PAR-"&amp;TEXT(ROW()-4,"000000"))</f>
        <v/>
      </c>
      <c r="B507" s="32"/>
      <c r="C507" s="37"/>
      <c r="D507" s="31"/>
      <c r="E507" s="33"/>
      <c r="F507" s="32"/>
      <c r="G507" s="35" t="str">
        <f aca="false">IF($B507="","",IFERROR(INDEX(CM_NOME,MATCH($B507,CM_ID,0)),"?"))</f>
        <v/>
      </c>
      <c r="H507" s="34" t="str">
        <f aca="false">IF($B507="","",IFERROR(INDEX(CM_QTD,MATCH($B507,CM_ID,0)),""))</f>
        <v/>
      </c>
      <c r="I507" s="35" t="str">
        <f aca="false">IF($A507="","",$C507&amp;"/"&amp;$H507)</f>
        <v/>
      </c>
      <c r="J507" s="35" t="str">
        <f aca="false">IF($A507="","",IF($C507&lt;=IFERROR(INDEX(CM_PAGASANTES,MATCH($B507,CM_ID,0)),0),"SIM","NAO"))</f>
        <v/>
      </c>
      <c r="K507" s="36" t="n">
        <f aca="false">IF($A507="",0,SUMIFS(L_Valor,L_ParcID,$A507,L_Status,"REALIZADO"))</f>
        <v>0</v>
      </c>
      <c r="L507" s="38" t="str">
        <f aca="false">IF($A507="","",IFERROR(INDEX(L_Data,MATCH(1,INDEX((L_ParcID=$A507)*(L_Status="REALIZADO"),0),0)),""))</f>
        <v/>
      </c>
      <c r="M507" s="34" t="n">
        <f aca="false">IF($A507="",0,COUNTIFS(L_ParcID,$A507,L_Status,"REALIZADO"))</f>
        <v>0</v>
      </c>
      <c r="N507" s="34" t="n">
        <f aca="false">IF($A507="",0,COUNTIFS(L_ParcID,$A507,L_Status,"PROJETADO"))</f>
        <v>0</v>
      </c>
      <c r="O507" s="35" t="str">
        <f aca="false">IF($A507="","",IF($J507="SIM","PAGA",IF($M507&gt;0,"PAGA",IF($D507&lt;CFG_HOJE,"ATRASADA",IF($D507&lt;=EOMONTH(CFG_HOJE,0),"ABERTA","PROJETADA")))))</f>
        <v/>
      </c>
      <c r="P507" s="34" t="n">
        <f aca="false">IF($O507="ATRASADA",CFG_HOJE-$D507,0)</f>
        <v>0</v>
      </c>
      <c r="Q507" s="36" t="n">
        <f aca="false">IF($A507="",0,IF(AND($O507="PAGA",$J507="NAO"),$K507-$E507,0))</f>
        <v>0</v>
      </c>
    </row>
    <row r="508" customFormat="false" ht="15" hidden="false" customHeight="false" outlineLevel="0" collapsed="false">
      <c r="A508" s="30" t="str">
        <f aca="false">IF($B508="","","PAR-"&amp;TEXT(ROW()-4,"000000"))</f>
        <v/>
      </c>
      <c r="B508" s="32"/>
      <c r="C508" s="37"/>
      <c r="D508" s="31"/>
      <c r="E508" s="33"/>
      <c r="F508" s="32"/>
      <c r="G508" s="35" t="str">
        <f aca="false">IF($B508="","",IFERROR(INDEX(CM_NOME,MATCH($B508,CM_ID,0)),"?"))</f>
        <v/>
      </c>
      <c r="H508" s="34" t="str">
        <f aca="false">IF($B508="","",IFERROR(INDEX(CM_QTD,MATCH($B508,CM_ID,0)),""))</f>
        <v/>
      </c>
      <c r="I508" s="35" t="str">
        <f aca="false">IF($A508="","",$C508&amp;"/"&amp;$H508)</f>
        <v/>
      </c>
      <c r="J508" s="35" t="str">
        <f aca="false">IF($A508="","",IF($C508&lt;=IFERROR(INDEX(CM_PAGASANTES,MATCH($B508,CM_ID,0)),0),"SIM","NAO"))</f>
        <v/>
      </c>
      <c r="K508" s="36" t="n">
        <f aca="false">IF($A508="",0,SUMIFS(L_Valor,L_ParcID,$A508,L_Status,"REALIZADO"))</f>
        <v>0</v>
      </c>
      <c r="L508" s="38" t="str">
        <f aca="false">IF($A508="","",IFERROR(INDEX(L_Data,MATCH(1,INDEX((L_ParcID=$A508)*(L_Status="REALIZADO"),0),0)),""))</f>
        <v/>
      </c>
      <c r="M508" s="34" t="n">
        <f aca="false">IF($A508="",0,COUNTIFS(L_ParcID,$A508,L_Status,"REALIZADO"))</f>
        <v>0</v>
      </c>
      <c r="N508" s="34" t="n">
        <f aca="false">IF($A508="",0,COUNTIFS(L_ParcID,$A508,L_Status,"PROJETADO"))</f>
        <v>0</v>
      </c>
      <c r="O508" s="35" t="str">
        <f aca="false">IF($A508="","",IF($J508="SIM","PAGA",IF($M508&gt;0,"PAGA",IF($D508&lt;CFG_HOJE,"ATRASADA",IF($D508&lt;=EOMONTH(CFG_HOJE,0),"ABERTA","PROJETADA")))))</f>
        <v/>
      </c>
      <c r="P508" s="34" t="n">
        <f aca="false">IF($O508="ATRASADA",CFG_HOJE-$D508,0)</f>
        <v>0</v>
      </c>
      <c r="Q508" s="36" t="n">
        <f aca="false">IF($A508="",0,IF(AND($O508="PAGA",$J508="NAO"),$K508-$E508,0))</f>
        <v>0</v>
      </c>
    </row>
    <row r="509" customFormat="false" ht="15" hidden="false" customHeight="false" outlineLevel="0" collapsed="false">
      <c r="A509" s="30" t="str">
        <f aca="false">IF($B509="","","PAR-"&amp;TEXT(ROW()-4,"000000"))</f>
        <v/>
      </c>
      <c r="B509" s="32"/>
      <c r="C509" s="37"/>
      <c r="D509" s="31"/>
      <c r="E509" s="33"/>
      <c r="F509" s="32"/>
      <c r="G509" s="35" t="str">
        <f aca="false">IF($B509="","",IFERROR(INDEX(CM_NOME,MATCH($B509,CM_ID,0)),"?"))</f>
        <v/>
      </c>
      <c r="H509" s="34" t="str">
        <f aca="false">IF($B509="","",IFERROR(INDEX(CM_QTD,MATCH($B509,CM_ID,0)),""))</f>
        <v/>
      </c>
      <c r="I509" s="35" t="str">
        <f aca="false">IF($A509="","",$C509&amp;"/"&amp;$H509)</f>
        <v/>
      </c>
      <c r="J509" s="35" t="str">
        <f aca="false">IF($A509="","",IF($C509&lt;=IFERROR(INDEX(CM_PAGASANTES,MATCH($B509,CM_ID,0)),0),"SIM","NAO"))</f>
        <v/>
      </c>
      <c r="K509" s="36" t="n">
        <f aca="false">IF($A509="",0,SUMIFS(L_Valor,L_ParcID,$A509,L_Status,"REALIZADO"))</f>
        <v>0</v>
      </c>
      <c r="L509" s="38" t="str">
        <f aca="false">IF($A509="","",IFERROR(INDEX(L_Data,MATCH(1,INDEX((L_ParcID=$A509)*(L_Status="REALIZADO"),0),0)),""))</f>
        <v/>
      </c>
      <c r="M509" s="34" t="n">
        <f aca="false">IF($A509="",0,COUNTIFS(L_ParcID,$A509,L_Status,"REALIZADO"))</f>
        <v>0</v>
      </c>
      <c r="N509" s="34" t="n">
        <f aca="false">IF($A509="",0,COUNTIFS(L_ParcID,$A509,L_Status,"PROJETADO"))</f>
        <v>0</v>
      </c>
      <c r="O509" s="35" t="str">
        <f aca="false">IF($A509="","",IF($J509="SIM","PAGA",IF($M509&gt;0,"PAGA",IF($D509&lt;CFG_HOJE,"ATRASADA",IF($D509&lt;=EOMONTH(CFG_HOJE,0),"ABERTA","PROJETADA")))))</f>
        <v/>
      </c>
      <c r="P509" s="34" t="n">
        <f aca="false">IF($O509="ATRASADA",CFG_HOJE-$D509,0)</f>
        <v>0</v>
      </c>
      <c r="Q509" s="36" t="n">
        <f aca="false">IF($A509="",0,IF(AND($O509="PAGA",$J509="NAO"),$K509-$E509,0))</f>
        <v>0</v>
      </c>
    </row>
    <row r="510" customFormat="false" ht="15" hidden="false" customHeight="false" outlineLevel="0" collapsed="false">
      <c r="A510" s="30" t="str">
        <f aca="false">IF($B510="","","PAR-"&amp;TEXT(ROW()-4,"000000"))</f>
        <v/>
      </c>
      <c r="B510" s="32"/>
      <c r="C510" s="37"/>
      <c r="D510" s="31"/>
      <c r="E510" s="33"/>
      <c r="F510" s="32"/>
      <c r="G510" s="35" t="str">
        <f aca="false">IF($B510="","",IFERROR(INDEX(CM_NOME,MATCH($B510,CM_ID,0)),"?"))</f>
        <v/>
      </c>
      <c r="H510" s="34" t="str">
        <f aca="false">IF($B510="","",IFERROR(INDEX(CM_QTD,MATCH($B510,CM_ID,0)),""))</f>
        <v/>
      </c>
      <c r="I510" s="35" t="str">
        <f aca="false">IF($A510="","",$C510&amp;"/"&amp;$H510)</f>
        <v/>
      </c>
      <c r="J510" s="35" t="str">
        <f aca="false">IF($A510="","",IF($C510&lt;=IFERROR(INDEX(CM_PAGASANTES,MATCH($B510,CM_ID,0)),0),"SIM","NAO"))</f>
        <v/>
      </c>
      <c r="K510" s="36" t="n">
        <f aca="false">IF($A510="",0,SUMIFS(L_Valor,L_ParcID,$A510,L_Status,"REALIZADO"))</f>
        <v>0</v>
      </c>
      <c r="L510" s="38" t="str">
        <f aca="false">IF($A510="","",IFERROR(INDEX(L_Data,MATCH(1,INDEX((L_ParcID=$A510)*(L_Status="REALIZADO"),0),0)),""))</f>
        <v/>
      </c>
      <c r="M510" s="34" t="n">
        <f aca="false">IF($A510="",0,COUNTIFS(L_ParcID,$A510,L_Status,"REALIZADO"))</f>
        <v>0</v>
      </c>
      <c r="N510" s="34" t="n">
        <f aca="false">IF($A510="",0,COUNTIFS(L_ParcID,$A510,L_Status,"PROJETADO"))</f>
        <v>0</v>
      </c>
      <c r="O510" s="35" t="str">
        <f aca="false">IF($A510="","",IF($J510="SIM","PAGA",IF($M510&gt;0,"PAGA",IF($D510&lt;CFG_HOJE,"ATRASADA",IF($D510&lt;=EOMONTH(CFG_HOJE,0),"ABERTA","PROJETADA")))))</f>
        <v/>
      </c>
      <c r="P510" s="34" t="n">
        <f aca="false">IF($O510="ATRASADA",CFG_HOJE-$D510,0)</f>
        <v>0</v>
      </c>
      <c r="Q510" s="36" t="n">
        <f aca="false">IF($A510="",0,IF(AND($O510="PAGA",$J510="NAO"),$K510-$E510,0))</f>
        <v>0</v>
      </c>
    </row>
    <row r="511" customFormat="false" ht="15" hidden="false" customHeight="false" outlineLevel="0" collapsed="false">
      <c r="A511" s="30" t="str">
        <f aca="false">IF($B511="","","PAR-"&amp;TEXT(ROW()-4,"000000"))</f>
        <v/>
      </c>
      <c r="B511" s="32"/>
      <c r="C511" s="37"/>
      <c r="D511" s="31"/>
      <c r="E511" s="33"/>
      <c r="F511" s="32"/>
      <c r="G511" s="35" t="str">
        <f aca="false">IF($B511="","",IFERROR(INDEX(CM_NOME,MATCH($B511,CM_ID,0)),"?"))</f>
        <v/>
      </c>
      <c r="H511" s="34" t="str">
        <f aca="false">IF($B511="","",IFERROR(INDEX(CM_QTD,MATCH($B511,CM_ID,0)),""))</f>
        <v/>
      </c>
      <c r="I511" s="35" t="str">
        <f aca="false">IF($A511="","",$C511&amp;"/"&amp;$H511)</f>
        <v/>
      </c>
      <c r="J511" s="35" t="str">
        <f aca="false">IF($A511="","",IF($C511&lt;=IFERROR(INDEX(CM_PAGASANTES,MATCH($B511,CM_ID,0)),0),"SIM","NAO"))</f>
        <v/>
      </c>
      <c r="K511" s="36" t="n">
        <f aca="false">IF($A511="",0,SUMIFS(L_Valor,L_ParcID,$A511,L_Status,"REALIZADO"))</f>
        <v>0</v>
      </c>
      <c r="L511" s="38" t="str">
        <f aca="false">IF($A511="","",IFERROR(INDEX(L_Data,MATCH(1,INDEX((L_ParcID=$A511)*(L_Status="REALIZADO"),0),0)),""))</f>
        <v/>
      </c>
      <c r="M511" s="34" t="n">
        <f aca="false">IF($A511="",0,COUNTIFS(L_ParcID,$A511,L_Status,"REALIZADO"))</f>
        <v>0</v>
      </c>
      <c r="N511" s="34" t="n">
        <f aca="false">IF($A511="",0,COUNTIFS(L_ParcID,$A511,L_Status,"PROJETADO"))</f>
        <v>0</v>
      </c>
      <c r="O511" s="35" t="str">
        <f aca="false">IF($A511="","",IF($J511="SIM","PAGA",IF($M511&gt;0,"PAGA",IF($D511&lt;CFG_HOJE,"ATRASADA",IF($D511&lt;=EOMONTH(CFG_HOJE,0),"ABERTA","PROJETADA")))))</f>
        <v/>
      </c>
      <c r="P511" s="34" t="n">
        <f aca="false">IF($O511="ATRASADA",CFG_HOJE-$D511,0)</f>
        <v>0</v>
      </c>
      <c r="Q511" s="36" t="n">
        <f aca="false">IF($A511="",0,IF(AND($O511="PAGA",$J511="NAO"),$K511-$E511,0))</f>
        <v>0</v>
      </c>
    </row>
    <row r="512" customFormat="false" ht="15" hidden="false" customHeight="false" outlineLevel="0" collapsed="false">
      <c r="A512" s="30" t="str">
        <f aca="false">IF($B512="","","PAR-"&amp;TEXT(ROW()-4,"000000"))</f>
        <v/>
      </c>
      <c r="B512" s="32"/>
      <c r="C512" s="37"/>
      <c r="D512" s="31"/>
      <c r="E512" s="33"/>
      <c r="F512" s="32"/>
      <c r="G512" s="35" t="str">
        <f aca="false">IF($B512="","",IFERROR(INDEX(CM_NOME,MATCH($B512,CM_ID,0)),"?"))</f>
        <v/>
      </c>
      <c r="H512" s="34" t="str">
        <f aca="false">IF($B512="","",IFERROR(INDEX(CM_QTD,MATCH($B512,CM_ID,0)),""))</f>
        <v/>
      </c>
      <c r="I512" s="35" t="str">
        <f aca="false">IF($A512="","",$C512&amp;"/"&amp;$H512)</f>
        <v/>
      </c>
      <c r="J512" s="35" t="str">
        <f aca="false">IF($A512="","",IF($C512&lt;=IFERROR(INDEX(CM_PAGASANTES,MATCH($B512,CM_ID,0)),0),"SIM","NAO"))</f>
        <v/>
      </c>
      <c r="K512" s="36" t="n">
        <f aca="false">IF($A512="",0,SUMIFS(L_Valor,L_ParcID,$A512,L_Status,"REALIZADO"))</f>
        <v>0</v>
      </c>
      <c r="L512" s="38" t="str">
        <f aca="false">IF($A512="","",IFERROR(INDEX(L_Data,MATCH(1,INDEX((L_ParcID=$A512)*(L_Status="REALIZADO"),0),0)),""))</f>
        <v/>
      </c>
      <c r="M512" s="34" t="n">
        <f aca="false">IF($A512="",0,COUNTIFS(L_ParcID,$A512,L_Status,"REALIZADO"))</f>
        <v>0</v>
      </c>
      <c r="N512" s="34" t="n">
        <f aca="false">IF($A512="",0,COUNTIFS(L_ParcID,$A512,L_Status,"PROJETADO"))</f>
        <v>0</v>
      </c>
      <c r="O512" s="35" t="str">
        <f aca="false">IF($A512="","",IF($J512="SIM","PAGA",IF($M512&gt;0,"PAGA",IF($D512&lt;CFG_HOJE,"ATRASADA",IF($D512&lt;=EOMONTH(CFG_HOJE,0),"ABERTA","PROJETADA")))))</f>
        <v/>
      </c>
      <c r="P512" s="34" t="n">
        <f aca="false">IF($O512="ATRASADA",CFG_HOJE-$D512,0)</f>
        <v>0</v>
      </c>
      <c r="Q512" s="36" t="n">
        <f aca="false">IF($A512="",0,IF(AND($O512="PAGA",$J512="NAO"),$K512-$E512,0))</f>
        <v>0</v>
      </c>
    </row>
    <row r="513" customFormat="false" ht="15" hidden="false" customHeight="false" outlineLevel="0" collapsed="false">
      <c r="A513" s="30" t="str">
        <f aca="false">IF($B513="","","PAR-"&amp;TEXT(ROW()-4,"000000"))</f>
        <v/>
      </c>
      <c r="B513" s="32"/>
      <c r="C513" s="37"/>
      <c r="D513" s="31"/>
      <c r="E513" s="33"/>
      <c r="F513" s="32"/>
      <c r="G513" s="35" t="str">
        <f aca="false">IF($B513="","",IFERROR(INDEX(CM_NOME,MATCH($B513,CM_ID,0)),"?"))</f>
        <v/>
      </c>
      <c r="H513" s="34" t="str">
        <f aca="false">IF($B513="","",IFERROR(INDEX(CM_QTD,MATCH($B513,CM_ID,0)),""))</f>
        <v/>
      </c>
      <c r="I513" s="35" t="str">
        <f aca="false">IF($A513="","",$C513&amp;"/"&amp;$H513)</f>
        <v/>
      </c>
      <c r="J513" s="35" t="str">
        <f aca="false">IF($A513="","",IF($C513&lt;=IFERROR(INDEX(CM_PAGASANTES,MATCH($B513,CM_ID,0)),0),"SIM","NAO"))</f>
        <v/>
      </c>
      <c r="K513" s="36" t="n">
        <f aca="false">IF($A513="",0,SUMIFS(L_Valor,L_ParcID,$A513,L_Status,"REALIZADO"))</f>
        <v>0</v>
      </c>
      <c r="L513" s="38" t="str">
        <f aca="false">IF($A513="","",IFERROR(INDEX(L_Data,MATCH(1,INDEX((L_ParcID=$A513)*(L_Status="REALIZADO"),0),0)),""))</f>
        <v/>
      </c>
      <c r="M513" s="34" t="n">
        <f aca="false">IF($A513="",0,COUNTIFS(L_ParcID,$A513,L_Status,"REALIZADO"))</f>
        <v>0</v>
      </c>
      <c r="N513" s="34" t="n">
        <f aca="false">IF($A513="",0,COUNTIFS(L_ParcID,$A513,L_Status,"PROJETADO"))</f>
        <v>0</v>
      </c>
      <c r="O513" s="35" t="str">
        <f aca="false">IF($A513="","",IF($J513="SIM","PAGA",IF($M513&gt;0,"PAGA",IF($D513&lt;CFG_HOJE,"ATRASADA",IF($D513&lt;=EOMONTH(CFG_HOJE,0),"ABERTA","PROJETADA")))))</f>
        <v/>
      </c>
      <c r="P513" s="34" t="n">
        <f aca="false">IF($O513="ATRASADA",CFG_HOJE-$D513,0)</f>
        <v>0</v>
      </c>
      <c r="Q513" s="36" t="n">
        <f aca="false">IF($A513="",0,IF(AND($O513="PAGA",$J513="NAO"),$K513-$E513,0))</f>
        <v>0</v>
      </c>
    </row>
    <row r="514" customFormat="false" ht="15" hidden="false" customHeight="false" outlineLevel="0" collapsed="false">
      <c r="A514" s="30" t="str">
        <f aca="false">IF($B514="","","PAR-"&amp;TEXT(ROW()-4,"000000"))</f>
        <v/>
      </c>
      <c r="B514" s="32"/>
      <c r="C514" s="37"/>
      <c r="D514" s="31"/>
      <c r="E514" s="33"/>
      <c r="F514" s="32"/>
      <c r="G514" s="35" t="str">
        <f aca="false">IF($B514="","",IFERROR(INDEX(CM_NOME,MATCH($B514,CM_ID,0)),"?"))</f>
        <v/>
      </c>
      <c r="H514" s="34" t="str">
        <f aca="false">IF($B514="","",IFERROR(INDEX(CM_QTD,MATCH($B514,CM_ID,0)),""))</f>
        <v/>
      </c>
      <c r="I514" s="35" t="str">
        <f aca="false">IF($A514="","",$C514&amp;"/"&amp;$H514)</f>
        <v/>
      </c>
      <c r="J514" s="35" t="str">
        <f aca="false">IF($A514="","",IF($C514&lt;=IFERROR(INDEX(CM_PAGASANTES,MATCH($B514,CM_ID,0)),0),"SIM","NAO"))</f>
        <v/>
      </c>
      <c r="K514" s="36" t="n">
        <f aca="false">IF($A514="",0,SUMIFS(L_Valor,L_ParcID,$A514,L_Status,"REALIZADO"))</f>
        <v>0</v>
      </c>
      <c r="L514" s="38" t="str">
        <f aca="false">IF($A514="","",IFERROR(INDEX(L_Data,MATCH(1,INDEX((L_ParcID=$A514)*(L_Status="REALIZADO"),0),0)),""))</f>
        <v/>
      </c>
      <c r="M514" s="34" t="n">
        <f aca="false">IF($A514="",0,COUNTIFS(L_ParcID,$A514,L_Status,"REALIZADO"))</f>
        <v>0</v>
      </c>
      <c r="N514" s="34" t="n">
        <f aca="false">IF($A514="",0,COUNTIFS(L_ParcID,$A514,L_Status,"PROJETADO"))</f>
        <v>0</v>
      </c>
      <c r="O514" s="35" t="str">
        <f aca="false">IF($A514="","",IF($J514="SIM","PAGA",IF($M514&gt;0,"PAGA",IF($D514&lt;CFG_HOJE,"ATRASADA",IF($D514&lt;=EOMONTH(CFG_HOJE,0),"ABERTA","PROJETADA")))))</f>
        <v/>
      </c>
      <c r="P514" s="34" t="n">
        <f aca="false">IF($O514="ATRASADA",CFG_HOJE-$D514,0)</f>
        <v>0</v>
      </c>
      <c r="Q514" s="36" t="n">
        <f aca="false">IF($A514="",0,IF(AND($O514="PAGA",$J514="NAO"),$K514-$E514,0))</f>
        <v>0</v>
      </c>
    </row>
    <row r="515" customFormat="false" ht="15" hidden="false" customHeight="false" outlineLevel="0" collapsed="false">
      <c r="A515" s="30" t="str">
        <f aca="false">IF($B515="","","PAR-"&amp;TEXT(ROW()-4,"000000"))</f>
        <v/>
      </c>
      <c r="B515" s="32"/>
      <c r="C515" s="37"/>
      <c r="D515" s="31"/>
      <c r="E515" s="33"/>
      <c r="F515" s="32"/>
      <c r="G515" s="35" t="str">
        <f aca="false">IF($B515="","",IFERROR(INDEX(CM_NOME,MATCH($B515,CM_ID,0)),"?"))</f>
        <v/>
      </c>
      <c r="H515" s="34" t="str">
        <f aca="false">IF($B515="","",IFERROR(INDEX(CM_QTD,MATCH($B515,CM_ID,0)),""))</f>
        <v/>
      </c>
      <c r="I515" s="35" t="str">
        <f aca="false">IF($A515="","",$C515&amp;"/"&amp;$H515)</f>
        <v/>
      </c>
      <c r="J515" s="35" t="str">
        <f aca="false">IF($A515="","",IF($C515&lt;=IFERROR(INDEX(CM_PAGASANTES,MATCH($B515,CM_ID,0)),0),"SIM","NAO"))</f>
        <v/>
      </c>
      <c r="K515" s="36" t="n">
        <f aca="false">IF($A515="",0,SUMIFS(L_Valor,L_ParcID,$A515,L_Status,"REALIZADO"))</f>
        <v>0</v>
      </c>
      <c r="L515" s="38" t="str">
        <f aca="false">IF($A515="","",IFERROR(INDEX(L_Data,MATCH(1,INDEX((L_ParcID=$A515)*(L_Status="REALIZADO"),0),0)),""))</f>
        <v/>
      </c>
      <c r="M515" s="34" t="n">
        <f aca="false">IF($A515="",0,COUNTIFS(L_ParcID,$A515,L_Status,"REALIZADO"))</f>
        <v>0</v>
      </c>
      <c r="N515" s="34" t="n">
        <f aca="false">IF($A515="",0,COUNTIFS(L_ParcID,$A515,L_Status,"PROJETADO"))</f>
        <v>0</v>
      </c>
      <c r="O515" s="35" t="str">
        <f aca="false">IF($A515="","",IF($J515="SIM","PAGA",IF($M515&gt;0,"PAGA",IF($D515&lt;CFG_HOJE,"ATRASADA",IF($D515&lt;=EOMONTH(CFG_HOJE,0),"ABERTA","PROJETADA")))))</f>
        <v/>
      </c>
      <c r="P515" s="34" t="n">
        <f aca="false">IF($O515="ATRASADA",CFG_HOJE-$D515,0)</f>
        <v>0</v>
      </c>
      <c r="Q515" s="36" t="n">
        <f aca="false">IF($A515="",0,IF(AND($O515="PAGA",$J515="NAO"),$K515-$E515,0))</f>
        <v>0</v>
      </c>
    </row>
    <row r="516" customFormat="false" ht="15" hidden="false" customHeight="false" outlineLevel="0" collapsed="false">
      <c r="A516" s="30" t="str">
        <f aca="false">IF($B516="","","PAR-"&amp;TEXT(ROW()-4,"000000"))</f>
        <v/>
      </c>
      <c r="B516" s="32"/>
      <c r="C516" s="37"/>
      <c r="D516" s="31"/>
      <c r="E516" s="33"/>
      <c r="F516" s="32"/>
      <c r="G516" s="35" t="str">
        <f aca="false">IF($B516="","",IFERROR(INDEX(CM_NOME,MATCH($B516,CM_ID,0)),"?"))</f>
        <v/>
      </c>
      <c r="H516" s="34" t="str">
        <f aca="false">IF($B516="","",IFERROR(INDEX(CM_QTD,MATCH($B516,CM_ID,0)),""))</f>
        <v/>
      </c>
      <c r="I516" s="35" t="str">
        <f aca="false">IF($A516="","",$C516&amp;"/"&amp;$H516)</f>
        <v/>
      </c>
      <c r="J516" s="35" t="str">
        <f aca="false">IF($A516="","",IF($C516&lt;=IFERROR(INDEX(CM_PAGASANTES,MATCH($B516,CM_ID,0)),0),"SIM","NAO"))</f>
        <v/>
      </c>
      <c r="K516" s="36" t="n">
        <f aca="false">IF($A516="",0,SUMIFS(L_Valor,L_ParcID,$A516,L_Status,"REALIZADO"))</f>
        <v>0</v>
      </c>
      <c r="L516" s="38" t="str">
        <f aca="false">IF($A516="","",IFERROR(INDEX(L_Data,MATCH(1,INDEX((L_ParcID=$A516)*(L_Status="REALIZADO"),0),0)),""))</f>
        <v/>
      </c>
      <c r="M516" s="34" t="n">
        <f aca="false">IF($A516="",0,COUNTIFS(L_ParcID,$A516,L_Status,"REALIZADO"))</f>
        <v>0</v>
      </c>
      <c r="N516" s="34" t="n">
        <f aca="false">IF($A516="",0,COUNTIFS(L_ParcID,$A516,L_Status,"PROJETADO"))</f>
        <v>0</v>
      </c>
      <c r="O516" s="35" t="str">
        <f aca="false">IF($A516="","",IF($J516="SIM","PAGA",IF($M516&gt;0,"PAGA",IF($D516&lt;CFG_HOJE,"ATRASADA",IF($D516&lt;=EOMONTH(CFG_HOJE,0),"ABERTA","PROJETADA")))))</f>
        <v/>
      </c>
      <c r="P516" s="34" t="n">
        <f aca="false">IF($O516="ATRASADA",CFG_HOJE-$D516,0)</f>
        <v>0</v>
      </c>
      <c r="Q516" s="36" t="n">
        <f aca="false">IF($A516="",0,IF(AND($O516="PAGA",$J516="NAO"),$K516-$E516,0))</f>
        <v>0</v>
      </c>
    </row>
    <row r="517" customFormat="false" ht="15" hidden="false" customHeight="false" outlineLevel="0" collapsed="false">
      <c r="A517" s="30" t="str">
        <f aca="false">IF($B517="","","PAR-"&amp;TEXT(ROW()-4,"000000"))</f>
        <v/>
      </c>
      <c r="B517" s="32"/>
      <c r="C517" s="37"/>
      <c r="D517" s="31"/>
      <c r="E517" s="33"/>
      <c r="F517" s="32"/>
      <c r="G517" s="35" t="str">
        <f aca="false">IF($B517="","",IFERROR(INDEX(CM_NOME,MATCH($B517,CM_ID,0)),"?"))</f>
        <v/>
      </c>
      <c r="H517" s="34" t="str">
        <f aca="false">IF($B517="","",IFERROR(INDEX(CM_QTD,MATCH($B517,CM_ID,0)),""))</f>
        <v/>
      </c>
      <c r="I517" s="35" t="str">
        <f aca="false">IF($A517="","",$C517&amp;"/"&amp;$H517)</f>
        <v/>
      </c>
      <c r="J517" s="35" t="str">
        <f aca="false">IF($A517="","",IF($C517&lt;=IFERROR(INDEX(CM_PAGASANTES,MATCH($B517,CM_ID,0)),0),"SIM","NAO"))</f>
        <v/>
      </c>
      <c r="K517" s="36" t="n">
        <f aca="false">IF($A517="",0,SUMIFS(L_Valor,L_ParcID,$A517,L_Status,"REALIZADO"))</f>
        <v>0</v>
      </c>
      <c r="L517" s="38" t="str">
        <f aca="false">IF($A517="","",IFERROR(INDEX(L_Data,MATCH(1,INDEX((L_ParcID=$A517)*(L_Status="REALIZADO"),0),0)),""))</f>
        <v/>
      </c>
      <c r="M517" s="34" t="n">
        <f aca="false">IF($A517="",0,COUNTIFS(L_ParcID,$A517,L_Status,"REALIZADO"))</f>
        <v>0</v>
      </c>
      <c r="N517" s="34" t="n">
        <f aca="false">IF($A517="",0,COUNTIFS(L_ParcID,$A517,L_Status,"PROJETADO"))</f>
        <v>0</v>
      </c>
      <c r="O517" s="35" t="str">
        <f aca="false">IF($A517="","",IF($J517="SIM","PAGA",IF($M517&gt;0,"PAGA",IF($D517&lt;CFG_HOJE,"ATRASADA",IF($D517&lt;=EOMONTH(CFG_HOJE,0),"ABERTA","PROJETADA")))))</f>
        <v/>
      </c>
      <c r="P517" s="34" t="n">
        <f aca="false">IF($O517="ATRASADA",CFG_HOJE-$D517,0)</f>
        <v>0</v>
      </c>
      <c r="Q517" s="36" t="n">
        <f aca="false">IF($A517="",0,IF(AND($O517="PAGA",$J517="NAO"),$K517-$E517,0))</f>
        <v>0</v>
      </c>
    </row>
    <row r="518" customFormat="false" ht="15" hidden="false" customHeight="false" outlineLevel="0" collapsed="false">
      <c r="A518" s="30" t="str">
        <f aca="false">IF($B518="","","PAR-"&amp;TEXT(ROW()-4,"000000"))</f>
        <v/>
      </c>
      <c r="B518" s="32"/>
      <c r="C518" s="37"/>
      <c r="D518" s="31"/>
      <c r="E518" s="33"/>
      <c r="F518" s="32"/>
      <c r="G518" s="35" t="str">
        <f aca="false">IF($B518="","",IFERROR(INDEX(CM_NOME,MATCH($B518,CM_ID,0)),"?"))</f>
        <v/>
      </c>
      <c r="H518" s="34" t="str">
        <f aca="false">IF($B518="","",IFERROR(INDEX(CM_QTD,MATCH($B518,CM_ID,0)),""))</f>
        <v/>
      </c>
      <c r="I518" s="35" t="str">
        <f aca="false">IF($A518="","",$C518&amp;"/"&amp;$H518)</f>
        <v/>
      </c>
      <c r="J518" s="35" t="str">
        <f aca="false">IF($A518="","",IF($C518&lt;=IFERROR(INDEX(CM_PAGASANTES,MATCH($B518,CM_ID,0)),0),"SIM","NAO"))</f>
        <v/>
      </c>
      <c r="K518" s="36" t="n">
        <f aca="false">IF($A518="",0,SUMIFS(L_Valor,L_ParcID,$A518,L_Status,"REALIZADO"))</f>
        <v>0</v>
      </c>
      <c r="L518" s="38" t="str">
        <f aca="false">IF($A518="","",IFERROR(INDEX(L_Data,MATCH(1,INDEX((L_ParcID=$A518)*(L_Status="REALIZADO"),0),0)),""))</f>
        <v/>
      </c>
      <c r="M518" s="34" t="n">
        <f aca="false">IF($A518="",0,COUNTIFS(L_ParcID,$A518,L_Status,"REALIZADO"))</f>
        <v>0</v>
      </c>
      <c r="N518" s="34" t="n">
        <f aca="false">IF($A518="",0,COUNTIFS(L_ParcID,$A518,L_Status,"PROJETADO"))</f>
        <v>0</v>
      </c>
      <c r="O518" s="35" t="str">
        <f aca="false">IF($A518="","",IF($J518="SIM","PAGA",IF($M518&gt;0,"PAGA",IF($D518&lt;CFG_HOJE,"ATRASADA",IF($D518&lt;=EOMONTH(CFG_HOJE,0),"ABERTA","PROJETADA")))))</f>
        <v/>
      </c>
      <c r="P518" s="34" t="n">
        <f aca="false">IF($O518="ATRASADA",CFG_HOJE-$D518,0)</f>
        <v>0</v>
      </c>
      <c r="Q518" s="36" t="n">
        <f aca="false">IF($A518="",0,IF(AND($O518="PAGA",$J518="NAO"),$K518-$E518,0))</f>
        <v>0</v>
      </c>
    </row>
    <row r="519" customFormat="false" ht="15" hidden="false" customHeight="false" outlineLevel="0" collapsed="false">
      <c r="A519" s="30" t="str">
        <f aca="false">IF($B519="","","PAR-"&amp;TEXT(ROW()-4,"000000"))</f>
        <v/>
      </c>
      <c r="B519" s="32"/>
      <c r="C519" s="37"/>
      <c r="D519" s="31"/>
      <c r="E519" s="33"/>
      <c r="F519" s="32"/>
      <c r="G519" s="35" t="str">
        <f aca="false">IF($B519="","",IFERROR(INDEX(CM_NOME,MATCH($B519,CM_ID,0)),"?"))</f>
        <v/>
      </c>
      <c r="H519" s="34" t="str">
        <f aca="false">IF($B519="","",IFERROR(INDEX(CM_QTD,MATCH($B519,CM_ID,0)),""))</f>
        <v/>
      </c>
      <c r="I519" s="35" t="str">
        <f aca="false">IF($A519="","",$C519&amp;"/"&amp;$H519)</f>
        <v/>
      </c>
      <c r="J519" s="35" t="str">
        <f aca="false">IF($A519="","",IF($C519&lt;=IFERROR(INDEX(CM_PAGASANTES,MATCH($B519,CM_ID,0)),0),"SIM","NAO"))</f>
        <v/>
      </c>
      <c r="K519" s="36" t="n">
        <f aca="false">IF($A519="",0,SUMIFS(L_Valor,L_ParcID,$A519,L_Status,"REALIZADO"))</f>
        <v>0</v>
      </c>
      <c r="L519" s="38" t="str">
        <f aca="false">IF($A519="","",IFERROR(INDEX(L_Data,MATCH(1,INDEX((L_ParcID=$A519)*(L_Status="REALIZADO"),0),0)),""))</f>
        <v/>
      </c>
      <c r="M519" s="34" t="n">
        <f aca="false">IF($A519="",0,COUNTIFS(L_ParcID,$A519,L_Status,"REALIZADO"))</f>
        <v>0</v>
      </c>
      <c r="N519" s="34" t="n">
        <f aca="false">IF($A519="",0,COUNTIFS(L_ParcID,$A519,L_Status,"PROJETADO"))</f>
        <v>0</v>
      </c>
      <c r="O519" s="35" t="str">
        <f aca="false">IF($A519="","",IF($J519="SIM","PAGA",IF($M519&gt;0,"PAGA",IF($D519&lt;CFG_HOJE,"ATRASADA",IF($D519&lt;=EOMONTH(CFG_HOJE,0),"ABERTA","PROJETADA")))))</f>
        <v/>
      </c>
      <c r="P519" s="34" t="n">
        <f aca="false">IF($O519="ATRASADA",CFG_HOJE-$D519,0)</f>
        <v>0</v>
      </c>
      <c r="Q519" s="36" t="n">
        <f aca="false">IF($A519="",0,IF(AND($O519="PAGA",$J519="NAO"),$K519-$E519,0))</f>
        <v>0</v>
      </c>
    </row>
    <row r="520" customFormat="false" ht="15" hidden="false" customHeight="false" outlineLevel="0" collapsed="false">
      <c r="A520" s="30" t="str">
        <f aca="false">IF($B520="","","PAR-"&amp;TEXT(ROW()-4,"000000"))</f>
        <v/>
      </c>
      <c r="B520" s="32"/>
      <c r="C520" s="37"/>
      <c r="D520" s="31"/>
      <c r="E520" s="33"/>
      <c r="F520" s="32"/>
      <c r="G520" s="35" t="str">
        <f aca="false">IF($B520="","",IFERROR(INDEX(CM_NOME,MATCH($B520,CM_ID,0)),"?"))</f>
        <v/>
      </c>
      <c r="H520" s="34" t="str">
        <f aca="false">IF($B520="","",IFERROR(INDEX(CM_QTD,MATCH($B520,CM_ID,0)),""))</f>
        <v/>
      </c>
      <c r="I520" s="35" t="str">
        <f aca="false">IF($A520="","",$C520&amp;"/"&amp;$H520)</f>
        <v/>
      </c>
      <c r="J520" s="35" t="str">
        <f aca="false">IF($A520="","",IF($C520&lt;=IFERROR(INDEX(CM_PAGASANTES,MATCH($B520,CM_ID,0)),0),"SIM","NAO"))</f>
        <v/>
      </c>
      <c r="K520" s="36" t="n">
        <f aca="false">IF($A520="",0,SUMIFS(L_Valor,L_ParcID,$A520,L_Status,"REALIZADO"))</f>
        <v>0</v>
      </c>
      <c r="L520" s="38" t="str">
        <f aca="false">IF($A520="","",IFERROR(INDEX(L_Data,MATCH(1,INDEX((L_ParcID=$A520)*(L_Status="REALIZADO"),0),0)),""))</f>
        <v/>
      </c>
      <c r="M520" s="34" t="n">
        <f aca="false">IF($A520="",0,COUNTIFS(L_ParcID,$A520,L_Status,"REALIZADO"))</f>
        <v>0</v>
      </c>
      <c r="N520" s="34" t="n">
        <f aca="false">IF($A520="",0,COUNTIFS(L_ParcID,$A520,L_Status,"PROJETADO"))</f>
        <v>0</v>
      </c>
      <c r="O520" s="35" t="str">
        <f aca="false">IF($A520="","",IF($J520="SIM","PAGA",IF($M520&gt;0,"PAGA",IF($D520&lt;CFG_HOJE,"ATRASADA",IF($D520&lt;=EOMONTH(CFG_HOJE,0),"ABERTA","PROJETADA")))))</f>
        <v/>
      </c>
      <c r="P520" s="34" t="n">
        <f aca="false">IF($O520="ATRASADA",CFG_HOJE-$D520,0)</f>
        <v>0</v>
      </c>
      <c r="Q520" s="36" t="n">
        <f aca="false">IF($A520="",0,IF(AND($O520="PAGA",$J520="NAO"),$K520-$E520,0))</f>
        <v>0</v>
      </c>
    </row>
    <row r="521" customFormat="false" ht="15" hidden="false" customHeight="false" outlineLevel="0" collapsed="false">
      <c r="A521" s="30" t="str">
        <f aca="false">IF($B521="","","PAR-"&amp;TEXT(ROW()-4,"000000"))</f>
        <v/>
      </c>
      <c r="B521" s="32"/>
      <c r="C521" s="37"/>
      <c r="D521" s="31"/>
      <c r="E521" s="33"/>
      <c r="F521" s="32"/>
      <c r="G521" s="35" t="str">
        <f aca="false">IF($B521="","",IFERROR(INDEX(CM_NOME,MATCH($B521,CM_ID,0)),"?"))</f>
        <v/>
      </c>
      <c r="H521" s="34" t="str">
        <f aca="false">IF($B521="","",IFERROR(INDEX(CM_QTD,MATCH($B521,CM_ID,0)),""))</f>
        <v/>
      </c>
      <c r="I521" s="35" t="str">
        <f aca="false">IF($A521="","",$C521&amp;"/"&amp;$H521)</f>
        <v/>
      </c>
      <c r="J521" s="35" t="str">
        <f aca="false">IF($A521="","",IF($C521&lt;=IFERROR(INDEX(CM_PAGASANTES,MATCH($B521,CM_ID,0)),0),"SIM","NAO"))</f>
        <v/>
      </c>
      <c r="K521" s="36" t="n">
        <f aca="false">IF($A521="",0,SUMIFS(L_Valor,L_ParcID,$A521,L_Status,"REALIZADO"))</f>
        <v>0</v>
      </c>
      <c r="L521" s="38" t="str">
        <f aca="false">IF($A521="","",IFERROR(INDEX(L_Data,MATCH(1,INDEX((L_ParcID=$A521)*(L_Status="REALIZADO"),0),0)),""))</f>
        <v/>
      </c>
      <c r="M521" s="34" t="n">
        <f aca="false">IF($A521="",0,COUNTIFS(L_ParcID,$A521,L_Status,"REALIZADO"))</f>
        <v>0</v>
      </c>
      <c r="N521" s="34" t="n">
        <f aca="false">IF($A521="",0,COUNTIFS(L_ParcID,$A521,L_Status,"PROJETADO"))</f>
        <v>0</v>
      </c>
      <c r="O521" s="35" t="str">
        <f aca="false">IF($A521="","",IF($J521="SIM","PAGA",IF($M521&gt;0,"PAGA",IF($D521&lt;CFG_HOJE,"ATRASADA",IF($D521&lt;=EOMONTH(CFG_HOJE,0),"ABERTA","PROJETADA")))))</f>
        <v/>
      </c>
      <c r="P521" s="34" t="n">
        <f aca="false">IF($O521="ATRASADA",CFG_HOJE-$D521,0)</f>
        <v>0</v>
      </c>
      <c r="Q521" s="36" t="n">
        <f aca="false">IF($A521="",0,IF(AND($O521="PAGA",$J521="NAO"),$K521-$E521,0))</f>
        <v>0</v>
      </c>
    </row>
    <row r="522" customFormat="false" ht="15" hidden="false" customHeight="false" outlineLevel="0" collapsed="false">
      <c r="A522" s="30" t="str">
        <f aca="false">IF($B522="","","PAR-"&amp;TEXT(ROW()-4,"000000"))</f>
        <v/>
      </c>
      <c r="B522" s="32"/>
      <c r="C522" s="37"/>
      <c r="D522" s="31"/>
      <c r="E522" s="33"/>
      <c r="F522" s="32"/>
      <c r="G522" s="35" t="str">
        <f aca="false">IF($B522="","",IFERROR(INDEX(CM_NOME,MATCH($B522,CM_ID,0)),"?"))</f>
        <v/>
      </c>
      <c r="H522" s="34" t="str">
        <f aca="false">IF($B522="","",IFERROR(INDEX(CM_QTD,MATCH($B522,CM_ID,0)),""))</f>
        <v/>
      </c>
      <c r="I522" s="35" t="str">
        <f aca="false">IF($A522="","",$C522&amp;"/"&amp;$H522)</f>
        <v/>
      </c>
      <c r="J522" s="35" t="str">
        <f aca="false">IF($A522="","",IF($C522&lt;=IFERROR(INDEX(CM_PAGASANTES,MATCH($B522,CM_ID,0)),0),"SIM","NAO"))</f>
        <v/>
      </c>
      <c r="K522" s="36" t="n">
        <f aca="false">IF($A522="",0,SUMIFS(L_Valor,L_ParcID,$A522,L_Status,"REALIZADO"))</f>
        <v>0</v>
      </c>
      <c r="L522" s="38" t="str">
        <f aca="false">IF($A522="","",IFERROR(INDEX(L_Data,MATCH(1,INDEX((L_ParcID=$A522)*(L_Status="REALIZADO"),0),0)),""))</f>
        <v/>
      </c>
      <c r="M522" s="34" t="n">
        <f aca="false">IF($A522="",0,COUNTIFS(L_ParcID,$A522,L_Status,"REALIZADO"))</f>
        <v>0</v>
      </c>
      <c r="N522" s="34" t="n">
        <f aca="false">IF($A522="",0,COUNTIFS(L_ParcID,$A522,L_Status,"PROJETADO"))</f>
        <v>0</v>
      </c>
      <c r="O522" s="35" t="str">
        <f aca="false">IF($A522="","",IF($J522="SIM","PAGA",IF($M522&gt;0,"PAGA",IF($D522&lt;CFG_HOJE,"ATRASADA",IF($D522&lt;=EOMONTH(CFG_HOJE,0),"ABERTA","PROJETADA")))))</f>
        <v/>
      </c>
      <c r="P522" s="34" t="n">
        <f aca="false">IF($O522="ATRASADA",CFG_HOJE-$D522,0)</f>
        <v>0</v>
      </c>
      <c r="Q522" s="36" t="n">
        <f aca="false">IF($A522="",0,IF(AND($O522="PAGA",$J522="NAO"),$K522-$E522,0))</f>
        <v>0</v>
      </c>
    </row>
    <row r="523" customFormat="false" ht="15" hidden="false" customHeight="false" outlineLevel="0" collapsed="false">
      <c r="A523" s="30" t="str">
        <f aca="false">IF($B523="","","PAR-"&amp;TEXT(ROW()-4,"000000"))</f>
        <v/>
      </c>
      <c r="B523" s="32"/>
      <c r="C523" s="37"/>
      <c r="D523" s="31"/>
      <c r="E523" s="33"/>
      <c r="F523" s="32"/>
      <c r="G523" s="35" t="str">
        <f aca="false">IF($B523="","",IFERROR(INDEX(CM_NOME,MATCH($B523,CM_ID,0)),"?"))</f>
        <v/>
      </c>
      <c r="H523" s="34" t="str">
        <f aca="false">IF($B523="","",IFERROR(INDEX(CM_QTD,MATCH($B523,CM_ID,0)),""))</f>
        <v/>
      </c>
      <c r="I523" s="35" t="str">
        <f aca="false">IF($A523="","",$C523&amp;"/"&amp;$H523)</f>
        <v/>
      </c>
      <c r="J523" s="35" t="str">
        <f aca="false">IF($A523="","",IF($C523&lt;=IFERROR(INDEX(CM_PAGASANTES,MATCH($B523,CM_ID,0)),0),"SIM","NAO"))</f>
        <v/>
      </c>
      <c r="K523" s="36" t="n">
        <f aca="false">IF($A523="",0,SUMIFS(L_Valor,L_ParcID,$A523,L_Status,"REALIZADO"))</f>
        <v>0</v>
      </c>
      <c r="L523" s="38" t="str">
        <f aca="false">IF($A523="","",IFERROR(INDEX(L_Data,MATCH(1,INDEX((L_ParcID=$A523)*(L_Status="REALIZADO"),0),0)),""))</f>
        <v/>
      </c>
      <c r="M523" s="34" t="n">
        <f aca="false">IF($A523="",0,COUNTIFS(L_ParcID,$A523,L_Status,"REALIZADO"))</f>
        <v>0</v>
      </c>
      <c r="N523" s="34" t="n">
        <f aca="false">IF($A523="",0,COUNTIFS(L_ParcID,$A523,L_Status,"PROJETADO"))</f>
        <v>0</v>
      </c>
      <c r="O523" s="35" t="str">
        <f aca="false">IF($A523="","",IF($J523="SIM","PAGA",IF($M523&gt;0,"PAGA",IF($D523&lt;CFG_HOJE,"ATRASADA",IF($D523&lt;=EOMONTH(CFG_HOJE,0),"ABERTA","PROJETADA")))))</f>
        <v/>
      </c>
      <c r="P523" s="34" t="n">
        <f aca="false">IF($O523="ATRASADA",CFG_HOJE-$D523,0)</f>
        <v>0</v>
      </c>
      <c r="Q523" s="36" t="n">
        <f aca="false">IF($A523="",0,IF(AND($O523="PAGA",$J523="NAO"),$K523-$E523,0))</f>
        <v>0</v>
      </c>
    </row>
    <row r="524" customFormat="false" ht="15" hidden="false" customHeight="false" outlineLevel="0" collapsed="false">
      <c r="A524" s="30" t="str">
        <f aca="false">IF($B524="","","PAR-"&amp;TEXT(ROW()-4,"000000"))</f>
        <v/>
      </c>
      <c r="B524" s="32"/>
      <c r="C524" s="37"/>
      <c r="D524" s="31"/>
      <c r="E524" s="33"/>
      <c r="F524" s="32"/>
      <c r="G524" s="35" t="str">
        <f aca="false">IF($B524="","",IFERROR(INDEX(CM_NOME,MATCH($B524,CM_ID,0)),"?"))</f>
        <v/>
      </c>
      <c r="H524" s="34" t="str">
        <f aca="false">IF($B524="","",IFERROR(INDEX(CM_QTD,MATCH($B524,CM_ID,0)),""))</f>
        <v/>
      </c>
      <c r="I524" s="35" t="str">
        <f aca="false">IF($A524="","",$C524&amp;"/"&amp;$H524)</f>
        <v/>
      </c>
      <c r="J524" s="35" t="str">
        <f aca="false">IF($A524="","",IF($C524&lt;=IFERROR(INDEX(CM_PAGASANTES,MATCH($B524,CM_ID,0)),0),"SIM","NAO"))</f>
        <v/>
      </c>
      <c r="K524" s="36" t="n">
        <f aca="false">IF($A524="",0,SUMIFS(L_Valor,L_ParcID,$A524,L_Status,"REALIZADO"))</f>
        <v>0</v>
      </c>
      <c r="L524" s="38" t="str">
        <f aca="false">IF($A524="","",IFERROR(INDEX(L_Data,MATCH(1,INDEX((L_ParcID=$A524)*(L_Status="REALIZADO"),0),0)),""))</f>
        <v/>
      </c>
      <c r="M524" s="34" t="n">
        <f aca="false">IF($A524="",0,COUNTIFS(L_ParcID,$A524,L_Status,"REALIZADO"))</f>
        <v>0</v>
      </c>
      <c r="N524" s="34" t="n">
        <f aca="false">IF($A524="",0,COUNTIFS(L_ParcID,$A524,L_Status,"PROJETADO"))</f>
        <v>0</v>
      </c>
      <c r="O524" s="35" t="str">
        <f aca="false">IF($A524="","",IF($J524="SIM","PAGA",IF($M524&gt;0,"PAGA",IF($D524&lt;CFG_HOJE,"ATRASADA",IF($D524&lt;=EOMONTH(CFG_HOJE,0),"ABERTA","PROJETADA")))))</f>
        <v/>
      </c>
      <c r="P524" s="34" t="n">
        <f aca="false">IF($O524="ATRASADA",CFG_HOJE-$D524,0)</f>
        <v>0</v>
      </c>
      <c r="Q524" s="36" t="n">
        <f aca="false">IF($A524="",0,IF(AND($O524="PAGA",$J524="NAO"),$K524-$E524,0))</f>
        <v>0</v>
      </c>
    </row>
    <row r="525" customFormat="false" ht="15" hidden="false" customHeight="false" outlineLevel="0" collapsed="false">
      <c r="A525" s="30" t="str">
        <f aca="false">IF($B525="","","PAR-"&amp;TEXT(ROW()-4,"000000"))</f>
        <v/>
      </c>
      <c r="B525" s="32"/>
      <c r="C525" s="37"/>
      <c r="D525" s="31"/>
      <c r="E525" s="33"/>
      <c r="F525" s="32"/>
      <c r="G525" s="35" t="str">
        <f aca="false">IF($B525="","",IFERROR(INDEX(CM_NOME,MATCH($B525,CM_ID,0)),"?"))</f>
        <v/>
      </c>
      <c r="H525" s="34" t="str">
        <f aca="false">IF($B525="","",IFERROR(INDEX(CM_QTD,MATCH($B525,CM_ID,0)),""))</f>
        <v/>
      </c>
      <c r="I525" s="35" t="str">
        <f aca="false">IF($A525="","",$C525&amp;"/"&amp;$H525)</f>
        <v/>
      </c>
      <c r="J525" s="35" t="str">
        <f aca="false">IF($A525="","",IF($C525&lt;=IFERROR(INDEX(CM_PAGASANTES,MATCH($B525,CM_ID,0)),0),"SIM","NAO"))</f>
        <v/>
      </c>
      <c r="K525" s="36" t="n">
        <f aca="false">IF($A525="",0,SUMIFS(L_Valor,L_ParcID,$A525,L_Status,"REALIZADO"))</f>
        <v>0</v>
      </c>
      <c r="L525" s="38" t="str">
        <f aca="false">IF($A525="","",IFERROR(INDEX(L_Data,MATCH(1,INDEX((L_ParcID=$A525)*(L_Status="REALIZADO"),0),0)),""))</f>
        <v/>
      </c>
      <c r="M525" s="34" t="n">
        <f aca="false">IF($A525="",0,COUNTIFS(L_ParcID,$A525,L_Status,"REALIZADO"))</f>
        <v>0</v>
      </c>
      <c r="N525" s="34" t="n">
        <f aca="false">IF($A525="",0,COUNTIFS(L_ParcID,$A525,L_Status,"PROJETADO"))</f>
        <v>0</v>
      </c>
      <c r="O525" s="35" t="str">
        <f aca="false">IF($A525="","",IF($J525="SIM","PAGA",IF($M525&gt;0,"PAGA",IF($D525&lt;CFG_HOJE,"ATRASADA",IF($D525&lt;=EOMONTH(CFG_HOJE,0),"ABERTA","PROJETADA")))))</f>
        <v/>
      </c>
      <c r="P525" s="34" t="n">
        <f aca="false">IF($O525="ATRASADA",CFG_HOJE-$D525,0)</f>
        <v>0</v>
      </c>
      <c r="Q525" s="36" t="n">
        <f aca="false">IF($A525="",0,IF(AND($O525="PAGA",$J525="NAO"),$K525-$E525,0))</f>
        <v>0</v>
      </c>
    </row>
    <row r="526" customFormat="false" ht="15" hidden="false" customHeight="false" outlineLevel="0" collapsed="false">
      <c r="A526" s="30" t="str">
        <f aca="false">IF($B526="","","PAR-"&amp;TEXT(ROW()-4,"000000"))</f>
        <v/>
      </c>
      <c r="B526" s="32"/>
      <c r="C526" s="37"/>
      <c r="D526" s="31"/>
      <c r="E526" s="33"/>
      <c r="F526" s="32"/>
      <c r="G526" s="35" t="str">
        <f aca="false">IF($B526="","",IFERROR(INDEX(CM_NOME,MATCH($B526,CM_ID,0)),"?"))</f>
        <v/>
      </c>
      <c r="H526" s="34" t="str">
        <f aca="false">IF($B526="","",IFERROR(INDEX(CM_QTD,MATCH($B526,CM_ID,0)),""))</f>
        <v/>
      </c>
      <c r="I526" s="35" t="str">
        <f aca="false">IF($A526="","",$C526&amp;"/"&amp;$H526)</f>
        <v/>
      </c>
      <c r="J526" s="35" t="str">
        <f aca="false">IF($A526="","",IF($C526&lt;=IFERROR(INDEX(CM_PAGASANTES,MATCH($B526,CM_ID,0)),0),"SIM","NAO"))</f>
        <v/>
      </c>
      <c r="K526" s="36" t="n">
        <f aca="false">IF($A526="",0,SUMIFS(L_Valor,L_ParcID,$A526,L_Status,"REALIZADO"))</f>
        <v>0</v>
      </c>
      <c r="L526" s="38" t="str">
        <f aca="false">IF($A526="","",IFERROR(INDEX(L_Data,MATCH(1,INDEX((L_ParcID=$A526)*(L_Status="REALIZADO"),0),0)),""))</f>
        <v/>
      </c>
      <c r="M526" s="34" t="n">
        <f aca="false">IF($A526="",0,COUNTIFS(L_ParcID,$A526,L_Status,"REALIZADO"))</f>
        <v>0</v>
      </c>
      <c r="N526" s="34" t="n">
        <f aca="false">IF($A526="",0,COUNTIFS(L_ParcID,$A526,L_Status,"PROJETADO"))</f>
        <v>0</v>
      </c>
      <c r="O526" s="35" t="str">
        <f aca="false">IF($A526="","",IF($J526="SIM","PAGA",IF($M526&gt;0,"PAGA",IF($D526&lt;CFG_HOJE,"ATRASADA",IF($D526&lt;=EOMONTH(CFG_HOJE,0),"ABERTA","PROJETADA")))))</f>
        <v/>
      </c>
      <c r="P526" s="34" t="n">
        <f aca="false">IF($O526="ATRASADA",CFG_HOJE-$D526,0)</f>
        <v>0</v>
      </c>
      <c r="Q526" s="36" t="n">
        <f aca="false">IF($A526="",0,IF(AND($O526="PAGA",$J526="NAO"),$K526-$E526,0))</f>
        <v>0</v>
      </c>
    </row>
    <row r="527" customFormat="false" ht="15" hidden="false" customHeight="false" outlineLevel="0" collapsed="false">
      <c r="A527" s="30" t="str">
        <f aca="false">IF($B527="","","PAR-"&amp;TEXT(ROW()-4,"000000"))</f>
        <v/>
      </c>
      <c r="B527" s="32"/>
      <c r="C527" s="37"/>
      <c r="D527" s="31"/>
      <c r="E527" s="33"/>
      <c r="F527" s="32"/>
      <c r="G527" s="35" t="str">
        <f aca="false">IF($B527="","",IFERROR(INDEX(CM_NOME,MATCH($B527,CM_ID,0)),"?"))</f>
        <v/>
      </c>
      <c r="H527" s="34" t="str">
        <f aca="false">IF($B527="","",IFERROR(INDEX(CM_QTD,MATCH($B527,CM_ID,0)),""))</f>
        <v/>
      </c>
      <c r="I527" s="35" t="str">
        <f aca="false">IF($A527="","",$C527&amp;"/"&amp;$H527)</f>
        <v/>
      </c>
      <c r="J527" s="35" t="str">
        <f aca="false">IF($A527="","",IF($C527&lt;=IFERROR(INDEX(CM_PAGASANTES,MATCH($B527,CM_ID,0)),0),"SIM","NAO"))</f>
        <v/>
      </c>
      <c r="K527" s="36" t="n">
        <f aca="false">IF($A527="",0,SUMIFS(L_Valor,L_ParcID,$A527,L_Status,"REALIZADO"))</f>
        <v>0</v>
      </c>
      <c r="L527" s="38" t="str">
        <f aca="false">IF($A527="","",IFERROR(INDEX(L_Data,MATCH(1,INDEX((L_ParcID=$A527)*(L_Status="REALIZADO"),0),0)),""))</f>
        <v/>
      </c>
      <c r="M527" s="34" t="n">
        <f aca="false">IF($A527="",0,COUNTIFS(L_ParcID,$A527,L_Status,"REALIZADO"))</f>
        <v>0</v>
      </c>
      <c r="N527" s="34" t="n">
        <f aca="false">IF($A527="",0,COUNTIFS(L_ParcID,$A527,L_Status,"PROJETADO"))</f>
        <v>0</v>
      </c>
      <c r="O527" s="35" t="str">
        <f aca="false">IF($A527="","",IF($J527="SIM","PAGA",IF($M527&gt;0,"PAGA",IF($D527&lt;CFG_HOJE,"ATRASADA",IF($D527&lt;=EOMONTH(CFG_HOJE,0),"ABERTA","PROJETADA")))))</f>
        <v/>
      </c>
      <c r="P527" s="34" t="n">
        <f aca="false">IF($O527="ATRASADA",CFG_HOJE-$D527,0)</f>
        <v>0</v>
      </c>
      <c r="Q527" s="36" t="n">
        <f aca="false">IF($A527="",0,IF(AND($O527="PAGA",$J527="NAO"),$K527-$E527,0))</f>
        <v>0</v>
      </c>
    </row>
    <row r="528" customFormat="false" ht="15" hidden="false" customHeight="false" outlineLevel="0" collapsed="false">
      <c r="A528" s="30" t="str">
        <f aca="false">IF($B528="","","PAR-"&amp;TEXT(ROW()-4,"000000"))</f>
        <v/>
      </c>
      <c r="B528" s="32"/>
      <c r="C528" s="37"/>
      <c r="D528" s="31"/>
      <c r="E528" s="33"/>
      <c r="F528" s="32"/>
      <c r="G528" s="35" t="str">
        <f aca="false">IF($B528="","",IFERROR(INDEX(CM_NOME,MATCH($B528,CM_ID,0)),"?"))</f>
        <v/>
      </c>
      <c r="H528" s="34" t="str">
        <f aca="false">IF($B528="","",IFERROR(INDEX(CM_QTD,MATCH($B528,CM_ID,0)),""))</f>
        <v/>
      </c>
      <c r="I528" s="35" t="str">
        <f aca="false">IF($A528="","",$C528&amp;"/"&amp;$H528)</f>
        <v/>
      </c>
      <c r="J528" s="35" t="str">
        <f aca="false">IF($A528="","",IF($C528&lt;=IFERROR(INDEX(CM_PAGASANTES,MATCH($B528,CM_ID,0)),0),"SIM","NAO"))</f>
        <v/>
      </c>
      <c r="K528" s="36" t="n">
        <f aca="false">IF($A528="",0,SUMIFS(L_Valor,L_ParcID,$A528,L_Status,"REALIZADO"))</f>
        <v>0</v>
      </c>
      <c r="L528" s="38" t="str">
        <f aca="false">IF($A528="","",IFERROR(INDEX(L_Data,MATCH(1,INDEX((L_ParcID=$A528)*(L_Status="REALIZADO"),0),0)),""))</f>
        <v/>
      </c>
      <c r="M528" s="34" t="n">
        <f aca="false">IF($A528="",0,COUNTIFS(L_ParcID,$A528,L_Status,"REALIZADO"))</f>
        <v>0</v>
      </c>
      <c r="N528" s="34" t="n">
        <f aca="false">IF($A528="",0,COUNTIFS(L_ParcID,$A528,L_Status,"PROJETADO"))</f>
        <v>0</v>
      </c>
      <c r="O528" s="35" t="str">
        <f aca="false">IF($A528="","",IF($J528="SIM","PAGA",IF($M528&gt;0,"PAGA",IF($D528&lt;CFG_HOJE,"ATRASADA",IF($D528&lt;=EOMONTH(CFG_HOJE,0),"ABERTA","PROJETADA")))))</f>
        <v/>
      </c>
      <c r="P528" s="34" t="n">
        <f aca="false">IF($O528="ATRASADA",CFG_HOJE-$D528,0)</f>
        <v>0</v>
      </c>
      <c r="Q528" s="36" t="n">
        <f aca="false">IF($A528="",0,IF(AND($O528="PAGA",$J528="NAO"),$K528-$E528,0))</f>
        <v>0</v>
      </c>
    </row>
    <row r="529" customFormat="false" ht="15" hidden="false" customHeight="false" outlineLevel="0" collapsed="false">
      <c r="A529" s="30" t="str">
        <f aca="false">IF($B529="","","PAR-"&amp;TEXT(ROW()-4,"000000"))</f>
        <v/>
      </c>
      <c r="B529" s="32"/>
      <c r="C529" s="37"/>
      <c r="D529" s="31"/>
      <c r="E529" s="33"/>
      <c r="F529" s="32"/>
      <c r="G529" s="35" t="str">
        <f aca="false">IF($B529="","",IFERROR(INDEX(CM_NOME,MATCH($B529,CM_ID,0)),"?"))</f>
        <v/>
      </c>
      <c r="H529" s="34" t="str">
        <f aca="false">IF($B529="","",IFERROR(INDEX(CM_QTD,MATCH($B529,CM_ID,0)),""))</f>
        <v/>
      </c>
      <c r="I529" s="35" t="str">
        <f aca="false">IF($A529="","",$C529&amp;"/"&amp;$H529)</f>
        <v/>
      </c>
      <c r="J529" s="35" t="str">
        <f aca="false">IF($A529="","",IF($C529&lt;=IFERROR(INDEX(CM_PAGASANTES,MATCH($B529,CM_ID,0)),0),"SIM","NAO"))</f>
        <v/>
      </c>
      <c r="K529" s="36" t="n">
        <f aca="false">IF($A529="",0,SUMIFS(L_Valor,L_ParcID,$A529,L_Status,"REALIZADO"))</f>
        <v>0</v>
      </c>
      <c r="L529" s="38" t="str">
        <f aca="false">IF($A529="","",IFERROR(INDEX(L_Data,MATCH(1,INDEX((L_ParcID=$A529)*(L_Status="REALIZADO"),0),0)),""))</f>
        <v/>
      </c>
      <c r="M529" s="34" t="n">
        <f aca="false">IF($A529="",0,COUNTIFS(L_ParcID,$A529,L_Status,"REALIZADO"))</f>
        <v>0</v>
      </c>
      <c r="N529" s="34" t="n">
        <f aca="false">IF($A529="",0,COUNTIFS(L_ParcID,$A529,L_Status,"PROJETADO"))</f>
        <v>0</v>
      </c>
      <c r="O529" s="35" t="str">
        <f aca="false">IF($A529="","",IF($J529="SIM","PAGA",IF($M529&gt;0,"PAGA",IF($D529&lt;CFG_HOJE,"ATRASADA",IF($D529&lt;=EOMONTH(CFG_HOJE,0),"ABERTA","PROJETADA")))))</f>
        <v/>
      </c>
      <c r="P529" s="34" t="n">
        <f aca="false">IF($O529="ATRASADA",CFG_HOJE-$D529,0)</f>
        <v>0</v>
      </c>
      <c r="Q529" s="36" t="n">
        <f aca="false">IF($A529="",0,IF(AND($O529="PAGA",$J529="NAO"),$K529-$E529,0))</f>
        <v>0</v>
      </c>
    </row>
    <row r="530" customFormat="false" ht="15" hidden="false" customHeight="false" outlineLevel="0" collapsed="false">
      <c r="A530" s="30" t="str">
        <f aca="false">IF($B530="","","PAR-"&amp;TEXT(ROW()-4,"000000"))</f>
        <v/>
      </c>
      <c r="B530" s="32"/>
      <c r="C530" s="37"/>
      <c r="D530" s="31"/>
      <c r="E530" s="33"/>
      <c r="F530" s="32"/>
      <c r="G530" s="35" t="str">
        <f aca="false">IF($B530="","",IFERROR(INDEX(CM_NOME,MATCH($B530,CM_ID,0)),"?"))</f>
        <v/>
      </c>
      <c r="H530" s="34" t="str">
        <f aca="false">IF($B530="","",IFERROR(INDEX(CM_QTD,MATCH($B530,CM_ID,0)),""))</f>
        <v/>
      </c>
      <c r="I530" s="35" t="str">
        <f aca="false">IF($A530="","",$C530&amp;"/"&amp;$H530)</f>
        <v/>
      </c>
      <c r="J530" s="35" t="str">
        <f aca="false">IF($A530="","",IF($C530&lt;=IFERROR(INDEX(CM_PAGASANTES,MATCH($B530,CM_ID,0)),0),"SIM","NAO"))</f>
        <v/>
      </c>
      <c r="K530" s="36" t="n">
        <f aca="false">IF($A530="",0,SUMIFS(L_Valor,L_ParcID,$A530,L_Status,"REALIZADO"))</f>
        <v>0</v>
      </c>
      <c r="L530" s="38" t="str">
        <f aca="false">IF($A530="","",IFERROR(INDEX(L_Data,MATCH(1,INDEX((L_ParcID=$A530)*(L_Status="REALIZADO"),0),0)),""))</f>
        <v/>
      </c>
      <c r="M530" s="34" t="n">
        <f aca="false">IF($A530="",0,COUNTIFS(L_ParcID,$A530,L_Status,"REALIZADO"))</f>
        <v>0</v>
      </c>
      <c r="N530" s="34" t="n">
        <f aca="false">IF($A530="",0,COUNTIFS(L_ParcID,$A530,L_Status,"PROJETADO"))</f>
        <v>0</v>
      </c>
      <c r="O530" s="35" t="str">
        <f aca="false">IF($A530="","",IF($J530="SIM","PAGA",IF($M530&gt;0,"PAGA",IF($D530&lt;CFG_HOJE,"ATRASADA",IF($D530&lt;=EOMONTH(CFG_HOJE,0),"ABERTA","PROJETADA")))))</f>
        <v/>
      </c>
      <c r="P530" s="34" t="n">
        <f aca="false">IF($O530="ATRASADA",CFG_HOJE-$D530,0)</f>
        <v>0</v>
      </c>
      <c r="Q530" s="36" t="n">
        <f aca="false">IF($A530="",0,IF(AND($O530="PAGA",$J530="NAO"),$K530-$E530,0))</f>
        <v>0</v>
      </c>
    </row>
    <row r="531" customFormat="false" ht="15" hidden="false" customHeight="false" outlineLevel="0" collapsed="false">
      <c r="A531" s="30" t="str">
        <f aca="false">IF($B531="","","PAR-"&amp;TEXT(ROW()-4,"000000"))</f>
        <v/>
      </c>
      <c r="B531" s="32"/>
      <c r="C531" s="37"/>
      <c r="D531" s="31"/>
      <c r="E531" s="33"/>
      <c r="F531" s="32"/>
      <c r="G531" s="35" t="str">
        <f aca="false">IF($B531="","",IFERROR(INDEX(CM_NOME,MATCH($B531,CM_ID,0)),"?"))</f>
        <v/>
      </c>
      <c r="H531" s="34" t="str">
        <f aca="false">IF($B531="","",IFERROR(INDEX(CM_QTD,MATCH($B531,CM_ID,0)),""))</f>
        <v/>
      </c>
      <c r="I531" s="35" t="str">
        <f aca="false">IF($A531="","",$C531&amp;"/"&amp;$H531)</f>
        <v/>
      </c>
      <c r="J531" s="35" t="str">
        <f aca="false">IF($A531="","",IF($C531&lt;=IFERROR(INDEX(CM_PAGASANTES,MATCH($B531,CM_ID,0)),0),"SIM","NAO"))</f>
        <v/>
      </c>
      <c r="K531" s="36" t="n">
        <f aca="false">IF($A531="",0,SUMIFS(L_Valor,L_ParcID,$A531,L_Status,"REALIZADO"))</f>
        <v>0</v>
      </c>
      <c r="L531" s="38" t="str">
        <f aca="false">IF($A531="","",IFERROR(INDEX(L_Data,MATCH(1,INDEX((L_ParcID=$A531)*(L_Status="REALIZADO"),0),0)),""))</f>
        <v/>
      </c>
      <c r="M531" s="34" t="n">
        <f aca="false">IF($A531="",0,COUNTIFS(L_ParcID,$A531,L_Status,"REALIZADO"))</f>
        <v>0</v>
      </c>
      <c r="N531" s="34" t="n">
        <f aca="false">IF($A531="",0,COUNTIFS(L_ParcID,$A531,L_Status,"PROJETADO"))</f>
        <v>0</v>
      </c>
      <c r="O531" s="35" t="str">
        <f aca="false">IF($A531="","",IF($J531="SIM","PAGA",IF($M531&gt;0,"PAGA",IF($D531&lt;CFG_HOJE,"ATRASADA",IF($D531&lt;=EOMONTH(CFG_HOJE,0),"ABERTA","PROJETADA")))))</f>
        <v/>
      </c>
      <c r="P531" s="34" t="n">
        <f aca="false">IF($O531="ATRASADA",CFG_HOJE-$D531,0)</f>
        <v>0</v>
      </c>
      <c r="Q531" s="36" t="n">
        <f aca="false">IF($A531="",0,IF(AND($O531="PAGA",$J531="NAO"),$K531-$E531,0))</f>
        <v>0</v>
      </c>
    </row>
    <row r="532" customFormat="false" ht="15" hidden="false" customHeight="false" outlineLevel="0" collapsed="false">
      <c r="A532" s="30" t="str">
        <f aca="false">IF($B532="","","PAR-"&amp;TEXT(ROW()-4,"000000"))</f>
        <v/>
      </c>
      <c r="B532" s="32"/>
      <c r="C532" s="37"/>
      <c r="D532" s="31"/>
      <c r="E532" s="33"/>
      <c r="F532" s="32"/>
      <c r="G532" s="35" t="str">
        <f aca="false">IF($B532="","",IFERROR(INDEX(CM_NOME,MATCH($B532,CM_ID,0)),"?"))</f>
        <v/>
      </c>
      <c r="H532" s="34" t="str">
        <f aca="false">IF($B532="","",IFERROR(INDEX(CM_QTD,MATCH($B532,CM_ID,0)),""))</f>
        <v/>
      </c>
      <c r="I532" s="35" t="str">
        <f aca="false">IF($A532="","",$C532&amp;"/"&amp;$H532)</f>
        <v/>
      </c>
      <c r="J532" s="35" t="str">
        <f aca="false">IF($A532="","",IF($C532&lt;=IFERROR(INDEX(CM_PAGASANTES,MATCH($B532,CM_ID,0)),0),"SIM","NAO"))</f>
        <v/>
      </c>
      <c r="K532" s="36" t="n">
        <f aca="false">IF($A532="",0,SUMIFS(L_Valor,L_ParcID,$A532,L_Status,"REALIZADO"))</f>
        <v>0</v>
      </c>
      <c r="L532" s="38" t="str">
        <f aca="false">IF($A532="","",IFERROR(INDEX(L_Data,MATCH(1,INDEX((L_ParcID=$A532)*(L_Status="REALIZADO"),0),0)),""))</f>
        <v/>
      </c>
      <c r="M532" s="34" t="n">
        <f aca="false">IF($A532="",0,COUNTIFS(L_ParcID,$A532,L_Status,"REALIZADO"))</f>
        <v>0</v>
      </c>
      <c r="N532" s="34" t="n">
        <f aca="false">IF($A532="",0,COUNTIFS(L_ParcID,$A532,L_Status,"PROJETADO"))</f>
        <v>0</v>
      </c>
      <c r="O532" s="35" t="str">
        <f aca="false">IF($A532="","",IF($J532="SIM","PAGA",IF($M532&gt;0,"PAGA",IF($D532&lt;CFG_HOJE,"ATRASADA",IF($D532&lt;=EOMONTH(CFG_HOJE,0),"ABERTA","PROJETADA")))))</f>
        <v/>
      </c>
      <c r="P532" s="34" t="n">
        <f aca="false">IF($O532="ATRASADA",CFG_HOJE-$D532,0)</f>
        <v>0</v>
      </c>
      <c r="Q532" s="36" t="n">
        <f aca="false">IF($A532="",0,IF(AND($O532="PAGA",$J532="NAO"),$K532-$E532,0))</f>
        <v>0</v>
      </c>
    </row>
    <row r="533" customFormat="false" ht="15" hidden="false" customHeight="false" outlineLevel="0" collapsed="false">
      <c r="A533" s="30" t="str">
        <f aca="false">IF($B533="","","PAR-"&amp;TEXT(ROW()-4,"000000"))</f>
        <v/>
      </c>
      <c r="B533" s="32"/>
      <c r="C533" s="37"/>
      <c r="D533" s="31"/>
      <c r="E533" s="33"/>
      <c r="F533" s="32"/>
      <c r="G533" s="35" t="str">
        <f aca="false">IF($B533="","",IFERROR(INDEX(CM_NOME,MATCH($B533,CM_ID,0)),"?"))</f>
        <v/>
      </c>
      <c r="H533" s="34" t="str">
        <f aca="false">IF($B533="","",IFERROR(INDEX(CM_QTD,MATCH($B533,CM_ID,0)),""))</f>
        <v/>
      </c>
      <c r="I533" s="35" t="str">
        <f aca="false">IF($A533="","",$C533&amp;"/"&amp;$H533)</f>
        <v/>
      </c>
      <c r="J533" s="35" t="str">
        <f aca="false">IF($A533="","",IF($C533&lt;=IFERROR(INDEX(CM_PAGASANTES,MATCH($B533,CM_ID,0)),0),"SIM","NAO"))</f>
        <v/>
      </c>
      <c r="K533" s="36" t="n">
        <f aca="false">IF($A533="",0,SUMIFS(L_Valor,L_ParcID,$A533,L_Status,"REALIZADO"))</f>
        <v>0</v>
      </c>
      <c r="L533" s="38" t="str">
        <f aca="false">IF($A533="","",IFERROR(INDEX(L_Data,MATCH(1,INDEX((L_ParcID=$A533)*(L_Status="REALIZADO"),0),0)),""))</f>
        <v/>
      </c>
      <c r="M533" s="34" t="n">
        <f aca="false">IF($A533="",0,COUNTIFS(L_ParcID,$A533,L_Status,"REALIZADO"))</f>
        <v>0</v>
      </c>
      <c r="N533" s="34" t="n">
        <f aca="false">IF($A533="",0,COUNTIFS(L_ParcID,$A533,L_Status,"PROJETADO"))</f>
        <v>0</v>
      </c>
      <c r="O533" s="35" t="str">
        <f aca="false">IF($A533="","",IF($J533="SIM","PAGA",IF($M533&gt;0,"PAGA",IF($D533&lt;CFG_HOJE,"ATRASADA",IF($D533&lt;=EOMONTH(CFG_HOJE,0),"ABERTA","PROJETADA")))))</f>
        <v/>
      </c>
      <c r="P533" s="34" t="n">
        <f aca="false">IF($O533="ATRASADA",CFG_HOJE-$D533,0)</f>
        <v>0</v>
      </c>
      <c r="Q533" s="36" t="n">
        <f aca="false">IF($A533="",0,IF(AND($O533="PAGA",$J533="NAO"),$K533-$E533,0))</f>
        <v>0</v>
      </c>
    </row>
    <row r="534" customFormat="false" ht="15" hidden="false" customHeight="false" outlineLevel="0" collapsed="false">
      <c r="A534" s="30" t="str">
        <f aca="false">IF($B534="","","PAR-"&amp;TEXT(ROW()-4,"000000"))</f>
        <v/>
      </c>
      <c r="B534" s="32"/>
      <c r="C534" s="37"/>
      <c r="D534" s="31"/>
      <c r="E534" s="33"/>
      <c r="F534" s="32"/>
      <c r="G534" s="35" t="str">
        <f aca="false">IF($B534="","",IFERROR(INDEX(CM_NOME,MATCH($B534,CM_ID,0)),"?"))</f>
        <v/>
      </c>
      <c r="H534" s="34" t="str">
        <f aca="false">IF($B534="","",IFERROR(INDEX(CM_QTD,MATCH($B534,CM_ID,0)),""))</f>
        <v/>
      </c>
      <c r="I534" s="35" t="str">
        <f aca="false">IF($A534="","",$C534&amp;"/"&amp;$H534)</f>
        <v/>
      </c>
      <c r="J534" s="35" t="str">
        <f aca="false">IF($A534="","",IF($C534&lt;=IFERROR(INDEX(CM_PAGASANTES,MATCH($B534,CM_ID,0)),0),"SIM","NAO"))</f>
        <v/>
      </c>
      <c r="K534" s="36" t="n">
        <f aca="false">IF($A534="",0,SUMIFS(L_Valor,L_ParcID,$A534,L_Status,"REALIZADO"))</f>
        <v>0</v>
      </c>
      <c r="L534" s="38" t="str">
        <f aca="false">IF($A534="","",IFERROR(INDEX(L_Data,MATCH(1,INDEX((L_ParcID=$A534)*(L_Status="REALIZADO"),0),0)),""))</f>
        <v/>
      </c>
      <c r="M534" s="34" t="n">
        <f aca="false">IF($A534="",0,COUNTIFS(L_ParcID,$A534,L_Status,"REALIZADO"))</f>
        <v>0</v>
      </c>
      <c r="N534" s="34" t="n">
        <f aca="false">IF($A534="",0,COUNTIFS(L_ParcID,$A534,L_Status,"PROJETADO"))</f>
        <v>0</v>
      </c>
      <c r="O534" s="35" t="str">
        <f aca="false">IF($A534="","",IF($J534="SIM","PAGA",IF($M534&gt;0,"PAGA",IF($D534&lt;CFG_HOJE,"ATRASADA",IF($D534&lt;=EOMONTH(CFG_HOJE,0),"ABERTA","PROJETADA")))))</f>
        <v/>
      </c>
      <c r="P534" s="34" t="n">
        <f aca="false">IF($O534="ATRASADA",CFG_HOJE-$D534,0)</f>
        <v>0</v>
      </c>
      <c r="Q534" s="36" t="n">
        <f aca="false">IF($A534="",0,IF(AND($O534="PAGA",$J534="NAO"),$K534-$E534,0))</f>
        <v>0</v>
      </c>
    </row>
    <row r="535" customFormat="false" ht="15" hidden="false" customHeight="false" outlineLevel="0" collapsed="false">
      <c r="A535" s="30" t="str">
        <f aca="false">IF($B535="","","PAR-"&amp;TEXT(ROW()-4,"000000"))</f>
        <v/>
      </c>
      <c r="B535" s="32"/>
      <c r="C535" s="37"/>
      <c r="D535" s="31"/>
      <c r="E535" s="33"/>
      <c r="F535" s="32"/>
      <c r="G535" s="35" t="str">
        <f aca="false">IF($B535="","",IFERROR(INDEX(CM_NOME,MATCH($B535,CM_ID,0)),"?"))</f>
        <v/>
      </c>
      <c r="H535" s="34" t="str">
        <f aca="false">IF($B535="","",IFERROR(INDEX(CM_QTD,MATCH($B535,CM_ID,0)),""))</f>
        <v/>
      </c>
      <c r="I535" s="35" t="str">
        <f aca="false">IF($A535="","",$C535&amp;"/"&amp;$H535)</f>
        <v/>
      </c>
      <c r="J535" s="35" t="str">
        <f aca="false">IF($A535="","",IF($C535&lt;=IFERROR(INDEX(CM_PAGASANTES,MATCH($B535,CM_ID,0)),0),"SIM","NAO"))</f>
        <v/>
      </c>
      <c r="K535" s="36" t="n">
        <f aca="false">IF($A535="",0,SUMIFS(L_Valor,L_ParcID,$A535,L_Status,"REALIZADO"))</f>
        <v>0</v>
      </c>
      <c r="L535" s="38" t="str">
        <f aca="false">IF($A535="","",IFERROR(INDEX(L_Data,MATCH(1,INDEX((L_ParcID=$A535)*(L_Status="REALIZADO"),0),0)),""))</f>
        <v/>
      </c>
      <c r="M535" s="34" t="n">
        <f aca="false">IF($A535="",0,COUNTIFS(L_ParcID,$A535,L_Status,"REALIZADO"))</f>
        <v>0</v>
      </c>
      <c r="N535" s="34" t="n">
        <f aca="false">IF($A535="",0,COUNTIFS(L_ParcID,$A535,L_Status,"PROJETADO"))</f>
        <v>0</v>
      </c>
      <c r="O535" s="35" t="str">
        <f aca="false">IF($A535="","",IF($J535="SIM","PAGA",IF($M535&gt;0,"PAGA",IF($D535&lt;CFG_HOJE,"ATRASADA",IF($D535&lt;=EOMONTH(CFG_HOJE,0),"ABERTA","PROJETADA")))))</f>
        <v/>
      </c>
      <c r="P535" s="34" t="n">
        <f aca="false">IF($O535="ATRASADA",CFG_HOJE-$D535,0)</f>
        <v>0</v>
      </c>
      <c r="Q535" s="36" t="n">
        <f aca="false">IF($A535="",0,IF(AND($O535="PAGA",$J535="NAO"),$K535-$E535,0))</f>
        <v>0</v>
      </c>
    </row>
    <row r="536" customFormat="false" ht="15" hidden="false" customHeight="false" outlineLevel="0" collapsed="false">
      <c r="A536" s="30" t="str">
        <f aca="false">IF($B536="","","PAR-"&amp;TEXT(ROW()-4,"000000"))</f>
        <v/>
      </c>
      <c r="B536" s="32"/>
      <c r="C536" s="37"/>
      <c r="D536" s="31"/>
      <c r="E536" s="33"/>
      <c r="F536" s="32"/>
      <c r="G536" s="35" t="str">
        <f aca="false">IF($B536="","",IFERROR(INDEX(CM_NOME,MATCH($B536,CM_ID,0)),"?"))</f>
        <v/>
      </c>
      <c r="H536" s="34" t="str">
        <f aca="false">IF($B536="","",IFERROR(INDEX(CM_QTD,MATCH($B536,CM_ID,0)),""))</f>
        <v/>
      </c>
      <c r="I536" s="35" t="str">
        <f aca="false">IF($A536="","",$C536&amp;"/"&amp;$H536)</f>
        <v/>
      </c>
      <c r="J536" s="35" t="str">
        <f aca="false">IF($A536="","",IF($C536&lt;=IFERROR(INDEX(CM_PAGASANTES,MATCH($B536,CM_ID,0)),0),"SIM","NAO"))</f>
        <v/>
      </c>
      <c r="K536" s="36" t="n">
        <f aca="false">IF($A536="",0,SUMIFS(L_Valor,L_ParcID,$A536,L_Status,"REALIZADO"))</f>
        <v>0</v>
      </c>
      <c r="L536" s="38" t="str">
        <f aca="false">IF($A536="","",IFERROR(INDEX(L_Data,MATCH(1,INDEX((L_ParcID=$A536)*(L_Status="REALIZADO"),0),0)),""))</f>
        <v/>
      </c>
      <c r="M536" s="34" t="n">
        <f aca="false">IF($A536="",0,COUNTIFS(L_ParcID,$A536,L_Status,"REALIZADO"))</f>
        <v>0</v>
      </c>
      <c r="N536" s="34" t="n">
        <f aca="false">IF($A536="",0,COUNTIFS(L_ParcID,$A536,L_Status,"PROJETADO"))</f>
        <v>0</v>
      </c>
      <c r="O536" s="35" t="str">
        <f aca="false">IF($A536="","",IF($J536="SIM","PAGA",IF($M536&gt;0,"PAGA",IF($D536&lt;CFG_HOJE,"ATRASADA",IF($D536&lt;=EOMONTH(CFG_HOJE,0),"ABERTA","PROJETADA")))))</f>
        <v/>
      </c>
      <c r="P536" s="34" t="n">
        <f aca="false">IF($O536="ATRASADA",CFG_HOJE-$D536,0)</f>
        <v>0</v>
      </c>
      <c r="Q536" s="36" t="n">
        <f aca="false">IF($A536="",0,IF(AND($O536="PAGA",$J536="NAO"),$K536-$E536,0))</f>
        <v>0</v>
      </c>
    </row>
    <row r="537" customFormat="false" ht="15" hidden="false" customHeight="false" outlineLevel="0" collapsed="false">
      <c r="A537" s="30" t="str">
        <f aca="false">IF($B537="","","PAR-"&amp;TEXT(ROW()-4,"000000"))</f>
        <v/>
      </c>
      <c r="B537" s="32"/>
      <c r="C537" s="37"/>
      <c r="D537" s="31"/>
      <c r="E537" s="33"/>
      <c r="F537" s="32"/>
      <c r="G537" s="35" t="str">
        <f aca="false">IF($B537="","",IFERROR(INDEX(CM_NOME,MATCH($B537,CM_ID,0)),"?"))</f>
        <v/>
      </c>
      <c r="H537" s="34" t="str">
        <f aca="false">IF($B537="","",IFERROR(INDEX(CM_QTD,MATCH($B537,CM_ID,0)),""))</f>
        <v/>
      </c>
      <c r="I537" s="35" t="str">
        <f aca="false">IF($A537="","",$C537&amp;"/"&amp;$H537)</f>
        <v/>
      </c>
      <c r="J537" s="35" t="str">
        <f aca="false">IF($A537="","",IF($C537&lt;=IFERROR(INDEX(CM_PAGASANTES,MATCH($B537,CM_ID,0)),0),"SIM","NAO"))</f>
        <v/>
      </c>
      <c r="K537" s="36" t="n">
        <f aca="false">IF($A537="",0,SUMIFS(L_Valor,L_ParcID,$A537,L_Status,"REALIZADO"))</f>
        <v>0</v>
      </c>
      <c r="L537" s="38" t="str">
        <f aca="false">IF($A537="","",IFERROR(INDEX(L_Data,MATCH(1,INDEX((L_ParcID=$A537)*(L_Status="REALIZADO"),0),0)),""))</f>
        <v/>
      </c>
      <c r="M537" s="34" t="n">
        <f aca="false">IF($A537="",0,COUNTIFS(L_ParcID,$A537,L_Status,"REALIZADO"))</f>
        <v>0</v>
      </c>
      <c r="N537" s="34" t="n">
        <f aca="false">IF($A537="",0,COUNTIFS(L_ParcID,$A537,L_Status,"PROJETADO"))</f>
        <v>0</v>
      </c>
      <c r="O537" s="35" t="str">
        <f aca="false">IF($A537="","",IF($J537="SIM","PAGA",IF($M537&gt;0,"PAGA",IF($D537&lt;CFG_HOJE,"ATRASADA",IF($D537&lt;=EOMONTH(CFG_HOJE,0),"ABERTA","PROJETADA")))))</f>
        <v/>
      </c>
      <c r="P537" s="34" t="n">
        <f aca="false">IF($O537="ATRASADA",CFG_HOJE-$D537,0)</f>
        <v>0</v>
      </c>
      <c r="Q537" s="36" t="n">
        <f aca="false">IF($A537="",0,IF(AND($O537="PAGA",$J537="NAO"),$K537-$E537,0))</f>
        <v>0</v>
      </c>
    </row>
    <row r="538" customFormat="false" ht="15" hidden="false" customHeight="false" outlineLevel="0" collapsed="false">
      <c r="A538" s="30" t="str">
        <f aca="false">IF($B538="","","PAR-"&amp;TEXT(ROW()-4,"000000"))</f>
        <v/>
      </c>
      <c r="B538" s="32"/>
      <c r="C538" s="37"/>
      <c r="D538" s="31"/>
      <c r="E538" s="33"/>
      <c r="F538" s="32"/>
      <c r="G538" s="35" t="str">
        <f aca="false">IF($B538="","",IFERROR(INDEX(CM_NOME,MATCH($B538,CM_ID,0)),"?"))</f>
        <v/>
      </c>
      <c r="H538" s="34" t="str">
        <f aca="false">IF($B538="","",IFERROR(INDEX(CM_QTD,MATCH($B538,CM_ID,0)),""))</f>
        <v/>
      </c>
      <c r="I538" s="35" t="str">
        <f aca="false">IF($A538="","",$C538&amp;"/"&amp;$H538)</f>
        <v/>
      </c>
      <c r="J538" s="35" t="str">
        <f aca="false">IF($A538="","",IF($C538&lt;=IFERROR(INDEX(CM_PAGASANTES,MATCH($B538,CM_ID,0)),0),"SIM","NAO"))</f>
        <v/>
      </c>
      <c r="K538" s="36" t="n">
        <f aca="false">IF($A538="",0,SUMIFS(L_Valor,L_ParcID,$A538,L_Status,"REALIZADO"))</f>
        <v>0</v>
      </c>
      <c r="L538" s="38" t="str">
        <f aca="false">IF($A538="","",IFERROR(INDEX(L_Data,MATCH(1,INDEX((L_ParcID=$A538)*(L_Status="REALIZADO"),0),0)),""))</f>
        <v/>
      </c>
      <c r="M538" s="34" t="n">
        <f aca="false">IF($A538="",0,COUNTIFS(L_ParcID,$A538,L_Status,"REALIZADO"))</f>
        <v>0</v>
      </c>
      <c r="N538" s="34" t="n">
        <f aca="false">IF($A538="",0,COUNTIFS(L_ParcID,$A538,L_Status,"PROJETADO"))</f>
        <v>0</v>
      </c>
      <c r="O538" s="35" t="str">
        <f aca="false">IF($A538="","",IF($J538="SIM","PAGA",IF($M538&gt;0,"PAGA",IF($D538&lt;CFG_HOJE,"ATRASADA",IF($D538&lt;=EOMONTH(CFG_HOJE,0),"ABERTA","PROJETADA")))))</f>
        <v/>
      </c>
      <c r="P538" s="34" t="n">
        <f aca="false">IF($O538="ATRASADA",CFG_HOJE-$D538,0)</f>
        <v>0</v>
      </c>
      <c r="Q538" s="36" t="n">
        <f aca="false">IF($A538="",0,IF(AND($O538="PAGA",$J538="NAO"),$K538-$E538,0))</f>
        <v>0</v>
      </c>
    </row>
    <row r="539" customFormat="false" ht="15" hidden="false" customHeight="false" outlineLevel="0" collapsed="false">
      <c r="A539" s="30" t="str">
        <f aca="false">IF($B539="","","PAR-"&amp;TEXT(ROW()-4,"000000"))</f>
        <v/>
      </c>
      <c r="B539" s="32"/>
      <c r="C539" s="37"/>
      <c r="D539" s="31"/>
      <c r="E539" s="33"/>
      <c r="F539" s="32"/>
      <c r="G539" s="35" t="str">
        <f aca="false">IF($B539="","",IFERROR(INDEX(CM_NOME,MATCH($B539,CM_ID,0)),"?"))</f>
        <v/>
      </c>
      <c r="H539" s="34" t="str">
        <f aca="false">IF($B539="","",IFERROR(INDEX(CM_QTD,MATCH($B539,CM_ID,0)),""))</f>
        <v/>
      </c>
      <c r="I539" s="35" t="str">
        <f aca="false">IF($A539="","",$C539&amp;"/"&amp;$H539)</f>
        <v/>
      </c>
      <c r="J539" s="35" t="str">
        <f aca="false">IF($A539="","",IF($C539&lt;=IFERROR(INDEX(CM_PAGASANTES,MATCH($B539,CM_ID,0)),0),"SIM","NAO"))</f>
        <v/>
      </c>
      <c r="K539" s="36" t="n">
        <f aca="false">IF($A539="",0,SUMIFS(L_Valor,L_ParcID,$A539,L_Status,"REALIZADO"))</f>
        <v>0</v>
      </c>
      <c r="L539" s="38" t="str">
        <f aca="false">IF($A539="","",IFERROR(INDEX(L_Data,MATCH(1,INDEX((L_ParcID=$A539)*(L_Status="REALIZADO"),0),0)),""))</f>
        <v/>
      </c>
      <c r="M539" s="34" t="n">
        <f aca="false">IF($A539="",0,COUNTIFS(L_ParcID,$A539,L_Status,"REALIZADO"))</f>
        <v>0</v>
      </c>
      <c r="N539" s="34" t="n">
        <f aca="false">IF($A539="",0,COUNTIFS(L_ParcID,$A539,L_Status,"PROJETADO"))</f>
        <v>0</v>
      </c>
      <c r="O539" s="35" t="str">
        <f aca="false">IF($A539="","",IF($J539="SIM","PAGA",IF($M539&gt;0,"PAGA",IF($D539&lt;CFG_HOJE,"ATRASADA",IF($D539&lt;=EOMONTH(CFG_HOJE,0),"ABERTA","PROJETADA")))))</f>
        <v/>
      </c>
      <c r="P539" s="34" t="n">
        <f aca="false">IF($O539="ATRASADA",CFG_HOJE-$D539,0)</f>
        <v>0</v>
      </c>
      <c r="Q539" s="36" t="n">
        <f aca="false">IF($A539="",0,IF(AND($O539="PAGA",$J539="NAO"),$K539-$E539,0))</f>
        <v>0</v>
      </c>
    </row>
    <row r="540" customFormat="false" ht="15" hidden="false" customHeight="false" outlineLevel="0" collapsed="false">
      <c r="A540" s="30" t="str">
        <f aca="false">IF($B540="","","PAR-"&amp;TEXT(ROW()-4,"000000"))</f>
        <v/>
      </c>
      <c r="B540" s="32"/>
      <c r="C540" s="37"/>
      <c r="D540" s="31"/>
      <c r="E540" s="33"/>
      <c r="F540" s="32"/>
      <c r="G540" s="35" t="str">
        <f aca="false">IF($B540="","",IFERROR(INDEX(CM_NOME,MATCH($B540,CM_ID,0)),"?"))</f>
        <v/>
      </c>
      <c r="H540" s="34" t="str">
        <f aca="false">IF($B540="","",IFERROR(INDEX(CM_QTD,MATCH($B540,CM_ID,0)),""))</f>
        <v/>
      </c>
      <c r="I540" s="35" t="str">
        <f aca="false">IF($A540="","",$C540&amp;"/"&amp;$H540)</f>
        <v/>
      </c>
      <c r="J540" s="35" t="str">
        <f aca="false">IF($A540="","",IF($C540&lt;=IFERROR(INDEX(CM_PAGASANTES,MATCH($B540,CM_ID,0)),0),"SIM","NAO"))</f>
        <v/>
      </c>
      <c r="K540" s="36" t="n">
        <f aca="false">IF($A540="",0,SUMIFS(L_Valor,L_ParcID,$A540,L_Status,"REALIZADO"))</f>
        <v>0</v>
      </c>
      <c r="L540" s="38" t="str">
        <f aca="false">IF($A540="","",IFERROR(INDEX(L_Data,MATCH(1,INDEX((L_ParcID=$A540)*(L_Status="REALIZADO"),0),0)),""))</f>
        <v/>
      </c>
      <c r="M540" s="34" t="n">
        <f aca="false">IF($A540="",0,COUNTIFS(L_ParcID,$A540,L_Status,"REALIZADO"))</f>
        <v>0</v>
      </c>
      <c r="N540" s="34" t="n">
        <f aca="false">IF($A540="",0,COUNTIFS(L_ParcID,$A540,L_Status,"PROJETADO"))</f>
        <v>0</v>
      </c>
      <c r="O540" s="35" t="str">
        <f aca="false">IF($A540="","",IF($J540="SIM","PAGA",IF($M540&gt;0,"PAGA",IF($D540&lt;CFG_HOJE,"ATRASADA",IF($D540&lt;=EOMONTH(CFG_HOJE,0),"ABERTA","PROJETADA")))))</f>
        <v/>
      </c>
      <c r="P540" s="34" t="n">
        <f aca="false">IF($O540="ATRASADA",CFG_HOJE-$D540,0)</f>
        <v>0</v>
      </c>
      <c r="Q540" s="36" t="n">
        <f aca="false">IF($A540="",0,IF(AND($O540="PAGA",$J540="NAO"),$K540-$E540,0))</f>
        <v>0</v>
      </c>
    </row>
    <row r="541" customFormat="false" ht="15" hidden="false" customHeight="false" outlineLevel="0" collapsed="false">
      <c r="A541" s="30" t="str">
        <f aca="false">IF($B541="","","PAR-"&amp;TEXT(ROW()-4,"000000"))</f>
        <v/>
      </c>
      <c r="B541" s="32"/>
      <c r="C541" s="37"/>
      <c r="D541" s="31"/>
      <c r="E541" s="33"/>
      <c r="F541" s="32"/>
      <c r="G541" s="35" t="str">
        <f aca="false">IF($B541="","",IFERROR(INDEX(CM_NOME,MATCH($B541,CM_ID,0)),"?"))</f>
        <v/>
      </c>
      <c r="H541" s="34" t="str">
        <f aca="false">IF($B541="","",IFERROR(INDEX(CM_QTD,MATCH($B541,CM_ID,0)),""))</f>
        <v/>
      </c>
      <c r="I541" s="35" t="str">
        <f aca="false">IF($A541="","",$C541&amp;"/"&amp;$H541)</f>
        <v/>
      </c>
      <c r="J541" s="35" t="str">
        <f aca="false">IF($A541="","",IF($C541&lt;=IFERROR(INDEX(CM_PAGASANTES,MATCH($B541,CM_ID,0)),0),"SIM","NAO"))</f>
        <v/>
      </c>
      <c r="K541" s="36" t="n">
        <f aca="false">IF($A541="",0,SUMIFS(L_Valor,L_ParcID,$A541,L_Status,"REALIZADO"))</f>
        <v>0</v>
      </c>
      <c r="L541" s="38" t="str">
        <f aca="false">IF($A541="","",IFERROR(INDEX(L_Data,MATCH(1,INDEX((L_ParcID=$A541)*(L_Status="REALIZADO"),0),0)),""))</f>
        <v/>
      </c>
      <c r="M541" s="34" t="n">
        <f aca="false">IF($A541="",0,COUNTIFS(L_ParcID,$A541,L_Status,"REALIZADO"))</f>
        <v>0</v>
      </c>
      <c r="N541" s="34" t="n">
        <f aca="false">IF($A541="",0,COUNTIFS(L_ParcID,$A541,L_Status,"PROJETADO"))</f>
        <v>0</v>
      </c>
      <c r="O541" s="35" t="str">
        <f aca="false">IF($A541="","",IF($J541="SIM","PAGA",IF($M541&gt;0,"PAGA",IF($D541&lt;CFG_HOJE,"ATRASADA",IF($D541&lt;=EOMONTH(CFG_HOJE,0),"ABERTA","PROJETADA")))))</f>
        <v/>
      </c>
      <c r="P541" s="34" t="n">
        <f aca="false">IF($O541="ATRASADA",CFG_HOJE-$D541,0)</f>
        <v>0</v>
      </c>
      <c r="Q541" s="36" t="n">
        <f aca="false">IF($A541="",0,IF(AND($O541="PAGA",$J541="NAO"),$K541-$E541,0))</f>
        <v>0</v>
      </c>
    </row>
    <row r="542" customFormat="false" ht="15" hidden="false" customHeight="false" outlineLevel="0" collapsed="false">
      <c r="A542" s="30" t="str">
        <f aca="false">IF($B542="","","PAR-"&amp;TEXT(ROW()-4,"000000"))</f>
        <v/>
      </c>
      <c r="B542" s="32"/>
      <c r="C542" s="37"/>
      <c r="D542" s="31"/>
      <c r="E542" s="33"/>
      <c r="F542" s="32"/>
      <c r="G542" s="35" t="str">
        <f aca="false">IF($B542="","",IFERROR(INDEX(CM_NOME,MATCH($B542,CM_ID,0)),"?"))</f>
        <v/>
      </c>
      <c r="H542" s="34" t="str">
        <f aca="false">IF($B542="","",IFERROR(INDEX(CM_QTD,MATCH($B542,CM_ID,0)),""))</f>
        <v/>
      </c>
      <c r="I542" s="35" t="str">
        <f aca="false">IF($A542="","",$C542&amp;"/"&amp;$H542)</f>
        <v/>
      </c>
      <c r="J542" s="35" t="str">
        <f aca="false">IF($A542="","",IF($C542&lt;=IFERROR(INDEX(CM_PAGASANTES,MATCH($B542,CM_ID,0)),0),"SIM","NAO"))</f>
        <v/>
      </c>
      <c r="K542" s="36" t="n">
        <f aca="false">IF($A542="",0,SUMIFS(L_Valor,L_ParcID,$A542,L_Status,"REALIZADO"))</f>
        <v>0</v>
      </c>
      <c r="L542" s="38" t="str">
        <f aca="false">IF($A542="","",IFERROR(INDEX(L_Data,MATCH(1,INDEX((L_ParcID=$A542)*(L_Status="REALIZADO"),0),0)),""))</f>
        <v/>
      </c>
      <c r="M542" s="34" t="n">
        <f aca="false">IF($A542="",0,COUNTIFS(L_ParcID,$A542,L_Status,"REALIZADO"))</f>
        <v>0</v>
      </c>
      <c r="N542" s="34" t="n">
        <f aca="false">IF($A542="",0,COUNTIFS(L_ParcID,$A542,L_Status,"PROJETADO"))</f>
        <v>0</v>
      </c>
      <c r="O542" s="35" t="str">
        <f aca="false">IF($A542="","",IF($J542="SIM","PAGA",IF($M542&gt;0,"PAGA",IF($D542&lt;CFG_HOJE,"ATRASADA",IF($D542&lt;=EOMONTH(CFG_HOJE,0),"ABERTA","PROJETADA")))))</f>
        <v/>
      </c>
      <c r="P542" s="34" t="n">
        <f aca="false">IF($O542="ATRASADA",CFG_HOJE-$D542,0)</f>
        <v>0</v>
      </c>
      <c r="Q542" s="36" t="n">
        <f aca="false">IF($A542="",0,IF(AND($O542="PAGA",$J542="NAO"),$K542-$E542,0))</f>
        <v>0</v>
      </c>
    </row>
    <row r="543" customFormat="false" ht="15" hidden="false" customHeight="false" outlineLevel="0" collapsed="false">
      <c r="A543" s="30" t="str">
        <f aca="false">IF($B543="","","PAR-"&amp;TEXT(ROW()-4,"000000"))</f>
        <v/>
      </c>
      <c r="B543" s="32"/>
      <c r="C543" s="37"/>
      <c r="D543" s="31"/>
      <c r="E543" s="33"/>
      <c r="F543" s="32"/>
      <c r="G543" s="35" t="str">
        <f aca="false">IF($B543="","",IFERROR(INDEX(CM_NOME,MATCH($B543,CM_ID,0)),"?"))</f>
        <v/>
      </c>
      <c r="H543" s="34" t="str">
        <f aca="false">IF($B543="","",IFERROR(INDEX(CM_QTD,MATCH($B543,CM_ID,0)),""))</f>
        <v/>
      </c>
      <c r="I543" s="35" t="str">
        <f aca="false">IF($A543="","",$C543&amp;"/"&amp;$H543)</f>
        <v/>
      </c>
      <c r="J543" s="35" t="str">
        <f aca="false">IF($A543="","",IF($C543&lt;=IFERROR(INDEX(CM_PAGASANTES,MATCH($B543,CM_ID,0)),0),"SIM","NAO"))</f>
        <v/>
      </c>
      <c r="K543" s="36" t="n">
        <f aca="false">IF($A543="",0,SUMIFS(L_Valor,L_ParcID,$A543,L_Status,"REALIZADO"))</f>
        <v>0</v>
      </c>
      <c r="L543" s="38" t="str">
        <f aca="false">IF($A543="","",IFERROR(INDEX(L_Data,MATCH(1,INDEX((L_ParcID=$A543)*(L_Status="REALIZADO"),0),0)),""))</f>
        <v/>
      </c>
      <c r="M543" s="34" t="n">
        <f aca="false">IF($A543="",0,COUNTIFS(L_ParcID,$A543,L_Status,"REALIZADO"))</f>
        <v>0</v>
      </c>
      <c r="N543" s="34" t="n">
        <f aca="false">IF($A543="",0,COUNTIFS(L_ParcID,$A543,L_Status,"PROJETADO"))</f>
        <v>0</v>
      </c>
      <c r="O543" s="35" t="str">
        <f aca="false">IF($A543="","",IF($J543="SIM","PAGA",IF($M543&gt;0,"PAGA",IF($D543&lt;CFG_HOJE,"ATRASADA",IF($D543&lt;=EOMONTH(CFG_HOJE,0),"ABERTA","PROJETADA")))))</f>
        <v/>
      </c>
      <c r="P543" s="34" t="n">
        <f aca="false">IF($O543="ATRASADA",CFG_HOJE-$D543,0)</f>
        <v>0</v>
      </c>
      <c r="Q543" s="36" t="n">
        <f aca="false">IF($A543="",0,IF(AND($O543="PAGA",$J543="NAO"),$K543-$E543,0))</f>
        <v>0</v>
      </c>
    </row>
    <row r="544" customFormat="false" ht="15" hidden="false" customHeight="false" outlineLevel="0" collapsed="false">
      <c r="A544" s="30" t="str">
        <f aca="false">IF($B544="","","PAR-"&amp;TEXT(ROW()-4,"000000"))</f>
        <v/>
      </c>
      <c r="B544" s="32"/>
      <c r="C544" s="37"/>
      <c r="D544" s="31"/>
      <c r="E544" s="33"/>
      <c r="F544" s="32"/>
      <c r="G544" s="35" t="str">
        <f aca="false">IF($B544="","",IFERROR(INDEX(CM_NOME,MATCH($B544,CM_ID,0)),"?"))</f>
        <v/>
      </c>
      <c r="H544" s="34" t="str">
        <f aca="false">IF($B544="","",IFERROR(INDEX(CM_QTD,MATCH($B544,CM_ID,0)),""))</f>
        <v/>
      </c>
      <c r="I544" s="35" t="str">
        <f aca="false">IF($A544="","",$C544&amp;"/"&amp;$H544)</f>
        <v/>
      </c>
      <c r="J544" s="35" t="str">
        <f aca="false">IF($A544="","",IF($C544&lt;=IFERROR(INDEX(CM_PAGASANTES,MATCH($B544,CM_ID,0)),0),"SIM","NAO"))</f>
        <v/>
      </c>
      <c r="K544" s="36" t="n">
        <f aca="false">IF($A544="",0,SUMIFS(L_Valor,L_ParcID,$A544,L_Status,"REALIZADO"))</f>
        <v>0</v>
      </c>
      <c r="L544" s="38" t="str">
        <f aca="false">IF($A544="","",IFERROR(INDEX(L_Data,MATCH(1,INDEX((L_ParcID=$A544)*(L_Status="REALIZADO"),0),0)),""))</f>
        <v/>
      </c>
      <c r="M544" s="34" t="n">
        <f aca="false">IF($A544="",0,COUNTIFS(L_ParcID,$A544,L_Status,"REALIZADO"))</f>
        <v>0</v>
      </c>
      <c r="N544" s="34" t="n">
        <f aca="false">IF($A544="",0,COUNTIFS(L_ParcID,$A544,L_Status,"PROJETADO"))</f>
        <v>0</v>
      </c>
      <c r="O544" s="35" t="str">
        <f aca="false">IF($A544="","",IF($J544="SIM","PAGA",IF($M544&gt;0,"PAGA",IF($D544&lt;CFG_HOJE,"ATRASADA",IF($D544&lt;=EOMONTH(CFG_HOJE,0),"ABERTA","PROJETADA")))))</f>
        <v/>
      </c>
      <c r="P544" s="34" t="n">
        <f aca="false">IF($O544="ATRASADA",CFG_HOJE-$D544,0)</f>
        <v>0</v>
      </c>
      <c r="Q544" s="36" t="n">
        <f aca="false">IF($A544="",0,IF(AND($O544="PAGA",$J544="NAO"),$K544-$E544,0))</f>
        <v>0</v>
      </c>
    </row>
    <row r="545" customFormat="false" ht="15" hidden="false" customHeight="false" outlineLevel="0" collapsed="false">
      <c r="A545" s="30" t="str">
        <f aca="false">IF($B545="","","PAR-"&amp;TEXT(ROW()-4,"000000"))</f>
        <v/>
      </c>
      <c r="B545" s="32"/>
      <c r="C545" s="37"/>
      <c r="D545" s="31"/>
      <c r="E545" s="33"/>
      <c r="F545" s="32"/>
      <c r="G545" s="35" t="str">
        <f aca="false">IF($B545="","",IFERROR(INDEX(CM_NOME,MATCH($B545,CM_ID,0)),"?"))</f>
        <v/>
      </c>
      <c r="H545" s="34" t="str">
        <f aca="false">IF($B545="","",IFERROR(INDEX(CM_QTD,MATCH($B545,CM_ID,0)),""))</f>
        <v/>
      </c>
      <c r="I545" s="35" t="str">
        <f aca="false">IF($A545="","",$C545&amp;"/"&amp;$H545)</f>
        <v/>
      </c>
      <c r="J545" s="35" t="str">
        <f aca="false">IF($A545="","",IF($C545&lt;=IFERROR(INDEX(CM_PAGASANTES,MATCH($B545,CM_ID,0)),0),"SIM","NAO"))</f>
        <v/>
      </c>
      <c r="K545" s="36" t="n">
        <f aca="false">IF($A545="",0,SUMIFS(L_Valor,L_ParcID,$A545,L_Status,"REALIZADO"))</f>
        <v>0</v>
      </c>
      <c r="L545" s="38" t="str">
        <f aca="false">IF($A545="","",IFERROR(INDEX(L_Data,MATCH(1,INDEX((L_ParcID=$A545)*(L_Status="REALIZADO"),0),0)),""))</f>
        <v/>
      </c>
      <c r="M545" s="34" t="n">
        <f aca="false">IF($A545="",0,COUNTIFS(L_ParcID,$A545,L_Status,"REALIZADO"))</f>
        <v>0</v>
      </c>
      <c r="N545" s="34" t="n">
        <f aca="false">IF($A545="",0,COUNTIFS(L_ParcID,$A545,L_Status,"PROJETADO"))</f>
        <v>0</v>
      </c>
      <c r="O545" s="35" t="str">
        <f aca="false">IF($A545="","",IF($J545="SIM","PAGA",IF($M545&gt;0,"PAGA",IF($D545&lt;CFG_HOJE,"ATRASADA",IF($D545&lt;=EOMONTH(CFG_HOJE,0),"ABERTA","PROJETADA")))))</f>
        <v/>
      </c>
      <c r="P545" s="34" t="n">
        <f aca="false">IF($O545="ATRASADA",CFG_HOJE-$D545,0)</f>
        <v>0</v>
      </c>
      <c r="Q545" s="36" t="n">
        <f aca="false">IF($A545="",0,IF(AND($O545="PAGA",$J545="NAO"),$K545-$E545,0))</f>
        <v>0</v>
      </c>
    </row>
    <row r="546" customFormat="false" ht="15" hidden="false" customHeight="false" outlineLevel="0" collapsed="false">
      <c r="A546" s="30" t="str">
        <f aca="false">IF($B546="","","PAR-"&amp;TEXT(ROW()-4,"000000"))</f>
        <v/>
      </c>
      <c r="B546" s="32"/>
      <c r="C546" s="37"/>
      <c r="D546" s="31"/>
      <c r="E546" s="33"/>
      <c r="F546" s="32"/>
      <c r="G546" s="35" t="str">
        <f aca="false">IF($B546="","",IFERROR(INDEX(CM_NOME,MATCH($B546,CM_ID,0)),"?"))</f>
        <v/>
      </c>
      <c r="H546" s="34" t="str">
        <f aca="false">IF($B546="","",IFERROR(INDEX(CM_QTD,MATCH($B546,CM_ID,0)),""))</f>
        <v/>
      </c>
      <c r="I546" s="35" t="str">
        <f aca="false">IF($A546="","",$C546&amp;"/"&amp;$H546)</f>
        <v/>
      </c>
      <c r="J546" s="35" t="str">
        <f aca="false">IF($A546="","",IF($C546&lt;=IFERROR(INDEX(CM_PAGASANTES,MATCH($B546,CM_ID,0)),0),"SIM","NAO"))</f>
        <v/>
      </c>
      <c r="K546" s="36" t="n">
        <f aca="false">IF($A546="",0,SUMIFS(L_Valor,L_ParcID,$A546,L_Status,"REALIZADO"))</f>
        <v>0</v>
      </c>
      <c r="L546" s="38" t="str">
        <f aca="false">IF($A546="","",IFERROR(INDEX(L_Data,MATCH(1,INDEX((L_ParcID=$A546)*(L_Status="REALIZADO"),0),0)),""))</f>
        <v/>
      </c>
      <c r="M546" s="34" t="n">
        <f aca="false">IF($A546="",0,COUNTIFS(L_ParcID,$A546,L_Status,"REALIZADO"))</f>
        <v>0</v>
      </c>
      <c r="N546" s="34" t="n">
        <f aca="false">IF($A546="",0,COUNTIFS(L_ParcID,$A546,L_Status,"PROJETADO"))</f>
        <v>0</v>
      </c>
      <c r="O546" s="35" t="str">
        <f aca="false">IF($A546="","",IF($J546="SIM","PAGA",IF($M546&gt;0,"PAGA",IF($D546&lt;CFG_HOJE,"ATRASADA",IF($D546&lt;=EOMONTH(CFG_HOJE,0),"ABERTA","PROJETADA")))))</f>
        <v/>
      </c>
      <c r="P546" s="34" t="n">
        <f aca="false">IF($O546="ATRASADA",CFG_HOJE-$D546,0)</f>
        <v>0</v>
      </c>
      <c r="Q546" s="36" t="n">
        <f aca="false">IF($A546="",0,IF(AND($O546="PAGA",$J546="NAO"),$K546-$E546,0))</f>
        <v>0</v>
      </c>
    </row>
    <row r="547" customFormat="false" ht="15" hidden="false" customHeight="false" outlineLevel="0" collapsed="false">
      <c r="A547" s="30" t="str">
        <f aca="false">IF($B547="","","PAR-"&amp;TEXT(ROW()-4,"000000"))</f>
        <v/>
      </c>
      <c r="B547" s="32"/>
      <c r="C547" s="37"/>
      <c r="D547" s="31"/>
      <c r="E547" s="33"/>
      <c r="F547" s="32"/>
      <c r="G547" s="35" t="str">
        <f aca="false">IF($B547="","",IFERROR(INDEX(CM_NOME,MATCH($B547,CM_ID,0)),"?"))</f>
        <v/>
      </c>
      <c r="H547" s="34" t="str">
        <f aca="false">IF($B547="","",IFERROR(INDEX(CM_QTD,MATCH($B547,CM_ID,0)),""))</f>
        <v/>
      </c>
      <c r="I547" s="35" t="str">
        <f aca="false">IF($A547="","",$C547&amp;"/"&amp;$H547)</f>
        <v/>
      </c>
      <c r="J547" s="35" t="str">
        <f aca="false">IF($A547="","",IF($C547&lt;=IFERROR(INDEX(CM_PAGASANTES,MATCH($B547,CM_ID,0)),0),"SIM","NAO"))</f>
        <v/>
      </c>
      <c r="K547" s="36" t="n">
        <f aca="false">IF($A547="",0,SUMIFS(L_Valor,L_ParcID,$A547,L_Status,"REALIZADO"))</f>
        <v>0</v>
      </c>
      <c r="L547" s="38" t="str">
        <f aca="false">IF($A547="","",IFERROR(INDEX(L_Data,MATCH(1,INDEX((L_ParcID=$A547)*(L_Status="REALIZADO"),0),0)),""))</f>
        <v/>
      </c>
      <c r="M547" s="34" t="n">
        <f aca="false">IF($A547="",0,COUNTIFS(L_ParcID,$A547,L_Status,"REALIZADO"))</f>
        <v>0</v>
      </c>
      <c r="N547" s="34" t="n">
        <f aca="false">IF($A547="",0,COUNTIFS(L_ParcID,$A547,L_Status,"PROJETADO"))</f>
        <v>0</v>
      </c>
      <c r="O547" s="35" t="str">
        <f aca="false">IF($A547="","",IF($J547="SIM","PAGA",IF($M547&gt;0,"PAGA",IF($D547&lt;CFG_HOJE,"ATRASADA",IF($D547&lt;=EOMONTH(CFG_HOJE,0),"ABERTA","PROJETADA")))))</f>
        <v/>
      </c>
      <c r="P547" s="34" t="n">
        <f aca="false">IF($O547="ATRASADA",CFG_HOJE-$D547,0)</f>
        <v>0</v>
      </c>
      <c r="Q547" s="36" t="n">
        <f aca="false">IF($A547="",0,IF(AND($O547="PAGA",$J547="NAO"),$K547-$E547,0))</f>
        <v>0</v>
      </c>
    </row>
    <row r="548" customFormat="false" ht="15" hidden="false" customHeight="false" outlineLevel="0" collapsed="false">
      <c r="A548" s="30" t="str">
        <f aca="false">IF($B548="","","PAR-"&amp;TEXT(ROW()-4,"000000"))</f>
        <v/>
      </c>
      <c r="B548" s="32"/>
      <c r="C548" s="37"/>
      <c r="D548" s="31"/>
      <c r="E548" s="33"/>
      <c r="F548" s="32"/>
      <c r="G548" s="35" t="str">
        <f aca="false">IF($B548="","",IFERROR(INDEX(CM_NOME,MATCH($B548,CM_ID,0)),"?"))</f>
        <v/>
      </c>
      <c r="H548" s="34" t="str">
        <f aca="false">IF($B548="","",IFERROR(INDEX(CM_QTD,MATCH($B548,CM_ID,0)),""))</f>
        <v/>
      </c>
      <c r="I548" s="35" t="str">
        <f aca="false">IF($A548="","",$C548&amp;"/"&amp;$H548)</f>
        <v/>
      </c>
      <c r="J548" s="35" t="str">
        <f aca="false">IF($A548="","",IF($C548&lt;=IFERROR(INDEX(CM_PAGASANTES,MATCH($B548,CM_ID,0)),0),"SIM","NAO"))</f>
        <v/>
      </c>
      <c r="K548" s="36" t="n">
        <f aca="false">IF($A548="",0,SUMIFS(L_Valor,L_ParcID,$A548,L_Status,"REALIZADO"))</f>
        <v>0</v>
      </c>
      <c r="L548" s="38" t="str">
        <f aca="false">IF($A548="","",IFERROR(INDEX(L_Data,MATCH(1,INDEX((L_ParcID=$A548)*(L_Status="REALIZADO"),0),0)),""))</f>
        <v/>
      </c>
      <c r="M548" s="34" t="n">
        <f aca="false">IF($A548="",0,COUNTIFS(L_ParcID,$A548,L_Status,"REALIZADO"))</f>
        <v>0</v>
      </c>
      <c r="N548" s="34" t="n">
        <f aca="false">IF($A548="",0,COUNTIFS(L_ParcID,$A548,L_Status,"PROJETADO"))</f>
        <v>0</v>
      </c>
      <c r="O548" s="35" t="str">
        <f aca="false">IF($A548="","",IF($J548="SIM","PAGA",IF($M548&gt;0,"PAGA",IF($D548&lt;CFG_HOJE,"ATRASADA",IF($D548&lt;=EOMONTH(CFG_HOJE,0),"ABERTA","PROJETADA")))))</f>
        <v/>
      </c>
      <c r="P548" s="34" t="n">
        <f aca="false">IF($O548="ATRASADA",CFG_HOJE-$D548,0)</f>
        <v>0</v>
      </c>
      <c r="Q548" s="36" t="n">
        <f aca="false">IF($A548="",0,IF(AND($O548="PAGA",$J548="NAO"),$K548-$E548,0))</f>
        <v>0</v>
      </c>
    </row>
    <row r="549" customFormat="false" ht="15" hidden="false" customHeight="false" outlineLevel="0" collapsed="false">
      <c r="A549" s="30" t="str">
        <f aca="false">IF($B549="","","PAR-"&amp;TEXT(ROW()-4,"000000"))</f>
        <v/>
      </c>
      <c r="B549" s="32"/>
      <c r="C549" s="37"/>
      <c r="D549" s="31"/>
      <c r="E549" s="33"/>
      <c r="F549" s="32"/>
      <c r="G549" s="35" t="str">
        <f aca="false">IF($B549="","",IFERROR(INDEX(CM_NOME,MATCH($B549,CM_ID,0)),"?"))</f>
        <v/>
      </c>
      <c r="H549" s="34" t="str">
        <f aca="false">IF($B549="","",IFERROR(INDEX(CM_QTD,MATCH($B549,CM_ID,0)),""))</f>
        <v/>
      </c>
      <c r="I549" s="35" t="str">
        <f aca="false">IF($A549="","",$C549&amp;"/"&amp;$H549)</f>
        <v/>
      </c>
      <c r="J549" s="35" t="str">
        <f aca="false">IF($A549="","",IF($C549&lt;=IFERROR(INDEX(CM_PAGASANTES,MATCH($B549,CM_ID,0)),0),"SIM","NAO"))</f>
        <v/>
      </c>
      <c r="K549" s="36" t="n">
        <f aca="false">IF($A549="",0,SUMIFS(L_Valor,L_ParcID,$A549,L_Status,"REALIZADO"))</f>
        <v>0</v>
      </c>
      <c r="L549" s="38" t="str">
        <f aca="false">IF($A549="","",IFERROR(INDEX(L_Data,MATCH(1,INDEX((L_ParcID=$A549)*(L_Status="REALIZADO"),0),0)),""))</f>
        <v/>
      </c>
      <c r="M549" s="34" t="n">
        <f aca="false">IF($A549="",0,COUNTIFS(L_ParcID,$A549,L_Status,"REALIZADO"))</f>
        <v>0</v>
      </c>
      <c r="N549" s="34" t="n">
        <f aca="false">IF($A549="",0,COUNTIFS(L_ParcID,$A549,L_Status,"PROJETADO"))</f>
        <v>0</v>
      </c>
      <c r="O549" s="35" t="str">
        <f aca="false">IF($A549="","",IF($J549="SIM","PAGA",IF($M549&gt;0,"PAGA",IF($D549&lt;CFG_HOJE,"ATRASADA",IF($D549&lt;=EOMONTH(CFG_HOJE,0),"ABERTA","PROJETADA")))))</f>
        <v/>
      </c>
      <c r="P549" s="34" t="n">
        <f aca="false">IF($O549="ATRASADA",CFG_HOJE-$D549,0)</f>
        <v>0</v>
      </c>
      <c r="Q549" s="36" t="n">
        <f aca="false">IF($A549="",0,IF(AND($O549="PAGA",$J549="NAO"),$K549-$E549,0))</f>
        <v>0</v>
      </c>
    </row>
    <row r="550" customFormat="false" ht="15" hidden="false" customHeight="false" outlineLevel="0" collapsed="false">
      <c r="A550" s="30" t="str">
        <f aca="false">IF($B550="","","PAR-"&amp;TEXT(ROW()-4,"000000"))</f>
        <v/>
      </c>
      <c r="B550" s="32"/>
      <c r="C550" s="37"/>
      <c r="D550" s="31"/>
      <c r="E550" s="33"/>
      <c r="F550" s="32"/>
      <c r="G550" s="35" t="str">
        <f aca="false">IF($B550="","",IFERROR(INDEX(CM_NOME,MATCH($B550,CM_ID,0)),"?"))</f>
        <v/>
      </c>
      <c r="H550" s="34" t="str">
        <f aca="false">IF($B550="","",IFERROR(INDEX(CM_QTD,MATCH($B550,CM_ID,0)),""))</f>
        <v/>
      </c>
      <c r="I550" s="35" t="str">
        <f aca="false">IF($A550="","",$C550&amp;"/"&amp;$H550)</f>
        <v/>
      </c>
      <c r="J550" s="35" t="str">
        <f aca="false">IF($A550="","",IF($C550&lt;=IFERROR(INDEX(CM_PAGASANTES,MATCH($B550,CM_ID,0)),0),"SIM","NAO"))</f>
        <v/>
      </c>
      <c r="K550" s="36" t="n">
        <f aca="false">IF($A550="",0,SUMIFS(L_Valor,L_ParcID,$A550,L_Status,"REALIZADO"))</f>
        <v>0</v>
      </c>
      <c r="L550" s="38" t="str">
        <f aca="false">IF($A550="","",IFERROR(INDEX(L_Data,MATCH(1,INDEX((L_ParcID=$A550)*(L_Status="REALIZADO"),0),0)),""))</f>
        <v/>
      </c>
      <c r="M550" s="34" t="n">
        <f aca="false">IF($A550="",0,COUNTIFS(L_ParcID,$A550,L_Status,"REALIZADO"))</f>
        <v>0</v>
      </c>
      <c r="N550" s="34" t="n">
        <f aca="false">IF($A550="",0,COUNTIFS(L_ParcID,$A550,L_Status,"PROJETADO"))</f>
        <v>0</v>
      </c>
      <c r="O550" s="35" t="str">
        <f aca="false">IF($A550="","",IF($J550="SIM","PAGA",IF($M550&gt;0,"PAGA",IF($D550&lt;CFG_HOJE,"ATRASADA",IF($D550&lt;=EOMONTH(CFG_HOJE,0),"ABERTA","PROJETADA")))))</f>
        <v/>
      </c>
      <c r="P550" s="34" t="n">
        <f aca="false">IF($O550="ATRASADA",CFG_HOJE-$D550,0)</f>
        <v>0</v>
      </c>
      <c r="Q550" s="36" t="n">
        <f aca="false">IF($A550="",0,IF(AND($O550="PAGA",$J550="NAO"),$K550-$E550,0))</f>
        <v>0</v>
      </c>
    </row>
    <row r="551" customFormat="false" ht="15" hidden="false" customHeight="false" outlineLevel="0" collapsed="false">
      <c r="A551" s="30" t="str">
        <f aca="false">IF($B551="","","PAR-"&amp;TEXT(ROW()-4,"000000"))</f>
        <v/>
      </c>
      <c r="B551" s="32"/>
      <c r="C551" s="37"/>
      <c r="D551" s="31"/>
      <c r="E551" s="33"/>
      <c r="F551" s="32"/>
      <c r="G551" s="35" t="str">
        <f aca="false">IF($B551="","",IFERROR(INDEX(CM_NOME,MATCH($B551,CM_ID,0)),"?"))</f>
        <v/>
      </c>
      <c r="H551" s="34" t="str">
        <f aca="false">IF($B551="","",IFERROR(INDEX(CM_QTD,MATCH($B551,CM_ID,0)),""))</f>
        <v/>
      </c>
      <c r="I551" s="35" t="str">
        <f aca="false">IF($A551="","",$C551&amp;"/"&amp;$H551)</f>
        <v/>
      </c>
      <c r="J551" s="35" t="str">
        <f aca="false">IF($A551="","",IF($C551&lt;=IFERROR(INDEX(CM_PAGASANTES,MATCH($B551,CM_ID,0)),0),"SIM","NAO"))</f>
        <v/>
      </c>
      <c r="K551" s="36" t="n">
        <f aca="false">IF($A551="",0,SUMIFS(L_Valor,L_ParcID,$A551,L_Status,"REALIZADO"))</f>
        <v>0</v>
      </c>
      <c r="L551" s="38" t="str">
        <f aca="false">IF($A551="","",IFERROR(INDEX(L_Data,MATCH(1,INDEX((L_ParcID=$A551)*(L_Status="REALIZADO"),0),0)),""))</f>
        <v/>
      </c>
      <c r="M551" s="34" t="n">
        <f aca="false">IF($A551="",0,COUNTIFS(L_ParcID,$A551,L_Status,"REALIZADO"))</f>
        <v>0</v>
      </c>
      <c r="N551" s="34" t="n">
        <f aca="false">IF($A551="",0,COUNTIFS(L_ParcID,$A551,L_Status,"PROJETADO"))</f>
        <v>0</v>
      </c>
      <c r="O551" s="35" t="str">
        <f aca="false">IF($A551="","",IF($J551="SIM","PAGA",IF($M551&gt;0,"PAGA",IF($D551&lt;CFG_HOJE,"ATRASADA",IF($D551&lt;=EOMONTH(CFG_HOJE,0),"ABERTA","PROJETADA")))))</f>
        <v/>
      </c>
      <c r="P551" s="34" t="n">
        <f aca="false">IF($O551="ATRASADA",CFG_HOJE-$D551,0)</f>
        <v>0</v>
      </c>
      <c r="Q551" s="36" t="n">
        <f aca="false">IF($A551="",0,IF(AND($O551="PAGA",$J551="NAO"),$K551-$E551,0))</f>
        <v>0</v>
      </c>
    </row>
    <row r="552" customFormat="false" ht="15" hidden="false" customHeight="false" outlineLevel="0" collapsed="false">
      <c r="A552" s="30" t="str">
        <f aca="false">IF($B552="","","PAR-"&amp;TEXT(ROW()-4,"000000"))</f>
        <v/>
      </c>
      <c r="B552" s="32"/>
      <c r="C552" s="37"/>
      <c r="D552" s="31"/>
      <c r="E552" s="33"/>
      <c r="F552" s="32"/>
      <c r="G552" s="35" t="str">
        <f aca="false">IF($B552="","",IFERROR(INDEX(CM_NOME,MATCH($B552,CM_ID,0)),"?"))</f>
        <v/>
      </c>
      <c r="H552" s="34" t="str">
        <f aca="false">IF($B552="","",IFERROR(INDEX(CM_QTD,MATCH($B552,CM_ID,0)),""))</f>
        <v/>
      </c>
      <c r="I552" s="35" t="str">
        <f aca="false">IF($A552="","",$C552&amp;"/"&amp;$H552)</f>
        <v/>
      </c>
      <c r="J552" s="35" t="str">
        <f aca="false">IF($A552="","",IF($C552&lt;=IFERROR(INDEX(CM_PAGASANTES,MATCH($B552,CM_ID,0)),0),"SIM","NAO"))</f>
        <v/>
      </c>
      <c r="K552" s="36" t="n">
        <f aca="false">IF($A552="",0,SUMIFS(L_Valor,L_ParcID,$A552,L_Status,"REALIZADO"))</f>
        <v>0</v>
      </c>
      <c r="L552" s="38" t="str">
        <f aca="false">IF($A552="","",IFERROR(INDEX(L_Data,MATCH(1,INDEX((L_ParcID=$A552)*(L_Status="REALIZADO"),0),0)),""))</f>
        <v/>
      </c>
      <c r="M552" s="34" t="n">
        <f aca="false">IF($A552="",0,COUNTIFS(L_ParcID,$A552,L_Status,"REALIZADO"))</f>
        <v>0</v>
      </c>
      <c r="N552" s="34" t="n">
        <f aca="false">IF($A552="",0,COUNTIFS(L_ParcID,$A552,L_Status,"PROJETADO"))</f>
        <v>0</v>
      </c>
      <c r="O552" s="35" t="str">
        <f aca="false">IF($A552="","",IF($J552="SIM","PAGA",IF($M552&gt;0,"PAGA",IF($D552&lt;CFG_HOJE,"ATRASADA",IF($D552&lt;=EOMONTH(CFG_HOJE,0),"ABERTA","PROJETADA")))))</f>
        <v/>
      </c>
      <c r="P552" s="34" t="n">
        <f aca="false">IF($O552="ATRASADA",CFG_HOJE-$D552,0)</f>
        <v>0</v>
      </c>
      <c r="Q552" s="36" t="n">
        <f aca="false">IF($A552="",0,IF(AND($O552="PAGA",$J552="NAO"),$K552-$E552,0))</f>
        <v>0</v>
      </c>
    </row>
    <row r="553" customFormat="false" ht="15" hidden="false" customHeight="false" outlineLevel="0" collapsed="false">
      <c r="A553" s="30" t="str">
        <f aca="false">IF($B553="","","PAR-"&amp;TEXT(ROW()-4,"000000"))</f>
        <v/>
      </c>
      <c r="B553" s="32"/>
      <c r="C553" s="37"/>
      <c r="D553" s="31"/>
      <c r="E553" s="33"/>
      <c r="F553" s="32"/>
      <c r="G553" s="35" t="str">
        <f aca="false">IF($B553="","",IFERROR(INDEX(CM_NOME,MATCH($B553,CM_ID,0)),"?"))</f>
        <v/>
      </c>
      <c r="H553" s="34" t="str">
        <f aca="false">IF($B553="","",IFERROR(INDEX(CM_QTD,MATCH($B553,CM_ID,0)),""))</f>
        <v/>
      </c>
      <c r="I553" s="35" t="str">
        <f aca="false">IF($A553="","",$C553&amp;"/"&amp;$H553)</f>
        <v/>
      </c>
      <c r="J553" s="35" t="str">
        <f aca="false">IF($A553="","",IF($C553&lt;=IFERROR(INDEX(CM_PAGASANTES,MATCH($B553,CM_ID,0)),0),"SIM","NAO"))</f>
        <v/>
      </c>
      <c r="K553" s="36" t="n">
        <f aca="false">IF($A553="",0,SUMIFS(L_Valor,L_ParcID,$A553,L_Status,"REALIZADO"))</f>
        <v>0</v>
      </c>
      <c r="L553" s="38" t="str">
        <f aca="false">IF($A553="","",IFERROR(INDEX(L_Data,MATCH(1,INDEX((L_ParcID=$A553)*(L_Status="REALIZADO"),0),0)),""))</f>
        <v/>
      </c>
      <c r="M553" s="34" t="n">
        <f aca="false">IF($A553="",0,COUNTIFS(L_ParcID,$A553,L_Status,"REALIZADO"))</f>
        <v>0</v>
      </c>
      <c r="N553" s="34" t="n">
        <f aca="false">IF($A553="",0,COUNTIFS(L_ParcID,$A553,L_Status,"PROJETADO"))</f>
        <v>0</v>
      </c>
      <c r="O553" s="35" t="str">
        <f aca="false">IF($A553="","",IF($J553="SIM","PAGA",IF($M553&gt;0,"PAGA",IF($D553&lt;CFG_HOJE,"ATRASADA",IF($D553&lt;=EOMONTH(CFG_HOJE,0),"ABERTA","PROJETADA")))))</f>
        <v/>
      </c>
      <c r="P553" s="34" t="n">
        <f aca="false">IF($O553="ATRASADA",CFG_HOJE-$D553,0)</f>
        <v>0</v>
      </c>
      <c r="Q553" s="36" t="n">
        <f aca="false">IF($A553="",0,IF(AND($O553="PAGA",$J553="NAO"),$K553-$E553,0))</f>
        <v>0</v>
      </c>
    </row>
    <row r="554" customFormat="false" ht="15" hidden="false" customHeight="false" outlineLevel="0" collapsed="false">
      <c r="A554" s="30" t="str">
        <f aca="false">IF($B554="","","PAR-"&amp;TEXT(ROW()-4,"000000"))</f>
        <v/>
      </c>
      <c r="B554" s="32"/>
      <c r="C554" s="37"/>
      <c r="D554" s="31"/>
      <c r="E554" s="33"/>
      <c r="F554" s="32"/>
      <c r="G554" s="35" t="str">
        <f aca="false">IF($B554="","",IFERROR(INDEX(CM_NOME,MATCH($B554,CM_ID,0)),"?"))</f>
        <v/>
      </c>
      <c r="H554" s="34" t="str">
        <f aca="false">IF($B554="","",IFERROR(INDEX(CM_QTD,MATCH($B554,CM_ID,0)),""))</f>
        <v/>
      </c>
      <c r="I554" s="35" t="str">
        <f aca="false">IF($A554="","",$C554&amp;"/"&amp;$H554)</f>
        <v/>
      </c>
      <c r="J554" s="35" t="str">
        <f aca="false">IF($A554="","",IF($C554&lt;=IFERROR(INDEX(CM_PAGASANTES,MATCH($B554,CM_ID,0)),0),"SIM","NAO"))</f>
        <v/>
      </c>
      <c r="K554" s="36" t="n">
        <f aca="false">IF($A554="",0,SUMIFS(L_Valor,L_ParcID,$A554,L_Status,"REALIZADO"))</f>
        <v>0</v>
      </c>
      <c r="L554" s="38" t="str">
        <f aca="false">IF($A554="","",IFERROR(INDEX(L_Data,MATCH(1,INDEX((L_ParcID=$A554)*(L_Status="REALIZADO"),0),0)),""))</f>
        <v/>
      </c>
      <c r="M554" s="34" t="n">
        <f aca="false">IF($A554="",0,COUNTIFS(L_ParcID,$A554,L_Status,"REALIZADO"))</f>
        <v>0</v>
      </c>
      <c r="N554" s="34" t="n">
        <f aca="false">IF($A554="",0,COUNTIFS(L_ParcID,$A554,L_Status,"PROJETADO"))</f>
        <v>0</v>
      </c>
      <c r="O554" s="35" t="str">
        <f aca="false">IF($A554="","",IF($J554="SIM","PAGA",IF($M554&gt;0,"PAGA",IF($D554&lt;CFG_HOJE,"ATRASADA",IF($D554&lt;=EOMONTH(CFG_HOJE,0),"ABERTA","PROJETADA")))))</f>
        <v/>
      </c>
      <c r="P554" s="34" t="n">
        <f aca="false">IF($O554="ATRASADA",CFG_HOJE-$D554,0)</f>
        <v>0</v>
      </c>
      <c r="Q554" s="36" t="n">
        <f aca="false">IF($A554="",0,IF(AND($O554="PAGA",$J554="NAO"),$K554-$E554,0))</f>
        <v>0</v>
      </c>
    </row>
    <row r="555" customFormat="false" ht="15" hidden="false" customHeight="false" outlineLevel="0" collapsed="false">
      <c r="A555" s="30" t="str">
        <f aca="false">IF($B555="","","PAR-"&amp;TEXT(ROW()-4,"000000"))</f>
        <v/>
      </c>
      <c r="B555" s="32"/>
      <c r="C555" s="37"/>
      <c r="D555" s="31"/>
      <c r="E555" s="33"/>
      <c r="F555" s="32"/>
      <c r="G555" s="35" t="str">
        <f aca="false">IF($B555="","",IFERROR(INDEX(CM_NOME,MATCH($B555,CM_ID,0)),"?"))</f>
        <v/>
      </c>
      <c r="H555" s="34" t="str">
        <f aca="false">IF($B555="","",IFERROR(INDEX(CM_QTD,MATCH($B555,CM_ID,0)),""))</f>
        <v/>
      </c>
      <c r="I555" s="35" t="str">
        <f aca="false">IF($A555="","",$C555&amp;"/"&amp;$H555)</f>
        <v/>
      </c>
      <c r="J555" s="35" t="str">
        <f aca="false">IF($A555="","",IF($C555&lt;=IFERROR(INDEX(CM_PAGASANTES,MATCH($B555,CM_ID,0)),0),"SIM","NAO"))</f>
        <v/>
      </c>
      <c r="K555" s="36" t="n">
        <f aca="false">IF($A555="",0,SUMIFS(L_Valor,L_ParcID,$A555,L_Status,"REALIZADO"))</f>
        <v>0</v>
      </c>
      <c r="L555" s="38" t="str">
        <f aca="false">IF($A555="","",IFERROR(INDEX(L_Data,MATCH(1,INDEX((L_ParcID=$A555)*(L_Status="REALIZADO"),0),0)),""))</f>
        <v/>
      </c>
      <c r="M555" s="34" t="n">
        <f aca="false">IF($A555="",0,COUNTIFS(L_ParcID,$A555,L_Status,"REALIZADO"))</f>
        <v>0</v>
      </c>
      <c r="N555" s="34" t="n">
        <f aca="false">IF($A555="",0,COUNTIFS(L_ParcID,$A555,L_Status,"PROJETADO"))</f>
        <v>0</v>
      </c>
      <c r="O555" s="35" t="str">
        <f aca="false">IF($A555="","",IF($J555="SIM","PAGA",IF($M555&gt;0,"PAGA",IF($D555&lt;CFG_HOJE,"ATRASADA",IF($D555&lt;=EOMONTH(CFG_HOJE,0),"ABERTA","PROJETADA")))))</f>
        <v/>
      </c>
      <c r="P555" s="34" t="n">
        <f aca="false">IF($O555="ATRASADA",CFG_HOJE-$D555,0)</f>
        <v>0</v>
      </c>
      <c r="Q555" s="36" t="n">
        <f aca="false">IF($A555="",0,IF(AND($O555="PAGA",$J555="NAO"),$K555-$E555,0))</f>
        <v>0</v>
      </c>
    </row>
    <row r="556" customFormat="false" ht="15" hidden="false" customHeight="false" outlineLevel="0" collapsed="false">
      <c r="A556" s="30" t="str">
        <f aca="false">IF($B556="","","PAR-"&amp;TEXT(ROW()-4,"000000"))</f>
        <v/>
      </c>
      <c r="B556" s="32"/>
      <c r="C556" s="37"/>
      <c r="D556" s="31"/>
      <c r="E556" s="33"/>
      <c r="F556" s="32"/>
      <c r="G556" s="35" t="str">
        <f aca="false">IF($B556="","",IFERROR(INDEX(CM_NOME,MATCH($B556,CM_ID,0)),"?"))</f>
        <v/>
      </c>
      <c r="H556" s="34" t="str">
        <f aca="false">IF($B556="","",IFERROR(INDEX(CM_QTD,MATCH($B556,CM_ID,0)),""))</f>
        <v/>
      </c>
      <c r="I556" s="35" t="str">
        <f aca="false">IF($A556="","",$C556&amp;"/"&amp;$H556)</f>
        <v/>
      </c>
      <c r="J556" s="35" t="str">
        <f aca="false">IF($A556="","",IF($C556&lt;=IFERROR(INDEX(CM_PAGASANTES,MATCH($B556,CM_ID,0)),0),"SIM","NAO"))</f>
        <v/>
      </c>
      <c r="K556" s="36" t="n">
        <f aca="false">IF($A556="",0,SUMIFS(L_Valor,L_ParcID,$A556,L_Status,"REALIZADO"))</f>
        <v>0</v>
      </c>
      <c r="L556" s="38" t="str">
        <f aca="false">IF($A556="","",IFERROR(INDEX(L_Data,MATCH(1,INDEX((L_ParcID=$A556)*(L_Status="REALIZADO"),0),0)),""))</f>
        <v/>
      </c>
      <c r="M556" s="34" t="n">
        <f aca="false">IF($A556="",0,COUNTIFS(L_ParcID,$A556,L_Status,"REALIZADO"))</f>
        <v>0</v>
      </c>
      <c r="N556" s="34" t="n">
        <f aca="false">IF($A556="",0,COUNTIFS(L_ParcID,$A556,L_Status,"PROJETADO"))</f>
        <v>0</v>
      </c>
      <c r="O556" s="35" t="str">
        <f aca="false">IF($A556="","",IF($J556="SIM","PAGA",IF($M556&gt;0,"PAGA",IF($D556&lt;CFG_HOJE,"ATRASADA",IF($D556&lt;=EOMONTH(CFG_HOJE,0),"ABERTA","PROJETADA")))))</f>
        <v/>
      </c>
      <c r="P556" s="34" t="n">
        <f aca="false">IF($O556="ATRASADA",CFG_HOJE-$D556,0)</f>
        <v>0</v>
      </c>
      <c r="Q556" s="36" t="n">
        <f aca="false">IF($A556="",0,IF(AND($O556="PAGA",$J556="NAO"),$K556-$E556,0))</f>
        <v>0</v>
      </c>
    </row>
    <row r="557" customFormat="false" ht="15" hidden="false" customHeight="false" outlineLevel="0" collapsed="false">
      <c r="A557" s="30" t="str">
        <f aca="false">IF($B557="","","PAR-"&amp;TEXT(ROW()-4,"000000"))</f>
        <v/>
      </c>
      <c r="B557" s="32"/>
      <c r="C557" s="37"/>
      <c r="D557" s="31"/>
      <c r="E557" s="33"/>
      <c r="F557" s="32"/>
      <c r="G557" s="35" t="str">
        <f aca="false">IF($B557="","",IFERROR(INDEX(CM_NOME,MATCH($B557,CM_ID,0)),"?"))</f>
        <v/>
      </c>
      <c r="H557" s="34" t="str">
        <f aca="false">IF($B557="","",IFERROR(INDEX(CM_QTD,MATCH($B557,CM_ID,0)),""))</f>
        <v/>
      </c>
      <c r="I557" s="35" t="str">
        <f aca="false">IF($A557="","",$C557&amp;"/"&amp;$H557)</f>
        <v/>
      </c>
      <c r="J557" s="35" t="str">
        <f aca="false">IF($A557="","",IF($C557&lt;=IFERROR(INDEX(CM_PAGASANTES,MATCH($B557,CM_ID,0)),0),"SIM","NAO"))</f>
        <v/>
      </c>
      <c r="K557" s="36" t="n">
        <f aca="false">IF($A557="",0,SUMIFS(L_Valor,L_ParcID,$A557,L_Status,"REALIZADO"))</f>
        <v>0</v>
      </c>
      <c r="L557" s="38" t="str">
        <f aca="false">IF($A557="","",IFERROR(INDEX(L_Data,MATCH(1,INDEX((L_ParcID=$A557)*(L_Status="REALIZADO"),0),0)),""))</f>
        <v/>
      </c>
      <c r="M557" s="34" t="n">
        <f aca="false">IF($A557="",0,COUNTIFS(L_ParcID,$A557,L_Status,"REALIZADO"))</f>
        <v>0</v>
      </c>
      <c r="N557" s="34" t="n">
        <f aca="false">IF($A557="",0,COUNTIFS(L_ParcID,$A557,L_Status,"PROJETADO"))</f>
        <v>0</v>
      </c>
      <c r="O557" s="35" t="str">
        <f aca="false">IF($A557="","",IF($J557="SIM","PAGA",IF($M557&gt;0,"PAGA",IF($D557&lt;CFG_HOJE,"ATRASADA",IF($D557&lt;=EOMONTH(CFG_HOJE,0),"ABERTA","PROJETADA")))))</f>
        <v/>
      </c>
      <c r="P557" s="34" t="n">
        <f aca="false">IF($O557="ATRASADA",CFG_HOJE-$D557,0)</f>
        <v>0</v>
      </c>
      <c r="Q557" s="36" t="n">
        <f aca="false">IF($A557="",0,IF(AND($O557="PAGA",$J557="NAO"),$K557-$E557,0))</f>
        <v>0</v>
      </c>
    </row>
    <row r="558" customFormat="false" ht="15" hidden="false" customHeight="false" outlineLevel="0" collapsed="false">
      <c r="A558" s="30" t="str">
        <f aca="false">IF($B558="","","PAR-"&amp;TEXT(ROW()-4,"000000"))</f>
        <v/>
      </c>
      <c r="B558" s="32"/>
      <c r="C558" s="37"/>
      <c r="D558" s="31"/>
      <c r="E558" s="33"/>
      <c r="F558" s="32"/>
      <c r="G558" s="35" t="str">
        <f aca="false">IF($B558="","",IFERROR(INDEX(CM_NOME,MATCH($B558,CM_ID,0)),"?"))</f>
        <v/>
      </c>
      <c r="H558" s="34" t="str">
        <f aca="false">IF($B558="","",IFERROR(INDEX(CM_QTD,MATCH($B558,CM_ID,0)),""))</f>
        <v/>
      </c>
      <c r="I558" s="35" t="str">
        <f aca="false">IF($A558="","",$C558&amp;"/"&amp;$H558)</f>
        <v/>
      </c>
      <c r="J558" s="35" t="str">
        <f aca="false">IF($A558="","",IF($C558&lt;=IFERROR(INDEX(CM_PAGASANTES,MATCH($B558,CM_ID,0)),0),"SIM","NAO"))</f>
        <v/>
      </c>
      <c r="K558" s="36" t="n">
        <f aca="false">IF($A558="",0,SUMIFS(L_Valor,L_ParcID,$A558,L_Status,"REALIZADO"))</f>
        <v>0</v>
      </c>
      <c r="L558" s="38" t="str">
        <f aca="false">IF($A558="","",IFERROR(INDEX(L_Data,MATCH(1,INDEX((L_ParcID=$A558)*(L_Status="REALIZADO"),0),0)),""))</f>
        <v/>
      </c>
      <c r="M558" s="34" t="n">
        <f aca="false">IF($A558="",0,COUNTIFS(L_ParcID,$A558,L_Status,"REALIZADO"))</f>
        <v>0</v>
      </c>
      <c r="N558" s="34" t="n">
        <f aca="false">IF($A558="",0,COUNTIFS(L_ParcID,$A558,L_Status,"PROJETADO"))</f>
        <v>0</v>
      </c>
      <c r="O558" s="35" t="str">
        <f aca="false">IF($A558="","",IF($J558="SIM","PAGA",IF($M558&gt;0,"PAGA",IF($D558&lt;CFG_HOJE,"ATRASADA",IF($D558&lt;=EOMONTH(CFG_HOJE,0),"ABERTA","PROJETADA")))))</f>
        <v/>
      </c>
      <c r="P558" s="34" t="n">
        <f aca="false">IF($O558="ATRASADA",CFG_HOJE-$D558,0)</f>
        <v>0</v>
      </c>
      <c r="Q558" s="36" t="n">
        <f aca="false">IF($A558="",0,IF(AND($O558="PAGA",$J558="NAO"),$K558-$E558,0))</f>
        <v>0</v>
      </c>
    </row>
    <row r="559" customFormat="false" ht="15" hidden="false" customHeight="false" outlineLevel="0" collapsed="false">
      <c r="A559" s="30" t="str">
        <f aca="false">IF($B559="","","PAR-"&amp;TEXT(ROW()-4,"000000"))</f>
        <v/>
      </c>
      <c r="B559" s="32"/>
      <c r="C559" s="37"/>
      <c r="D559" s="31"/>
      <c r="E559" s="33"/>
      <c r="F559" s="32"/>
      <c r="G559" s="35" t="str">
        <f aca="false">IF($B559="","",IFERROR(INDEX(CM_NOME,MATCH($B559,CM_ID,0)),"?"))</f>
        <v/>
      </c>
      <c r="H559" s="34" t="str">
        <f aca="false">IF($B559="","",IFERROR(INDEX(CM_QTD,MATCH($B559,CM_ID,0)),""))</f>
        <v/>
      </c>
      <c r="I559" s="35" t="str">
        <f aca="false">IF($A559="","",$C559&amp;"/"&amp;$H559)</f>
        <v/>
      </c>
      <c r="J559" s="35" t="str">
        <f aca="false">IF($A559="","",IF($C559&lt;=IFERROR(INDEX(CM_PAGASANTES,MATCH($B559,CM_ID,0)),0),"SIM","NAO"))</f>
        <v/>
      </c>
      <c r="K559" s="36" t="n">
        <f aca="false">IF($A559="",0,SUMIFS(L_Valor,L_ParcID,$A559,L_Status,"REALIZADO"))</f>
        <v>0</v>
      </c>
      <c r="L559" s="38" t="str">
        <f aca="false">IF($A559="","",IFERROR(INDEX(L_Data,MATCH(1,INDEX((L_ParcID=$A559)*(L_Status="REALIZADO"),0),0)),""))</f>
        <v/>
      </c>
      <c r="M559" s="34" t="n">
        <f aca="false">IF($A559="",0,COUNTIFS(L_ParcID,$A559,L_Status,"REALIZADO"))</f>
        <v>0</v>
      </c>
      <c r="N559" s="34" t="n">
        <f aca="false">IF($A559="",0,COUNTIFS(L_ParcID,$A559,L_Status,"PROJETADO"))</f>
        <v>0</v>
      </c>
      <c r="O559" s="35" t="str">
        <f aca="false">IF($A559="","",IF($J559="SIM","PAGA",IF($M559&gt;0,"PAGA",IF($D559&lt;CFG_HOJE,"ATRASADA",IF($D559&lt;=EOMONTH(CFG_HOJE,0),"ABERTA","PROJETADA")))))</f>
        <v/>
      </c>
      <c r="P559" s="34" t="n">
        <f aca="false">IF($O559="ATRASADA",CFG_HOJE-$D559,0)</f>
        <v>0</v>
      </c>
      <c r="Q559" s="36" t="n">
        <f aca="false">IF($A559="",0,IF(AND($O559="PAGA",$J559="NAO"),$K559-$E559,0))</f>
        <v>0</v>
      </c>
    </row>
    <row r="560" customFormat="false" ht="15" hidden="false" customHeight="false" outlineLevel="0" collapsed="false">
      <c r="A560" s="30" t="str">
        <f aca="false">IF($B560="","","PAR-"&amp;TEXT(ROW()-4,"000000"))</f>
        <v/>
      </c>
      <c r="B560" s="32"/>
      <c r="C560" s="37"/>
      <c r="D560" s="31"/>
      <c r="E560" s="33"/>
      <c r="F560" s="32"/>
      <c r="G560" s="35" t="str">
        <f aca="false">IF($B560="","",IFERROR(INDEX(CM_NOME,MATCH($B560,CM_ID,0)),"?"))</f>
        <v/>
      </c>
      <c r="H560" s="34" t="str">
        <f aca="false">IF($B560="","",IFERROR(INDEX(CM_QTD,MATCH($B560,CM_ID,0)),""))</f>
        <v/>
      </c>
      <c r="I560" s="35" t="str">
        <f aca="false">IF($A560="","",$C560&amp;"/"&amp;$H560)</f>
        <v/>
      </c>
      <c r="J560" s="35" t="str">
        <f aca="false">IF($A560="","",IF($C560&lt;=IFERROR(INDEX(CM_PAGASANTES,MATCH($B560,CM_ID,0)),0),"SIM","NAO"))</f>
        <v/>
      </c>
      <c r="K560" s="36" t="n">
        <f aca="false">IF($A560="",0,SUMIFS(L_Valor,L_ParcID,$A560,L_Status,"REALIZADO"))</f>
        <v>0</v>
      </c>
      <c r="L560" s="38" t="str">
        <f aca="false">IF($A560="","",IFERROR(INDEX(L_Data,MATCH(1,INDEX((L_ParcID=$A560)*(L_Status="REALIZADO"),0),0)),""))</f>
        <v/>
      </c>
      <c r="M560" s="34" t="n">
        <f aca="false">IF($A560="",0,COUNTIFS(L_ParcID,$A560,L_Status,"REALIZADO"))</f>
        <v>0</v>
      </c>
      <c r="N560" s="34" t="n">
        <f aca="false">IF($A560="",0,COUNTIFS(L_ParcID,$A560,L_Status,"PROJETADO"))</f>
        <v>0</v>
      </c>
      <c r="O560" s="35" t="str">
        <f aca="false">IF($A560="","",IF($J560="SIM","PAGA",IF($M560&gt;0,"PAGA",IF($D560&lt;CFG_HOJE,"ATRASADA",IF($D560&lt;=EOMONTH(CFG_HOJE,0),"ABERTA","PROJETADA")))))</f>
        <v/>
      </c>
      <c r="P560" s="34" t="n">
        <f aca="false">IF($O560="ATRASADA",CFG_HOJE-$D560,0)</f>
        <v>0</v>
      </c>
      <c r="Q560" s="36" t="n">
        <f aca="false">IF($A560="",0,IF(AND($O560="PAGA",$J560="NAO"),$K560-$E560,0))</f>
        <v>0</v>
      </c>
    </row>
    <row r="561" customFormat="false" ht="15" hidden="false" customHeight="false" outlineLevel="0" collapsed="false">
      <c r="A561" s="30" t="str">
        <f aca="false">IF($B561="","","PAR-"&amp;TEXT(ROW()-4,"000000"))</f>
        <v/>
      </c>
      <c r="B561" s="32"/>
      <c r="C561" s="37"/>
      <c r="D561" s="31"/>
      <c r="E561" s="33"/>
      <c r="F561" s="32"/>
      <c r="G561" s="35" t="str">
        <f aca="false">IF($B561="","",IFERROR(INDEX(CM_NOME,MATCH($B561,CM_ID,0)),"?"))</f>
        <v/>
      </c>
      <c r="H561" s="34" t="str">
        <f aca="false">IF($B561="","",IFERROR(INDEX(CM_QTD,MATCH($B561,CM_ID,0)),""))</f>
        <v/>
      </c>
      <c r="I561" s="35" t="str">
        <f aca="false">IF($A561="","",$C561&amp;"/"&amp;$H561)</f>
        <v/>
      </c>
      <c r="J561" s="35" t="str">
        <f aca="false">IF($A561="","",IF($C561&lt;=IFERROR(INDEX(CM_PAGASANTES,MATCH($B561,CM_ID,0)),0),"SIM","NAO"))</f>
        <v/>
      </c>
      <c r="K561" s="36" t="n">
        <f aca="false">IF($A561="",0,SUMIFS(L_Valor,L_ParcID,$A561,L_Status,"REALIZADO"))</f>
        <v>0</v>
      </c>
      <c r="L561" s="38" t="str">
        <f aca="false">IF($A561="","",IFERROR(INDEX(L_Data,MATCH(1,INDEX((L_ParcID=$A561)*(L_Status="REALIZADO"),0),0)),""))</f>
        <v/>
      </c>
      <c r="M561" s="34" t="n">
        <f aca="false">IF($A561="",0,COUNTIFS(L_ParcID,$A561,L_Status,"REALIZADO"))</f>
        <v>0</v>
      </c>
      <c r="N561" s="34" t="n">
        <f aca="false">IF($A561="",0,COUNTIFS(L_ParcID,$A561,L_Status,"PROJETADO"))</f>
        <v>0</v>
      </c>
      <c r="O561" s="35" t="str">
        <f aca="false">IF($A561="","",IF($J561="SIM","PAGA",IF($M561&gt;0,"PAGA",IF($D561&lt;CFG_HOJE,"ATRASADA",IF($D561&lt;=EOMONTH(CFG_HOJE,0),"ABERTA","PROJETADA")))))</f>
        <v/>
      </c>
      <c r="P561" s="34" t="n">
        <f aca="false">IF($O561="ATRASADA",CFG_HOJE-$D561,0)</f>
        <v>0</v>
      </c>
      <c r="Q561" s="36" t="n">
        <f aca="false">IF($A561="",0,IF(AND($O561="PAGA",$J561="NAO"),$K561-$E561,0))</f>
        <v>0</v>
      </c>
    </row>
    <row r="562" customFormat="false" ht="15" hidden="false" customHeight="false" outlineLevel="0" collapsed="false">
      <c r="A562" s="30" t="str">
        <f aca="false">IF($B562="","","PAR-"&amp;TEXT(ROW()-4,"000000"))</f>
        <v/>
      </c>
      <c r="B562" s="32"/>
      <c r="C562" s="37"/>
      <c r="D562" s="31"/>
      <c r="E562" s="33"/>
      <c r="F562" s="32"/>
      <c r="G562" s="35" t="str">
        <f aca="false">IF($B562="","",IFERROR(INDEX(CM_NOME,MATCH($B562,CM_ID,0)),"?"))</f>
        <v/>
      </c>
      <c r="H562" s="34" t="str">
        <f aca="false">IF($B562="","",IFERROR(INDEX(CM_QTD,MATCH($B562,CM_ID,0)),""))</f>
        <v/>
      </c>
      <c r="I562" s="35" t="str">
        <f aca="false">IF($A562="","",$C562&amp;"/"&amp;$H562)</f>
        <v/>
      </c>
      <c r="J562" s="35" t="str">
        <f aca="false">IF($A562="","",IF($C562&lt;=IFERROR(INDEX(CM_PAGASANTES,MATCH($B562,CM_ID,0)),0),"SIM","NAO"))</f>
        <v/>
      </c>
      <c r="K562" s="36" t="n">
        <f aca="false">IF($A562="",0,SUMIFS(L_Valor,L_ParcID,$A562,L_Status,"REALIZADO"))</f>
        <v>0</v>
      </c>
      <c r="L562" s="38" t="str">
        <f aca="false">IF($A562="","",IFERROR(INDEX(L_Data,MATCH(1,INDEX((L_ParcID=$A562)*(L_Status="REALIZADO"),0),0)),""))</f>
        <v/>
      </c>
      <c r="M562" s="34" t="n">
        <f aca="false">IF($A562="",0,COUNTIFS(L_ParcID,$A562,L_Status,"REALIZADO"))</f>
        <v>0</v>
      </c>
      <c r="N562" s="34" t="n">
        <f aca="false">IF($A562="",0,COUNTIFS(L_ParcID,$A562,L_Status,"PROJETADO"))</f>
        <v>0</v>
      </c>
      <c r="O562" s="35" t="str">
        <f aca="false">IF($A562="","",IF($J562="SIM","PAGA",IF($M562&gt;0,"PAGA",IF($D562&lt;CFG_HOJE,"ATRASADA",IF($D562&lt;=EOMONTH(CFG_HOJE,0),"ABERTA","PROJETADA")))))</f>
        <v/>
      </c>
      <c r="P562" s="34" t="n">
        <f aca="false">IF($O562="ATRASADA",CFG_HOJE-$D562,0)</f>
        <v>0</v>
      </c>
      <c r="Q562" s="36" t="n">
        <f aca="false">IF($A562="",0,IF(AND($O562="PAGA",$J562="NAO"),$K562-$E562,0))</f>
        <v>0</v>
      </c>
    </row>
    <row r="563" customFormat="false" ht="15" hidden="false" customHeight="false" outlineLevel="0" collapsed="false">
      <c r="A563" s="30" t="str">
        <f aca="false">IF($B563="","","PAR-"&amp;TEXT(ROW()-4,"000000"))</f>
        <v/>
      </c>
      <c r="B563" s="32"/>
      <c r="C563" s="37"/>
      <c r="D563" s="31"/>
      <c r="E563" s="33"/>
      <c r="F563" s="32"/>
      <c r="G563" s="35" t="str">
        <f aca="false">IF($B563="","",IFERROR(INDEX(CM_NOME,MATCH($B563,CM_ID,0)),"?"))</f>
        <v/>
      </c>
      <c r="H563" s="34" t="str">
        <f aca="false">IF($B563="","",IFERROR(INDEX(CM_QTD,MATCH($B563,CM_ID,0)),""))</f>
        <v/>
      </c>
      <c r="I563" s="35" t="str">
        <f aca="false">IF($A563="","",$C563&amp;"/"&amp;$H563)</f>
        <v/>
      </c>
      <c r="J563" s="35" t="str">
        <f aca="false">IF($A563="","",IF($C563&lt;=IFERROR(INDEX(CM_PAGASANTES,MATCH($B563,CM_ID,0)),0),"SIM","NAO"))</f>
        <v/>
      </c>
      <c r="K563" s="36" t="n">
        <f aca="false">IF($A563="",0,SUMIFS(L_Valor,L_ParcID,$A563,L_Status,"REALIZADO"))</f>
        <v>0</v>
      </c>
      <c r="L563" s="38" t="str">
        <f aca="false">IF($A563="","",IFERROR(INDEX(L_Data,MATCH(1,INDEX((L_ParcID=$A563)*(L_Status="REALIZADO"),0),0)),""))</f>
        <v/>
      </c>
      <c r="M563" s="34" t="n">
        <f aca="false">IF($A563="",0,COUNTIFS(L_ParcID,$A563,L_Status,"REALIZADO"))</f>
        <v>0</v>
      </c>
      <c r="N563" s="34" t="n">
        <f aca="false">IF($A563="",0,COUNTIFS(L_ParcID,$A563,L_Status,"PROJETADO"))</f>
        <v>0</v>
      </c>
      <c r="O563" s="35" t="str">
        <f aca="false">IF($A563="","",IF($J563="SIM","PAGA",IF($M563&gt;0,"PAGA",IF($D563&lt;CFG_HOJE,"ATRASADA",IF($D563&lt;=EOMONTH(CFG_HOJE,0),"ABERTA","PROJETADA")))))</f>
        <v/>
      </c>
      <c r="P563" s="34" t="n">
        <f aca="false">IF($O563="ATRASADA",CFG_HOJE-$D563,0)</f>
        <v>0</v>
      </c>
      <c r="Q563" s="36" t="n">
        <f aca="false">IF($A563="",0,IF(AND($O563="PAGA",$J563="NAO"),$K563-$E563,0))</f>
        <v>0</v>
      </c>
    </row>
    <row r="564" customFormat="false" ht="15" hidden="false" customHeight="false" outlineLevel="0" collapsed="false">
      <c r="A564" s="30" t="str">
        <f aca="false">IF($B564="","","PAR-"&amp;TEXT(ROW()-4,"000000"))</f>
        <v/>
      </c>
      <c r="B564" s="32"/>
      <c r="C564" s="37"/>
      <c r="D564" s="31"/>
      <c r="E564" s="33"/>
      <c r="F564" s="32"/>
      <c r="G564" s="35" t="str">
        <f aca="false">IF($B564="","",IFERROR(INDEX(CM_NOME,MATCH($B564,CM_ID,0)),"?"))</f>
        <v/>
      </c>
      <c r="H564" s="34" t="str">
        <f aca="false">IF($B564="","",IFERROR(INDEX(CM_QTD,MATCH($B564,CM_ID,0)),""))</f>
        <v/>
      </c>
      <c r="I564" s="35" t="str">
        <f aca="false">IF($A564="","",$C564&amp;"/"&amp;$H564)</f>
        <v/>
      </c>
      <c r="J564" s="35" t="str">
        <f aca="false">IF($A564="","",IF($C564&lt;=IFERROR(INDEX(CM_PAGASANTES,MATCH($B564,CM_ID,0)),0),"SIM","NAO"))</f>
        <v/>
      </c>
      <c r="K564" s="36" t="n">
        <f aca="false">IF($A564="",0,SUMIFS(L_Valor,L_ParcID,$A564,L_Status,"REALIZADO"))</f>
        <v>0</v>
      </c>
      <c r="L564" s="38" t="str">
        <f aca="false">IF($A564="","",IFERROR(INDEX(L_Data,MATCH(1,INDEX((L_ParcID=$A564)*(L_Status="REALIZADO"),0),0)),""))</f>
        <v/>
      </c>
      <c r="M564" s="34" t="n">
        <f aca="false">IF($A564="",0,COUNTIFS(L_ParcID,$A564,L_Status,"REALIZADO"))</f>
        <v>0</v>
      </c>
      <c r="N564" s="34" t="n">
        <f aca="false">IF($A564="",0,COUNTIFS(L_ParcID,$A564,L_Status,"PROJETADO"))</f>
        <v>0</v>
      </c>
      <c r="O564" s="35" t="str">
        <f aca="false">IF($A564="","",IF($J564="SIM","PAGA",IF($M564&gt;0,"PAGA",IF($D564&lt;CFG_HOJE,"ATRASADA",IF($D564&lt;=EOMONTH(CFG_HOJE,0),"ABERTA","PROJETADA")))))</f>
        <v/>
      </c>
      <c r="P564" s="34" t="n">
        <f aca="false">IF($O564="ATRASADA",CFG_HOJE-$D564,0)</f>
        <v>0</v>
      </c>
      <c r="Q564" s="36" t="n">
        <f aca="false">IF($A564="",0,IF(AND($O564="PAGA",$J564="NAO"),$K564-$E564,0))</f>
        <v>0</v>
      </c>
    </row>
    <row r="565" customFormat="false" ht="15" hidden="false" customHeight="false" outlineLevel="0" collapsed="false">
      <c r="A565" s="30" t="str">
        <f aca="false">IF($B565="","","PAR-"&amp;TEXT(ROW()-4,"000000"))</f>
        <v/>
      </c>
      <c r="B565" s="32"/>
      <c r="C565" s="37"/>
      <c r="D565" s="31"/>
      <c r="E565" s="33"/>
      <c r="F565" s="32"/>
      <c r="G565" s="35" t="str">
        <f aca="false">IF($B565="","",IFERROR(INDEX(CM_NOME,MATCH($B565,CM_ID,0)),"?"))</f>
        <v/>
      </c>
      <c r="H565" s="34" t="str">
        <f aca="false">IF($B565="","",IFERROR(INDEX(CM_QTD,MATCH($B565,CM_ID,0)),""))</f>
        <v/>
      </c>
      <c r="I565" s="35" t="str">
        <f aca="false">IF($A565="","",$C565&amp;"/"&amp;$H565)</f>
        <v/>
      </c>
      <c r="J565" s="35" t="str">
        <f aca="false">IF($A565="","",IF($C565&lt;=IFERROR(INDEX(CM_PAGASANTES,MATCH($B565,CM_ID,0)),0),"SIM","NAO"))</f>
        <v/>
      </c>
      <c r="K565" s="36" t="n">
        <f aca="false">IF($A565="",0,SUMIFS(L_Valor,L_ParcID,$A565,L_Status,"REALIZADO"))</f>
        <v>0</v>
      </c>
      <c r="L565" s="38" t="str">
        <f aca="false">IF($A565="","",IFERROR(INDEX(L_Data,MATCH(1,INDEX((L_ParcID=$A565)*(L_Status="REALIZADO"),0),0)),""))</f>
        <v/>
      </c>
      <c r="M565" s="34" t="n">
        <f aca="false">IF($A565="",0,COUNTIFS(L_ParcID,$A565,L_Status,"REALIZADO"))</f>
        <v>0</v>
      </c>
      <c r="N565" s="34" t="n">
        <f aca="false">IF($A565="",0,COUNTIFS(L_ParcID,$A565,L_Status,"PROJETADO"))</f>
        <v>0</v>
      </c>
      <c r="O565" s="35" t="str">
        <f aca="false">IF($A565="","",IF($J565="SIM","PAGA",IF($M565&gt;0,"PAGA",IF($D565&lt;CFG_HOJE,"ATRASADA",IF($D565&lt;=EOMONTH(CFG_HOJE,0),"ABERTA","PROJETADA")))))</f>
        <v/>
      </c>
      <c r="P565" s="34" t="n">
        <f aca="false">IF($O565="ATRASADA",CFG_HOJE-$D565,0)</f>
        <v>0</v>
      </c>
      <c r="Q565" s="36" t="n">
        <f aca="false">IF($A565="",0,IF(AND($O565="PAGA",$J565="NAO"),$K565-$E565,0))</f>
        <v>0</v>
      </c>
    </row>
    <row r="566" customFormat="false" ht="15" hidden="false" customHeight="false" outlineLevel="0" collapsed="false">
      <c r="A566" s="30" t="str">
        <f aca="false">IF($B566="","","PAR-"&amp;TEXT(ROW()-4,"000000"))</f>
        <v/>
      </c>
      <c r="B566" s="32"/>
      <c r="C566" s="37"/>
      <c r="D566" s="31"/>
      <c r="E566" s="33"/>
      <c r="F566" s="32"/>
      <c r="G566" s="35" t="str">
        <f aca="false">IF($B566="","",IFERROR(INDEX(CM_NOME,MATCH($B566,CM_ID,0)),"?"))</f>
        <v/>
      </c>
      <c r="H566" s="34" t="str">
        <f aca="false">IF($B566="","",IFERROR(INDEX(CM_QTD,MATCH($B566,CM_ID,0)),""))</f>
        <v/>
      </c>
      <c r="I566" s="35" t="str">
        <f aca="false">IF($A566="","",$C566&amp;"/"&amp;$H566)</f>
        <v/>
      </c>
      <c r="J566" s="35" t="str">
        <f aca="false">IF($A566="","",IF($C566&lt;=IFERROR(INDEX(CM_PAGASANTES,MATCH($B566,CM_ID,0)),0),"SIM","NAO"))</f>
        <v/>
      </c>
      <c r="K566" s="36" t="n">
        <f aca="false">IF($A566="",0,SUMIFS(L_Valor,L_ParcID,$A566,L_Status,"REALIZADO"))</f>
        <v>0</v>
      </c>
      <c r="L566" s="38" t="str">
        <f aca="false">IF($A566="","",IFERROR(INDEX(L_Data,MATCH(1,INDEX((L_ParcID=$A566)*(L_Status="REALIZADO"),0),0)),""))</f>
        <v/>
      </c>
      <c r="M566" s="34" t="n">
        <f aca="false">IF($A566="",0,COUNTIFS(L_ParcID,$A566,L_Status,"REALIZADO"))</f>
        <v>0</v>
      </c>
      <c r="N566" s="34" t="n">
        <f aca="false">IF($A566="",0,COUNTIFS(L_ParcID,$A566,L_Status,"PROJETADO"))</f>
        <v>0</v>
      </c>
      <c r="O566" s="35" t="str">
        <f aca="false">IF($A566="","",IF($J566="SIM","PAGA",IF($M566&gt;0,"PAGA",IF($D566&lt;CFG_HOJE,"ATRASADA",IF($D566&lt;=EOMONTH(CFG_HOJE,0),"ABERTA","PROJETADA")))))</f>
        <v/>
      </c>
      <c r="P566" s="34" t="n">
        <f aca="false">IF($O566="ATRASADA",CFG_HOJE-$D566,0)</f>
        <v>0</v>
      </c>
      <c r="Q566" s="36" t="n">
        <f aca="false">IF($A566="",0,IF(AND($O566="PAGA",$J566="NAO"),$K566-$E566,0))</f>
        <v>0</v>
      </c>
    </row>
    <row r="567" customFormat="false" ht="15" hidden="false" customHeight="false" outlineLevel="0" collapsed="false">
      <c r="A567" s="30" t="str">
        <f aca="false">IF($B567="","","PAR-"&amp;TEXT(ROW()-4,"000000"))</f>
        <v/>
      </c>
      <c r="B567" s="32"/>
      <c r="C567" s="37"/>
      <c r="D567" s="31"/>
      <c r="E567" s="33"/>
      <c r="F567" s="32"/>
      <c r="G567" s="35" t="str">
        <f aca="false">IF($B567="","",IFERROR(INDEX(CM_NOME,MATCH($B567,CM_ID,0)),"?"))</f>
        <v/>
      </c>
      <c r="H567" s="34" t="str">
        <f aca="false">IF($B567="","",IFERROR(INDEX(CM_QTD,MATCH($B567,CM_ID,0)),""))</f>
        <v/>
      </c>
      <c r="I567" s="35" t="str">
        <f aca="false">IF($A567="","",$C567&amp;"/"&amp;$H567)</f>
        <v/>
      </c>
      <c r="J567" s="35" t="str">
        <f aca="false">IF($A567="","",IF($C567&lt;=IFERROR(INDEX(CM_PAGASANTES,MATCH($B567,CM_ID,0)),0),"SIM","NAO"))</f>
        <v/>
      </c>
      <c r="K567" s="36" t="n">
        <f aca="false">IF($A567="",0,SUMIFS(L_Valor,L_ParcID,$A567,L_Status,"REALIZADO"))</f>
        <v>0</v>
      </c>
      <c r="L567" s="38" t="str">
        <f aca="false">IF($A567="","",IFERROR(INDEX(L_Data,MATCH(1,INDEX((L_ParcID=$A567)*(L_Status="REALIZADO"),0),0)),""))</f>
        <v/>
      </c>
      <c r="M567" s="34" t="n">
        <f aca="false">IF($A567="",0,COUNTIFS(L_ParcID,$A567,L_Status,"REALIZADO"))</f>
        <v>0</v>
      </c>
      <c r="N567" s="34" t="n">
        <f aca="false">IF($A567="",0,COUNTIFS(L_ParcID,$A567,L_Status,"PROJETADO"))</f>
        <v>0</v>
      </c>
      <c r="O567" s="35" t="str">
        <f aca="false">IF($A567="","",IF($J567="SIM","PAGA",IF($M567&gt;0,"PAGA",IF($D567&lt;CFG_HOJE,"ATRASADA",IF($D567&lt;=EOMONTH(CFG_HOJE,0),"ABERTA","PROJETADA")))))</f>
        <v/>
      </c>
      <c r="P567" s="34" t="n">
        <f aca="false">IF($O567="ATRASADA",CFG_HOJE-$D567,0)</f>
        <v>0</v>
      </c>
      <c r="Q567" s="36" t="n">
        <f aca="false">IF($A567="",0,IF(AND($O567="PAGA",$J567="NAO"),$K567-$E567,0))</f>
        <v>0</v>
      </c>
    </row>
    <row r="568" customFormat="false" ht="15" hidden="false" customHeight="false" outlineLevel="0" collapsed="false">
      <c r="A568" s="30" t="str">
        <f aca="false">IF($B568="","","PAR-"&amp;TEXT(ROW()-4,"000000"))</f>
        <v/>
      </c>
      <c r="B568" s="32"/>
      <c r="C568" s="37"/>
      <c r="D568" s="31"/>
      <c r="E568" s="33"/>
      <c r="F568" s="32"/>
      <c r="G568" s="35" t="str">
        <f aca="false">IF($B568="","",IFERROR(INDEX(CM_NOME,MATCH($B568,CM_ID,0)),"?"))</f>
        <v/>
      </c>
      <c r="H568" s="34" t="str">
        <f aca="false">IF($B568="","",IFERROR(INDEX(CM_QTD,MATCH($B568,CM_ID,0)),""))</f>
        <v/>
      </c>
      <c r="I568" s="35" t="str">
        <f aca="false">IF($A568="","",$C568&amp;"/"&amp;$H568)</f>
        <v/>
      </c>
      <c r="J568" s="35" t="str">
        <f aca="false">IF($A568="","",IF($C568&lt;=IFERROR(INDEX(CM_PAGASANTES,MATCH($B568,CM_ID,0)),0),"SIM","NAO"))</f>
        <v/>
      </c>
      <c r="K568" s="36" t="n">
        <f aca="false">IF($A568="",0,SUMIFS(L_Valor,L_ParcID,$A568,L_Status,"REALIZADO"))</f>
        <v>0</v>
      </c>
      <c r="L568" s="38" t="str">
        <f aca="false">IF($A568="","",IFERROR(INDEX(L_Data,MATCH(1,INDEX((L_ParcID=$A568)*(L_Status="REALIZADO"),0),0)),""))</f>
        <v/>
      </c>
      <c r="M568" s="34" t="n">
        <f aca="false">IF($A568="",0,COUNTIFS(L_ParcID,$A568,L_Status,"REALIZADO"))</f>
        <v>0</v>
      </c>
      <c r="N568" s="34" t="n">
        <f aca="false">IF($A568="",0,COUNTIFS(L_ParcID,$A568,L_Status,"PROJETADO"))</f>
        <v>0</v>
      </c>
      <c r="O568" s="35" t="str">
        <f aca="false">IF($A568="","",IF($J568="SIM","PAGA",IF($M568&gt;0,"PAGA",IF($D568&lt;CFG_HOJE,"ATRASADA",IF($D568&lt;=EOMONTH(CFG_HOJE,0),"ABERTA","PROJETADA")))))</f>
        <v/>
      </c>
      <c r="P568" s="34" t="n">
        <f aca="false">IF($O568="ATRASADA",CFG_HOJE-$D568,0)</f>
        <v>0</v>
      </c>
      <c r="Q568" s="36" t="n">
        <f aca="false">IF($A568="",0,IF(AND($O568="PAGA",$J568="NAO"),$K568-$E568,0))</f>
        <v>0</v>
      </c>
    </row>
    <row r="569" customFormat="false" ht="15" hidden="false" customHeight="false" outlineLevel="0" collapsed="false">
      <c r="A569" s="30" t="str">
        <f aca="false">IF($B569="","","PAR-"&amp;TEXT(ROW()-4,"000000"))</f>
        <v/>
      </c>
      <c r="B569" s="32"/>
      <c r="C569" s="37"/>
      <c r="D569" s="31"/>
      <c r="E569" s="33"/>
      <c r="F569" s="32"/>
      <c r="G569" s="35" t="str">
        <f aca="false">IF($B569="","",IFERROR(INDEX(CM_NOME,MATCH($B569,CM_ID,0)),"?"))</f>
        <v/>
      </c>
      <c r="H569" s="34" t="str">
        <f aca="false">IF($B569="","",IFERROR(INDEX(CM_QTD,MATCH($B569,CM_ID,0)),""))</f>
        <v/>
      </c>
      <c r="I569" s="35" t="str">
        <f aca="false">IF($A569="","",$C569&amp;"/"&amp;$H569)</f>
        <v/>
      </c>
      <c r="J569" s="35" t="str">
        <f aca="false">IF($A569="","",IF($C569&lt;=IFERROR(INDEX(CM_PAGASANTES,MATCH($B569,CM_ID,0)),0),"SIM","NAO"))</f>
        <v/>
      </c>
      <c r="K569" s="36" t="n">
        <f aca="false">IF($A569="",0,SUMIFS(L_Valor,L_ParcID,$A569,L_Status,"REALIZADO"))</f>
        <v>0</v>
      </c>
      <c r="L569" s="38" t="str">
        <f aca="false">IF($A569="","",IFERROR(INDEX(L_Data,MATCH(1,INDEX((L_ParcID=$A569)*(L_Status="REALIZADO"),0),0)),""))</f>
        <v/>
      </c>
      <c r="M569" s="34" t="n">
        <f aca="false">IF($A569="",0,COUNTIFS(L_ParcID,$A569,L_Status,"REALIZADO"))</f>
        <v>0</v>
      </c>
      <c r="N569" s="34" t="n">
        <f aca="false">IF($A569="",0,COUNTIFS(L_ParcID,$A569,L_Status,"PROJETADO"))</f>
        <v>0</v>
      </c>
      <c r="O569" s="35" t="str">
        <f aca="false">IF($A569="","",IF($J569="SIM","PAGA",IF($M569&gt;0,"PAGA",IF($D569&lt;CFG_HOJE,"ATRASADA",IF($D569&lt;=EOMONTH(CFG_HOJE,0),"ABERTA","PROJETADA")))))</f>
        <v/>
      </c>
      <c r="P569" s="34" t="n">
        <f aca="false">IF($O569="ATRASADA",CFG_HOJE-$D569,0)</f>
        <v>0</v>
      </c>
      <c r="Q569" s="36" t="n">
        <f aca="false">IF($A569="",0,IF(AND($O569="PAGA",$J569="NAO"),$K569-$E569,0))</f>
        <v>0</v>
      </c>
    </row>
    <row r="570" customFormat="false" ht="15" hidden="false" customHeight="false" outlineLevel="0" collapsed="false">
      <c r="A570" s="30" t="str">
        <f aca="false">IF($B570="","","PAR-"&amp;TEXT(ROW()-4,"000000"))</f>
        <v/>
      </c>
      <c r="B570" s="32"/>
      <c r="C570" s="37"/>
      <c r="D570" s="31"/>
      <c r="E570" s="33"/>
      <c r="F570" s="32"/>
      <c r="G570" s="35" t="str">
        <f aca="false">IF($B570="","",IFERROR(INDEX(CM_NOME,MATCH($B570,CM_ID,0)),"?"))</f>
        <v/>
      </c>
      <c r="H570" s="34" t="str">
        <f aca="false">IF($B570="","",IFERROR(INDEX(CM_QTD,MATCH($B570,CM_ID,0)),""))</f>
        <v/>
      </c>
      <c r="I570" s="35" t="str">
        <f aca="false">IF($A570="","",$C570&amp;"/"&amp;$H570)</f>
        <v/>
      </c>
      <c r="J570" s="35" t="str">
        <f aca="false">IF($A570="","",IF($C570&lt;=IFERROR(INDEX(CM_PAGASANTES,MATCH($B570,CM_ID,0)),0),"SIM","NAO"))</f>
        <v/>
      </c>
      <c r="K570" s="36" t="n">
        <f aca="false">IF($A570="",0,SUMIFS(L_Valor,L_ParcID,$A570,L_Status,"REALIZADO"))</f>
        <v>0</v>
      </c>
      <c r="L570" s="38" t="str">
        <f aca="false">IF($A570="","",IFERROR(INDEX(L_Data,MATCH(1,INDEX((L_ParcID=$A570)*(L_Status="REALIZADO"),0),0)),""))</f>
        <v/>
      </c>
      <c r="M570" s="34" t="n">
        <f aca="false">IF($A570="",0,COUNTIFS(L_ParcID,$A570,L_Status,"REALIZADO"))</f>
        <v>0</v>
      </c>
      <c r="N570" s="34" t="n">
        <f aca="false">IF($A570="",0,COUNTIFS(L_ParcID,$A570,L_Status,"PROJETADO"))</f>
        <v>0</v>
      </c>
      <c r="O570" s="35" t="str">
        <f aca="false">IF($A570="","",IF($J570="SIM","PAGA",IF($M570&gt;0,"PAGA",IF($D570&lt;CFG_HOJE,"ATRASADA",IF($D570&lt;=EOMONTH(CFG_HOJE,0),"ABERTA","PROJETADA")))))</f>
        <v/>
      </c>
      <c r="P570" s="34" t="n">
        <f aca="false">IF($O570="ATRASADA",CFG_HOJE-$D570,0)</f>
        <v>0</v>
      </c>
      <c r="Q570" s="36" t="n">
        <f aca="false">IF($A570="",0,IF(AND($O570="PAGA",$J570="NAO"),$K570-$E570,0))</f>
        <v>0</v>
      </c>
    </row>
    <row r="571" customFormat="false" ht="15" hidden="false" customHeight="false" outlineLevel="0" collapsed="false">
      <c r="A571" s="30" t="str">
        <f aca="false">IF($B571="","","PAR-"&amp;TEXT(ROW()-4,"000000"))</f>
        <v/>
      </c>
      <c r="B571" s="32"/>
      <c r="C571" s="37"/>
      <c r="D571" s="31"/>
      <c r="E571" s="33"/>
      <c r="F571" s="32"/>
      <c r="G571" s="35" t="str">
        <f aca="false">IF($B571="","",IFERROR(INDEX(CM_NOME,MATCH($B571,CM_ID,0)),"?"))</f>
        <v/>
      </c>
      <c r="H571" s="34" t="str">
        <f aca="false">IF($B571="","",IFERROR(INDEX(CM_QTD,MATCH($B571,CM_ID,0)),""))</f>
        <v/>
      </c>
      <c r="I571" s="35" t="str">
        <f aca="false">IF($A571="","",$C571&amp;"/"&amp;$H571)</f>
        <v/>
      </c>
      <c r="J571" s="35" t="str">
        <f aca="false">IF($A571="","",IF($C571&lt;=IFERROR(INDEX(CM_PAGASANTES,MATCH($B571,CM_ID,0)),0),"SIM","NAO"))</f>
        <v/>
      </c>
      <c r="K571" s="36" t="n">
        <f aca="false">IF($A571="",0,SUMIFS(L_Valor,L_ParcID,$A571,L_Status,"REALIZADO"))</f>
        <v>0</v>
      </c>
      <c r="L571" s="38" t="str">
        <f aca="false">IF($A571="","",IFERROR(INDEX(L_Data,MATCH(1,INDEX((L_ParcID=$A571)*(L_Status="REALIZADO"),0),0)),""))</f>
        <v/>
      </c>
      <c r="M571" s="34" t="n">
        <f aca="false">IF($A571="",0,COUNTIFS(L_ParcID,$A571,L_Status,"REALIZADO"))</f>
        <v>0</v>
      </c>
      <c r="N571" s="34" t="n">
        <f aca="false">IF($A571="",0,COUNTIFS(L_ParcID,$A571,L_Status,"PROJETADO"))</f>
        <v>0</v>
      </c>
      <c r="O571" s="35" t="str">
        <f aca="false">IF($A571="","",IF($J571="SIM","PAGA",IF($M571&gt;0,"PAGA",IF($D571&lt;CFG_HOJE,"ATRASADA",IF($D571&lt;=EOMONTH(CFG_HOJE,0),"ABERTA","PROJETADA")))))</f>
        <v/>
      </c>
      <c r="P571" s="34" t="n">
        <f aca="false">IF($O571="ATRASADA",CFG_HOJE-$D571,0)</f>
        <v>0</v>
      </c>
      <c r="Q571" s="36" t="n">
        <f aca="false">IF($A571="",0,IF(AND($O571="PAGA",$J571="NAO"),$K571-$E571,0))</f>
        <v>0</v>
      </c>
    </row>
    <row r="572" customFormat="false" ht="15" hidden="false" customHeight="false" outlineLevel="0" collapsed="false">
      <c r="A572" s="30" t="str">
        <f aca="false">IF($B572="","","PAR-"&amp;TEXT(ROW()-4,"000000"))</f>
        <v/>
      </c>
      <c r="B572" s="32"/>
      <c r="C572" s="37"/>
      <c r="D572" s="31"/>
      <c r="E572" s="33"/>
      <c r="F572" s="32"/>
      <c r="G572" s="35" t="str">
        <f aca="false">IF($B572="","",IFERROR(INDEX(CM_NOME,MATCH($B572,CM_ID,0)),"?"))</f>
        <v/>
      </c>
      <c r="H572" s="34" t="str">
        <f aca="false">IF($B572="","",IFERROR(INDEX(CM_QTD,MATCH($B572,CM_ID,0)),""))</f>
        <v/>
      </c>
      <c r="I572" s="35" t="str">
        <f aca="false">IF($A572="","",$C572&amp;"/"&amp;$H572)</f>
        <v/>
      </c>
      <c r="J572" s="35" t="str">
        <f aca="false">IF($A572="","",IF($C572&lt;=IFERROR(INDEX(CM_PAGASANTES,MATCH($B572,CM_ID,0)),0),"SIM","NAO"))</f>
        <v/>
      </c>
      <c r="K572" s="36" t="n">
        <f aca="false">IF($A572="",0,SUMIFS(L_Valor,L_ParcID,$A572,L_Status,"REALIZADO"))</f>
        <v>0</v>
      </c>
      <c r="L572" s="38" t="str">
        <f aca="false">IF($A572="","",IFERROR(INDEX(L_Data,MATCH(1,INDEX((L_ParcID=$A572)*(L_Status="REALIZADO"),0),0)),""))</f>
        <v/>
      </c>
      <c r="M572" s="34" t="n">
        <f aca="false">IF($A572="",0,COUNTIFS(L_ParcID,$A572,L_Status,"REALIZADO"))</f>
        <v>0</v>
      </c>
      <c r="N572" s="34" t="n">
        <f aca="false">IF($A572="",0,COUNTIFS(L_ParcID,$A572,L_Status,"PROJETADO"))</f>
        <v>0</v>
      </c>
      <c r="O572" s="35" t="str">
        <f aca="false">IF($A572="","",IF($J572="SIM","PAGA",IF($M572&gt;0,"PAGA",IF($D572&lt;CFG_HOJE,"ATRASADA",IF($D572&lt;=EOMONTH(CFG_HOJE,0),"ABERTA","PROJETADA")))))</f>
        <v/>
      </c>
      <c r="P572" s="34" t="n">
        <f aca="false">IF($O572="ATRASADA",CFG_HOJE-$D572,0)</f>
        <v>0</v>
      </c>
      <c r="Q572" s="36" t="n">
        <f aca="false">IF($A572="",0,IF(AND($O572="PAGA",$J572="NAO"),$K572-$E572,0))</f>
        <v>0</v>
      </c>
    </row>
    <row r="573" customFormat="false" ht="15" hidden="false" customHeight="false" outlineLevel="0" collapsed="false">
      <c r="A573" s="30" t="str">
        <f aca="false">IF($B573="","","PAR-"&amp;TEXT(ROW()-4,"000000"))</f>
        <v/>
      </c>
      <c r="B573" s="32"/>
      <c r="C573" s="37"/>
      <c r="D573" s="31"/>
      <c r="E573" s="33"/>
      <c r="F573" s="32"/>
      <c r="G573" s="35" t="str">
        <f aca="false">IF($B573="","",IFERROR(INDEX(CM_NOME,MATCH($B573,CM_ID,0)),"?"))</f>
        <v/>
      </c>
      <c r="H573" s="34" t="str">
        <f aca="false">IF($B573="","",IFERROR(INDEX(CM_QTD,MATCH($B573,CM_ID,0)),""))</f>
        <v/>
      </c>
      <c r="I573" s="35" t="str">
        <f aca="false">IF($A573="","",$C573&amp;"/"&amp;$H573)</f>
        <v/>
      </c>
      <c r="J573" s="35" t="str">
        <f aca="false">IF($A573="","",IF($C573&lt;=IFERROR(INDEX(CM_PAGASANTES,MATCH($B573,CM_ID,0)),0),"SIM","NAO"))</f>
        <v/>
      </c>
      <c r="K573" s="36" t="n">
        <f aca="false">IF($A573="",0,SUMIFS(L_Valor,L_ParcID,$A573,L_Status,"REALIZADO"))</f>
        <v>0</v>
      </c>
      <c r="L573" s="38" t="str">
        <f aca="false">IF($A573="","",IFERROR(INDEX(L_Data,MATCH(1,INDEX((L_ParcID=$A573)*(L_Status="REALIZADO"),0),0)),""))</f>
        <v/>
      </c>
      <c r="M573" s="34" t="n">
        <f aca="false">IF($A573="",0,COUNTIFS(L_ParcID,$A573,L_Status,"REALIZADO"))</f>
        <v>0</v>
      </c>
      <c r="N573" s="34" t="n">
        <f aca="false">IF($A573="",0,COUNTIFS(L_ParcID,$A573,L_Status,"PROJETADO"))</f>
        <v>0</v>
      </c>
      <c r="O573" s="35" t="str">
        <f aca="false">IF($A573="","",IF($J573="SIM","PAGA",IF($M573&gt;0,"PAGA",IF($D573&lt;CFG_HOJE,"ATRASADA",IF($D573&lt;=EOMONTH(CFG_HOJE,0),"ABERTA","PROJETADA")))))</f>
        <v/>
      </c>
      <c r="P573" s="34" t="n">
        <f aca="false">IF($O573="ATRASADA",CFG_HOJE-$D573,0)</f>
        <v>0</v>
      </c>
      <c r="Q573" s="36" t="n">
        <f aca="false">IF($A573="",0,IF(AND($O573="PAGA",$J573="NAO"),$K573-$E573,0))</f>
        <v>0</v>
      </c>
    </row>
    <row r="574" customFormat="false" ht="15" hidden="false" customHeight="false" outlineLevel="0" collapsed="false">
      <c r="A574" s="30" t="str">
        <f aca="false">IF($B574="","","PAR-"&amp;TEXT(ROW()-4,"000000"))</f>
        <v/>
      </c>
      <c r="B574" s="32"/>
      <c r="C574" s="37"/>
      <c r="D574" s="31"/>
      <c r="E574" s="33"/>
      <c r="F574" s="32"/>
      <c r="G574" s="35" t="str">
        <f aca="false">IF($B574="","",IFERROR(INDEX(CM_NOME,MATCH($B574,CM_ID,0)),"?"))</f>
        <v/>
      </c>
      <c r="H574" s="34" t="str">
        <f aca="false">IF($B574="","",IFERROR(INDEX(CM_QTD,MATCH($B574,CM_ID,0)),""))</f>
        <v/>
      </c>
      <c r="I574" s="35" t="str">
        <f aca="false">IF($A574="","",$C574&amp;"/"&amp;$H574)</f>
        <v/>
      </c>
      <c r="J574" s="35" t="str">
        <f aca="false">IF($A574="","",IF($C574&lt;=IFERROR(INDEX(CM_PAGASANTES,MATCH($B574,CM_ID,0)),0),"SIM","NAO"))</f>
        <v/>
      </c>
      <c r="K574" s="36" t="n">
        <f aca="false">IF($A574="",0,SUMIFS(L_Valor,L_ParcID,$A574,L_Status,"REALIZADO"))</f>
        <v>0</v>
      </c>
      <c r="L574" s="38" t="str">
        <f aca="false">IF($A574="","",IFERROR(INDEX(L_Data,MATCH(1,INDEX((L_ParcID=$A574)*(L_Status="REALIZADO"),0),0)),""))</f>
        <v/>
      </c>
      <c r="M574" s="34" t="n">
        <f aca="false">IF($A574="",0,COUNTIFS(L_ParcID,$A574,L_Status,"REALIZADO"))</f>
        <v>0</v>
      </c>
      <c r="N574" s="34" t="n">
        <f aca="false">IF($A574="",0,COUNTIFS(L_ParcID,$A574,L_Status,"PROJETADO"))</f>
        <v>0</v>
      </c>
      <c r="O574" s="35" t="str">
        <f aca="false">IF($A574="","",IF($J574="SIM","PAGA",IF($M574&gt;0,"PAGA",IF($D574&lt;CFG_HOJE,"ATRASADA",IF($D574&lt;=EOMONTH(CFG_HOJE,0),"ABERTA","PROJETADA")))))</f>
        <v/>
      </c>
      <c r="P574" s="34" t="n">
        <f aca="false">IF($O574="ATRASADA",CFG_HOJE-$D574,0)</f>
        <v>0</v>
      </c>
      <c r="Q574" s="36" t="n">
        <f aca="false">IF($A574="",0,IF(AND($O574="PAGA",$J574="NAO"),$K574-$E574,0))</f>
        <v>0</v>
      </c>
    </row>
    <row r="575" customFormat="false" ht="15" hidden="false" customHeight="false" outlineLevel="0" collapsed="false">
      <c r="A575" s="30" t="str">
        <f aca="false">IF($B575="","","PAR-"&amp;TEXT(ROW()-4,"000000"))</f>
        <v/>
      </c>
      <c r="B575" s="32"/>
      <c r="C575" s="37"/>
      <c r="D575" s="31"/>
      <c r="E575" s="33"/>
      <c r="F575" s="32"/>
      <c r="G575" s="35" t="str">
        <f aca="false">IF($B575="","",IFERROR(INDEX(CM_NOME,MATCH($B575,CM_ID,0)),"?"))</f>
        <v/>
      </c>
      <c r="H575" s="34" t="str">
        <f aca="false">IF($B575="","",IFERROR(INDEX(CM_QTD,MATCH($B575,CM_ID,0)),""))</f>
        <v/>
      </c>
      <c r="I575" s="35" t="str">
        <f aca="false">IF($A575="","",$C575&amp;"/"&amp;$H575)</f>
        <v/>
      </c>
      <c r="J575" s="35" t="str">
        <f aca="false">IF($A575="","",IF($C575&lt;=IFERROR(INDEX(CM_PAGASANTES,MATCH($B575,CM_ID,0)),0),"SIM","NAO"))</f>
        <v/>
      </c>
      <c r="K575" s="36" t="n">
        <f aca="false">IF($A575="",0,SUMIFS(L_Valor,L_ParcID,$A575,L_Status,"REALIZADO"))</f>
        <v>0</v>
      </c>
      <c r="L575" s="38" t="str">
        <f aca="false">IF($A575="","",IFERROR(INDEX(L_Data,MATCH(1,INDEX((L_ParcID=$A575)*(L_Status="REALIZADO"),0),0)),""))</f>
        <v/>
      </c>
      <c r="M575" s="34" t="n">
        <f aca="false">IF($A575="",0,COUNTIFS(L_ParcID,$A575,L_Status,"REALIZADO"))</f>
        <v>0</v>
      </c>
      <c r="N575" s="34" t="n">
        <f aca="false">IF($A575="",0,COUNTIFS(L_ParcID,$A575,L_Status,"PROJETADO"))</f>
        <v>0</v>
      </c>
      <c r="O575" s="35" t="str">
        <f aca="false">IF($A575="","",IF($J575="SIM","PAGA",IF($M575&gt;0,"PAGA",IF($D575&lt;CFG_HOJE,"ATRASADA",IF($D575&lt;=EOMONTH(CFG_HOJE,0),"ABERTA","PROJETADA")))))</f>
        <v/>
      </c>
      <c r="P575" s="34" t="n">
        <f aca="false">IF($O575="ATRASADA",CFG_HOJE-$D575,0)</f>
        <v>0</v>
      </c>
      <c r="Q575" s="36" t="n">
        <f aca="false">IF($A575="",0,IF(AND($O575="PAGA",$J575="NAO"),$K575-$E575,0))</f>
        <v>0</v>
      </c>
    </row>
    <row r="576" customFormat="false" ht="15" hidden="false" customHeight="false" outlineLevel="0" collapsed="false">
      <c r="A576" s="30" t="str">
        <f aca="false">IF($B576="","","PAR-"&amp;TEXT(ROW()-4,"000000"))</f>
        <v/>
      </c>
      <c r="B576" s="32"/>
      <c r="C576" s="37"/>
      <c r="D576" s="31"/>
      <c r="E576" s="33"/>
      <c r="F576" s="32"/>
      <c r="G576" s="35" t="str">
        <f aca="false">IF($B576="","",IFERROR(INDEX(CM_NOME,MATCH($B576,CM_ID,0)),"?"))</f>
        <v/>
      </c>
      <c r="H576" s="34" t="str">
        <f aca="false">IF($B576="","",IFERROR(INDEX(CM_QTD,MATCH($B576,CM_ID,0)),""))</f>
        <v/>
      </c>
      <c r="I576" s="35" t="str">
        <f aca="false">IF($A576="","",$C576&amp;"/"&amp;$H576)</f>
        <v/>
      </c>
      <c r="J576" s="35" t="str">
        <f aca="false">IF($A576="","",IF($C576&lt;=IFERROR(INDEX(CM_PAGASANTES,MATCH($B576,CM_ID,0)),0),"SIM","NAO"))</f>
        <v/>
      </c>
      <c r="K576" s="36" t="n">
        <f aca="false">IF($A576="",0,SUMIFS(L_Valor,L_ParcID,$A576,L_Status,"REALIZADO"))</f>
        <v>0</v>
      </c>
      <c r="L576" s="38" t="str">
        <f aca="false">IF($A576="","",IFERROR(INDEX(L_Data,MATCH(1,INDEX((L_ParcID=$A576)*(L_Status="REALIZADO"),0),0)),""))</f>
        <v/>
      </c>
      <c r="M576" s="34" t="n">
        <f aca="false">IF($A576="",0,COUNTIFS(L_ParcID,$A576,L_Status,"REALIZADO"))</f>
        <v>0</v>
      </c>
      <c r="N576" s="34" t="n">
        <f aca="false">IF($A576="",0,COUNTIFS(L_ParcID,$A576,L_Status,"PROJETADO"))</f>
        <v>0</v>
      </c>
      <c r="O576" s="35" t="str">
        <f aca="false">IF($A576="","",IF($J576="SIM","PAGA",IF($M576&gt;0,"PAGA",IF($D576&lt;CFG_HOJE,"ATRASADA",IF($D576&lt;=EOMONTH(CFG_HOJE,0),"ABERTA","PROJETADA")))))</f>
        <v/>
      </c>
      <c r="P576" s="34" t="n">
        <f aca="false">IF($O576="ATRASADA",CFG_HOJE-$D576,0)</f>
        <v>0</v>
      </c>
      <c r="Q576" s="36" t="n">
        <f aca="false">IF($A576="",0,IF(AND($O576="PAGA",$J576="NAO"),$K576-$E576,0))</f>
        <v>0</v>
      </c>
    </row>
    <row r="577" customFormat="false" ht="15" hidden="false" customHeight="false" outlineLevel="0" collapsed="false">
      <c r="A577" s="30" t="str">
        <f aca="false">IF($B577="","","PAR-"&amp;TEXT(ROW()-4,"000000"))</f>
        <v/>
      </c>
      <c r="B577" s="32"/>
      <c r="C577" s="37"/>
      <c r="D577" s="31"/>
      <c r="E577" s="33"/>
      <c r="F577" s="32"/>
      <c r="G577" s="35" t="str">
        <f aca="false">IF($B577="","",IFERROR(INDEX(CM_NOME,MATCH($B577,CM_ID,0)),"?"))</f>
        <v/>
      </c>
      <c r="H577" s="34" t="str">
        <f aca="false">IF($B577="","",IFERROR(INDEX(CM_QTD,MATCH($B577,CM_ID,0)),""))</f>
        <v/>
      </c>
      <c r="I577" s="35" t="str">
        <f aca="false">IF($A577="","",$C577&amp;"/"&amp;$H577)</f>
        <v/>
      </c>
      <c r="J577" s="35" t="str">
        <f aca="false">IF($A577="","",IF($C577&lt;=IFERROR(INDEX(CM_PAGASANTES,MATCH($B577,CM_ID,0)),0),"SIM","NAO"))</f>
        <v/>
      </c>
      <c r="K577" s="36" t="n">
        <f aca="false">IF($A577="",0,SUMIFS(L_Valor,L_ParcID,$A577,L_Status,"REALIZADO"))</f>
        <v>0</v>
      </c>
      <c r="L577" s="38" t="str">
        <f aca="false">IF($A577="","",IFERROR(INDEX(L_Data,MATCH(1,INDEX((L_ParcID=$A577)*(L_Status="REALIZADO"),0),0)),""))</f>
        <v/>
      </c>
      <c r="M577" s="34" t="n">
        <f aca="false">IF($A577="",0,COUNTIFS(L_ParcID,$A577,L_Status,"REALIZADO"))</f>
        <v>0</v>
      </c>
      <c r="N577" s="34" t="n">
        <f aca="false">IF($A577="",0,COUNTIFS(L_ParcID,$A577,L_Status,"PROJETADO"))</f>
        <v>0</v>
      </c>
      <c r="O577" s="35" t="str">
        <f aca="false">IF($A577="","",IF($J577="SIM","PAGA",IF($M577&gt;0,"PAGA",IF($D577&lt;CFG_HOJE,"ATRASADA",IF($D577&lt;=EOMONTH(CFG_HOJE,0),"ABERTA","PROJETADA")))))</f>
        <v/>
      </c>
      <c r="P577" s="34" t="n">
        <f aca="false">IF($O577="ATRASADA",CFG_HOJE-$D577,0)</f>
        <v>0</v>
      </c>
      <c r="Q577" s="36" t="n">
        <f aca="false">IF($A577="",0,IF(AND($O577="PAGA",$J577="NAO"),$K577-$E577,0))</f>
        <v>0</v>
      </c>
    </row>
    <row r="578" customFormat="false" ht="15" hidden="false" customHeight="false" outlineLevel="0" collapsed="false">
      <c r="A578" s="30" t="str">
        <f aca="false">IF($B578="","","PAR-"&amp;TEXT(ROW()-4,"000000"))</f>
        <v/>
      </c>
      <c r="B578" s="32"/>
      <c r="C578" s="37"/>
      <c r="D578" s="31"/>
      <c r="E578" s="33"/>
      <c r="F578" s="32"/>
      <c r="G578" s="35" t="str">
        <f aca="false">IF($B578="","",IFERROR(INDEX(CM_NOME,MATCH($B578,CM_ID,0)),"?"))</f>
        <v/>
      </c>
      <c r="H578" s="34" t="str">
        <f aca="false">IF($B578="","",IFERROR(INDEX(CM_QTD,MATCH($B578,CM_ID,0)),""))</f>
        <v/>
      </c>
      <c r="I578" s="35" t="str">
        <f aca="false">IF($A578="","",$C578&amp;"/"&amp;$H578)</f>
        <v/>
      </c>
      <c r="J578" s="35" t="str">
        <f aca="false">IF($A578="","",IF($C578&lt;=IFERROR(INDEX(CM_PAGASANTES,MATCH($B578,CM_ID,0)),0),"SIM","NAO"))</f>
        <v/>
      </c>
      <c r="K578" s="36" t="n">
        <f aca="false">IF($A578="",0,SUMIFS(L_Valor,L_ParcID,$A578,L_Status,"REALIZADO"))</f>
        <v>0</v>
      </c>
      <c r="L578" s="38" t="str">
        <f aca="false">IF($A578="","",IFERROR(INDEX(L_Data,MATCH(1,INDEX((L_ParcID=$A578)*(L_Status="REALIZADO"),0),0)),""))</f>
        <v/>
      </c>
      <c r="M578" s="34" t="n">
        <f aca="false">IF($A578="",0,COUNTIFS(L_ParcID,$A578,L_Status,"REALIZADO"))</f>
        <v>0</v>
      </c>
      <c r="N578" s="34" t="n">
        <f aca="false">IF($A578="",0,COUNTIFS(L_ParcID,$A578,L_Status,"PROJETADO"))</f>
        <v>0</v>
      </c>
      <c r="O578" s="35" t="str">
        <f aca="false">IF($A578="","",IF($J578="SIM","PAGA",IF($M578&gt;0,"PAGA",IF($D578&lt;CFG_HOJE,"ATRASADA",IF($D578&lt;=EOMONTH(CFG_HOJE,0),"ABERTA","PROJETADA")))))</f>
        <v/>
      </c>
      <c r="P578" s="34" t="n">
        <f aca="false">IF($O578="ATRASADA",CFG_HOJE-$D578,0)</f>
        <v>0</v>
      </c>
      <c r="Q578" s="36" t="n">
        <f aca="false">IF($A578="",0,IF(AND($O578="PAGA",$J578="NAO"),$K578-$E578,0))</f>
        <v>0</v>
      </c>
    </row>
    <row r="579" customFormat="false" ht="15" hidden="false" customHeight="false" outlineLevel="0" collapsed="false">
      <c r="A579" s="30" t="str">
        <f aca="false">IF($B579="","","PAR-"&amp;TEXT(ROW()-4,"000000"))</f>
        <v/>
      </c>
      <c r="B579" s="32"/>
      <c r="C579" s="37"/>
      <c r="D579" s="31"/>
      <c r="E579" s="33"/>
      <c r="F579" s="32"/>
      <c r="G579" s="35" t="str">
        <f aca="false">IF($B579="","",IFERROR(INDEX(CM_NOME,MATCH($B579,CM_ID,0)),"?"))</f>
        <v/>
      </c>
      <c r="H579" s="34" t="str">
        <f aca="false">IF($B579="","",IFERROR(INDEX(CM_QTD,MATCH($B579,CM_ID,0)),""))</f>
        <v/>
      </c>
      <c r="I579" s="35" t="str">
        <f aca="false">IF($A579="","",$C579&amp;"/"&amp;$H579)</f>
        <v/>
      </c>
      <c r="J579" s="35" t="str">
        <f aca="false">IF($A579="","",IF($C579&lt;=IFERROR(INDEX(CM_PAGASANTES,MATCH($B579,CM_ID,0)),0),"SIM","NAO"))</f>
        <v/>
      </c>
      <c r="K579" s="36" t="n">
        <f aca="false">IF($A579="",0,SUMIFS(L_Valor,L_ParcID,$A579,L_Status,"REALIZADO"))</f>
        <v>0</v>
      </c>
      <c r="L579" s="38" t="str">
        <f aca="false">IF($A579="","",IFERROR(INDEX(L_Data,MATCH(1,INDEX((L_ParcID=$A579)*(L_Status="REALIZADO"),0),0)),""))</f>
        <v/>
      </c>
      <c r="M579" s="34" t="n">
        <f aca="false">IF($A579="",0,COUNTIFS(L_ParcID,$A579,L_Status,"REALIZADO"))</f>
        <v>0</v>
      </c>
      <c r="N579" s="34" t="n">
        <f aca="false">IF($A579="",0,COUNTIFS(L_ParcID,$A579,L_Status,"PROJETADO"))</f>
        <v>0</v>
      </c>
      <c r="O579" s="35" t="str">
        <f aca="false">IF($A579="","",IF($J579="SIM","PAGA",IF($M579&gt;0,"PAGA",IF($D579&lt;CFG_HOJE,"ATRASADA",IF($D579&lt;=EOMONTH(CFG_HOJE,0),"ABERTA","PROJETADA")))))</f>
        <v/>
      </c>
      <c r="P579" s="34" t="n">
        <f aca="false">IF($O579="ATRASADA",CFG_HOJE-$D579,0)</f>
        <v>0</v>
      </c>
      <c r="Q579" s="36" t="n">
        <f aca="false">IF($A579="",0,IF(AND($O579="PAGA",$J579="NAO"),$K579-$E579,0))</f>
        <v>0</v>
      </c>
    </row>
    <row r="580" customFormat="false" ht="15" hidden="false" customHeight="false" outlineLevel="0" collapsed="false">
      <c r="A580" s="30" t="str">
        <f aca="false">IF($B580="","","PAR-"&amp;TEXT(ROW()-4,"000000"))</f>
        <v/>
      </c>
      <c r="B580" s="32"/>
      <c r="C580" s="37"/>
      <c r="D580" s="31"/>
      <c r="E580" s="33"/>
      <c r="F580" s="32"/>
      <c r="G580" s="35" t="str">
        <f aca="false">IF($B580="","",IFERROR(INDEX(CM_NOME,MATCH($B580,CM_ID,0)),"?"))</f>
        <v/>
      </c>
      <c r="H580" s="34" t="str">
        <f aca="false">IF($B580="","",IFERROR(INDEX(CM_QTD,MATCH($B580,CM_ID,0)),""))</f>
        <v/>
      </c>
      <c r="I580" s="35" t="str">
        <f aca="false">IF($A580="","",$C580&amp;"/"&amp;$H580)</f>
        <v/>
      </c>
      <c r="J580" s="35" t="str">
        <f aca="false">IF($A580="","",IF($C580&lt;=IFERROR(INDEX(CM_PAGASANTES,MATCH($B580,CM_ID,0)),0),"SIM","NAO"))</f>
        <v/>
      </c>
      <c r="K580" s="36" t="n">
        <f aca="false">IF($A580="",0,SUMIFS(L_Valor,L_ParcID,$A580,L_Status,"REALIZADO"))</f>
        <v>0</v>
      </c>
      <c r="L580" s="38" t="str">
        <f aca="false">IF($A580="","",IFERROR(INDEX(L_Data,MATCH(1,INDEX((L_ParcID=$A580)*(L_Status="REALIZADO"),0),0)),""))</f>
        <v/>
      </c>
      <c r="M580" s="34" t="n">
        <f aca="false">IF($A580="",0,COUNTIFS(L_ParcID,$A580,L_Status,"REALIZADO"))</f>
        <v>0</v>
      </c>
      <c r="N580" s="34" t="n">
        <f aca="false">IF($A580="",0,COUNTIFS(L_ParcID,$A580,L_Status,"PROJETADO"))</f>
        <v>0</v>
      </c>
      <c r="O580" s="35" t="str">
        <f aca="false">IF($A580="","",IF($J580="SIM","PAGA",IF($M580&gt;0,"PAGA",IF($D580&lt;CFG_HOJE,"ATRASADA",IF($D580&lt;=EOMONTH(CFG_HOJE,0),"ABERTA","PROJETADA")))))</f>
        <v/>
      </c>
      <c r="P580" s="34" t="n">
        <f aca="false">IF($O580="ATRASADA",CFG_HOJE-$D580,0)</f>
        <v>0</v>
      </c>
      <c r="Q580" s="36" t="n">
        <f aca="false">IF($A580="",0,IF(AND($O580="PAGA",$J580="NAO"),$K580-$E580,0))</f>
        <v>0</v>
      </c>
    </row>
    <row r="581" customFormat="false" ht="15" hidden="false" customHeight="false" outlineLevel="0" collapsed="false">
      <c r="A581" s="30" t="str">
        <f aca="false">IF($B581="","","PAR-"&amp;TEXT(ROW()-4,"000000"))</f>
        <v/>
      </c>
      <c r="B581" s="32"/>
      <c r="C581" s="37"/>
      <c r="D581" s="31"/>
      <c r="E581" s="33"/>
      <c r="F581" s="32"/>
      <c r="G581" s="35" t="str">
        <f aca="false">IF($B581="","",IFERROR(INDEX(CM_NOME,MATCH($B581,CM_ID,0)),"?"))</f>
        <v/>
      </c>
      <c r="H581" s="34" t="str">
        <f aca="false">IF($B581="","",IFERROR(INDEX(CM_QTD,MATCH($B581,CM_ID,0)),""))</f>
        <v/>
      </c>
      <c r="I581" s="35" t="str">
        <f aca="false">IF($A581="","",$C581&amp;"/"&amp;$H581)</f>
        <v/>
      </c>
      <c r="J581" s="35" t="str">
        <f aca="false">IF($A581="","",IF($C581&lt;=IFERROR(INDEX(CM_PAGASANTES,MATCH($B581,CM_ID,0)),0),"SIM","NAO"))</f>
        <v/>
      </c>
      <c r="K581" s="36" t="n">
        <f aca="false">IF($A581="",0,SUMIFS(L_Valor,L_ParcID,$A581,L_Status,"REALIZADO"))</f>
        <v>0</v>
      </c>
      <c r="L581" s="38" t="str">
        <f aca="false">IF($A581="","",IFERROR(INDEX(L_Data,MATCH(1,INDEX((L_ParcID=$A581)*(L_Status="REALIZADO"),0),0)),""))</f>
        <v/>
      </c>
      <c r="M581" s="34" t="n">
        <f aca="false">IF($A581="",0,COUNTIFS(L_ParcID,$A581,L_Status,"REALIZADO"))</f>
        <v>0</v>
      </c>
      <c r="N581" s="34" t="n">
        <f aca="false">IF($A581="",0,COUNTIFS(L_ParcID,$A581,L_Status,"PROJETADO"))</f>
        <v>0</v>
      </c>
      <c r="O581" s="35" t="str">
        <f aca="false">IF($A581="","",IF($J581="SIM","PAGA",IF($M581&gt;0,"PAGA",IF($D581&lt;CFG_HOJE,"ATRASADA",IF($D581&lt;=EOMONTH(CFG_HOJE,0),"ABERTA","PROJETADA")))))</f>
        <v/>
      </c>
      <c r="P581" s="34" t="n">
        <f aca="false">IF($O581="ATRASADA",CFG_HOJE-$D581,0)</f>
        <v>0</v>
      </c>
      <c r="Q581" s="36" t="n">
        <f aca="false">IF($A581="",0,IF(AND($O581="PAGA",$J581="NAO"),$K581-$E581,0))</f>
        <v>0</v>
      </c>
    </row>
    <row r="582" customFormat="false" ht="15" hidden="false" customHeight="false" outlineLevel="0" collapsed="false">
      <c r="A582" s="30" t="str">
        <f aca="false">IF($B582="","","PAR-"&amp;TEXT(ROW()-4,"000000"))</f>
        <v/>
      </c>
      <c r="B582" s="32"/>
      <c r="C582" s="37"/>
      <c r="D582" s="31"/>
      <c r="E582" s="33"/>
      <c r="F582" s="32"/>
      <c r="G582" s="35" t="str">
        <f aca="false">IF($B582="","",IFERROR(INDEX(CM_NOME,MATCH($B582,CM_ID,0)),"?"))</f>
        <v/>
      </c>
      <c r="H582" s="34" t="str">
        <f aca="false">IF($B582="","",IFERROR(INDEX(CM_QTD,MATCH($B582,CM_ID,0)),""))</f>
        <v/>
      </c>
      <c r="I582" s="35" t="str">
        <f aca="false">IF($A582="","",$C582&amp;"/"&amp;$H582)</f>
        <v/>
      </c>
      <c r="J582" s="35" t="str">
        <f aca="false">IF($A582="","",IF($C582&lt;=IFERROR(INDEX(CM_PAGASANTES,MATCH($B582,CM_ID,0)),0),"SIM","NAO"))</f>
        <v/>
      </c>
      <c r="K582" s="36" t="n">
        <f aca="false">IF($A582="",0,SUMIFS(L_Valor,L_ParcID,$A582,L_Status,"REALIZADO"))</f>
        <v>0</v>
      </c>
      <c r="L582" s="38" t="str">
        <f aca="false">IF($A582="","",IFERROR(INDEX(L_Data,MATCH(1,INDEX((L_ParcID=$A582)*(L_Status="REALIZADO"),0),0)),""))</f>
        <v/>
      </c>
      <c r="M582" s="34" t="n">
        <f aca="false">IF($A582="",0,COUNTIFS(L_ParcID,$A582,L_Status,"REALIZADO"))</f>
        <v>0</v>
      </c>
      <c r="N582" s="34" t="n">
        <f aca="false">IF($A582="",0,COUNTIFS(L_ParcID,$A582,L_Status,"PROJETADO"))</f>
        <v>0</v>
      </c>
      <c r="O582" s="35" t="str">
        <f aca="false">IF($A582="","",IF($J582="SIM","PAGA",IF($M582&gt;0,"PAGA",IF($D582&lt;CFG_HOJE,"ATRASADA",IF($D582&lt;=EOMONTH(CFG_HOJE,0),"ABERTA","PROJETADA")))))</f>
        <v/>
      </c>
      <c r="P582" s="34" t="n">
        <f aca="false">IF($O582="ATRASADA",CFG_HOJE-$D582,0)</f>
        <v>0</v>
      </c>
      <c r="Q582" s="36" t="n">
        <f aca="false">IF($A582="",0,IF(AND($O582="PAGA",$J582="NAO"),$K582-$E582,0))</f>
        <v>0</v>
      </c>
    </row>
    <row r="583" customFormat="false" ht="15" hidden="false" customHeight="false" outlineLevel="0" collapsed="false">
      <c r="A583" s="30" t="str">
        <f aca="false">IF($B583="","","PAR-"&amp;TEXT(ROW()-4,"000000"))</f>
        <v/>
      </c>
      <c r="B583" s="32"/>
      <c r="C583" s="37"/>
      <c r="D583" s="31"/>
      <c r="E583" s="33"/>
      <c r="F583" s="32"/>
      <c r="G583" s="35" t="str">
        <f aca="false">IF($B583="","",IFERROR(INDEX(CM_NOME,MATCH($B583,CM_ID,0)),"?"))</f>
        <v/>
      </c>
      <c r="H583" s="34" t="str">
        <f aca="false">IF($B583="","",IFERROR(INDEX(CM_QTD,MATCH($B583,CM_ID,0)),""))</f>
        <v/>
      </c>
      <c r="I583" s="35" t="str">
        <f aca="false">IF($A583="","",$C583&amp;"/"&amp;$H583)</f>
        <v/>
      </c>
      <c r="J583" s="35" t="str">
        <f aca="false">IF($A583="","",IF($C583&lt;=IFERROR(INDEX(CM_PAGASANTES,MATCH($B583,CM_ID,0)),0),"SIM","NAO"))</f>
        <v/>
      </c>
      <c r="K583" s="36" t="n">
        <f aca="false">IF($A583="",0,SUMIFS(L_Valor,L_ParcID,$A583,L_Status,"REALIZADO"))</f>
        <v>0</v>
      </c>
      <c r="L583" s="38" t="str">
        <f aca="false">IF($A583="","",IFERROR(INDEX(L_Data,MATCH(1,INDEX((L_ParcID=$A583)*(L_Status="REALIZADO"),0),0)),""))</f>
        <v/>
      </c>
      <c r="M583" s="34" t="n">
        <f aca="false">IF($A583="",0,COUNTIFS(L_ParcID,$A583,L_Status,"REALIZADO"))</f>
        <v>0</v>
      </c>
      <c r="N583" s="34" t="n">
        <f aca="false">IF($A583="",0,COUNTIFS(L_ParcID,$A583,L_Status,"PROJETADO"))</f>
        <v>0</v>
      </c>
      <c r="O583" s="35" t="str">
        <f aca="false">IF($A583="","",IF($J583="SIM","PAGA",IF($M583&gt;0,"PAGA",IF($D583&lt;CFG_HOJE,"ATRASADA",IF($D583&lt;=EOMONTH(CFG_HOJE,0),"ABERTA","PROJETADA")))))</f>
        <v/>
      </c>
      <c r="P583" s="34" t="n">
        <f aca="false">IF($O583="ATRASADA",CFG_HOJE-$D583,0)</f>
        <v>0</v>
      </c>
      <c r="Q583" s="36" t="n">
        <f aca="false">IF($A583="",0,IF(AND($O583="PAGA",$J583="NAO"),$K583-$E583,0))</f>
        <v>0</v>
      </c>
    </row>
    <row r="584" customFormat="false" ht="15" hidden="false" customHeight="false" outlineLevel="0" collapsed="false">
      <c r="A584" s="30" t="str">
        <f aca="false">IF($B584="","","PAR-"&amp;TEXT(ROW()-4,"000000"))</f>
        <v/>
      </c>
      <c r="B584" s="32"/>
      <c r="C584" s="37"/>
      <c r="D584" s="31"/>
      <c r="E584" s="33"/>
      <c r="F584" s="32"/>
      <c r="G584" s="35" t="str">
        <f aca="false">IF($B584="","",IFERROR(INDEX(CM_NOME,MATCH($B584,CM_ID,0)),"?"))</f>
        <v/>
      </c>
      <c r="H584" s="34" t="str">
        <f aca="false">IF($B584="","",IFERROR(INDEX(CM_QTD,MATCH($B584,CM_ID,0)),""))</f>
        <v/>
      </c>
      <c r="I584" s="35" t="str">
        <f aca="false">IF($A584="","",$C584&amp;"/"&amp;$H584)</f>
        <v/>
      </c>
      <c r="J584" s="35" t="str">
        <f aca="false">IF($A584="","",IF($C584&lt;=IFERROR(INDEX(CM_PAGASANTES,MATCH($B584,CM_ID,0)),0),"SIM","NAO"))</f>
        <v/>
      </c>
      <c r="K584" s="36" t="n">
        <f aca="false">IF($A584="",0,SUMIFS(L_Valor,L_ParcID,$A584,L_Status,"REALIZADO"))</f>
        <v>0</v>
      </c>
      <c r="L584" s="38" t="str">
        <f aca="false">IF($A584="","",IFERROR(INDEX(L_Data,MATCH(1,INDEX((L_ParcID=$A584)*(L_Status="REALIZADO"),0),0)),""))</f>
        <v/>
      </c>
      <c r="M584" s="34" t="n">
        <f aca="false">IF($A584="",0,COUNTIFS(L_ParcID,$A584,L_Status,"REALIZADO"))</f>
        <v>0</v>
      </c>
      <c r="N584" s="34" t="n">
        <f aca="false">IF($A584="",0,COUNTIFS(L_ParcID,$A584,L_Status,"PROJETADO"))</f>
        <v>0</v>
      </c>
      <c r="O584" s="35" t="str">
        <f aca="false">IF($A584="","",IF($J584="SIM","PAGA",IF($M584&gt;0,"PAGA",IF($D584&lt;CFG_HOJE,"ATRASADA",IF($D584&lt;=EOMONTH(CFG_HOJE,0),"ABERTA","PROJETADA")))))</f>
        <v/>
      </c>
      <c r="P584" s="34" t="n">
        <f aca="false">IF($O584="ATRASADA",CFG_HOJE-$D584,0)</f>
        <v>0</v>
      </c>
      <c r="Q584" s="36" t="n">
        <f aca="false">IF($A584="",0,IF(AND($O584="PAGA",$J584="NAO"),$K584-$E584,0))</f>
        <v>0</v>
      </c>
    </row>
    <row r="585" customFormat="false" ht="15" hidden="false" customHeight="false" outlineLevel="0" collapsed="false">
      <c r="A585" s="30" t="str">
        <f aca="false">IF($B585="","","PAR-"&amp;TEXT(ROW()-4,"000000"))</f>
        <v/>
      </c>
      <c r="B585" s="32"/>
      <c r="C585" s="37"/>
      <c r="D585" s="31"/>
      <c r="E585" s="33"/>
      <c r="F585" s="32"/>
      <c r="G585" s="35" t="str">
        <f aca="false">IF($B585="","",IFERROR(INDEX(CM_NOME,MATCH($B585,CM_ID,0)),"?"))</f>
        <v/>
      </c>
      <c r="H585" s="34" t="str">
        <f aca="false">IF($B585="","",IFERROR(INDEX(CM_QTD,MATCH($B585,CM_ID,0)),""))</f>
        <v/>
      </c>
      <c r="I585" s="35" t="str">
        <f aca="false">IF($A585="","",$C585&amp;"/"&amp;$H585)</f>
        <v/>
      </c>
      <c r="J585" s="35" t="str">
        <f aca="false">IF($A585="","",IF($C585&lt;=IFERROR(INDEX(CM_PAGASANTES,MATCH($B585,CM_ID,0)),0),"SIM","NAO"))</f>
        <v/>
      </c>
      <c r="K585" s="36" t="n">
        <f aca="false">IF($A585="",0,SUMIFS(L_Valor,L_ParcID,$A585,L_Status,"REALIZADO"))</f>
        <v>0</v>
      </c>
      <c r="L585" s="38" t="str">
        <f aca="false">IF($A585="","",IFERROR(INDEX(L_Data,MATCH(1,INDEX((L_ParcID=$A585)*(L_Status="REALIZADO"),0),0)),""))</f>
        <v/>
      </c>
      <c r="M585" s="34" t="n">
        <f aca="false">IF($A585="",0,COUNTIFS(L_ParcID,$A585,L_Status,"REALIZADO"))</f>
        <v>0</v>
      </c>
      <c r="N585" s="34" t="n">
        <f aca="false">IF($A585="",0,COUNTIFS(L_ParcID,$A585,L_Status,"PROJETADO"))</f>
        <v>0</v>
      </c>
      <c r="O585" s="35" t="str">
        <f aca="false">IF($A585="","",IF($J585="SIM","PAGA",IF($M585&gt;0,"PAGA",IF($D585&lt;CFG_HOJE,"ATRASADA",IF($D585&lt;=EOMONTH(CFG_HOJE,0),"ABERTA","PROJETADA")))))</f>
        <v/>
      </c>
      <c r="P585" s="34" t="n">
        <f aca="false">IF($O585="ATRASADA",CFG_HOJE-$D585,0)</f>
        <v>0</v>
      </c>
      <c r="Q585" s="36" t="n">
        <f aca="false">IF($A585="",0,IF(AND($O585="PAGA",$J585="NAO"),$K585-$E585,0))</f>
        <v>0</v>
      </c>
    </row>
    <row r="586" customFormat="false" ht="15" hidden="false" customHeight="false" outlineLevel="0" collapsed="false">
      <c r="A586" s="30" t="str">
        <f aca="false">IF($B586="","","PAR-"&amp;TEXT(ROW()-4,"000000"))</f>
        <v/>
      </c>
      <c r="B586" s="32"/>
      <c r="C586" s="37"/>
      <c r="D586" s="31"/>
      <c r="E586" s="33"/>
      <c r="F586" s="32"/>
      <c r="G586" s="35" t="str">
        <f aca="false">IF($B586="","",IFERROR(INDEX(CM_NOME,MATCH($B586,CM_ID,0)),"?"))</f>
        <v/>
      </c>
      <c r="H586" s="34" t="str">
        <f aca="false">IF($B586="","",IFERROR(INDEX(CM_QTD,MATCH($B586,CM_ID,0)),""))</f>
        <v/>
      </c>
      <c r="I586" s="35" t="str">
        <f aca="false">IF($A586="","",$C586&amp;"/"&amp;$H586)</f>
        <v/>
      </c>
      <c r="J586" s="35" t="str">
        <f aca="false">IF($A586="","",IF($C586&lt;=IFERROR(INDEX(CM_PAGASANTES,MATCH($B586,CM_ID,0)),0),"SIM","NAO"))</f>
        <v/>
      </c>
      <c r="K586" s="36" t="n">
        <f aca="false">IF($A586="",0,SUMIFS(L_Valor,L_ParcID,$A586,L_Status,"REALIZADO"))</f>
        <v>0</v>
      </c>
      <c r="L586" s="38" t="str">
        <f aca="false">IF($A586="","",IFERROR(INDEX(L_Data,MATCH(1,INDEX((L_ParcID=$A586)*(L_Status="REALIZADO"),0),0)),""))</f>
        <v/>
      </c>
      <c r="M586" s="34" t="n">
        <f aca="false">IF($A586="",0,COUNTIFS(L_ParcID,$A586,L_Status,"REALIZADO"))</f>
        <v>0</v>
      </c>
      <c r="N586" s="34" t="n">
        <f aca="false">IF($A586="",0,COUNTIFS(L_ParcID,$A586,L_Status,"PROJETADO"))</f>
        <v>0</v>
      </c>
      <c r="O586" s="35" t="str">
        <f aca="false">IF($A586="","",IF($J586="SIM","PAGA",IF($M586&gt;0,"PAGA",IF($D586&lt;CFG_HOJE,"ATRASADA",IF($D586&lt;=EOMONTH(CFG_HOJE,0),"ABERTA","PROJETADA")))))</f>
        <v/>
      </c>
      <c r="P586" s="34" t="n">
        <f aca="false">IF($O586="ATRASADA",CFG_HOJE-$D586,0)</f>
        <v>0</v>
      </c>
      <c r="Q586" s="36" t="n">
        <f aca="false">IF($A586="",0,IF(AND($O586="PAGA",$J586="NAO"),$K586-$E586,0))</f>
        <v>0</v>
      </c>
    </row>
    <row r="587" customFormat="false" ht="15" hidden="false" customHeight="false" outlineLevel="0" collapsed="false">
      <c r="A587" s="30" t="str">
        <f aca="false">IF($B587="","","PAR-"&amp;TEXT(ROW()-4,"000000"))</f>
        <v/>
      </c>
      <c r="B587" s="32"/>
      <c r="C587" s="37"/>
      <c r="D587" s="31"/>
      <c r="E587" s="33"/>
      <c r="F587" s="32"/>
      <c r="G587" s="35" t="str">
        <f aca="false">IF($B587="","",IFERROR(INDEX(CM_NOME,MATCH($B587,CM_ID,0)),"?"))</f>
        <v/>
      </c>
      <c r="H587" s="34" t="str">
        <f aca="false">IF($B587="","",IFERROR(INDEX(CM_QTD,MATCH($B587,CM_ID,0)),""))</f>
        <v/>
      </c>
      <c r="I587" s="35" t="str">
        <f aca="false">IF($A587="","",$C587&amp;"/"&amp;$H587)</f>
        <v/>
      </c>
      <c r="J587" s="35" t="str">
        <f aca="false">IF($A587="","",IF($C587&lt;=IFERROR(INDEX(CM_PAGASANTES,MATCH($B587,CM_ID,0)),0),"SIM","NAO"))</f>
        <v/>
      </c>
      <c r="K587" s="36" t="n">
        <f aca="false">IF($A587="",0,SUMIFS(L_Valor,L_ParcID,$A587,L_Status,"REALIZADO"))</f>
        <v>0</v>
      </c>
      <c r="L587" s="38" t="str">
        <f aca="false">IF($A587="","",IFERROR(INDEX(L_Data,MATCH(1,INDEX((L_ParcID=$A587)*(L_Status="REALIZADO"),0),0)),""))</f>
        <v/>
      </c>
      <c r="M587" s="34" t="n">
        <f aca="false">IF($A587="",0,COUNTIFS(L_ParcID,$A587,L_Status,"REALIZADO"))</f>
        <v>0</v>
      </c>
      <c r="N587" s="34" t="n">
        <f aca="false">IF($A587="",0,COUNTIFS(L_ParcID,$A587,L_Status,"PROJETADO"))</f>
        <v>0</v>
      </c>
      <c r="O587" s="35" t="str">
        <f aca="false">IF($A587="","",IF($J587="SIM","PAGA",IF($M587&gt;0,"PAGA",IF($D587&lt;CFG_HOJE,"ATRASADA",IF($D587&lt;=EOMONTH(CFG_HOJE,0),"ABERTA","PROJETADA")))))</f>
        <v/>
      </c>
      <c r="P587" s="34" t="n">
        <f aca="false">IF($O587="ATRASADA",CFG_HOJE-$D587,0)</f>
        <v>0</v>
      </c>
      <c r="Q587" s="36" t="n">
        <f aca="false">IF($A587="",0,IF(AND($O587="PAGA",$J587="NAO"),$K587-$E587,0))</f>
        <v>0</v>
      </c>
    </row>
    <row r="588" customFormat="false" ht="15" hidden="false" customHeight="false" outlineLevel="0" collapsed="false">
      <c r="A588" s="30" t="str">
        <f aca="false">IF($B588="","","PAR-"&amp;TEXT(ROW()-4,"000000"))</f>
        <v/>
      </c>
      <c r="B588" s="32"/>
      <c r="C588" s="37"/>
      <c r="D588" s="31"/>
      <c r="E588" s="33"/>
      <c r="F588" s="32"/>
      <c r="G588" s="35" t="str">
        <f aca="false">IF($B588="","",IFERROR(INDEX(CM_NOME,MATCH($B588,CM_ID,0)),"?"))</f>
        <v/>
      </c>
      <c r="H588" s="34" t="str">
        <f aca="false">IF($B588="","",IFERROR(INDEX(CM_QTD,MATCH($B588,CM_ID,0)),""))</f>
        <v/>
      </c>
      <c r="I588" s="35" t="str">
        <f aca="false">IF($A588="","",$C588&amp;"/"&amp;$H588)</f>
        <v/>
      </c>
      <c r="J588" s="35" t="str">
        <f aca="false">IF($A588="","",IF($C588&lt;=IFERROR(INDEX(CM_PAGASANTES,MATCH($B588,CM_ID,0)),0),"SIM","NAO"))</f>
        <v/>
      </c>
      <c r="K588" s="36" t="n">
        <f aca="false">IF($A588="",0,SUMIFS(L_Valor,L_ParcID,$A588,L_Status,"REALIZADO"))</f>
        <v>0</v>
      </c>
      <c r="L588" s="38" t="str">
        <f aca="false">IF($A588="","",IFERROR(INDEX(L_Data,MATCH(1,INDEX((L_ParcID=$A588)*(L_Status="REALIZADO"),0),0)),""))</f>
        <v/>
      </c>
      <c r="M588" s="34" t="n">
        <f aca="false">IF($A588="",0,COUNTIFS(L_ParcID,$A588,L_Status,"REALIZADO"))</f>
        <v>0</v>
      </c>
      <c r="N588" s="34" t="n">
        <f aca="false">IF($A588="",0,COUNTIFS(L_ParcID,$A588,L_Status,"PROJETADO"))</f>
        <v>0</v>
      </c>
      <c r="O588" s="35" t="str">
        <f aca="false">IF($A588="","",IF($J588="SIM","PAGA",IF($M588&gt;0,"PAGA",IF($D588&lt;CFG_HOJE,"ATRASADA",IF($D588&lt;=EOMONTH(CFG_HOJE,0),"ABERTA","PROJETADA")))))</f>
        <v/>
      </c>
      <c r="P588" s="34" t="n">
        <f aca="false">IF($O588="ATRASADA",CFG_HOJE-$D588,0)</f>
        <v>0</v>
      </c>
      <c r="Q588" s="36" t="n">
        <f aca="false">IF($A588="",0,IF(AND($O588="PAGA",$J588="NAO"),$K588-$E588,0))</f>
        <v>0</v>
      </c>
    </row>
    <row r="589" customFormat="false" ht="15" hidden="false" customHeight="false" outlineLevel="0" collapsed="false">
      <c r="A589" s="30" t="str">
        <f aca="false">IF($B589="","","PAR-"&amp;TEXT(ROW()-4,"000000"))</f>
        <v/>
      </c>
      <c r="B589" s="32"/>
      <c r="C589" s="37"/>
      <c r="D589" s="31"/>
      <c r="E589" s="33"/>
      <c r="F589" s="32"/>
      <c r="G589" s="35" t="str">
        <f aca="false">IF($B589="","",IFERROR(INDEX(CM_NOME,MATCH($B589,CM_ID,0)),"?"))</f>
        <v/>
      </c>
      <c r="H589" s="34" t="str">
        <f aca="false">IF($B589="","",IFERROR(INDEX(CM_QTD,MATCH($B589,CM_ID,0)),""))</f>
        <v/>
      </c>
      <c r="I589" s="35" t="str">
        <f aca="false">IF($A589="","",$C589&amp;"/"&amp;$H589)</f>
        <v/>
      </c>
      <c r="J589" s="35" t="str">
        <f aca="false">IF($A589="","",IF($C589&lt;=IFERROR(INDEX(CM_PAGASANTES,MATCH($B589,CM_ID,0)),0),"SIM","NAO"))</f>
        <v/>
      </c>
      <c r="K589" s="36" t="n">
        <f aca="false">IF($A589="",0,SUMIFS(L_Valor,L_ParcID,$A589,L_Status,"REALIZADO"))</f>
        <v>0</v>
      </c>
      <c r="L589" s="38" t="str">
        <f aca="false">IF($A589="","",IFERROR(INDEX(L_Data,MATCH(1,INDEX((L_ParcID=$A589)*(L_Status="REALIZADO"),0),0)),""))</f>
        <v/>
      </c>
      <c r="M589" s="34" t="n">
        <f aca="false">IF($A589="",0,COUNTIFS(L_ParcID,$A589,L_Status,"REALIZADO"))</f>
        <v>0</v>
      </c>
      <c r="N589" s="34" t="n">
        <f aca="false">IF($A589="",0,COUNTIFS(L_ParcID,$A589,L_Status,"PROJETADO"))</f>
        <v>0</v>
      </c>
      <c r="O589" s="35" t="str">
        <f aca="false">IF($A589="","",IF($J589="SIM","PAGA",IF($M589&gt;0,"PAGA",IF($D589&lt;CFG_HOJE,"ATRASADA",IF($D589&lt;=EOMONTH(CFG_HOJE,0),"ABERTA","PROJETADA")))))</f>
        <v/>
      </c>
      <c r="P589" s="34" t="n">
        <f aca="false">IF($O589="ATRASADA",CFG_HOJE-$D589,0)</f>
        <v>0</v>
      </c>
      <c r="Q589" s="36" t="n">
        <f aca="false">IF($A589="",0,IF(AND($O589="PAGA",$J589="NAO"),$K589-$E589,0))</f>
        <v>0</v>
      </c>
    </row>
    <row r="590" customFormat="false" ht="15" hidden="false" customHeight="false" outlineLevel="0" collapsed="false">
      <c r="A590" s="30" t="str">
        <f aca="false">IF($B590="","","PAR-"&amp;TEXT(ROW()-4,"000000"))</f>
        <v/>
      </c>
      <c r="B590" s="32"/>
      <c r="C590" s="37"/>
      <c r="D590" s="31"/>
      <c r="E590" s="33"/>
      <c r="F590" s="32"/>
      <c r="G590" s="35" t="str">
        <f aca="false">IF($B590="","",IFERROR(INDEX(CM_NOME,MATCH($B590,CM_ID,0)),"?"))</f>
        <v/>
      </c>
      <c r="H590" s="34" t="str">
        <f aca="false">IF($B590="","",IFERROR(INDEX(CM_QTD,MATCH($B590,CM_ID,0)),""))</f>
        <v/>
      </c>
      <c r="I590" s="35" t="str">
        <f aca="false">IF($A590="","",$C590&amp;"/"&amp;$H590)</f>
        <v/>
      </c>
      <c r="J590" s="35" t="str">
        <f aca="false">IF($A590="","",IF($C590&lt;=IFERROR(INDEX(CM_PAGASANTES,MATCH($B590,CM_ID,0)),0),"SIM","NAO"))</f>
        <v/>
      </c>
      <c r="K590" s="36" t="n">
        <f aca="false">IF($A590="",0,SUMIFS(L_Valor,L_ParcID,$A590,L_Status,"REALIZADO"))</f>
        <v>0</v>
      </c>
      <c r="L590" s="38" t="str">
        <f aca="false">IF($A590="","",IFERROR(INDEX(L_Data,MATCH(1,INDEX((L_ParcID=$A590)*(L_Status="REALIZADO"),0),0)),""))</f>
        <v/>
      </c>
      <c r="M590" s="34" t="n">
        <f aca="false">IF($A590="",0,COUNTIFS(L_ParcID,$A590,L_Status,"REALIZADO"))</f>
        <v>0</v>
      </c>
      <c r="N590" s="34" t="n">
        <f aca="false">IF($A590="",0,COUNTIFS(L_ParcID,$A590,L_Status,"PROJETADO"))</f>
        <v>0</v>
      </c>
      <c r="O590" s="35" t="str">
        <f aca="false">IF($A590="","",IF($J590="SIM","PAGA",IF($M590&gt;0,"PAGA",IF($D590&lt;CFG_HOJE,"ATRASADA",IF($D590&lt;=EOMONTH(CFG_HOJE,0),"ABERTA","PROJETADA")))))</f>
        <v/>
      </c>
      <c r="P590" s="34" t="n">
        <f aca="false">IF($O590="ATRASADA",CFG_HOJE-$D590,0)</f>
        <v>0</v>
      </c>
      <c r="Q590" s="36" t="n">
        <f aca="false">IF($A590="",0,IF(AND($O590="PAGA",$J590="NAO"),$K590-$E590,0))</f>
        <v>0</v>
      </c>
    </row>
    <row r="591" customFormat="false" ht="15" hidden="false" customHeight="false" outlineLevel="0" collapsed="false">
      <c r="A591" s="30" t="str">
        <f aca="false">IF($B591="","","PAR-"&amp;TEXT(ROW()-4,"000000"))</f>
        <v/>
      </c>
      <c r="B591" s="32"/>
      <c r="C591" s="37"/>
      <c r="D591" s="31"/>
      <c r="E591" s="33"/>
      <c r="F591" s="32"/>
      <c r="G591" s="35" t="str">
        <f aca="false">IF($B591="","",IFERROR(INDEX(CM_NOME,MATCH($B591,CM_ID,0)),"?"))</f>
        <v/>
      </c>
      <c r="H591" s="34" t="str">
        <f aca="false">IF($B591="","",IFERROR(INDEX(CM_QTD,MATCH($B591,CM_ID,0)),""))</f>
        <v/>
      </c>
      <c r="I591" s="35" t="str">
        <f aca="false">IF($A591="","",$C591&amp;"/"&amp;$H591)</f>
        <v/>
      </c>
      <c r="J591" s="35" t="str">
        <f aca="false">IF($A591="","",IF($C591&lt;=IFERROR(INDEX(CM_PAGASANTES,MATCH($B591,CM_ID,0)),0),"SIM","NAO"))</f>
        <v/>
      </c>
      <c r="K591" s="36" t="n">
        <f aca="false">IF($A591="",0,SUMIFS(L_Valor,L_ParcID,$A591,L_Status,"REALIZADO"))</f>
        <v>0</v>
      </c>
      <c r="L591" s="38" t="str">
        <f aca="false">IF($A591="","",IFERROR(INDEX(L_Data,MATCH(1,INDEX((L_ParcID=$A591)*(L_Status="REALIZADO"),0),0)),""))</f>
        <v/>
      </c>
      <c r="M591" s="34" t="n">
        <f aca="false">IF($A591="",0,COUNTIFS(L_ParcID,$A591,L_Status,"REALIZADO"))</f>
        <v>0</v>
      </c>
      <c r="N591" s="34" t="n">
        <f aca="false">IF($A591="",0,COUNTIFS(L_ParcID,$A591,L_Status,"PROJETADO"))</f>
        <v>0</v>
      </c>
      <c r="O591" s="35" t="str">
        <f aca="false">IF($A591="","",IF($J591="SIM","PAGA",IF($M591&gt;0,"PAGA",IF($D591&lt;CFG_HOJE,"ATRASADA",IF($D591&lt;=EOMONTH(CFG_HOJE,0),"ABERTA","PROJETADA")))))</f>
        <v/>
      </c>
      <c r="P591" s="34" t="n">
        <f aca="false">IF($O591="ATRASADA",CFG_HOJE-$D591,0)</f>
        <v>0</v>
      </c>
      <c r="Q591" s="36" t="n">
        <f aca="false">IF($A591="",0,IF(AND($O591="PAGA",$J591="NAO"),$K591-$E591,0))</f>
        <v>0</v>
      </c>
    </row>
    <row r="592" customFormat="false" ht="15" hidden="false" customHeight="false" outlineLevel="0" collapsed="false">
      <c r="A592" s="30" t="str">
        <f aca="false">IF($B592="","","PAR-"&amp;TEXT(ROW()-4,"000000"))</f>
        <v/>
      </c>
      <c r="B592" s="32"/>
      <c r="C592" s="37"/>
      <c r="D592" s="31"/>
      <c r="E592" s="33"/>
      <c r="F592" s="32"/>
      <c r="G592" s="35" t="str">
        <f aca="false">IF($B592="","",IFERROR(INDEX(CM_NOME,MATCH($B592,CM_ID,0)),"?"))</f>
        <v/>
      </c>
      <c r="H592" s="34" t="str">
        <f aca="false">IF($B592="","",IFERROR(INDEX(CM_QTD,MATCH($B592,CM_ID,0)),""))</f>
        <v/>
      </c>
      <c r="I592" s="35" t="str">
        <f aca="false">IF($A592="","",$C592&amp;"/"&amp;$H592)</f>
        <v/>
      </c>
      <c r="J592" s="35" t="str">
        <f aca="false">IF($A592="","",IF($C592&lt;=IFERROR(INDEX(CM_PAGASANTES,MATCH($B592,CM_ID,0)),0),"SIM","NAO"))</f>
        <v/>
      </c>
      <c r="K592" s="36" t="n">
        <f aca="false">IF($A592="",0,SUMIFS(L_Valor,L_ParcID,$A592,L_Status,"REALIZADO"))</f>
        <v>0</v>
      </c>
      <c r="L592" s="38" t="str">
        <f aca="false">IF($A592="","",IFERROR(INDEX(L_Data,MATCH(1,INDEX((L_ParcID=$A592)*(L_Status="REALIZADO"),0),0)),""))</f>
        <v/>
      </c>
      <c r="M592" s="34" t="n">
        <f aca="false">IF($A592="",0,COUNTIFS(L_ParcID,$A592,L_Status,"REALIZADO"))</f>
        <v>0</v>
      </c>
      <c r="N592" s="34" t="n">
        <f aca="false">IF($A592="",0,COUNTIFS(L_ParcID,$A592,L_Status,"PROJETADO"))</f>
        <v>0</v>
      </c>
      <c r="O592" s="35" t="str">
        <f aca="false">IF($A592="","",IF($J592="SIM","PAGA",IF($M592&gt;0,"PAGA",IF($D592&lt;CFG_HOJE,"ATRASADA",IF($D592&lt;=EOMONTH(CFG_HOJE,0),"ABERTA","PROJETADA")))))</f>
        <v/>
      </c>
      <c r="P592" s="34" t="n">
        <f aca="false">IF($O592="ATRASADA",CFG_HOJE-$D592,0)</f>
        <v>0</v>
      </c>
      <c r="Q592" s="36" t="n">
        <f aca="false">IF($A592="",0,IF(AND($O592="PAGA",$J592="NAO"),$K592-$E592,0))</f>
        <v>0</v>
      </c>
    </row>
    <row r="593" customFormat="false" ht="15" hidden="false" customHeight="false" outlineLevel="0" collapsed="false">
      <c r="A593" s="30" t="str">
        <f aca="false">IF($B593="","","PAR-"&amp;TEXT(ROW()-4,"000000"))</f>
        <v/>
      </c>
      <c r="B593" s="32"/>
      <c r="C593" s="37"/>
      <c r="D593" s="31"/>
      <c r="E593" s="33"/>
      <c r="F593" s="32"/>
      <c r="G593" s="35" t="str">
        <f aca="false">IF($B593="","",IFERROR(INDEX(CM_NOME,MATCH($B593,CM_ID,0)),"?"))</f>
        <v/>
      </c>
      <c r="H593" s="34" t="str">
        <f aca="false">IF($B593="","",IFERROR(INDEX(CM_QTD,MATCH($B593,CM_ID,0)),""))</f>
        <v/>
      </c>
      <c r="I593" s="35" t="str">
        <f aca="false">IF($A593="","",$C593&amp;"/"&amp;$H593)</f>
        <v/>
      </c>
      <c r="J593" s="35" t="str">
        <f aca="false">IF($A593="","",IF($C593&lt;=IFERROR(INDEX(CM_PAGASANTES,MATCH($B593,CM_ID,0)),0),"SIM","NAO"))</f>
        <v/>
      </c>
      <c r="K593" s="36" t="n">
        <f aca="false">IF($A593="",0,SUMIFS(L_Valor,L_ParcID,$A593,L_Status,"REALIZADO"))</f>
        <v>0</v>
      </c>
      <c r="L593" s="38" t="str">
        <f aca="false">IF($A593="","",IFERROR(INDEX(L_Data,MATCH(1,INDEX((L_ParcID=$A593)*(L_Status="REALIZADO"),0),0)),""))</f>
        <v/>
      </c>
      <c r="M593" s="34" t="n">
        <f aca="false">IF($A593="",0,COUNTIFS(L_ParcID,$A593,L_Status,"REALIZADO"))</f>
        <v>0</v>
      </c>
      <c r="N593" s="34" t="n">
        <f aca="false">IF($A593="",0,COUNTIFS(L_ParcID,$A593,L_Status,"PROJETADO"))</f>
        <v>0</v>
      </c>
      <c r="O593" s="35" t="str">
        <f aca="false">IF($A593="","",IF($J593="SIM","PAGA",IF($M593&gt;0,"PAGA",IF($D593&lt;CFG_HOJE,"ATRASADA",IF($D593&lt;=EOMONTH(CFG_HOJE,0),"ABERTA","PROJETADA")))))</f>
        <v/>
      </c>
      <c r="P593" s="34" t="n">
        <f aca="false">IF($O593="ATRASADA",CFG_HOJE-$D593,0)</f>
        <v>0</v>
      </c>
      <c r="Q593" s="36" t="n">
        <f aca="false">IF($A593="",0,IF(AND($O593="PAGA",$J593="NAO"),$K593-$E593,0))</f>
        <v>0</v>
      </c>
    </row>
    <row r="594" customFormat="false" ht="15" hidden="false" customHeight="false" outlineLevel="0" collapsed="false">
      <c r="A594" s="30" t="str">
        <f aca="false">IF($B594="","","PAR-"&amp;TEXT(ROW()-4,"000000"))</f>
        <v/>
      </c>
      <c r="B594" s="32"/>
      <c r="C594" s="37"/>
      <c r="D594" s="31"/>
      <c r="E594" s="33"/>
      <c r="F594" s="32"/>
      <c r="G594" s="35" t="str">
        <f aca="false">IF($B594="","",IFERROR(INDEX(CM_NOME,MATCH($B594,CM_ID,0)),"?"))</f>
        <v/>
      </c>
      <c r="H594" s="34" t="str">
        <f aca="false">IF($B594="","",IFERROR(INDEX(CM_QTD,MATCH($B594,CM_ID,0)),""))</f>
        <v/>
      </c>
      <c r="I594" s="35" t="str">
        <f aca="false">IF($A594="","",$C594&amp;"/"&amp;$H594)</f>
        <v/>
      </c>
      <c r="J594" s="35" t="str">
        <f aca="false">IF($A594="","",IF($C594&lt;=IFERROR(INDEX(CM_PAGASANTES,MATCH($B594,CM_ID,0)),0),"SIM","NAO"))</f>
        <v/>
      </c>
      <c r="K594" s="36" t="n">
        <f aca="false">IF($A594="",0,SUMIFS(L_Valor,L_ParcID,$A594,L_Status,"REALIZADO"))</f>
        <v>0</v>
      </c>
      <c r="L594" s="38" t="str">
        <f aca="false">IF($A594="","",IFERROR(INDEX(L_Data,MATCH(1,INDEX((L_ParcID=$A594)*(L_Status="REALIZADO"),0),0)),""))</f>
        <v/>
      </c>
      <c r="M594" s="34" t="n">
        <f aca="false">IF($A594="",0,COUNTIFS(L_ParcID,$A594,L_Status,"REALIZADO"))</f>
        <v>0</v>
      </c>
      <c r="N594" s="34" t="n">
        <f aca="false">IF($A594="",0,COUNTIFS(L_ParcID,$A594,L_Status,"PROJETADO"))</f>
        <v>0</v>
      </c>
      <c r="O594" s="35" t="str">
        <f aca="false">IF($A594="","",IF($J594="SIM","PAGA",IF($M594&gt;0,"PAGA",IF($D594&lt;CFG_HOJE,"ATRASADA",IF($D594&lt;=EOMONTH(CFG_HOJE,0),"ABERTA","PROJETADA")))))</f>
        <v/>
      </c>
      <c r="P594" s="34" t="n">
        <f aca="false">IF($O594="ATRASADA",CFG_HOJE-$D594,0)</f>
        <v>0</v>
      </c>
      <c r="Q594" s="36" t="n">
        <f aca="false">IF($A594="",0,IF(AND($O594="PAGA",$J594="NAO"),$K594-$E594,0))</f>
        <v>0</v>
      </c>
    </row>
    <row r="595" customFormat="false" ht="15" hidden="false" customHeight="false" outlineLevel="0" collapsed="false">
      <c r="A595" s="30" t="str">
        <f aca="false">IF($B595="","","PAR-"&amp;TEXT(ROW()-4,"000000"))</f>
        <v/>
      </c>
      <c r="B595" s="32"/>
      <c r="C595" s="37"/>
      <c r="D595" s="31"/>
      <c r="E595" s="33"/>
      <c r="F595" s="32"/>
      <c r="G595" s="35" t="str">
        <f aca="false">IF($B595="","",IFERROR(INDEX(CM_NOME,MATCH($B595,CM_ID,0)),"?"))</f>
        <v/>
      </c>
      <c r="H595" s="34" t="str">
        <f aca="false">IF($B595="","",IFERROR(INDEX(CM_QTD,MATCH($B595,CM_ID,0)),""))</f>
        <v/>
      </c>
      <c r="I595" s="35" t="str">
        <f aca="false">IF($A595="","",$C595&amp;"/"&amp;$H595)</f>
        <v/>
      </c>
      <c r="J595" s="35" t="str">
        <f aca="false">IF($A595="","",IF($C595&lt;=IFERROR(INDEX(CM_PAGASANTES,MATCH($B595,CM_ID,0)),0),"SIM","NAO"))</f>
        <v/>
      </c>
      <c r="K595" s="36" t="n">
        <f aca="false">IF($A595="",0,SUMIFS(L_Valor,L_ParcID,$A595,L_Status,"REALIZADO"))</f>
        <v>0</v>
      </c>
      <c r="L595" s="38" t="str">
        <f aca="false">IF($A595="","",IFERROR(INDEX(L_Data,MATCH(1,INDEX((L_ParcID=$A595)*(L_Status="REALIZADO"),0),0)),""))</f>
        <v/>
      </c>
      <c r="M595" s="34" t="n">
        <f aca="false">IF($A595="",0,COUNTIFS(L_ParcID,$A595,L_Status,"REALIZADO"))</f>
        <v>0</v>
      </c>
      <c r="N595" s="34" t="n">
        <f aca="false">IF($A595="",0,COUNTIFS(L_ParcID,$A595,L_Status,"PROJETADO"))</f>
        <v>0</v>
      </c>
      <c r="O595" s="35" t="str">
        <f aca="false">IF($A595="","",IF($J595="SIM","PAGA",IF($M595&gt;0,"PAGA",IF($D595&lt;CFG_HOJE,"ATRASADA",IF($D595&lt;=EOMONTH(CFG_HOJE,0),"ABERTA","PROJETADA")))))</f>
        <v/>
      </c>
      <c r="P595" s="34" t="n">
        <f aca="false">IF($O595="ATRASADA",CFG_HOJE-$D595,0)</f>
        <v>0</v>
      </c>
      <c r="Q595" s="36" t="n">
        <f aca="false">IF($A595="",0,IF(AND($O595="PAGA",$J595="NAO"),$K595-$E595,0))</f>
        <v>0</v>
      </c>
    </row>
    <row r="596" customFormat="false" ht="15" hidden="false" customHeight="false" outlineLevel="0" collapsed="false">
      <c r="A596" s="30" t="str">
        <f aca="false">IF($B596="","","PAR-"&amp;TEXT(ROW()-4,"000000"))</f>
        <v/>
      </c>
      <c r="B596" s="32"/>
      <c r="C596" s="37"/>
      <c r="D596" s="31"/>
      <c r="E596" s="33"/>
      <c r="F596" s="32"/>
      <c r="G596" s="35" t="str">
        <f aca="false">IF($B596="","",IFERROR(INDEX(CM_NOME,MATCH($B596,CM_ID,0)),"?"))</f>
        <v/>
      </c>
      <c r="H596" s="34" t="str">
        <f aca="false">IF($B596="","",IFERROR(INDEX(CM_QTD,MATCH($B596,CM_ID,0)),""))</f>
        <v/>
      </c>
      <c r="I596" s="35" t="str">
        <f aca="false">IF($A596="","",$C596&amp;"/"&amp;$H596)</f>
        <v/>
      </c>
      <c r="J596" s="35" t="str">
        <f aca="false">IF($A596="","",IF($C596&lt;=IFERROR(INDEX(CM_PAGASANTES,MATCH($B596,CM_ID,0)),0),"SIM","NAO"))</f>
        <v/>
      </c>
      <c r="K596" s="36" t="n">
        <f aca="false">IF($A596="",0,SUMIFS(L_Valor,L_ParcID,$A596,L_Status,"REALIZADO"))</f>
        <v>0</v>
      </c>
      <c r="L596" s="38" t="str">
        <f aca="false">IF($A596="","",IFERROR(INDEX(L_Data,MATCH(1,INDEX((L_ParcID=$A596)*(L_Status="REALIZADO"),0),0)),""))</f>
        <v/>
      </c>
      <c r="M596" s="34" t="n">
        <f aca="false">IF($A596="",0,COUNTIFS(L_ParcID,$A596,L_Status,"REALIZADO"))</f>
        <v>0</v>
      </c>
      <c r="N596" s="34" t="n">
        <f aca="false">IF($A596="",0,COUNTIFS(L_ParcID,$A596,L_Status,"PROJETADO"))</f>
        <v>0</v>
      </c>
      <c r="O596" s="35" t="str">
        <f aca="false">IF($A596="","",IF($J596="SIM","PAGA",IF($M596&gt;0,"PAGA",IF($D596&lt;CFG_HOJE,"ATRASADA",IF($D596&lt;=EOMONTH(CFG_HOJE,0),"ABERTA","PROJETADA")))))</f>
        <v/>
      </c>
      <c r="P596" s="34" t="n">
        <f aca="false">IF($O596="ATRASADA",CFG_HOJE-$D596,0)</f>
        <v>0</v>
      </c>
      <c r="Q596" s="36" t="n">
        <f aca="false">IF($A596="",0,IF(AND($O596="PAGA",$J596="NAO"),$K596-$E596,0))</f>
        <v>0</v>
      </c>
    </row>
    <row r="597" customFormat="false" ht="15" hidden="false" customHeight="false" outlineLevel="0" collapsed="false">
      <c r="A597" s="30" t="str">
        <f aca="false">IF($B597="","","PAR-"&amp;TEXT(ROW()-4,"000000"))</f>
        <v/>
      </c>
      <c r="B597" s="32"/>
      <c r="C597" s="37"/>
      <c r="D597" s="31"/>
      <c r="E597" s="33"/>
      <c r="F597" s="32"/>
      <c r="G597" s="35" t="str">
        <f aca="false">IF($B597="","",IFERROR(INDEX(CM_NOME,MATCH($B597,CM_ID,0)),"?"))</f>
        <v/>
      </c>
      <c r="H597" s="34" t="str">
        <f aca="false">IF($B597="","",IFERROR(INDEX(CM_QTD,MATCH($B597,CM_ID,0)),""))</f>
        <v/>
      </c>
      <c r="I597" s="35" t="str">
        <f aca="false">IF($A597="","",$C597&amp;"/"&amp;$H597)</f>
        <v/>
      </c>
      <c r="J597" s="35" t="str">
        <f aca="false">IF($A597="","",IF($C597&lt;=IFERROR(INDEX(CM_PAGASANTES,MATCH($B597,CM_ID,0)),0),"SIM","NAO"))</f>
        <v/>
      </c>
      <c r="K597" s="36" t="n">
        <f aca="false">IF($A597="",0,SUMIFS(L_Valor,L_ParcID,$A597,L_Status,"REALIZADO"))</f>
        <v>0</v>
      </c>
      <c r="L597" s="38" t="str">
        <f aca="false">IF($A597="","",IFERROR(INDEX(L_Data,MATCH(1,INDEX((L_ParcID=$A597)*(L_Status="REALIZADO"),0),0)),""))</f>
        <v/>
      </c>
      <c r="M597" s="34" t="n">
        <f aca="false">IF($A597="",0,COUNTIFS(L_ParcID,$A597,L_Status,"REALIZADO"))</f>
        <v>0</v>
      </c>
      <c r="N597" s="34" t="n">
        <f aca="false">IF($A597="",0,COUNTIFS(L_ParcID,$A597,L_Status,"PROJETADO"))</f>
        <v>0</v>
      </c>
      <c r="O597" s="35" t="str">
        <f aca="false">IF($A597="","",IF($J597="SIM","PAGA",IF($M597&gt;0,"PAGA",IF($D597&lt;CFG_HOJE,"ATRASADA",IF($D597&lt;=EOMONTH(CFG_HOJE,0),"ABERTA","PROJETADA")))))</f>
        <v/>
      </c>
      <c r="P597" s="34" t="n">
        <f aca="false">IF($O597="ATRASADA",CFG_HOJE-$D597,0)</f>
        <v>0</v>
      </c>
      <c r="Q597" s="36" t="n">
        <f aca="false">IF($A597="",0,IF(AND($O597="PAGA",$J597="NAO"),$K597-$E597,0))</f>
        <v>0</v>
      </c>
    </row>
    <row r="598" customFormat="false" ht="15" hidden="false" customHeight="false" outlineLevel="0" collapsed="false">
      <c r="A598" s="30" t="str">
        <f aca="false">IF($B598="","","PAR-"&amp;TEXT(ROW()-4,"000000"))</f>
        <v/>
      </c>
      <c r="B598" s="32"/>
      <c r="C598" s="37"/>
      <c r="D598" s="31"/>
      <c r="E598" s="33"/>
      <c r="F598" s="32"/>
      <c r="G598" s="35" t="str">
        <f aca="false">IF($B598="","",IFERROR(INDEX(CM_NOME,MATCH($B598,CM_ID,0)),"?"))</f>
        <v/>
      </c>
      <c r="H598" s="34" t="str">
        <f aca="false">IF($B598="","",IFERROR(INDEX(CM_QTD,MATCH($B598,CM_ID,0)),""))</f>
        <v/>
      </c>
      <c r="I598" s="35" t="str">
        <f aca="false">IF($A598="","",$C598&amp;"/"&amp;$H598)</f>
        <v/>
      </c>
      <c r="J598" s="35" t="str">
        <f aca="false">IF($A598="","",IF($C598&lt;=IFERROR(INDEX(CM_PAGASANTES,MATCH($B598,CM_ID,0)),0),"SIM","NAO"))</f>
        <v/>
      </c>
      <c r="K598" s="36" t="n">
        <f aca="false">IF($A598="",0,SUMIFS(L_Valor,L_ParcID,$A598,L_Status,"REALIZADO"))</f>
        <v>0</v>
      </c>
      <c r="L598" s="38" t="str">
        <f aca="false">IF($A598="","",IFERROR(INDEX(L_Data,MATCH(1,INDEX((L_ParcID=$A598)*(L_Status="REALIZADO"),0),0)),""))</f>
        <v/>
      </c>
      <c r="M598" s="34" t="n">
        <f aca="false">IF($A598="",0,COUNTIFS(L_ParcID,$A598,L_Status,"REALIZADO"))</f>
        <v>0</v>
      </c>
      <c r="N598" s="34" t="n">
        <f aca="false">IF($A598="",0,COUNTIFS(L_ParcID,$A598,L_Status,"PROJETADO"))</f>
        <v>0</v>
      </c>
      <c r="O598" s="35" t="str">
        <f aca="false">IF($A598="","",IF($J598="SIM","PAGA",IF($M598&gt;0,"PAGA",IF($D598&lt;CFG_HOJE,"ATRASADA",IF($D598&lt;=EOMONTH(CFG_HOJE,0),"ABERTA","PROJETADA")))))</f>
        <v/>
      </c>
      <c r="P598" s="34" t="n">
        <f aca="false">IF($O598="ATRASADA",CFG_HOJE-$D598,0)</f>
        <v>0</v>
      </c>
      <c r="Q598" s="36" t="n">
        <f aca="false">IF($A598="",0,IF(AND($O598="PAGA",$J598="NAO"),$K598-$E598,0))</f>
        <v>0</v>
      </c>
    </row>
    <row r="599" customFormat="false" ht="15" hidden="false" customHeight="false" outlineLevel="0" collapsed="false">
      <c r="A599" s="30" t="str">
        <f aca="false">IF($B599="","","PAR-"&amp;TEXT(ROW()-4,"000000"))</f>
        <v/>
      </c>
      <c r="B599" s="32"/>
      <c r="C599" s="37"/>
      <c r="D599" s="31"/>
      <c r="E599" s="33"/>
      <c r="F599" s="32"/>
      <c r="G599" s="35" t="str">
        <f aca="false">IF($B599="","",IFERROR(INDEX(CM_NOME,MATCH($B599,CM_ID,0)),"?"))</f>
        <v/>
      </c>
      <c r="H599" s="34" t="str">
        <f aca="false">IF($B599="","",IFERROR(INDEX(CM_QTD,MATCH($B599,CM_ID,0)),""))</f>
        <v/>
      </c>
      <c r="I599" s="35" t="str">
        <f aca="false">IF($A599="","",$C599&amp;"/"&amp;$H599)</f>
        <v/>
      </c>
      <c r="J599" s="35" t="str">
        <f aca="false">IF($A599="","",IF($C599&lt;=IFERROR(INDEX(CM_PAGASANTES,MATCH($B599,CM_ID,0)),0),"SIM","NAO"))</f>
        <v/>
      </c>
      <c r="K599" s="36" t="n">
        <f aca="false">IF($A599="",0,SUMIFS(L_Valor,L_ParcID,$A599,L_Status,"REALIZADO"))</f>
        <v>0</v>
      </c>
      <c r="L599" s="38" t="str">
        <f aca="false">IF($A599="","",IFERROR(INDEX(L_Data,MATCH(1,INDEX((L_ParcID=$A599)*(L_Status="REALIZADO"),0),0)),""))</f>
        <v/>
      </c>
      <c r="M599" s="34" t="n">
        <f aca="false">IF($A599="",0,COUNTIFS(L_ParcID,$A599,L_Status,"REALIZADO"))</f>
        <v>0</v>
      </c>
      <c r="N599" s="34" t="n">
        <f aca="false">IF($A599="",0,COUNTIFS(L_ParcID,$A599,L_Status,"PROJETADO"))</f>
        <v>0</v>
      </c>
      <c r="O599" s="35" t="str">
        <f aca="false">IF($A599="","",IF($J599="SIM","PAGA",IF($M599&gt;0,"PAGA",IF($D599&lt;CFG_HOJE,"ATRASADA",IF($D599&lt;=EOMONTH(CFG_HOJE,0),"ABERTA","PROJETADA")))))</f>
        <v/>
      </c>
      <c r="P599" s="34" t="n">
        <f aca="false">IF($O599="ATRASADA",CFG_HOJE-$D599,0)</f>
        <v>0</v>
      </c>
      <c r="Q599" s="36" t="n">
        <f aca="false">IF($A599="",0,IF(AND($O599="PAGA",$J599="NAO"),$K599-$E599,0))</f>
        <v>0</v>
      </c>
    </row>
    <row r="600" customFormat="false" ht="15" hidden="false" customHeight="false" outlineLevel="0" collapsed="false">
      <c r="A600" s="30" t="str">
        <f aca="false">IF($B600="","","PAR-"&amp;TEXT(ROW()-4,"000000"))</f>
        <v/>
      </c>
      <c r="B600" s="32"/>
      <c r="C600" s="37"/>
      <c r="D600" s="31"/>
      <c r="E600" s="33"/>
      <c r="F600" s="32"/>
      <c r="G600" s="35" t="str">
        <f aca="false">IF($B600="","",IFERROR(INDEX(CM_NOME,MATCH($B600,CM_ID,0)),"?"))</f>
        <v/>
      </c>
      <c r="H600" s="34" t="str">
        <f aca="false">IF($B600="","",IFERROR(INDEX(CM_QTD,MATCH($B600,CM_ID,0)),""))</f>
        <v/>
      </c>
      <c r="I600" s="35" t="str">
        <f aca="false">IF($A600="","",$C600&amp;"/"&amp;$H600)</f>
        <v/>
      </c>
      <c r="J600" s="35" t="str">
        <f aca="false">IF($A600="","",IF($C600&lt;=IFERROR(INDEX(CM_PAGASANTES,MATCH($B600,CM_ID,0)),0),"SIM","NAO"))</f>
        <v/>
      </c>
      <c r="K600" s="36" t="n">
        <f aca="false">IF($A600="",0,SUMIFS(L_Valor,L_ParcID,$A600,L_Status,"REALIZADO"))</f>
        <v>0</v>
      </c>
      <c r="L600" s="38" t="str">
        <f aca="false">IF($A600="","",IFERROR(INDEX(L_Data,MATCH(1,INDEX((L_ParcID=$A600)*(L_Status="REALIZADO"),0),0)),""))</f>
        <v/>
      </c>
      <c r="M600" s="34" t="n">
        <f aca="false">IF($A600="",0,COUNTIFS(L_ParcID,$A600,L_Status,"REALIZADO"))</f>
        <v>0</v>
      </c>
      <c r="N600" s="34" t="n">
        <f aca="false">IF($A600="",0,COUNTIFS(L_ParcID,$A600,L_Status,"PROJETADO"))</f>
        <v>0</v>
      </c>
      <c r="O600" s="35" t="str">
        <f aca="false">IF($A600="","",IF($J600="SIM","PAGA",IF($M600&gt;0,"PAGA",IF($D600&lt;CFG_HOJE,"ATRASADA",IF($D600&lt;=EOMONTH(CFG_HOJE,0),"ABERTA","PROJETADA")))))</f>
        <v/>
      </c>
      <c r="P600" s="34" t="n">
        <f aca="false">IF($O600="ATRASADA",CFG_HOJE-$D600,0)</f>
        <v>0</v>
      </c>
      <c r="Q600" s="36" t="n">
        <f aca="false">IF($A600="",0,IF(AND($O600="PAGA",$J600="NAO"),$K600-$E600,0))</f>
        <v>0</v>
      </c>
    </row>
    <row r="601" customFormat="false" ht="15" hidden="false" customHeight="false" outlineLevel="0" collapsed="false">
      <c r="A601" s="30" t="str">
        <f aca="false">IF($B601="","","PAR-"&amp;TEXT(ROW()-4,"000000"))</f>
        <v/>
      </c>
      <c r="B601" s="32"/>
      <c r="C601" s="37"/>
      <c r="D601" s="31"/>
      <c r="E601" s="33"/>
      <c r="F601" s="32"/>
      <c r="G601" s="35" t="str">
        <f aca="false">IF($B601="","",IFERROR(INDEX(CM_NOME,MATCH($B601,CM_ID,0)),"?"))</f>
        <v/>
      </c>
      <c r="H601" s="34" t="str">
        <f aca="false">IF($B601="","",IFERROR(INDEX(CM_QTD,MATCH($B601,CM_ID,0)),""))</f>
        <v/>
      </c>
      <c r="I601" s="35" t="str">
        <f aca="false">IF($A601="","",$C601&amp;"/"&amp;$H601)</f>
        <v/>
      </c>
      <c r="J601" s="35" t="str">
        <f aca="false">IF($A601="","",IF($C601&lt;=IFERROR(INDEX(CM_PAGASANTES,MATCH($B601,CM_ID,0)),0),"SIM","NAO"))</f>
        <v/>
      </c>
      <c r="K601" s="36" t="n">
        <f aca="false">IF($A601="",0,SUMIFS(L_Valor,L_ParcID,$A601,L_Status,"REALIZADO"))</f>
        <v>0</v>
      </c>
      <c r="L601" s="38" t="str">
        <f aca="false">IF($A601="","",IFERROR(INDEX(L_Data,MATCH(1,INDEX((L_ParcID=$A601)*(L_Status="REALIZADO"),0),0)),""))</f>
        <v/>
      </c>
      <c r="M601" s="34" t="n">
        <f aca="false">IF($A601="",0,COUNTIFS(L_ParcID,$A601,L_Status,"REALIZADO"))</f>
        <v>0</v>
      </c>
      <c r="N601" s="34" t="n">
        <f aca="false">IF($A601="",0,COUNTIFS(L_ParcID,$A601,L_Status,"PROJETADO"))</f>
        <v>0</v>
      </c>
      <c r="O601" s="35" t="str">
        <f aca="false">IF($A601="","",IF($J601="SIM","PAGA",IF($M601&gt;0,"PAGA",IF($D601&lt;CFG_HOJE,"ATRASADA",IF($D601&lt;=EOMONTH(CFG_HOJE,0),"ABERTA","PROJETADA")))))</f>
        <v/>
      </c>
      <c r="P601" s="34" t="n">
        <f aca="false">IF($O601="ATRASADA",CFG_HOJE-$D601,0)</f>
        <v>0</v>
      </c>
      <c r="Q601" s="36" t="n">
        <f aca="false">IF($A601="",0,IF(AND($O601="PAGA",$J601="NAO"),$K601-$E601,0))</f>
        <v>0</v>
      </c>
    </row>
    <row r="602" customFormat="false" ht="15" hidden="false" customHeight="false" outlineLevel="0" collapsed="false">
      <c r="A602" s="30" t="str">
        <f aca="false">IF($B602="","","PAR-"&amp;TEXT(ROW()-4,"000000"))</f>
        <v/>
      </c>
      <c r="B602" s="32"/>
      <c r="C602" s="37"/>
      <c r="D602" s="31"/>
      <c r="E602" s="33"/>
      <c r="F602" s="32"/>
      <c r="G602" s="35" t="str">
        <f aca="false">IF($B602="","",IFERROR(INDEX(CM_NOME,MATCH($B602,CM_ID,0)),"?"))</f>
        <v/>
      </c>
      <c r="H602" s="34" t="str">
        <f aca="false">IF($B602="","",IFERROR(INDEX(CM_QTD,MATCH($B602,CM_ID,0)),""))</f>
        <v/>
      </c>
      <c r="I602" s="35" t="str">
        <f aca="false">IF($A602="","",$C602&amp;"/"&amp;$H602)</f>
        <v/>
      </c>
      <c r="J602" s="35" t="str">
        <f aca="false">IF($A602="","",IF($C602&lt;=IFERROR(INDEX(CM_PAGASANTES,MATCH($B602,CM_ID,0)),0),"SIM","NAO"))</f>
        <v/>
      </c>
      <c r="K602" s="36" t="n">
        <f aca="false">IF($A602="",0,SUMIFS(L_Valor,L_ParcID,$A602,L_Status,"REALIZADO"))</f>
        <v>0</v>
      </c>
      <c r="L602" s="38" t="str">
        <f aca="false">IF($A602="","",IFERROR(INDEX(L_Data,MATCH(1,INDEX((L_ParcID=$A602)*(L_Status="REALIZADO"),0),0)),""))</f>
        <v/>
      </c>
      <c r="M602" s="34" t="n">
        <f aca="false">IF($A602="",0,COUNTIFS(L_ParcID,$A602,L_Status,"REALIZADO"))</f>
        <v>0</v>
      </c>
      <c r="N602" s="34" t="n">
        <f aca="false">IF($A602="",0,COUNTIFS(L_ParcID,$A602,L_Status,"PROJETADO"))</f>
        <v>0</v>
      </c>
      <c r="O602" s="35" t="str">
        <f aca="false">IF($A602="","",IF($J602="SIM","PAGA",IF($M602&gt;0,"PAGA",IF($D602&lt;CFG_HOJE,"ATRASADA",IF($D602&lt;=EOMONTH(CFG_HOJE,0),"ABERTA","PROJETADA")))))</f>
        <v/>
      </c>
      <c r="P602" s="34" t="n">
        <f aca="false">IF($O602="ATRASADA",CFG_HOJE-$D602,0)</f>
        <v>0</v>
      </c>
      <c r="Q602" s="36" t="n">
        <f aca="false">IF($A602="",0,IF(AND($O602="PAGA",$J602="NAO"),$K602-$E602,0))</f>
        <v>0</v>
      </c>
    </row>
    <row r="603" customFormat="false" ht="15" hidden="false" customHeight="false" outlineLevel="0" collapsed="false">
      <c r="A603" s="30" t="str">
        <f aca="false">IF($B603="","","PAR-"&amp;TEXT(ROW()-4,"000000"))</f>
        <v/>
      </c>
      <c r="B603" s="32"/>
      <c r="C603" s="37"/>
      <c r="D603" s="31"/>
      <c r="E603" s="33"/>
      <c r="F603" s="32"/>
      <c r="G603" s="35" t="str">
        <f aca="false">IF($B603="","",IFERROR(INDEX(CM_NOME,MATCH($B603,CM_ID,0)),"?"))</f>
        <v/>
      </c>
      <c r="H603" s="34" t="str">
        <f aca="false">IF($B603="","",IFERROR(INDEX(CM_QTD,MATCH($B603,CM_ID,0)),""))</f>
        <v/>
      </c>
      <c r="I603" s="35" t="str">
        <f aca="false">IF($A603="","",$C603&amp;"/"&amp;$H603)</f>
        <v/>
      </c>
      <c r="J603" s="35" t="str">
        <f aca="false">IF($A603="","",IF($C603&lt;=IFERROR(INDEX(CM_PAGASANTES,MATCH($B603,CM_ID,0)),0),"SIM","NAO"))</f>
        <v/>
      </c>
      <c r="K603" s="36" t="n">
        <f aca="false">IF($A603="",0,SUMIFS(L_Valor,L_ParcID,$A603,L_Status,"REALIZADO"))</f>
        <v>0</v>
      </c>
      <c r="L603" s="38" t="str">
        <f aca="false">IF($A603="","",IFERROR(INDEX(L_Data,MATCH(1,INDEX((L_ParcID=$A603)*(L_Status="REALIZADO"),0),0)),""))</f>
        <v/>
      </c>
      <c r="M603" s="34" t="n">
        <f aca="false">IF($A603="",0,COUNTIFS(L_ParcID,$A603,L_Status,"REALIZADO"))</f>
        <v>0</v>
      </c>
      <c r="N603" s="34" t="n">
        <f aca="false">IF($A603="",0,COUNTIFS(L_ParcID,$A603,L_Status,"PROJETADO"))</f>
        <v>0</v>
      </c>
      <c r="O603" s="35" t="str">
        <f aca="false">IF($A603="","",IF($J603="SIM","PAGA",IF($M603&gt;0,"PAGA",IF($D603&lt;CFG_HOJE,"ATRASADA",IF($D603&lt;=EOMONTH(CFG_HOJE,0),"ABERTA","PROJETADA")))))</f>
        <v/>
      </c>
      <c r="P603" s="34" t="n">
        <f aca="false">IF($O603="ATRASADA",CFG_HOJE-$D603,0)</f>
        <v>0</v>
      </c>
      <c r="Q603" s="36" t="n">
        <f aca="false">IF($A603="",0,IF(AND($O603="PAGA",$J603="NAO"),$K603-$E603,0))</f>
        <v>0</v>
      </c>
    </row>
    <row r="604" customFormat="false" ht="15" hidden="false" customHeight="false" outlineLevel="0" collapsed="false">
      <c r="A604" s="30" t="str">
        <f aca="false">IF($B604="","","PAR-"&amp;TEXT(ROW()-4,"000000"))</f>
        <v/>
      </c>
      <c r="B604" s="32"/>
      <c r="C604" s="37"/>
      <c r="D604" s="31"/>
      <c r="E604" s="33"/>
      <c r="F604" s="32"/>
      <c r="G604" s="35" t="str">
        <f aca="false">IF($B604="","",IFERROR(INDEX(CM_NOME,MATCH($B604,CM_ID,0)),"?"))</f>
        <v/>
      </c>
      <c r="H604" s="34" t="str">
        <f aca="false">IF($B604="","",IFERROR(INDEX(CM_QTD,MATCH($B604,CM_ID,0)),""))</f>
        <v/>
      </c>
      <c r="I604" s="35" t="str">
        <f aca="false">IF($A604="","",$C604&amp;"/"&amp;$H604)</f>
        <v/>
      </c>
      <c r="J604" s="35" t="str">
        <f aca="false">IF($A604="","",IF($C604&lt;=IFERROR(INDEX(CM_PAGASANTES,MATCH($B604,CM_ID,0)),0),"SIM","NAO"))</f>
        <v/>
      </c>
      <c r="K604" s="36" t="n">
        <f aca="false">IF($A604="",0,SUMIFS(L_Valor,L_ParcID,$A604,L_Status,"REALIZADO"))</f>
        <v>0</v>
      </c>
      <c r="L604" s="38" t="str">
        <f aca="false">IF($A604="","",IFERROR(INDEX(L_Data,MATCH(1,INDEX((L_ParcID=$A604)*(L_Status="REALIZADO"),0),0)),""))</f>
        <v/>
      </c>
      <c r="M604" s="34" t="n">
        <f aca="false">IF($A604="",0,COUNTIFS(L_ParcID,$A604,L_Status,"REALIZADO"))</f>
        <v>0</v>
      </c>
      <c r="N604" s="34" t="n">
        <f aca="false">IF($A604="",0,COUNTIFS(L_ParcID,$A604,L_Status,"PROJETADO"))</f>
        <v>0</v>
      </c>
      <c r="O604" s="35" t="str">
        <f aca="false">IF($A604="","",IF($J604="SIM","PAGA",IF($M604&gt;0,"PAGA",IF($D604&lt;CFG_HOJE,"ATRASADA",IF($D604&lt;=EOMONTH(CFG_HOJE,0),"ABERTA","PROJETADA")))))</f>
        <v/>
      </c>
      <c r="P604" s="34" t="n">
        <f aca="false">IF($O604="ATRASADA",CFG_HOJE-$D604,0)</f>
        <v>0</v>
      </c>
      <c r="Q604" s="36" t="n">
        <f aca="false">IF($A604="",0,IF(AND($O604="PAGA",$J604="NAO"),$K604-$E604,0))</f>
        <v>0</v>
      </c>
    </row>
    <row r="605" customFormat="false" ht="15" hidden="false" customHeight="false" outlineLevel="0" collapsed="false">
      <c r="A605" s="30" t="str">
        <f aca="false">IF($B605="","","PAR-"&amp;TEXT(ROW()-4,"000000"))</f>
        <v/>
      </c>
      <c r="B605" s="32"/>
      <c r="C605" s="37"/>
      <c r="D605" s="31"/>
      <c r="E605" s="33"/>
      <c r="F605" s="32"/>
      <c r="G605" s="35" t="str">
        <f aca="false">IF($B605="","",IFERROR(INDEX(CM_NOME,MATCH($B605,CM_ID,0)),"?"))</f>
        <v/>
      </c>
      <c r="H605" s="34" t="str">
        <f aca="false">IF($B605="","",IFERROR(INDEX(CM_QTD,MATCH($B605,CM_ID,0)),""))</f>
        <v/>
      </c>
      <c r="I605" s="35" t="str">
        <f aca="false">IF($A605="","",$C605&amp;"/"&amp;$H605)</f>
        <v/>
      </c>
      <c r="J605" s="35" t="str">
        <f aca="false">IF($A605="","",IF($C605&lt;=IFERROR(INDEX(CM_PAGASANTES,MATCH($B605,CM_ID,0)),0),"SIM","NAO"))</f>
        <v/>
      </c>
      <c r="K605" s="36" t="n">
        <f aca="false">IF($A605="",0,SUMIFS(L_Valor,L_ParcID,$A605,L_Status,"REALIZADO"))</f>
        <v>0</v>
      </c>
      <c r="L605" s="38" t="str">
        <f aca="false">IF($A605="","",IFERROR(INDEX(L_Data,MATCH(1,INDEX((L_ParcID=$A605)*(L_Status="REALIZADO"),0),0)),""))</f>
        <v/>
      </c>
      <c r="M605" s="34" t="n">
        <f aca="false">IF($A605="",0,COUNTIFS(L_ParcID,$A605,L_Status,"REALIZADO"))</f>
        <v>0</v>
      </c>
      <c r="N605" s="34" t="n">
        <f aca="false">IF($A605="",0,COUNTIFS(L_ParcID,$A605,L_Status,"PROJETADO"))</f>
        <v>0</v>
      </c>
      <c r="O605" s="35" t="str">
        <f aca="false">IF($A605="","",IF($J605="SIM","PAGA",IF($M605&gt;0,"PAGA",IF($D605&lt;CFG_HOJE,"ATRASADA",IF($D605&lt;=EOMONTH(CFG_HOJE,0),"ABERTA","PROJETADA")))))</f>
        <v/>
      </c>
      <c r="P605" s="34" t="n">
        <f aca="false">IF($O605="ATRASADA",CFG_HOJE-$D605,0)</f>
        <v>0</v>
      </c>
      <c r="Q605" s="36" t="n">
        <f aca="false">IF($A605="",0,IF(AND($O605="PAGA",$J605="NAO"),$K605-$E605,0))</f>
        <v>0</v>
      </c>
    </row>
    <row r="606" customFormat="false" ht="15" hidden="false" customHeight="false" outlineLevel="0" collapsed="false">
      <c r="A606" s="30" t="str">
        <f aca="false">IF($B606="","","PAR-"&amp;TEXT(ROW()-4,"000000"))</f>
        <v/>
      </c>
      <c r="B606" s="32"/>
      <c r="C606" s="37"/>
      <c r="D606" s="31"/>
      <c r="E606" s="33"/>
      <c r="F606" s="32"/>
      <c r="G606" s="35" t="str">
        <f aca="false">IF($B606="","",IFERROR(INDEX(CM_NOME,MATCH($B606,CM_ID,0)),"?"))</f>
        <v/>
      </c>
      <c r="H606" s="34" t="str">
        <f aca="false">IF($B606="","",IFERROR(INDEX(CM_QTD,MATCH($B606,CM_ID,0)),""))</f>
        <v/>
      </c>
      <c r="I606" s="35" t="str">
        <f aca="false">IF($A606="","",$C606&amp;"/"&amp;$H606)</f>
        <v/>
      </c>
      <c r="J606" s="35" t="str">
        <f aca="false">IF($A606="","",IF($C606&lt;=IFERROR(INDEX(CM_PAGASANTES,MATCH($B606,CM_ID,0)),0),"SIM","NAO"))</f>
        <v/>
      </c>
      <c r="K606" s="36" t="n">
        <f aca="false">IF($A606="",0,SUMIFS(L_Valor,L_ParcID,$A606,L_Status,"REALIZADO"))</f>
        <v>0</v>
      </c>
      <c r="L606" s="38" t="str">
        <f aca="false">IF($A606="","",IFERROR(INDEX(L_Data,MATCH(1,INDEX((L_ParcID=$A606)*(L_Status="REALIZADO"),0),0)),""))</f>
        <v/>
      </c>
      <c r="M606" s="34" t="n">
        <f aca="false">IF($A606="",0,COUNTIFS(L_ParcID,$A606,L_Status,"REALIZADO"))</f>
        <v>0</v>
      </c>
      <c r="N606" s="34" t="n">
        <f aca="false">IF($A606="",0,COUNTIFS(L_ParcID,$A606,L_Status,"PROJETADO"))</f>
        <v>0</v>
      </c>
      <c r="O606" s="35" t="str">
        <f aca="false">IF($A606="","",IF($J606="SIM","PAGA",IF($M606&gt;0,"PAGA",IF($D606&lt;CFG_HOJE,"ATRASADA",IF($D606&lt;=EOMONTH(CFG_HOJE,0),"ABERTA","PROJETADA")))))</f>
        <v/>
      </c>
      <c r="P606" s="34" t="n">
        <f aca="false">IF($O606="ATRASADA",CFG_HOJE-$D606,0)</f>
        <v>0</v>
      </c>
      <c r="Q606" s="36" t="n">
        <f aca="false">IF($A606="",0,IF(AND($O606="PAGA",$J606="NAO"),$K606-$E606,0))</f>
        <v>0</v>
      </c>
    </row>
    <row r="607" customFormat="false" ht="15" hidden="false" customHeight="false" outlineLevel="0" collapsed="false">
      <c r="A607" s="30" t="str">
        <f aca="false">IF($B607="","","PAR-"&amp;TEXT(ROW()-4,"000000"))</f>
        <v/>
      </c>
      <c r="B607" s="32"/>
      <c r="C607" s="37"/>
      <c r="D607" s="31"/>
      <c r="E607" s="33"/>
      <c r="F607" s="32"/>
      <c r="G607" s="35" t="str">
        <f aca="false">IF($B607="","",IFERROR(INDEX(CM_NOME,MATCH($B607,CM_ID,0)),"?"))</f>
        <v/>
      </c>
      <c r="H607" s="34" t="str">
        <f aca="false">IF($B607="","",IFERROR(INDEX(CM_QTD,MATCH($B607,CM_ID,0)),""))</f>
        <v/>
      </c>
      <c r="I607" s="35" t="str">
        <f aca="false">IF($A607="","",$C607&amp;"/"&amp;$H607)</f>
        <v/>
      </c>
      <c r="J607" s="35" t="str">
        <f aca="false">IF($A607="","",IF($C607&lt;=IFERROR(INDEX(CM_PAGASANTES,MATCH($B607,CM_ID,0)),0),"SIM","NAO"))</f>
        <v/>
      </c>
      <c r="K607" s="36" t="n">
        <f aca="false">IF($A607="",0,SUMIFS(L_Valor,L_ParcID,$A607,L_Status,"REALIZADO"))</f>
        <v>0</v>
      </c>
      <c r="L607" s="38" t="str">
        <f aca="false">IF($A607="","",IFERROR(INDEX(L_Data,MATCH(1,INDEX((L_ParcID=$A607)*(L_Status="REALIZADO"),0),0)),""))</f>
        <v/>
      </c>
      <c r="M607" s="34" t="n">
        <f aca="false">IF($A607="",0,COUNTIFS(L_ParcID,$A607,L_Status,"REALIZADO"))</f>
        <v>0</v>
      </c>
      <c r="N607" s="34" t="n">
        <f aca="false">IF($A607="",0,COUNTIFS(L_ParcID,$A607,L_Status,"PROJETADO"))</f>
        <v>0</v>
      </c>
      <c r="O607" s="35" t="str">
        <f aca="false">IF($A607="","",IF($J607="SIM","PAGA",IF($M607&gt;0,"PAGA",IF($D607&lt;CFG_HOJE,"ATRASADA",IF($D607&lt;=EOMONTH(CFG_HOJE,0),"ABERTA","PROJETADA")))))</f>
        <v/>
      </c>
      <c r="P607" s="34" t="n">
        <f aca="false">IF($O607="ATRASADA",CFG_HOJE-$D607,0)</f>
        <v>0</v>
      </c>
      <c r="Q607" s="36" t="n">
        <f aca="false">IF($A607="",0,IF(AND($O607="PAGA",$J607="NAO"),$K607-$E607,0))</f>
        <v>0</v>
      </c>
    </row>
    <row r="608" customFormat="false" ht="15" hidden="false" customHeight="false" outlineLevel="0" collapsed="false">
      <c r="A608" s="30" t="str">
        <f aca="false">IF($B608="","","PAR-"&amp;TEXT(ROW()-4,"000000"))</f>
        <v/>
      </c>
      <c r="B608" s="32"/>
      <c r="C608" s="37"/>
      <c r="D608" s="31"/>
      <c r="E608" s="33"/>
      <c r="F608" s="32"/>
      <c r="G608" s="35" t="str">
        <f aca="false">IF($B608="","",IFERROR(INDEX(CM_NOME,MATCH($B608,CM_ID,0)),"?"))</f>
        <v/>
      </c>
      <c r="H608" s="34" t="str">
        <f aca="false">IF($B608="","",IFERROR(INDEX(CM_QTD,MATCH($B608,CM_ID,0)),""))</f>
        <v/>
      </c>
      <c r="I608" s="35" t="str">
        <f aca="false">IF($A608="","",$C608&amp;"/"&amp;$H608)</f>
        <v/>
      </c>
      <c r="J608" s="35" t="str">
        <f aca="false">IF($A608="","",IF($C608&lt;=IFERROR(INDEX(CM_PAGASANTES,MATCH($B608,CM_ID,0)),0),"SIM","NAO"))</f>
        <v/>
      </c>
      <c r="K608" s="36" t="n">
        <f aca="false">IF($A608="",0,SUMIFS(L_Valor,L_ParcID,$A608,L_Status,"REALIZADO"))</f>
        <v>0</v>
      </c>
      <c r="L608" s="38" t="str">
        <f aca="false">IF($A608="","",IFERROR(INDEX(L_Data,MATCH(1,INDEX((L_ParcID=$A608)*(L_Status="REALIZADO"),0),0)),""))</f>
        <v/>
      </c>
      <c r="M608" s="34" t="n">
        <f aca="false">IF($A608="",0,COUNTIFS(L_ParcID,$A608,L_Status,"REALIZADO"))</f>
        <v>0</v>
      </c>
      <c r="N608" s="34" t="n">
        <f aca="false">IF($A608="",0,COUNTIFS(L_ParcID,$A608,L_Status,"PROJETADO"))</f>
        <v>0</v>
      </c>
      <c r="O608" s="35" t="str">
        <f aca="false">IF($A608="","",IF($J608="SIM","PAGA",IF($M608&gt;0,"PAGA",IF($D608&lt;CFG_HOJE,"ATRASADA",IF($D608&lt;=EOMONTH(CFG_HOJE,0),"ABERTA","PROJETADA")))))</f>
        <v/>
      </c>
      <c r="P608" s="34" t="n">
        <f aca="false">IF($O608="ATRASADA",CFG_HOJE-$D608,0)</f>
        <v>0</v>
      </c>
      <c r="Q608" s="36" t="n">
        <f aca="false">IF($A608="",0,IF(AND($O608="PAGA",$J608="NAO"),$K608-$E608,0))</f>
        <v>0</v>
      </c>
    </row>
    <row r="609" customFormat="false" ht="15" hidden="false" customHeight="false" outlineLevel="0" collapsed="false">
      <c r="A609" s="30" t="str">
        <f aca="false">IF($B609="","","PAR-"&amp;TEXT(ROW()-4,"000000"))</f>
        <v/>
      </c>
      <c r="B609" s="32"/>
      <c r="C609" s="37"/>
      <c r="D609" s="31"/>
      <c r="E609" s="33"/>
      <c r="F609" s="32"/>
      <c r="G609" s="35" t="str">
        <f aca="false">IF($B609="","",IFERROR(INDEX(CM_NOME,MATCH($B609,CM_ID,0)),"?"))</f>
        <v/>
      </c>
      <c r="H609" s="34" t="str">
        <f aca="false">IF($B609="","",IFERROR(INDEX(CM_QTD,MATCH($B609,CM_ID,0)),""))</f>
        <v/>
      </c>
      <c r="I609" s="35" t="str">
        <f aca="false">IF($A609="","",$C609&amp;"/"&amp;$H609)</f>
        <v/>
      </c>
      <c r="J609" s="35" t="str">
        <f aca="false">IF($A609="","",IF($C609&lt;=IFERROR(INDEX(CM_PAGASANTES,MATCH($B609,CM_ID,0)),0),"SIM","NAO"))</f>
        <v/>
      </c>
      <c r="K609" s="36" t="n">
        <f aca="false">IF($A609="",0,SUMIFS(L_Valor,L_ParcID,$A609,L_Status,"REALIZADO"))</f>
        <v>0</v>
      </c>
      <c r="L609" s="38" t="str">
        <f aca="false">IF($A609="","",IFERROR(INDEX(L_Data,MATCH(1,INDEX((L_ParcID=$A609)*(L_Status="REALIZADO"),0),0)),""))</f>
        <v/>
      </c>
      <c r="M609" s="34" t="n">
        <f aca="false">IF($A609="",0,COUNTIFS(L_ParcID,$A609,L_Status,"REALIZADO"))</f>
        <v>0</v>
      </c>
      <c r="N609" s="34" t="n">
        <f aca="false">IF($A609="",0,COUNTIFS(L_ParcID,$A609,L_Status,"PROJETADO"))</f>
        <v>0</v>
      </c>
      <c r="O609" s="35" t="str">
        <f aca="false">IF($A609="","",IF($J609="SIM","PAGA",IF($M609&gt;0,"PAGA",IF($D609&lt;CFG_HOJE,"ATRASADA",IF($D609&lt;=EOMONTH(CFG_HOJE,0),"ABERTA","PROJETADA")))))</f>
        <v/>
      </c>
      <c r="P609" s="34" t="n">
        <f aca="false">IF($O609="ATRASADA",CFG_HOJE-$D609,0)</f>
        <v>0</v>
      </c>
      <c r="Q609" s="36" t="n">
        <f aca="false">IF($A609="",0,IF(AND($O609="PAGA",$J609="NAO"),$K609-$E609,0))</f>
        <v>0</v>
      </c>
    </row>
    <row r="610" customFormat="false" ht="15" hidden="false" customHeight="false" outlineLevel="0" collapsed="false">
      <c r="A610" s="30" t="str">
        <f aca="false">IF($B610="","","PAR-"&amp;TEXT(ROW()-4,"000000"))</f>
        <v/>
      </c>
      <c r="B610" s="32"/>
      <c r="C610" s="37"/>
      <c r="D610" s="31"/>
      <c r="E610" s="33"/>
      <c r="F610" s="32"/>
      <c r="G610" s="35" t="str">
        <f aca="false">IF($B610="","",IFERROR(INDEX(CM_NOME,MATCH($B610,CM_ID,0)),"?"))</f>
        <v/>
      </c>
      <c r="H610" s="34" t="str">
        <f aca="false">IF($B610="","",IFERROR(INDEX(CM_QTD,MATCH($B610,CM_ID,0)),""))</f>
        <v/>
      </c>
      <c r="I610" s="35" t="str">
        <f aca="false">IF($A610="","",$C610&amp;"/"&amp;$H610)</f>
        <v/>
      </c>
      <c r="J610" s="35" t="str">
        <f aca="false">IF($A610="","",IF($C610&lt;=IFERROR(INDEX(CM_PAGASANTES,MATCH($B610,CM_ID,0)),0),"SIM","NAO"))</f>
        <v/>
      </c>
      <c r="K610" s="36" t="n">
        <f aca="false">IF($A610="",0,SUMIFS(L_Valor,L_ParcID,$A610,L_Status,"REALIZADO"))</f>
        <v>0</v>
      </c>
      <c r="L610" s="38" t="str">
        <f aca="false">IF($A610="","",IFERROR(INDEX(L_Data,MATCH(1,INDEX((L_ParcID=$A610)*(L_Status="REALIZADO"),0),0)),""))</f>
        <v/>
      </c>
      <c r="M610" s="34" t="n">
        <f aca="false">IF($A610="",0,COUNTIFS(L_ParcID,$A610,L_Status,"REALIZADO"))</f>
        <v>0</v>
      </c>
      <c r="N610" s="34" t="n">
        <f aca="false">IF($A610="",0,COUNTIFS(L_ParcID,$A610,L_Status,"PROJETADO"))</f>
        <v>0</v>
      </c>
      <c r="O610" s="35" t="str">
        <f aca="false">IF($A610="","",IF($J610="SIM","PAGA",IF($M610&gt;0,"PAGA",IF($D610&lt;CFG_HOJE,"ATRASADA",IF($D610&lt;=EOMONTH(CFG_HOJE,0),"ABERTA","PROJETADA")))))</f>
        <v/>
      </c>
      <c r="P610" s="34" t="n">
        <f aca="false">IF($O610="ATRASADA",CFG_HOJE-$D610,0)</f>
        <v>0</v>
      </c>
      <c r="Q610" s="36" t="n">
        <f aca="false">IF($A610="",0,IF(AND($O610="PAGA",$J610="NAO"),$K610-$E610,0))</f>
        <v>0</v>
      </c>
    </row>
    <row r="611" customFormat="false" ht="15" hidden="false" customHeight="false" outlineLevel="0" collapsed="false">
      <c r="A611" s="30" t="str">
        <f aca="false">IF($B611="","","PAR-"&amp;TEXT(ROW()-4,"000000"))</f>
        <v/>
      </c>
      <c r="B611" s="32"/>
      <c r="C611" s="37"/>
      <c r="D611" s="31"/>
      <c r="E611" s="33"/>
      <c r="F611" s="32"/>
      <c r="G611" s="35" t="str">
        <f aca="false">IF($B611="","",IFERROR(INDEX(CM_NOME,MATCH($B611,CM_ID,0)),"?"))</f>
        <v/>
      </c>
      <c r="H611" s="34" t="str">
        <f aca="false">IF($B611="","",IFERROR(INDEX(CM_QTD,MATCH($B611,CM_ID,0)),""))</f>
        <v/>
      </c>
      <c r="I611" s="35" t="str">
        <f aca="false">IF($A611="","",$C611&amp;"/"&amp;$H611)</f>
        <v/>
      </c>
      <c r="J611" s="35" t="str">
        <f aca="false">IF($A611="","",IF($C611&lt;=IFERROR(INDEX(CM_PAGASANTES,MATCH($B611,CM_ID,0)),0),"SIM","NAO"))</f>
        <v/>
      </c>
      <c r="K611" s="36" t="n">
        <f aca="false">IF($A611="",0,SUMIFS(L_Valor,L_ParcID,$A611,L_Status,"REALIZADO"))</f>
        <v>0</v>
      </c>
      <c r="L611" s="38" t="str">
        <f aca="false">IF($A611="","",IFERROR(INDEX(L_Data,MATCH(1,INDEX((L_ParcID=$A611)*(L_Status="REALIZADO"),0),0)),""))</f>
        <v/>
      </c>
      <c r="M611" s="34" t="n">
        <f aca="false">IF($A611="",0,COUNTIFS(L_ParcID,$A611,L_Status,"REALIZADO"))</f>
        <v>0</v>
      </c>
      <c r="N611" s="34" t="n">
        <f aca="false">IF($A611="",0,COUNTIFS(L_ParcID,$A611,L_Status,"PROJETADO"))</f>
        <v>0</v>
      </c>
      <c r="O611" s="35" t="str">
        <f aca="false">IF($A611="","",IF($J611="SIM","PAGA",IF($M611&gt;0,"PAGA",IF($D611&lt;CFG_HOJE,"ATRASADA",IF($D611&lt;=EOMONTH(CFG_HOJE,0),"ABERTA","PROJETADA")))))</f>
        <v/>
      </c>
      <c r="P611" s="34" t="n">
        <f aca="false">IF($O611="ATRASADA",CFG_HOJE-$D611,0)</f>
        <v>0</v>
      </c>
      <c r="Q611" s="36" t="n">
        <f aca="false">IF($A611="",0,IF(AND($O611="PAGA",$J611="NAO"),$K611-$E611,0))</f>
        <v>0</v>
      </c>
    </row>
    <row r="612" customFormat="false" ht="15" hidden="false" customHeight="false" outlineLevel="0" collapsed="false">
      <c r="A612" s="30" t="str">
        <f aca="false">IF($B612="","","PAR-"&amp;TEXT(ROW()-4,"000000"))</f>
        <v/>
      </c>
      <c r="B612" s="32"/>
      <c r="C612" s="37"/>
      <c r="D612" s="31"/>
      <c r="E612" s="33"/>
      <c r="F612" s="32"/>
      <c r="G612" s="35" t="str">
        <f aca="false">IF($B612="","",IFERROR(INDEX(CM_NOME,MATCH($B612,CM_ID,0)),"?"))</f>
        <v/>
      </c>
      <c r="H612" s="34" t="str">
        <f aca="false">IF($B612="","",IFERROR(INDEX(CM_QTD,MATCH($B612,CM_ID,0)),""))</f>
        <v/>
      </c>
      <c r="I612" s="35" t="str">
        <f aca="false">IF($A612="","",$C612&amp;"/"&amp;$H612)</f>
        <v/>
      </c>
      <c r="J612" s="35" t="str">
        <f aca="false">IF($A612="","",IF($C612&lt;=IFERROR(INDEX(CM_PAGASANTES,MATCH($B612,CM_ID,0)),0),"SIM","NAO"))</f>
        <v/>
      </c>
      <c r="K612" s="36" t="n">
        <f aca="false">IF($A612="",0,SUMIFS(L_Valor,L_ParcID,$A612,L_Status,"REALIZADO"))</f>
        <v>0</v>
      </c>
      <c r="L612" s="38" t="str">
        <f aca="false">IF($A612="","",IFERROR(INDEX(L_Data,MATCH(1,INDEX((L_ParcID=$A612)*(L_Status="REALIZADO"),0),0)),""))</f>
        <v/>
      </c>
      <c r="M612" s="34" t="n">
        <f aca="false">IF($A612="",0,COUNTIFS(L_ParcID,$A612,L_Status,"REALIZADO"))</f>
        <v>0</v>
      </c>
      <c r="N612" s="34" t="n">
        <f aca="false">IF($A612="",0,COUNTIFS(L_ParcID,$A612,L_Status,"PROJETADO"))</f>
        <v>0</v>
      </c>
      <c r="O612" s="35" t="str">
        <f aca="false">IF($A612="","",IF($J612="SIM","PAGA",IF($M612&gt;0,"PAGA",IF($D612&lt;CFG_HOJE,"ATRASADA",IF($D612&lt;=EOMONTH(CFG_HOJE,0),"ABERTA","PROJETADA")))))</f>
        <v/>
      </c>
      <c r="P612" s="34" t="n">
        <f aca="false">IF($O612="ATRASADA",CFG_HOJE-$D612,0)</f>
        <v>0</v>
      </c>
      <c r="Q612" s="36" t="n">
        <f aca="false">IF($A612="",0,IF(AND($O612="PAGA",$J612="NAO"),$K612-$E612,0))</f>
        <v>0</v>
      </c>
    </row>
    <row r="613" customFormat="false" ht="15" hidden="false" customHeight="false" outlineLevel="0" collapsed="false">
      <c r="A613" s="30" t="str">
        <f aca="false">IF($B613="","","PAR-"&amp;TEXT(ROW()-4,"000000"))</f>
        <v/>
      </c>
      <c r="B613" s="32"/>
      <c r="C613" s="37"/>
      <c r="D613" s="31"/>
      <c r="E613" s="33"/>
      <c r="F613" s="32"/>
      <c r="G613" s="35" t="str">
        <f aca="false">IF($B613="","",IFERROR(INDEX(CM_NOME,MATCH($B613,CM_ID,0)),"?"))</f>
        <v/>
      </c>
      <c r="H613" s="34" t="str">
        <f aca="false">IF($B613="","",IFERROR(INDEX(CM_QTD,MATCH($B613,CM_ID,0)),""))</f>
        <v/>
      </c>
      <c r="I613" s="35" t="str">
        <f aca="false">IF($A613="","",$C613&amp;"/"&amp;$H613)</f>
        <v/>
      </c>
      <c r="J613" s="35" t="str">
        <f aca="false">IF($A613="","",IF($C613&lt;=IFERROR(INDEX(CM_PAGASANTES,MATCH($B613,CM_ID,0)),0),"SIM","NAO"))</f>
        <v/>
      </c>
      <c r="K613" s="36" t="n">
        <f aca="false">IF($A613="",0,SUMIFS(L_Valor,L_ParcID,$A613,L_Status,"REALIZADO"))</f>
        <v>0</v>
      </c>
      <c r="L613" s="38" t="str">
        <f aca="false">IF($A613="","",IFERROR(INDEX(L_Data,MATCH(1,INDEX((L_ParcID=$A613)*(L_Status="REALIZADO"),0),0)),""))</f>
        <v/>
      </c>
      <c r="M613" s="34" t="n">
        <f aca="false">IF($A613="",0,COUNTIFS(L_ParcID,$A613,L_Status,"REALIZADO"))</f>
        <v>0</v>
      </c>
      <c r="N613" s="34" t="n">
        <f aca="false">IF($A613="",0,COUNTIFS(L_ParcID,$A613,L_Status,"PROJETADO"))</f>
        <v>0</v>
      </c>
      <c r="O613" s="35" t="str">
        <f aca="false">IF($A613="","",IF($J613="SIM","PAGA",IF($M613&gt;0,"PAGA",IF($D613&lt;CFG_HOJE,"ATRASADA",IF($D613&lt;=EOMONTH(CFG_HOJE,0),"ABERTA","PROJETADA")))))</f>
        <v/>
      </c>
      <c r="P613" s="34" t="n">
        <f aca="false">IF($O613="ATRASADA",CFG_HOJE-$D613,0)</f>
        <v>0</v>
      </c>
      <c r="Q613" s="36" t="n">
        <f aca="false">IF($A613="",0,IF(AND($O613="PAGA",$J613="NAO"),$K613-$E613,0))</f>
        <v>0</v>
      </c>
    </row>
    <row r="614" customFormat="false" ht="15" hidden="false" customHeight="false" outlineLevel="0" collapsed="false">
      <c r="A614" s="30" t="str">
        <f aca="false">IF($B614="","","PAR-"&amp;TEXT(ROW()-4,"000000"))</f>
        <v/>
      </c>
      <c r="B614" s="32"/>
      <c r="C614" s="37"/>
      <c r="D614" s="31"/>
      <c r="E614" s="33"/>
      <c r="F614" s="32"/>
      <c r="G614" s="35" t="str">
        <f aca="false">IF($B614="","",IFERROR(INDEX(CM_NOME,MATCH($B614,CM_ID,0)),"?"))</f>
        <v/>
      </c>
      <c r="H614" s="34" t="str">
        <f aca="false">IF($B614="","",IFERROR(INDEX(CM_QTD,MATCH($B614,CM_ID,0)),""))</f>
        <v/>
      </c>
      <c r="I614" s="35" t="str">
        <f aca="false">IF($A614="","",$C614&amp;"/"&amp;$H614)</f>
        <v/>
      </c>
      <c r="J614" s="35" t="str">
        <f aca="false">IF($A614="","",IF($C614&lt;=IFERROR(INDEX(CM_PAGASANTES,MATCH($B614,CM_ID,0)),0),"SIM","NAO"))</f>
        <v/>
      </c>
      <c r="K614" s="36" t="n">
        <f aca="false">IF($A614="",0,SUMIFS(L_Valor,L_ParcID,$A614,L_Status,"REALIZADO"))</f>
        <v>0</v>
      </c>
      <c r="L614" s="38" t="str">
        <f aca="false">IF($A614="","",IFERROR(INDEX(L_Data,MATCH(1,INDEX((L_ParcID=$A614)*(L_Status="REALIZADO"),0),0)),""))</f>
        <v/>
      </c>
      <c r="M614" s="34" t="n">
        <f aca="false">IF($A614="",0,COUNTIFS(L_ParcID,$A614,L_Status,"REALIZADO"))</f>
        <v>0</v>
      </c>
      <c r="N614" s="34" t="n">
        <f aca="false">IF($A614="",0,COUNTIFS(L_ParcID,$A614,L_Status,"PROJETADO"))</f>
        <v>0</v>
      </c>
      <c r="O614" s="35" t="str">
        <f aca="false">IF($A614="","",IF($J614="SIM","PAGA",IF($M614&gt;0,"PAGA",IF($D614&lt;CFG_HOJE,"ATRASADA",IF($D614&lt;=EOMONTH(CFG_HOJE,0),"ABERTA","PROJETADA")))))</f>
        <v/>
      </c>
      <c r="P614" s="34" t="n">
        <f aca="false">IF($O614="ATRASADA",CFG_HOJE-$D614,0)</f>
        <v>0</v>
      </c>
      <c r="Q614" s="36" t="n">
        <f aca="false">IF($A614="",0,IF(AND($O614="PAGA",$J614="NAO"),$K614-$E614,0))</f>
        <v>0</v>
      </c>
    </row>
    <row r="615" customFormat="false" ht="15" hidden="false" customHeight="false" outlineLevel="0" collapsed="false">
      <c r="A615" s="30" t="str">
        <f aca="false">IF($B615="","","PAR-"&amp;TEXT(ROW()-4,"000000"))</f>
        <v/>
      </c>
      <c r="B615" s="32"/>
      <c r="C615" s="37"/>
      <c r="D615" s="31"/>
      <c r="E615" s="33"/>
      <c r="F615" s="32"/>
      <c r="G615" s="35" t="str">
        <f aca="false">IF($B615="","",IFERROR(INDEX(CM_NOME,MATCH($B615,CM_ID,0)),"?"))</f>
        <v/>
      </c>
      <c r="H615" s="34" t="str">
        <f aca="false">IF($B615="","",IFERROR(INDEX(CM_QTD,MATCH($B615,CM_ID,0)),""))</f>
        <v/>
      </c>
      <c r="I615" s="35" t="str">
        <f aca="false">IF($A615="","",$C615&amp;"/"&amp;$H615)</f>
        <v/>
      </c>
      <c r="J615" s="35" t="str">
        <f aca="false">IF($A615="","",IF($C615&lt;=IFERROR(INDEX(CM_PAGASANTES,MATCH($B615,CM_ID,0)),0),"SIM","NAO"))</f>
        <v/>
      </c>
      <c r="K615" s="36" t="n">
        <f aca="false">IF($A615="",0,SUMIFS(L_Valor,L_ParcID,$A615,L_Status,"REALIZADO"))</f>
        <v>0</v>
      </c>
      <c r="L615" s="38" t="str">
        <f aca="false">IF($A615="","",IFERROR(INDEX(L_Data,MATCH(1,INDEX((L_ParcID=$A615)*(L_Status="REALIZADO"),0),0)),""))</f>
        <v/>
      </c>
      <c r="M615" s="34" t="n">
        <f aca="false">IF($A615="",0,COUNTIFS(L_ParcID,$A615,L_Status,"REALIZADO"))</f>
        <v>0</v>
      </c>
      <c r="N615" s="34" t="n">
        <f aca="false">IF($A615="",0,COUNTIFS(L_ParcID,$A615,L_Status,"PROJETADO"))</f>
        <v>0</v>
      </c>
      <c r="O615" s="35" t="str">
        <f aca="false">IF($A615="","",IF($J615="SIM","PAGA",IF($M615&gt;0,"PAGA",IF($D615&lt;CFG_HOJE,"ATRASADA",IF($D615&lt;=EOMONTH(CFG_HOJE,0),"ABERTA","PROJETADA")))))</f>
        <v/>
      </c>
      <c r="P615" s="34" t="n">
        <f aca="false">IF($O615="ATRASADA",CFG_HOJE-$D615,0)</f>
        <v>0</v>
      </c>
      <c r="Q615" s="36" t="n">
        <f aca="false">IF($A615="",0,IF(AND($O615="PAGA",$J615="NAO"),$K615-$E615,0))</f>
        <v>0</v>
      </c>
    </row>
    <row r="616" customFormat="false" ht="15" hidden="false" customHeight="false" outlineLevel="0" collapsed="false">
      <c r="A616" s="30" t="str">
        <f aca="false">IF($B616="","","PAR-"&amp;TEXT(ROW()-4,"000000"))</f>
        <v/>
      </c>
      <c r="B616" s="32"/>
      <c r="C616" s="37"/>
      <c r="D616" s="31"/>
      <c r="E616" s="33"/>
      <c r="F616" s="32"/>
      <c r="G616" s="35" t="str">
        <f aca="false">IF($B616="","",IFERROR(INDEX(CM_NOME,MATCH($B616,CM_ID,0)),"?"))</f>
        <v/>
      </c>
      <c r="H616" s="34" t="str">
        <f aca="false">IF($B616="","",IFERROR(INDEX(CM_QTD,MATCH($B616,CM_ID,0)),""))</f>
        <v/>
      </c>
      <c r="I616" s="35" t="str">
        <f aca="false">IF($A616="","",$C616&amp;"/"&amp;$H616)</f>
        <v/>
      </c>
      <c r="J616" s="35" t="str">
        <f aca="false">IF($A616="","",IF($C616&lt;=IFERROR(INDEX(CM_PAGASANTES,MATCH($B616,CM_ID,0)),0),"SIM","NAO"))</f>
        <v/>
      </c>
      <c r="K616" s="36" t="n">
        <f aca="false">IF($A616="",0,SUMIFS(L_Valor,L_ParcID,$A616,L_Status,"REALIZADO"))</f>
        <v>0</v>
      </c>
      <c r="L616" s="38" t="str">
        <f aca="false">IF($A616="","",IFERROR(INDEX(L_Data,MATCH(1,INDEX((L_ParcID=$A616)*(L_Status="REALIZADO"),0),0)),""))</f>
        <v/>
      </c>
      <c r="M616" s="34" t="n">
        <f aca="false">IF($A616="",0,COUNTIFS(L_ParcID,$A616,L_Status,"REALIZADO"))</f>
        <v>0</v>
      </c>
      <c r="N616" s="34" t="n">
        <f aca="false">IF($A616="",0,COUNTIFS(L_ParcID,$A616,L_Status,"PROJETADO"))</f>
        <v>0</v>
      </c>
      <c r="O616" s="35" t="str">
        <f aca="false">IF($A616="","",IF($J616="SIM","PAGA",IF($M616&gt;0,"PAGA",IF($D616&lt;CFG_HOJE,"ATRASADA",IF($D616&lt;=EOMONTH(CFG_HOJE,0),"ABERTA","PROJETADA")))))</f>
        <v/>
      </c>
      <c r="P616" s="34" t="n">
        <f aca="false">IF($O616="ATRASADA",CFG_HOJE-$D616,0)</f>
        <v>0</v>
      </c>
      <c r="Q616" s="36" t="n">
        <f aca="false">IF($A616="",0,IF(AND($O616="PAGA",$J616="NAO"),$K616-$E616,0))</f>
        <v>0</v>
      </c>
    </row>
    <row r="617" customFormat="false" ht="15" hidden="false" customHeight="false" outlineLevel="0" collapsed="false">
      <c r="A617" s="30" t="str">
        <f aca="false">IF($B617="","","PAR-"&amp;TEXT(ROW()-4,"000000"))</f>
        <v/>
      </c>
      <c r="B617" s="32"/>
      <c r="C617" s="37"/>
      <c r="D617" s="31"/>
      <c r="E617" s="33"/>
      <c r="F617" s="32"/>
      <c r="G617" s="35" t="str">
        <f aca="false">IF($B617="","",IFERROR(INDEX(CM_NOME,MATCH($B617,CM_ID,0)),"?"))</f>
        <v/>
      </c>
      <c r="H617" s="34" t="str">
        <f aca="false">IF($B617="","",IFERROR(INDEX(CM_QTD,MATCH($B617,CM_ID,0)),""))</f>
        <v/>
      </c>
      <c r="I617" s="35" t="str">
        <f aca="false">IF($A617="","",$C617&amp;"/"&amp;$H617)</f>
        <v/>
      </c>
      <c r="J617" s="35" t="str">
        <f aca="false">IF($A617="","",IF($C617&lt;=IFERROR(INDEX(CM_PAGASANTES,MATCH($B617,CM_ID,0)),0),"SIM","NAO"))</f>
        <v/>
      </c>
      <c r="K617" s="36" t="n">
        <f aca="false">IF($A617="",0,SUMIFS(L_Valor,L_ParcID,$A617,L_Status,"REALIZADO"))</f>
        <v>0</v>
      </c>
      <c r="L617" s="38" t="str">
        <f aca="false">IF($A617="","",IFERROR(INDEX(L_Data,MATCH(1,INDEX((L_ParcID=$A617)*(L_Status="REALIZADO"),0),0)),""))</f>
        <v/>
      </c>
      <c r="M617" s="34" t="n">
        <f aca="false">IF($A617="",0,COUNTIFS(L_ParcID,$A617,L_Status,"REALIZADO"))</f>
        <v>0</v>
      </c>
      <c r="N617" s="34" t="n">
        <f aca="false">IF($A617="",0,COUNTIFS(L_ParcID,$A617,L_Status,"PROJETADO"))</f>
        <v>0</v>
      </c>
      <c r="O617" s="35" t="str">
        <f aca="false">IF($A617="","",IF($J617="SIM","PAGA",IF($M617&gt;0,"PAGA",IF($D617&lt;CFG_HOJE,"ATRASADA",IF($D617&lt;=EOMONTH(CFG_HOJE,0),"ABERTA","PROJETADA")))))</f>
        <v/>
      </c>
      <c r="P617" s="34" t="n">
        <f aca="false">IF($O617="ATRASADA",CFG_HOJE-$D617,0)</f>
        <v>0</v>
      </c>
      <c r="Q617" s="36" t="n">
        <f aca="false">IF($A617="",0,IF(AND($O617="PAGA",$J617="NAO"),$K617-$E617,0))</f>
        <v>0</v>
      </c>
    </row>
    <row r="618" customFormat="false" ht="15" hidden="false" customHeight="false" outlineLevel="0" collapsed="false">
      <c r="A618" s="30" t="str">
        <f aca="false">IF($B618="","","PAR-"&amp;TEXT(ROW()-4,"000000"))</f>
        <v/>
      </c>
      <c r="B618" s="32"/>
      <c r="C618" s="37"/>
      <c r="D618" s="31"/>
      <c r="E618" s="33"/>
      <c r="F618" s="32"/>
      <c r="G618" s="35" t="str">
        <f aca="false">IF($B618="","",IFERROR(INDEX(CM_NOME,MATCH($B618,CM_ID,0)),"?"))</f>
        <v/>
      </c>
      <c r="H618" s="34" t="str">
        <f aca="false">IF($B618="","",IFERROR(INDEX(CM_QTD,MATCH($B618,CM_ID,0)),""))</f>
        <v/>
      </c>
      <c r="I618" s="35" t="str">
        <f aca="false">IF($A618="","",$C618&amp;"/"&amp;$H618)</f>
        <v/>
      </c>
      <c r="J618" s="35" t="str">
        <f aca="false">IF($A618="","",IF($C618&lt;=IFERROR(INDEX(CM_PAGASANTES,MATCH($B618,CM_ID,0)),0),"SIM","NAO"))</f>
        <v/>
      </c>
      <c r="K618" s="36" t="n">
        <f aca="false">IF($A618="",0,SUMIFS(L_Valor,L_ParcID,$A618,L_Status,"REALIZADO"))</f>
        <v>0</v>
      </c>
      <c r="L618" s="38" t="str">
        <f aca="false">IF($A618="","",IFERROR(INDEX(L_Data,MATCH(1,INDEX((L_ParcID=$A618)*(L_Status="REALIZADO"),0),0)),""))</f>
        <v/>
      </c>
      <c r="M618" s="34" t="n">
        <f aca="false">IF($A618="",0,COUNTIFS(L_ParcID,$A618,L_Status,"REALIZADO"))</f>
        <v>0</v>
      </c>
      <c r="N618" s="34" t="n">
        <f aca="false">IF($A618="",0,COUNTIFS(L_ParcID,$A618,L_Status,"PROJETADO"))</f>
        <v>0</v>
      </c>
      <c r="O618" s="35" t="str">
        <f aca="false">IF($A618="","",IF($J618="SIM","PAGA",IF($M618&gt;0,"PAGA",IF($D618&lt;CFG_HOJE,"ATRASADA",IF($D618&lt;=EOMONTH(CFG_HOJE,0),"ABERTA","PROJETADA")))))</f>
        <v/>
      </c>
      <c r="P618" s="34" t="n">
        <f aca="false">IF($O618="ATRASADA",CFG_HOJE-$D618,0)</f>
        <v>0</v>
      </c>
      <c r="Q618" s="36" t="n">
        <f aca="false">IF($A618="",0,IF(AND($O618="PAGA",$J618="NAO"),$K618-$E618,0))</f>
        <v>0</v>
      </c>
    </row>
    <row r="619" customFormat="false" ht="15" hidden="false" customHeight="false" outlineLevel="0" collapsed="false">
      <c r="A619" s="30" t="str">
        <f aca="false">IF($B619="","","PAR-"&amp;TEXT(ROW()-4,"000000"))</f>
        <v/>
      </c>
      <c r="B619" s="32"/>
      <c r="C619" s="37"/>
      <c r="D619" s="31"/>
      <c r="E619" s="33"/>
      <c r="F619" s="32"/>
      <c r="G619" s="35" t="str">
        <f aca="false">IF($B619="","",IFERROR(INDEX(CM_NOME,MATCH($B619,CM_ID,0)),"?"))</f>
        <v/>
      </c>
      <c r="H619" s="34" t="str">
        <f aca="false">IF($B619="","",IFERROR(INDEX(CM_QTD,MATCH($B619,CM_ID,0)),""))</f>
        <v/>
      </c>
      <c r="I619" s="35" t="str">
        <f aca="false">IF($A619="","",$C619&amp;"/"&amp;$H619)</f>
        <v/>
      </c>
      <c r="J619" s="35" t="str">
        <f aca="false">IF($A619="","",IF($C619&lt;=IFERROR(INDEX(CM_PAGASANTES,MATCH($B619,CM_ID,0)),0),"SIM","NAO"))</f>
        <v/>
      </c>
      <c r="K619" s="36" t="n">
        <f aca="false">IF($A619="",0,SUMIFS(L_Valor,L_ParcID,$A619,L_Status,"REALIZADO"))</f>
        <v>0</v>
      </c>
      <c r="L619" s="38" t="str">
        <f aca="false">IF($A619="","",IFERROR(INDEX(L_Data,MATCH(1,INDEX((L_ParcID=$A619)*(L_Status="REALIZADO"),0),0)),""))</f>
        <v/>
      </c>
      <c r="M619" s="34" t="n">
        <f aca="false">IF($A619="",0,COUNTIFS(L_ParcID,$A619,L_Status,"REALIZADO"))</f>
        <v>0</v>
      </c>
      <c r="N619" s="34" t="n">
        <f aca="false">IF($A619="",0,COUNTIFS(L_ParcID,$A619,L_Status,"PROJETADO"))</f>
        <v>0</v>
      </c>
      <c r="O619" s="35" t="str">
        <f aca="false">IF($A619="","",IF($J619="SIM","PAGA",IF($M619&gt;0,"PAGA",IF($D619&lt;CFG_HOJE,"ATRASADA",IF($D619&lt;=EOMONTH(CFG_HOJE,0),"ABERTA","PROJETADA")))))</f>
        <v/>
      </c>
      <c r="P619" s="34" t="n">
        <f aca="false">IF($O619="ATRASADA",CFG_HOJE-$D619,0)</f>
        <v>0</v>
      </c>
      <c r="Q619" s="36" t="n">
        <f aca="false">IF($A619="",0,IF(AND($O619="PAGA",$J619="NAO"),$K619-$E619,0))</f>
        <v>0</v>
      </c>
    </row>
    <row r="620" customFormat="false" ht="15" hidden="false" customHeight="false" outlineLevel="0" collapsed="false">
      <c r="A620" s="30" t="str">
        <f aca="false">IF($B620="","","PAR-"&amp;TEXT(ROW()-4,"000000"))</f>
        <v/>
      </c>
      <c r="B620" s="32"/>
      <c r="C620" s="37"/>
      <c r="D620" s="31"/>
      <c r="E620" s="33"/>
      <c r="F620" s="32"/>
      <c r="G620" s="35" t="str">
        <f aca="false">IF($B620="","",IFERROR(INDEX(CM_NOME,MATCH($B620,CM_ID,0)),"?"))</f>
        <v/>
      </c>
      <c r="H620" s="34" t="str">
        <f aca="false">IF($B620="","",IFERROR(INDEX(CM_QTD,MATCH($B620,CM_ID,0)),""))</f>
        <v/>
      </c>
      <c r="I620" s="35" t="str">
        <f aca="false">IF($A620="","",$C620&amp;"/"&amp;$H620)</f>
        <v/>
      </c>
      <c r="J620" s="35" t="str">
        <f aca="false">IF($A620="","",IF($C620&lt;=IFERROR(INDEX(CM_PAGASANTES,MATCH($B620,CM_ID,0)),0),"SIM","NAO"))</f>
        <v/>
      </c>
      <c r="K620" s="36" t="n">
        <f aca="false">IF($A620="",0,SUMIFS(L_Valor,L_ParcID,$A620,L_Status,"REALIZADO"))</f>
        <v>0</v>
      </c>
      <c r="L620" s="38" t="str">
        <f aca="false">IF($A620="","",IFERROR(INDEX(L_Data,MATCH(1,INDEX((L_ParcID=$A620)*(L_Status="REALIZADO"),0),0)),""))</f>
        <v/>
      </c>
      <c r="M620" s="34" t="n">
        <f aca="false">IF($A620="",0,COUNTIFS(L_ParcID,$A620,L_Status,"REALIZADO"))</f>
        <v>0</v>
      </c>
      <c r="N620" s="34" t="n">
        <f aca="false">IF($A620="",0,COUNTIFS(L_ParcID,$A620,L_Status,"PROJETADO"))</f>
        <v>0</v>
      </c>
      <c r="O620" s="35" t="str">
        <f aca="false">IF($A620="","",IF($J620="SIM","PAGA",IF($M620&gt;0,"PAGA",IF($D620&lt;CFG_HOJE,"ATRASADA",IF($D620&lt;=EOMONTH(CFG_HOJE,0),"ABERTA","PROJETADA")))))</f>
        <v/>
      </c>
      <c r="P620" s="34" t="n">
        <f aca="false">IF($O620="ATRASADA",CFG_HOJE-$D620,0)</f>
        <v>0</v>
      </c>
      <c r="Q620" s="36" t="n">
        <f aca="false">IF($A620="",0,IF(AND($O620="PAGA",$J620="NAO"),$K620-$E620,0))</f>
        <v>0</v>
      </c>
    </row>
    <row r="621" customFormat="false" ht="15" hidden="false" customHeight="false" outlineLevel="0" collapsed="false">
      <c r="A621" s="30" t="str">
        <f aca="false">IF($B621="","","PAR-"&amp;TEXT(ROW()-4,"000000"))</f>
        <v/>
      </c>
      <c r="B621" s="32"/>
      <c r="C621" s="37"/>
      <c r="D621" s="31"/>
      <c r="E621" s="33"/>
      <c r="F621" s="32"/>
      <c r="G621" s="35" t="str">
        <f aca="false">IF($B621="","",IFERROR(INDEX(CM_NOME,MATCH($B621,CM_ID,0)),"?"))</f>
        <v/>
      </c>
      <c r="H621" s="34" t="str">
        <f aca="false">IF($B621="","",IFERROR(INDEX(CM_QTD,MATCH($B621,CM_ID,0)),""))</f>
        <v/>
      </c>
      <c r="I621" s="35" t="str">
        <f aca="false">IF($A621="","",$C621&amp;"/"&amp;$H621)</f>
        <v/>
      </c>
      <c r="J621" s="35" t="str">
        <f aca="false">IF($A621="","",IF($C621&lt;=IFERROR(INDEX(CM_PAGASANTES,MATCH($B621,CM_ID,0)),0),"SIM","NAO"))</f>
        <v/>
      </c>
      <c r="K621" s="36" t="n">
        <f aca="false">IF($A621="",0,SUMIFS(L_Valor,L_ParcID,$A621,L_Status,"REALIZADO"))</f>
        <v>0</v>
      </c>
      <c r="L621" s="38" t="str">
        <f aca="false">IF($A621="","",IFERROR(INDEX(L_Data,MATCH(1,INDEX((L_ParcID=$A621)*(L_Status="REALIZADO"),0),0)),""))</f>
        <v/>
      </c>
      <c r="M621" s="34" t="n">
        <f aca="false">IF($A621="",0,COUNTIFS(L_ParcID,$A621,L_Status,"REALIZADO"))</f>
        <v>0</v>
      </c>
      <c r="N621" s="34" t="n">
        <f aca="false">IF($A621="",0,COUNTIFS(L_ParcID,$A621,L_Status,"PROJETADO"))</f>
        <v>0</v>
      </c>
      <c r="O621" s="35" t="str">
        <f aca="false">IF($A621="","",IF($J621="SIM","PAGA",IF($M621&gt;0,"PAGA",IF($D621&lt;CFG_HOJE,"ATRASADA",IF($D621&lt;=EOMONTH(CFG_HOJE,0),"ABERTA","PROJETADA")))))</f>
        <v/>
      </c>
      <c r="P621" s="34" t="n">
        <f aca="false">IF($O621="ATRASADA",CFG_HOJE-$D621,0)</f>
        <v>0</v>
      </c>
      <c r="Q621" s="36" t="n">
        <f aca="false">IF($A621="",0,IF(AND($O621="PAGA",$J621="NAO"),$K621-$E621,0))</f>
        <v>0</v>
      </c>
    </row>
    <row r="622" customFormat="false" ht="15" hidden="false" customHeight="false" outlineLevel="0" collapsed="false">
      <c r="A622" s="30" t="str">
        <f aca="false">IF($B622="","","PAR-"&amp;TEXT(ROW()-4,"000000"))</f>
        <v/>
      </c>
      <c r="B622" s="32"/>
      <c r="C622" s="37"/>
      <c r="D622" s="31"/>
      <c r="E622" s="33"/>
      <c r="F622" s="32"/>
      <c r="G622" s="35" t="str">
        <f aca="false">IF($B622="","",IFERROR(INDEX(CM_NOME,MATCH($B622,CM_ID,0)),"?"))</f>
        <v/>
      </c>
      <c r="H622" s="34" t="str">
        <f aca="false">IF($B622="","",IFERROR(INDEX(CM_QTD,MATCH($B622,CM_ID,0)),""))</f>
        <v/>
      </c>
      <c r="I622" s="35" t="str">
        <f aca="false">IF($A622="","",$C622&amp;"/"&amp;$H622)</f>
        <v/>
      </c>
      <c r="J622" s="35" t="str">
        <f aca="false">IF($A622="","",IF($C622&lt;=IFERROR(INDEX(CM_PAGASANTES,MATCH($B622,CM_ID,0)),0),"SIM","NAO"))</f>
        <v/>
      </c>
      <c r="K622" s="36" t="n">
        <f aca="false">IF($A622="",0,SUMIFS(L_Valor,L_ParcID,$A622,L_Status,"REALIZADO"))</f>
        <v>0</v>
      </c>
      <c r="L622" s="38" t="str">
        <f aca="false">IF($A622="","",IFERROR(INDEX(L_Data,MATCH(1,INDEX((L_ParcID=$A622)*(L_Status="REALIZADO"),0),0)),""))</f>
        <v/>
      </c>
      <c r="M622" s="34" t="n">
        <f aca="false">IF($A622="",0,COUNTIFS(L_ParcID,$A622,L_Status,"REALIZADO"))</f>
        <v>0</v>
      </c>
      <c r="N622" s="34" t="n">
        <f aca="false">IF($A622="",0,COUNTIFS(L_ParcID,$A622,L_Status,"PROJETADO"))</f>
        <v>0</v>
      </c>
      <c r="O622" s="35" t="str">
        <f aca="false">IF($A622="","",IF($J622="SIM","PAGA",IF($M622&gt;0,"PAGA",IF($D622&lt;CFG_HOJE,"ATRASADA",IF($D622&lt;=EOMONTH(CFG_HOJE,0),"ABERTA","PROJETADA")))))</f>
        <v/>
      </c>
      <c r="P622" s="34" t="n">
        <f aca="false">IF($O622="ATRASADA",CFG_HOJE-$D622,0)</f>
        <v>0</v>
      </c>
      <c r="Q622" s="36" t="n">
        <f aca="false">IF($A622="",0,IF(AND($O622="PAGA",$J622="NAO"),$K622-$E622,0))</f>
        <v>0</v>
      </c>
    </row>
    <row r="623" customFormat="false" ht="15" hidden="false" customHeight="false" outlineLevel="0" collapsed="false">
      <c r="A623" s="30" t="str">
        <f aca="false">IF($B623="","","PAR-"&amp;TEXT(ROW()-4,"000000"))</f>
        <v/>
      </c>
      <c r="B623" s="32"/>
      <c r="C623" s="37"/>
      <c r="D623" s="31"/>
      <c r="E623" s="33"/>
      <c r="F623" s="32"/>
      <c r="G623" s="35" t="str">
        <f aca="false">IF($B623="","",IFERROR(INDEX(CM_NOME,MATCH($B623,CM_ID,0)),"?"))</f>
        <v/>
      </c>
      <c r="H623" s="34" t="str">
        <f aca="false">IF($B623="","",IFERROR(INDEX(CM_QTD,MATCH($B623,CM_ID,0)),""))</f>
        <v/>
      </c>
      <c r="I623" s="35" t="str">
        <f aca="false">IF($A623="","",$C623&amp;"/"&amp;$H623)</f>
        <v/>
      </c>
      <c r="J623" s="35" t="str">
        <f aca="false">IF($A623="","",IF($C623&lt;=IFERROR(INDEX(CM_PAGASANTES,MATCH($B623,CM_ID,0)),0),"SIM","NAO"))</f>
        <v/>
      </c>
      <c r="K623" s="36" t="n">
        <f aca="false">IF($A623="",0,SUMIFS(L_Valor,L_ParcID,$A623,L_Status,"REALIZADO"))</f>
        <v>0</v>
      </c>
      <c r="L623" s="38" t="str">
        <f aca="false">IF($A623="","",IFERROR(INDEX(L_Data,MATCH(1,INDEX((L_ParcID=$A623)*(L_Status="REALIZADO"),0),0)),""))</f>
        <v/>
      </c>
      <c r="M623" s="34" t="n">
        <f aca="false">IF($A623="",0,COUNTIFS(L_ParcID,$A623,L_Status,"REALIZADO"))</f>
        <v>0</v>
      </c>
      <c r="N623" s="34" t="n">
        <f aca="false">IF($A623="",0,COUNTIFS(L_ParcID,$A623,L_Status,"PROJETADO"))</f>
        <v>0</v>
      </c>
      <c r="O623" s="35" t="str">
        <f aca="false">IF($A623="","",IF($J623="SIM","PAGA",IF($M623&gt;0,"PAGA",IF($D623&lt;CFG_HOJE,"ATRASADA",IF($D623&lt;=EOMONTH(CFG_HOJE,0),"ABERTA","PROJETADA")))))</f>
        <v/>
      </c>
      <c r="P623" s="34" t="n">
        <f aca="false">IF($O623="ATRASADA",CFG_HOJE-$D623,0)</f>
        <v>0</v>
      </c>
      <c r="Q623" s="36" t="n">
        <f aca="false">IF($A623="",0,IF(AND($O623="PAGA",$J623="NAO"),$K623-$E623,0))</f>
        <v>0</v>
      </c>
    </row>
    <row r="624" customFormat="false" ht="15" hidden="false" customHeight="false" outlineLevel="0" collapsed="false">
      <c r="A624" s="30" t="str">
        <f aca="false">IF($B624="","","PAR-"&amp;TEXT(ROW()-4,"000000"))</f>
        <v/>
      </c>
      <c r="B624" s="32"/>
      <c r="C624" s="37"/>
      <c r="D624" s="31"/>
      <c r="E624" s="33"/>
      <c r="F624" s="32"/>
      <c r="G624" s="35" t="str">
        <f aca="false">IF($B624="","",IFERROR(INDEX(CM_NOME,MATCH($B624,CM_ID,0)),"?"))</f>
        <v/>
      </c>
      <c r="H624" s="34" t="str">
        <f aca="false">IF($B624="","",IFERROR(INDEX(CM_QTD,MATCH($B624,CM_ID,0)),""))</f>
        <v/>
      </c>
      <c r="I624" s="35" t="str">
        <f aca="false">IF($A624="","",$C624&amp;"/"&amp;$H624)</f>
        <v/>
      </c>
      <c r="J624" s="35" t="str">
        <f aca="false">IF($A624="","",IF($C624&lt;=IFERROR(INDEX(CM_PAGASANTES,MATCH($B624,CM_ID,0)),0),"SIM","NAO"))</f>
        <v/>
      </c>
      <c r="K624" s="36" t="n">
        <f aca="false">IF($A624="",0,SUMIFS(L_Valor,L_ParcID,$A624,L_Status,"REALIZADO"))</f>
        <v>0</v>
      </c>
      <c r="L624" s="38" t="str">
        <f aca="false">IF($A624="","",IFERROR(INDEX(L_Data,MATCH(1,INDEX((L_ParcID=$A624)*(L_Status="REALIZADO"),0),0)),""))</f>
        <v/>
      </c>
      <c r="M624" s="34" t="n">
        <f aca="false">IF($A624="",0,COUNTIFS(L_ParcID,$A624,L_Status,"REALIZADO"))</f>
        <v>0</v>
      </c>
      <c r="N624" s="34" t="n">
        <f aca="false">IF($A624="",0,COUNTIFS(L_ParcID,$A624,L_Status,"PROJETADO"))</f>
        <v>0</v>
      </c>
      <c r="O624" s="35" t="str">
        <f aca="false">IF($A624="","",IF($J624="SIM","PAGA",IF($M624&gt;0,"PAGA",IF($D624&lt;CFG_HOJE,"ATRASADA",IF($D624&lt;=EOMONTH(CFG_HOJE,0),"ABERTA","PROJETADA")))))</f>
        <v/>
      </c>
      <c r="P624" s="34" t="n">
        <f aca="false">IF($O624="ATRASADA",CFG_HOJE-$D624,0)</f>
        <v>0</v>
      </c>
      <c r="Q624" s="36" t="n">
        <f aca="false">IF($A624="",0,IF(AND($O624="PAGA",$J624="NAO"),$K624-$E624,0))</f>
        <v>0</v>
      </c>
    </row>
    <row r="625" customFormat="false" ht="15" hidden="false" customHeight="false" outlineLevel="0" collapsed="false">
      <c r="A625" s="30" t="str">
        <f aca="false">IF($B625="","","PAR-"&amp;TEXT(ROW()-4,"000000"))</f>
        <v/>
      </c>
      <c r="B625" s="32"/>
      <c r="C625" s="37"/>
      <c r="D625" s="31"/>
      <c r="E625" s="33"/>
      <c r="F625" s="32"/>
      <c r="G625" s="35" t="str">
        <f aca="false">IF($B625="","",IFERROR(INDEX(CM_NOME,MATCH($B625,CM_ID,0)),"?"))</f>
        <v/>
      </c>
      <c r="H625" s="34" t="str">
        <f aca="false">IF($B625="","",IFERROR(INDEX(CM_QTD,MATCH($B625,CM_ID,0)),""))</f>
        <v/>
      </c>
      <c r="I625" s="35" t="str">
        <f aca="false">IF($A625="","",$C625&amp;"/"&amp;$H625)</f>
        <v/>
      </c>
      <c r="J625" s="35" t="str">
        <f aca="false">IF($A625="","",IF($C625&lt;=IFERROR(INDEX(CM_PAGASANTES,MATCH($B625,CM_ID,0)),0),"SIM","NAO"))</f>
        <v/>
      </c>
      <c r="K625" s="36" t="n">
        <f aca="false">IF($A625="",0,SUMIFS(L_Valor,L_ParcID,$A625,L_Status,"REALIZADO"))</f>
        <v>0</v>
      </c>
      <c r="L625" s="38" t="str">
        <f aca="false">IF($A625="","",IFERROR(INDEX(L_Data,MATCH(1,INDEX((L_ParcID=$A625)*(L_Status="REALIZADO"),0),0)),""))</f>
        <v/>
      </c>
      <c r="M625" s="34" t="n">
        <f aca="false">IF($A625="",0,COUNTIFS(L_ParcID,$A625,L_Status,"REALIZADO"))</f>
        <v>0</v>
      </c>
      <c r="N625" s="34" t="n">
        <f aca="false">IF($A625="",0,COUNTIFS(L_ParcID,$A625,L_Status,"PROJETADO"))</f>
        <v>0</v>
      </c>
      <c r="O625" s="35" t="str">
        <f aca="false">IF($A625="","",IF($J625="SIM","PAGA",IF($M625&gt;0,"PAGA",IF($D625&lt;CFG_HOJE,"ATRASADA",IF($D625&lt;=EOMONTH(CFG_HOJE,0),"ABERTA","PROJETADA")))))</f>
        <v/>
      </c>
      <c r="P625" s="34" t="n">
        <f aca="false">IF($O625="ATRASADA",CFG_HOJE-$D625,0)</f>
        <v>0</v>
      </c>
      <c r="Q625" s="36" t="n">
        <f aca="false">IF($A625="",0,IF(AND($O625="PAGA",$J625="NAO"),$K625-$E625,0))</f>
        <v>0</v>
      </c>
    </row>
    <row r="626" customFormat="false" ht="15" hidden="false" customHeight="false" outlineLevel="0" collapsed="false">
      <c r="A626" s="30" t="str">
        <f aca="false">IF($B626="","","PAR-"&amp;TEXT(ROW()-4,"000000"))</f>
        <v/>
      </c>
      <c r="B626" s="32"/>
      <c r="C626" s="37"/>
      <c r="D626" s="31"/>
      <c r="E626" s="33"/>
      <c r="F626" s="32"/>
      <c r="G626" s="35" t="str">
        <f aca="false">IF($B626="","",IFERROR(INDEX(CM_NOME,MATCH($B626,CM_ID,0)),"?"))</f>
        <v/>
      </c>
      <c r="H626" s="34" t="str">
        <f aca="false">IF($B626="","",IFERROR(INDEX(CM_QTD,MATCH($B626,CM_ID,0)),""))</f>
        <v/>
      </c>
      <c r="I626" s="35" t="str">
        <f aca="false">IF($A626="","",$C626&amp;"/"&amp;$H626)</f>
        <v/>
      </c>
      <c r="J626" s="35" t="str">
        <f aca="false">IF($A626="","",IF($C626&lt;=IFERROR(INDEX(CM_PAGASANTES,MATCH($B626,CM_ID,0)),0),"SIM","NAO"))</f>
        <v/>
      </c>
      <c r="K626" s="36" t="n">
        <f aca="false">IF($A626="",0,SUMIFS(L_Valor,L_ParcID,$A626,L_Status,"REALIZADO"))</f>
        <v>0</v>
      </c>
      <c r="L626" s="38" t="str">
        <f aca="false">IF($A626="","",IFERROR(INDEX(L_Data,MATCH(1,INDEX((L_ParcID=$A626)*(L_Status="REALIZADO"),0),0)),""))</f>
        <v/>
      </c>
      <c r="M626" s="34" t="n">
        <f aca="false">IF($A626="",0,COUNTIFS(L_ParcID,$A626,L_Status,"REALIZADO"))</f>
        <v>0</v>
      </c>
      <c r="N626" s="34" t="n">
        <f aca="false">IF($A626="",0,COUNTIFS(L_ParcID,$A626,L_Status,"PROJETADO"))</f>
        <v>0</v>
      </c>
      <c r="O626" s="35" t="str">
        <f aca="false">IF($A626="","",IF($J626="SIM","PAGA",IF($M626&gt;0,"PAGA",IF($D626&lt;CFG_HOJE,"ATRASADA",IF($D626&lt;=EOMONTH(CFG_HOJE,0),"ABERTA","PROJETADA")))))</f>
        <v/>
      </c>
      <c r="P626" s="34" t="n">
        <f aca="false">IF($O626="ATRASADA",CFG_HOJE-$D626,0)</f>
        <v>0</v>
      </c>
      <c r="Q626" s="36" t="n">
        <f aca="false">IF($A626="",0,IF(AND($O626="PAGA",$J626="NAO"),$K626-$E626,0))</f>
        <v>0</v>
      </c>
    </row>
    <row r="627" customFormat="false" ht="15" hidden="false" customHeight="false" outlineLevel="0" collapsed="false">
      <c r="A627" s="30" t="str">
        <f aca="false">IF($B627="","","PAR-"&amp;TEXT(ROW()-4,"000000"))</f>
        <v/>
      </c>
      <c r="B627" s="32"/>
      <c r="C627" s="37"/>
      <c r="D627" s="31"/>
      <c r="E627" s="33"/>
      <c r="F627" s="32"/>
      <c r="G627" s="35" t="str">
        <f aca="false">IF($B627="","",IFERROR(INDEX(CM_NOME,MATCH($B627,CM_ID,0)),"?"))</f>
        <v/>
      </c>
      <c r="H627" s="34" t="str">
        <f aca="false">IF($B627="","",IFERROR(INDEX(CM_QTD,MATCH($B627,CM_ID,0)),""))</f>
        <v/>
      </c>
      <c r="I627" s="35" t="str">
        <f aca="false">IF($A627="","",$C627&amp;"/"&amp;$H627)</f>
        <v/>
      </c>
      <c r="J627" s="35" t="str">
        <f aca="false">IF($A627="","",IF($C627&lt;=IFERROR(INDEX(CM_PAGASANTES,MATCH($B627,CM_ID,0)),0),"SIM","NAO"))</f>
        <v/>
      </c>
      <c r="K627" s="36" t="n">
        <f aca="false">IF($A627="",0,SUMIFS(L_Valor,L_ParcID,$A627,L_Status,"REALIZADO"))</f>
        <v>0</v>
      </c>
      <c r="L627" s="38" t="str">
        <f aca="false">IF($A627="","",IFERROR(INDEX(L_Data,MATCH(1,INDEX((L_ParcID=$A627)*(L_Status="REALIZADO"),0),0)),""))</f>
        <v/>
      </c>
      <c r="M627" s="34" t="n">
        <f aca="false">IF($A627="",0,COUNTIFS(L_ParcID,$A627,L_Status,"REALIZADO"))</f>
        <v>0</v>
      </c>
      <c r="N627" s="34" t="n">
        <f aca="false">IF($A627="",0,COUNTIFS(L_ParcID,$A627,L_Status,"PROJETADO"))</f>
        <v>0</v>
      </c>
      <c r="O627" s="35" t="str">
        <f aca="false">IF($A627="","",IF($J627="SIM","PAGA",IF($M627&gt;0,"PAGA",IF($D627&lt;CFG_HOJE,"ATRASADA",IF($D627&lt;=EOMONTH(CFG_HOJE,0),"ABERTA","PROJETADA")))))</f>
        <v/>
      </c>
      <c r="P627" s="34" t="n">
        <f aca="false">IF($O627="ATRASADA",CFG_HOJE-$D627,0)</f>
        <v>0</v>
      </c>
      <c r="Q627" s="36" t="n">
        <f aca="false">IF($A627="",0,IF(AND($O627="PAGA",$J627="NAO"),$K627-$E627,0))</f>
        <v>0</v>
      </c>
    </row>
    <row r="628" customFormat="false" ht="15" hidden="false" customHeight="false" outlineLevel="0" collapsed="false">
      <c r="A628" s="30" t="str">
        <f aca="false">IF($B628="","","PAR-"&amp;TEXT(ROW()-4,"000000"))</f>
        <v/>
      </c>
      <c r="B628" s="32"/>
      <c r="C628" s="37"/>
      <c r="D628" s="31"/>
      <c r="E628" s="33"/>
      <c r="F628" s="32"/>
      <c r="G628" s="35" t="str">
        <f aca="false">IF($B628="","",IFERROR(INDEX(CM_NOME,MATCH($B628,CM_ID,0)),"?"))</f>
        <v/>
      </c>
      <c r="H628" s="34" t="str">
        <f aca="false">IF($B628="","",IFERROR(INDEX(CM_QTD,MATCH($B628,CM_ID,0)),""))</f>
        <v/>
      </c>
      <c r="I628" s="35" t="str">
        <f aca="false">IF($A628="","",$C628&amp;"/"&amp;$H628)</f>
        <v/>
      </c>
      <c r="J628" s="35" t="str">
        <f aca="false">IF($A628="","",IF($C628&lt;=IFERROR(INDEX(CM_PAGASANTES,MATCH($B628,CM_ID,0)),0),"SIM","NAO"))</f>
        <v/>
      </c>
      <c r="K628" s="36" t="n">
        <f aca="false">IF($A628="",0,SUMIFS(L_Valor,L_ParcID,$A628,L_Status,"REALIZADO"))</f>
        <v>0</v>
      </c>
      <c r="L628" s="38" t="str">
        <f aca="false">IF($A628="","",IFERROR(INDEX(L_Data,MATCH(1,INDEX((L_ParcID=$A628)*(L_Status="REALIZADO"),0),0)),""))</f>
        <v/>
      </c>
      <c r="M628" s="34" t="n">
        <f aca="false">IF($A628="",0,COUNTIFS(L_ParcID,$A628,L_Status,"REALIZADO"))</f>
        <v>0</v>
      </c>
      <c r="N628" s="34" t="n">
        <f aca="false">IF($A628="",0,COUNTIFS(L_ParcID,$A628,L_Status,"PROJETADO"))</f>
        <v>0</v>
      </c>
      <c r="O628" s="35" t="str">
        <f aca="false">IF($A628="","",IF($J628="SIM","PAGA",IF($M628&gt;0,"PAGA",IF($D628&lt;CFG_HOJE,"ATRASADA",IF($D628&lt;=EOMONTH(CFG_HOJE,0),"ABERTA","PROJETADA")))))</f>
        <v/>
      </c>
      <c r="P628" s="34" t="n">
        <f aca="false">IF($O628="ATRASADA",CFG_HOJE-$D628,0)</f>
        <v>0</v>
      </c>
      <c r="Q628" s="36" t="n">
        <f aca="false">IF($A628="",0,IF(AND($O628="PAGA",$J628="NAO"),$K628-$E628,0))</f>
        <v>0</v>
      </c>
    </row>
    <row r="629" customFormat="false" ht="15" hidden="false" customHeight="false" outlineLevel="0" collapsed="false">
      <c r="A629" s="30" t="str">
        <f aca="false">IF($B629="","","PAR-"&amp;TEXT(ROW()-4,"000000"))</f>
        <v/>
      </c>
      <c r="B629" s="32"/>
      <c r="C629" s="37"/>
      <c r="D629" s="31"/>
      <c r="E629" s="33"/>
      <c r="F629" s="32"/>
      <c r="G629" s="35" t="str">
        <f aca="false">IF($B629="","",IFERROR(INDEX(CM_NOME,MATCH($B629,CM_ID,0)),"?"))</f>
        <v/>
      </c>
      <c r="H629" s="34" t="str">
        <f aca="false">IF($B629="","",IFERROR(INDEX(CM_QTD,MATCH($B629,CM_ID,0)),""))</f>
        <v/>
      </c>
      <c r="I629" s="35" t="str">
        <f aca="false">IF($A629="","",$C629&amp;"/"&amp;$H629)</f>
        <v/>
      </c>
      <c r="J629" s="35" t="str">
        <f aca="false">IF($A629="","",IF($C629&lt;=IFERROR(INDEX(CM_PAGASANTES,MATCH($B629,CM_ID,0)),0),"SIM","NAO"))</f>
        <v/>
      </c>
      <c r="K629" s="36" t="n">
        <f aca="false">IF($A629="",0,SUMIFS(L_Valor,L_ParcID,$A629,L_Status,"REALIZADO"))</f>
        <v>0</v>
      </c>
      <c r="L629" s="38" t="str">
        <f aca="false">IF($A629="","",IFERROR(INDEX(L_Data,MATCH(1,INDEX((L_ParcID=$A629)*(L_Status="REALIZADO"),0),0)),""))</f>
        <v/>
      </c>
      <c r="M629" s="34" t="n">
        <f aca="false">IF($A629="",0,COUNTIFS(L_ParcID,$A629,L_Status,"REALIZADO"))</f>
        <v>0</v>
      </c>
      <c r="N629" s="34" t="n">
        <f aca="false">IF($A629="",0,COUNTIFS(L_ParcID,$A629,L_Status,"PROJETADO"))</f>
        <v>0</v>
      </c>
      <c r="O629" s="35" t="str">
        <f aca="false">IF($A629="","",IF($J629="SIM","PAGA",IF($M629&gt;0,"PAGA",IF($D629&lt;CFG_HOJE,"ATRASADA",IF($D629&lt;=EOMONTH(CFG_HOJE,0),"ABERTA","PROJETADA")))))</f>
        <v/>
      </c>
      <c r="P629" s="34" t="n">
        <f aca="false">IF($O629="ATRASADA",CFG_HOJE-$D629,0)</f>
        <v>0</v>
      </c>
      <c r="Q629" s="36" t="n">
        <f aca="false">IF($A629="",0,IF(AND($O629="PAGA",$J629="NAO"),$K629-$E629,0))</f>
        <v>0</v>
      </c>
    </row>
    <row r="630" customFormat="false" ht="15" hidden="false" customHeight="false" outlineLevel="0" collapsed="false">
      <c r="A630" s="30" t="str">
        <f aca="false">IF($B630="","","PAR-"&amp;TEXT(ROW()-4,"000000"))</f>
        <v/>
      </c>
      <c r="B630" s="32"/>
      <c r="C630" s="37"/>
      <c r="D630" s="31"/>
      <c r="E630" s="33"/>
      <c r="F630" s="32"/>
      <c r="G630" s="35" t="str">
        <f aca="false">IF($B630="","",IFERROR(INDEX(CM_NOME,MATCH($B630,CM_ID,0)),"?"))</f>
        <v/>
      </c>
      <c r="H630" s="34" t="str">
        <f aca="false">IF($B630="","",IFERROR(INDEX(CM_QTD,MATCH($B630,CM_ID,0)),""))</f>
        <v/>
      </c>
      <c r="I630" s="35" t="str">
        <f aca="false">IF($A630="","",$C630&amp;"/"&amp;$H630)</f>
        <v/>
      </c>
      <c r="J630" s="35" t="str">
        <f aca="false">IF($A630="","",IF($C630&lt;=IFERROR(INDEX(CM_PAGASANTES,MATCH($B630,CM_ID,0)),0),"SIM","NAO"))</f>
        <v/>
      </c>
      <c r="K630" s="36" t="n">
        <f aca="false">IF($A630="",0,SUMIFS(L_Valor,L_ParcID,$A630,L_Status,"REALIZADO"))</f>
        <v>0</v>
      </c>
      <c r="L630" s="38" t="str">
        <f aca="false">IF($A630="","",IFERROR(INDEX(L_Data,MATCH(1,INDEX((L_ParcID=$A630)*(L_Status="REALIZADO"),0),0)),""))</f>
        <v/>
      </c>
      <c r="M630" s="34" t="n">
        <f aca="false">IF($A630="",0,COUNTIFS(L_ParcID,$A630,L_Status,"REALIZADO"))</f>
        <v>0</v>
      </c>
      <c r="N630" s="34" t="n">
        <f aca="false">IF($A630="",0,COUNTIFS(L_ParcID,$A630,L_Status,"PROJETADO"))</f>
        <v>0</v>
      </c>
      <c r="O630" s="35" t="str">
        <f aca="false">IF($A630="","",IF($J630="SIM","PAGA",IF($M630&gt;0,"PAGA",IF($D630&lt;CFG_HOJE,"ATRASADA",IF($D630&lt;=EOMONTH(CFG_HOJE,0),"ABERTA","PROJETADA")))))</f>
        <v/>
      </c>
      <c r="P630" s="34" t="n">
        <f aca="false">IF($O630="ATRASADA",CFG_HOJE-$D630,0)</f>
        <v>0</v>
      </c>
      <c r="Q630" s="36" t="n">
        <f aca="false">IF($A630="",0,IF(AND($O630="PAGA",$J630="NAO"),$K630-$E630,0))</f>
        <v>0</v>
      </c>
    </row>
    <row r="631" customFormat="false" ht="15" hidden="false" customHeight="false" outlineLevel="0" collapsed="false">
      <c r="A631" s="30" t="str">
        <f aca="false">IF($B631="","","PAR-"&amp;TEXT(ROW()-4,"000000"))</f>
        <v/>
      </c>
      <c r="B631" s="32"/>
      <c r="C631" s="37"/>
      <c r="D631" s="31"/>
      <c r="E631" s="33"/>
      <c r="F631" s="32"/>
      <c r="G631" s="35" t="str">
        <f aca="false">IF($B631="","",IFERROR(INDEX(CM_NOME,MATCH($B631,CM_ID,0)),"?"))</f>
        <v/>
      </c>
      <c r="H631" s="34" t="str">
        <f aca="false">IF($B631="","",IFERROR(INDEX(CM_QTD,MATCH($B631,CM_ID,0)),""))</f>
        <v/>
      </c>
      <c r="I631" s="35" t="str">
        <f aca="false">IF($A631="","",$C631&amp;"/"&amp;$H631)</f>
        <v/>
      </c>
      <c r="J631" s="35" t="str">
        <f aca="false">IF($A631="","",IF($C631&lt;=IFERROR(INDEX(CM_PAGASANTES,MATCH($B631,CM_ID,0)),0),"SIM","NAO"))</f>
        <v/>
      </c>
      <c r="K631" s="36" t="n">
        <f aca="false">IF($A631="",0,SUMIFS(L_Valor,L_ParcID,$A631,L_Status,"REALIZADO"))</f>
        <v>0</v>
      </c>
      <c r="L631" s="38" t="str">
        <f aca="false">IF($A631="","",IFERROR(INDEX(L_Data,MATCH(1,INDEX((L_ParcID=$A631)*(L_Status="REALIZADO"),0),0)),""))</f>
        <v/>
      </c>
      <c r="M631" s="34" t="n">
        <f aca="false">IF($A631="",0,COUNTIFS(L_ParcID,$A631,L_Status,"REALIZADO"))</f>
        <v>0</v>
      </c>
      <c r="N631" s="34" t="n">
        <f aca="false">IF($A631="",0,COUNTIFS(L_ParcID,$A631,L_Status,"PROJETADO"))</f>
        <v>0</v>
      </c>
      <c r="O631" s="35" t="str">
        <f aca="false">IF($A631="","",IF($J631="SIM","PAGA",IF($M631&gt;0,"PAGA",IF($D631&lt;CFG_HOJE,"ATRASADA",IF($D631&lt;=EOMONTH(CFG_HOJE,0),"ABERTA","PROJETADA")))))</f>
        <v/>
      </c>
      <c r="P631" s="34" t="n">
        <f aca="false">IF($O631="ATRASADA",CFG_HOJE-$D631,0)</f>
        <v>0</v>
      </c>
      <c r="Q631" s="36" t="n">
        <f aca="false">IF($A631="",0,IF(AND($O631="PAGA",$J631="NAO"),$K631-$E631,0))</f>
        <v>0</v>
      </c>
    </row>
    <row r="632" customFormat="false" ht="15" hidden="false" customHeight="false" outlineLevel="0" collapsed="false">
      <c r="A632" s="30" t="str">
        <f aca="false">IF($B632="","","PAR-"&amp;TEXT(ROW()-4,"000000"))</f>
        <v/>
      </c>
      <c r="B632" s="32"/>
      <c r="C632" s="37"/>
      <c r="D632" s="31"/>
      <c r="E632" s="33"/>
      <c r="F632" s="32"/>
      <c r="G632" s="35" t="str">
        <f aca="false">IF($B632="","",IFERROR(INDEX(CM_NOME,MATCH($B632,CM_ID,0)),"?"))</f>
        <v/>
      </c>
      <c r="H632" s="34" t="str">
        <f aca="false">IF($B632="","",IFERROR(INDEX(CM_QTD,MATCH($B632,CM_ID,0)),""))</f>
        <v/>
      </c>
      <c r="I632" s="35" t="str">
        <f aca="false">IF($A632="","",$C632&amp;"/"&amp;$H632)</f>
        <v/>
      </c>
      <c r="J632" s="35" t="str">
        <f aca="false">IF($A632="","",IF($C632&lt;=IFERROR(INDEX(CM_PAGASANTES,MATCH($B632,CM_ID,0)),0),"SIM","NAO"))</f>
        <v/>
      </c>
      <c r="K632" s="36" t="n">
        <f aca="false">IF($A632="",0,SUMIFS(L_Valor,L_ParcID,$A632,L_Status,"REALIZADO"))</f>
        <v>0</v>
      </c>
      <c r="L632" s="38" t="str">
        <f aca="false">IF($A632="","",IFERROR(INDEX(L_Data,MATCH(1,INDEX((L_ParcID=$A632)*(L_Status="REALIZADO"),0),0)),""))</f>
        <v/>
      </c>
      <c r="M632" s="34" t="n">
        <f aca="false">IF($A632="",0,COUNTIFS(L_ParcID,$A632,L_Status,"REALIZADO"))</f>
        <v>0</v>
      </c>
      <c r="N632" s="34" t="n">
        <f aca="false">IF($A632="",0,COUNTIFS(L_ParcID,$A632,L_Status,"PROJETADO"))</f>
        <v>0</v>
      </c>
      <c r="O632" s="35" t="str">
        <f aca="false">IF($A632="","",IF($J632="SIM","PAGA",IF($M632&gt;0,"PAGA",IF($D632&lt;CFG_HOJE,"ATRASADA",IF($D632&lt;=EOMONTH(CFG_HOJE,0),"ABERTA","PROJETADA")))))</f>
        <v/>
      </c>
      <c r="P632" s="34" t="n">
        <f aca="false">IF($O632="ATRASADA",CFG_HOJE-$D632,0)</f>
        <v>0</v>
      </c>
      <c r="Q632" s="36" t="n">
        <f aca="false">IF($A632="",0,IF(AND($O632="PAGA",$J632="NAO"),$K632-$E632,0))</f>
        <v>0</v>
      </c>
    </row>
    <row r="633" customFormat="false" ht="15" hidden="false" customHeight="false" outlineLevel="0" collapsed="false">
      <c r="A633" s="30" t="str">
        <f aca="false">IF($B633="","","PAR-"&amp;TEXT(ROW()-4,"000000"))</f>
        <v/>
      </c>
      <c r="B633" s="32"/>
      <c r="C633" s="37"/>
      <c r="D633" s="31"/>
      <c r="E633" s="33"/>
      <c r="F633" s="32"/>
      <c r="G633" s="35" t="str">
        <f aca="false">IF($B633="","",IFERROR(INDEX(CM_NOME,MATCH($B633,CM_ID,0)),"?"))</f>
        <v/>
      </c>
      <c r="H633" s="34" t="str">
        <f aca="false">IF($B633="","",IFERROR(INDEX(CM_QTD,MATCH($B633,CM_ID,0)),""))</f>
        <v/>
      </c>
      <c r="I633" s="35" t="str">
        <f aca="false">IF($A633="","",$C633&amp;"/"&amp;$H633)</f>
        <v/>
      </c>
      <c r="J633" s="35" t="str">
        <f aca="false">IF($A633="","",IF($C633&lt;=IFERROR(INDEX(CM_PAGASANTES,MATCH($B633,CM_ID,0)),0),"SIM","NAO"))</f>
        <v/>
      </c>
      <c r="K633" s="36" t="n">
        <f aca="false">IF($A633="",0,SUMIFS(L_Valor,L_ParcID,$A633,L_Status,"REALIZADO"))</f>
        <v>0</v>
      </c>
      <c r="L633" s="38" t="str">
        <f aca="false">IF($A633="","",IFERROR(INDEX(L_Data,MATCH(1,INDEX((L_ParcID=$A633)*(L_Status="REALIZADO"),0),0)),""))</f>
        <v/>
      </c>
      <c r="M633" s="34" t="n">
        <f aca="false">IF($A633="",0,COUNTIFS(L_ParcID,$A633,L_Status,"REALIZADO"))</f>
        <v>0</v>
      </c>
      <c r="N633" s="34" t="n">
        <f aca="false">IF($A633="",0,COUNTIFS(L_ParcID,$A633,L_Status,"PROJETADO"))</f>
        <v>0</v>
      </c>
      <c r="O633" s="35" t="str">
        <f aca="false">IF($A633="","",IF($J633="SIM","PAGA",IF($M633&gt;0,"PAGA",IF($D633&lt;CFG_HOJE,"ATRASADA",IF($D633&lt;=EOMONTH(CFG_HOJE,0),"ABERTA","PROJETADA")))))</f>
        <v/>
      </c>
      <c r="P633" s="34" t="n">
        <f aca="false">IF($O633="ATRASADA",CFG_HOJE-$D633,0)</f>
        <v>0</v>
      </c>
      <c r="Q633" s="36" t="n">
        <f aca="false">IF($A633="",0,IF(AND($O633="PAGA",$J633="NAO"),$K633-$E633,0))</f>
        <v>0</v>
      </c>
    </row>
    <row r="634" customFormat="false" ht="15" hidden="false" customHeight="false" outlineLevel="0" collapsed="false">
      <c r="A634" s="30" t="str">
        <f aca="false">IF($B634="","","PAR-"&amp;TEXT(ROW()-4,"000000"))</f>
        <v/>
      </c>
      <c r="B634" s="32"/>
      <c r="C634" s="37"/>
      <c r="D634" s="31"/>
      <c r="E634" s="33"/>
      <c r="F634" s="32"/>
      <c r="G634" s="35" t="str">
        <f aca="false">IF($B634="","",IFERROR(INDEX(CM_NOME,MATCH($B634,CM_ID,0)),"?"))</f>
        <v/>
      </c>
      <c r="H634" s="34" t="str">
        <f aca="false">IF($B634="","",IFERROR(INDEX(CM_QTD,MATCH($B634,CM_ID,0)),""))</f>
        <v/>
      </c>
      <c r="I634" s="35" t="str">
        <f aca="false">IF($A634="","",$C634&amp;"/"&amp;$H634)</f>
        <v/>
      </c>
      <c r="J634" s="35" t="str">
        <f aca="false">IF($A634="","",IF($C634&lt;=IFERROR(INDEX(CM_PAGASANTES,MATCH($B634,CM_ID,0)),0),"SIM","NAO"))</f>
        <v/>
      </c>
      <c r="K634" s="36" t="n">
        <f aca="false">IF($A634="",0,SUMIFS(L_Valor,L_ParcID,$A634,L_Status,"REALIZADO"))</f>
        <v>0</v>
      </c>
      <c r="L634" s="38" t="str">
        <f aca="false">IF($A634="","",IFERROR(INDEX(L_Data,MATCH(1,INDEX((L_ParcID=$A634)*(L_Status="REALIZADO"),0),0)),""))</f>
        <v/>
      </c>
      <c r="M634" s="34" t="n">
        <f aca="false">IF($A634="",0,COUNTIFS(L_ParcID,$A634,L_Status,"REALIZADO"))</f>
        <v>0</v>
      </c>
      <c r="N634" s="34" t="n">
        <f aca="false">IF($A634="",0,COUNTIFS(L_ParcID,$A634,L_Status,"PROJETADO"))</f>
        <v>0</v>
      </c>
      <c r="O634" s="35" t="str">
        <f aca="false">IF($A634="","",IF($J634="SIM","PAGA",IF($M634&gt;0,"PAGA",IF($D634&lt;CFG_HOJE,"ATRASADA",IF($D634&lt;=EOMONTH(CFG_HOJE,0),"ABERTA","PROJETADA")))))</f>
        <v/>
      </c>
      <c r="P634" s="34" t="n">
        <f aca="false">IF($O634="ATRASADA",CFG_HOJE-$D634,0)</f>
        <v>0</v>
      </c>
      <c r="Q634" s="36" t="n">
        <f aca="false">IF($A634="",0,IF(AND($O634="PAGA",$J634="NAO"),$K634-$E634,0))</f>
        <v>0</v>
      </c>
    </row>
    <row r="635" customFormat="false" ht="15" hidden="false" customHeight="false" outlineLevel="0" collapsed="false">
      <c r="A635" s="30" t="str">
        <f aca="false">IF($B635="","","PAR-"&amp;TEXT(ROW()-4,"000000"))</f>
        <v/>
      </c>
      <c r="B635" s="32"/>
      <c r="C635" s="37"/>
      <c r="D635" s="31"/>
      <c r="E635" s="33"/>
      <c r="F635" s="32"/>
      <c r="G635" s="35" t="str">
        <f aca="false">IF($B635="","",IFERROR(INDEX(CM_NOME,MATCH($B635,CM_ID,0)),"?"))</f>
        <v/>
      </c>
      <c r="H635" s="34" t="str">
        <f aca="false">IF($B635="","",IFERROR(INDEX(CM_QTD,MATCH($B635,CM_ID,0)),""))</f>
        <v/>
      </c>
      <c r="I635" s="35" t="str">
        <f aca="false">IF($A635="","",$C635&amp;"/"&amp;$H635)</f>
        <v/>
      </c>
      <c r="J635" s="35" t="str">
        <f aca="false">IF($A635="","",IF($C635&lt;=IFERROR(INDEX(CM_PAGASANTES,MATCH($B635,CM_ID,0)),0),"SIM","NAO"))</f>
        <v/>
      </c>
      <c r="K635" s="36" t="n">
        <f aca="false">IF($A635="",0,SUMIFS(L_Valor,L_ParcID,$A635,L_Status,"REALIZADO"))</f>
        <v>0</v>
      </c>
      <c r="L635" s="38" t="str">
        <f aca="false">IF($A635="","",IFERROR(INDEX(L_Data,MATCH(1,INDEX((L_ParcID=$A635)*(L_Status="REALIZADO"),0),0)),""))</f>
        <v/>
      </c>
      <c r="M635" s="34" t="n">
        <f aca="false">IF($A635="",0,COUNTIFS(L_ParcID,$A635,L_Status,"REALIZADO"))</f>
        <v>0</v>
      </c>
      <c r="N635" s="34" t="n">
        <f aca="false">IF($A635="",0,COUNTIFS(L_ParcID,$A635,L_Status,"PROJETADO"))</f>
        <v>0</v>
      </c>
      <c r="O635" s="35" t="str">
        <f aca="false">IF($A635="","",IF($J635="SIM","PAGA",IF($M635&gt;0,"PAGA",IF($D635&lt;CFG_HOJE,"ATRASADA",IF($D635&lt;=EOMONTH(CFG_HOJE,0),"ABERTA","PROJETADA")))))</f>
        <v/>
      </c>
      <c r="P635" s="34" t="n">
        <f aca="false">IF($O635="ATRASADA",CFG_HOJE-$D635,0)</f>
        <v>0</v>
      </c>
      <c r="Q635" s="36" t="n">
        <f aca="false">IF($A635="",0,IF(AND($O635="PAGA",$J635="NAO"),$K635-$E635,0))</f>
        <v>0</v>
      </c>
    </row>
    <row r="636" customFormat="false" ht="15" hidden="false" customHeight="false" outlineLevel="0" collapsed="false">
      <c r="A636" s="30" t="str">
        <f aca="false">IF($B636="","","PAR-"&amp;TEXT(ROW()-4,"000000"))</f>
        <v/>
      </c>
      <c r="B636" s="32"/>
      <c r="C636" s="37"/>
      <c r="D636" s="31"/>
      <c r="E636" s="33"/>
      <c r="F636" s="32"/>
      <c r="G636" s="35" t="str">
        <f aca="false">IF($B636="","",IFERROR(INDEX(CM_NOME,MATCH($B636,CM_ID,0)),"?"))</f>
        <v/>
      </c>
      <c r="H636" s="34" t="str">
        <f aca="false">IF($B636="","",IFERROR(INDEX(CM_QTD,MATCH($B636,CM_ID,0)),""))</f>
        <v/>
      </c>
      <c r="I636" s="35" t="str">
        <f aca="false">IF($A636="","",$C636&amp;"/"&amp;$H636)</f>
        <v/>
      </c>
      <c r="J636" s="35" t="str">
        <f aca="false">IF($A636="","",IF($C636&lt;=IFERROR(INDEX(CM_PAGASANTES,MATCH($B636,CM_ID,0)),0),"SIM","NAO"))</f>
        <v/>
      </c>
      <c r="K636" s="36" t="n">
        <f aca="false">IF($A636="",0,SUMIFS(L_Valor,L_ParcID,$A636,L_Status,"REALIZADO"))</f>
        <v>0</v>
      </c>
      <c r="L636" s="38" t="str">
        <f aca="false">IF($A636="","",IFERROR(INDEX(L_Data,MATCH(1,INDEX((L_ParcID=$A636)*(L_Status="REALIZADO"),0),0)),""))</f>
        <v/>
      </c>
      <c r="M636" s="34" t="n">
        <f aca="false">IF($A636="",0,COUNTIFS(L_ParcID,$A636,L_Status,"REALIZADO"))</f>
        <v>0</v>
      </c>
      <c r="N636" s="34" t="n">
        <f aca="false">IF($A636="",0,COUNTIFS(L_ParcID,$A636,L_Status,"PROJETADO"))</f>
        <v>0</v>
      </c>
      <c r="O636" s="35" t="str">
        <f aca="false">IF($A636="","",IF($J636="SIM","PAGA",IF($M636&gt;0,"PAGA",IF($D636&lt;CFG_HOJE,"ATRASADA",IF($D636&lt;=EOMONTH(CFG_HOJE,0),"ABERTA","PROJETADA")))))</f>
        <v/>
      </c>
      <c r="P636" s="34" t="n">
        <f aca="false">IF($O636="ATRASADA",CFG_HOJE-$D636,0)</f>
        <v>0</v>
      </c>
      <c r="Q636" s="36" t="n">
        <f aca="false">IF($A636="",0,IF(AND($O636="PAGA",$J636="NAO"),$K636-$E636,0))</f>
        <v>0</v>
      </c>
    </row>
    <row r="637" customFormat="false" ht="15" hidden="false" customHeight="false" outlineLevel="0" collapsed="false">
      <c r="A637" s="30" t="str">
        <f aca="false">IF($B637="","","PAR-"&amp;TEXT(ROW()-4,"000000"))</f>
        <v/>
      </c>
      <c r="B637" s="32"/>
      <c r="C637" s="37"/>
      <c r="D637" s="31"/>
      <c r="E637" s="33"/>
      <c r="F637" s="32"/>
      <c r="G637" s="35" t="str">
        <f aca="false">IF($B637="","",IFERROR(INDEX(CM_NOME,MATCH($B637,CM_ID,0)),"?"))</f>
        <v/>
      </c>
      <c r="H637" s="34" t="str">
        <f aca="false">IF($B637="","",IFERROR(INDEX(CM_QTD,MATCH($B637,CM_ID,0)),""))</f>
        <v/>
      </c>
      <c r="I637" s="35" t="str">
        <f aca="false">IF($A637="","",$C637&amp;"/"&amp;$H637)</f>
        <v/>
      </c>
      <c r="J637" s="35" t="str">
        <f aca="false">IF($A637="","",IF($C637&lt;=IFERROR(INDEX(CM_PAGASANTES,MATCH($B637,CM_ID,0)),0),"SIM","NAO"))</f>
        <v/>
      </c>
      <c r="K637" s="36" t="n">
        <f aca="false">IF($A637="",0,SUMIFS(L_Valor,L_ParcID,$A637,L_Status,"REALIZADO"))</f>
        <v>0</v>
      </c>
      <c r="L637" s="38" t="str">
        <f aca="false">IF($A637="","",IFERROR(INDEX(L_Data,MATCH(1,INDEX((L_ParcID=$A637)*(L_Status="REALIZADO"),0),0)),""))</f>
        <v/>
      </c>
      <c r="M637" s="34" t="n">
        <f aca="false">IF($A637="",0,COUNTIFS(L_ParcID,$A637,L_Status,"REALIZADO"))</f>
        <v>0</v>
      </c>
      <c r="N637" s="34" t="n">
        <f aca="false">IF($A637="",0,COUNTIFS(L_ParcID,$A637,L_Status,"PROJETADO"))</f>
        <v>0</v>
      </c>
      <c r="O637" s="35" t="str">
        <f aca="false">IF($A637="","",IF($J637="SIM","PAGA",IF($M637&gt;0,"PAGA",IF($D637&lt;CFG_HOJE,"ATRASADA",IF($D637&lt;=EOMONTH(CFG_HOJE,0),"ABERTA","PROJETADA")))))</f>
        <v/>
      </c>
      <c r="P637" s="34" t="n">
        <f aca="false">IF($O637="ATRASADA",CFG_HOJE-$D637,0)</f>
        <v>0</v>
      </c>
      <c r="Q637" s="36" t="n">
        <f aca="false">IF($A637="",0,IF(AND($O637="PAGA",$J637="NAO"),$K637-$E637,0))</f>
        <v>0</v>
      </c>
    </row>
    <row r="638" customFormat="false" ht="15" hidden="false" customHeight="false" outlineLevel="0" collapsed="false">
      <c r="A638" s="30" t="str">
        <f aca="false">IF($B638="","","PAR-"&amp;TEXT(ROW()-4,"000000"))</f>
        <v/>
      </c>
      <c r="B638" s="32"/>
      <c r="C638" s="37"/>
      <c r="D638" s="31"/>
      <c r="E638" s="33"/>
      <c r="F638" s="32"/>
      <c r="G638" s="35" t="str">
        <f aca="false">IF($B638="","",IFERROR(INDEX(CM_NOME,MATCH($B638,CM_ID,0)),"?"))</f>
        <v/>
      </c>
      <c r="H638" s="34" t="str">
        <f aca="false">IF($B638="","",IFERROR(INDEX(CM_QTD,MATCH($B638,CM_ID,0)),""))</f>
        <v/>
      </c>
      <c r="I638" s="35" t="str">
        <f aca="false">IF($A638="","",$C638&amp;"/"&amp;$H638)</f>
        <v/>
      </c>
      <c r="J638" s="35" t="str">
        <f aca="false">IF($A638="","",IF($C638&lt;=IFERROR(INDEX(CM_PAGASANTES,MATCH($B638,CM_ID,0)),0),"SIM","NAO"))</f>
        <v/>
      </c>
      <c r="K638" s="36" t="n">
        <f aca="false">IF($A638="",0,SUMIFS(L_Valor,L_ParcID,$A638,L_Status,"REALIZADO"))</f>
        <v>0</v>
      </c>
      <c r="L638" s="38" t="str">
        <f aca="false">IF($A638="","",IFERROR(INDEX(L_Data,MATCH(1,INDEX((L_ParcID=$A638)*(L_Status="REALIZADO"),0),0)),""))</f>
        <v/>
      </c>
      <c r="M638" s="34" t="n">
        <f aca="false">IF($A638="",0,COUNTIFS(L_ParcID,$A638,L_Status,"REALIZADO"))</f>
        <v>0</v>
      </c>
      <c r="N638" s="34" t="n">
        <f aca="false">IF($A638="",0,COUNTIFS(L_ParcID,$A638,L_Status,"PROJETADO"))</f>
        <v>0</v>
      </c>
      <c r="O638" s="35" t="str">
        <f aca="false">IF($A638="","",IF($J638="SIM","PAGA",IF($M638&gt;0,"PAGA",IF($D638&lt;CFG_HOJE,"ATRASADA",IF($D638&lt;=EOMONTH(CFG_HOJE,0),"ABERTA","PROJETADA")))))</f>
        <v/>
      </c>
      <c r="P638" s="34" t="n">
        <f aca="false">IF($O638="ATRASADA",CFG_HOJE-$D638,0)</f>
        <v>0</v>
      </c>
      <c r="Q638" s="36" t="n">
        <f aca="false">IF($A638="",0,IF(AND($O638="PAGA",$J638="NAO"),$K638-$E638,0))</f>
        <v>0</v>
      </c>
    </row>
    <row r="639" customFormat="false" ht="15" hidden="false" customHeight="false" outlineLevel="0" collapsed="false">
      <c r="A639" s="30" t="str">
        <f aca="false">IF($B639="","","PAR-"&amp;TEXT(ROW()-4,"000000"))</f>
        <v/>
      </c>
      <c r="B639" s="32"/>
      <c r="C639" s="37"/>
      <c r="D639" s="31"/>
      <c r="E639" s="33"/>
      <c r="F639" s="32"/>
      <c r="G639" s="35" t="str">
        <f aca="false">IF($B639="","",IFERROR(INDEX(CM_NOME,MATCH($B639,CM_ID,0)),"?"))</f>
        <v/>
      </c>
      <c r="H639" s="34" t="str">
        <f aca="false">IF($B639="","",IFERROR(INDEX(CM_QTD,MATCH($B639,CM_ID,0)),""))</f>
        <v/>
      </c>
      <c r="I639" s="35" t="str">
        <f aca="false">IF($A639="","",$C639&amp;"/"&amp;$H639)</f>
        <v/>
      </c>
      <c r="J639" s="35" t="str">
        <f aca="false">IF($A639="","",IF($C639&lt;=IFERROR(INDEX(CM_PAGASANTES,MATCH($B639,CM_ID,0)),0),"SIM","NAO"))</f>
        <v/>
      </c>
      <c r="K639" s="36" t="n">
        <f aca="false">IF($A639="",0,SUMIFS(L_Valor,L_ParcID,$A639,L_Status,"REALIZADO"))</f>
        <v>0</v>
      </c>
      <c r="L639" s="38" t="str">
        <f aca="false">IF($A639="","",IFERROR(INDEX(L_Data,MATCH(1,INDEX((L_ParcID=$A639)*(L_Status="REALIZADO"),0),0)),""))</f>
        <v/>
      </c>
      <c r="M639" s="34" t="n">
        <f aca="false">IF($A639="",0,COUNTIFS(L_ParcID,$A639,L_Status,"REALIZADO"))</f>
        <v>0</v>
      </c>
      <c r="N639" s="34" t="n">
        <f aca="false">IF($A639="",0,COUNTIFS(L_ParcID,$A639,L_Status,"PROJETADO"))</f>
        <v>0</v>
      </c>
      <c r="O639" s="35" t="str">
        <f aca="false">IF($A639="","",IF($J639="SIM","PAGA",IF($M639&gt;0,"PAGA",IF($D639&lt;CFG_HOJE,"ATRASADA",IF($D639&lt;=EOMONTH(CFG_HOJE,0),"ABERTA","PROJETADA")))))</f>
        <v/>
      </c>
      <c r="P639" s="34" t="n">
        <f aca="false">IF($O639="ATRASADA",CFG_HOJE-$D639,0)</f>
        <v>0</v>
      </c>
      <c r="Q639" s="36" t="n">
        <f aca="false">IF($A639="",0,IF(AND($O639="PAGA",$J639="NAO"),$K639-$E639,0))</f>
        <v>0</v>
      </c>
    </row>
    <row r="640" customFormat="false" ht="15" hidden="false" customHeight="false" outlineLevel="0" collapsed="false">
      <c r="A640" s="30" t="str">
        <f aca="false">IF($B640="","","PAR-"&amp;TEXT(ROW()-4,"000000"))</f>
        <v/>
      </c>
      <c r="B640" s="32"/>
      <c r="C640" s="37"/>
      <c r="D640" s="31"/>
      <c r="E640" s="33"/>
      <c r="F640" s="32"/>
      <c r="G640" s="35" t="str">
        <f aca="false">IF($B640="","",IFERROR(INDEX(CM_NOME,MATCH($B640,CM_ID,0)),"?"))</f>
        <v/>
      </c>
      <c r="H640" s="34" t="str">
        <f aca="false">IF($B640="","",IFERROR(INDEX(CM_QTD,MATCH($B640,CM_ID,0)),""))</f>
        <v/>
      </c>
      <c r="I640" s="35" t="str">
        <f aca="false">IF($A640="","",$C640&amp;"/"&amp;$H640)</f>
        <v/>
      </c>
      <c r="J640" s="35" t="str">
        <f aca="false">IF($A640="","",IF($C640&lt;=IFERROR(INDEX(CM_PAGASANTES,MATCH($B640,CM_ID,0)),0),"SIM","NAO"))</f>
        <v/>
      </c>
      <c r="K640" s="36" t="n">
        <f aca="false">IF($A640="",0,SUMIFS(L_Valor,L_ParcID,$A640,L_Status,"REALIZADO"))</f>
        <v>0</v>
      </c>
      <c r="L640" s="38" t="str">
        <f aca="false">IF($A640="","",IFERROR(INDEX(L_Data,MATCH(1,INDEX((L_ParcID=$A640)*(L_Status="REALIZADO"),0),0)),""))</f>
        <v/>
      </c>
      <c r="M640" s="34" t="n">
        <f aca="false">IF($A640="",0,COUNTIFS(L_ParcID,$A640,L_Status,"REALIZADO"))</f>
        <v>0</v>
      </c>
      <c r="N640" s="34" t="n">
        <f aca="false">IF($A640="",0,COUNTIFS(L_ParcID,$A640,L_Status,"PROJETADO"))</f>
        <v>0</v>
      </c>
      <c r="O640" s="35" t="str">
        <f aca="false">IF($A640="","",IF($J640="SIM","PAGA",IF($M640&gt;0,"PAGA",IF($D640&lt;CFG_HOJE,"ATRASADA",IF($D640&lt;=EOMONTH(CFG_HOJE,0),"ABERTA","PROJETADA")))))</f>
        <v/>
      </c>
      <c r="P640" s="34" t="n">
        <f aca="false">IF($O640="ATRASADA",CFG_HOJE-$D640,0)</f>
        <v>0</v>
      </c>
      <c r="Q640" s="36" t="n">
        <f aca="false">IF($A640="",0,IF(AND($O640="PAGA",$J640="NAO"),$K640-$E640,0))</f>
        <v>0</v>
      </c>
    </row>
    <row r="641" customFormat="false" ht="15" hidden="false" customHeight="false" outlineLevel="0" collapsed="false">
      <c r="A641" s="30" t="str">
        <f aca="false">IF($B641="","","PAR-"&amp;TEXT(ROW()-4,"000000"))</f>
        <v/>
      </c>
      <c r="B641" s="32"/>
      <c r="C641" s="37"/>
      <c r="D641" s="31"/>
      <c r="E641" s="33"/>
      <c r="F641" s="32"/>
      <c r="G641" s="35" t="str">
        <f aca="false">IF($B641="","",IFERROR(INDEX(CM_NOME,MATCH($B641,CM_ID,0)),"?"))</f>
        <v/>
      </c>
      <c r="H641" s="34" t="str">
        <f aca="false">IF($B641="","",IFERROR(INDEX(CM_QTD,MATCH($B641,CM_ID,0)),""))</f>
        <v/>
      </c>
      <c r="I641" s="35" t="str">
        <f aca="false">IF($A641="","",$C641&amp;"/"&amp;$H641)</f>
        <v/>
      </c>
      <c r="J641" s="35" t="str">
        <f aca="false">IF($A641="","",IF($C641&lt;=IFERROR(INDEX(CM_PAGASANTES,MATCH($B641,CM_ID,0)),0),"SIM","NAO"))</f>
        <v/>
      </c>
      <c r="K641" s="36" t="n">
        <f aca="false">IF($A641="",0,SUMIFS(L_Valor,L_ParcID,$A641,L_Status,"REALIZADO"))</f>
        <v>0</v>
      </c>
      <c r="L641" s="38" t="str">
        <f aca="false">IF($A641="","",IFERROR(INDEX(L_Data,MATCH(1,INDEX((L_ParcID=$A641)*(L_Status="REALIZADO"),0),0)),""))</f>
        <v/>
      </c>
      <c r="M641" s="34" t="n">
        <f aca="false">IF($A641="",0,COUNTIFS(L_ParcID,$A641,L_Status,"REALIZADO"))</f>
        <v>0</v>
      </c>
      <c r="N641" s="34" t="n">
        <f aca="false">IF($A641="",0,COUNTIFS(L_ParcID,$A641,L_Status,"PROJETADO"))</f>
        <v>0</v>
      </c>
      <c r="O641" s="35" t="str">
        <f aca="false">IF($A641="","",IF($J641="SIM","PAGA",IF($M641&gt;0,"PAGA",IF($D641&lt;CFG_HOJE,"ATRASADA",IF($D641&lt;=EOMONTH(CFG_HOJE,0),"ABERTA","PROJETADA")))))</f>
        <v/>
      </c>
      <c r="P641" s="34" t="n">
        <f aca="false">IF($O641="ATRASADA",CFG_HOJE-$D641,0)</f>
        <v>0</v>
      </c>
      <c r="Q641" s="36" t="n">
        <f aca="false">IF($A641="",0,IF(AND($O641="PAGA",$J641="NAO"),$K641-$E641,0))</f>
        <v>0</v>
      </c>
    </row>
    <row r="642" customFormat="false" ht="15" hidden="false" customHeight="false" outlineLevel="0" collapsed="false">
      <c r="A642" s="30" t="str">
        <f aca="false">IF($B642="","","PAR-"&amp;TEXT(ROW()-4,"000000"))</f>
        <v/>
      </c>
      <c r="B642" s="32"/>
      <c r="C642" s="37"/>
      <c r="D642" s="31"/>
      <c r="E642" s="33"/>
      <c r="F642" s="32"/>
      <c r="G642" s="35" t="str">
        <f aca="false">IF($B642="","",IFERROR(INDEX(CM_NOME,MATCH($B642,CM_ID,0)),"?"))</f>
        <v/>
      </c>
      <c r="H642" s="34" t="str">
        <f aca="false">IF($B642="","",IFERROR(INDEX(CM_QTD,MATCH($B642,CM_ID,0)),""))</f>
        <v/>
      </c>
      <c r="I642" s="35" t="str">
        <f aca="false">IF($A642="","",$C642&amp;"/"&amp;$H642)</f>
        <v/>
      </c>
      <c r="J642" s="35" t="str">
        <f aca="false">IF($A642="","",IF($C642&lt;=IFERROR(INDEX(CM_PAGASANTES,MATCH($B642,CM_ID,0)),0),"SIM","NAO"))</f>
        <v/>
      </c>
      <c r="K642" s="36" t="n">
        <f aca="false">IF($A642="",0,SUMIFS(L_Valor,L_ParcID,$A642,L_Status,"REALIZADO"))</f>
        <v>0</v>
      </c>
      <c r="L642" s="38" t="str">
        <f aca="false">IF($A642="","",IFERROR(INDEX(L_Data,MATCH(1,INDEX((L_ParcID=$A642)*(L_Status="REALIZADO"),0),0)),""))</f>
        <v/>
      </c>
      <c r="M642" s="34" t="n">
        <f aca="false">IF($A642="",0,COUNTIFS(L_ParcID,$A642,L_Status,"REALIZADO"))</f>
        <v>0</v>
      </c>
      <c r="N642" s="34" t="n">
        <f aca="false">IF($A642="",0,COUNTIFS(L_ParcID,$A642,L_Status,"PROJETADO"))</f>
        <v>0</v>
      </c>
      <c r="O642" s="35" t="str">
        <f aca="false">IF($A642="","",IF($J642="SIM","PAGA",IF($M642&gt;0,"PAGA",IF($D642&lt;CFG_HOJE,"ATRASADA",IF($D642&lt;=EOMONTH(CFG_HOJE,0),"ABERTA","PROJETADA")))))</f>
        <v/>
      </c>
      <c r="P642" s="34" t="n">
        <f aca="false">IF($O642="ATRASADA",CFG_HOJE-$D642,0)</f>
        <v>0</v>
      </c>
      <c r="Q642" s="36" t="n">
        <f aca="false">IF($A642="",0,IF(AND($O642="PAGA",$J642="NAO"),$K642-$E642,0))</f>
        <v>0</v>
      </c>
    </row>
    <row r="643" customFormat="false" ht="15" hidden="false" customHeight="false" outlineLevel="0" collapsed="false">
      <c r="A643" s="30" t="str">
        <f aca="false">IF($B643="","","PAR-"&amp;TEXT(ROW()-4,"000000"))</f>
        <v/>
      </c>
      <c r="B643" s="32"/>
      <c r="C643" s="37"/>
      <c r="D643" s="31"/>
      <c r="E643" s="33"/>
      <c r="F643" s="32"/>
      <c r="G643" s="35" t="str">
        <f aca="false">IF($B643="","",IFERROR(INDEX(CM_NOME,MATCH($B643,CM_ID,0)),"?"))</f>
        <v/>
      </c>
      <c r="H643" s="34" t="str">
        <f aca="false">IF($B643="","",IFERROR(INDEX(CM_QTD,MATCH($B643,CM_ID,0)),""))</f>
        <v/>
      </c>
      <c r="I643" s="35" t="str">
        <f aca="false">IF($A643="","",$C643&amp;"/"&amp;$H643)</f>
        <v/>
      </c>
      <c r="J643" s="35" t="str">
        <f aca="false">IF($A643="","",IF($C643&lt;=IFERROR(INDEX(CM_PAGASANTES,MATCH($B643,CM_ID,0)),0),"SIM","NAO"))</f>
        <v/>
      </c>
      <c r="K643" s="36" t="n">
        <f aca="false">IF($A643="",0,SUMIFS(L_Valor,L_ParcID,$A643,L_Status,"REALIZADO"))</f>
        <v>0</v>
      </c>
      <c r="L643" s="38" t="str">
        <f aca="false">IF($A643="","",IFERROR(INDEX(L_Data,MATCH(1,INDEX((L_ParcID=$A643)*(L_Status="REALIZADO"),0),0)),""))</f>
        <v/>
      </c>
      <c r="M643" s="34" t="n">
        <f aca="false">IF($A643="",0,COUNTIFS(L_ParcID,$A643,L_Status,"REALIZADO"))</f>
        <v>0</v>
      </c>
      <c r="N643" s="34" t="n">
        <f aca="false">IF($A643="",0,COUNTIFS(L_ParcID,$A643,L_Status,"PROJETADO"))</f>
        <v>0</v>
      </c>
      <c r="O643" s="35" t="str">
        <f aca="false">IF($A643="","",IF($J643="SIM","PAGA",IF($M643&gt;0,"PAGA",IF($D643&lt;CFG_HOJE,"ATRASADA",IF($D643&lt;=EOMONTH(CFG_HOJE,0),"ABERTA","PROJETADA")))))</f>
        <v/>
      </c>
      <c r="P643" s="34" t="n">
        <f aca="false">IF($O643="ATRASADA",CFG_HOJE-$D643,0)</f>
        <v>0</v>
      </c>
      <c r="Q643" s="36" t="n">
        <f aca="false">IF($A643="",0,IF(AND($O643="PAGA",$J643="NAO"),$K643-$E643,0))</f>
        <v>0</v>
      </c>
    </row>
    <row r="644" customFormat="false" ht="15" hidden="false" customHeight="false" outlineLevel="0" collapsed="false">
      <c r="A644" s="30" t="str">
        <f aca="false">IF($B644="","","PAR-"&amp;TEXT(ROW()-4,"000000"))</f>
        <v/>
      </c>
      <c r="B644" s="32"/>
      <c r="C644" s="37"/>
      <c r="D644" s="31"/>
      <c r="E644" s="33"/>
      <c r="F644" s="32"/>
      <c r="G644" s="35" t="str">
        <f aca="false">IF($B644="","",IFERROR(INDEX(CM_NOME,MATCH($B644,CM_ID,0)),"?"))</f>
        <v/>
      </c>
      <c r="H644" s="34" t="str">
        <f aca="false">IF($B644="","",IFERROR(INDEX(CM_QTD,MATCH($B644,CM_ID,0)),""))</f>
        <v/>
      </c>
      <c r="I644" s="35" t="str">
        <f aca="false">IF($A644="","",$C644&amp;"/"&amp;$H644)</f>
        <v/>
      </c>
      <c r="J644" s="35" t="str">
        <f aca="false">IF($A644="","",IF($C644&lt;=IFERROR(INDEX(CM_PAGASANTES,MATCH($B644,CM_ID,0)),0),"SIM","NAO"))</f>
        <v/>
      </c>
      <c r="K644" s="36" t="n">
        <f aca="false">IF($A644="",0,SUMIFS(L_Valor,L_ParcID,$A644,L_Status,"REALIZADO"))</f>
        <v>0</v>
      </c>
      <c r="L644" s="38" t="str">
        <f aca="false">IF($A644="","",IFERROR(INDEX(L_Data,MATCH(1,INDEX((L_ParcID=$A644)*(L_Status="REALIZADO"),0),0)),""))</f>
        <v/>
      </c>
      <c r="M644" s="34" t="n">
        <f aca="false">IF($A644="",0,COUNTIFS(L_ParcID,$A644,L_Status,"REALIZADO"))</f>
        <v>0</v>
      </c>
      <c r="N644" s="34" t="n">
        <f aca="false">IF($A644="",0,COUNTIFS(L_ParcID,$A644,L_Status,"PROJETADO"))</f>
        <v>0</v>
      </c>
      <c r="O644" s="35" t="str">
        <f aca="false">IF($A644="","",IF($J644="SIM","PAGA",IF($M644&gt;0,"PAGA",IF($D644&lt;CFG_HOJE,"ATRASADA",IF($D644&lt;=EOMONTH(CFG_HOJE,0),"ABERTA","PROJETADA")))))</f>
        <v/>
      </c>
      <c r="P644" s="34" t="n">
        <f aca="false">IF($O644="ATRASADA",CFG_HOJE-$D644,0)</f>
        <v>0</v>
      </c>
      <c r="Q644" s="36" t="n">
        <f aca="false">IF($A644="",0,IF(AND($O644="PAGA",$J644="NAO"),$K644-$E644,0))</f>
        <v>0</v>
      </c>
    </row>
    <row r="645" customFormat="false" ht="15" hidden="false" customHeight="false" outlineLevel="0" collapsed="false">
      <c r="A645" s="30" t="str">
        <f aca="false">IF($B645="","","PAR-"&amp;TEXT(ROW()-4,"000000"))</f>
        <v/>
      </c>
      <c r="B645" s="32"/>
      <c r="C645" s="37"/>
      <c r="D645" s="31"/>
      <c r="E645" s="33"/>
      <c r="F645" s="32"/>
      <c r="G645" s="35" t="str">
        <f aca="false">IF($B645="","",IFERROR(INDEX(CM_NOME,MATCH($B645,CM_ID,0)),"?"))</f>
        <v/>
      </c>
      <c r="H645" s="34" t="str">
        <f aca="false">IF($B645="","",IFERROR(INDEX(CM_QTD,MATCH($B645,CM_ID,0)),""))</f>
        <v/>
      </c>
      <c r="I645" s="35" t="str">
        <f aca="false">IF($A645="","",$C645&amp;"/"&amp;$H645)</f>
        <v/>
      </c>
      <c r="J645" s="35" t="str">
        <f aca="false">IF($A645="","",IF($C645&lt;=IFERROR(INDEX(CM_PAGASANTES,MATCH($B645,CM_ID,0)),0),"SIM","NAO"))</f>
        <v/>
      </c>
      <c r="K645" s="36" t="n">
        <f aca="false">IF($A645="",0,SUMIFS(L_Valor,L_ParcID,$A645,L_Status,"REALIZADO"))</f>
        <v>0</v>
      </c>
      <c r="L645" s="38" t="str">
        <f aca="false">IF($A645="","",IFERROR(INDEX(L_Data,MATCH(1,INDEX((L_ParcID=$A645)*(L_Status="REALIZADO"),0),0)),""))</f>
        <v/>
      </c>
      <c r="M645" s="34" t="n">
        <f aca="false">IF($A645="",0,COUNTIFS(L_ParcID,$A645,L_Status,"REALIZADO"))</f>
        <v>0</v>
      </c>
      <c r="N645" s="34" t="n">
        <f aca="false">IF($A645="",0,COUNTIFS(L_ParcID,$A645,L_Status,"PROJETADO"))</f>
        <v>0</v>
      </c>
      <c r="O645" s="35" t="str">
        <f aca="false">IF($A645="","",IF($J645="SIM","PAGA",IF($M645&gt;0,"PAGA",IF($D645&lt;CFG_HOJE,"ATRASADA",IF($D645&lt;=EOMONTH(CFG_HOJE,0),"ABERTA","PROJETADA")))))</f>
        <v/>
      </c>
      <c r="P645" s="34" t="n">
        <f aca="false">IF($O645="ATRASADA",CFG_HOJE-$D645,0)</f>
        <v>0</v>
      </c>
      <c r="Q645" s="36" t="n">
        <f aca="false">IF($A645="",0,IF(AND($O645="PAGA",$J645="NAO"),$K645-$E645,0))</f>
        <v>0</v>
      </c>
    </row>
    <row r="646" customFormat="false" ht="15" hidden="false" customHeight="false" outlineLevel="0" collapsed="false">
      <c r="A646" s="30" t="str">
        <f aca="false">IF($B646="","","PAR-"&amp;TEXT(ROW()-4,"000000"))</f>
        <v/>
      </c>
      <c r="B646" s="32"/>
      <c r="C646" s="37"/>
      <c r="D646" s="31"/>
      <c r="E646" s="33"/>
      <c r="F646" s="32"/>
      <c r="G646" s="35" t="str">
        <f aca="false">IF($B646="","",IFERROR(INDEX(CM_NOME,MATCH($B646,CM_ID,0)),"?"))</f>
        <v/>
      </c>
      <c r="H646" s="34" t="str">
        <f aca="false">IF($B646="","",IFERROR(INDEX(CM_QTD,MATCH($B646,CM_ID,0)),""))</f>
        <v/>
      </c>
      <c r="I646" s="35" t="str">
        <f aca="false">IF($A646="","",$C646&amp;"/"&amp;$H646)</f>
        <v/>
      </c>
      <c r="J646" s="35" t="str">
        <f aca="false">IF($A646="","",IF($C646&lt;=IFERROR(INDEX(CM_PAGASANTES,MATCH($B646,CM_ID,0)),0),"SIM","NAO"))</f>
        <v/>
      </c>
      <c r="K646" s="36" t="n">
        <f aca="false">IF($A646="",0,SUMIFS(L_Valor,L_ParcID,$A646,L_Status,"REALIZADO"))</f>
        <v>0</v>
      </c>
      <c r="L646" s="38" t="str">
        <f aca="false">IF($A646="","",IFERROR(INDEX(L_Data,MATCH(1,INDEX((L_ParcID=$A646)*(L_Status="REALIZADO"),0),0)),""))</f>
        <v/>
      </c>
      <c r="M646" s="34" t="n">
        <f aca="false">IF($A646="",0,COUNTIFS(L_ParcID,$A646,L_Status,"REALIZADO"))</f>
        <v>0</v>
      </c>
      <c r="N646" s="34" t="n">
        <f aca="false">IF($A646="",0,COUNTIFS(L_ParcID,$A646,L_Status,"PROJETADO"))</f>
        <v>0</v>
      </c>
      <c r="O646" s="35" t="str">
        <f aca="false">IF($A646="","",IF($J646="SIM","PAGA",IF($M646&gt;0,"PAGA",IF($D646&lt;CFG_HOJE,"ATRASADA",IF($D646&lt;=EOMONTH(CFG_HOJE,0),"ABERTA","PROJETADA")))))</f>
        <v/>
      </c>
      <c r="P646" s="34" t="n">
        <f aca="false">IF($O646="ATRASADA",CFG_HOJE-$D646,0)</f>
        <v>0</v>
      </c>
      <c r="Q646" s="36" t="n">
        <f aca="false">IF($A646="",0,IF(AND($O646="PAGA",$J646="NAO"),$K646-$E646,0))</f>
        <v>0</v>
      </c>
    </row>
    <row r="647" customFormat="false" ht="15" hidden="false" customHeight="false" outlineLevel="0" collapsed="false">
      <c r="A647" s="30" t="str">
        <f aca="false">IF($B647="","","PAR-"&amp;TEXT(ROW()-4,"000000"))</f>
        <v/>
      </c>
      <c r="B647" s="32"/>
      <c r="C647" s="37"/>
      <c r="D647" s="31"/>
      <c r="E647" s="33"/>
      <c r="F647" s="32"/>
      <c r="G647" s="35" t="str">
        <f aca="false">IF($B647="","",IFERROR(INDEX(CM_NOME,MATCH($B647,CM_ID,0)),"?"))</f>
        <v/>
      </c>
      <c r="H647" s="34" t="str">
        <f aca="false">IF($B647="","",IFERROR(INDEX(CM_QTD,MATCH($B647,CM_ID,0)),""))</f>
        <v/>
      </c>
      <c r="I647" s="35" t="str">
        <f aca="false">IF($A647="","",$C647&amp;"/"&amp;$H647)</f>
        <v/>
      </c>
      <c r="J647" s="35" t="str">
        <f aca="false">IF($A647="","",IF($C647&lt;=IFERROR(INDEX(CM_PAGASANTES,MATCH($B647,CM_ID,0)),0),"SIM","NAO"))</f>
        <v/>
      </c>
      <c r="K647" s="36" t="n">
        <f aca="false">IF($A647="",0,SUMIFS(L_Valor,L_ParcID,$A647,L_Status,"REALIZADO"))</f>
        <v>0</v>
      </c>
      <c r="L647" s="38" t="str">
        <f aca="false">IF($A647="","",IFERROR(INDEX(L_Data,MATCH(1,INDEX((L_ParcID=$A647)*(L_Status="REALIZADO"),0),0)),""))</f>
        <v/>
      </c>
      <c r="M647" s="34" t="n">
        <f aca="false">IF($A647="",0,COUNTIFS(L_ParcID,$A647,L_Status,"REALIZADO"))</f>
        <v>0</v>
      </c>
      <c r="N647" s="34" t="n">
        <f aca="false">IF($A647="",0,COUNTIFS(L_ParcID,$A647,L_Status,"PROJETADO"))</f>
        <v>0</v>
      </c>
      <c r="O647" s="35" t="str">
        <f aca="false">IF($A647="","",IF($J647="SIM","PAGA",IF($M647&gt;0,"PAGA",IF($D647&lt;CFG_HOJE,"ATRASADA",IF($D647&lt;=EOMONTH(CFG_HOJE,0),"ABERTA","PROJETADA")))))</f>
        <v/>
      </c>
      <c r="P647" s="34" t="n">
        <f aca="false">IF($O647="ATRASADA",CFG_HOJE-$D647,0)</f>
        <v>0</v>
      </c>
      <c r="Q647" s="36" t="n">
        <f aca="false">IF($A647="",0,IF(AND($O647="PAGA",$J647="NAO"),$K647-$E647,0))</f>
        <v>0</v>
      </c>
    </row>
    <row r="648" customFormat="false" ht="15" hidden="false" customHeight="false" outlineLevel="0" collapsed="false">
      <c r="A648" s="30" t="str">
        <f aca="false">IF($B648="","","PAR-"&amp;TEXT(ROW()-4,"000000"))</f>
        <v/>
      </c>
      <c r="B648" s="32"/>
      <c r="C648" s="37"/>
      <c r="D648" s="31"/>
      <c r="E648" s="33"/>
      <c r="F648" s="32"/>
      <c r="G648" s="35" t="str">
        <f aca="false">IF($B648="","",IFERROR(INDEX(CM_NOME,MATCH($B648,CM_ID,0)),"?"))</f>
        <v/>
      </c>
      <c r="H648" s="34" t="str">
        <f aca="false">IF($B648="","",IFERROR(INDEX(CM_QTD,MATCH($B648,CM_ID,0)),""))</f>
        <v/>
      </c>
      <c r="I648" s="35" t="str">
        <f aca="false">IF($A648="","",$C648&amp;"/"&amp;$H648)</f>
        <v/>
      </c>
      <c r="J648" s="35" t="str">
        <f aca="false">IF($A648="","",IF($C648&lt;=IFERROR(INDEX(CM_PAGASANTES,MATCH($B648,CM_ID,0)),0),"SIM","NAO"))</f>
        <v/>
      </c>
      <c r="K648" s="36" t="n">
        <f aca="false">IF($A648="",0,SUMIFS(L_Valor,L_ParcID,$A648,L_Status,"REALIZADO"))</f>
        <v>0</v>
      </c>
      <c r="L648" s="38" t="str">
        <f aca="false">IF($A648="","",IFERROR(INDEX(L_Data,MATCH(1,INDEX((L_ParcID=$A648)*(L_Status="REALIZADO"),0),0)),""))</f>
        <v/>
      </c>
      <c r="M648" s="34" t="n">
        <f aca="false">IF($A648="",0,COUNTIFS(L_ParcID,$A648,L_Status,"REALIZADO"))</f>
        <v>0</v>
      </c>
      <c r="N648" s="34" t="n">
        <f aca="false">IF($A648="",0,COUNTIFS(L_ParcID,$A648,L_Status,"PROJETADO"))</f>
        <v>0</v>
      </c>
      <c r="O648" s="35" t="str">
        <f aca="false">IF($A648="","",IF($J648="SIM","PAGA",IF($M648&gt;0,"PAGA",IF($D648&lt;CFG_HOJE,"ATRASADA",IF($D648&lt;=EOMONTH(CFG_HOJE,0),"ABERTA","PROJETADA")))))</f>
        <v/>
      </c>
      <c r="P648" s="34" t="n">
        <f aca="false">IF($O648="ATRASADA",CFG_HOJE-$D648,0)</f>
        <v>0</v>
      </c>
      <c r="Q648" s="36" t="n">
        <f aca="false">IF($A648="",0,IF(AND($O648="PAGA",$J648="NAO"),$K648-$E648,0))</f>
        <v>0</v>
      </c>
    </row>
    <row r="649" customFormat="false" ht="15" hidden="false" customHeight="false" outlineLevel="0" collapsed="false">
      <c r="A649" s="30" t="str">
        <f aca="false">IF($B649="","","PAR-"&amp;TEXT(ROW()-4,"000000"))</f>
        <v/>
      </c>
      <c r="B649" s="32"/>
      <c r="C649" s="37"/>
      <c r="D649" s="31"/>
      <c r="E649" s="33"/>
      <c r="F649" s="32"/>
      <c r="G649" s="35" t="str">
        <f aca="false">IF($B649="","",IFERROR(INDEX(CM_NOME,MATCH($B649,CM_ID,0)),"?"))</f>
        <v/>
      </c>
      <c r="H649" s="34" t="str">
        <f aca="false">IF($B649="","",IFERROR(INDEX(CM_QTD,MATCH($B649,CM_ID,0)),""))</f>
        <v/>
      </c>
      <c r="I649" s="35" t="str">
        <f aca="false">IF($A649="","",$C649&amp;"/"&amp;$H649)</f>
        <v/>
      </c>
      <c r="J649" s="35" t="str">
        <f aca="false">IF($A649="","",IF($C649&lt;=IFERROR(INDEX(CM_PAGASANTES,MATCH($B649,CM_ID,0)),0),"SIM","NAO"))</f>
        <v/>
      </c>
      <c r="K649" s="36" t="n">
        <f aca="false">IF($A649="",0,SUMIFS(L_Valor,L_ParcID,$A649,L_Status,"REALIZADO"))</f>
        <v>0</v>
      </c>
      <c r="L649" s="38" t="str">
        <f aca="false">IF($A649="","",IFERROR(INDEX(L_Data,MATCH(1,INDEX((L_ParcID=$A649)*(L_Status="REALIZADO"),0),0)),""))</f>
        <v/>
      </c>
      <c r="M649" s="34" t="n">
        <f aca="false">IF($A649="",0,COUNTIFS(L_ParcID,$A649,L_Status,"REALIZADO"))</f>
        <v>0</v>
      </c>
      <c r="N649" s="34" t="n">
        <f aca="false">IF($A649="",0,COUNTIFS(L_ParcID,$A649,L_Status,"PROJETADO"))</f>
        <v>0</v>
      </c>
      <c r="O649" s="35" t="str">
        <f aca="false">IF($A649="","",IF($J649="SIM","PAGA",IF($M649&gt;0,"PAGA",IF($D649&lt;CFG_HOJE,"ATRASADA",IF($D649&lt;=EOMONTH(CFG_HOJE,0),"ABERTA","PROJETADA")))))</f>
        <v/>
      </c>
      <c r="P649" s="34" t="n">
        <f aca="false">IF($O649="ATRASADA",CFG_HOJE-$D649,0)</f>
        <v>0</v>
      </c>
      <c r="Q649" s="36" t="n">
        <f aca="false">IF($A649="",0,IF(AND($O649="PAGA",$J649="NAO"),$K649-$E649,0))</f>
        <v>0</v>
      </c>
    </row>
    <row r="650" customFormat="false" ht="15" hidden="false" customHeight="false" outlineLevel="0" collapsed="false">
      <c r="A650" s="30" t="str">
        <f aca="false">IF($B650="","","PAR-"&amp;TEXT(ROW()-4,"000000"))</f>
        <v/>
      </c>
      <c r="B650" s="32"/>
      <c r="C650" s="37"/>
      <c r="D650" s="31"/>
      <c r="E650" s="33"/>
      <c r="F650" s="32"/>
      <c r="G650" s="35" t="str">
        <f aca="false">IF($B650="","",IFERROR(INDEX(CM_NOME,MATCH($B650,CM_ID,0)),"?"))</f>
        <v/>
      </c>
      <c r="H650" s="34" t="str">
        <f aca="false">IF($B650="","",IFERROR(INDEX(CM_QTD,MATCH($B650,CM_ID,0)),""))</f>
        <v/>
      </c>
      <c r="I650" s="35" t="str">
        <f aca="false">IF($A650="","",$C650&amp;"/"&amp;$H650)</f>
        <v/>
      </c>
      <c r="J650" s="35" t="str">
        <f aca="false">IF($A650="","",IF($C650&lt;=IFERROR(INDEX(CM_PAGASANTES,MATCH($B650,CM_ID,0)),0),"SIM","NAO"))</f>
        <v/>
      </c>
      <c r="K650" s="36" t="n">
        <f aca="false">IF($A650="",0,SUMIFS(L_Valor,L_ParcID,$A650,L_Status,"REALIZADO"))</f>
        <v>0</v>
      </c>
      <c r="L650" s="38" t="str">
        <f aca="false">IF($A650="","",IFERROR(INDEX(L_Data,MATCH(1,INDEX((L_ParcID=$A650)*(L_Status="REALIZADO"),0),0)),""))</f>
        <v/>
      </c>
      <c r="M650" s="34" t="n">
        <f aca="false">IF($A650="",0,COUNTIFS(L_ParcID,$A650,L_Status,"REALIZADO"))</f>
        <v>0</v>
      </c>
      <c r="N650" s="34" t="n">
        <f aca="false">IF($A650="",0,COUNTIFS(L_ParcID,$A650,L_Status,"PROJETADO"))</f>
        <v>0</v>
      </c>
      <c r="O650" s="35" t="str">
        <f aca="false">IF($A650="","",IF($J650="SIM","PAGA",IF($M650&gt;0,"PAGA",IF($D650&lt;CFG_HOJE,"ATRASADA",IF($D650&lt;=EOMONTH(CFG_HOJE,0),"ABERTA","PROJETADA")))))</f>
        <v/>
      </c>
      <c r="P650" s="34" t="n">
        <f aca="false">IF($O650="ATRASADA",CFG_HOJE-$D650,0)</f>
        <v>0</v>
      </c>
      <c r="Q650" s="36" t="n">
        <f aca="false">IF($A650="",0,IF(AND($O650="PAGA",$J650="NAO"),$K650-$E650,0))</f>
        <v>0</v>
      </c>
    </row>
    <row r="651" customFormat="false" ht="15" hidden="false" customHeight="false" outlineLevel="0" collapsed="false">
      <c r="A651" s="30" t="str">
        <f aca="false">IF($B651="","","PAR-"&amp;TEXT(ROW()-4,"000000"))</f>
        <v/>
      </c>
      <c r="B651" s="32"/>
      <c r="C651" s="37"/>
      <c r="D651" s="31"/>
      <c r="E651" s="33"/>
      <c r="F651" s="32"/>
      <c r="G651" s="35" t="str">
        <f aca="false">IF($B651="","",IFERROR(INDEX(CM_NOME,MATCH($B651,CM_ID,0)),"?"))</f>
        <v/>
      </c>
      <c r="H651" s="34" t="str">
        <f aca="false">IF($B651="","",IFERROR(INDEX(CM_QTD,MATCH($B651,CM_ID,0)),""))</f>
        <v/>
      </c>
      <c r="I651" s="35" t="str">
        <f aca="false">IF($A651="","",$C651&amp;"/"&amp;$H651)</f>
        <v/>
      </c>
      <c r="J651" s="35" t="str">
        <f aca="false">IF($A651="","",IF($C651&lt;=IFERROR(INDEX(CM_PAGASANTES,MATCH($B651,CM_ID,0)),0),"SIM","NAO"))</f>
        <v/>
      </c>
      <c r="K651" s="36" t="n">
        <f aca="false">IF($A651="",0,SUMIFS(L_Valor,L_ParcID,$A651,L_Status,"REALIZADO"))</f>
        <v>0</v>
      </c>
      <c r="L651" s="38" t="str">
        <f aca="false">IF($A651="","",IFERROR(INDEX(L_Data,MATCH(1,INDEX((L_ParcID=$A651)*(L_Status="REALIZADO"),0),0)),""))</f>
        <v/>
      </c>
      <c r="M651" s="34" t="n">
        <f aca="false">IF($A651="",0,COUNTIFS(L_ParcID,$A651,L_Status,"REALIZADO"))</f>
        <v>0</v>
      </c>
      <c r="N651" s="34" t="n">
        <f aca="false">IF($A651="",0,COUNTIFS(L_ParcID,$A651,L_Status,"PROJETADO"))</f>
        <v>0</v>
      </c>
      <c r="O651" s="35" t="str">
        <f aca="false">IF($A651="","",IF($J651="SIM","PAGA",IF($M651&gt;0,"PAGA",IF($D651&lt;CFG_HOJE,"ATRASADA",IF($D651&lt;=EOMONTH(CFG_HOJE,0),"ABERTA","PROJETADA")))))</f>
        <v/>
      </c>
      <c r="P651" s="34" t="n">
        <f aca="false">IF($O651="ATRASADA",CFG_HOJE-$D651,0)</f>
        <v>0</v>
      </c>
      <c r="Q651" s="36" t="n">
        <f aca="false">IF($A651="",0,IF(AND($O651="PAGA",$J651="NAO"),$K651-$E651,0))</f>
        <v>0</v>
      </c>
    </row>
    <row r="652" customFormat="false" ht="15" hidden="false" customHeight="false" outlineLevel="0" collapsed="false">
      <c r="A652" s="30" t="str">
        <f aca="false">IF($B652="","","PAR-"&amp;TEXT(ROW()-4,"000000"))</f>
        <v/>
      </c>
      <c r="B652" s="32"/>
      <c r="C652" s="37"/>
      <c r="D652" s="31"/>
      <c r="E652" s="33"/>
      <c r="F652" s="32"/>
      <c r="G652" s="35" t="str">
        <f aca="false">IF($B652="","",IFERROR(INDEX(CM_NOME,MATCH($B652,CM_ID,0)),"?"))</f>
        <v/>
      </c>
      <c r="H652" s="34" t="str">
        <f aca="false">IF($B652="","",IFERROR(INDEX(CM_QTD,MATCH($B652,CM_ID,0)),""))</f>
        <v/>
      </c>
      <c r="I652" s="35" t="str">
        <f aca="false">IF($A652="","",$C652&amp;"/"&amp;$H652)</f>
        <v/>
      </c>
      <c r="J652" s="35" t="str">
        <f aca="false">IF($A652="","",IF($C652&lt;=IFERROR(INDEX(CM_PAGASANTES,MATCH($B652,CM_ID,0)),0),"SIM","NAO"))</f>
        <v/>
      </c>
      <c r="K652" s="36" t="n">
        <f aca="false">IF($A652="",0,SUMIFS(L_Valor,L_ParcID,$A652,L_Status,"REALIZADO"))</f>
        <v>0</v>
      </c>
      <c r="L652" s="38" t="str">
        <f aca="false">IF($A652="","",IFERROR(INDEX(L_Data,MATCH(1,INDEX((L_ParcID=$A652)*(L_Status="REALIZADO"),0),0)),""))</f>
        <v/>
      </c>
      <c r="M652" s="34" t="n">
        <f aca="false">IF($A652="",0,COUNTIFS(L_ParcID,$A652,L_Status,"REALIZADO"))</f>
        <v>0</v>
      </c>
      <c r="N652" s="34" t="n">
        <f aca="false">IF($A652="",0,COUNTIFS(L_ParcID,$A652,L_Status,"PROJETADO"))</f>
        <v>0</v>
      </c>
      <c r="O652" s="35" t="str">
        <f aca="false">IF($A652="","",IF($J652="SIM","PAGA",IF($M652&gt;0,"PAGA",IF($D652&lt;CFG_HOJE,"ATRASADA",IF($D652&lt;=EOMONTH(CFG_HOJE,0),"ABERTA","PROJETADA")))))</f>
        <v/>
      </c>
      <c r="P652" s="34" t="n">
        <f aca="false">IF($O652="ATRASADA",CFG_HOJE-$D652,0)</f>
        <v>0</v>
      </c>
      <c r="Q652" s="36" t="n">
        <f aca="false">IF($A652="",0,IF(AND($O652="PAGA",$J652="NAO"),$K652-$E652,0))</f>
        <v>0</v>
      </c>
    </row>
    <row r="653" customFormat="false" ht="15" hidden="false" customHeight="false" outlineLevel="0" collapsed="false">
      <c r="A653" s="30" t="str">
        <f aca="false">IF($B653="","","PAR-"&amp;TEXT(ROW()-4,"000000"))</f>
        <v/>
      </c>
      <c r="B653" s="32"/>
      <c r="C653" s="37"/>
      <c r="D653" s="31"/>
      <c r="E653" s="33"/>
      <c r="F653" s="32"/>
      <c r="G653" s="35" t="str">
        <f aca="false">IF($B653="","",IFERROR(INDEX(CM_NOME,MATCH($B653,CM_ID,0)),"?"))</f>
        <v/>
      </c>
      <c r="H653" s="34" t="str">
        <f aca="false">IF($B653="","",IFERROR(INDEX(CM_QTD,MATCH($B653,CM_ID,0)),""))</f>
        <v/>
      </c>
      <c r="I653" s="35" t="str">
        <f aca="false">IF($A653="","",$C653&amp;"/"&amp;$H653)</f>
        <v/>
      </c>
      <c r="J653" s="35" t="str">
        <f aca="false">IF($A653="","",IF($C653&lt;=IFERROR(INDEX(CM_PAGASANTES,MATCH($B653,CM_ID,0)),0),"SIM","NAO"))</f>
        <v/>
      </c>
      <c r="K653" s="36" t="n">
        <f aca="false">IF($A653="",0,SUMIFS(L_Valor,L_ParcID,$A653,L_Status,"REALIZADO"))</f>
        <v>0</v>
      </c>
      <c r="L653" s="38" t="str">
        <f aca="false">IF($A653="","",IFERROR(INDEX(L_Data,MATCH(1,INDEX((L_ParcID=$A653)*(L_Status="REALIZADO"),0),0)),""))</f>
        <v/>
      </c>
      <c r="M653" s="34" t="n">
        <f aca="false">IF($A653="",0,COUNTIFS(L_ParcID,$A653,L_Status,"REALIZADO"))</f>
        <v>0</v>
      </c>
      <c r="N653" s="34" t="n">
        <f aca="false">IF($A653="",0,COUNTIFS(L_ParcID,$A653,L_Status,"PROJETADO"))</f>
        <v>0</v>
      </c>
      <c r="O653" s="35" t="str">
        <f aca="false">IF($A653="","",IF($J653="SIM","PAGA",IF($M653&gt;0,"PAGA",IF($D653&lt;CFG_HOJE,"ATRASADA",IF($D653&lt;=EOMONTH(CFG_HOJE,0),"ABERTA","PROJETADA")))))</f>
        <v/>
      </c>
      <c r="P653" s="34" t="n">
        <f aca="false">IF($O653="ATRASADA",CFG_HOJE-$D653,0)</f>
        <v>0</v>
      </c>
      <c r="Q653" s="36" t="n">
        <f aca="false">IF($A653="",0,IF(AND($O653="PAGA",$J653="NAO"),$K653-$E653,0))</f>
        <v>0</v>
      </c>
    </row>
    <row r="654" customFormat="false" ht="15" hidden="false" customHeight="false" outlineLevel="0" collapsed="false">
      <c r="A654" s="30" t="str">
        <f aca="false">IF($B654="","","PAR-"&amp;TEXT(ROW()-4,"000000"))</f>
        <v/>
      </c>
      <c r="B654" s="32"/>
      <c r="C654" s="37"/>
      <c r="D654" s="31"/>
      <c r="E654" s="33"/>
      <c r="F654" s="32"/>
      <c r="G654" s="35" t="str">
        <f aca="false">IF($B654="","",IFERROR(INDEX(CM_NOME,MATCH($B654,CM_ID,0)),"?"))</f>
        <v/>
      </c>
      <c r="H654" s="34" t="str">
        <f aca="false">IF($B654="","",IFERROR(INDEX(CM_QTD,MATCH($B654,CM_ID,0)),""))</f>
        <v/>
      </c>
      <c r="I654" s="35" t="str">
        <f aca="false">IF($A654="","",$C654&amp;"/"&amp;$H654)</f>
        <v/>
      </c>
      <c r="J654" s="35" t="str">
        <f aca="false">IF($A654="","",IF($C654&lt;=IFERROR(INDEX(CM_PAGASANTES,MATCH($B654,CM_ID,0)),0),"SIM","NAO"))</f>
        <v/>
      </c>
      <c r="K654" s="36" t="n">
        <f aca="false">IF($A654="",0,SUMIFS(L_Valor,L_ParcID,$A654,L_Status,"REALIZADO"))</f>
        <v>0</v>
      </c>
      <c r="L654" s="38" t="str">
        <f aca="false">IF($A654="","",IFERROR(INDEX(L_Data,MATCH(1,INDEX((L_ParcID=$A654)*(L_Status="REALIZADO"),0),0)),""))</f>
        <v/>
      </c>
      <c r="M654" s="34" t="n">
        <f aca="false">IF($A654="",0,COUNTIFS(L_ParcID,$A654,L_Status,"REALIZADO"))</f>
        <v>0</v>
      </c>
      <c r="N654" s="34" t="n">
        <f aca="false">IF($A654="",0,COUNTIFS(L_ParcID,$A654,L_Status,"PROJETADO"))</f>
        <v>0</v>
      </c>
      <c r="O654" s="35" t="str">
        <f aca="false">IF($A654="","",IF($J654="SIM","PAGA",IF($M654&gt;0,"PAGA",IF($D654&lt;CFG_HOJE,"ATRASADA",IF($D654&lt;=EOMONTH(CFG_HOJE,0),"ABERTA","PROJETADA")))))</f>
        <v/>
      </c>
      <c r="P654" s="34" t="n">
        <f aca="false">IF($O654="ATRASADA",CFG_HOJE-$D654,0)</f>
        <v>0</v>
      </c>
      <c r="Q654" s="36" t="n">
        <f aca="false">IF($A654="",0,IF(AND($O654="PAGA",$J654="NAO"),$K654-$E654,0))</f>
        <v>0</v>
      </c>
    </row>
    <row r="655" customFormat="false" ht="15" hidden="false" customHeight="false" outlineLevel="0" collapsed="false">
      <c r="A655" s="30" t="str">
        <f aca="false">IF($B655="","","PAR-"&amp;TEXT(ROW()-4,"000000"))</f>
        <v/>
      </c>
      <c r="B655" s="32"/>
      <c r="C655" s="37"/>
      <c r="D655" s="31"/>
      <c r="E655" s="33"/>
      <c r="F655" s="32"/>
      <c r="G655" s="35" t="str">
        <f aca="false">IF($B655="","",IFERROR(INDEX(CM_NOME,MATCH($B655,CM_ID,0)),"?"))</f>
        <v/>
      </c>
      <c r="H655" s="34" t="str">
        <f aca="false">IF($B655="","",IFERROR(INDEX(CM_QTD,MATCH($B655,CM_ID,0)),""))</f>
        <v/>
      </c>
      <c r="I655" s="35" t="str">
        <f aca="false">IF($A655="","",$C655&amp;"/"&amp;$H655)</f>
        <v/>
      </c>
      <c r="J655" s="35" t="str">
        <f aca="false">IF($A655="","",IF($C655&lt;=IFERROR(INDEX(CM_PAGASANTES,MATCH($B655,CM_ID,0)),0),"SIM","NAO"))</f>
        <v/>
      </c>
      <c r="K655" s="36" t="n">
        <f aca="false">IF($A655="",0,SUMIFS(L_Valor,L_ParcID,$A655,L_Status,"REALIZADO"))</f>
        <v>0</v>
      </c>
      <c r="L655" s="38" t="str">
        <f aca="false">IF($A655="","",IFERROR(INDEX(L_Data,MATCH(1,INDEX((L_ParcID=$A655)*(L_Status="REALIZADO"),0),0)),""))</f>
        <v/>
      </c>
      <c r="M655" s="34" t="n">
        <f aca="false">IF($A655="",0,COUNTIFS(L_ParcID,$A655,L_Status,"REALIZADO"))</f>
        <v>0</v>
      </c>
      <c r="N655" s="34" t="n">
        <f aca="false">IF($A655="",0,COUNTIFS(L_ParcID,$A655,L_Status,"PROJETADO"))</f>
        <v>0</v>
      </c>
      <c r="O655" s="35" t="str">
        <f aca="false">IF($A655="","",IF($J655="SIM","PAGA",IF($M655&gt;0,"PAGA",IF($D655&lt;CFG_HOJE,"ATRASADA",IF($D655&lt;=EOMONTH(CFG_HOJE,0),"ABERTA","PROJETADA")))))</f>
        <v/>
      </c>
      <c r="P655" s="34" t="n">
        <f aca="false">IF($O655="ATRASADA",CFG_HOJE-$D655,0)</f>
        <v>0</v>
      </c>
      <c r="Q655" s="36" t="n">
        <f aca="false">IF($A655="",0,IF(AND($O655="PAGA",$J655="NAO"),$K655-$E655,0))</f>
        <v>0</v>
      </c>
    </row>
    <row r="656" customFormat="false" ht="15" hidden="false" customHeight="false" outlineLevel="0" collapsed="false">
      <c r="A656" s="30" t="str">
        <f aca="false">IF($B656="","","PAR-"&amp;TEXT(ROW()-4,"000000"))</f>
        <v/>
      </c>
      <c r="B656" s="32"/>
      <c r="C656" s="37"/>
      <c r="D656" s="31"/>
      <c r="E656" s="33"/>
      <c r="F656" s="32"/>
      <c r="G656" s="35" t="str">
        <f aca="false">IF($B656="","",IFERROR(INDEX(CM_NOME,MATCH($B656,CM_ID,0)),"?"))</f>
        <v/>
      </c>
      <c r="H656" s="34" t="str">
        <f aca="false">IF($B656="","",IFERROR(INDEX(CM_QTD,MATCH($B656,CM_ID,0)),""))</f>
        <v/>
      </c>
      <c r="I656" s="35" t="str">
        <f aca="false">IF($A656="","",$C656&amp;"/"&amp;$H656)</f>
        <v/>
      </c>
      <c r="J656" s="35" t="str">
        <f aca="false">IF($A656="","",IF($C656&lt;=IFERROR(INDEX(CM_PAGASANTES,MATCH($B656,CM_ID,0)),0),"SIM","NAO"))</f>
        <v/>
      </c>
      <c r="K656" s="36" t="n">
        <f aca="false">IF($A656="",0,SUMIFS(L_Valor,L_ParcID,$A656,L_Status,"REALIZADO"))</f>
        <v>0</v>
      </c>
      <c r="L656" s="38" t="str">
        <f aca="false">IF($A656="","",IFERROR(INDEX(L_Data,MATCH(1,INDEX((L_ParcID=$A656)*(L_Status="REALIZADO"),0),0)),""))</f>
        <v/>
      </c>
      <c r="M656" s="34" t="n">
        <f aca="false">IF($A656="",0,COUNTIFS(L_ParcID,$A656,L_Status,"REALIZADO"))</f>
        <v>0</v>
      </c>
      <c r="N656" s="34" t="n">
        <f aca="false">IF($A656="",0,COUNTIFS(L_ParcID,$A656,L_Status,"PROJETADO"))</f>
        <v>0</v>
      </c>
      <c r="O656" s="35" t="str">
        <f aca="false">IF($A656="","",IF($J656="SIM","PAGA",IF($M656&gt;0,"PAGA",IF($D656&lt;CFG_HOJE,"ATRASADA",IF($D656&lt;=EOMONTH(CFG_HOJE,0),"ABERTA","PROJETADA")))))</f>
        <v/>
      </c>
      <c r="P656" s="34" t="n">
        <f aca="false">IF($O656="ATRASADA",CFG_HOJE-$D656,0)</f>
        <v>0</v>
      </c>
      <c r="Q656" s="36" t="n">
        <f aca="false">IF($A656="",0,IF(AND($O656="PAGA",$J656="NAO"),$K656-$E656,0))</f>
        <v>0</v>
      </c>
    </row>
    <row r="657" customFormat="false" ht="15" hidden="false" customHeight="false" outlineLevel="0" collapsed="false">
      <c r="A657" s="30" t="str">
        <f aca="false">IF($B657="","","PAR-"&amp;TEXT(ROW()-4,"000000"))</f>
        <v/>
      </c>
      <c r="B657" s="32"/>
      <c r="C657" s="37"/>
      <c r="D657" s="31"/>
      <c r="E657" s="33"/>
      <c r="F657" s="32"/>
      <c r="G657" s="35" t="str">
        <f aca="false">IF($B657="","",IFERROR(INDEX(CM_NOME,MATCH($B657,CM_ID,0)),"?"))</f>
        <v/>
      </c>
      <c r="H657" s="34" t="str">
        <f aca="false">IF($B657="","",IFERROR(INDEX(CM_QTD,MATCH($B657,CM_ID,0)),""))</f>
        <v/>
      </c>
      <c r="I657" s="35" t="str">
        <f aca="false">IF($A657="","",$C657&amp;"/"&amp;$H657)</f>
        <v/>
      </c>
      <c r="J657" s="35" t="str">
        <f aca="false">IF($A657="","",IF($C657&lt;=IFERROR(INDEX(CM_PAGASANTES,MATCH($B657,CM_ID,0)),0),"SIM","NAO"))</f>
        <v/>
      </c>
      <c r="K657" s="36" t="n">
        <f aca="false">IF($A657="",0,SUMIFS(L_Valor,L_ParcID,$A657,L_Status,"REALIZADO"))</f>
        <v>0</v>
      </c>
      <c r="L657" s="38" t="str">
        <f aca="false">IF($A657="","",IFERROR(INDEX(L_Data,MATCH(1,INDEX((L_ParcID=$A657)*(L_Status="REALIZADO"),0),0)),""))</f>
        <v/>
      </c>
      <c r="M657" s="34" t="n">
        <f aca="false">IF($A657="",0,COUNTIFS(L_ParcID,$A657,L_Status,"REALIZADO"))</f>
        <v>0</v>
      </c>
      <c r="N657" s="34" t="n">
        <f aca="false">IF($A657="",0,COUNTIFS(L_ParcID,$A657,L_Status,"PROJETADO"))</f>
        <v>0</v>
      </c>
      <c r="O657" s="35" t="str">
        <f aca="false">IF($A657="","",IF($J657="SIM","PAGA",IF($M657&gt;0,"PAGA",IF($D657&lt;CFG_HOJE,"ATRASADA",IF($D657&lt;=EOMONTH(CFG_HOJE,0),"ABERTA","PROJETADA")))))</f>
        <v/>
      </c>
      <c r="P657" s="34" t="n">
        <f aca="false">IF($O657="ATRASADA",CFG_HOJE-$D657,0)</f>
        <v>0</v>
      </c>
      <c r="Q657" s="36" t="n">
        <f aca="false">IF($A657="",0,IF(AND($O657="PAGA",$J657="NAO"),$K657-$E657,0))</f>
        <v>0</v>
      </c>
    </row>
    <row r="658" customFormat="false" ht="15" hidden="false" customHeight="false" outlineLevel="0" collapsed="false">
      <c r="A658" s="30" t="str">
        <f aca="false">IF($B658="","","PAR-"&amp;TEXT(ROW()-4,"000000"))</f>
        <v/>
      </c>
      <c r="B658" s="32"/>
      <c r="C658" s="37"/>
      <c r="D658" s="31"/>
      <c r="E658" s="33"/>
      <c r="F658" s="32"/>
      <c r="G658" s="35" t="str">
        <f aca="false">IF($B658="","",IFERROR(INDEX(CM_NOME,MATCH($B658,CM_ID,0)),"?"))</f>
        <v/>
      </c>
      <c r="H658" s="34" t="str">
        <f aca="false">IF($B658="","",IFERROR(INDEX(CM_QTD,MATCH($B658,CM_ID,0)),""))</f>
        <v/>
      </c>
      <c r="I658" s="35" t="str">
        <f aca="false">IF($A658="","",$C658&amp;"/"&amp;$H658)</f>
        <v/>
      </c>
      <c r="J658" s="35" t="str">
        <f aca="false">IF($A658="","",IF($C658&lt;=IFERROR(INDEX(CM_PAGASANTES,MATCH($B658,CM_ID,0)),0),"SIM","NAO"))</f>
        <v/>
      </c>
      <c r="K658" s="36" t="n">
        <f aca="false">IF($A658="",0,SUMIFS(L_Valor,L_ParcID,$A658,L_Status,"REALIZADO"))</f>
        <v>0</v>
      </c>
      <c r="L658" s="38" t="str">
        <f aca="false">IF($A658="","",IFERROR(INDEX(L_Data,MATCH(1,INDEX((L_ParcID=$A658)*(L_Status="REALIZADO"),0),0)),""))</f>
        <v/>
      </c>
      <c r="M658" s="34" t="n">
        <f aca="false">IF($A658="",0,COUNTIFS(L_ParcID,$A658,L_Status,"REALIZADO"))</f>
        <v>0</v>
      </c>
      <c r="N658" s="34" t="n">
        <f aca="false">IF($A658="",0,COUNTIFS(L_ParcID,$A658,L_Status,"PROJETADO"))</f>
        <v>0</v>
      </c>
      <c r="O658" s="35" t="str">
        <f aca="false">IF($A658="","",IF($J658="SIM","PAGA",IF($M658&gt;0,"PAGA",IF($D658&lt;CFG_HOJE,"ATRASADA",IF($D658&lt;=EOMONTH(CFG_HOJE,0),"ABERTA","PROJETADA")))))</f>
        <v/>
      </c>
      <c r="P658" s="34" t="n">
        <f aca="false">IF($O658="ATRASADA",CFG_HOJE-$D658,0)</f>
        <v>0</v>
      </c>
      <c r="Q658" s="36" t="n">
        <f aca="false">IF($A658="",0,IF(AND($O658="PAGA",$J658="NAO"),$K658-$E658,0))</f>
        <v>0</v>
      </c>
    </row>
    <row r="659" customFormat="false" ht="15" hidden="false" customHeight="false" outlineLevel="0" collapsed="false">
      <c r="A659" s="30" t="str">
        <f aca="false">IF($B659="","","PAR-"&amp;TEXT(ROW()-4,"000000"))</f>
        <v/>
      </c>
      <c r="B659" s="32"/>
      <c r="C659" s="37"/>
      <c r="D659" s="31"/>
      <c r="E659" s="33"/>
      <c r="F659" s="32"/>
      <c r="G659" s="35" t="str">
        <f aca="false">IF($B659="","",IFERROR(INDEX(CM_NOME,MATCH($B659,CM_ID,0)),"?"))</f>
        <v/>
      </c>
      <c r="H659" s="34" t="str">
        <f aca="false">IF($B659="","",IFERROR(INDEX(CM_QTD,MATCH($B659,CM_ID,0)),""))</f>
        <v/>
      </c>
      <c r="I659" s="35" t="str">
        <f aca="false">IF($A659="","",$C659&amp;"/"&amp;$H659)</f>
        <v/>
      </c>
      <c r="J659" s="35" t="str">
        <f aca="false">IF($A659="","",IF($C659&lt;=IFERROR(INDEX(CM_PAGASANTES,MATCH($B659,CM_ID,0)),0),"SIM","NAO"))</f>
        <v/>
      </c>
      <c r="K659" s="36" t="n">
        <f aca="false">IF($A659="",0,SUMIFS(L_Valor,L_ParcID,$A659,L_Status,"REALIZADO"))</f>
        <v>0</v>
      </c>
      <c r="L659" s="38" t="str">
        <f aca="false">IF($A659="","",IFERROR(INDEX(L_Data,MATCH(1,INDEX((L_ParcID=$A659)*(L_Status="REALIZADO"),0),0)),""))</f>
        <v/>
      </c>
      <c r="M659" s="34" t="n">
        <f aca="false">IF($A659="",0,COUNTIFS(L_ParcID,$A659,L_Status,"REALIZADO"))</f>
        <v>0</v>
      </c>
      <c r="N659" s="34" t="n">
        <f aca="false">IF($A659="",0,COUNTIFS(L_ParcID,$A659,L_Status,"PROJETADO"))</f>
        <v>0</v>
      </c>
      <c r="O659" s="35" t="str">
        <f aca="false">IF($A659="","",IF($J659="SIM","PAGA",IF($M659&gt;0,"PAGA",IF($D659&lt;CFG_HOJE,"ATRASADA",IF($D659&lt;=EOMONTH(CFG_HOJE,0),"ABERTA","PROJETADA")))))</f>
        <v/>
      </c>
      <c r="P659" s="34" t="n">
        <f aca="false">IF($O659="ATRASADA",CFG_HOJE-$D659,0)</f>
        <v>0</v>
      </c>
      <c r="Q659" s="36" t="n">
        <f aca="false">IF($A659="",0,IF(AND($O659="PAGA",$J659="NAO"),$K659-$E659,0))</f>
        <v>0</v>
      </c>
    </row>
    <row r="660" customFormat="false" ht="15" hidden="false" customHeight="false" outlineLevel="0" collapsed="false">
      <c r="A660" s="30" t="str">
        <f aca="false">IF($B660="","","PAR-"&amp;TEXT(ROW()-4,"000000"))</f>
        <v/>
      </c>
      <c r="B660" s="32"/>
      <c r="C660" s="37"/>
      <c r="D660" s="31"/>
      <c r="E660" s="33"/>
      <c r="F660" s="32"/>
      <c r="G660" s="35" t="str">
        <f aca="false">IF($B660="","",IFERROR(INDEX(CM_NOME,MATCH($B660,CM_ID,0)),"?"))</f>
        <v/>
      </c>
      <c r="H660" s="34" t="str">
        <f aca="false">IF($B660="","",IFERROR(INDEX(CM_QTD,MATCH($B660,CM_ID,0)),""))</f>
        <v/>
      </c>
      <c r="I660" s="35" t="str">
        <f aca="false">IF($A660="","",$C660&amp;"/"&amp;$H660)</f>
        <v/>
      </c>
      <c r="J660" s="35" t="str">
        <f aca="false">IF($A660="","",IF($C660&lt;=IFERROR(INDEX(CM_PAGASANTES,MATCH($B660,CM_ID,0)),0),"SIM","NAO"))</f>
        <v/>
      </c>
      <c r="K660" s="36" t="n">
        <f aca="false">IF($A660="",0,SUMIFS(L_Valor,L_ParcID,$A660,L_Status,"REALIZADO"))</f>
        <v>0</v>
      </c>
      <c r="L660" s="38" t="str">
        <f aca="false">IF($A660="","",IFERROR(INDEX(L_Data,MATCH(1,INDEX((L_ParcID=$A660)*(L_Status="REALIZADO"),0),0)),""))</f>
        <v/>
      </c>
      <c r="M660" s="34" t="n">
        <f aca="false">IF($A660="",0,COUNTIFS(L_ParcID,$A660,L_Status,"REALIZADO"))</f>
        <v>0</v>
      </c>
      <c r="N660" s="34" t="n">
        <f aca="false">IF($A660="",0,COUNTIFS(L_ParcID,$A660,L_Status,"PROJETADO"))</f>
        <v>0</v>
      </c>
      <c r="O660" s="35" t="str">
        <f aca="false">IF($A660="","",IF($J660="SIM","PAGA",IF($M660&gt;0,"PAGA",IF($D660&lt;CFG_HOJE,"ATRASADA",IF($D660&lt;=EOMONTH(CFG_HOJE,0),"ABERTA","PROJETADA")))))</f>
        <v/>
      </c>
      <c r="P660" s="34" t="n">
        <f aca="false">IF($O660="ATRASADA",CFG_HOJE-$D660,0)</f>
        <v>0</v>
      </c>
      <c r="Q660" s="36" t="n">
        <f aca="false">IF($A660="",0,IF(AND($O660="PAGA",$J660="NAO"),$K660-$E660,0))</f>
        <v>0</v>
      </c>
    </row>
    <row r="661" customFormat="false" ht="15" hidden="false" customHeight="false" outlineLevel="0" collapsed="false">
      <c r="A661" s="30" t="str">
        <f aca="false">IF($B661="","","PAR-"&amp;TEXT(ROW()-4,"000000"))</f>
        <v/>
      </c>
      <c r="B661" s="32"/>
      <c r="C661" s="37"/>
      <c r="D661" s="31"/>
      <c r="E661" s="33"/>
      <c r="F661" s="32"/>
      <c r="G661" s="35" t="str">
        <f aca="false">IF($B661="","",IFERROR(INDEX(CM_NOME,MATCH($B661,CM_ID,0)),"?"))</f>
        <v/>
      </c>
      <c r="H661" s="34" t="str">
        <f aca="false">IF($B661="","",IFERROR(INDEX(CM_QTD,MATCH($B661,CM_ID,0)),""))</f>
        <v/>
      </c>
      <c r="I661" s="35" t="str">
        <f aca="false">IF($A661="","",$C661&amp;"/"&amp;$H661)</f>
        <v/>
      </c>
      <c r="J661" s="35" t="str">
        <f aca="false">IF($A661="","",IF($C661&lt;=IFERROR(INDEX(CM_PAGASANTES,MATCH($B661,CM_ID,0)),0),"SIM","NAO"))</f>
        <v/>
      </c>
      <c r="K661" s="36" t="n">
        <f aca="false">IF($A661="",0,SUMIFS(L_Valor,L_ParcID,$A661,L_Status,"REALIZADO"))</f>
        <v>0</v>
      </c>
      <c r="L661" s="38" t="str">
        <f aca="false">IF($A661="","",IFERROR(INDEX(L_Data,MATCH(1,INDEX((L_ParcID=$A661)*(L_Status="REALIZADO"),0),0)),""))</f>
        <v/>
      </c>
      <c r="M661" s="34" t="n">
        <f aca="false">IF($A661="",0,COUNTIFS(L_ParcID,$A661,L_Status,"REALIZADO"))</f>
        <v>0</v>
      </c>
      <c r="N661" s="34" t="n">
        <f aca="false">IF($A661="",0,COUNTIFS(L_ParcID,$A661,L_Status,"PROJETADO"))</f>
        <v>0</v>
      </c>
      <c r="O661" s="35" t="str">
        <f aca="false">IF($A661="","",IF($J661="SIM","PAGA",IF($M661&gt;0,"PAGA",IF($D661&lt;CFG_HOJE,"ATRASADA",IF($D661&lt;=EOMONTH(CFG_HOJE,0),"ABERTA","PROJETADA")))))</f>
        <v/>
      </c>
      <c r="P661" s="34" t="n">
        <f aca="false">IF($O661="ATRASADA",CFG_HOJE-$D661,0)</f>
        <v>0</v>
      </c>
      <c r="Q661" s="36" t="n">
        <f aca="false">IF($A661="",0,IF(AND($O661="PAGA",$J661="NAO"),$K661-$E661,0))</f>
        <v>0</v>
      </c>
    </row>
    <row r="662" customFormat="false" ht="15" hidden="false" customHeight="false" outlineLevel="0" collapsed="false">
      <c r="A662" s="30" t="str">
        <f aca="false">IF($B662="","","PAR-"&amp;TEXT(ROW()-4,"000000"))</f>
        <v/>
      </c>
      <c r="B662" s="32"/>
      <c r="C662" s="37"/>
      <c r="D662" s="31"/>
      <c r="E662" s="33"/>
      <c r="F662" s="32"/>
      <c r="G662" s="35" t="str">
        <f aca="false">IF($B662="","",IFERROR(INDEX(CM_NOME,MATCH($B662,CM_ID,0)),"?"))</f>
        <v/>
      </c>
      <c r="H662" s="34" t="str">
        <f aca="false">IF($B662="","",IFERROR(INDEX(CM_QTD,MATCH($B662,CM_ID,0)),""))</f>
        <v/>
      </c>
      <c r="I662" s="35" t="str">
        <f aca="false">IF($A662="","",$C662&amp;"/"&amp;$H662)</f>
        <v/>
      </c>
      <c r="J662" s="35" t="str">
        <f aca="false">IF($A662="","",IF($C662&lt;=IFERROR(INDEX(CM_PAGASANTES,MATCH($B662,CM_ID,0)),0),"SIM","NAO"))</f>
        <v/>
      </c>
      <c r="K662" s="36" t="n">
        <f aca="false">IF($A662="",0,SUMIFS(L_Valor,L_ParcID,$A662,L_Status,"REALIZADO"))</f>
        <v>0</v>
      </c>
      <c r="L662" s="38" t="str">
        <f aca="false">IF($A662="","",IFERROR(INDEX(L_Data,MATCH(1,INDEX((L_ParcID=$A662)*(L_Status="REALIZADO"),0),0)),""))</f>
        <v/>
      </c>
      <c r="M662" s="34" t="n">
        <f aca="false">IF($A662="",0,COUNTIFS(L_ParcID,$A662,L_Status,"REALIZADO"))</f>
        <v>0</v>
      </c>
      <c r="N662" s="34" t="n">
        <f aca="false">IF($A662="",0,COUNTIFS(L_ParcID,$A662,L_Status,"PROJETADO"))</f>
        <v>0</v>
      </c>
      <c r="O662" s="35" t="str">
        <f aca="false">IF($A662="","",IF($J662="SIM","PAGA",IF($M662&gt;0,"PAGA",IF($D662&lt;CFG_HOJE,"ATRASADA",IF($D662&lt;=EOMONTH(CFG_HOJE,0),"ABERTA","PROJETADA")))))</f>
        <v/>
      </c>
      <c r="P662" s="34" t="n">
        <f aca="false">IF($O662="ATRASADA",CFG_HOJE-$D662,0)</f>
        <v>0</v>
      </c>
      <c r="Q662" s="36" t="n">
        <f aca="false">IF($A662="",0,IF(AND($O662="PAGA",$J662="NAO"),$K662-$E662,0))</f>
        <v>0</v>
      </c>
    </row>
    <row r="663" customFormat="false" ht="15" hidden="false" customHeight="false" outlineLevel="0" collapsed="false">
      <c r="A663" s="30" t="str">
        <f aca="false">IF($B663="","","PAR-"&amp;TEXT(ROW()-4,"000000"))</f>
        <v/>
      </c>
      <c r="B663" s="32"/>
      <c r="C663" s="37"/>
      <c r="D663" s="31"/>
      <c r="E663" s="33"/>
      <c r="F663" s="32"/>
      <c r="G663" s="35" t="str">
        <f aca="false">IF($B663="","",IFERROR(INDEX(CM_NOME,MATCH($B663,CM_ID,0)),"?"))</f>
        <v/>
      </c>
      <c r="H663" s="34" t="str">
        <f aca="false">IF($B663="","",IFERROR(INDEX(CM_QTD,MATCH($B663,CM_ID,0)),""))</f>
        <v/>
      </c>
      <c r="I663" s="35" t="str">
        <f aca="false">IF($A663="","",$C663&amp;"/"&amp;$H663)</f>
        <v/>
      </c>
      <c r="J663" s="35" t="str">
        <f aca="false">IF($A663="","",IF($C663&lt;=IFERROR(INDEX(CM_PAGASANTES,MATCH($B663,CM_ID,0)),0),"SIM","NAO"))</f>
        <v/>
      </c>
      <c r="K663" s="36" t="n">
        <f aca="false">IF($A663="",0,SUMIFS(L_Valor,L_ParcID,$A663,L_Status,"REALIZADO"))</f>
        <v>0</v>
      </c>
      <c r="L663" s="38" t="str">
        <f aca="false">IF($A663="","",IFERROR(INDEX(L_Data,MATCH(1,INDEX((L_ParcID=$A663)*(L_Status="REALIZADO"),0),0)),""))</f>
        <v/>
      </c>
      <c r="M663" s="34" t="n">
        <f aca="false">IF($A663="",0,COUNTIFS(L_ParcID,$A663,L_Status,"REALIZADO"))</f>
        <v>0</v>
      </c>
      <c r="N663" s="34" t="n">
        <f aca="false">IF($A663="",0,COUNTIFS(L_ParcID,$A663,L_Status,"PROJETADO"))</f>
        <v>0</v>
      </c>
      <c r="O663" s="35" t="str">
        <f aca="false">IF($A663="","",IF($J663="SIM","PAGA",IF($M663&gt;0,"PAGA",IF($D663&lt;CFG_HOJE,"ATRASADA",IF($D663&lt;=EOMONTH(CFG_HOJE,0),"ABERTA","PROJETADA")))))</f>
        <v/>
      </c>
      <c r="P663" s="34" t="n">
        <f aca="false">IF($O663="ATRASADA",CFG_HOJE-$D663,0)</f>
        <v>0</v>
      </c>
      <c r="Q663" s="36" t="n">
        <f aca="false">IF($A663="",0,IF(AND($O663="PAGA",$J663="NAO"),$K663-$E663,0))</f>
        <v>0</v>
      </c>
    </row>
    <row r="664" customFormat="false" ht="15" hidden="false" customHeight="false" outlineLevel="0" collapsed="false">
      <c r="A664" s="30" t="str">
        <f aca="false">IF($B664="","","PAR-"&amp;TEXT(ROW()-4,"000000"))</f>
        <v/>
      </c>
      <c r="B664" s="32"/>
      <c r="C664" s="37"/>
      <c r="D664" s="31"/>
      <c r="E664" s="33"/>
      <c r="F664" s="32"/>
      <c r="G664" s="35" t="str">
        <f aca="false">IF($B664="","",IFERROR(INDEX(CM_NOME,MATCH($B664,CM_ID,0)),"?"))</f>
        <v/>
      </c>
      <c r="H664" s="34" t="str">
        <f aca="false">IF($B664="","",IFERROR(INDEX(CM_QTD,MATCH($B664,CM_ID,0)),""))</f>
        <v/>
      </c>
      <c r="I664" s="35" t="str">
        <f aca="false">IF($A664="","",$C664&amp;"/"&amp;$H664)</f>
        <v/>
      </c>
      <c r="J664" s="35" t="str">
        <f aca="false">IF($A664="","",IF($C664&lt;=IFERROR(INDEX(CM_PAGASANTES,MATCH($B664,CM_ID,0)),0),"SIM","NAO"))</f>
        <v/>
      </c>
      <c r="K664" s="36" t="n">
        <f aca="false">IF($A664="",0,SUMIFS(L_Valor,L_ParcID,$A664,L_Status,"REALIZADO"))</f>
        <v>0</v>
      </c>
      <c r="L664" s="38" t="str">
        <f aca="false">IF($A664="","",IFERROR(INDEX(L_Data,MATCH(1,INDEX((L_ParcID=$A664)*(L_Status="REALIZADO"),0),0)),""))</f>
        <v/>
      </c>
      <c r="M664" s="34" t="n">
        <f aca="false">IF($A664="",0,COUNTIFS(L_ParcID,$A664,L_Status,"REALIZADO"))</f>
        <v>0</v>
      </c>
      <c r="N664" s="34" t="n">
        <f aca="false">IF($A664="",0,COUNTIFS(L_ParcID,$A664,L_Status,"PROJETADO"))</f>
        <v>0</v>
      </c>
      <c r="O664" s="35" t="str">
        <f aca="false">IF($A664="","",IF($J664="SIM","PAGA",IF($M664&gt;0,"PAGA",IF($D664&lt;CFG_HOJE,"ATRASADA",IF($D664&lt;=EOMONTH(CFG_HOJE,0),"ABERTA","PROJETADA")))))</f>
        <v/>
      </c>
      <c r="P664" s="34" t="n">
        <f aca="false">IF($O664="ATRASADA",CFG_HOJE-$D664,0)</f>
        <v>0</v>
      </c>
      <c r="Q664" s="36" t="n">
        <f aca="false">IF($A664="",0,IF(AND($O664="PAGA",$J664="NAO"),$K664-$E664,0))</f>
        <v>0</v>
      </c>
    </row>
    <row r="665" customFormat="false" ht="15" hidden="false" customHeight="false" outlineLevel="0" collapsed="false">
      <c r="A665" s="30" t="str">
        <f aca="false">IF($B665="","","PAR-"&amp;TEXT(ROW()-4,"000000"))</f>
        <v/>
      </c>
      <c r="B665" s="32"/>
      <c r="C665" s="37"/>
      <c r="D665" s="31"/>
      <c r="E665" s="33"/>
      <c r="F665" s="32"/>
      <c r="G665" s="35" t="str">
        <f aca="false">IF($B665="","",IFERROR(INDEX(CM_NOME,MATCH($B665,CM_ID,0)),"?"))</f>
        <v/>
      </c>
      <c r="H665" s="34" t="str">
        <f aca="false">IF($B665="","",IFERROR(INDEX(CM_QTD,MATCH($B665,CM_ID,0)),""))</f>
        <v/>
      </c>
      <c r="I665" s="35" t="str">
        <f aca="false">IF($A665="","",$C665&amp;"/"&amp;$H665)</f>
        <v/>
      </c>
      <c r="J665" s="35" t="str">
        <f aca="false">IF($A665="","",IF($C665&lt;=IFERROR(INDEX(CM_PAGASANTES,MATCH($B665,CM_ID,0)),0),"SIM","NAO"))</f>
        <v/>
      </c>
      <c r="K665" s="36" t="n">
        <f aca="false">IF($A665="",0,SUMIFS(L_Valor,L_ParcID,$A665,L_Status,"REALIZADO"))</f>
        <v>0</v>
      </c>
      <c r="L665" s="38" t="str">
        <f aca="false">IF($A665="","",IFERROR(INDEX(L_Data,MATCH(1,INDEX((L_ParcID=$A665)*(L_Status="REALIZADO"),0),0)),""))</f>
        <v/>
      </c>
      <c r="M665" s="34" t="n">
        <f aca="false">IF($A665="",0,COUNTIFS(L_ParcID,$A665,L_Status,"REALIZADO"))</f>
        <v>0</v>
      </c>
      <c r="N665" s="34" t="n">
        <f aca="false">IF($A665="",0,COUNTIFS(L_ParcID,$A665,L_Status,"PROJETADO"))</f>
        <v>0</v>
      </c>
      <c r="O665" s="35" t="str">
        <f aca="false">IF($A665="","",IF($J665="SIM","PAGA",IF($M665&gt;0,"PAGA",IF($D665&lt;CFG_HOJE,"ATRASADA",IF($D665&lt;=EOMONTH(CFG_HOJE,0),"ABERTA","PROJETADA")))))</f>
        <v/>
      </c>
      <c r="P665" s="34" t="n">
        <f aca="false">IF($O665="ATRASADA",CFG_HOJE-$D665,0)</f>
        <v>0</v>
      </c>
      <c r="Q665" s="36" t="n">
        <f aca="false">IF($A665="",0,IF(AND($O665="PAGA",$J665="NAO"),$K665-$E665,0))</f>
        <v>0</v>
      </c>
    </row>
    <row r="666" customFormat="false" ht="15" hidden="false" customHeight="false" outlineLevel="0" collapsed="false">
      <c r="A666" s="30" t="str">
        <f aca="false">IF($B666="","","PAR-"&amp;TEXT(ROW()-4,"000000"))</f>
        <v/>
      </c>
      <c r="B666" s="32"/>
      <c r="C666" s="37"/>
      <c r="D666" s="31"/>
      <c r="E666" s="33"/>
      <c r="F666" s="32"/>
      <c r="G666" s="35" t="str">
        <f aca="false">IF($B666="","",IFERROR(INDEX(CM_NOME,MATCH($B666,CM_ID,0)),"?"))</f>
        <v/>
      </c>
      <c r="H666" s="34" t="str">
        <f aca="false">IF($B666="","",IFERROR(INDEX(CM_QTD,MATCH($B666,CM_ID,0)),""))</f>
        <v/>
      </c>
      <c r="I666" s="35" t="str">
        <f aca="false">IF($A666="","",$C666&amp;"/"&amp;$H666)</f>
        <v/>
      </c>
      <c r="J666" s="35" t="str">
        <f aca="false">IF($A666="","",IF($C666&lt;=IFERROR(INDEX(CM_PAGASANTES,MATCH($B666,CM_ID,0)),0),"SIM","NAO"))</f>
        <v/>
      </c>
      <c r="K666" s="36" t="n">
        <f aca="false">IF($A666="",0,SUMIFS(L_Valor,L_ParcID,$A666,L_Status,"REALIZADO"))</f>
        <v>0</v>
      </c>
      <c r="L666" s="38" t="str">
        <f aca="false">IF($A666="","",IFERROR(INDEX(L_Data,MATCH(1,INDEX((L_ParcID=$A666)*(L_Status="REALIZADO"),0),0)),""))</f>
        <v/>
      </c>
      <c r="M666" s="34" t="n">
        <f aca="false">IF($A666="",0,COUNTIFS(L_ParcID,$A666,L_Status,"REALIZADO"))</f>
        <v>0</v>
      </c>
      <c r="N666" s="34" t="n">
        <f aca="false">IF($A666="",0,COUNTIFS(L_ParcID,$A666,L_Status,"PROJETADO"))</f>
        <v>0</v>
      </c>
      <c r="O666" s="35" t="str">
        <f aca="false">IF($A666="","",IF($J666="SIM","PAGA",IF($M666&gt;0,"PAGA",IF($D666&lt;CFG_HOJE,"ATRASADA",IF($D666&lt;=EOMONTH(CFG_HOJE,0),"ABERTA","PROJETADA")))))</f>
        <v/>
      </c>
      <c r="P666" s="34" t="n">
        <f aca="false">IF($O666="ATRASADA",CFG_HOJE-$D666,0)</f>
        <v>0</v>
      </c>
      <c r="Q666" s="36" t="n">
        <f aca="false">IF($A666="",0,IF(AND($O666="PAGA",$J666="NAO"),$K666-$E666,0))</f>
        <v>0</v>
      </c>
    </row>
    <row r="667" customFormat="false" ht="15" hidden="false" customHeight="false" outlineLevel="0" collapsed="false">
      <c r="A667" s="30" t="str">
        <f aca="false">IF($B667="","","PAR-"&amp;TEXT(ROW()-4,"000000"))</f>
        <v/>
      </c>
      <c r="B667" s="32"/>
      <c r="C667" s="37"/>
      <c r="D667" s="31"/>
      <c r="E667" s="33"/>
      <c r="F667" s="32"/>
      <c r="G667" s="35" t="str">
        <f aca="false">IF($B667="","",IFERROR(INDEX(CM_NOME,MATCH($B667,CM_ID,0)),"?"))</f>
        <v/>
      </c>
      <c r="H667" s="34" t="str">
        <f aca="false">IF($B667="","",IFERROR(INDEX(CM_QTD,MATCH($B667,CM_ID,0)),""))</f>
        <v/>
      </c>
      <c r="I667" s="35" t="str">
        <f aca="false">IF($A667="","",$C667&amp;"/"&amp;$H667)</f>
        <v/>
      </c>
      <c r="J667" s="35" t="str">
        <f aca="false">IF($A667="","",IF($C667&lt;=IFERROR(INDEX(CM_PAGASANTES,MATCH($B667,CM_ID,0)),0),"SIM","NAO"))</f>
        <v/>
      </c>
      <c r="K667" s="36" t="n">
        <f aca="false">IF($A667="",0,SUMIFS(L_Valor,L_ParcID,$A667,L_Status,"REALIZADO"))</f>
        <v>0</v>
      </c>
      <c r="L667" s="38" t="str">
        <f aca="false">IF($A667="","",IFERROR(INDEX(L_Data,MATCH(1,INDEX((L_ParcID=$A667)*(L_Status="REALIZADO"),0),0)),""))</f>
        <v/>
      </c>
      <c r="M667" s="34" t="n">
        <f aca="false">IF($A667="",0,COUNTIFS(L_ParcID,$A667,L_Status,"REALIZADO"))</f>
        <v>0</v>
      </c>
      <c r="N667" s="34" t="n">
        <f aca="false">IF($A667="",0,COUNTIFS(L_ParcID,$A667,L_Status,"PROJETADO"))</f>
        <v>0</v>
      </c>
      <c r="O667" s="35" t="str">
        <f aca="false">IF($A667="","",IF($J667="SIM","PAGA",IF($M667&gt;0,"PAGA",IF($D667&lt;CFG_HOJE,"ATRASADA",IF($D667&lt;=EOMONTH(CFG_HOJE,0),"ABERTA","PROJETADA")))))</f>
        <v/>
      </c>
      <c r="P667" s="34" t="n">
        <f aca="false">IF($O667="ATRASADA",CFG_HOJE-$D667,0)</f>
        <v>0</v>
      </c>
      <c r="Q667" s="36" t="n">
        <f aca="false">IF($A667="",0,IF(AND($O667="PAGA",$J667="NAO"),$K667-$E667,0))</f>
        <v>0</v>
      </c>
    </row>
    <row r="668" customFormat="false" ht="15" hidden="false" customHeight="false" outlineLevel="0" collapsed="false">
      <c r="A668" s="30" t="str">
        <f aca="false">IF($B668="","","PAR-"&amp;TEXT(ROW()-4,"000000"))</f>
        <v/>
      </c>
      <c r="B668" s="32"/>
      <c r="C668" s="37"/>
      <c r="D668" s="31"/>
      <c r="E668" s="33"/>
      <c r="F668" s="32"/>
      <c r="G668" s="35" t="str">
        <f aca="false">IF($B668="","",IFERROR(INDEX(CM_NOME,MATCH($B668,CM_ID,0)),"?"))</f>
        <v/>
      </c>
      <c r="H668" s="34" t="str">
        <f aca="false">IF($B668="","",IFERROR(INDEX(CM_QTD,MATCH($B668,CM_ID,0)),""))</f>
        <v/>
      </c>
      <c r="I668" s="35" t="str">
        <f aca="false">IF($A668="","",$C668&amp;"/"&amp;$H668)</f>
        <v/>
      </c>
      <c r="J668" s="35" t="str">
        <f aca="false">IF($A668="","",IF($C668&lt;=IFERROR(INDEX(CM_PAGASANTES,MATCH($B668,CM_ID,0)),0),"SIM","NAO"))</f>
        <v/>
      </c>
      <c r="K668" s="36" t="n">
        <f aca="false">IF($A668="",0,SUMIFS(L_Valor,L_ParcID,$A668,L_Status,"REALIZADO"))</f>
        <v>0</v>
      </c>
      <c r="L668" s="38" t="str">
        <f aca="false">IF($A668="","",IFERROR(INDEX(L_Data,MATCH(1,INDEX((L_ParcID=$A668)*(L_Status="REALIZADO"),0),0)),""))</f>
        <v/>
      </c>
      <c r="M668" s="34" t="n">
        <f aca="false">IF($A668="",0,COUNTIFS(L_ParcID,$A668,L_Status,"REALIZADO"))</f>
        <v>0</v>
      </c>
      <c r="N668" s="34" t="n">
        <f aca="false">IF($A668="",0,COUNTIFS(L_ParcID,$A668,L_Status,"PROJETADO"))</f>
        <v>0</v>
      </c>
      <c r="O668" s="35" t="str">
        <f aca="false">IF($A668="","",IF($J668="SIM","PAGA",IF($M668&gt;0,"PAGA",IF($D668&lt;CFG_HOJE,"ATRASADA",IF($D668&lt;=EOMONTH(CFG_HOJE,0),"ABERTA","PROJETADA")))))</f>
        <v/>
      </c>
      <c r="P668" s="34" t="n">
        <f aca="false">IF($O668="ATRASADA",CFG_HOJE-$D668,0)</f>
        <v>0</v>
      </c>
      <c r="Q668" s="36" t="n">
        <f aca="false">IF($A668="",0,IF(AND($O668="PAGA",$J668="NAO"),$K668-$E668,0))</f>
        <v>0</v>
      </c>
    </row>
    <row r="669" customFormat="false" ht="15" hidden="false" customHeight="false" outlineLevel="0" collapsed="false">
      <c r="A669" s="30" t="str">
        <f aca="false">IF($B669="","","PAR-"&amp;TEXT(ROW()-4,"000000"))</f>
        <v/>
      </c>
      <c r="B669" s="32"/>
      <c r="C669" s="37"/>
      <c r="D669" s="31"/>
      <c r="E669" s="33"/>
      <c r="F669" s="32"/>
      <c r="G669" s="35" t="str">
        <f aca="false">IF($B669="","",IFERROR(INDEX(CM_NOME,MATCH($B669,CM_ID,0)),"?"))</f>
        <v/>
      </c>
      <c r="H669" s="34" t="str">
        <f aca="false">IF($B669="","",IFERROR(INDEX(CM_QTD,MATCH($B669,CM_ID,0)),""))</f>
        <v/>
      </c>
      <c r="I669" s="35" t="str">
        <f aca="false">IF($A669="","",$C669&amp;"/"&amp;$H669)</f>
        <v/>
      </c>
      <c r="J669" s="35" t="str">
        <f aca="false">IF($A669="","",IF($C669&lt;=IFERROR(INDEX(CM_PAGASANTES,MATCH($B669,CM_ID,0)),0),"SIM","NAO"))</f>
        <v/>
      </c>
      <c r="K669" s="36" t="n">
        <f aca="false">IF($A669="",0,SUMIFS(L_Valor,L_ParcID,$A669,L_Status,"REALIZADO"))</f>
        <v>0</v>
      </c>
      <c r="L669" s="38" t="str">
        <f aca="false">IF($A669="","",IFERROR(INDEX(L_Data,MATCH(1,INDEX((L_ParcID=$A669)*(L_Status="REALIZADO"),0),0)),""))</f>
        <v/>
      </c>
      <c r="M669" s="34" t="n">
        <f aca="false">IF($A669="",0,COUNTIFS(L_ParcID,$A669,L_Status,"REALIZADO"))</f>
        <v>0</v>
      </c>
      <c r="N669" s="34" t="n">
        <f aca="false">IF($A669="",0,COUNTIFS(L_ParcID,$A669,L_Status,"PROJETADO"))</f>
        <v>0</v>
      </c>
      <c r="O669" s="35" t="str">
        <f aca="false">IF($A669="","",IF($J669="SIM","PAGA",IF($M669&gt;0,"PAGA",IF($D669&lt;CFG_HOJE,"ATRASADA",IF($D669&lt;=EOMONTH(CFG_HOJE,0),"ABERTA","PROJETADA")))))</f>
        <v/>
      </c>
      <c r="P669" s="34" t="n">
        <f aca="false">IF($O669="ATRASADA",CFG_HOJE-$D669,0)</f>
        <v>0</v>
      </c>
      <c r="Q669" s="36" t="n">
        <f aca="false">IF($A669="",0,IF(AND($O669="PAGA",$J669="NAO"),$K669-$E669,0))</f>
        <v>0</v>
      </c>
    </row>
    <row r="670" customFormat="false" ht="15" hidden="false" customHeight="false" outlineLevel="0" collapsed="false">
      <c r="A670" s="30" t="str">
        <f aca="false">IF($B670="","","PAR-"&amp;TEXT(ROW()-4,"000000"))</f>
        <v/>
      </c>
      <c r="B670" s="32"/>
      <c r="C670" s="37"/>
      <c r="D670" s="31"/>
      <c r="E670" s="33"/>
      <c r="F670" s="32"/>
      <c r="G670" s="35" t="str">
        <f aca="false">IF($B670="","",IFERROR(INDEX(CM_NOME,MATCH($B670,CM_ID,0)),"?"))</f>
        <v/>
      </c>
      <c r="H670" s="34" t="str">
        <f aca="false">IF($B670="","",IFERROR(INDEX(CM_QTD,MATCH($B670,CM_ID,0)),""))</f>
        <v/>
      </c>
      <c r="I670" s="35" t="str">
        <f aca="false">IF($A670="","",$C670&amp;"/"&amp;$H670)</f>
        <v/>
      </c>
      <c r="J670" s="35" t="str">
        <f aca="false">IF($A670="","",IF($C670&lt;=IFERROR(INDEX(CM_PAGASANTES,MATCH($B670,CM_ID,0)),0),"SIM","NAO"))</f>
        <v/>
      </c>
      <c r="K670" s="36" t="n">
        <f aca="false">IF($A670="",0,SUMIFS(L_Valor,L_ParcID,$A670,L_Status,"REALIZADO"))</f>
        <v>0</v>
      </c>
      <c r="L670" s="38" t="str">
        <f aca="false">IF($A670="","",IFERROR(INDEX(L_Data,MATCH(1,INDEX((L_ParcID=$A670)*(L_Status="REALIZADO"),0),0)),""))</f>
        <v/>
      </c>
      <c r="M670" s="34" t="n">
        <f aca="false">IF($A670="",0,COUNTIFS(L_ParcID,$A670,L_Status,"REALIZADO"))</f>
        <v>0</v>
      </c>
      <c r="N670" s="34" t="n">
        <f aca="false">IF($A670="",0,COUNTIFS(L_ParcID,$A670,L_Status,"PROJETADO"))</f>
        <v>0</v>
      </c>
      <c r="O670" s="35" t="str">
        <f aca="false">IF($A670="","",IF($J670="SIM","PAGA",IF($M670&gt;0,"PAGA",IF($D670&lt;CFG_HOJE,"ATRASADA",IF($D670&lt;=EOMONTH(CFG_HOJE,0),"ABERTA","PROJETADA")))))</f>
        <v/>
      </c>
      <c r="P670" s="34" t="n">
        <f aca="false">IF($O670="ATRASADA",CFG_HOJE-$D670,0)</f>
        <v>0</v>
      </c>
      <c r="Q670" s="36" t="n">
        <f aca="false">IF($A670="",0,IF(AND($O670="PAGA",$J670="NAO"),$K670-$E670,0))</f>
        <v>0</v>
      </c>
    </row>
    <row r="671" customFormat="false" ht="15" hidden="false" customHeight="false" outlineLevel="0" collapsed="false">
      <c r="A671" s="30" t="str">
        <f aca="false">IF($B671="","","PAR-"&amp;TEXT(ROW()-4,"000000"))</f>
        <v/>
      </c>
      <c r="B671" s="32"/>
      <c r="C671" s="37"/>
      <c r="D671" s="31"/>
      <c r="E671" s="33"/>
      <c r="F671" s="32"/>
      <c r="G671" s="35" t="str">
        <f aca="false">IF($B671="","",IFERROR(INDEX(CM_NOME,MATCH($B671,CM_ID,0)),"?"))</f>
        <v/>
      </c>
      <c r="H671" s="34" t="str">
        <f aca="false">IF($B671="","",IFERROR(INDEX(CM_QTD,MATCH($B671,CM_ID,0)),""))</f>
        <v/>
      </c>
      <c r="I671" s="35" t="str">
        <f aca="false">IF($A671="","",$C671&amp;"/"&amp;$H671)</f>
        <v/>
      </c>
      <c r="J671" s="35" t="str">
        <f aca="false">IF($A671="","",IF($C671&lt;=IFERROR(INDEX(CM_PAGASANTES,MATCH($B671,CM_ID,0)),0),"SIM","NAO"))</f>
        <v/>
      </c>
      <c r="K671" s="36" t="n">
        <f aca="false">IF($A671="",0,SUMIFS(L_Valor,L_ParcID,$A671,L_Status,"REALIZADO"))</f>
        <v>0</v>
      </c>
      <c r="L671" s="38" t="str">
        <f aca="false">IF($A671="","",IFERROR(INDEX(L_Data,MATCH(1,INDEX((L_ParcID=$A671)*(L_Status="REALIZADO"),0),0)),""))</f>
        <v/>
      </c>
      <c r="M671" s="34" t="n">
        <f aca="false">IF($A671="",0,COUNTIFS(L_ParcID,$A671,L_Status,"REALIZADO"))</f>
        <v>0</v>
      </c>
      <c r="N671" s="34" t="n">
        <f aca="false">IF($A671="",0,COUNTIFS(L_ParcID,$A671,L_Status,"PROJETADO"))</f>
        <v>0</v>
      </c>
      <c r="O671" s="35" t="str">
        <f aca="false">IF($A671="","",IF($J671="SIM","PAGA",IF($M671&gt;0,"PAGA",IF($D671&lt;CFG_HOJE,"ATRASADA",IF($D671&lt;=EOMONTH(CFG_HOJE,0),"ABERTA","PROJETADA")))))</f>
        <v/>
      </c>
      <c r="P671" s="34" t="n">
        <f aca="false">IF($O671="ATRASADA",CFG_HOJE-$D671,0)</f>
        <v>0</v>
      </c>
      <c r="Q671" s="36" t="n">
        <f aca="false">IF($A671="",0,IF(AND($O671="PAGA",$J671="NAO"),$K671-$E671,0))</f>
        <v>0</v>
      </c>
    </row>
    <row r="672" customFormat="false" ht="15" hidden="false" customHeight="false" outlineLevel="0" collapsed="false">
      <c r="A672" s="30" t="str">
        <f aca="false">IF($B672="","","PAR-"&amp;TEXT(ROW()-4,"000000"))</f>
        <v/>
      </c>
      <c r="B672" s="32"/>
      <c r="C672" s="37"/>
      <c r="D672" s="31"/>
      <c r="E672" s="33"/>
      <c r="F672" s="32"/>
      <c r="G672" s="35" t="str">
        <f aca="false">IF($B672="","",IFERROR(INDEX(CM_NOME,MATCH($B672,CM_ID,0)),"?"))</f>
        <v/>
      </c>
      <c r="H672" s="34" t="str">
        <f aca="false">IF($B672="","",IFERROR(INDEX(CM_QTD,MATCH($B672,CM_ID,0)),""))</f>
        <v/>
      </c>
      <c r="I672" s="35" t="str">
        <f aca="false">IF($A672="","",$C672&amp;"/"&amp;$H672)</f>
        <v/>
      </c>
      <c r="J672" s="35" t="str">
        <f aca="false">IF($A672="","",IF($C672&lt;=IFERROR(INDEX(CM_PAGASANTES,MATCH($B672,CM_ID,0)),0),"SIM","NAO"))</f>
        <v/>
      </c>
      <c r="K672" s="36" t="n">
        <f aca="false">IF($A672="",0,SUMIFS(L_Valor,L_ParcID,$A672,L_Status,"REALIZADO"))</f>
        <v>0</v>
      </c>
      <c r="L672" s="38" t="str">
        <f aca="false">IF($A672="","",IFERROR(INDEX(L_Data,MATCH(1,INDEX((L_ParcID=$A672)*(L_Status="REALIZADO"),0),0)),""))</f>
        <v/>
      </c>
      <c r="M672" s="34" t="n">
        <f aca="false">IF($A672="",0,COUNTIFS(L_ParcID,$A672,L_Status,"REALIZADO"))</f>
        <v>0</v>
      </c>
      <c r="N672" s="34" t="n">
        <f aca="false">IF($A672="",0,COUNTIFS(L_ParcID,$A672,L_Status,"PROJETADO"))</f>
        <v>0</v>
      </c>
      <c r="O672" s="35" t="str">
        <f aca="false">IF($A672="","",IF($J672="SIM","PAGA",IF($M672&gt;0,"PAGA",IF($D672&lt;CFG_HOJE,"ATRASADA",IF($D672&lt;=EOMONTH(CFG_HOJE,0),"ABERTA","PROJETADA")))))</f>
        <v/>
      </c>
      <c r="P672" s="34" t="n">
        <f aca="false">IF($O672="ATRASADA",CFG_HOJE-$D672,0)</f>
        <v>0</v>
      </c>
      <c r="Q672" s="36" t="n">
        <f aca="false">IF($A672="",0,IF(AND($O672="PAGA",$J672="NAO"),$K672-$E672,0))</f>
        <v>0</v>
      </c>
    </row>
    <row r="673" customFormat="false" ht="15" hidden="false" customHeight="false" outlineLevel="0" collapsed="false">
      <c r="A673" s="30" t="str">
        <f aca="false">IF($B673="","","PAR-"&amp;TEXT(ROW()-4,"000000"))</f>
        <v/>
      </c>
      <c r="B673" s="32"/>
      <c r="C673" s="37"/>
      <c r="D673" s="31"/>
      <c r="E673" s="33"/>
      <c r="F673" s="32"/>
      <c r="G673" s="35" t="str">
        <f aca="false">IF($B673="","",IFERROR(INDEX(CM_NOME,MATCH($B673,CM_ID,0)),"?"))</f>
        <v/>
      </c>
      <c r="H673" s="34" t="str">
        <f aca="false">IF($B673="","",IFERROR(INDEX(CM_QTD,MATCH($B673,CM_ID,0)),""))</f>
        <v/>
      </c>
      <c r="I673" s="35" t="str">
        <f aca="false">IF($A673="","",$C673&amp;"/"&amp;$H673)</f>
        <v/>
      </c>
      <c r="J673" s="35" t="str">
        <f aca="false">IF($A673="","",IF($C673&lt;=IFERROR(INDEX(CM_PAGASANTES,MATCH($B673,CM_ID,0)),0),"SIM","NAO"))</f>
        <v/>
      </c>
      <c r="K673" s="36" t="n">
        <f aca="false">IF($A673="",0,SUMIFS(L_Valor,L_ParcID,$A673,L_Status,"REALIZADO"))</f>
        <v>0</v>
      </c>
      <c r="L673" s="38" t="str">
        <f aca="false">IF($A673="","",IFERROR(INDEX(L_Data,MATCH(1,INDEX((L_ParcID=$A673)*(L_Status="REALIZADO"),0),0)),""))</f>
        <v/>
      </c>
      <c r="M673" s="34" t="n">
        <f aca="false">IF($A673="",0,COUNTIFS(L_ParcID,$A673,L_Status,"REALIZADO"))</f>
        <v>0</v>
      </c>
      <c r="N673" s="34" t="n">
        <f aca="false">IF($A673="",0,COUNTIFS(L_ParcID,$A673,L_Status,"PROJETADO"))</f>
        <v>0</v>
      </c>
      <c r="O673" s="35" t="str">
        <f aca="false">IF($A673="","",IF($J673="SIM","PAGA",IF($M673&gt;0,"PAGA",IF($D673&lt;CFG_HOJE,"ATRASADA",IF($D673&lt;=EOMONTH(CFG_HOJE,0),"ABERTA","PROJETADA")))))</f>
        <v/>
      </c>
      <c r="P673" s="34" t="n">
        <f aca="false">IF($O673="ATRASADA",CFG_HOJE-$D673,0)</f>
        <v>0</v>
      </c>
      <c r="Q673" s="36" t="n">
        <f aca="false">IF($A673="",0,IF(AND($O673="PAGA",$J673="NAO"),$K673-$E673,0))</f>
        <v>0</v>
      </c>
    </row>
    <row r="674" customFormat="false" ht="15" hidden="false" customHeight="false" outlineLevel="0" collapsed="false">
      <c r="A674" s="30" t="str">
        <f aca="false">IF($B674="","","PAR-"&amp;TEXT(ROW()-4,"000000"))</f>
        <v/>
      </c>
      <c r="B674" s="32"/>
      <c r="C674" s="37"/>
      <c r="D674" s="31"/>
      <c r="E674" s="33"/>
      <c r="F674" s="32"/>
      <c r="G674" s="35" t="str">
        <f aca="false">IF($B674="","",IFERROR(INDEX(CM_NOME,MATCH($B674,CM_ID,0)),"?"))</f>
        <v/>
      </c>
      <c r="H674" s="34" t="str">
        <f aca="false">IF($B674="","",IFERROR(INDEX(CM_QTD,MATCH($B674,CM_ID,0)),""))</f>
        <v/>
      </c>
      <c r="I674" s="35" t="str">
        <f aca="false">IF($A674="","",$C674&amp;"/"&amp;$H674)</f>
        <v/>
      </c>
      <c r="J674" s="35" t="str">
        <f aca="false">IF($A674="","",IF($C674&lt;=IFERROR(INDEX(CM_PAGASANTES,MATCH($B674,CM_ID,0)),0),"SIM","NAO"))</f>
        <v/>
      </c>
      <c r="K674" s="36" t="n">
        <f aca="false">IF($A674="",0,SUMIFS(L_Valor,L_ParcID,$A674,L_Status,"REALIZADO"))</f>
        <v>0</v>
      </c>
      <c r="L674" s="38" t="str">
        <f aca="false">IF($A674="","",IFERROR(INDEX(L_Data,MATCH(1,INDEX((L_ParcID=$A674)*(L_Status="REALIZADO"),0),0)),""))</f>
        <v/>
      </c>
      <c r="M674" s="34" t="n">
        <f aca="false">IF($A674="",0,COUNTIFS(L_ParcID,$A674,L_Status,"REALIZADO"))</f>
        <v>0</v>
      </c>
      <c r="N674" s="34" t="n">
        <f aca="false">IF($A674="",0,COUNTIFS(L_ParcID,$A674,L_Status,"PROJETADO"))</f>
        <v>0</v>
      </c>
      <c r="O674" s="35" t="str">
        <f aca="false">IF($A674="","",IF($J674="SIM","PAGA",IF($M674&gt;0,"PAGA",IF($D674&lt;CFG_HOJE,"ATRASADA",IF($D674&lt;=EOMONTH(CFG_HOJE,0),"ABERTA","PROJETADA")))))</f>
        <v/>
      </c>
      <c r="P674" s="34" t="n">
        <f aca="false">IF($O674="ATRASADA",CFG_HOJE-$D674,0)</f>
        <v>0</v>
      </c>
      <c r="Q674" s="36" t="n">
        <f aca="false">IF($A674="",0,IF(AND($O674="PAGA",$J674="NAO"),$K674-$E674,0))</f>
        <v>0</v>
      </c>
    </row>
    <row r="675" customFormat="false" ht="15" hidden="false" customHeight="false" outlineLevel="0" collapsed="false">
      <c r="A675" s="30" t="str">
        <f aca="false">IF($B675="","","PAR-"&amp;TEXT(ROW()-4,"000000"))</f>
        <v/>
      </c>
      <c r="B675" s="32"/>
      <c r="C675" s="37"/>
      <c r="D675" s="31"/>
      <c r="E675" s="33"/>
      <c r="F675" s="32"/>
      <c r="G675" s="35" t="str">
        <f aca="false">IF($B675="","",IFERROR(INDEX(CM_NOME,MATCH($B675,CM_ID,0)),"?"))</f>
        <v/>
      </c>
      <c r="H675" s="34" t="str">
        <f aca="false">IF($B675="","",IFERROR(INDEX(CM_QTD,MATCH($B675,CM_ID,0)),""))</f>
        <v/>
      </c>
      <c r="I675" s="35" t="str">
        <f aca="false">IF($A675="","",$C675&amp;"/"&amp;$H675)</f>
        <v/>
      </c>
      <c r="J675" s="35" t="str">
        <f aca="false">IF($A675="","",IF($C675&lt;=IFERROR(INDEX(CM_PAGASANTES,MATCH($B675,CM_ID,0)),0),"SIM","NAO"))</f>
        <v/>
      </c>
      <c r="K675" s="36" t="n">
        <f aca="false">IF($A675="",0,SUMIFS(L_Valor,L_ParcID,$A675,L_Status,"REALIZADO"))</f>
        <v>0</v>
      </c>
      <c r="L675" s="38" t="str">
        <f aca="false">IF($A675="","",IFERROR(INDEX(L_Data,MATCH(1,INDEX((L_ParcID=$A675)*(L_Status="REALIZADO"),0),0)),""))</f>
        <v/>
      </c>
      <c r="M675" s="34" t="n">
        <f aca="false">IF($A675="",0,COUNTIFS(L_ParcID,$A675,L_Status,"REALIZADO"))</f>
        <v>0</v>
      </c>
      <c r="N675" s="34" t="n">
        <f aca="false">IF($A675="",0,COUNTIFS(L_ParcID,$A675,L_Status,"PROJETADO"))</f>
        <v>0</v>
      </c>
      <c r="O675" s="35" t="str">
        <f aca="false">IF($A675="","",IF($J675="SIM","PAGA",IF($M675&gt;0,"PAGA",IF($D675&lt;CFG_HOJE,"ATRASADA",IF($D675&lt;=EOMONTH(CFG_HOJE,0),"ABERTA","PROJETADA")))))</f>
        <v/>
      </c>
      <c r="P675" s="34" t="n">
        <f aca="false">IF($O675="ATRASADA",CFG_HOJE-$D675,0)</f>
        <v>0</v>
      </c>
      <c r="Q675" s="36" t="n">
        <f aca="false">IF($A675="",0,IF(AND($O675="PAGA",$J675="NAO"),$K675-$E675,0))</f>
        <v>0</v>
      </c>
    </row>
    <row r="676" customFormat="false" ht="15" hidden="false" customHeight="false" outlineLevel="0" collapsed="false">
      <c r="A676" s="30" t="str">
        <f aca="false">IF($B676="","","PAR-"&amp;TEXT(ROW()-4,"000000"))</f>
        <v/>
      </c>
      <c r="B676" s="32"/>
      <c r="C676" s="37"/>
      <c r="D676" s="31"/>
      <c r="E676" s="33"/>
      <c r="F676" s="32"/>
      <c r="G676" s="35" t="str">
        <f aca="false">IF($B676="","",IFERROR(INDEX(CM_NOME,MATCH($B676,CM_ID,0)),"?"))</f>
        <v/>
      </c>
      <c r="H676" s="34" t="str">
        <f aca="false">IF($B676="","",IFERROR(INDEX(CM_QTD,MATCH($B676,CM_ID,0)),""))</f>
        <v/>
      </c>
      <c r="I676" s="35" t="str">
        <f aca="false">IF($A676="","",$C676&amp;"/"&amp;$H676)</f>
        <v/>
      </c>
      <c r="J676" s="35" t="str">
        <f aca="false">IF($A676="","",IF($C676&lt;=IFERROR(INDEX(CM_PAGASANTES,MATCH($B676,CM_ID,0)),0),"SIM","NAO"))</f>
        <v/>
      </c>
      <c r="K676" s="36" t="n">
        <f aca="false">IF($A676="",0,SUMIFS(L_Valor,L_ParcID,$A676,L_Status,"REALIZADO"))</f>
        <v>0</v>
      </c>
      <c r="L676" s="38" t="str">
        <f aca="false">IF($A676="","",IFERROR(INDEX(L_Data,MATCH(1,INDEX((L_ParcID=$A676)*(L_Status="REALIZADO"),0),0)),""))</f>
        <v/>
      </c>
      <c r="M676" s="34" t="n">
        <f aca="false">IF($A676="",0,COUNTIFS(L_ParcID,$A676,L_Status,"REALIZADO"))</f>
        <v>0</v>
      </c>
      <c r="N676" s="34" t="n">
        <f aca="false">IF($A676="",0,COUNTIFS(L_ParcID,$A676,L_Status,"PROJETADO"))</f>
        <v>0</v>
      </c>
      <c r="O676" s="35" t="str">
        <f aca="false">IF($A676="","",IF($J676="SIM","PAGA",IF($M676&gt;0,"PAGA",IF($D676&lt;CFG_HOJE,"ATRASADA",IF($D676&lt;=EOMONTH(CFG_HOJE,0),"ABERTA","PROJETADA")))))</f>
        <v/>
      </c>
      <c r="P676" s="34" t="n">
        <f aca="false">IF($O676="ATRASADA",CFG_HOJE-$D676,0)</f>
        <v>0</v>
      </c>
      <c r="Q676" s="36" t="n">
        <f aca="false">IF($A676="",0,IF(AND($O676="PAGA",$J676="NAO"),$K676-$E676,0))</f>
        <v>0</v>
      </c>
    </row>
    <row r="677" customFormat="false" ht="15" hidden="false" customHeight="false" outlineLevel="0" collapsed="false">
      <c r="A677" s="30" t="str">
        <f aca="false">IF($B677="","","PAR-"&amp;TEXT(ROW()-4,"000000"))</f>
        <v/>
      </c>
      <c r="B677" s="32"/>
      <c r="C677" s="37"/>
      <c r="D677" s="31"/>
      <c r="E677" s="33"/>
      <c r="F677" s="32"/>
      <c r="G677" s="35" t="str">
        <f aca="false">IF($B677="","",IFERROR(INDEX(CM_NOME,MATCH($B677,CM_ID,0)),"?"))</f>
        <v/>
      </c>
      <c r="H677" s="34" t="str">
        <f aca="false">IF($B677="","",IFERROR(INDEX(CM_QTD,MATCH($B677,CM_ID,0)),""))</f>
        <v/>
      </c>
      <c r="I677" s="35" t="str">
        <f aca="false">IF($A677="","",$C677&amp;"/"&amp;$H677)</f>
        <v/>
      </c>
      <c r="J677" s="35" t="str">
        <f aca="false">IF($A677="","",IF($C677&lt;=IFERROR(INDEX(CM_PAGASANTES,MATCH($B677,CM_ID,0)),0),"SIM","NAO"))</f>
        <v/>
      </c>
      <c r="K677" s="36" t="n">
        <f aca="false">IF($A677="",0,SUMIFS(L_Valor,L_ParcID,$A677,L_Status,"REALIZADO"))</f>
        <v>0</v>
      </c>
      <c r="L677" s="38" t="str">
        <f aca="false">IF($A677="","",IFERROR(INDEX(L_Data,MATCH(1,INDEX((L_ParcID=$A677)*(L_Status="REALIZADO"),0),0)),""))</f>
        <v/>
      </c>
      <c r="M677" s="34" t="n">
        <f aca="false">IF($A677="",0,COUNTIFS(L_ParcID,$A677,L_Status,"REALIZADO"))</f>
        <v>0</v>
      </c>
      <c r="N677" s="34" t="n">
        <f aca="false">IF($A677="",0,COUNTIFS(L_ParcID,$A677,L_Status,"PROJETADO"))</f>
        <v>0</v>
      </c>
      <c r="O677" s="35" t="str">
        <f aca="false">IF($A677="","",IF($J677="SIM","PAGA",IF($M677&gt;0,"PAGA",IF($D677&lt;CFG_HOJE,"ATRASADA",IF($D677&lt;=EOMONTH(CFG_HOJE,0),"ABERTA","PROJETADA")))))</f>
        <v/>
      </c>
      <c r="P677" s="34" t="n">
        <f aca="false">IF($O677="ATRASADA",CFG_HOJE-$D677,0)</f>
        <v>0</v>
      </c>
      <c r="Q677" s="36" t="n">
        <f aca="false">IF($A677="",0,IF(AND($O677="PAGA",$J677="NAO"),$K677-$E677,0))</f>
        <v>0</v>
      </c>
    </row>
    <row r="678" customFormat="false" ht="15" hidden="false" customHeight="false" outlineLevel="0" collapsed="false">
      <c r="A678" s="30" t="str">
        <f aca="false">IF($B678="","","PAR-"&amp;TEXT(ROW()-4,"000000"))</f>
        <v/>
      </c>
      <c r="B678" s="32"/>
      <c r="C678" s="37"/>
      <c r="D678" s="31"/>
      <c r="E678" s="33"/>
      <c r="F678" s="32"/>
      <c r="G678" s="35" t="str">
        <f aca="false">IF($B678="","",IFERROR(INDEX(CM_NOME,MATCH($B678,CM_ID,0)),"?"))</f>
        <v/>
      </c>
      <c r="H678" s="34" t="str">
        <f aca="false">IF($B678="","",IFERROR(INDEX(CM_QTD,MATCH($B678,CM_ID,0)),""))</f>
        <v/>
      </c>
      <c r="I678" s="35" t="str">
        <f aca="false">IF($A678="","",$C678&amp;"/"&amp;$H678)</f>
        <v/>
      </c>
      <c r="J678" s="35" t="str">
        <f aca="false">IF($A678="","",IF($C678&lt;=IFERROR(INDEX(CM_PAGASANTES,MATCH($B678,CM_ID,0)),0),"SIM","NAO"))</f>
        <v/>
      </c>
      <c r="K678" s="36" t="n">
        <f aca="false">IF($A678="",0,SUMIFS(L_Valor,L_ParcID,$A678,L_Status,"REALIZADO"))</f>
        <v>0</v>
      </c>
      <c r="L678" s="38" t="str">
        <f aca="false">IF($A678="","",IFERROR(INDEX(L_Data,MATCH(1,INDEX((L_ParcID=$A678)*(L_Status="REALIZADO"),0),0)),""))</f>
        <v/>
      </c>
      <c r="M678" s="34" t="n">
        <f aca="false">IF($A678="",0,COUNTIFS(L_ParcID,$A678,L_Status,"REALIZADO"))</f>
        <v>0</v>
      </c>
      <c r="N678" s="34" t="n">
        <f aca="false">IF($A678="",0,COUNTIFS(L_ParcID,$A678,L_Status,"PROJETADO"))</f>
        <v>0</v>
      </c>
      <c r="O678" s="35" t="str">
        <f aca="false">IF($A678="","",IF($J678="SIM","PAGA",IF($M678&gt;0,"PAGA",IF($D678&lt;CFG_HOJE,"ATRASADA",IF($D678&lt;=EOMONTH(CFG_HOJE,0),"ABERTA","PROJETADA")))))</f>
        <v/>
      </c>
      <c r="P678" s="34" t="n">
        <f aca="false">IF($O678="ATRASADA",CFG_HOJE-$D678,0)</f>
        <v>0</v>
      </c>
      <c r="Q678" s="36" t="n">
        <f aca="false">IF($A678="",0,IF(AND($O678="PAGA",$J678="NAO"),$K678-$E678,0))</f>
        <v>0</v>
      </c>
    </row>
    <row r="679" customFormat="false" ht="15" hidden="false" customHeight="false" outlineLevel="0" collapsed="false">
      <c r="A679" s="30" t="str">
        <f aca="false">IF($B679="","","PAR-"&amp;TEXT(ROW()-4,"000000"))</f>
        <v/>
      </c>
      <c r="B679" s="32"/>
      <c r="C679" s="37"/>
      <c r="D679" s="31"/>
      <c r="E679" s="33"/>
      <c r="F679" s="32"/>
      <c r="G679" s="35" t="str">
        <f aca="false">IF($B679="","",IFERROR(INDEX(CM_NOME,MATCH($B679,CM_ID,0)),"?"))</f>
        <v/>
      </c>
      <c r="H679" s="34" t="str">
        <f aca="false">IF($B679="","",IFERROR(INDEX(CM_QTD,MATCH($B679,CM_ID,0)),""))</f>
        <v/>
      </c>
      <c r="I679" s="35" t="str">
        <f aca="false">IF($A679="","",$C679&amp;"/"&amp;$H679)</f>
        <v/>
      </c>
      <c r="J679" s="35" t="str">
        <f aca="false">IF($A679="","",IF($C679&lt;=IFERROR(INDEX(CM_PAGASANTES,MATCH($B679,CM_ID,0)),0),"SIM","NAO"))</f>
        <v/>
      </c>
      <c r="K679" s="36" t="n">
        <f aca="false">IF($A679="",0,SUMIFS(L_Valor,L_ParcID,$A679,L_Status,"REALIZADO"))</f>
        <v>0</v>
      </c>
      <c r="L679" s="38" t="str">
        <f aca="false">IF($A679="","",IFERROR(INDEX(L_Data,MATCH(1,INDEX((L_ParcID=$A679)*(L_Status="REALIZADO"),0),0)),""))</f>
        <v/>
      </c>
      <c r="M679" s="34" t="n">
        <f aca="false">IF($A679="",0,COUNTIFS(L_ParcID,$A679,L_Status,"REALIZADO"))</f>
        <v>0</v>
      </c>
      <c r="N679" s="34" t="n">
        <f aca="false">IF($A679="",0,COUNTIFS(L_ParcID,$A679,L_Status,"PROJETADO"))</f>
        <v>0</v>
      </c>
      <c r="O679" s="35" t="str">
        <f aca="false">IF($A679="","",IF($J679="SIM","PAGA",IF($M679&gt;0,"PAGA",IF($D679&lt;CFG_HOJE,"ATRASADA",IF($D679&lt;=EOMONTH(CFG_HOJE,0),"ABERTA","PROJETADA")))))</f>
        <v/>
      </c>
      <c r="P679" s="34" t="n">
        <f aca="false">IF($O679="ATRASADA",CFG_HOJE-$D679,0)</f>
        <v>0</v>
      </c>
      <c r="Q679" s="36" t="n">
        <f aca="false">IF($A679="",0,IF(AND($O679="PAGA",$J679="NAO"),$K679-$E679,0))</f>
        <v>0</v>
      </c>
    </row>
    <row r="680" customFormat="false" ht="15" hidden="false" customHeight="false" outlineLevel="0" collapsed="false">
      <c r="A680" s="30" t="str">
        <f aca="false">IF($B680="","","PAR-"&amp;TEXT(ROW()-4,"000000"))</f>
        <v/>
      </c>
      <c r="B680" s="32"/>
      <c r="C680" s="37"/>
      <c r="D680" s="31"/>
      <c r="E680" s="33"/>
      <c r="F680" s="32"/>
      <c r="G680" s="35" t="str">
        <f aca="false">IF($B680="","",IFERROR(INDEX(CM_NOME,MATCH($B680,CM_ID,0)),"?"))</f>
        <v/>
      </c>
      <c r="H680" s="34" t="str">
        <f aca="false">IF($B680="","",IFERROR(INDEX(CM_QTD,MATCH($B680,CM_ID,0)),""))</f>
        <v/>
      </c>
      <c r="I680" s="35" t="str">
        <f aca="false">IF($A680="","",$C680&amp;"/"&amp;$H680)</f>
        <v/>
      </c>
      <c r="J680" s="35" t="str">
        <f aca="false">IF($A680="","",IF($C680&lt;=IFERROR(INDEX(CM_PAGASANTES,MATCH($B680,CM_ID,0)),0),"SIM","NAO"))</f>
        <v/>
      </c>
      <c r="K680" s="36" t="n">
        <f aca="false">IF($A680="",0,SUMIFS(L_Valor,L_ParcID,$A680,L_Status,"REALIZADO"))</f>
        <v>0</v>
      </c>
      <c r="L680" s="38" t="str">
        <f aca="false">IF($A680="","",IFERROR(INDEX(L_Data,MATCH(1,INDEX((L_ParcID=$A680)*(L_Status="REALIZADO"),0),0)),""))</f>
        <v/>
      </c>
      <c r="M680" s="34" t="n">
        <f aca="false">IF($A680="",0,COUNTIFS(L_ParcID,$A680,L_Status,"REALIZADO"))</f>
        <v>0</v>
      </c>
      <c r="N680" s="34" t="n">
        <f aca="false">IF($A680="",0,COUNTIFS(L_ParcID,$A680,L_Status,"PROJETADO"))</f>
        <v>0</v>
      </c>
      <c r="O680" s="35" t="str">
        <f aca="false">IF($A680="","",IF($J680="SIM","PAGA",IF($M680&gt;0,"PAGA",IF($D680&lt;CFG_HOJE,"ATRASADA",IF($D680&lt;=EOMONTH(CFG_HOJE,0),"ABERTA","PROJETADA")))))</f>
        <v/>
      </c>
      <c r="P680" s="34" t="n">
        <f aca="false">IF($O680="ATRASADA",CFG_HOJE-$D680,0)</f>
        <v>0</v>
      </c>
      <c r="Q680" s="36" t="n">
        <f aca="false">IF($A680="",0,IF(AND($O680="PAGA",$J680="NAO"),$K680-$E680,0))</f>
        <v>0</v>
      </c>
    </row>
    <row r="681" customFormat="false" ht="15" hidden="false" customHeight="false" outlineLevel="0" collapsed="false">
      <c r="A681" s="30" t="str">
        <f aca="false">IF($B681="","","PAR-"&amp;TEXT(ROW()-4,"000000"))</f>
        <v/>
      </c>
      <c r="B681" s="32"/>
      <c r="C681" s="37"/>
      <c r="D681" s="31"/>
      <c r="E681" s="33"/>
      <c r="F681" s="32"/>
      <c r="G681" s="35" t="str">
        <f aca="false">IF($B681="","",IFERROR(INDEX(CM_NOME,MATCH($B681,CM_ID,0)),"?"))</f>
        <v/>
      </c>
      <c r="H681" s="34" t="str">
        <f aca="false">IF($B681="","",IFERROR(INDEX(CM_QTD,MATCH($B681,CM_ID,0)),""))</f>
        <v/>
      </c>
      <c r="I681" s="35" t="str">
        <f aca="false">IF($A681="","",$C681&amp;"/"&amp;$H681)</f>
        <v/>
      </c>
      <c r="J681" s="35" t="str">
        <f aca="false">IF($A681="","",IF($C681&lt;=IFERROR(INDEX(CM_PAGASANTES,MATCH($B681,CM_ID,0)),0),"SIM","NAO"))</f>
        <v/>
      </c>
      <c r="K681" s="36" t="n">
        <f aca="false">IF($A681="",0,SUMIFS(L_Valor,L_ParcID,$A681,L_Status,"REALIZADO"))</f>
        <v>0</v>
      </c>
      <c r="L681" s="38" t="str">
        <f aca="false">IF($A681="","",IFERROR(INDEX(L_Data,MATCH(1,INDEX((L_ParcID=$A681)*(L_Status="REALIZADO"),0),0)),""))</f>
        <v/>
      </c>
      <c r="M681" s="34" t="n">
        <f aca="false">IF($A681="",0,COUNTIFS(L_ParcID,$A681,L_Status,"REALIZADO"))</f>
        <v>0</v>
      </c>
      <c r="N681" s="34" t="n">
        <f aca="false">IF($A681="",0,COUNTIFS(L_ParcID,$A681,L_Status,"PROJETADO"))</f>
        <v>0</v>
      </c>
      <c r="O681" s="35" t="str">
        <f aca="false">IF($A681="","",IF($J681="SIM","PAGA",IF($M681&gt;0,"PAGA",IF($D681&lt;CFG_HOJE,"ATRASADA",IF($D681&lt;=EOMONTH(CFG_HOJE,0),"ABERTA","PROJETADA")))))</f>
        <v/>
      </c>
      <c r="P681" s="34" t="n">
        <f aca="false">IF($O681="ATRASADA",CFG_HOJE-$D681,0)</f>
        <v>0</v>
      </c>
      <c r="Q681" s="36" t="n">
        <f aca="false">IF($A681="",0,IF(AND($O681="PAGA",$J681="NAO"),$K681-$E681,0))</f>
        <v>0</v>
      </c>
    </row>
    <row r="682" customFormat="false" ht="15" hidden="false" customHeight="false" outlineLevel="0" collapsed="false">
      <c r="A682" s="30" t="str">
        <f aca="false">IF($B682="","","PAR-"&amp;TEXT(ROW()-4,"000000"))</f>
        <v/>
      </c>
      <c r="B682" s="32"/>
      <c r="C682" s="37"/>
      <c r="D682" s="31"/>
      <c r="E682" s="33"/>
      <c r="F682" s="32"/>
      <c r="G682" s="35" t="str">
        <f aca="false">IF($B682="","",IFERROR(INDEX(CM_NOME,MATCH($B682,CM_ID,0)),"?"))</f>
        <v/>
      </c>
      <c r="H682" s="34" t="str">
        <f aca="false">IF($B682="","",IFERROR(INDEX(CM_QTD,MATCH($B682,CM_ID,0)),""))</f>
        <v/>
      </c>
      <c r="I682" s="35" t="str">
        <f aca="false">IF($A682="","",$C682&amp;"/"&amp;$H682)</f>
        <v/>
      </c>
      <c r="J682" s="35" t="str">
        <f aca="false">IF($A682="","",IF($C682&lt;=IFERROR(INDEX(CM_PAGASANTES,MATCH($B682,CM_ID,0)),0),"SIM","NAO"))</f>
        <v/>
      </c>
      <c r="K682" s="36" t="n">
        <f aca="false">IF($A682="",0,SUMIFS(L_Valor,L_ParcID,$A682,L_Status,"REALIZADO"))</f>
        <v>0</v>
      </c>
      <c r="L682" s="38" t="str">
        <f aca="false">IF($A682="","",IFERROR(INDEX(L_Data,MATCH(1,INDEX((L_ParcID=$A682)*(L_Status="REALIZADO"),0),0)),""))</f>
        <v/>
      </c>
      <c r="M682" s="34" t="n">
        <f aca="false">IF($A682="",0,COUNTIFS(L_ParcID,$A682,L_Status,"REALIZADO"))</f>
        <v>0</v>
      </c>
      <c r="N682" s="34" t="n">
        <f aca="false">IF($A682="",0,COUNTIFS(L_ParcID,$A682,L_Status,"PROJETADO"))</f>
        <v>0</v>
      </c>
      <c r="O682" s="35" t="str">
        <f aca="false">IF($A682="","",IF($J682="SIM","PAGA",IF($M682&gt;0,"PAGA",IF($D682&lt;CFG_HOJE,"ATRASADA",IF($D682&lt;=EOMONTH(CFG_HOJE,0),"ABERTA","PROJETADA")))))</f>
        <v/>
      </c>
      <c r="P682" s="34" t="n">
        <f aca="false">IF($O682="ATRASADA",CFG_HOJE-$D682,0)</f>
        <v>0</v>
      </c>
      <c r="Q682" s="36" t="n">
        <f aca="false">IF($A682="",0,IF(AND($O682="PAGA",$J682="NAO"),$K682-$E682,0))</f>
        <v>0</v>
      </c>
    </row>
    <row r="683" customFormat="false" ht="15" hidden="false" customHeight="false" outlineLevel="0" collapsed="false">
      <c r="A683" s="30" t="str">
        <f aca="false">IF($B683="","","PAR-"&amp;TEXT(ROW()-4,"000000"))</f>
        <v/>
      </c>
      <c r="B683" s="32"/>
      <c r="C683" s="37"/>
      <c r="D683" s="31"/>
      <c r="E683" s="33"/>
      <c r="F683" s="32"/>
      <c r="G683" s="35" t="str">
        <f aca="false">IF($B683="","",IFERROR(INDEX(CM_NOME,MATCH($B683,CM_ID,0)),"?"))</f>
        <v/>
      </c>
      <c r="H683" s="34" t="str">
        <f aca="false">IF($B683="","",IFERROR(INDEX(CM_QTD,MATCH($B683,CM_ID,0)),""))</f>
        <v/>
      </c>
      <c r="I683" s="35" t="str">
        <f aca="false">IF($A683="","",$C683&amp;"/"&amp;$H683)</f>
        <v/>
      </c>
      <c r="J683" s="35" t="str">
        <f aca="false">IF($A683="","",IF($C683&lt;=IFERROR(INDEX(CM_PAGASANTES,MATCH($B683,CM_ID,0)),0),"SIM","NAO"))</f>
        <v/>
      </c>
      <c r="K683" s="36" t="n">
        <f aca="false">IF($A683="",0,SUMIFS(L_Valor,L_ParcID,$A683,L_Status,"REALIZADO"))</f>
        <v>0</v>
      </c>
      <c r="L683" s="38" t="str">
        <f aca="false">IF($A683="","",IFERROR(INDEX(L_Data,MATCH(1,INDEX((L_ParcID=$A683)*(L_Status="REALIZADO"),0),0)),""))</f>
        <v/>
      </c>
      <c r="M683" s="34" t="n">
        <f aca="false">IF($A683="",0,COUNTIFS(L_ParcID,$A683,L_Status,"REALIZADO"))</f>
        <v>0</v>
      </c>
      <c r="N683" s="34" t="n">
        <f aca="false">IF($A683="",0,COUNTIFS(L_ParcID,$A683,L_Status,"PROJETADO"))</f>
        <v>0</v>
      </c>
      <c r="O683" s="35" t="str">
        <f aca="false">IF($A683="","",IF($J683="SIM","PAGA",IF($M683&gt;0,"PAGA",IF($D683&lt;CFG_HOJE,"ATRASADA",IF($D683&lt;=EOMONTH(CFG_HOJE,0),"ABERTA","PROJETADA")))))</f>
        <v/>
      </c>
      <c r="P683" s="34" t="n">
        <f aca="false">IF($O683="ATRASADA",CFG_HOJE-$D683,0)</f>
        <v>0</v>
      </c>
      <c r="Q683" s="36" t="n">
        <f aca="false">IF($A683="",0,IF(AND($O683="PAGA",$J683="NAO"),$K683-$E683,0))</f>
        <v>0</v>
      </c>
    </row>
    <row r="684" customFormat="false" ht="15" hidden="false" customHeight="false" outlineLevel="0" collapsed="false">
      <c r="A684" s="30" t="str">
        <f aca="false">IF($B684="","","PAR-"&amp;TEXT(ROW()-4,"000000"))</f>
        <v/>
      </c>
      <c r="B684" s="32"/>
      <c r="C684" s="37"/>
      <c r="D684" s="31"/>
      <c r="E684" s="33"/>
      <c r="F684" s="32"/>
      <c r="G684" s="35" t="str">
        <f aca="false">IF($B684="","",IFERROR(INDEX(CM_NOME,MATCH($B684,CM_ID,0)),"?"))</f>
        <v/>
      </c>
      <c r="H684" s="34" t="str">
        <f aca="false">IF($B684="","",IFERROR(INDEX(CM_QTD,MATCH($B684,CM_ID,0)),""))</f>
        <v/>
      </c>
      <c r="I684" s="35" t="str">
        <f aca="false">IF($A684="","",$C684&amp;"/"&amp;$H684)</f>
        <v/>
      </c>
      <c r="J684" s="35" t="str">
        <f aca="false">IF($A684="","",IF($C684&lt;=IFERROR(INDEX(CM_PAGASANTES,MATCH($B684,CM_ID,0)),0),"SIM","NAO"))</f>
        <v/>
      </c>
      <c r="K684" s="36" t="n">
        <f aca="false">IF($A684="",0,SUMIFS(L_Valor,L_ParcID,$A684,L_Status,"REALIZADO"))</f>
        <v>0</v>
      </c>
      <c r="L684" s="38" t="str">
        <f aca="false">IF($A684="","",IFERROR(INDEX(L_Data,MATCH(1,INDEX((L_ParcID=$A684)*(L_Status="REALIZADO"),0),0)),""))</f>
        <v/>
      </c>
      <c r="M684" s="34" t="n">
        <f aca="false">IF($A684="",0,COUNTIFS(L_ParcID,$A684,L_Status,"REALIZADO"))</f>
        <v>0</v>
      </c>
      <c r="N684" s="34" t="n">
        <f aca="false">IF($A684="",0,COUNTIFS(L_ParcID,$A684,L_Status,"PROJETADO"))</f>
        <v>0</v>
      </c>
      <c r="O684" s="35" t="str">
        <f aca="false">IF($A684="","",IF($J684="SIM","PAGA",IF($M684&gt;0,"PAGA",IF($D684&lt;CFG_HOJE,"ATRASADA",IF($D684&lt;=EOMONTH(CFG_HOJE,0),"ABERTA","PROJETADA")))))</f>
        <v/>
      </c>
      <c r="P684" s="34" t="n">
        <f aca="false">IF($O684="ATRASADA",CFG_HOJE-$D684,0)</f>
        <v>0</v>
      </c>
      <c r="Q684" s="36" t="n">
        <f aca="false">IF($A684="",0,IF(AND($O684="PAGA",$J684="NAO"),$K684-$E684,0))</f>
        <v>0</v>
      </c>
    </row>
    <row r="685" customFormat="false" ht="15" hidden="false" customHeight="false" outlineLevel="0" collapsed="false">
      <c r="A685" s="30" t="str">
        <f aca="false">IF($B685="","","PAR-"&amp;TEXT(ROW()-4,"000000"))</f>
        <v/>
      </c>
      <c r="B685" s="32"/>
      <c r="C685" s="37"/>
      <c r="D685" s="31"/>
      <c r="E685" s="33"/>
      <c r="F685" s="32"/>
      <c r="G685" s="35" t="str">
        <f aca="false">IF($B685="","",IFERROR(INDEX(CM_NOME,MATCH($B685,CM_ID,0)),"?"))</f>
        <v/>
      </c>
      <c r="H685" s="34" t="str">
        <f aca="false">IF($B685="","",IFERROR(INDEX(CM_QTD,MATCH($B685,CM_ID,0)),""))</f>
        <v/>
      </c>
      <c r="I685" s="35" t="str">
        <f aca="false">IF($A685="","",$C685&amp;"/"&amp;$H685)</f>
        <v/>
      </c>
      <c r="J685" s="35" t="str">
        <f aca="false">IF($A685="","",IF($C685&lt;=IFERROR(INDEX(CM_PAGASANTES,MATCH($B685,CM_ID,0)),0),"SIM","NAO"))</f>
        <v/>
      </c>
      <c r="K685" s="36" t="n">
        <f aca="false">IF($A685="",0,SUMIFS(L_Valor,L_ParcID,$A685,L_Status,"REALIZADO"))</f>
        <v>0</v>
      </c>
      <c r="L685" s="38" t="str">
        <f aca="false">IF($A685="","",IFERROR(INDEX(L_Data,MATCH(1,INDEX((L_ParcID=$A685)*(L_Status="REALIZADO"),0),0)),""))</f>
        <v/>
      </c>
      <c r="M685" s="34" t="n">
        <f aca="false">IF($A685="",0,COUNTIFS(L_ParcID,$A685,L_Status,"REALIZADO"))</f>
        <v>0</v>
      </c>
      <c r="N685" s="34" t="n">
        <f aca="false">IF($A685="",0,COUNTIFS(L_ParcID,$A685,L_Status,"PROJETADO"))</f>
        <v>0</v>
      </c>
      <c r="O685" s="35" t="str">
        <f aca="false">IF($A685="","",IF($J685="SIM","PAGA",IF($M685&gt;0,"PAGA",IF($D685&lt;CFG_HOJE,"ATRASADA",IF($D685&lt;=EOMONTH(CFG_HOJE,0),"ABERTA","PROJETADA")))))</f>
        <v/>
      </c>
      <c r="P685" s="34" t="n">
        <f aca="false">IF($O685="ATRASADA",CFG_HOJE-$D685,0)</f>
        <v>0</v>
      </c>
      <c r="Q685" s="36" t="n">
        <f aca="false">IF($A685="",0,IF(AND($O685="PAGA",$J685="NAO"),$K685-$E685,0))</f>
        <v>0</v>
      </c>
    </row>
    <row r="686" customFormat="false" ht="15" hidden="false" customHeight="false" outlineLevel="0" collapsed="false">
      <c r="A686" s="30" t="str">
        <f aca="false">IF($B686="","","PAR-"&amp;TEXT(ROW()-4,"000000"))</f>
        <v/>
      </c>
      <c r="B686" s="32"/>
      <c r="C686" s="37"/>
      <c r="D686" s="31"/>
      <c r="E686" s="33"/>
      <c r="F686" s="32"/>
      <c r="G686" s="35" t="str">
        <f aca="false">IF($B686="","",IFERROR(INDEX(CM_NOME,MATCH($B686,CM_ID,0)),"?"))</f>
        <v/>
      </c>
      <c r="H686" s="34" t="str">
        <f aca="false">IF($B686="","",IFERROR(INDEX(CM_QTD,MATCH($B686,CM_ID,0)),""))</f>
        <v/>
      </c>
      <c r="I686" s="35" t="str">
        <f aca="false">IF($A686="","",$C686&amp;"/"&amp;$H686)</f>
        <v/>
      </c>
      <c r="J686" s="35" t="str">
        <f aca="false">IF($A686="","",IF($C686&lt;=IFERROR(INDEX(CM_PAGASANTES,MATCH($B686,CM_ID,0)),0),"SIM","NAO"))</f>
        <v/>
      </c>
      <c r="K686" s="36" t="n">
        <f aca="false">IF($A686="",0,SUMIFS(L_Valor,L_ParcID,$A686,L_Status,"REALIZADO"))</f>
        <v>0</v>
      </c>
      <c r="L686" s="38" t="str">
        <f aca="false">IF($A686="","",IFERROR(INDEX(L_Data,MATCH(1,INDEX((L_ParcID=$A686)*(L_Status="REALIZADO"),0),0)),""))</f>
        <v/>
      </c>
      <c r="M686" s="34" t="n">
        <f aca="false">IF($A686="",0,COUNTIFS(L_ParcID,$A686,L_Status,"REALIZADO"))</f>
        <v>0</v>
      </c>
      <c r="N686" s="34" t="n">
        <f aca="false">IF($A686="",0,COUNTIFS(L_ParcID,$A686,L_Status,"PROJETADO"))</f>
        <v>0</v>
      </c>
      <c r="O686" s="35" t="str">
        <f aca="false">IF($A686="","",IF($J686="SIM","PAGA",IF($M686&gt;0,"PAGA",IF($D686&lt;CFG_HOJE,"ATRASADA",IF($D686&lt;=EOMONTH(CFG_HOJE,0),"ABERTA","PROJETADA")))))</f>
        <v/>
      </c>
      <c r="P686" s="34" t="n">
        <f aca="false">IF($O686="ATRASADA",CFG_HOJE-$D686,0)</f>
        <v>0</v>
      </c>
      <c r="Q686" s="36" t="n">
        <f aca="false">IF($A686="",0,IF(AND($O686="PAGA",$J686="NAO"),$K686-$E686,0))</f>
        <v>0</v>
      </c>
    </row>
    <row r="687" customFormat="false" ht="15" hidden="false" customHeight="false" outlineLevel="0" collapsed="false">
      <c r="A687" s="30" t="str">
        <f aca="false">IF($B687="","","PAR-"&amp;TEXT(ROW()-4,"000000"))</f>
        <v/>
      </c>
      <c r="B687" s="32"/>
      <c r="C687" s="37"/>
      <c r="D687" s="31"/>
      <c r="E687" s="33"/>
      <c r="F687" s="32"/>
      <c r="G687" s="35" t="str">
        <f aca="false">IF($B687="","",IFERROR(INDEX(CM_NOME,MATCH($B687,CM_ID,0)),"?"))</f>
        <v/>
      </c>
      <c r="H687" s="34" t="str">
        <f aca="false">IF($B687="","",IFERROR(INDEX(CM_QTD,MATCH($B687,CM_ID,0)),""))</f>
        <v/>
      </c>
      <c r="I687" s="35" t="str">
        <f aca="false">IF($A687="","",$C687&amp;"/"&amp;$H687)</f>
        <v/>
      </c>
      <c r="J687" s="35" t="str">
        <f aca="false">IF($A687="","",IF($C687&lt;=IFERROR(INDEX(CM_PAGASANTES,MATCH($B687,CM_ID,0)),0),"SIM","NAO"))</f>
        <v/>
      </c>
      <c r="K687" s="36" t="n">
        <f aca="false">IF($A687="",0,SUMIFS(L_Valor,L_ParcID,$A687,L_Status,"REALIZADO"))</f>
        <v>0</v>
      </c>
      <c r="L687" s="38" t="str">
        <f aca="false">IF($A687="","",IFERROR(INDEX(L_Data,MATCH(1,INDEX((L_ParcID=$A687)*(L_Status="REALIZADO"),0),0)),""))</f>
        <v/>
      </c>
      <c r="M687" s="34" t="n">
        <f aca="false">IF($A687="",0,COUNTIFS(L_ParcID,$A687,L_Status,"REALIZADO"))</f>
        <v>0</v>
      </c>
      <c r="N687" s="34" t="n">
        <f aca="false">IF($A687="",0,COUNTIFS(L_ParcID,$A687,L_Status,"PROJETADO"))</f>
        <v>0</v>
      </c>
      <c r="O687" s="35" t="str">
        <f aca="false">IF($A687="","",IF($J687="SIM","PAGA",IF($M687&gt;0,"PAGA",IF($D687&lt;CFG_HOJE,"ATRASADA",IF($D687&lt;=EOMONTH(CFG_HOJE,0),"ABERTA","PROJETADA")))))</f>
        <v/>
      </c>
      <c r="P687" s="34" t="n">
        <f aca="false">IF($O687="ATRASADA",CFG_HOJE-$D687,0)</f>
        <v>0</v>
      </c>
      <c r="Q687" s="36" t="n">
        <f aca="false">IF($A687="",0,IF(AND($O687="PAGA",$J687="NAO"),$K687-$E687,0))</f>
        <v>0</v>
      </c>
    </row>
    <row r="688" customFormat="false" ht="15" hidden="false" customHeight="false" outlineLevel="0" collapsed="false">
      <c r="A688" s="30" t="str">
        <f aca="false">IF($B688="","","PAR-"&amp;TEXT(ROW()-4,"000000"))</f>
        <v/>
      </c>
      <c r="B688" s="32"/>
      <c r="C688" s="37"/>
      <c r="D688" s="31"/>
      <c r="E688" s="33"/>
      <c r="F688" s="32"/>
      <c r="G688" s="35" t="str">
        <f aca="false">IF($B688="","",IFERROR(INDEX(CM_NOME,MATCH($B688,CM_ID,0)),"?"))</f>
        <v/>
      </c>
      <c r="H688" s="34" t="str">
        <f aca="false">IF($B688="","",IFERROR(INDEX(CM_QTD,MATCH($B688,CM_ID,0)),""))</f>
        <v/>
      </c>
      <c r="I688" s="35" t="str">
        <f aca="false">IF($A688="","",$C688&amp;"/"&amp;$H688)</f>
        <v/>
      </c>
      <c r="J688" s="35" t="str">
        <f aca="false">IF($A688="","",IF($C688&lt;=IFERROR(INDEX(CM_PAGASANTES,MATCH($B688,CM_ID,0)),0),"SIM","NAO"))</f>
        <v/>
      </c>
      <c r="K688" s="36" t="n">
        <f aca="false">IF($A688="",0,SUMIFS(L_Valor,L_ParcID,$A688,L_Status,"REALIZADO"))</f>
        <v>0</v>
      </c>
      <c r="L688" s="38" t="str">
        <f aca="false">IF($A688="","",IFERROR(INDEX(L_Data,MATCH(1,INDEX((L_ParcID=$A688)*(L_Status="REALIZADO"),0),0)),""))</f>
        <v/>
      </c>
      <c r="M688" s="34" t="n">
        <f aca="false">IF($A688="",0,COUNTIFS(L_ParcID,$A688,L_Status,"REALIZADO"))</f>
        <v>0</v>
      </c>
      <c r="N688" s="34" t="n">
        <f aca="false">IF($A688="",0,COUNTIFS(L_ParcID,$A688,L_Status,"PROJETADO"))</f>
        <v>0</v>
      </c>
      <c r="O688" s="35" t="str">
        <f aca="false">IF($A688="","",IF($J688="SIM","PAGA",IF($M688&gt;0,"PAGA",IF($D688&lt;CFG_HOJE,"ATRASADA",IF($D688&lt;=EOMONTH(CFG_HOJE,0),"ABERTA","PROJETADA")))))</f>
        <v/>
      </c>
      <c r="P688" s="34" t="n">
        <f aca="false">IF($O688="ATRASADA",CFG_HOJE-$D688,0)</f>
        <v>0</v>
      </c>
      <c r="Q688" s="36" t="n">
        <f aca="false">IF($A688="",0,IF(AND($O688="PAGA",$J688="NAO"),$K688-$E688,0))</f>
        <v>0</v>
      </c>
    </row>
    <row r="689" customFormat="false" ht="15" hidden="false" customHeight="false" outlineLevel="0" collapsed="false">
      <c r="A689" s="30" t="str">
        <f aca="false">IF($B689="","","PAR-"&amp;TEXT(ROW()-4,"000000"))</f>
        <v/>
      </c>
      <c r="B689" s="32"/>
      <c r="C689" s="37"/>
      <c r="D689" s="31"/>
      <c r="E689" s="33"/>
      <c r="F689" s="32"/>
      <c r="G689" s="35" t="str">
        <f aca="false">IF($B689="","",IFERROR(INDEX(CM_NOME,MATCH($B689,CM_ID,0)),"?"))</f>
        <v/>
      </c>
      <c r="H689" s="34" t="str">
        <f aca="false">IF($B689="","",IFERROR(INDEX(CM_QTD,MATCH($B689,CM_ID,0)),""))</f>
        <v/>
      </c>
      <c r="I689" s="35" t="str">
        <f aca="false">IF($A689="","",$C689&amp;"/"&amp;$H689)</f>
        <v/>
      </c>
      <c r="J689" s="35" t="str">
        <f aca="false">IF($A689="","",IF($C689&lt;=IFERROR(INDEX(CM_PAGASANTES,MATCH($B689,CM_ID,0)),0),"SIM","NAO"))</f>
        <v/>
      </c>
      <c r="K689" s="36" t="n">
        <f aca="false">IF($A689="",0,SUMIFS(L_Valor,L_ParcID,$A689,L_Status,"REALIZADO"))</f>
        <v>0</v>
      </c>
      <c r="L689" s="38" t="str">
        <f aca="false">IF($A689="","",IFERROR(INDEX(L_Data,MATCH(1,INDEX((L_ParcID=$A689)*(L_Status="REALIZADO"),0),0)),""))</f>
        <v/>
      </c>
      <c r="M689" s="34" t="n">
        <f aca="false">IF($A689="",0,COUNTIFS(L_ParcID,$A689,L_Status,"REALIZADO"))</f>
        <v>0</v>
      </c>
      <c r="N689" s="34" t="n">
        <f aca="false">IF($A689="",0,COUNTIFS(L_ParcID,$A689,L_Status,"PROJETADO"))</f>
        <v>0</v>
      </c>
      <c r="O689" s="35" t="str">
        <f aca="false">IF($A689="","",IF($J689="SIM","PAGA",IF($M689&gt;0,"PAGA",IF($D689&lt;CFG_HOJE,"ATRASADA",IF($D689&lt;=EOMONTH(CFG_HOJE,0),"ABERTA","PROJETADA")))))</f>
        <v/>
      </c>
      <c r="P689" s="34" t="n">
        <f aca="false">IF($O689="ATRASADA",CFG_HOJE-$D689,0)</f>
        <v>0</v>
      </c>
      <c r="Q689" s="36" t="n">
        <f aca="false">IF($A689="",0,IF(AND($O689="PAGA",$J689="NAO"),$K689-$E689,0))</f>
        <v>0</v>
      </c>
    </row>
    <row r="690" customFormat="false" ht="15" hidden="false" customHeight="false" outlineLevel="0" collapsed="false">
      <c r="A690" s="30" t="str">
        <f aca="false">IF($B690="","","PAR-"&amp;TEXT(ROW()-4,"000000"))</f>
        <v/>
      </c>
      <c r="B690" s="32"/>
      <c r="C690" s="37"/>
      <c r="D690" s="31"/>
      <c r="E690" s="33"/>
      <c r="F690" s="32"/>
      <c r="G690" s="35" t="str">
        <f aca="false">IF($B690="","",IFERROR(INDEX(CM_NOME,MATCH($B690,CM_ID,0)),"?"))</f>
        <v/>
      </c>
      <c r="H690" s="34" t="str">
        <f aca="false">IF($B690="","",IFERROR(INDEX(CM_QTD,MATCH($B690,CM_ID,0)),""))</f>
        <v/>
      </c>
      <c r="I690" s="35" t="str">
        <f aca="false">IF($A690="","",$C690&amp;"/"&amp;$H690)</f>
        <v/>
      </c>
      <c r="J690" s="35" t="str">
        <f aca="false">IF($A690="","",IF($C690&lt;=IFERROR(INDEX(CM_PAGASANTES,MATCH($B690,CM_ID,0)),0),"SIM","NAO"))</f>
        <v/>
      </c>
      <c r="K690" s="36" t="n">
        <f aca="false">IF($A690="",0,SUMIFS(L_Valor,L_ParcID,$A690,L_Status,"REALIZADO"))</f>
        <v>0</v>
      </c>
      <c r="L690" s="38" t="str">
        <f aca="false">IF($A690="","",IFERROR(INDEX(L_Data,MATCH(1,INDEX((L_ParcID=$A690)*(L_Status="REALIZADO"),0),0)),""))</f>
        <v/>
      </c>
      <c r="M690" s="34" t="n">
        <f aca="false">IF($A690="",0,COUNTIFS(L_ParcID,$A690,L_Status,"REALIZADO"))</f>
        <v>0</v>
      </c>
      <c r="N690" s="34" t="n">
        <f aca="false">IF($A690="",0,COUNTIFS(L_ParcID,$A690,L_Status,"PROJETADO"))</f>
        <v>0</v>
      </c>
      <c r="O690" s="35" t="str">
        <f aca="false">IF($A690="","",IF($J690="SIM","PAGA",IF($M690&gt;0,"PAGA",IF($D690&lt;CFG_HOJE,"ATRASADA",IF($D690&lt;=EOMONTH(CFG_HOJE,0),"ABERTA","PROJETADA")))))</f>
        <v/>
      </c>
      <c r="P690" s="34" t="n">
        <f aca="false">IF($O690="ATRASADA",CFG_HOJE-$D690,0)</f>
        <v>0</v>
      </c>
      <c r="Q690" s="36" t="n">
        <f aca="false">IF($A690="",0,IF(AND($O690="PAGA",$J690="NAO"),$K690-$E690,0))</f>
        <v>0</v>
      </c>
    </row>
    <row r="691" customFormat="false" ht="15" hidden="false" customHeight="false" outlineLevel="0" collapsed="false">
      <c r="A691" s="30" t="str">
        <f aca="false">IF($B691="","","PAR-"&amp;TEXT(ROW()-4,"000000"))</f>
        <v/>
      </c>
      <c r="B691" s="32"/>
      <c r="C691" s="37"/>
      <c r="D691" s="31"/>
      <c r="E691" s="33"/>
      <c r="F691" s="32"/>
      <c r="G691" s="35" t="str">
        <f aca="false">IF($B691="","",IFERROR(INDEX(CM_NOME,MATCH($B691,CM_ID,0)),"?"))</f>
        <v/>
      </c>
      <c r="H691" s="34" t="str">
        <f aca="false">IF($B691="","",IFERROR(INDEX(CM_QTD,MATCH($B691,CM_ID,0)),""))</f>
        <v/>
      </c>
      <c r="I691" s="35" t="str">
        <f aca="false">IF($A691="","",$C691&amp;"/"&amp;$H691)</f>
        <v/>
      </c>
      <c r="J691" s="35" t="str">
        <f aca="false">IF($A691="","",IF($C691&lt;=IFERROR(INDEX(CM_PAGASANTES,MATCH($B691,CM_ID,0)),0),"SIM","NAO"))</f>
        <v/>
      </c>
      <c r="K691" s="36" t="n">
        <f aca="false">IF($A691="",0,SUMIFS(L_Valor,L_ParcID,$A691,L_Status,"REALIZADO"))</f>
        <v>0</v>
      </c>
      <c r="L691" s="38" t="str">
        <f aca="false">IF($A691="","",IFERROR(INDEX(L_Data,MATCH(1,INDEX((L_ParcID=$A691)*(L_Status="REALIZADO"),0),0)),""))</f>
        <v/>
      </c>
      <c r="M691" s="34" t="n">
        <f aca="false">IF($A691="",0,COUNTIFS(L_ParcID,$A691,L_Status,"REALIZADO"))</f>
        <v>0</v>
      </c>
      <c r="N691" s="34" t="n">
        <f aca="false">IF($A691="",0,COUNTIFS(L_ParcID,$A691,L_Status,"PROJETADO"))</f>
        <v>0</v>
      </c>
      <c r="O691" s="35" t="str">
        <f aca="false">IF($A691="","",IF($J691="SIM","PAGA",IF($M691&gt;0,"PAGA",IF($D691&lt;CFG_HOJE,"ATRASADA",IF($D691&lt;=EOMONTH(CFG_HOJE,0),"ABERTA","PROJETADA")))))</f>
        <v/>
      </c>
      <c r="P691" s="34" t="n">
        <f aca="false">IF($O691="ATRASADA",CFG_HOJE-$D691,0)</f>
        <v>0</v>
      </c>
      <c r="Q691" s="36" t="n">
        <f aca="false">IF($A691="",0,IF(AND($O691="PAGA",$J691="NAO"),$K691-$E691,0))</f>
        <v>0</v>
      </c>
    </row>
    <row r="692" customFormat="false" ht="15" hidden="false" customHeight="false" outlineLevel="0" collapsed="false">
      <c r="A692" s="30" t="str">
        <f aca="false">IF($B692="","","PAR-"&amp;TEXT(ROW()-4,"000000"))</f>
        <v/>
      </c>
      <c r="B692" s="32"/>
      <c r="C692" s="37"/>
      <c r="D692" s="31"/>
      <c r="E692" s="33"/>
      <c r="F692" s="32"/>
      <c r="G692" s="35" t="str">
        <f aca="false">IF($B692="","",IFERROR(INDEX(CM_NOME,MATCH($B692,CM_ID,0)),"?"))</f>
        <v/>
      </c>
      <c r="H692" s="34" t="str">
        <f aca="false">IF($B692="","",IFERROR(INDEX(CM_QTD,MATCH($B692,CM_ID,0)),""))</f>
        <v/>
      </c>
      <c r="I692" s="35" t="str">
        <f aca="false">IF($A692="","",$C692&amp;"/"&amp;$H692)</f>
        <v/>
      </c>
      <c r="J692" s="35" t="str">
        <f aca="false">IF($A692="","",IF($C692&lt;=IFERROR(INDEX(CM_PAGASANTES,MATCH($B692,CM_ID,0)),0),"SIM","NAO"))</f>
        <v/>
      </c>
      <c r="K692" s="36" t="n">
        <f aca="false">IF($A692="",0,SUMIFS(L_Valor,L_ParcID,$A692,L_Status,"REALIZADO"))</f>
        <v>0</v>
      </c>
      <c r="L692" s="38" t="str">
        <f aca="false">IF($A692="","",IFERROR(INDEX(L_Data,MATCH(1,INDEX((L_ParcID=$A692)*(L_Status="REALIZADO"),0),0)),""))</f>
        <v/>
      </c>
      <c r="M692" s="34" t="n">
        <f aca="false">IF($A692="",0,COUNTIFS(L_ParcID,$A692,L_Status,"REALIZADO"))</f>
        <v>0</v>
      </c>
      <c r="N692" s="34" t="n">
        <f aca="false">IF($A692="",0,COUNTIFS(L_ParcID,$A692,L_Status,"PROJETADO"))</f>
        <v>0</v>
      </c>
      <c r="O692" s="35" t="str">
        <f aca="false">IF($A692="","",IF($J692="SIM","PAGA",IF($M692&gt;0,"PAGA",IF($D692&lt;CFG_HOJE,"ATRASADA",IF($D692&lt;=EOMONTH(CFG_HOJE,0),"ABERTA","PROJETADA")))))</f>
        <v/>
      </c>
      <c r="P692" s="34" t="n">
        <f aca="false">IF($O692="ATRASADA",CFG_HOJE-$D692,0)</f>
        <v>0</v>
      </c>
      <c r="Q692" s="36" t="n">
        <f aca="false">IF($A692="",0,IF(AND($O692="PAGA",$J692="NAO"),$K692-$E692,0))</f>
        <v>0</v>
      </c>
    </row>
    <row r="693" customFormat="false" ht="15" hidden="false" customHeight="false" outlineLevel="0" collapsed="false">
      <c r="A693" s="30" t="str">
        <f aca="false">IF($B693="","","PAR-"&amp;TEXT(ROW()-4,"000000"))</f>
        <v/>
      </c>
      <c r="B693" s="32"/>
      <c r="C693" s="37"/>
      <c r="D693" s="31"/>
      <c r="E693" s="33"/>
      <c r="F693" s="32"/>
      <c r="G693" s="35" t="str">
        <f aca="false">IF($B693="","",IFERROR(INDEX(CM_NOME,MATCH($B693,CM_ID,0)),"?"))</f>
        <v/>
      </c>
      <c r="H693" s="34" t="str">
        <f aca="false">IF($B693="","",IFERROR(INDEX(CM_QTD,MATCH($B693,CM_ID,0)),""))</f>
        <v/>
      </c>
      <c r="I693" s="35" t="str">
        <f aca="false">IF($A693="","",$C693&amp;"/"&amp;$H693)</f>
        <v/>
      </c>
      <c r="J693" s="35" t="str">
        <f aca="false">IF($A693="","",IF($C693&lt;=IFERROR(INDEX(CM_PAGASANTES,MATCH($B693,CM_ID,0)),0),"SIM","NAO"))</f>
        <v/>
      </c>
      <c r="K693" s="36" t="n">
        <f aca="false">IF($A693="",0,SUMIFS(L_Valor,L_ParcID,$A693,L_Status,"REALIZADO"))</f>
        <v>0</v>
      </c>
      <c r="L693" s="38" t="str">
        <f aca="false">IF($A693="","",IFERROR(INDEX(L_Data,MATCH(1,INDEX((L_ParcID=$A693)*(L_Status="REALIZADO"),0),0)),""))</f>
        <v/>
      </c>
      <c r="M693" s="34" t="n">
        <f aca="false">IF($A693="",0,COUNTIFS(L_ParcID,$A693,L_Status,"REALIZADO"))</f>
        <v>0</v>
      </c>
      <c r="N693" s="34" t="n">
        <f aca="false">IF($A693="",0,COUNTIFS(L_ParcID,$A693,L_Status,"PROJETADO"))</f>
        <v>0</v>
      </c>
      <c r="O693" s="35" t="str">
        <f aca="false">IF($A693="","",IF($J693="SIM","PAGA",IF($M693&gt;0,"PAGA",IF($D693&lt;CFG_HOJE,"ATRASADA",IF($D693&lt;=EOMONTH(CFG_HOJE,0),"ABERTA","PROJETADA")))))</f>
        <v/>
      </c>
      <c r="P693" s="34" t="n">
        <f aca="false">IF($O693="ATRASADA",CFG_HOJE-$D693,0)</f>
        <v>0</v>
      </c>
      <c r="Q693" s="36" t="n">
        <f aca="false">IF($A693="",0,IF(AND($O693="PAGA",$J693="NAO"),$K693-$E693,0))</f>
        <v>0</v>
      </c>
    </row>
    <row r="694" customFormat="false" ht="15" hidden="false" customHeight="false" outlineLevel="0" collapsed="false">
      <c r="A694" s="30" t="str">
        <f aca="false">IF($B694="","","PAR-"&amp;TEXT(ROW()-4,"000000"))</f>
        <v/>
      </c>
      <c r="B694" s="32"/>
      <c r="C694" s="37"/>
      <c r="D694" s="31"/>
      <c r="E694" s="33"/>
      <c r="F694" s="32"/>
      <c r="G694" s="35" t="str">
        <f aca="false">IF($B694="","",IFERROR(INDEX(CM_NOME,MATCH($B694,CM_ID,0)),"?"))</f>
        <v/>
      </c>
      <c r="H694" s="34" t="str">
        <f aca="false">IF($B694="","",IFERROR(INDEX(CM_QTD,MATCH($B694,CM_ID,0)),""))</f>
        <v/>
      </c>
      <c r="I694" s="35" t="str">
        <f aca="false">IF($A694="","",$C694&amp;"/"&amp;$H694)</f>
        <v/>
      </c>
      <c r="J694" s="35" t="str">
        <f aca="false">IF($A694="","",IF($C694&lt;=IFERROR(INDEX(CM_PAGASANTES,MATCH($B694,CM_ID,0)),0),"SIM","NAO"))</f>
        <v/>
      </c>
      <c r="K694" s="36" t="n">
        <f aca="false">IF($A694="",0,SUMIFS(L_Valor,L_ParcID,$A694,L_Status,"REALIZADO"))</f>
        <v>0</v>
      </c>
      <c r="L694" s="38" t="str">
        <f aca="false">IF($A694="","",IFERROR(INDEX(L_Data,MATCH(1,INDEX((L_ParcID=$A694)*(L_Status="REALIZADO"),0),0)),""))</f>
        <v/>
      </c>
      <c r="M694" s="34" t="n">
        <f aca="false">IF($A694="",0,COUNTIFS(L_ParcID,$A694,L_Status,"REALIZADO"))</f>
        <v>0</v>
      </c>
      <c r="N694" s="34" t="n">
        <f aca="false">IF($A694="",0,COUNTIFS(L_ParcID,$A694,L_Status,"PROJETADO"))</f>
        <v>0</v>
      </c>
      <c r="O694" s="35" t="str">
        <f aca="false">IF($A694="","",IF($J694="SIM","PAGA",IF($M694&gt;0,"PAGA",IF($D694&lt;CFG_HOJE,"ATRASADA",IF($D694&lt;=EOMONTH(CFG_HOJE,0),"ABERTA","PROJETADA")))))</f>
        <v/>
      </c>
      <c r="P694" s="34" t="n">
        <f aca="false">IF($O694="ATRASADA",CFG_HOJE-$D694,0)</f>
        <v>0</v>
      </c>
      <c r="Q694" s="36" t="n">
        <f aca="false">IF($A694="",0,IF(AND($O694="PAGA",$J694="NAO"),$K694-$E694,0))</f>
        <v>0</v>
      </c>
    </row>
    <row r="695" customFormat="false" ht="15" hidden="false" customHeight="false" outlineLevel="0" collapsed="false">
      <c r="A695" s="30" t="str">
        <f aca="false">IF($B695="","","PAR-"&amp;TEXT(ROW()-4,"000000"))</f>
        <v/>
      </c>
      <c r="B695" s="32"/>
      <c r="C695" s="37"/>
      <c r="D695" s="31"/>
      <c r="E695" s="33"/>
      <c r="F695" s="32"/>
      <c r="G695" s="35" t="str">
        <f aca="false">IF($B695="","",IFERROR(INDEX(CM_NOME,MATCH($B695,CM_ID,0)),"?"))</f>
        <v/>
      </c>
      <c r="H695" s="34" t="str">
        <f aca="false">IF($B695="","",IFERROR(INDEX(CM_QTD,MATCH($B695,CM_ID,0)),""))</f>
        <v/>
      </c>
      <c r="I695" s="35" t="str">
        <f aca="false">IF($A695="","",$C695&amp;"/"&amp;$H695)</f>
        <v/>
      </c>
      <c r="J695" s="35" t="str">
        <f aca="false">IF($A695="","",IF($C695&lt;=IFERROR(INDEX(CM_PAGASANTES,MATCH($B695,CM_ID,0)),0),"SIM","NAO"))</f>
        <v/>
      </c>
      <c r="K695" s="36" t="n">
        <f aca="false">IF($A695="",0,SUMIFS(L_Valor,L_ParcID,$A695,L_Status,"REALIZADO"))</f>
        <v>0</v>
      </c>
      <c r="L695" s="38" t="str">
        <f aca="false">IF($A695="","",IFERROR(INDEX(L_Data,MATCH(1,INDEX((L_ParcID=$A695)*(L_Status="REALIZADO"),0),0)),""))</f>
        <v/>
      </c>
      <c r="M695" s="34" t="n">
        <f aca="false">IF($A695="",0,COUNTIFS(L_ParcID,$A695,L_Status,"REALIZADO"))</f>
        <v>0</v>
      </c>
      <c r="N695" s="34" t="n">
        <f aca="false">IF($A695="",0,COUNTIFS(L_ParcID,$A695,L_Status,"PROJETADO"))</f>
        <v>0</v>
      </c>
      <c r="O695" s="35" t="str">
        <f aca="false">IF($A695="","",IF($J695="SIM","PAGA",IF($M695&gt;0,"PAGA",IF($D695&lt;CFG_HOJE,"ATRASADA",IF($D695&lt;=EOMONTH(CFG_HOJE,0),"ABERTA","PROJETADA")))))</f>
        <v/>
      </c>
      <c r="P695" s="34" t="n">
        <f aca="false">IF($O695="ATRASADA",CFG_HOJE-$D695,0)</f>
        <v>0</v>
      </c>
      <c r="Q695" s="36" t="n">
        <f aca="false">IF($A695="",0,IF(AND($O695="PAGA",$J695="NAO"),$K695-$E695,0))</f>
        <v>0</v>
      </c>
    </row>
    <row r="696" customFormat="false" ht="15" hidden="false" customHeight="false" outlineLevel="0" collapsed="false">
      <c r="A696" s="30" t="str">
        <f aca="false">IF($B696="","","PAR-"&amp;TEXT(ROW()-4,"000000"))</f>
        <v/>
      </c>
      <c r="B696" s="32"/>
      <c r="C696" s="37"/>
      <c r="D696" s="31"/>
      <c r="E696" s="33"/>
      <c r="F696" s="32"/>
      <c r="G696" s="35" t="str">
        <f aca="false">IF($B696="","",IFERROR(INDEX(CM_NOME,MATCH($B696,CM_ID,0)),"?"))</f>
        <v/>
      </c>
      <c r="H696" s="34" t="str">
        <f aca="false">IF($B696="","",IFERROR(INDEX(CM_QTD,MATCH($B696,CM_ID,0)),""))</f>
        <v/>
      </c>
      <c r="I696" s="35" t="str">
        <f aca="false">IF($A696="","",$C696&amp;"/"&amp;$H696)</f>
        <v/>
      </c>
      <c r="J696" s="35" t="str">
        <f aca="false">IF($A696="","",IF($C696&lt;=IFERROR(INDEX(CM_PAGASANTES,MATCH($B696,CM_ID,0)),0),"SIM","NAO"))</f>
        <v/>
      </c>
      <c r="K696" s="36" t="n">
        <f aca="false">IF($A696="",0,SUMIFS(L_Valor,L_ParcID,$A696,L_Status,"REALIZADO"))</f>
        <v>0</v>
      </c>
      <c r="L696" s="38" t="str">
        <f aca="false">IF($A696="","",IFERROR(INDEX(L_Data,MATCH(1,INDEX((L_ParcID=$A696)*(L_Status="REALIZADO"),0),0)),""))</f>
        <v/>
      </c>
      <c r="M696" s="34" t="n">
        <f aca="false">IF($A696="",0,COUNTIFS(L_ParcID,$A696,L_Status,"REALIZADO"))</f>
        <v>0</v>
      </c>
      <c r="N696" s="34" t="n">
        <f aca="false">IF($A696="",0,COUNTIFS(L_ParcID,$A696,L_Status,"PROJETADO"))</f>
        <v>0</v>
      </c>
      <c r="O696" s="35" t="str">
        <f aca="false">IF($A696="","",IF($J696="SIM","PAGA",IF($M696&gt;0,"PAGA",IF($D696&lt;CFG_HOJE,"ATRASADA",IF($D696&lt;=EOMONTH(CFG_HOJE,0),"ABERTA","PROJETADA")))))</f>
        <v/>
      </c>
      <c r="P696" s="34" t="n">
        <f aca="false">IF($O696="ATRASADA",CFG_HOJE-$D696,0)</f>
        <v>0</v>
      </c>
      <c r="Q696" s="36" t="n">
        <f aca="false">IF($A696="",0,IF(AND($O696="PAGA",$J696="NAO"),$K696-$E696,0))</f>
        <v>0</v>
      </c>
    </row>
    <row r="697" customFormat="false" ht="15" hidden="false" customHeight="false" outlineLevel="0" collapsed="false">
      <c r="A697" s="30" t="str">
        <f aca="false">IF($B697="","","PAR-"&amp;TEXT(ROW()-4,"000000"))</f>
        <v/>
      </c>
      <c r="B697" s="32"/>
      <c r="C697" s="37"/>
      <c r="D697" s="31"/>
      <c r="E697" s="33"/>
      <c r="F697" s="32"/>
      <c r="G697" s="35" t="str">
        <f aca="false">IF($B697="","",IFERROR(INDEX(CM_NOME,MATCH($B697,CM_ID,0)),"?"))</f>
        <v/>
      </c>
      <c r="H697" s="34" t="str">
        <f aca="false">IF($B697="","",IFERROR(INDEX(CM_QTD,MATCH($B697,CM_ID,0)),""))</f>
        <v/>
      </c>
      <c r="I697" s="35" t="str">
        <f aca="false">IF($A697="","",$C697&amp;"/"&amp;$H697)</f>
        <v/>
      </c>
      <c r="J697" s="35" t="str">
        <f aca="false">IF($A697="","",IF($C697&lt;=IFERROR(INDEX(CM_PAGASANTES,MATCH($B697,CM_ID,0)),0),"SIM","NAO"))</f>
        <v/>
      </c>
      <c r="K697" s="36" t="n">
        <f aca="false">IF($A697="",0,SUMIFS(L_Valor,L_ParcID,$A697,L_Status,"REALIZADO"))</f>
        <v>0</v>
      </c>
      <c r="L697" s="38" t="str">
        <f aca="false">IF($A697="","",IFERROR(INDEX(L_Data,MATCH(1,INDEX((L_ParcID=$A697)*(L_Status="REALIZADO"),0),0)),""))</f>
        <v/>
      </c>
      <c r="M697" s="34" t="n">
        <f aca="false">IF($A697="",0,COUNTIFS(L_ParcID,$A697,L_Status,"REALIZADO"))</f>
        <v>0</v>
      </c>
      <c r="N697" s="34" t="n">
        <f aca="false">IF($A697="",0,COUNTIFS(L_ParcID,$A697,L_Status,"PROJETADO"))</f>
        <v>0</v>
      </c>
      <c r="O697" s="35" t="str">
        <f aca="false">IF($A697="","",IF($J697="SIM","PAGA",IF($M697&gt;0,"PAGA",IF($D697&lt;CFG_HOJE,"ATRASADA",IF($D697&lt;=EOMONTH(CFG_HOJE,0),"ABERTA","PROJETADA")))))</f>
        <v/>
      </c>
      <c r="P697" s="34" t="n">
        <f aca="false">IF($O697="ATRASADA",CFG_HOJE-$D697,0)</f>
        <v>0</v>
      </c>
      <c r="Q697" s="36" t="n">
        <f aca="false">IF($A697="",0,IF(AND($O697="PAGA",$J697="NAO"),$K697-$E697,0))</f>
        <v>0</v>
      </c>
    </row>
    <row r="698" customFormat="false" ht="15" hidden="false" customHeight="false" outlineLevel="0" collapsed="false">
      <c r="A698" s="30" t="str">
        <f aca="false">IF($B698="","","PAR-"&amp;TEXT(ROW()-4,"000000"))</f>
        <v/>
      </c>
      <c r="B698" s="32"/>
      <c r="C698" s="37"/>
      <c r="D698" s="31"/>
      <c r="E698" s="33"/>
      <c r="F698" s="32"/>
      <c r="G698" s="35" t="str">
        <f aca="false">IF($B698="","",IFERROR(INDEX(CM_NOME,MATCH($B698,CM_ID,0)),"?"))</f>
        <v/>
      </c>
      <c r="H698" s="34" t="str">
        <f aca="false">IF($B698="","",IFERROR(INDEX(CM_QTD,MATCH($B698,CM_ID,0)),""))</f>
        <v/>
      </c>
      <c r="I698" s="35" t="str">
        <f aca="false">IF($A698="","",$C698&amp;"/"&amp;$H698)</f>
        <v/>
      </c>
      <c r="J698" s="35" t="str">
        <f aca="false">IF($A698="","",IF($C698&lt;=IFERROR(INDEX(CM_PAGASANTES,MATCH($B698,CM_ID,0)),0),"SIM","NAO"))</f>
        <v/>
      </c>
      <c r="K698" s="36" t="n">
        <f aca="false">IF($A698="",0,SUMIFS(L_Valor,L_ParcID,$A698,L_Status,"REALIZADO"))</f>
        <v>0</v>
      </c>
      <c r="L698" s="38" t="str">
        <f aca="false">IF($A698="","",IFERROR(INDEX(L_Data,MATCH(1,INDEX((L_ParcID=$A698)*(L_Status="REALIZADO"),0),0)),""))</f>
        <v/>
      </c>
      <c r="M698" s="34" t="n">
        <f aca="false">IF($A698="",0,COUNTIFS(L_ParcID,$A698,L_Status,"REALIZADO"))</f>
        <v>0</v>
      </c>
      <c r="N698" s="34" t="n">
        <f aca="false">IF($A698="",0,COUNTIFS(L_ParcID,$A698,L_Status,"PROJETADO"))</f>
        <v>0</v>
      </c>
      <c r="O698" s="35" t="str">
        <f aca="false">IF($A698="","",IF($J698="SIM","PAGA",IF($M698&gt;0,"PAGA",IF($D698&lt;CFG_HOJE,"ATRASADA",IF($D698&lt;=EOMONTH(CFG_HOJE,0),"ABERTA","PROJETADA")))))</f>
        <v/>
      </c>
      <c r="P698" s="34" t="n">
        <f aca="false">IF($O698="ATRASADA",CFG_HOJE-$D698,0)</f>
        <v>0</v>
      </c>
      <c r="Q698" s="36" t="n">
        <f aca="false">IF($A698="",0,IF(AND($O698="PAGA",$J698="NAO"),$K698-$E698,0))</f>
        <v>0</v>
      </c>
    </row>
    <row r="699" customFormat="false" ht="15" hidden="false" customHeight="false" outlineLevel="0" collapsed="false">
      <c r="A699" s="30" t="str">
        <f aca="false">IF($B699="","","PAR-"&amp;TEXT(ROW()-4,"000000"))</f>
        <v/>
      </c>
      <c r="B699" s="32"/>
      <c r="C699" s="37"/>
      <c r="D699" s="31"/>
      <c r="E699" s="33"/>
      <c r="F699" s="32"/>
      <c r="G699" s="35" t="str">
        <f aca="false">IF($B699="","",IFERROR(INDEX(CM_NOME,MATCH($B699,CM_ID,0)),"?"))</f>
        <v/>
      </c>
      <c r="H699" s="34" t="str">
        <f aca="false">IF($B699="","",IFERROR(INDEX(CM_QTD,MATCH($B699,CM_ID,0)),""))</f>
        <v/>
      </c>
      <c r="I699" s="35" t="str">
        <f aca="false">IF($A699="","",$C699&amp;"/"&amp;$H699)</f>
        <v/>
      </c>
      <c r="J699" s="35" t="str">
        <f aca="false">IF($A699="","",IF($C699&lt;=IFERROR(INDEX(CM_PAGASANTES,MATCH($B699,CM_ID,0)),0),"SIM","NAO"))</f>
        <v/>
      </c>
      <c r="K699" s="36" t="n">
        <f aca="false">IF($A699="",0,SUMIFS(L_Valor,L_ParcID,$A699,L_Status,"REALIZADO"))</f>
        <v>0</v>
      </c>
      <c r="L699" s="38" t="str">
        <f aca="false">IF($A699="","",IFERROR(INDEX(L_Data,MATCH(1,INDEX((L_ParcID=$A699)*(L_Status="REALIZADO"),0),0)),""))</f>
        <v/>
      </c>
      <c r="M699" s="34" t="n">
        <f aca="false">IF($A699="",0,COUNTIFS(L_ParcID,$A699,L_Status,"REALIZADO"))</f>
        <v>0</v>
      </c>
      <c r="N699" s="34" t="n">
        <f aca="false">IF($A699="",0,COUNTIFS(L_ParcID,$A699,L_Status,"PROJETADO"))</f>
        <v>0</v>
      </c>
      <c r="O699" s="35" t="str">
        <f aca="false">IF($A699="","",IF($J699="SIM","PAGA",IF($M699&gt;0,"PAGA",IF($D699&lt;CFG_HOJE,"ATRASADA",IF($D699&lt;=EOMONTH(CFG_HOJE,0),"ABERTA","PROJETADA")))))</f>
        <v/>
      </c>
      <c r="P699" s="34" t="n">
        <f aca="false">IF($O699="ATRASADA",CFG_HOJE-$D699,0)</f>
        <v>0</v>
      </c>
      <c r="Q699" s="36" t="n">
        <f aca="false">IF($A699="",0,IF(AND($O699="PAGA",$J699="NAO"),$K699-$E699,0))</f>
        <v>0</v>
      </c>
    </row>
    <row r="700" customFormat="false" ht="15" hidden="false" customHeight="false" outlineLevel="0" collapsed="false">
      <c r="A700" s="30" t="str">
        <f aca="false">IF($B700="","","PAR-"&amp;TEXT(ROW()-4,"000000"))</f>
        <v/>
      </c>
      <c r="B700" s="32"/>
      <c r="C700" s="37"/>
      <c r="D700" s="31"/>
      <c r="E700" s="33"/>
      <c r="F700" s="32"/>
      <c r="G700" s="35" t="str">
        <f aca="false">IF($B700="","",IFERROR(INDEX(CM_NOME,MATCH($B700,CM_ID,0)),"?"))</f>
        <v/>
      </c>
      <c r="H700" s="34" t="str">
        <f aca="false">IF($B700="","",IFERROR(INDEX(CM_QTD,MATCH($B700,CM_ID,0)),""))</f>
        <v/>
      </c>
      <c r="I700" s="35" t="str">
        <f aca="false">IF($A700="","",$C700&amp;"/"&amp;$H700)</f>
        <v/>
      </c>
      <c r="J700" s="35" t="str">
        <f aca="false">IF($A700="","",IF($C700&lt;=IFERROR(INDEX(CM_PAGASANTES,MATCH($B700,CM_ID,0)),0),"SIM","NAO"))</f>
        <v/>
      </c>
      <c r="K700" s="36" t="n">
        <f aca="false">IF($A700="",0,SUMIFS(L_Valor,L_ParcID,$A700,L_Status,"REALIZADO"))</f>
        <v>0</v>
      </c>
      <c r="L700" s="38" t="str">
        <f aca="false">IF($A700="","",IFERROR(INDEX(L_Data,MATCH(1,INDEX((L_ParcID=$A700)*(L_Status="REALIZADO"),0),0)),""))</f>
        <v/>
      </c>
      <c r="M700" s="34" t="n">
        <f aca="false">IF($A700="",0,COUNTIFS(L_ParcID,$A700,L_Status,"REALIZADO"))</f>
        <v>0</v>
      </c>
      <c r="N700" s="34" t="n">
        <f aca="false">IF($A700="",0,COUNTIFS(L_ParcID,$A700,L_Status,"PROJETADO"))</f>
        <v>0</v>
      </c>
      <c r="O700" s="35" t="str">
        <f aca="false">IF($A700="","",IF($J700="SIM","PAGA",IF($M700&gt;0,"PAGA",IF($D700&lt;CFG_HOJE,"ATRASADA",IF($D700&lt;=EOMONTH(CFG_HOJE,0),"ABERTA","PROJETADA")))))</f>
        <v/>
      </c>
      <c r="P700" s="34" t="n">
        <f aca="false">IF($O700="ATRASADA",CFG_HOJE-$D700,0)</f>
        <v>0</v>
      </c>
      <c r="Q700" s="36" t="n">
        <f aca="false">IF($A700="",0,IF(AND($O700="PAGA",$J700="NAO"),$K700-$E700,0))</f>
        <v>0</v>
      </c>
    </row>
    <row r="701" customFormat="false" ht="15" hidden="false" customHeight="false" outlineLevel="0" collapsed="false">
      <c r="A701" s="30" t="str">
        <f aca="false">IF($B701="","","PAR-"&amp;TEXT(ROW()-4,"000000"))</f>
        <v/>
      </c>
      <c r="B701" s="32"/>
      <c r="C701" s="37"/>
      <c r="D701" s="31"/>
      <c r="E701" s="33"/>
      <c r="F701" s="32"/>
      <c r="G701" s="35" t="str">
        <f aca="false">IF($B701="","",IFERROR(INDEX(CM_NOME,MATCH($B701,CM_ID,0)),"?"))</f>
        <v/>
      </c>
      <c r="H701" s="34" t="str">
        <f aca="false">IF($B701="","",IFERROR(INDEX(CM_QTD,MATCH($B701,CM_ID,0)),""))</f>
        <v/>
      </c>
      <c r="I701" s="35" t="str">
        <f aca="false">IF($A701="","",$C701&amp;"/"&amp;$H701)</f>
        <v/>
      </c>
      <c r="J701" s="35" t="str">
        <f aca="false">IF($A701="","",IF($C701&lt;=IFERROR(INDEX(CM_PAGASANTES,MATCH($B701,CM_ID,0)),0),"SIM","NAO"))</f>
        <v/>
      </c>
      <c r="K701" s="36" t="n">
        <f aca="false">IF($A701="",0,SUMIFS(L_Valor,L_ParcID,$A701,L_Status,"REALIZADO"))</f>
        <v>0</v>
      </c>
      <c r="L701" s="38" t="str">
        <f aca="false">IF($A701="","",IFERROR(INDEX(L_Data,MATCH(1,INDEX((L_ParcID=$A701)*(L_Status="REALIZADO"),0),0)),""))</f>
        <v/>
      </c>
      <c r="M701" s="34" t="n">
        <f aca="false">IF($A701="",0,COUNTIFS(L_ParcID,$A701,L_Status,"REALIZADO"))</f>
        <v>0</v>
      </c>
      <c r="N701" s="34" t="n">
        <f aca="false">IF($A701="",0,COUNTIFS(L_ParcID,$A701,L_Status,"PROJETADO"))</f>
        <v>0</v>
      </c>
      <c r="O701" s="35" t="str">
        <f aca="false">IF($A701="","",IF($J701="SIM","PAGA",IF($M701&gt;0,"PAGA",IF($D701&lt;CFG_HOJE,"ATRASADA",IF($D701&lt;=EOMONTH(CFG_HOJE,0),"ABERTA","PROJETADA")))))</f>
        <v/>
      </c>
      <c r="P701" s="34" t="n">
        <f aca="false">IF($O701="ATRASADA",CFG_HOJE-$D701,0)</f>
        <v>0</v>
      </c>
      <c r="Q701" s="36" t="n">
        <f aca="false">IF($A701="",0,IF(AND($O701="PAGA",$J701="NAO"),$K701-$E701,0))</f>
        <v>0</v>
      </c>
    </row>
    <row r="702" customFormat="false" ht="15" hidden="false" customHeight="false" outlineLevel="0" collapsed="false">
      <c r="A702" s="30" t="str">
        <f aca="false">IF($B702="","","PAR-"&amp;TEXT(ROW()-4,"000000"))</f>
        <v/>
      </c>
      <c r="B702" s="32"/>
      <c r="C702" s="37"/>
      <c r="D702" s="31"/>
      <c r="E702" s="33"/>
      <c r="F702" s="32"/>
      <c r="G702" s="35" t="str">
        <f aca="false">IF($B702="","",IFERROR(INDEX(CM_NOME,MATCH($B702,CM_ID,0)),"?"))</f>
        <v/>
      </c>
      <c r="H702" s="34" t="str">
        <f aca="false">IF($B702="","",IFERROR(INDEX(CM_QTD,MATCH($B702,CM_ID,0)),""))</f>
        <v/>
      </c>
      <c r="I702" s="35" t="str">
        <f aca="false">IF($A702="","",$C702&amp;"/"&amp;$H702)</f>
        <v/>
      </c>
      <c r="J702" s="35" t="str">
        <f aca="false">IF($A702="","",IF($C702&lt;=IFERROR(INDEX(CM_PAGASANTES,MATCH($B702,CM_ID,0)),0),"SIM","NAO"))</f>
        <v/>
      </c>
      <c r="K702" s="36" t="n">
        <f aca="false">IF($A702="",0,SUMIFS(L_Valor,L_ParcID,$A702,L_Status,"REALIZADO"))</f>
        <v>0</v>
      </c>
      <c r="L702" s="38" t="str">
        <f aca="false">IF($A702="","",IFERROR(INDEX(L_Data,MATCH(1,INDEX((L_ParcID=$A702)*(L_Status="REALIZADO"),0),0)),""))</f>
        <v/>
      </c>
      <c r="M702" s="34" t="n">
        <f aca="false">IF($A702="",0,COUNTIFS(L_ParcID,$A702,L_Status,"REALIZADO"))</f>
        <v>0</v>
      </c>
      <c r="N702" s="34" t="n">
        <f aca="false">IF($A702="",0,COUNTIFS(L_ParcID,$A702,L_Status,"PROJETADO"))</f>
        <v>0</v>
      </c>
      <c r="O702" s="35" t="str">
        <f aca="false">IF($A702="","",IF($J702="SIM","PAGA",IF($M702&gt;0,"PAGA",IF($D702&lt;CFG_HOJE,"ATRASADA",IF($D702&lt;=EOMONTH(CFG_HOJE,0),"ABERTA","PROJETADA")))))</f>
        <v/>
      </c>
      <c r="P702" s="34" t="n">
        <f aca="false">IF($O702="ATRASADA",CFG_HOJE-$D702,0)</f>
        <v>0</v>
      </c>
      <c r="Q702" s="36" t="n">
        <f aca="false">IF($A702="",0,IF(AND($O702="PAGA",$J702="NAO"),$K702-$E702,0))</f>
        <v>0</v>
      </c>
    </row>
    <row r="703" customFormat="false" ht="15" hidden="false" customHeight="false" outlineLevel="0" collapsed="false">
      <c r="A703" s="30" t="str">
        <f aca="false">IF($B703="","","PAR-"&amp;TEXT(ROW()-4,"000000"))</f>
        <v/>
      </c>
      <c r="B703" s="32"/>
      <c r="C703" s="37"/>
      <c r="D703" s="31"/>
      <c r="E703" s="33"/>
      <c r="F703" s="32"/>
      <c r="G703" s="35" t="str">
        <f aca="false">IF($B703="","",IFERROR(INDEX(CM_NOME,MATCH($B703,CM_ID,0)),"?"))</f>
        <v/>
      </c>
      <c r="H703" s="34" t="str">
        <f aca="false">IF($B703="","",IFERROR(INDEX(CM_QTD,MATCH($B703,CM_ID,0)),""))</f>
        <v/>
      </c>
      <c r="I703" s="35" t="str">
        <f aca="false">IF($A703="","",$C703&amp;"/"&amp;$H703)</f>
        <v/>
      </c>
      <c r="J703" s="35" t="str">
        <f aca="false">IF($A703="","",IF($C703&lt;=IFERROR(INDEX(CM_PAGASANTES,MATCH($B703,CM_ID,0)),0),"SIM","NAO"))</f>
        <v/>
      </c>
      <c r="K703" s="36" t="n">
        <f aca="false">IF($A703="",0,SUMIFS(L_Valor,L_ParcID,$A703,L_Status,"REALIZADO"))</f>
        <v>0</v>
      </c>
      <c r="L703" s="38" t="str">
        <f aca="false">IF($A703="","",IFERROR(INDEX(L_Data,MATCH(1,INDEX((L_ParcID=$A703)*(L_Status="REALIZADO"),0),0)),""))</f>
        <v/>
      </c>
      <c r="M703" s="34" t="n">
        <f aca="false">IF($A703="",0,COUNTIFS(L_ParcID,$A703,L_Status,"REALIZADO"))</f>
        <v>0</v>
      </c>
      <c r="N703" s="34" t="n">
        <f aca="false">IF($A703="",0,COUNTIFS(L_ParcID,$A703,L_Status,"PROJETADO"))</f>
        <v>0</v>
      </c>
      <c r="O703" s="35" t="str">
        <f aca="false">IF($A703="","",IF($J703="SIM","PAGA",IF($M703&gt;0,"PAGA",IF($D703&lt;CFG_HOJE,"ATRASADA",IF($D703&lt;=EOMONTH(CFG_HOJE,0),"ABERTA","PROJETADA")))))</f>
        <v/>
      </c>
      <c r="P703" s="34" t="n">
        <f aca="false">IF($O703="ATRASADA",CFG_HOJE-$D703,0)</f>
        <v>0</v>
      </c>
      <c r="Q703" s="36" t="n">
        <f aca="false">IF($A703="",0,IF(AND($O703="PAGA",$J703="NAO"),$K703-$E703,0))</f>
        <v>0</v>
      </c>
    </row>
    <row r="704" customFormat="false" ht="15" hidden="false" customHeight="false" outlineLevel="0" collapsed="false">
      <c r="A704" s="30" t="str">
        <f aca="false">IF($B704="","","PAR-"&amp;TEXT(ROW()-4,"000000"))</f>
        <v/>
      </c>
      <c r="B704" s="32"/>
      <c r="C704" s="37"/>
      <c r="D704" s="31"/>
      <c r="E704" s="33"/>
      <c r="F704" s="32"/>
      <c r="G704" s="35" t="str">
        <f aca="false">IF($B704="","",IFERROR(INDEX(CM_NOME,MATCH($B704,CM_ID,0)),"?"))</f>
        <v/>
      </c>
      <c r="H704" s="34" t="str">
        <f aca="false">IF($B704="","",IFERROR(INDEX(CM_QTD,MATCH($B704,CM_ID,0)),""))</f>
        <v/>
      </c>
      <c r="I704" s="35" t="str">
        <f aca="false">IF($A704="","",$C704&amp;"/"&amp;$H704)</f>
        <v/>
      </c>
      <c r="J704" s="35" t="str">
        <f aca="false">IF($A704="","",IF($C704&lt;=IFERROR(INDEX(CM_PAGASANTES,MATCH($B704,CM_ID,0)),0),"SIM","NAO"))</f>
        <v/>
      </c>
      <c r="K704" s="36" t="n">
        <f aca="false">IF($A704="",0,SUMIFS(L_Valor,L_ParcID,$A704,L_Status,"REALIZADO"))</f>
        <v>0</v>
      </c>
      <c r="L704" s="38" t="str">
        <f aca="false">IF($A704="","",IFERROR(INDEX(L_Data,MATCH(1,INDEX((L_ParcID=$A704)*(L_Status="REALIZADO"),0),0)),""))</f>
        <v/>
      </c>
      <c r="M704" s="34" t="n">
        <f aca="false">IF($A704="",0,COUNTIFS(L_ParcID,$A704,L_Status,"REALIZADO"))</f>
        <v>0</v>
      </c>
      <c r="N704" s="34" t="n">
        <f aca="false">IF($A704="",0,COUNTIFS(L_ParcID,$A704,L_Status,"PROJETADO"))</f>
        <v>0</v>
      </c>
      <c r="O704" s="35" t="str">
        <f aca="false">IF($A704="","",IF($J704="SIM","PAGA",IF($M704&gt;0,"PAGA",IF($D704&lt;CFG_HOJE,"ATRASADA",IF($D704&lt;=EOMONTH(CFG_HOJE,0),"ABERTA","PROJETADA")))))</f>
        <v/>
      </c>
      <c r="P704" s="34" t="n">
        <f aca="false">IF($O704="ATRASADA",CFG_HOJE-$D704,0)</f>
        <v>0</v>
      </c>
      <c r="Q704" s="36" t="n">
        <f aca="false">IF($A704="",0,IF(AND($O704="PAGA",$J704="NAO"),$K704-$E704,0))</f>
        <v>0</v>
      </c>
    </row>
  </sheetData>
  <autoFilter ref="A4:Q1204"/>
  <mergeCells count="2">
    <mergeCell ref="A1:Q1"/>
    <mergeCell ref="A2:Q2"/>
  </mergeCells>
  <conditionalFormatting sqref="O5:O704">
    <cfRule type="cellIs" priority="2" operator="equal" aboveAverage="0" equalAverage="0" bottom="0" percent="0" rank="0" text="" dxfId="10">
      <formula>"PAGA"</formula>
    </cfRule>
    <cfRule type="cellIs" priority="3" operator="equal" aboveAverage="0" equalAverage="0" bottom="0" percent="0" rank="0" text="" dxfId="7">
      <formula>"ATRASADA"</formula>
    </cfRule>
    <cfRule type="cellIs" priority="4" operator="equal" aboveAverage="0" equalAverage="0" bottom="0" percent="0" rank="0" text="" dxfId="8">
      <formula>"ABERTA"</formula>
    </cfRule>
  </conditionalFormatting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704" type="list">
      <formula1>CM_ID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58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34"/>
  </cols>
  <sheetData>
    <row r="1" customFormat="false" ht="25.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9" t="s">
        <v>152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customFormat="false" ht="30" hidden="false" customHeight="true" outlineLevel="0" collapsed="false">
      <c r="A4" s="8" t="s">
        <v>153</v>
      </c>
      <c r="B4" s="8" t="s">
        <v>47</v>
      </c>
      <c r="C4" s="8" t="s">
        <v>94</v>
      </c>
      <c r="D4" s="8" t="s">
        <v>113</v>
      </c>
      <c r="E4" s="8" t="s">
        <v>84</v>
      </c>
      <c r="F4" s="8" t="s">
        <v>114</v>
      </c>
      <c r="G4" s="8" t="s">
        <v>115</v>
      </c>
      <c r="H4" s="8" t="s">
        <v>76</v>
      </c>
      <c r="I4" s="8" t="s">
        <v>154</v>
      </c>
      <c r="J4" s="8" t="s">
        <v>155</v>
      </c>
      <c r="K4" s="8" t="s">
        <v>156</v>
      </c>
      <c r="L4" s="8" t="s">
        <v>157</v>
      </c>
      <c r="M4" s="8" t="s">
        <v>133</v>
      </c>
    </row>
    <row r="5" customFormat="false" ht="15" hidden="false" customHeight="false" outlineLevel="0" collapsed="false">
      <c r="A5" s="30" t="str">
        <f aca="false">IF($B5="","","MOV-"&amp;TEXT(ROW()-4,"000000"))</f>
        <v/>
      </c>
      <c r="B5" s="31"/>
      <c r="C5" s="32"/>
      <c r="D5" s="32"/>
      <c r="E5" s="33"/>
      <c r="F5" s="32"/>
      <c r="G5" s="32"/>
      <c r="H5" s="32"/>
      <c r="I5" s="35" t="str">
        <f aca="false">IF($C5="","",IFERROR(INDEX(M_NOME,MATCH($C5,M_ID,0)),"?"))</f>
        <v/>
      </c>
      <c r="J5" s="34" t="n">
        <f aca="false">IF($D5="",0,IFERROR(INDEX(MAP_SINALMOV,MATCH($D5,LST_TIPOMOV,0)),0))</f>
        <v>0</v>
      </c>
      <c r="K5" s="36" t="n">
        <f aca="false">IF($A5="",0,$E5*$J5)</f>
        <v>0</v>
      </c>
      <c r="L5" s="35" t="str">
        <f aca="false">IF($C5="","",IFERROR(INDEX(M_CONTA,MATCH($C5,M_ID,0)),""))</f>
        <v/>
      </c>
      <c r="M5" s="35" t="str">
        <f aca="false">IF($B5="","",IF($E5&lt;=0,"ERRO: valor deve ser maior que zero",IF(COUNTIF(M_ID,$C5)=0,"ERRO: meta inexistente",IF(COUNTIF(LST_TIPOMOV,$D5)=0,"ERRO: tipo de movimento invalido",IF(AND($D5="TRANSF_SAIDA",COUNTIF(M_ID,$G5)=0),"ERRO: informe a meta de destino",IF(AND($J5=-1,$F5=""),"ATENCAO: informe o destino da retirada","OK"))))))</f>
        <v/>
      </c>
    </row>
    <row r="6" customFormat="false" ht="15" hidden="false" customHeight="false" outlineLevel="0" collapsed="false">
      <c r="A6" s="30" t="str">
        <f aca="false">IF($B6="","","MOV-"&amp;TEXT(ROW()-4,"000000"))</f>
        <v/>
      </c>
      <c r="B6" s="31"/>
      <c r="C6" s="32"/>
      <c r="D6" s="32"/>
      <c r="E6" s="33"/>
      <c r="F6" s="32"/>
      <c r="G6" s="32"/>
      <c r="H6" s="32"/>
      <c r="I6" s="35" t="str">
        <f aca="false">IF($C6="","",IFERROR(INDEX(M_NOME,MATCH($C6,M_ID,0)),"?"))</f>
        <v/>
      </c>
      <c r="J6" s="34" t="n">
        <f aca="false">IF($D6="",0,IFERROR(INDEX(MAP_SINALMOV,MATCH($D6,LST_TIPOMOV,0)),0))</f>
        <v>0</v>
      </c>
      <c r="K6" s="36" t="n">
        <f aca="false">IF($A6="",0,$E6*$J6)</f>
        <v>0</v>
      </c>
      <c r="L6" s="35" t="str">
        <f aca="false">IF($C6="","",IFERROR(INDEX(M_CONTA,MATCH($C6,M_ID,0)),""))</f>
        <v/>
      </c>
      <c r="M6" s="35" t="str">
        <f aca="false">IF($B6="","",IF($E6&lt;=0,"ERRO: valor deve ser maior que zero",IF(COUNTIF(M_ID,$C6)=0,"ERRO: meta inexistente",IF(COUNTIF(LST_TIPOMOV,$D6)=0,"ERRO: tipo de movimento invalido",IF(AND($D6="TRANSF_SAIDA",COUNTIF(M_ID,$G6)=0),"ERRO: informe a meta de destino",IF(AND($J6=-1,$F6=""),"ATENCAO: informe o destino da retirada","OK"))))))</f>
        <v/>
      </c>
    </row>
    <row r="7" customFormat="false" ht="15" hidden="false" customHeight="false" outlineLevel="0" collapsed="false">
      <c r="A7" s="30" t="str">
        <f aca="false">IF($B7="","","MOV-"&amp;TEXT(ROW()-4,"000000"))</f>
        <v/>
      </c>
      <c r="B7" s="31"/>
      <c r="C7" s="32"/>
      <c r="D7" s="32"/>
      <c r="E7" s="33"/>
      <c r="F7" s="32"/>
      <c r="G7" s="32"/>
      <c r="H7" s="32"/>
      <c r="I7" s="35" t="str">
        <f aca="false">IF($C7="","",IFERROR(INDEX(M_NOME,MATCH($C7,M_ID,0)),"?"))</f>
        <v/>
      </c>
      <c r="J7" s="34" t="n">
        <f aca="false">IF($D7="",0,IFERROR(INDEX(MAP_SINALMOV,MATCH($D7,LST_TIPOMOV,0)),0))</f>
        <v>0</v>
      </c>
      <c r="K7" s="36" t="n">
        <f aca="false">IF($A7="",0,$E7*$J7)</f>
        <v>0</v>
      </c>
      <c r="L7" s="35" t="str">
        <f aca="false">IF($C7="","",IFERROR(INDEX(M_CONTA,MATCH($C7,M_ID,0)),""))</f>
        <v/>
      </c>
      <c r="M7" s="35" t="str">
        <f aca="false">IF($B7="","",IF($E7&lt;=0,"ERRO: valor deve ser maior que zero",IF(COUNTIF(M_ID,$C7)=0,"ERRO: meta inexistente",IF(COUNTIF(LST_TIPOMOV,$D7)=0,"ERRO: tipo de movimento invalido",IF(AND($D7="TRANSF_SAIDA",COUNTIF(M_ID,$G7)=0),"ERRO: informe a meta de destino",IF(AND($J7=-1,$F7=""),"ATENCAO: informe o destino da retirada","OK"))))))</f>
        <v/>
      </c>
    </row>
    <row r="8" customFormat="false" ht="15" hidden="false" customHeight="false" outlineLevel="0" collapsed="false">
      <c r="A8" s="30" t="str">
        <f aca="false">IF($B8="","","MOV-"&amp;TEXT(ROW()-4,"000000"))</f>
        <v/>
      </c>
      <c r="B8" s="31"/>
      <c r="C8" s="32"/>
      <c r="D8" s="32"/>
      <c r="E8" s="33"/>
      <c r="F8" s="32"/>
      <c r="G8" s="32"/>
      <c r="H8" s="32"/>
      <c r="I8" s="35" t="str">
        <f aca="false">IF($C8="","",IFERROR(INDEX(M_NOME,MATCH($C8,M_ID,0)),"?"))</f>
        <v/>
      </c>
      <c r="J8" s="34" t="n">
        <f aca="false">IF($D8="",0,IFERROR(INDEX(MAP_SINALMOV,MATCH($D8,LST_TIPOMOV,0)),0))</f>
        <v>0</v>
      </c>
      <c r="K8" s="36" t="n">
        <f aca="false">IF($A8="",0,$E8*$J8)</f>
        <v>0</v>
      </c>
      <c r="L8" s="35" t="str">
        <f aca="false">IF($C8="","",IFERROR(INDEX(M_CONTA,MATCH($C8,M_ID,0)),""))</f>
        <v/>
      </c>
      <c r="M8" s="35" t="str">
        <f aca="false">IF($B8="","",IF($E8&lt;=0,"ERRO: valor deve ser maior que zero",IF(COUNTIF(M_ID,$C8)=0,"ERRO: meta inexistente",IF(COUNTIF(LST_TIPOMOV,$D8)=0,"ERRO: tipo de movimento invalido",IF(AND($D8="TRANSF_SAIDA",COUNTIF(M_ID,$G8)=0),"ERRO: informe a meta de destino",IF(AND($J8=-1,$F8=""),"ATENCAO: informe o destino da retirada","OK"))))))</f>
        <v/>
      </c>
    </row>
    <row r="9" customFormat="false" ht="15" hidden="false" customHeight="false" outlineLevel="0" collapsed="false">
      <c r="A9" s="30" t="str">
        <f aca="false">IF($B9="","","MOV-"&amp;TEXT(ROW()-4,"000000"))</f>
        <v/>
      </c>
      <c r="B9" s="31"/>
      <c r="C9" s="32"/>
      <c r="D9" s="32"/>
      <c r="E9" s="33"/>
      <c r="F9" s="32"/>
      <c r="G9" s="32"/>
      <c r="H9" s="32"/>
      <c r="I9" s="35" t="str">
        <f aca="false">IF($C9="","",IFERROR(INDEX(M_NOME,MATCH($C9,M_ID,0)),"?"))</f>
        <v/>
      </c>
      <c r="J9" s="34" t="n">
        <f aca="false">IF($D9="",0,IFERROR(INDEX(MAP_SINALMOV,MATCH($D9,LST_TIPOMOV,0)),0))</f>
        <v>0</v>
      </c>
      <c r="K9" s="36" t="n">
        <f aca="false">IF($A9="",0,$E9*$J9)</f>
        <v>0</v>
      </c>
      <c r="L9" s="35" t="str">
        <f aca="false">IF($C9="","",IFERROR(INDEX(M_CONTA,MATCH($C9,M_ID,0)),""))</f>
        <v/>
      </c>
      <c r="M9" s="35" t="str">
        <f aca="false">IF($B9="","",IF($E9&lt;=0,"ERRO: valor deve ser maior que zero",IF(COUNTIF(M_ID,$C9)=0,"ERRO: meta inexistente",IF(COUNTIF(LST_TIPOMOV,$D9)=0,"ERRO: tipo de movimento invalido",IF(AND($D9="TRANSF_SAIDA",COUNTIF(M_ID,$G9)=0),"ERRO: informe a meta de destino",IF(AND($J9=-1,$F9=""),"ATENCAO: informe o destino da retirada","OK"))))))</f>
        <v/>
      </c>
    </row>
    <row r="10" customFormat="false" ht="15" hidden="false" customHeight="false" outlineLevel="0" collapsed="false">
      <c r="A10" s="30" t="str">
        <f aca="false">IF($B10="","","MOV-"&amp;TEXT(ROW()-4,"000000"))</f>
        <v/>
      </c>
      <c r="B10" s="31"/>
      <c r="C10" s="32"/>
      <c r="D10" s="32"/>
      <c r="E10" s="33"/>
      <c r="F10" s="32"/>
      <c r="G10" s="32"/>
      <c r="H10" s="32"/>
      <c r="I10" s="35" t="str">
        <f aca="false">IF($C10="","",IFERROR(INDEX(M_NOME,MATCH($C10,M_ID,0)),"?"))</f>
        <v/>
      </c>
      <c r="J10" s="34" t="n">
        <f aca="false">IF($D10="",0,IFERROR(INDEX(MAP_SINALMOV,MATCH($D10,LST_TIPOMOV,0)),0))</f>
        <v>0</v>
      </c>
      <c r="K10" s="36" t="n">
        <f aca="false">IF($A10="",0,$E10*$J10)</f>
        <v>0</v>
      </c>
      <c r="L10" s="35" t="str">
        <f aca="false">IF($C10="","",IFERROR(INDEX(M_CONTA,MATCH($C10,M_ID,0)),""))</f>
        <v/>
      </c>
      <c r="M10" s="35" t="str">
        <f aca="false">IF($B10="","",IF($E10&lt;=0,"ERRO: valor deve ser maior que zero",IF(COUNTIF(M_ID,$C10)=0,"ERRO: meta inexistente",IF(COUNTIF(LST_TIPOMOV,$D10)=0,"ERRO: tipo de movimento invalido",IF(AND($D10="TRANSF_SAIDA",COUNTIF(M_ID,$G10)=0),"ERRO: informe a meta de destino",IF(AND($J10=-1,$F10=""),"ATENCAO: informe o destino da retirada","OK"))))))</f>
        <v/>
      </c>
    </row>
    <row r="11" customFormat="false" ht="15" hidden="false" customHeight="false" outlineLevel="0" collapsed="false">
      <c r="A11" s="30" t="str">
        <f aca="false">IF($B11="","","MOV-"&amp;TEXT(ROW()-4,"000000"))</f>
        <v/>
      </c>
      <c r="B11" s="31"/>
      <c r="C11" s="32"/>
      <c r="D11" s="32"/>
      <c r="E11" s="33"/>
      <c r="F11" s="32"/>
      <c r="G11" s="32"/>
      <c r="H11" s="32"/>
      <c r="I11" s="35" t="str">
        <f aca="false">IF($C11="","",IFERROR(INDEX(M_NOME,MATCH($C11,M_ID,0)),"?"))</f>
        <v/>
      </c>
      <c r="J11" s="34" t="n">
        <f aca="false">IF($D11="",0,IFERROR(INDEX(MAP_SINALMOV,MATCH($D11,LST_TIPOMOV,0)),0))</f>
        <v>0</v>
      </c>
      <c r="K11" s="36" t="n">
        <f aca="false">IF($A11="",0,$E11*$J11)</f>
        <v>0</v>
      </c>
      <c r="L11" s="35" t="str">
        <f aca="false">IF($C11="","",IFERROR(INDEX(M_CONTA,MATCH($C11,M_ID,0)),""))</f>
        <v/>
      </c>
      <c r="M11" s="35" t="str">
        <f aca="false">IF($B11="","",IF($E11&lt;=0,"ERRO: valor deve ser maior que zero",IF(COUNTIF(M_ID,$C11)=0,"ERRO: meta inexistente",IF(COUNTIF(LST_TIPOMOV,$D11)=0,"ERRO: tipo de movimento invalido",IF(AND($D11="TRANSF_SAIDA",COUNTIF(M_ID,$G11)=0),"ERRO: informe a meta de destino",IF(AND($J11=-1,$F11=""),"ATENCAO: informe o destino da retirada","OK"))))))</f>
        <v/>
      </c>
    </row>
    <row r="12" customFormat="false" ht="15" hidden="false" customHeight="false" outlineLevel="0" collapsed="false">
      <c r="A12" s="30" t="str">
        <f aca="false">IF($B12="","","MOV-"&amp;TEXT(ROW()-4,"000000"))</f>
        <v/>
      </c>
      <c r="B12" s="31"/>
      <c r="C12" s="32"/>
      <c r="D12" s="32"/>
      <c r="E12" s="33"/>
      <c r="F12" s="32"/>
      <c r="G12" s="32"/>
      <c r="H12" s="32"/>
      <c r="I12" s="35" t="str">
        <f aca="false">IF($C12="","",IFERROR(INDEX(M_NOME,MATCH($C12,M_ID,0)),"?"))</f>
        <v/>
      </c>
      <c r="J12" s="34" t="n">
        <f aca="false">IF($D12="",0,IFERROR(INDEX(MAP_SINALMOV,MATCH($D12,LST_TIPOMOV,0)),0))</f>
        <v>0</v>
      </c>
      <c r="K12" s="36" t="n">
        <f aca="false">IF($A12="",0,$E12*$J12)</f>
        <v>0</v>
      </c>
      <c r="L12" s="35" t="str">
        <f aca="false">IF($C12="","",IFERROR(INDEX(M_CONTA,MATCH($C12,M_ID,0)),""))</f>
        <v/>
      </c>
      <c r="M12" s="35" t="str">
        <f aca="false">IF($B12="","",IF($E12&lt;=0,"ERRO: valor deve ser maior que zero",IF(COUNTIF(M_ID,$C12)=0,"ERRO: meta inexistente",IF(COUNTIF(LST_TIPOMOV,$D12)=0,"ERRO: tipo de movimento invalido",IF(AND($D12="TRANSF_SAIDA",COUNTIF(M_ID,$G12)=0),"ERRO: informe a meta de destino",IF(AND($J12=-1,$F12=""),"ATENCAO: informe o destino da retirada","OK"))))))</f>
        <v/>
      </c>
    </row>
    <row r="13" customFormat="false" ht="15" hidden="false" customHeight="false" outlineLevel="0" collapsed="false">
      <c r="A13" s="30" t="str">
        <f aca="false">IF($B13="","","MOV-"&amp;TEXT(ROW()-4,"000000"))</f>
        <v/>
      </c>
      <c r="B13" s="31"/>
      <c r="C13" s="32"/>
      <c r="D13" s="32"/>
      <c r="E13" s="33"/>
      <c r="F13" s="32"/>
      <c r="G13" s="32"/>
      <c r="H13" s="32"/>
      <c r="I13" s="35" t="str">
        <f aca="false">IF($C13="","",IFERROR(INDEX(M_NOME,MATCH($C13,M_ID,0)),"?"))</f>
        <v/>
      </c>
      <c r="J13" s="34" t="n">
        <f aca="false">IF($D13="",0,IFERROR(INDEX(MAP_SINALMOV,MATCH($D13,LST_TIPOMOV,0)),0))</f>
        <v>0</v>
      </c>
      <c r="K13" s="36" t="n">
        <f aca="false">IF($A13="",0,$E13*$J13)</f>
        <v>0</v>
      </c>
      <c r="L13" s="35" t="str">
        <f aca="false">IF($C13="","",IFERROR(INDEX(M_CONTA,MATCH($C13,M_ID,0)),""))</f>
        <v/>
      </c>
      <c r="M13" s="35" t="str">
        <f aca="false">IF($B13="","",IF($E13&lt;=0,"ERRO: valor deve ser maior que zero",IF(COUNTIF(M_ID,$C13)=0,"ERRO: meta inexistente",IF(COUNTIF(LST_TIPOMOV,$D13)=0,"ERRO: tipo de movimento invalido",IF(AND($D13="TRANSF_SAIDA",COUNTIF(M_ID,$G13)=0),"ERRO: informe a meta de destino",IF(AND($J13=-1,$F13=""),"ATENCAO: informe o destino da retirada","OK"))))))</f>
        <v/>
      </c>
    </row>
    <row r="14" customFormat="false" ht="15" hidden="false" customHeight="false" outlineLevel="0" collapsed="false">
      <c r="A14" s="30" t="str">
        <f aca="false">IF($B14="","","MOV-"&amp;TEXT(ROW()-4,"000000"))</f>
        <v/>
      </c>
      <c r="B14" s="31"/>
      <c r="C14" s="32"/>
      <c r="D14" s="32"/>
      <c r="E14" s="33"/>
      <c r="F14" s="32"/>
      <c r="G14" s="32"/>
      <c r="H14" s="32"/>
      <c r="I14" s="35" t="str">
        <f aca="false">IF($C14="","",IFERROR(INDEX(M_NOME,MATCH($C14,M_ID,0)),"?"))</f>
        <v/>
      </c>
      <c r="J14" s="34" t="n">
        <f aca="false">IF($D14="",0,IFERROR(INDEX(MAP_SINALMOV,MATCH($D14,LST_TIPOMOV,0)),0))</f>
        <v>0</v>
      </c>
      <c r="K14" s="36" t="n">
        <f aca="false">IF($A14="",0,$E14*$J14)</f>
        <v>0</v>
      </c>
      <c r="L14" s="35" t="str">
        <f aca="false">IF($C14="","",IFERROR(INDEX(M_CONTA,MATCH($C14,M_ID,0)),""))</f>
        <v/>
      </c>
      <c r="M14" s="35" t="str">
        <f aca="false">IF($B14="","",IF($E14&lt;=0,"ERRO: valor deve ser maior que zero",IF(COUNTIF(M_ID,$C14)=0,"ERRO: meta inexistente",IF(COUNTIF(LST_TIPOMOV,$D14)=0,"ERRO: tipo de movimento invalido",IF(AND($D14="TRANSF_SAIDA",COUNTIF(M_ID,$G14)=0),"ERRO: informe a meta de destino",IF(AND($J14=-1,$F14=""),"ATENCAO: informe o destino da retirada","OK"))))))</f>
        <v/>
      </c>
    </row>
    <row r="15" customFormat="false" ht="15" hidden="false" customHeight="false" outlineLevel="0" collapsed="false">
      <c r="A15" s="30" t="str">
        <f aca="false">IF($B15="","","MOV-"&amp;TEXT(ROW()-4,"000000"))</f>
        <v/>
      </c>
      <c r="B15" s="31"/>
      <c r="C15" s="32"/>
      <c r="D15" s="32"/>
      <c r="E15" s="33"/>
      <c r="F15" s="32"/>
      <c r="G15" s="32"/>
      <c r="H15" s="32"/>
      <c r="I15" s="35" t="str">
        <f aca="false">IF($C15="","",IFERROR(INDEX(M_NOME,MATCH($C15,M_ID,0)),"?"))</f>
        <v/>
      </c>
      <c r="J15" s="34" t="n">
        <f aca="false">IF($D15="",0,IFERROR(INDEX(MAP_SINALMOV,MATCH($D15,LST_TIPOMOV,0)),0))</f>
        <v>0</v>
      </c>
      <c r="K15" s="36" t="n">
        <f aca="false">IF($A15="",0,$E15*$J15)</f>
        <v>0</v>
      </c>
      <c r="L15" s="35" t="str">
        <f aca="false">IF($C15="","",IFERROR(INDEX(M_CONTA,MATCH($C15,M_ID,0)),""))</f>
        <v/>
      </c>
      <c r="M15" s="35" t="str">
        <f aca="false">IF($B15="","",IF($E15&lt;=0,"ERRO: valor deve ser maior que zero",IF(COUNTIF(M_ID,$C15)=0,"ERRO: meta inexistente",IF(COUNTIF(LST_TIPOMOV,$D15)=0,"ERRO: tipo de movimento invalido",IF(AND($D15="TRANSF_SAIDA",COUNTIF(M_ID,$G15)=0),"ERRO: informe a meta de destino",IF(AND($J15=-1,$F15=""),"ATENCAO: informe o destino da retirada","OK"))))))</f>
        <v/>
      </c>
    </row>
    <row r="16" customFormat="false" ht="15" hidden="false" customHeight="false" outlineLevel="0" collapsed="false">
      <c r="A16" s="30" t="str">
        <f aca="false">IF($B16="","","MOV-"&amp;TEXT(ROW()-4,"000000"))</f>
        <v/>
      </c>
      <c r="B16" s="31"/>
      <c r="C16" s="32"/>
      <c r="D16" s="32"/>
      <c r="E16" s="33"/>
      <c r="F16" s="32"/>
      <c r="G16" s="32"/>
      <c r="H16" s="32"/>
      <c r="I16" s="35" t="str">
        <f aca="false">IF($C16="","",IFERROR(INDEX(M_NOME,MATCH($C16,M_ID,0)),"?"))</f>
        <v/>
      </c>
      <c r="J16" s="34" t="n">
        <f aca="false">IF($D16="",0,IFERROR(INDEX(MAP_SINALMOV,MATCH($D16,LST_TIPOMOV,0)),0))</f>
        <v>0</v>
      </c>
      <c r="K16" s="36" t="n">
        <f aca="false">IF($A16="",0,$E16*$J16)</f>
        <v>0</v>
      </c>
      <c r="L16" s="35" t="str">
        <f aca="false">IF($C16="","",IFERROR(INDEX(M_CONTA,MATCH($C16,M_ID,0)),""))</f>
        <v/>
      </c>
      <c r="M16" s="35" t="str">
        <f aca="false">IF($B16="","",IF($E16&lt;=0,"ERRO: valor deve ser maior que zero",IF(COUNTIF(M_ID,$C16)=0,"ERRO: meta inexistente",IF(COUNTIF(LST_TIPOMOV,$D16)=0,"ERRO: tipo de movimento invalido",IF(AND($D16="TRANSF_SAIDA",COUNTIF(M_ID,$G16)=0),"ERRO: informe a meta de destino",IF(AND($J16=-1,$F16=""),"ATENCAO: informe o destino da retirada","OK"))))))</f>
        <v/>
      </c>
    </row>
    <row r="17" customFormat="false" ht="15" hidden="false" customHeight="false" outlineLevel="0" collapsed="false">
      <c r="A17" s="30" t="str">
        <f aca="false">IF($B17="","","MOV-"&amp;TEXT(ROW()-4,"000000"))</f>
        <v/>
      </c>
      <c r="B17" s="31"/>
      <c r="C17" s="32"/>
      <c r="D17" s="32"/>
      <c r="E17" s="33"/>
      <c r="F17" s="32"/>
      <c r="G17" s="32"/>
      <c r="H17" s="32"/>
      <c r="I17" s="35" t="str">
        <f aca="false">IF($C17="","",IFERROR(INDEX(M_NOME,MATCH($C17,M_ID,0)),"?"))</f>
        <v/>
      </c>
      <c r="J17" s="34" t="n">
        <f aca="false">IF($D17="",0,IFERROR(INDEX(MAP_SINALMOV,MATCH($D17,LST_TIPOMOV,0)),0))</f>
        <v>0</v>
      </c>
      <c r="K17" s="36" t="n">
        <f aca="false">IF($A17="",0,$E17*$J17)</f>
        <v>0</v>
      </c>
      <c r="L17" s="35" t="str">
        <f aca="false">IF($C17="","",IFERROR(INDEX(M_CONTA,MATCH($C17,M_ID,0)),""))</f>
        <v/>
      </c>
      <c r="M17" s="35" t="str">
        <f aca="false">IF($B17="","",IF($E17&lt;=0,"ERRO: valor deve ser maior que zero",IF(COUNTIF(M_ID,$C17)=0,"ERRO: meta inexistente",IF(COUNTIF(LST_TIPOMOV,$D17)=0,"ERRO: tipo de movimento invalido",IF(AND($D17="TRANSF_SAIDA",COUNTIF(M_ID,$G17)=0),"ERRO: informe a meta de destino",IF(AND($J17=-1,$F17=""),"ATENCAO: informe o destino da retirada","OK"))))))</f>
        <v/>
      </c>
    </row>
    <row r="18" customFormat="false" ht="15" hidden="false" customHeight="false" outlineLevel="0" collapsed="false">
      <c r="A18" s="30" t="str">
        <f aca="false">IF($B18="","","MOV-"&amp;TEXT(ROW()-4,"000000"))</f>
        <v/>
      </c>
      <c r="B18" s="31"/>
      <c r="C18" s="32"/>
      <c r="D18" s="32"/>
      <c r="E18" s="33"/>
      <c r="F18" s="32"/>
      <c r="G18" s="32"/>
      <c r="H18" s="32"/>
      <c r="I18" s="35" t="str">
        <f aca="false">IF($C18="","",IFERROR(INDEX(M_NOME,MATCH($C18,M_ID,0)),"?"))</f>
        <v/>
      </c>
      <c r="J18" s="34" t="n">
        <f aca="false">IF($D18="",0,IFERROR(INDEX(MAP_SINALMOV,MATCH($D18,LST_TIPOMOV,0)),0))</f>
        <v>0</v>
      </c>
      <c r="K18" s="36" t="n">
        <f aca="false">IF($A18="",0,$E18*$J18)</f>
        <v>0</v>
      </c>
      <c r="L18" s="35" t="str">
        <f aca="false">IF($C18="","",IFERROR(INDEX(M_CONTA,MATCH($C18,M_ID,0)),""))</f>
        <v/>
      </c>
      <c r="M18" s="35" t="str">
        <f aca="false">IF($B18="","",IF($E18&lt;=0,"ERRO: valor deve ser maior que zero",IF(COUNTIF(M_ID,$C18)=0,"ERRO: meta inexistente",IF(COUNTIF(LST_TIPOMOV,$D18)=0,"ERRO: tipo de movimento invalido",IF(AND($D18="TRANSF_SAIDA",COUNTIF(M_ID,$G18)=0),"ERRO: informe a meta de destino",IF(AND($J18=-1,$F18=""),"ATENCAO: informe o destino da retirada","OK"))))))</f>
        <v/>
      </c>
    </row>
    <row r="19" customFormat="false" ht="15" hidden="false" customHeight="false" outlineLevel="0" collapsed="false">
      <c r="A19" s="30" t="str">
        <f aca="false">IF($B19="","","MOV-"&amp;TEXT(ROW()-4,"000000"))</f>
        <v/>
      </c>
      <c r="B19" s="31"/>
      <c r="C19" s="32"/>
      <c r="D19" s="32"/>
      <c r="E19" s="33"/>
      <c r="F19" s="32"/>
      <c r="G19" s="32"/>
      <c r="H19" s="32"/>
      <c r="I19" s="35" t="str">
        <f aca="false">IF($C19="","",IFERROR(INDEX(M_NOME,MATCH($C19,M_ID,0)),"?"))</f>
        <v/>
      </c>
      <c r="J19" s="34" t="n">
        <f aca="false">IF($D19="",0,IFERROR(INDEX(MAP_SINALMOV,MATCH($D19,LST_TIPOMOV,0)),0))</f>
        <v>0</v>
      </c>
      <c r="K19" s="36" t="n">
        <f aca="false">IF($A19="",0,$E19*$J19)</f>
        <v>0</v>
      </c>
      <c r="L19" s="35" t="str">
        <f aca="false">IF($C19="","",IFERROR(INDEX(M_CONTA,MATCH($C19,M_ID,0)),""))</f>
        <v/>
      </c>
      <c r="M19" s="35" t="str">
        <f aca="false">IF($B19="","",IF($E19&lt;=0,"ERRO: valor deve ser maior que zero",IF(COUNTIF(M_ID,$C19)=0,"ERRO: meta inexistente",IF(COUNTIF(LST_TIPOMOV,$D19)=0,"ERRO: tipo de movimento invalido",IF(AND($D19="TRANSF_SAIDA",COUNTIF(M_ID,$G19)=0),"ERRO: informe a meta de destino",IF(AND($J19=-1,$F19=""),"ATENCAO: informe o destino da retirada","OK"))))))</f>
        <v/>
      </c>
    </row>
    <row r="20" customFormat="false" ht="15" hidden="false" customHeight="false" outlineLevel="0" collapsed="false">
      <c r="A20" s="30" t="str">
        <f aca="false">IF($B20="","","MOV-"&amp;TEXT(ROW()-4,"000000"))</f>
        <v/>
      </c>
      <c r="B20" s="31"/>
      <c r="C20" s="32"/>
      <c r="D20" s="32"/>
      <c r="E20" s="33"/>
      <c r="F20" s="32"/>
      <c r="G20" s="32"/>
      <c r="H20" s="32"/>
      <c r="I20" s="35" t="str">
        <f aca="false">IF($C20="","",IFERROR(INDEX(M_NOME,MATCH($C20,M_ID,0)),"?"))</f>
        <v/>
      </c>
      <c r="J20" s="34" t="n">
        <f aca="false">IF($D20="",0,IFERROR(INDEX(MAP_SINALMOV,MATCH($D20,LST_TIPOMOV,0)),0))</f>
        <v>0</v>
      </c>
      <c r="K20" s="36" t="n">
        <f aca="false">IF($A20="",0,$E20*$J20)</f>
        <v>0</v>
      </c>
      <c r="L20" s="35" t="str">
        <f aca="false">IF($C20="","",IFERROR(INDEX(M_CONTA,MATCH($C20,M_ID,0)),""))</f>
        <v/>
      </c>
      <c r="M20" s="35" t="str">
        <f aca="false">IF($B20="","",IF($E20&lt;=0,"ERRO: valor deve ser maior que zero",IF(COUNTIF(M_ID,$C20)=0,"ERRO: meta inexistente",IF(COUNTIF(LST_TIPOMOV,$D20)=0,"ERRO: tipo de movimento invalido",IF(AND($D20="TRANSF_SAIDA",COUNTIF(M_ID,$G20)=0),"ERRO: informe a meta de destino",IF(AND($J20=-1,$F20=""),"ATENCAO: informe o destino da retirada","OK"))))))</f>
        <v/>
      </c>
    </row>
    <row r="21" customFormat="false" ht="15" hidden="false" customHeight="false" outlineLevel="0" collapsed="false">
      <c r="A21" s="30" t="str">
        <f aca="false">IF($B21="","","MOV-"&amp;TEXT(ROW()-4,"000000"))</f>
        <v/>
      </c>
      <c r="B21" s="31"/>
      <c r="C21" s="32"/>
      <c r="D21" s="32"/>
      <c r="E21" s="33"/>
      <c r="F21" s="32"/>
      <c r="G21" s="32"/>
      <c r="H21" s="32"/>
      <c r="I21" s="35" t="str">
        <f aca="false">IF($C21="","",IFERROR(INDEX(M_NOME,MATCH($C21,M_ID,0)),"?"))</f>
        <v/>
      </c>
      <c r="J21" s="34" t="n">
        <f aca="false">IF($D21="",0,IFERROR(INDEX(MAP_SINALMOV,MATCH($D21,LST_TIPOMOV,0)),0))</f>
        <v>0</v>
      </c>
      <c r="K21" s="36" t="n">
        <f aca="false">IF($A21="",0,$E21*$J21)</f>
        <v>0</v>
      </c>
      <c r="L21" s="35" t="str">
        <f aca="false">IF($C21="","",IFERROR(INDEX(M_CONTA,MATCH($C21,M_ID,0)),""))</f>
        <v/>
      </c>
      <c r="M21" s="35" t="str">
        <f aca="false">IF($B21="","",IF($E21&lt;=0,"ERRO: valor deve ser maior que zero",IF(COUNTIF(M_ID,$C21)=0,"ERRO: meta inexistente",IF(COUNTIF(LST_TIPOMOV,$D21)=0,"ERRO: tipo de movimento invalido",IF(AND($D21="TRANSF_SAIDA",COUNTIF(M_ID,$G21)=0),"ERRO: informe a meta de destino",IF(AND($J21=-1,$F21=""),"ATENCAO: informe o destino da retirada","OK"))))))</f>
        <v/>
      </c>
    </row>
    <row r="22" customFormat="false" ht="15" hidden="false" customHeight="false" outlineLevel="0" collapsed="false">
      <c r="A22" s="30" t="str">
        <f aca="false">IF($B22="","","MOV-"&amp;TEXT(ROW()-4,"000000"))</f>
        <v/>
      </c>
      <c r="B22" s="31"/>
      <c r="C22" s="32"/>
      <c r="D22" s="32"/>
      <c r="E22" s="33"/>
      <c r="F22" s="32"/>
      <c r="G22" s="32"/>
      <c r="H22" s="32"/>
      <c r="I22" s="35" t="str">
        <f aca="false">IF($C22="","",IFERROR(INDEX(M_NOME,MATCH($C22,M_ID,0)),"?"))</f>
        <v/>
      </c>
      <c r="J22" s="34" t="n">
        <f aca="false">IF($D22="",0,IFERROR(INDEX(MAP_SINALMOV,MATCH($D22,LST_TIPOMOV,0)),0))</f>
        <v>0</v>
      </c>
      <c r="K22" s="36" t="n">
        <f aca="false">IF($A22="",0,$E22*$J22)</f>
        <v>0</v>
      </c>
      <c r="L22" s="35" t="str">
        <f aca="false">IF($C22="","",IFERROR(INDEX(M_CONTA,MATCH($C22,M_ID,0)),""))</f>
        <v/>
      </c>
      <c r="M22" s="35" t="str">
        <f aca="false">IF($B22="","",IF($E22&lt;=0,"ERRO: valor deve ser maior que zero",IF(COUNTIF(M_ID,$C22)=0,"ERRO: meta inexistente",IF(COUNTIF(LST_TIPOMOV,$D22)=0,"ERRO: tipo de movimento invalido",IF(AND($D22="TRANSF_SAIDA",COUNTIF(M_ID,$G22)=0),"ERRO: informe a meta de destino",IF(AND($J22=-1,$F22=""),"ATENCAO: informe o destino da retirada","OK"))))))</f>
        <v/>
      </c>
    </row>
    <row r="23" customFormat="false" ht="15" hidden="false" customHeight="false" outlineLevel="0" collapsed="false">
      <c r="A23" s="30" t="str">
        <f aca="false">IF($B23="","","MOV-"&amp;TEXT(ROW()-4,"000000"))</f>
        <v/>
      </c>
      <c r="B23" s="31"/>
      <c r="C23" s="32"/>
      <c r="D23" s="32"/>
      <c r="E23" s="33"/>
      <c r="F23" s="32"/>
      <c r="G23" s="32"/>
      <c r="H23" s="32"/>
      <c r="I23" s="35" t="str">
        <f aca="false">IF($C23="","",IFERROR(INDEX(M_NOME,MATCH($C23,M_ID,0)),"?"))</f>
        <v/>
      </c>
      <c r="J23" s="34" t="n">
        <f aca="false">IF($D23="",0,IFERROR(INDEX(MAP_SINALMOV,MATCH($D23,LST_TIPOMOV,0)),0))</f>
        <v>0</v>
      </c>
      <c r="K23" s="36" t="n">
        <f aca="false">IF($A23="",0,$E23*$J23)</f>
        <v>0</v>
      </c>
      <c r="L23" s="35" t="str">
        <f aca="false">IF($C23="","",IFERROR(INDEX(M_CONTA,MATCH($C23,M_ID,0)),""))</f>
        <v/>
      </c>
      <c r="M23" s="35" t="str">
        <f aca="false">IF($B23="","",IF($E23&lt;=0,"ERRO: valor deve ser maior que zero",IF(COUNTIF(M_ID,$C23)=0,"ERRO: meta inexistente",IF(COUNTIF(LST_TIPOMOV,$D23)=0,"ERRO: tipo de movimento invalido",IF(AND($D23="TRANSF_SAIDA",COUNTIF(M_ID,$G23)=0),"ERRO: informe a meta de destino",IF(AND($J23=-1,$F23=""),"ATENCAO: informe o destino da retirada","OK"))))))</f>
        <v/>
      </c>
    </row>
    <row r="24" customFormat="false" ht="15" hidden="false" customHeight="false" outlineLevel="0" collapsed="false">
      <c r="A24" s="30" t="str">
        <f aca="false">IF($B24="","","MOV-"&amp;TEXT(ROW()-4,"000000"))</f>
        <v/>
      </c>
      <c r="B24" s="31"/>
      <c r="C24" s="32"/>
      <c r="D24" s="32"/>
      <c r="E24" s="33"/>
      <c r="F24" s="32"/>
      <c r="G24" s="32"/>
      <c r="H24" s="32"/>
      <c r="I24" s="35" t="str">
        <f aca="false">IF($C24="","",IFERROR(INDEX(M_NOME,MATCH($C24,M_ID,0)),"?"))</f>
        <v/>
      </c>
      <c r="J24" s="34" t="n">
        <f aca="false">IF($D24="",0,IFERROR(INDEX(MAP_SINALMOV,MATCH($D24,LST_TIPOMOV,0)),0))</f>
        <v>0</v>
      </c>
      <c r="K24" s="36" t="n">
        <f aca="false">IF($A24="",0,$E24*$J24)</f>
        <v>0</v>
      </c>
      <c r="L24" s="35" t="str">
        <f aca="false">IF($C24="","",IFERROR(INDEX(M_CONTA,MATCH($C24,M_ID,0)),""))</f>
        <v/>
      </c>
      <c r="M24" s="35" t="str">
        <f aca="false">IF($B24="","",IF($E24&lt;=0,"ERRO: valor deve ser maior que zero",IF(COUNTIF(M_ID,$C24)=0,"ERRO: meta inexistente",IF(COUNTIF(LST_TIPOMOV,$D24)=0,"ERRO: tipo de movimento invalido",IF(AND($D24="TRANSF_SAIDA",COUNTIF(M_ID,$G24)=0),"ERRO: informe a meta de destino",IF(AND($J24=-1,$F24=""),"ATENCAO: informe o destino da retirada","OK"))))))</f>
        <v/>
      </c>
    </row>
    <row r="25" customFormat="false" ht="15" hidden="false" customHeight="false" outlineLevel="0" collapsed="false">
      <c r="A25" s="30" t="str">
        <f aca="false">IF($B25="","","MOV-"&amp;TEXT(ROW()-4,"000000"))</f>
        <v/>
      </c>
      <c r="B25" s="31"/>
      <c r="C25" s="32"/>
      <c r="D25" s="32"/>
      <c r="E25" s="33"/>
      <c r="F25" s="32"/>
      <c r="G25" s="32"/>
      <c r="H25" s="32"/>
      <c r="I25" s="35" t="str">
        <f aca="false">IF($C25="","",IFERROR(INDEX(M_NOME,MATCH($C25,M_ID,0)),"?"))</f>
        <v/>
      </c>
      <c r="J25" s="34" t="n">
        <f aca="false">IF($D25="",0,IFERROR(INDEX(MAP_SINALMOV,MATCH($D25,LST_TIPOMOV,0)),0))</f>
        <v>0</v>
      </c>
      <c r="K25" s="36" t="n">
        <f aca="false">IF($A25="",0,$E25*$J25)</f>
        <v>0</v>
      </c>
      <c r="L25" s="35" t="str">
        <f aca="false">IF($C25="","",IFERROR(INDEX(M_CONTA,MATCH($C25,M_ID,0)),""))</f>
        <v/>
      </c>
      <c r="M25" s="35" t="str">
        <f aca="false">IF($B25="","",IF($E25&lt;=0,"ERRO: valor deve ser maior que zero",IF(COUNTIF(M_ID,$C25)=0,"ERRO: meta inexistente",IF(COUNTIF(LST_TIPOMOV,$D25)=0,"ERRO: tipo de movimento invalido",IF(AND($D25="TRANSF_SAIDA",COUNTIF(M_ID,$G25)=0),"ERRO: informe a meta de destino",IF(AND($J25=-1,$F25=""),"ATENCAO: informe o destino da retirada","OK"))))))</f>
        <v/>
      </c>
    </row>
    <row r="26" customFormat="false" ht="15" hidden="false" customHeight="false" outlineLevel="0" collapsed="false">
      <c r="A26" s="30" t="str">
        <f aca="false">IF($B26="","","MOV-"&amp;TEXT(ROW()-4,"000000"))</f>
        <v/>
      </c>
      <c r="B26" s="31"/>
      <c r="C26" s="32"/>
      <c r="D26" s="32"/>
      <c r="E26" s="33"/>
      <c r="F26" s="32"/>
      <c r="G26" s="32"/>
      <c r="H26" s="32"/>
      <c r="I26" s="35" t="str">
        <f aca="false">IF($C26="","",IFERROR(INDEX(M_NOME,MATCH($C26,M_ID,0)),"?"))</f>
        <v/>
      </c>
      <c r="J26" s="34" t="n">
        <f aca="false">IF($D26="",0,IFERROR(INDEX(MAP_SINALMOV,MATCH($D26,LST_TIPOMOV,0)),0))</f>
        <v>0</v>
      </c>
      <c r="K26" s="36" t="n">
        <f aca="false">IF($A26="",0,$E26*$J26)</f>
        <v>0</v>
      </c>
      <c r="L26" s="35" t="str">
        <f aca="false">IF($C26="","",IFERROR(INDEX(M_CONTA,MATCH($C26,M_ID,0)),""))</f>
        <v/>
      </c>
      <c r="M26" s="35" t="str">
        <f aca="false">IF($B26="","",IF($E26&lt;=0,"ERRO: valor deve ser maior que zero",IF(COUNTIF(M_ID,$C26)=0,"ERRO: meta inexistente",IF(COUNTIF(LST_TIPOMOV,$D26)=0,"ERRO: tipo de movimento invalido",IF(AND($D26="TRANSF_SAIDA",COUNTIF(M_ID,$G26)=0),"ERRO: informe a meta de destino",IF(AND($J26=-1,$F26=""),"ATENCAO: informe o destino da retirada","OK"))))))</f>
        <v/>
      </c>
    </row>
    <row r="27" customFormat="false" ht="15" hidden="false" customHeight="false" outlineLevel="0" collapsed="false">
      <c r="A27" s="30" t="str">
        <f aca="false">IF($B27="","","MOV-"&amp;TEXT(ROW()-4,"000000"))</f>
        <v/>
      </c>
      <c r="B27" s="31"/>
      <c r="C27" s="32"/>
      <c r="D27" s="32"/>
      <c r="E27" s="33"/>
      <c r="F27" s="32"/>
      <c r="G27" s="32"/>
      <c r="H27" s="32"/>
      <c r="I27" s="35" t="str">
        <f aca="false">IF($C27="","",IFERROR(INDEX(M_NOME,MATCH($C27,M_ID,0)),"?"))</f>
        <v/>
      </c>
      <c r="J27" s="34" t="n">
        <f aca="false">IF($D27="",0,IFERROR(INDEX(MAP_SINALMOV,MATCH($D27,LST_TIPOMOV,0)),0))</f>
        <v>0</v>
      </c>
      <c r="K27" s="36" t="n">
        <f aca="false">IF($A27="",0,$E27*$J27)</f>
        <v>0</v>
      </c>
      <c r="L27" s="35" t="str">
        <f aca="false">IF($C27="","",IFERROR(INDEX(M_CONTA,MATCH($C27,M_ID,0)),""))</f>
        <v/>
      </c>
      <c r="M27" s="35" t="str">
        <f aca="false">IF($B27="","",IF($E27&lt;=0,"ERRO: valor deve ser maior que zero",IF(COUNTIF(M_ID,$C27)=0,"ERRO: meta inexistente",IF(COUNTIF(LST_TIPOMOV,$D27)=0,"ERRO: tipo de movimento invalido",IF(AND($D27="TRANSF_SAIDA",COUNTIF(M_ID,$G27)=0),"ERRO: informe a meta de destino",IF(AND($J27=-1,$F27=""),"ATENCAO: informe o destino da retirada","OK"))))))</f>
        <v/>
      </c>
    </row>
    <row r="28" customFormat="false" ht="15" hidden="false" customHeight="false" outlineLevel="0" collapsed="false">
      <c r="A28" s="30" t="str">
        <f aca="false">IF($B28="","","MOV-"&amp;TEXT(ROW()-4,"000000"))</f>
        <v/>
      </c>
      <c r="B28" s="31"/>
      <c r="C28" s="32"/>
      <c r="D28" s="32"/>
      <c r="E28" s="33"/>
      <c r="F28" s="32"/>
      <c r="G28" s="32"/>
      <c r="H28" s="32"/>
      <c r="I28" s="35" t="str">
        <f aca="false">IF($C28="","",IFERROR(INDEX(M_NOME,MATCH($C28,M_ID,0)),"?"))</f>
        <v/>
      </c>
      <c r="J28" s="34" t="n">
        <f aca="false">IF($D28="",0,IFERROR(INDEX(MAP_SINALMOV,MATCH($D28,LST_TIPOMOV,0)),0))</f>
        <v>0</v>
      </c>
      <c r="K28" s="36" t="n">
        <f aca="false">IF($A28="",0,$E28*$J28)</f>
        <v>0</v>
      </c>
      <c r="L28" s="35" t="str">
        <f aca="false">IF($C28="","",IFERROR(INDEX(M_CONTA,MATCH($C28,M_ID,0)),""))</f>
        <v/>
      </c>
      <c r="M28" s="35" t="str">
        <f aca="false">IF($B28="","",IF($E28&lt;=0,"ERRO: valor deve ser maior que zero",IF(COUNTIF(M_ID,$C28)=0,"ERRO: meta inexistente",IF(COUNTIF(LST_TIPOMOV,$D28)=0,"ERRO: tipo de movimento invalido",IF(AND($D28="TRANSF_SAIDA",COUNTIF(M_ID,$G28)=0),"ERRO: informe a meta de destino",IF(AND($J28=-1,$F28=""),"ATENCAO: informe o destino da retirada","OK"))))))</f>
        <v/>
      </c>
    </row>
    <row r="29" customFormat="false" ht="15" hidden="false" customHeight="false" outlineLevel="0" collapsed="false">
      <c r="A29" s="30" t="str">
        <f aca="false">IF($B29="","","MOV-"&amp;TEXT(ROW()-4,"000000"))</f>
        <v/>
      </c>
      <c r="B29" s="31"/>
      <c r="C29" s="32"/>
      <c r="D29" s="32"/>
      <c r="E29" s="33"/>
      <c r="F29" s="32"/>
      <c r="G29" s="32"/>
      <c r="H29" s="32"/>
      <c r="I29" s="35" t="str">
        <f aca="false">IF($C29="","",IFERROR(INDEX(M_NOME,MATCH($C29,M_ID,0)),"?"))</f>
        <v/>
      </c>
      <c r="J29" s="34" t="n">
        <f aca="false">IF($D29="",0,IFERROR(INDEX(MAP_SINALMOV,MATCH($D29,LST_TIPOMOV,0)),0))</f>
        <v>0</v>
      </c>
      <c r="K29" s="36" t="n">
        <f aca="false">IF($A29="",0,$E29*$J29)</f>
        <v>0</v>
      </c>
      <c r="L29" s="35" t="str">
        <f aca="false">IF($C29="","",IFERROR(INDEX(M_CONTA,MATCH($C29,M_ID,0)),""))</f>
        <v/>
      </c>
      <c r="M29" s="35" t="str">
        <f aca="false">IF($B29="","",IF($E29&lt;=0,"ERRO: valor deve ser maior que zero",IF(COUNTIF(M_ID,$C29)=0,"ERRO: meta inexistente",IF(COUNTIF(LST_TIPOMOV,$D29)=0,"ERRO: tipo de movimento invalido",IF(AND($D29="TRANSF_SAIDA",COUNTIF(M_ID,$G29)=0),"ERRO: informe a meta de destino",IF(AND($J29=-1,$F29=""),"ATENCAO: informe o destino da retirada","OK"))))))</f>
        <v/>
      </c>
    </row>
    <row r="30" customFormat="false" ht="15" hidden="false" customHeight="false" outlineLevel="0" collapsed="false">
      <c r="A30" s="30" t="str">
        <f aca="false">IF($B30="","","MOV-"&amp;TEXT(ROW()-4,"000000"))</f>
        <v/>
      </c>
      <c r="B30" s="31"/>
      <c r="C30" s="32"/>
      <c r="D30" s="32"/>
      <c r="E30" s="33"/>
      <c r="F30" s="32"/>
      <c r="G30" s="32"/>
      <c r="H30" s="32"/>
      <c r="I30" s="35" t="str">
        <f aca="false">IF($C30="","",IFERROR(INDEX(M_NOME,MATCH($C30,M_ID,0)),"?"))</f>
        <v/>
      </c>
      <c r="J30" s="34" t="n">
        <f aca="false">IF($D30="",0,IFERROR(INDEX(MAP_SINALMOV,MATCH($D30,LST_TIPOMOV,0)),0))</f>
        <v>0</v>
      </c>
      <c r="K30" s="36" t="n">
        <f aca="false">IF($A30="",0,$E30*$J30)</f>
        <v>0</v>
      </c>
      <c r="L30" s="35" t="str">
        <f aca="false">IF($C30="","",IFERROR(INDEX(M_CONTA,MATCH($C30,M_ID,0)),""))</f>
        <v/>
      </c>
      <c r="M30" s="35" t="str">
        <f aca="false">IF($B30="","",IF($E30&lt;=0,"ERRO: valor deve ser maior que zero",IF(COUNTIF(M_ID,$C30)=0,"ERRO: meta inexistente",IF(COUNTIF(LST_TIPOMOV,$D30)=0,"ERRO: tipo de movimento invalido",IF(AND($D30="TRANSF_SAIDA",COUNTIF(M_ID,$G30)=0),"ERRO: informe a meta de destino",IF(AND($J30=-1,$F30=""),"ATENCAO: informe o destino da retirada","OK"))))))</f>
        <v/>
      </c>
    </row>
    <row r="31" customFormat="false" ht="15" hidden="false" customHeight="false" outlineLevel="0" collapsed="false">
      <c r="A31" s="30" t="str">
        <f aca="false">IF($B31="","","MOV-"&amp;TEXT(ROW()-4,"000000"))</f>
        <v/>
      </c>
      <c r="B31" s="31"/>
      <c r="C31" s="32"/>
      <c r="D31" s="32"/>
      <c r="E31" s="33"/>
      <c r="F31" s="32"/>
      <c r="G31" s="32"/>
      <c r="H31" s="32"/>
      <c r="I31" s="35" t="str">
        <f aca="false">IF($C31="","",IFERROR(INDEX(M_NOME,MATCH($C31,M_ID,0)),"?"))</f>
        <v/>
      </c>
      <c r="J31" s="34" t="n">
        <f aca="false">IF($D31="",0,IFERROR(INDEX(MAP_SINALMOV,MATCH($D31,LST_TIPOMOV,0)),0))</f>
        <v>0</v>
      </c>
      <c r="K31" s="36" t="n">
        <f aca="false">IF($A31="",0,$E31*$J31)</f>
        <v>0</v>
      </c>
      <c r="L31" s="35" t="str">
        <f aca="false">IF($C31="","",IFERROR(INDEX(M_CONTA,MATCH($C31,M_ID,0)),""))</f>
        <v/>
      </c>
      <c r="M31" s="35" t="str">
        <f aca="false">IF($B31="","",IF($E31&lt;=0,"ERRO: valor deve ser maior que zero",IF(COUNTIF(M_ID,$C31)=0,"ERRO: meta inexistente",IF(COUNTIF(LST_TIPOMOV,$D31)=0,"ERRO: tipo de movimento invalido",IF(AND($D31="TRANSF_SAIDA",COUNTIF(M_ID,$G31)=0),"ERRO: informe a meta de destino",IF(AND($J31=-1,$F31=""),"ATENCAO: informe o destino da retirada","OK"))))))</f>
        <v/>
      </c>
    </row>
    <row r="32" customFormat="false" ht="15" hidden="false" customHeight="false" outlineLevel="0" collapsed="false">
      <c r="A32" s="30" t="str">
        <f aca="false">IF($B32="","","MOV-"&amp;TEXT(ROW()-4,"000000"))</f>
        <v/>
      </c>
      <c r="B32" s="31"/>
      <c r="C32" s="32"/>
      <c r="D32" s="32"/>
      <c r="E32" s="33"/>
      <c r="F32" s="32"/>
      <c r="G32" s="32"/>
      <c r="H32" s="32"/>
      <c r="I32" s="35" t="str">
        <f aca="false">IF($C32="","",IFERROR(INDEX(M_NOME,MATCH($C32,M_ID,0)),"?"))</f>
        <v/>
      </c>
      <c r="J32" s="34" t="n">
        <f aca="false">IF($D32="",0,IFERROR(INDEX(MAP_SINALMOV,MATCH($D32,LST_TIPOMOV,0)),0))</f>
        <v>0</v>
      </c>
      <c r="K32" s="36" t="n">
        <f aca="false">IF($A32="",0,$E32*$J32)</f>
        <v>0</v>
      </c>
      <c r="L32" s="35" t="str">
        <f aca="false">IF($C32="","",IFERROR(INDEX(M_CONTA,MATCH($C32,M_ID,0)),""))</f>
        <v/>
      </c>
      <c r="M32" s="35" t="str">
        <f aca="false">IF($B32="","",IF($E32&lt;=0,"ERRO: valor deve ser maior que zero",IF(COUNTIF(M_ID,$C32)=0,"ERRO: meta inexistente",IF(COUNTIF(LST_TIPOMOV,$D32)=0,"ERRO: tipo de movimento invalido",IF(AND($D32="TRANSF_SAIDA",COUNTIF(M_ID,$G32)=0),"ERRO: informe a meta de destino",IF(AND($J32=-1,$F32=""),"ATENCAO: informe o destino da retirada","OK"))))))</f>
        <v/>
      </c>
    </row>
    <row r="33" customFormat="false" ht="15" hidden="false" customHeight="false" outlineLevel="0" collapsed="false">
      <c r="A33" s="30" t="str">
        <f aca="false">IF($B33="","","MOV-"&amp;TEXT(ROW()-4,"000000"))</f>
        <v/>
      </c>
      <c r="B33" s="31"/>
      <c r="C33" s="32"/>
      <c r="D33" s="32"/>
      <c r="E33" s="33"/>
      <c r="F33" s="32"/>
      <c r="G33" s="32"/>
      <c r="H33" s="32"/>
      <c r="I33" s="35" t="str">
        <f aca="false">IF($C33="","",IFERROR(INDEX(M_NOME,MATCH($C33,M_ID,0)),"?"))</f>
        <v/>
      </c>
      <c r="J33" s="34" t="n">
        <f aca="false">IF($D33="",0,IFERROR(INDEX(MAP_SINALMOV,MATCH($D33,LST_TIPOMOV,0)),0))</f>
        <v>0</v>
      </c>
      <c r="K33" s="36" t="n">
        <f aca="false">IF($A33="",0,$E33*$J33)</f>
        <v>0</v>
      </c>
      <c r="L33" s="35" t="str">
        <f aca="false">IF($C33="","",IFERROR(INDEX(M_CONTA,MATCH($C33,M_ID,0)),""))</f>
        <v/>
      </c>
      <c r="M33" s="35" t="str">
        <f aca="false">IF($B33="","",IF($E33&lt;=0,"ERRO: valor deve ser maior que zero",IF(COUNTIF(M_ID,$C33)=0,"ERRO: meta inexistente",IF(COUNTIF(LST_TIPOMOV,$D33)=0,"ERRO: tipo de movimento invalido",IF(AND($D33="TRANSF_SAIDA",COUNTIF(M_ID,$G33)=0),"ERRO: informe a meta de destino",IF(AND($J33=-1,$F33=""),"ATENCAO: informe o destino da retirada","OK"))))))</f>
        <v/>
      </c>
    </row>
    <row r="34" customFormat="false" ht="15" hidden="false" customHeight="false" outlineLevel="0" collapsed="false">
      <c r="A34" s="30" t="str">
        <f aca="false">IF($B34="","","MOV-"&amp;TEXT(ROW()-4,"000000"))</f>
        <v/>
      </c>
      <c r="B34" s="31"/>
      <c r="C34" s="32"/>
      <c r="D34" s="32"/>
      <c r="E34" s="33"/>
      <c r="F34" s="32"/>
      <c r="G34" s="32"/>
      <c r="H34" s="32"/>
      <c r="I34" s="35" t="str">
        <f aca="false">IF($C34="","",IFERROR(INDEX(M_NOME,MATCH($C34,M_ID,0)),"?"))</f>
        <v/>
      </c>
      <c r="J34" s="34" t="n">
        <f aca="false">IF($D34="",0,IFERROR(INDEX(MAP_SINALMOV,MATCH($D34,LST_TIPOMOV,0)),0))</f>
        <v>0</v>
      </c>
      <c r="K34" s="36" t="n">
        <f aca="false">IF($A34="",0,$E34*$J34)</f>
        <v>0</v>
      </c>
      <c r="L34" s="35" t="str">
        <f aca="false">IF($C34="","",IFERROR(INDEX(M_CONTA,MATCH($C34,M_ID,0)),""))</f>
        <v/>
      </c>
      <c r="M34" s="35" t="str">
        <f aca="false">IF($B34="","",IF($E34&lt;=0,"ERRO: valor deve ser maior que zero",IF(COUNTIF(M_ID,$C34)=0,"ERRO: meta inexistente",IF(COUNTIF(LST_TIPOMOV,$D34)=0,"ERRO: tipo de movimento invalido",IF(AND($D34="TRANSF_SAIDA",COUNTIF(M_ID,$G34)=0),"ERRO: informe a meta de destino",IF(AND($J34=-1,$F34=""),"ATENCAO: informe o destino da retirada","OK"))))))</f>
        <v/>
      </c>
    </row>
    <row r="35" customFormat="false" ht="15" hidden="false" customHeight="false" outlineLevel="0" collapsed="false">
      <c r="A35" s="30" t="str">
        <f aca="false">IF($B35="","","MOV-"&amp;TEXT(ROW()-4,"000000"))</f>
        <v/>
      </c>
      <c r="B35" s="31"/>
      <c r="C35" s="32"/>
      <c r="D35" s="32"/>
      <c r="E35" s="33"/>
      <c r="F35" s="32"/>
      <c r="G35" s="32"/>
      <c r="H35" s="32"/>
      <c r="I35" s="35" t="str">
        <f aca="false">IF($C35="","",IFERROR(INDEX(M_NOME,MATCH($C35,M_ID,0)),"?"))</f>
        <v/>
      </c>
      <c r="J35" s="34" t="n">
        <f aca="false">IF($D35="",0,IFERROR(INDEX(MAP_SINALMOV,MATCH($D35,LST_TIPOMOV,0)),0))</f>
        <v>0</v>
      </c>
      <c r="K35" s="36" t="n">
        <f aca="false">IF($A35="",0,$E35*$J35)</f>
        <v>0</v>
      </c>
      <c r="L35" s="35" t="str">
        <f aca="false">IF($C35="","",IFERROR(INDEX(M_CONTA,MATCH($C35,M_ID,0)),""))</f>
        <v/>
      </c>
      <c r="M35" s="35" t="str">
        <f aca="false">IF($B35="","",IF($E35&lt;=0,"ERRO: valor deve ser maior que zero",IF(COUNTIF(M_ID,$C35)=0,"ERRO: meta inexistente",IF(COUNTIF(LST_TIPOMOV,$D35)=0,"ERRO: tipo de movimento invalido",IF(AND($D35="TRANSF_SAIDA",COUNTIF(M_ID,$G35)=0),"ERRO: informe a meta de destino",IF(AND($J35=-1,$F35=""),"ATENCAO: informe o destino da retirada","OK"))))))</f>
        <v/>
      </c>
    </row>
    <row r="36" customFormat="false" ht="15" hidden="false" customHeight="false" outlineLevel="0" collapsed="false">
      <c r="A36" s="30" t="str">
        <f aca="false">IF($B36="","","MOV-"&amp;TEXT(ROW()-4,"000000"))</f>
        <v/>
      </c>
      <c r="B36" s="31"/>
      <c r="C36" s="32"/>
      <c r="D36" s="32"/>
      <c r="E36" s="33"/>
      <c r="F36" s="32"/>
      <c r="G36" s="32"/>
      <c r="H36" s="32"/>
      <c r="I36" s="35" t="str">
        <f aca="false">IF($C36="","",IFERROR(INDEX(M_NOME,MATCH($C36,M_ID,0)),"?"))</f>
        <v/>
      </c>
      <c r="J36" s="34" t="n">
        <f aca="false">IF($D36="",0,IFERROR(INDEX(MAP_SINALMOV,MATCH($D36,LST_TIPOMOV,0)),0))</f>
        <v>0</v>
      </c>
      <c r="K36" s="36" t="n">
        <f aca="false">IF($A36="",0,$E36*$J36)</f>
        <v>0</v>
      </c>
      <c r="L36" s="35" t="str">
        <f aca="false">IF($C36="","",IFERROR(INDEX(M_CONTA,MATCH($C36,M_ID,0)),""))</f>
        <v/>
      </c>
      <c r="M36" s="35" t="str">
        <f aca="false">IF($B36="","",IF($E36&lt;=0,"ERRO: valor deve ser maior que zero",IF(COUNTIF(M_ID,$C36)=0,"ERRO: meta inexistente",IF(COUNTIF(LST_TIPOMOV,$D36)=0,"ERRO: tipo de movimento invalido",IF(AND($D36="TRANSF_SAIDA",COUNTIF(M_ID,$G36)=0),"ERRO: informe a meta de destino",IF(AND($J36=-1,$F36=""),"ATENCAO: informe o destino da retirada","OK"))))))</f>
        <v/>
      </c>
    </row>
    <row r="37" customFormat="false" ht="15" hidden="false" customHeight="false" outlineLevel="0" collapsed="false">
      <c r="A37" s="30" t="str">
        <f aca="false">IF($B37="","","MOV-"&amp;TEXT(ROW()-4,"000000"))</f>
        <v/>
      </c>
      <c r="B37" s="31"/>
      <c r="C37" s="32"/>
      <c r="D37" s="32"/>
      <c r="E37" s="33"/>
      <c r="F37" s="32"/>
      <c r="G37" s="32"/>
      <c r="H37" s="32"/>
      <c r="I37" s="35" t="str">
        <f aca="false">IF($C37="","",IFERROR(INDEX(M_NOME,MATCH($C37,M_ID,0)),"?"))</f>
        <v/>
      </c>
      <c r="J37" s="34" t="n">
        <f aca="false">IF($D37="",0,IFERROR(INDEX(MAP_SINALMOV,MATCH($D37,LST_TIPOMOV,0)),0))</f>
        <v>0</v>
      </c>
      <c r="K37" s="36" t="n">
        <f aca="false">IF($A37="",0,$E37*$J37)</f>
        <v>0</v>
      </c>
      <c r="L37" s="35" t="str">
        <f aca="false">IF($C37="","",IFERROR(INDEX(M_CONTA,MATCH($C37,M_ID,0)),""))</f>
        <v/>
      </c>
      <c r="M37" s="35" t="str">
        <f aca="false">IF($B37="","",IF($E37&lt;=0,"ERRO: valor deve ser maior que zero",IF(COUNTIF(M_ID,$C37)=0,"ERRO: meta inexistente",IF(COUNTIF(LST_TIPOMOV,$D37)=0,"ERRO: tipo de movimento invalido",IF(AND($D37="TRANSF_SAIDA",COUNTIF(M_ID,$G37)=0),"ERRO: informe a meta de destino",IF(AND($J37=-1,$F37=""),"ATENCAO: informe o destino da retirada","OK"))))))</f>
        <v/>
      </c>
    </row>
    <row r="38" customFormat="false" ht="15" hidden="false" customHeight="false" outlineLevel="0" collapsed="false">
      <c r="A38" s="30" t="str">
        <f aca="false">IF($B38="","","MOV-"&amp;TEXT(ROW()-4,"000000"))</f>
        <v/>
      </c>
      <c r="B38" s="31"/>
      <c r="C38" s="32"/>
      <c r="D38" s="32"/>
      <c r="E38" s="33"/>
      <c r="F38" s="32"/>
      <c r="G38" s="32"/>
      <c r="H38" s="32"/>
      <c r="I38" s="35" t="str">
        <f aca="false">IF($C38="","",IFERROR(INDEX(M_NOME,MATCH($C38,M_ID,0)),"?"))</f>
        <v/>
      </c>
      <c r="J38" s="34" t="n">
        <f aca="false">IF($D38="",0,IFERROR(INDEX(MAP_SINALMOV,MATCH($D38,LST_TIPOMOV,0)),0))</f>
        <v>0</v>
      </c>
      <c r="K38" s="36" t="n">
        <f aca="false">IF($A38="",0,$E38*$J38)</f>
        <v>0</v>
      </c>
      <c r="L38" s="35" t="str">
        <f aca="false">IF($C38="","",IFERROR(INDEX(M_CONTA,MATCH($C38,M_ID,0)),""))</f>
        <v/>
      </c>
      <c r="M38" s="35" t="str">
        <f aca="false">IF($B38="","",IF($E38&lt;=0,"ERRO: valor deve ser maior que zero",IF(COUNTIF(M_ID,$C38)=0,"ERRO: meta inexistente",IF(COUNTIF(LST_TIPOMOV,$D38)=0,"ERRO: tipo de movimento invalido",IF(AND($D38="TRANSF_SAIDA",COUNTIF(M_ID,$G38)=0),"ERRO: informe a meta de destino",IF(AND($J38=-1,$F38=""),"ATENCAO: informe o destino da retirada","OK"))))))</f>
        <v/>
      </c>
    </row>
    <row r="39" customFormat="false" ht="15" hidden="false" customHeight="false" outlineLevel="0" collapsed="false">
      <c r="A39" s="30" t="str">
        <f aca="false">IF($B39="","","MOV-"&amp;TEXT(ROW()-4,"000000"))</f>
        <v/>
      </c>
      <c r="B39" s="31"/>
      <c r="C39" s="32"/>
      <c r="D39" s="32"/>
      <c r="E39" s="33"/>
      <c r="F39" s="32"/>
      <c r="G39" s="32"/>
      <c r="H39" s="32"/>
      <c r="I39" s="35" t="str">
        <f aca="false">IF($C39="","",IFERROR(INDEX(M_NOME,MATCH($C39,M_ID,0)),"?"))</f>
        <v/>
      </c>
      <c r="J39" s="34" t="n">
        <f aca="false">IF($D39="",0,IFERROR(INDEX(MAP_SINALMOV,MATCH($D39,LST_TIPOMOV,0)),0))</f>
        <v>0</v>
      </c>
      <c r="K39" s="36" t="n">
        <f aca="false">IF($A39="",0,$E39*$J39)</f>
        <v>0</v>
      </c>
      <c r="L39" s="35" t="str">
        <f aca="false">IF($C39="","",IFERROR(INDEX(M_CONTA,MATCH($C39,M_ID,0)),""))</f>
        <v/>
      </c>
      <c r="M39" s="35" t="str">
        <f aca="false">IF($B39="","",IF($E39&lt;=0,"ERRO: valor deve ser maior que zero",IF(COUNTIF(M_ID,$C39)=0,"ERRO: meta inexistente",IF(COUNTIF(LST_TIPOMOV,$D39)=0,"ERRO: tipo de movimento invalido",IF(AND($D39="TRANSF_SAIDA",COUNTIF(M_ID,$G39)=0),"ERRO: informe a meta de destino",IF(AND($J39=-1,$F39=""),"ATENCAO: informe o destino da retirada","OK"))))))</f>
        <v/>
      </c>
    </row>
    <row r="40" customFormat="false" ht="15" hidden="false" customHeight="false" outlineLevel="0" collapsed="false">
      <c r="A40" s="30" t="str">
        <f aca="false">IF($B40="","","MOV-"&amp;TEXT(ROW()-4,"000000"))</f>
        <v/>
      </c>
      <c r="B40" s="31"/>
      <c r="C40" s="32"/>
      <c r="D40" s="32"/>
      <c r="E40" s="33"/>
      <c r="F40" s="32"/>
      <c r="G40" s="32"/>
      <c r="H40" s="32"/>
      <c r="I40" s="35" t="str">
        <f aca="false">IF($C40="","",IFERROR(INDEX(M_NOME,MATCH($C40,M_ID,0)),"?"))</f>
        <v/>
      </c>
      <c r="J40" s="34" t="n">
        <f aca="false">IF($D40="",0,IFERROR(INDEX(MAP_SINALMOV,MATCH($D40,LST_TIPOMOV,0)),0))</f>
        <v>0</v>
      </c>
      <c r="K40" s="36" t="n">
        <f aca="false">IF($A40="",0,$E40*$J40)</f>
        <v>0</v>
      </c>
      <c r="L40" s="35" t="str">
        <f aca="false">IF($C40="","",IFERROR(INDEX(M_CONTA,MATCH($C40,M_ID,0)),""))</f>
        <v/>
      </c>
      <c r="M40" s="35" t="str">
        <f aca="false">IF($B40="","",IF($E40&lt;=0,"ERRO: valor deve ser maior que zero",IF(COUNTIF(M_ID,$C40)=0,"ERRO: meta inexistente",IF(COUNTIF(LST_TIPOMOV,$D40)=0,"ERRO: tipo de movimento invalido",IF(AND($D40="TRANSF_SAIDA",COUNTIF(M_ID,$G40)=0),"ERRO: informe a meta de destino",IF(AND($J40=-1,$F40=""),"ATENCAO: informe o destino da retirada","OK"))))))</f>
        <v/>
      </c>
    </row>
    <row r="41" customFormat="false" ht="15" hidden="false" customHeight="false" outlineLevel="0" collapsed="false">
      <c r="A41" s="30" t="str">
        <f aca="false">IF($B41="","","MOV-"&amp;TEXT(ROW()-4,"000000"))</f>
        <v/>
      </c>
      <c r="B41" s="31"/>
      <c r="C41" s="32"/>
      <c r="D41" s="32"/>
      <c r="E41" s="33"/>
      <c r="F41" s="32"/>
      <c r="G41" s="32"/>
      <c r="H41" s="32"/>
      <c r="I41" s="35" t="str">
        <f aca="false">IF($C41="","",IFERROR(INDEX(M_NOME,MATCH($C41,M_ID,0)),"?"))</f>
        <v/>
      </c>
      <c r="J41" s="34" t="n">
        <f aca="false">IF($D41="",0,IFERROR(INDEX(MAP_SINALMOV,MATCH($D41,LST_TIPOMOV,0)),0))</f>
        <v>0</v>
      </c>
      <c r="K41" s="36" t="n">
        <f aca="false">IF($A41="",0,$E41*$J41)</f>
        <v>0</v>
      </c>
      <c r="L41" s="35" t="str">
        <f aca="false">IF($C41="","",IFERROR(INDEX(M_CONTA,MATCH($C41,M_ID,0)),""))</f>
        <v/>
      </c>
      <c r="M41" s="35" t="str">
        <f aca="false">IF($B41="","",IF($E41&lt;=0,"ERRO: valor deve ser maior que zero",IF(COUNTIF(M_ID,$C41)=0,"ERRO: meta inexistente",IF(COUNTIF(LST_TIPOMOV,$D41)=0,"ERRO: tipo de movimento invalido",IF(AND($D41="TRANSF_SAIDA",COUNTIF(M_ID,$G41)=0),"ERRO: informe a meta de destino",IF(AND($J41=-1,$F41=""),"ATENCAO: informe o destino da retirada","OK"))))))</f>
        <v/>
      </c>
    </row>
    <row r="42" customFormat="false" ht="15" hidden="false" customHeight="false" outlineLevel="0" collapsed="false">
      <c r="A42" s="30" t="str">
        <f aca="false">IF($B42="","","MOV-"&amp;TEXT(ROW()-4,"000000"))</f>
        <v/>
      </c>
      <c r="B42" s="31"/>
      <c r="C42" s="32"/>
      <c r="D42" s="32"/>
      <c r="E42" s="33"/>
      <c r="F42" s="32"/>
      <c r="G42" s="32"/>
      <c r="H42" s="32"/>
      <c r="I42" s="35" t="str">
        <f aca="false">IF($C42="","",IFERROR(INDEX(M_NOME,MATCH($C42,M_ID,0)),"?"))</f>
        <v/>
      </c>
      <c r="J42" s="34" t="n">
        <f aca="false">IF($D42="",0,IFERROR(INDEX(MAP_SINALMOV,MATCH($D42,LST_TIPOMOV,0)),0))</f>
        <v>0</v>
      </c>
      <c r="K42" s="36" t="n">
        <f aca="false">IF($A42="",0,$E42*$J42)</f>
        <v>0</v>
      </c>
      <c r="L42" s="35" t="str">
        <f aca="false">IF($C42="","",IFERROR(INDEX(M_CONTA,MATCH($C42,M_ID,0)),""))</f>
        <v/>
      </c>
      <c r="M42" s="35" t="str">
        <f aca="false">IF($B42="","",IF($E42&lt;=0,"ERRO: valor deve ser maior que zero",IF(COUNTIF(M_ID,$C42)=0,"ERRO: meta inexistente",IF(COUNTIF(LST_TIPOMOV,$D42)=0,"ERRO: tipo de movimento invalido",IF(AND($D42="TRANSF_SAIDA",COUNTIF(M_ID,$G42)=0),"ERRO: informe a meta de destino",IF(AND($J42=-1,$F42=""),"ATENCAO: informe o destino da retirada","OK"))))))</f>
        <v/>
      </c>
    </row>
    <row r="43" customFormat="false" ht="15" hidden="false" customHeight="false" outlineLevel="0" collapsed="false">
      <c r="A43" s="30" t="str">
        <f aca="false">IF($B43="","","MOV-"&amp;TEXT(ROW()-4,"000000"))</f>
        <v/>
      </c>
      <c r="B43" s="31"/>
      <c r="C43" s="32"/>
      <c r="D43" s="32"/>
      <c r="E43" s="33"/>
      <c r="F43" s="32"/>
      <c r="G43" s="32"/>
      <c r="H43" s="32"/>
      <c r="I43" s="35" t="str">
        <f aca="false">IF($C43="","",IFERROR(INDEX(M_NOME,MATCH($C43,M_ID,0)),"?"))</f>
        <v/>
      </c>
      <c r="J43" s="34" t="n">
        <f aca="false">IF($D43="",0,IFERROR(INDEX(MAP_SINALMOV,MATCH($D43,LST_TIPOMOV,0)),0))</f>
        <v>0</v>
      </c>
      <c r="K43" s="36" t="n">
        <f aca="false">IF($A43="",0,$E43*$J43)</f>
        <v>0</v>
      </c>
      <c r="L43" s="35" t="str">
        <f aca="false">IF($C43="","",IFERROR(INDEX(M_CONTA,MATCH($C43,M_ID,0)),""))</f>
        <v/>
      </c>
      <c r="M43" s="35" t="str">
        <f aca="false">IF($B43="","",IF($E43&lt;=0,"ERRO: valor deve ser maior que zero",IF(COUNTIF(M_ID,$C43)=0,"ERRO: meta inexistente",IF(COUNTIF(LST_TIPOMOV,$D43)=0,"ERRO: tipo de movimento invalido",IF(AND($D43="TRANSF_SAIDA",COUNTIF(M_ID,$G43)=0),"ERRO: informe a meta de destino",IF(AND($J43=-1,$F43=""),"ATENCAO: informe o destino da retirada","OK"))))))</f>
        <v/>
      </c>
    </row>
    <row r="44" customFormat="false" ht="15" hidden="false" customHeight="false" outlineLevel="0" collapsed="false">
      <c r="A44" s="30" t="str">
        <f aca="false">IF($B44="","","MOV-"&amp;TEXT(ROW()-4,"000000"))</f>
        <v/>
      </c>
      <c r="B44" s="31"/>
      <c r="C44" s="32"/>
      <c r="D44" s="32"/>
      <c r="E44" s="33"/>
      <c r="F44" s="32"/>
      <c r="G44" s="32"/>
      <c r="H44" s="32"/>
      <c r="I44" s="35" t="str">
        <f aca="false">IF($C44="","",IFERROR(INDEX(M_NOME,MATCH($C44,M_ID,0)),"?"))</f>
        <v/>
      </c>
      <c r="J44" s="34" t="n">
        <f aca="false">IF($D44="",0,IFERROR(INDEX(MAP_SINALMOV,MATCH($D44,LST_TIPOMOV,0)),0))</f>
        <v>0</v>
      </c>
      <c r="K44" s="36" t="n">
        <f aca="false">IF($A44="",0,$E44*$J44)</f>
        <v>0</v>
      </c>
      <c r="L44" s="35" t="str">
        <f aca="false">IF($C44="","",IFERROR(INDEX(M_CONTA,MATCH($C44,M_ID,0)),""))</f>
        <v/>
      </c>
      <c r="M44" s="35" t="str">
        <f aca="false">IF($B44="","",IF($E44&lt;=0,"ERRO: valor deve ser maior que zero",IF(COUNTIF(M_ID,$C44)=0,"ERRO: meta inexistente",IF(COUNTIF(LST_TIPOMOV,$D44)=0,"ERRO: tipo de movimento invalido",IF(AND($D44="TRANSF_SAIDA",COUNTIF(M_ID,$G44)=0),"ERRO: informe a meta de destino",IF(AND($J44=-1,$F44=""),"ATENCAO: informe o destino da retirada","OK"))))))</f>
        <v/>
      </c>
    </row>
    <row r="45" customFormat="false" ht="15" hidden="false" customHeight="false" outlineLevel="0" collapsed="false">
      <c r="A45" s="30" t="str">
        <f aca="false">IF($B45="","","MOV-"&amp;TEXT(ROW()-4,"000000"))</f>
        <v/>
      </c>
      <c r="B45" s="31"/>
      <c r="C45" s="32"/>
      <c r="D45" s="32"/>
      <c r="E45" s="33"/>
      <c r="F45" s="32"/>
      <c r="G45" s="32"/>
      <c r="H45" s="32"/>
      <c r="I45" s="35" t="str">
        <f aca="false">IF($C45="","",IFERROR(INDEX(M_NOME,MATCH($C45,M_ID,0)),"?"))</f>
        <v/>
      </c>
      <c r="J45" s="34" t="n">
        <f aca="false">IF($D45="",0,IFERROR(INDEX(MAP_SINALMOV,MATCH($D45,LST_TIPOMOV,0)),0))</f>
        <v>0</v>
      </c>
      <c r="K45" s="36" t="n">
        <f aca="false">IF($A45="",0,$E45*$J45)</f>
        <v>0</v>
      </c>
      <c r="L45" s="35" t="str">
        <f aca="false">IF($C45="","",IFERROR(INDEX(M_CONTA,MATCH($C45,M_ID,0)),""))</f>
        <v/>
      </c>
      <c r="M45" s="35" t="str">
        <f aca="false">IF($B45="","",IF($E45&lt;=0,"ERRO: valor deve ser maior que zero",IF(COUNTIF(M_ID,$C45)=0,"ERRO: meta inexistente",IF(COUNTIF(LST_TIPOMOV,$D45)=0,"ERRO: tipo de movimento invalido",IF(AND($D45="TRANSF_SAIDA",COUNTIF(M_ID,$G45)=0),"ERRO: informe a meta de destino",IF(AND($J45=-1,$F45=""),"ATENCAO: informe o destino da retirada","OK"))))))</f>
        <v/>
      </c>
    </row>
    <row r="46" customFormat="false" ht="15" hidden="false" customHeight="false" outlineLevel="0" collapsed="false">
      <c r="A46" s="30" t="str">
        <f aca="false">IF($B46="","","MOV-"&amp;TEXT(ROW()-4,"000000"))</f>
        <v/>
      </c>
      <c r="B46" s="31"/>
      <c r="C46" s="32"/>
      <c r="D46" s="32"/>
      <c r="E46" s="33"/>
      <c r="F46" s="32"/>
      <c r="G46" s="32"/>
      <c r="H46" s="32"/>
      <c r="I46" s="35" t="str">
        <f aca="false">IF($C46="","",IFERROR(INDEX(M_NOME,MATCH($C46,M_ID,0)),"?"))</f>
        <v/>
      </c>
      <c r="J46" s="34" t="n">
        <f aca="false">IF($D46="",0,IFERROR(INDEX(MAP_SINALMOV,MATCH($D46,LST_TIPOMOV,0)),0))</f>
        <v>0</v>
      </c>
      <c r="K46" s="36" t="n">
        <f aca="false">IF($A46="",0,$E46*$J46)</f>
        <v>0</v>
      </c>
      <c r="L46" s="35" t="str">
        <f aca="false">IF($C46="","",IFERROR(INDEX(M_CONTA,MATCH($C46,M_ID,0)),""))</f>
        <v/>
      </c>
      <c r="M46" s="35" t="str">
        <f aca="false">IF($B46="","",IF($E46&lt;=0,"ERRO: valor deve ser maior que zero",IF(COUNTIF(M_ID,$C46)=0,"ERRO: meta inexistente",IF(COUNTIF(LST_TIPOMOV,$D46)=0,"ERRO: tipo de movimento invalido",IF(AND($D46="TRANSF_SAIDA",COUNTIF(M_ID,$G46)=0),"ERRO: informe a meta de destino",IF(AND($J46=-1,$F46=""),"ATENCAO: informe o destino da retirada","OK"))))))</f>
        <v/>
      </c>
    </row>
    <row r="47" customFormat="false" ht="15" hidden="false" customHeight="false" outlineLevel="0" collapsed="false">
      <c r="A47" s="30" t="str">
        <f aca="false">IF($B47="","","MOV-"&amp;TEXT(ROW()-4,"000000"))</f>
        <v/>
      </c>
      <c r="B47" s="31"/>
      <c r="C47" s="32"/>
      <c r="D47" s="32"/>
      <c r="E47" s="33"/>
      <c r="F47" s="32"/>
      <c r="G47" s="32"/>
      <c r="H47" s="32"/>
      <c r="I47" s="35" t="str">
        <f aca="false">IF($C47="","",IFERROR(INDEX(M_NOME,MATCH($C47,M_ID,0)),"?"))</f>
        <v/>
      </c>
      <c r="J47" s="34" t="n">
        <f aca="false">IF($D47="",0,IFERROR(INDEX(MAP_SINALMOV,MATCH($D47,LST_TIPOMOV,0)),0))</f>
        <v>0</v>
      </c>
      <c r="K47" s="36" t="n">
        <f aca="false">IF($A47="",0,$E47*$J47)</f>
        <v>0</v>
      </c>
      <c r="L47" s="35" t="str">
        <f aca="false">IF($C47="","",IFERROR(INDEX(M_CONTA,MATCH($C47,M_ID,0)),""))</f>
        <v/>
      </c>
      <c r="M47" s="35" t="str">
        <f aca="false">IF($B47="","",IF($E47&lt;=0,"ERRO: valor deve ser maior que zero",IF(COUNTIF(M_ID,$C47)=0,"ERRO: meta inexistente",IF(COUNTIF(LST_TIPOMOV,$D47)=0,"ERRO: tipo de movimento invalido",IF(AND($D47="TRANSF_SAIDA",COUNTIF(M_ID,$G47)=0),"ERRO: informe a meta de destino",IF(AND($J47=-1,$F47=""),"ATENCAO: informe o destino da retirada","OK"))))))</f>
        <v/>
      </c>
    </row>
    <row r="48" customFormat="false" ht="15" hidden="false" customHeight="false" outlineLevel="0" collapsed="false">
      <c r="A48" s="30" t="str">
        <f aca="false">IF($B48="","","MOV-"&amp;TEXT(ROW()-4,"000000"))</f>
        <v/>
      </c>
      <c r="B48" s="31"/>
      <c r="C48" s="32"/>
      <c r="D48" s="32"/>
      <c r="E48" s="33"/>
      <c r="F48" s="32"/>
      <c r="G48" s="32"/>
      <c r="H48" s="32"/>
      <c r="I48" s="35" t="str">
        <f aca="false">IF($C48="","",IFERROR(INDEX(M_NOME,MATCH($C48,M_ID,0)),"?"))</f>
        <v/>
      </c>
      <c r="J48" s="34" t="n">
        <f aca="false">IF($D48="",0,IFERROR(INDEX(MAP_SINALMOV,MATCH($D48,LST_TIPOMOV,0)),0))</f>
        <v>0</v>
      </c>
      <c r="K48" s="36" t="n">
        <f aca="false">IF($A48="",0,$E48*$J48)</f>
        <v>0</v>
      </c>
      <c r="L48" s="35" t="str">
        <f aca="false">IF($C48="","",IFERROR(INDEX(M_CONTA,MATCH($C48,M_ID,0)),""))</f>
        <v/>
      </c>
      <c r="M48" s="35" t="str">
        <f aca="false">IF($B48="","",IF($E48&lt;=0,"ERRO: valor deve ser maior que zero",IF(COUNTIF(M_ID,$C48)=0,"ERRO: meta inexistente",IF(COUNTIF(LST_TIPOMOV,$D48)=0,"ERRO: tipo de movimento invalido",IF(AND($D48="TRANSF_SAIDA",COUNTIF(M_ID,$G48)=0),"ERRO: informe a meta de destino",IF(AND($J48=-1,$F48=""),"ATENCAO: informe o destino da retirada","OK"))))))</f>
        <v/>
      </c>
    </row>
    <row r="49" customFormat="false" ht="15" hidden="false" customHeight="false" outlineLevel="0" collapsed="false">
      <c r="A49" s="30" t="str">
        <f aca="false">IF($B49="","","MOV-"&amp;TEXT(ROW()-4,"000000"))</f>
        <v/>
      </c>
      <c r="B49" s="31"/>
      <c r="C49" s="32"/>
      <c r="D49" s="32"/>
      <c r="E49" s="33"/>
      <c r="F49" s="32"/>
      <c r="G49" s="32"/>
      <c r="H49" s="32"/>
      <c r="I49" s="35" t="str">
        <f aca="false">IF($C49="","",IFERROR(INDEX(M_NOME,MATCH($C49,M_ID,0)),"?"))</f>
        <v/>
      </c>
      <c r="J49" s="34" t="n">
        <f aca="false">IF($D49="",0,IFERROR(INDEX(MAP_SINALMOV,MATCH($D49,LST_TIPOMOV,0)),0))</f>
        <v>0</v>
      </c>
      <c r="K49" s="36" t="n">
        <f aca="false">IF($A49="",0,$E49*$J49)</f>
        <v>0</v>
      </c>
      <c r="L49" s="35" t="str">
        <f aca="false">IF($C49="","",IFERROR(INDEX(M_CONTA,MATCH($C49,M_ID,0)),""))</f>
        <v/>
      </c>
      <c r="M49" s="35" t="str">
        <f aca="false">IF($B49="","",IF($E49&lt;=0,"ERRO: valor deve ser maior que zero",IF(COUNTIF(M_ID,$C49)=0,"ERRO: meta inexistente",IF(COUNTIF(LST_TIPOMOV,$D49)=0,"ERRO: tipo de movimento invalido",IF(AND($D49="TRANSF_SAIDA",COUNTIF(M_ID,$G49)=0),"ERRO: informe a meta de destino",IF(AND($J49=-1,$F49=""),"ATENCAO: informe o destino da retirada","OK"))))))</f>
        <v/>
      </c>
    </row>
    <row r="50" customFormat="false" ht="15" hidden="false" customHeight="false" outlineLevel="0" collapsed="false">
      <c r="A50" s="30" t="str">
        <f aca="false">IF($B50="","","MOV-"&amp;TEXT(ROW()-4,"000000"))</f>
        <v/>
      </c>
      <c r="B50" s="31"/>
      <c r="C50" s="32"/>
      <c r="D50" s="32"/>
      <c r="E50" s="33"/>
      <c r="F50" s="32"/>
      <c r="G50" s="32"/>
      <c r="H50" s="32"/>
      <c r="I50" s="35" t="str">
        <f aca="false">IF($C50="","",IFERROR(INDEX(M_NOME,MATCH($C50,M_ID,0)),"?"))</f>
        <v/>
      </c>
      <c r="J50" s="34" t="n">
        <f aca="false">IF($D50="",0,IFERROR(INDEX(MAP_SINALMOV,MATCH($D50,LST_TIPOMOV,0)),0))</f>
        <v>0</v>
      </c>
      <c r="K50" s="36" t="n">
        <f aca="false">IF($A50="",0,$E50*$J50)</f>
        <v>0</v>
      </c>
      <c r="L50" s="35" t="str">
        <f aca="false">IF($C50="","",IFERROR(INDEX(M_CONTA,MATCH($C50,M_ID,0)),""))</f>
        <v/>
      </c>
      <c r="M50" s="35" t="str">
        <f aca="false">IF($B50="","",IF($E50&lt;=0,"ERRO: valor deve ser maior que zero",IF(COUNTIF(M_ID,$C50)=0,"ERRO: meta inexistente",IF(COUNTIF(LST_TIPOMOV,$D50)=0,"ERRO: tipo de movimento invalido",IF(AND($D50="TRANSF_SAIDA",COUNTIF(M_ID,$G50)=0),"ERRO: informe a meta de destino",IF(AND($J50=-1,$F50=""),"ATENCAO: informe o destino da retirada","OK"))))))</f>
        <v/>
      </c>
    </row>
    <row r="51" customFormat="false" ht="15" hidden="false" customHeight="false" outlineLevel="0" collapsed="false">
      <c r="A51" s="30" t="str">
        <f aca="false">IF($B51="","","MOV-"&amp;TEXT(ROW()-4,"000000"))</f>
        <v/>
      </c>
      <c r="B51" s="31"/>
      <c r="C51" s="32"/>
      <c r="D51" s="32"/>
      <c r="E51" s="33"/>
      <c r="F51" s="32"/>
      <c r="G51" s="32"/>
      <c r="H51" s="32"/>
      <c r="I51" s="35" t="str">
        <f aca="false">IF($C51="","",IFERROR(INDEX(M_NOME,MATCH($C51,M_ID,0)),"?"))</f>
        <v/>
      </c>
      <c r="J51" s="34" t="n">
        <f aca="false">IF($D51="",0,IFERROR(INDEX(MAP_SINALMOV,MATCH($D51,LST_TIPOMOV,0)),0))</f>
        <v>0</v>
      </c>
      <c r="K51" s="36" t="n">
        <f aca="false">IF($A51="",0,$E51*$J51)</f>
        <v>0</v>
      </c>
      <c r="L51" s="35" t="str">
        <f aca="false">IF($C51="","",IFERROR(INDEX(M_CONTA,MATCH($C51,M_ID,0)),""))</f>
        <v/>
      </c>
      <c r="M51" s="35" t="str">
        <f aca="false">IF($B51="","",IF($E51&lt;=0,"ERRO: valor deve ser maior que zero",IF(COUNTIF(M_ID,$C51)=0,"ERRO: meta inexistente",IF(COUNTIF(LST_TIPOMOV,$D51)=0,"ERRO: tipo de movimento invalido",IF(AND($D51="TRANSF_SAIDA",COUNTIF(M_ID,$G51)=0),"ERRO: informe a meta de destino",IF(AND($J51=-1,$F51=""),"ATENCAO: informe o destino da retirada","OK"))))))</f>
        <v/>
      </c>
    </row>
    <row r="52" customFormat="false" ht="15" hidden="false" customHeight="false" outlineLevel="0" collapsed="false">
      <c r="A52" s="30" t="str">
        <f aca="false">IF($B52="","","MOV-"&amp;TEXT(ROW()-4,"000000"))</f>
        <v/>
      </c>
      <c r="B52" s="31"/>
      <c r="C52" s="32"/>
      <c r="D52" s="32"/>
      <c r="E52" s="33"/>
      <c r="F52" s="32"/>
      <c r="G52" s="32"/>
      <c r="H52" s="32"/>
      <c r="I52" s="35" t="str">
        <f aca="false">IF($C52="","",IFERROR(INDEX(M_NOME,MATCH($C52,M_ID,0)),"?"))</f>
        <v/>
      </c>
      <c r="J52" s="34" t="n">
        <f aca="false">IF($D52="",0,IFERROR(INDEX(MAP_SINALMOV,MATCH($D52,LST_TIPOMOV,0)),0))</f>
        <v>0</v>
      </c>
      <c r="K52" s="36" t="n">
        <f aca="false">IF($A52="",0,$E52*$J52)</f>
        <v>0</v>
      </c>
      <c r="L52" s="35" t="str">
        <f aca="false">IF($C52="","",IFERROR(INDEX(M_CONTA,MATCH($C52,M_ID,0)),""))</f>
        <v/>
      </c>
      <c r="M52" s="35" t="str">
        <f aca="false">IF($B52="","",IF($E52&lt;=0,"ERRO: valor deve ser maior que zero",IF(COUNTIF(M_ID,$C52)=0,"ERRO: meta inexistente",IF(COUNTIF(LST_TIPOMOV,$D52)=0,"ERRO: tipo de movimento invalido",IF(AND($D52="TRANSF_SAIDA",COUNTIF(M_ID,$G52)=0),"ERRO: informe a meta de destino",IF(AND($J52=-1,$F52=""),"ATENCAO: informe o destino da retirada","OK"))))))</f>
        <v/>
      </c>
    </row>
    <row r="53" customFormat="false" ht="15" hidden="false" customHeight="false" outlineLevel="0" collapsed="false">
      <c r="A53" s="30" t="str">
        <f aca="false">IF($B53="","","MOV-"&amp;TEXT(ROW()-4,"000000"))</f>
        <v/>
      </c>
      <c r="B53" s="31"/>
      <c r="C53" s="32"/>
      <c r="D53" s="32"/>
      <c r="E53" s="33"/>
      <c r="F53" s="32"/>
      <c r="G53" s="32"/>
      <c r="H53" s="32"/>
      <c r="I53" s="35" t="str">
        <f aca="false">IF($C53="","",IFERROR(INDEX(M_NOME,MATCH($C53,M_ID,0)),"?"))</f>
        <v/>
      </c>
      <c r="J53" s="34" t="n">
        <f aca="false">IF($D53="",0,IFERROR(INDEX(MAP_SINALMOV,MATCH($D53,LST_TIPOMOV,0)),0))</f>
        <v>0</v>
      </c>
      <c r="K53" s="36" t="n">
        <f aca="false">IF($A53="",0,$E53*$J53)</f>
        <v>0</v>
      </c>
      <c r="L53" s="35" t="str">
        <f aca="false">IF($C53="","",IFERROR(INDEX(M_CONTA,MATCH($C53,M_ID,0)),""))</f>
        <v/>
      </c>
      <c r="M53" s="35" t="str">
        <f aca="false">IF($B53="","",IF($E53&lt;=0,"ERRO: valor deve ser maior que zero",IF(COUNTIF(M_ID,$C53)=0,"ERRO: meta inexistente",IF(COUNTIF(LST_TIPOMOV,$D53)=0,"ERRO: tipo de movimento invalido",IF(AND($D53="TRANSF_SAIDA",COUNTIF(M_ID,$G53)=0),"ERRO: informe a meta de destino",IF(AND($J53=-1,$F53=""),"ATENCAO: informe o destino da retirada","OK"))))))</f>
        <v/>
      </c>
    </row>
    <row r="54" customFormat="false" ht="15" hidden="false" customHeight="false" outlineLevel="0" collapsed="false">
      <c r="A54" s="30" t="str">
        <f aca="false">IF($B54="","","MOV-"&amp;TEXT(ROW()-4,"000000"))</f>
        <v/>
      </c>
      <c r="B54" s="31"/>
      <c r="C54" s="32"/>
      <c r="D54" s="32"/>
      <c r="E54" s="33"/>
      <c r="F54" s="32"/>
      <c r="G54" s="32"/>
      <c r="H54" s="32"/>
      <c r="I54" s="35" t="str">
        <f aca="false">IF($C54="","",IFERROR(INDEX(M_NOME,MATCH($C54,M_ID,0)),"?"))</f>
        <v/>
      </c>
      <c r="J54" s="34" t="n">
        <f aca="false">IF($D54="",0,IFERROR(INDEX(MAP_SINALMOV,MATCH($D54,LST_TIPOMOV,0)),0))</f>
        <v>0</v>
      </c>
      <c r="K54" s="36" t="n">
        <f aca="false">IF($A54="",0,$E54*$J54)</f>
        <v>0</v>
      </c>
      <c r="L54" s="35" t="str">
        <f aca="false">IF($C54="","",IFERROR(INDEX(M_CONTA,MATCH($C54,M_ID,0)),""))</f>
        <v/>
      </c>
      <c r="M54" s="35" t="str">
        <f aca="false">IF($B54="","",IF($E54&lt;=0,"ERRO: valor deve ser maior que zero",IF(COUNTIF(M_ID,$C54)=0,"ERRO: meta inexistente",IF(COUNTIF(LST_TIPOMOV,$D54)=0,"ERRO: tipo de movimento invalido",IF(AND($D54="TRANSF_SAIDA",COUNTIF(M_ID,$G54)=0),"ERRO: informe a meta de destino",IF(AND($J54=-1,$F54=""),"ATENCAO: informe o destino da retirada","OK"))))))</f>
        <v/>
      </c>
    </row>
    <row r="55" customFormat="false" ht="15" hidden="false" customHeight="false" outlineLevel="0" collapsed="false">
      <c r="A55" s="30" t="str">
        <f aca="false">IF($B55="","","MOV-"&amp;TEXT(ROW()-4,"000000"))</f>
        <v/>
      </c>
      <c r="B55" s="31"/>
      <c r="C55" s="32"/>
      <c r="D55" s="32"/>
      <c r="E55" s="33"/>
      <c r="F55" s="32"/>
      <c r="G55" s="32"/>
      <c r="H55" s="32"/>
      <c r="I55" s="35" t="str">
        <f aca="false">IF($C55="","",IFERROR(INDEX(M_NOME,MATCH($C55,M_ID,0)),"?"))</f>
        <v/>
      </c>
      <c r="J55" s="34" t="n">
        <f aca="false">IF($D55="",0,IFERROR(INDEX(MAP_SINALMOV,MATCH($D55,LST_TIPOMOV,0)),0))</f>
        <v>0</v>
      </c>
      <c r="K55" s="36" t="n">
        <f aca="false">IF($A55="",0,$E55*$J55)</f>
        <v>0</v>
      </c>
      <c r="L55" s="35" t="str">
        <f aca="false">IF($C55="","",IFERROR(INDEX(M_CONTA,MATCH($C55,M_ID,0)),""))</f>
        <v/>
      </c>
      <c r="M55" s="35" t="str">
        <f aca="false">IF($B55="","",IF($E55&lt;=0,"ERRO: valor deve ser maior que zero",IF(COUNTIF(M_ID,$C55)=0,"ERRO: meta inexistente",IF(COUNTIF(LST_TIPOMOV,$D55)=0,"ERRO: tipo de movimento invalido",IF(AND($D55="TRANSF_SAIDA",COUNTIF(M_ID,$G55)=0),"ERRO: informe a meta de destino",IF(AND($J55=-1,$F55=""),"ATENCAO: informe o destino da retirada","OK"))))))</f>
        <v/>
      </c>
    </row>
    <row r="56" customFormat="false" ht="15" hidden="false" customHeight="false" outlineLevel="0" collapsed="false">
      <c r="A56" s="30" t="str">
        <f aca="false">IF($B56="","","MOV-"&amp;TEXT(ROW()-4,"000000"))</f>
        <v/>
      </c>
      <c r="B56" s="31"/>
      <c r="C56" s="32"/>
      <c r="D56" s="32"/>
      <c r="E56" s="33"/>
      <c r="F56" s="32"/>
      <c r="G56" s="32"/>
      <c r="H56" s="32"/>
      <c r="I56" s="35" t="str">
        <f aca="false">IF($C56="","",IFERROR(INDEX(M_NOME,MATCH($C56,M_ID,0)),"?"))</f>
        <v/>
      </c>
      <c r="J56" s="34" t="n">
        <f aca="false">IF($D56="",0,IFERROR(INDEX(MAP_SINALMOV,MATCH($D56,LST_TIPOMOV,0)),0))</f>
        <v>0</v>
      </c>
      <c r="K56" s="36" t="n">
        <f aca="false">IF($A56="",0,$E56*$J56)</f>
        <v>0</v>
      </c>
      <c r="L56" s="35" t="str">
        <f aca="false">IF($C56="","",IFERROR(INDEX(M_CONTA,MATCH($C56,M_ID,0)),""))</f>
        <v/>
      </c>
      <c r="M56" s="35" t="str">
        <f aca="false">IF($B56="","",IF($E56&lt;=0,"ERRO: valor deve ser maior que zero",IF(COUNTIF(M_ID,$C56)=0,"ERRO: meta inexistente",IF(COUNTIF(LST_TIPOMOV,$D56)=0,"ERRO: tipo de movimento invalido",IF(AND($D56="TRANSF_SAIDA",COUNTIF(M_ID,$G56)=0),"ERRO: informe a meta de destino",IF(AND($J56=-1,$F56=""),"ATENCAO: informe o destino da retirada","OK"))))))</f>
        <v/>
      </c>
    </row>
    <row r="57" customFormat="false" ht="15" hidden="false" customHeight="false" outlineLevel="0" collapsed="false">
      <c r="A57" s="30" t="str">
        <f aca="false">IF($B57="","","MOV-"&amp;TEXT(ROW()-4,"000000"))</f>
        <v/>
      </c>
      <c r="B57" s="31"/>
      <c r="C57" s="32"/>
      <c r="D57" s="32"/>
      <c r="E57" s="33"/>
      <c r="F57" s="32"/>
      <c r="G57" s="32"/>
      <c r="H57" s="32"/>
      <c r="I57" s="35" t="str">
        <f aca="false">IF($C57="","",IFERROR(INDEX(M_NOME,MATCH($C57,M_ID,0)),"?"))</f>
        <v/>
      </c>
      <c r="J57" s="34" t="n">
        <f aca="false">IF($D57="",0,IFERROR(INDEX(MAP_SINALMOV,MATCH($D57,LST_TIPOMOV,0)),0))</f>
        <v>0</v>
      </c>
      <c r="K57" s="36" t="n">
        <f aca="false">IF($A57="",0,$E57*$J57)</f>
        <v>0</v>
      </c>
      <c r="L57" s="35" t="str">
        <f aca="false">IF($C57="","",IFERROR(INDEX(M_CONTA,MATCH($C57,M_ID,0)),""))</f>
        <v/>
      </c>
      <c r="M57" s="35" t="str">
        <f aca="false">IF($B57="","",IF($E57&lt;=0,"ERRO: valor deve ser maior que zero",IF(COUNTIF(M_ID,$C57)=0,"ERRO: meta inexistente",IF(COUNTIF(LST_TIPOMOV,$D57)=0,"ERRO: tipo de movimento invalido",IF(AND($D57="TRANSF_SAIDA",COUNTIF(M_ID,$G57)=0),"ERRO: informe a meta de destino",IF(AND($J57=-1,$F57=""),"ATENCAO: informe o destino da retirada","OK"))))))</f>
        <v/>
      </c>
    </row>
    <row r="58" customFormat="false" ht="15" hidden="false" customHeight="false" outlineLevel="0" collapsed="false">
      <c r="A58" s="30" t="str">
        <f aca="false">IF($B58="","","MOV-"&amp;TEXT(ROW()-4,"000000"))</f>
        <v/>
      </c>
      <c r="B58" s="31"/>
      <c r="C58" s="32"/>
      <c r="D58" s="32"/>
      <c r="E58" s="33"/>
      <c r="F58" s="32"/>
      <c r="G58" s="32"/>
      <c r="H58" s="32"/>
      <c r="I58" s="35" t="str">
        <f aca="false">IF($C58="","",IFERROR(INDEX(M_NOME,MATCH($C58,M_ID,0)),"?"))</f>
        <v/>
      </c>
      <c r="J58" s="34" t="n">
        <f aca="false">IF($D58="",0,IFERROR(INDEX(MAP_SINALMOV,MATCH($D58,LST_TIPOMOV,0)),0))</f>
        <v>0</v>
      </c>
      <c r="K58" s="36" t="n">
        <f aca="false">IF($A58="",0,$E58*$J58)</f>
        <v>0</v>
      </c>
      <c r="L58" s="35" t="str">
        <f aca="false">IF($C58="","",IFERROR(INDEX(M_CONTA,MATCH($C58,M_ID,0)),""))</f>
        <v/>
      </c>
      <c r="M58" s="35" t="str">
        <f aca="false">IF($B58="","",IF($E58&lt;=0,"ERRO: valor deve ser maior que zero",IF(COUNTIF(M_ID,$C58)=0,"ERRO: meta inexistente",IF(COUNTIF(LST_TIPOMOV,$D58)=0,"ERRO: tipo de movimento invalido",IF(AND($D58="TRANSF_SAIDA",COUNTIF(M_ID,$G58)=0),"ERRO: informe a meta de destino",IF(AND($J58=-1,$F58=""),"ATENCAO: informe o destino da retirada","OK"))))))</f>
        <v/>
      </c>
    </row>
    <row r="59" customFormat="false" ht="15" hidden="false" customHeight="false" outlineLevel="0" collapsed="false">
      <c r="A59" s="30" t="str">
        <f aca="false">IF($B59="","","MOV-"&amp;TEXT(ROW()-4,"000000"))</f>
        <v/>
      </c>
      <c r="B59" s="31"/>
      <c r="C59" s="32"/>
      <c r="D59" s="32"/>
      <c r="E59" s="33"/>
      <c r="F59" s="32"/>
      <c r="G59" s="32"/>
      <c r="H59" s="32"/>
      <c r="I59" s="35" t="str">
        <f aca="false">IF($C59="","",IFERROR(INDEX(M_NOME,MATCH($C59,M_ID,0)),"?"))</f>
        <v/>
      </c>
      <c r="J59" s="34" t="n">
        <f aca="false">IF($D59="",0,IFERROR(INDEX(MAP_SINALMOV,MATCH($D59,LST_TIPOMOV,0)),0))</f>
        <v>0</v>
      </c>
      <c r="K59" s="36" t="n">
        <f aca="false">IF($A59="",0,$E59*$J59)</f>
        <v>0</v>
      </c>
      <c r="L59" s="35" t="str">
        <f aca="false">IF($C59="","",IFERROR(INDEX(M_CONTA,MATCH($C59,M_ID,0)),""))</f>
        <v/>
      </c>
      <c r="M59" s="35" t="str">
        <f aca="false">IF($B59="","",IF($E59&lt;=0,"ERRO: valor deve ser maior que zero",IF(COUNTIF(M_ID,$C59)=0,"ERRO: meta inexistente",IF(COUNTIF(LST_TIPOMOV,$D59)=0,"ERRO: tipo de movimento invalido",IF(AND($D59="TRANSF_SAIDA",COUNTIF(M_ID,$G59)=0),"ERRO: informe a meta de destino",IF(AND($J59=-1,$F59=""),"ATENCAO: informe o destino da retirada","OK"))))))</f>
        <v/>
      </c>
    </row>
    <row r="60" customFormat="false" ht="15" hidden="false" customHeight="false" outlineLevel="0" collapsed="false">
      <c r="A60" s="30" t="str">
        <f aca="false">IF($B60="","","MOV-"&amp;TEXT(ROW()-4,"000000"))</f>
        <v/>
      </c>
      <c r="B60" s="31"/>
      <c r="C60" s="32"/>
      <c r="D60" s="32"/>
      <c r="E60" s="33"/>
      <c r="F60" s="32"/>
      <c r="G60" s="32"/>
      <c r="H60" s="32"/>
      <c r="I60" s="35" t="str">
        <f aca="false">IF($C60="","",IFERROR(INDEX(M_NOME,MATCH($C60,M_ID,0)),"?"))</f>
        <v/>
      </c>
      <c r="J60" s="34" t="n">
        <f aca="false">IF($D60="",0,IFERROR(INDEX(MAP_SINALMOV,MATCH($D60,LST_TIPOMOV,0)),0))</f>
        <v>0</v>
      </c>
      <c r="K60" s="36" t="n">
        <f aca="false">IF($A60="",0,$E60*$J60)</f>
        <v>0</v>
      </c>
      <c r="L60" s="35" t="str">
        <f aca="false">IF($C60="","",IFERROR(INDEX(M_CONTA,MATCH($C60,M_ID,0)),""))</f>
        <v/>
      </c>
      <c r="M60" s="35" t="str">
        <f aca="false">IF($B60="","",IF($E60&lt;=0,"ERRO: valor deve ser maior que zero",IF(COUNTIF(M_ID,$C60)=0,"ERRO: meta inexistente",IF(COUNTIF(LST_TIPOMOV,$D60)=0,"ERRO: tipo de movimento invalido",IF(AND($D60="TRANSF_SAIDA",COUNTIF(M_ID,$G60)=0),"ERRO: informe a meta de destino",IF(AND($J60=-1,$F60=""),"ATENCAO: informe o destino da retirada","OK"))))))</f>
        <v/>
      </c>
    </row>
    <row r="61" customFormat="false" ht="15" hidden="false" customHeight="false" outlineLevel="0" collapsed="false">
      <c r="A61" s="30" t="str">
        <f aca="false">IF($B61="","","MOV-"&amp;TEXT(ROW()-4,"000000"))</f>
        <v/>
      </c>
      <c r="B61" s="31"/>
      <c r="C61" s="32"/>
      <c r="D61" s="32"/>
      <c r="E61" s="33"/>
      <c r="F61" s="32"/>
      <c r="G61" s="32"/>
      <c r="H61" s="32"/>
      <c r="I61" s="35" t="str">
        <f aca="false">IF($C61="","",IFERROR(INDEX(M_NOME,MATCH($C61,M_ID,0)),"?"))</f>
        <v/>
      </c>
      <c r="J61" s="34" t="n">
        <f aca="false">IF($D61="",0,IFERROR(INDEX(MAP_SINALMOV,MATCH($D61,LST_TIPOMOV,0)),0))</f>
        <v>0</v>
      </c>
      <c r="K61" s="36" t="n">
        <f aca="false">IF($A61="",0,$E61*$J61)</f>
        <v>0</v>
      </c>
      <c r="L61" s="35" t="str">
        <f aca="false">IF($C61="","",IFERROR(INDEX(M_CONTA,MATCH($C61,M_ID,0)),""))</f>
        <v/>
      </c>
      <c r="M61" s="35" t="str">
        <f aca="false">IF($B61="","",IF($E61&lt;=0,"ERRO: valor deve ser maior que zero",IF(COUNTIF(M_ID,$C61)=0,"ERRO: meta inexistente",IF(COUNTIF(LST_TIPOMOV,$D61)=0,"ERRO: tipo de movimento invalido",IF(AND($D61="TRANSF_SAIDA",COUNTIF(M_ID,$G61)=0),"ERRO: informe a meta de destino",IF(AND($J61=-1,$F61=""),"ATENCAO: informe o destino da retirada","OK"))))))</f>
        <v/>
      </c>
    </row>
    <row r="62" customFormat="false" ht="15" hidden="false" customHeight="false" outlineLevel="0" collapsed="false">
      <c r="A62" s="30" t="str">
        <f aca="false">IF($B62="","","MOV-"&amp;TEXT(ROW()-4,"000000"))</f>
        <v/>
      </c>
      <c r="B62" s="31"/>
      <c r="C62" s="32"/>
      <c r="D62" s="32"/>
      <c r="E62" s="33"/>
      <c r="F62" s="32"/>
      <c r="G62" s="32"/>
      <c r="H62" s="32"/>
      <c r="I62" s="35" t="str">
        <f aca="false">IF($C62="","",IFERROR(INDEX(M_NOME,MATCH($C62,M_ID,0)),"?"))</f>
        <v/>
      </c>
      <c r="J62" s="34" t="n">
        <f aca="false">IF($D62="",0,IFERROR(INDEX(MAP_SINALMOV,MATCH($D62,LST_TIPOMOV,0)),0))</f>
        <v>0</v>
      </c>
      <c r="K62" s="36" t="n">
        <f aca="false">IF($A62="",0,$E62*$J62)</f>
        <v>0</v>
      </c>
      <c r="L62" s="35" t="str">
        <f aca="false">IF($C62="","",IFERROR(INDEX(M_CONTA,MATCH($C62,M_ID,0)),""))</f>
        <v/>
      </c>
      <c r="M62" s="35" t="str">
        <f aca="false">IF($B62="","",IF($E62&lt;=0,"ERRO: valor deve ser maior que zero",IF(COUNTIF(M_ID,$C62)=0,"ERRO: meta inexistente",IF(COUNTIF(LST_TIPOMOV,$D62)=0,"ERRO: tipo de movimento invalido",IF(AND($D62="TRANSF_SAIDA",COUNTIF(M_ID,$G62)=0),"ERRO: informe a meta de destino",IF(AND($J62=-1,$F62=""),"ATENCAO: informe o destino da retirada","OK"))))))</f>
        <v/>
      </c>
    </row>
    <row r="63" customFormat="false" ht="15" hidden="false" customHeight="false" outlineLevel="0" collapsed="false">
      <c r="A63" s="30" t="str">
        <f aca="false">IF($B63="","","MOV-"&amp;TEXT(ROW()-4,"000000"))</f>
        <v/>
      </c>
      <c r="B63" s="31"/>
      <c r="C63" s="32"/>
      <c r="D63" s="32"/>
      <c r="E63" s="33"/>
      <c r="F63" s="32"/>
      <c r="G63" s="32"/>
      <c r="H63" s="32"/>
      <c r="I63" s="35" t="str">
        <f aca="false">IF($C63="","",IFERROR(INDEX(M_NOME,MATCH($C63,M_ID,0)),"?"))</f>
        <v/>
      </c>
      <c r="J63" s="34" t="n">
        <f aca="false">IF($D63="",0,IFERROR(INDEX(MAP_SINALMOV,MATCH($D63,LST_TIPOMOV,0)),0))</f>
        <v>0</v>
      </c>
      <c r="K63" s="36" t="n">
        <f aca="false">IF($A63="",0,$E63*$J63)</f>
        <v>0</v>
      </c>
      <c r="L63" s="35" t="str">
        <f aca="false">IF($C63="","",IFERROR(INDEX(M_CONTA,MATCH($C63,M_ID,0)),""))</f>
        <v/>
      </c>
      <c r="M63" s="35" t="str">
        <f aca="false">IF($B63="","",IF($E63&lt;=0,"ERRO: valor deve ser maior que zero",IF(COUNTIF(M_ID,$C63)=0,"ERRO: meta inexistente",IF(COUNTIF(LST_TIPOMOV,$D63)=0,"ERRO: tipo de movimento invalido",IF(AND($D63="TRANSF_SAIDA",COUNTIF(M_ID,$G63)=0),"ERRO: informe a meta de destino",IF(AND($J63=-1,$F63=""),"ATENCAO: informe o destino da retirada","OK"))))))</f>
        <v/>
      </c>
    </row>
    <row r="64" customFormat="false" ht="15" hidden="false" customHeight="false" outlineLevel="0" collapsed="false">
      <c r="A64" s="30" t="str">
        <f aca="false">IF($B64="","","MOV-"&amp;TEXT(ROW()-4,"000000"))</f>
        <v/>
      </c>
      <c r="B64" s="31"/>
      <c r="C64" s="32"/>
      <c r="D64" s="32"/>
      <c r="E64" s="33"/>
      <c r="F64" s="32"/>
      <c r="G64" s="32"/>
      <c r="H64" s="32"/>
      <c r="I64" s="35" t="str">
        <f aca="false">IF($C64="","",IFERROR(INDEX(M_NOME,MATCH($C64,M_ID,0)),"?"))</f>
        <v/>
      </c>
      <c r="J64" s="34" t="n">
        <f aca="false">IF($D64="",0,IFERROR(INDEX(MAP_SINALMOV,MATCH($D64,LST_TIPOMOV,0)),0))</f>
        <v>0</v>
      </c>
      <c r="K64" s="36" t="n">
        <f aca="false">IF($A64="",0,$E64*$J64)</f>
        <v>0</v>
      </c>
      <c r="L64" s="35" t="str">
        <f aca="false">IF($C64="","",IFERROR(INDEX(M_CONTA,MATCH($C64,M_ID,0)),""))</f>
        <v/>
      </c>
      <c r="M64" s="35" t="str">
        <f aca="false">IF($B64="","",IF($E64&lt;=0,"ERRO: valor deve ser maior que zero",IF(COUNTIF(M_ID,$C64)=0,"ERRO: meta inexistente",IF(COUNTIF(LST_TIPOMOV,$D64)=0,"ERRO: tipo de movimento invalido",IF(AND($D64="TRANSF_SAIDA",COUNTIF(M_ID,$G64)=0),"ERRO: informe a meta de destino",IF(AND($J64=-1,$F64=""),"ATENCAO: informe o destino da retirada","OK"))))))</f>
        <v/>
      </c>
    </row>
    <row r="65" customFormat="false" ht="15" hidden="false" customHeight="false" outlineLevel="0" collapsed="false">
      <c r="A65" s="30" t="str">
        <f aca="false">IF($B65="","","MOV-"&amp;TEXT(ROW()-4,"000000"))</f>
        <v/>
      </c>
      <c r="B65" s="31"/>
      <c r="C65" s="32"/>
      <c r="D65" s="32"/>
      <c r="E65" s="33"/>
      <c r="F65" s="32"/>
      <c r="G65" s="32"/>
      <c r="H65" s="32"/>
      <c r="I65" s="35" t="str">
        <f aca="false">IF($C65="","",IFERROR(INDEX(M_NOME,MATCH($C65,M_ID,0)),"?"))</f>
        <v/>
      </c>
      <c r="J65" s="34" t="n">
        <f aca="false">IF($D65="",0,IFERROR(INDEX(MAP_SINALMOV,MATCH($D65,LST_TIPOMOV,0)),0))</f>
        <v>0</v>
      </c>
      <c r="K65" s="36" t="n">
        <f aca="false">IF($A65="",0,$E65*$J65)</f>
        <v>0</v>
      </c>
      <c r="L65" s="35" t="str">
        <f aca="false">IF($C65="","",IFERROR(INDEX(M_CONTA,MATCH($C65,M_ID,0)),""))</f>
        <v/>
      </c>
      <c r="M65" s="35" t="str">
        <f aca="false">IF($B65="","",IF($E65&lt;=0,"ERRO: valor deve ser maior que zero",IF(COUNTIF(M_ID,$C65)=0,"ERRO: meta inexistente",IF(COUNTIF(LST_TIPOMOV,$D65)=0,"ERRO: tipo de movimento invalido",IF(AND($D65="TRANSF_SAIDA",COUNTIF(M_ID,$G65)=0),"ERRO: informe a meta de destino",IF(AND($J65=-1,$F65=""),"ATENCAO: informe o destino da retirada","OK"))))))</f>
        <v/>
      </c>
    </row>
    <row r="66" customFormat="false" ht="15" hidden="false" customHeight="false" outlineLevel="0" collapsed="false">
      <c r="A66" s="30" t="str">
        <f aca="false">IF($B66="","","MOV-"&amp;TEXT(ROW()-4,"000000"))</f>
        <v/>
      </c>
      <c r="B66" s="31"/>
      <c r="C66" s="32"/>
      <c r="D66" s="32"/>
      <c r="E66" s="33"/>
      <c r="F66" s="32"/>
      <c r="G66" s="32"/>
      <c r="H66" s="32"/>
      <c r="I66" s="35" t="str">
        <f aca="false">IF($C66="","",IFERROR(INDEX(M_NOME,MATCH($C66,M_ID,0)),"?"))</f>
        <v/>
      </c>
      <c r="J66" s="34" t="n">
        <f aca="false">IF($D66="",0,IFERROR(INDEX(MAP_SINALMOV,MATCH($D66,LST_TIPOMOV,0)),0))</f>
        <v>0</v>
      </c>
      <c r="K66" s="36" t="n">
        <f aca="false">IF($A66="",0,$E66*$J66)</f>
        <v>0</v>
      </c>
      <c r="L66" s="35" t="str">
        <f aca="false">IF($C66="","",IFERROR(INDEX(M_CONTA,MATCH($C66,M_ID,0)),""))</f>
        <v/>
      </c>
      <c r="M66" s="35" t="str">
        <f aca="false">IF($B66="","",IF($E66&lt;=0,"ERRO: valor deve ser maior que zero",IF(COUNTIF(M_ID,$C66)=0,"ERRO: meta inexistente",IF(COUNTIF(LST_TIPOMOV,$D66)=0,"ERRO: tipo de movimento invalido",IF(AND($D66="TRANSF_SAIDA",COUNTIF(M_ID,$G66)=0),"ERRO: informe a meta de destino",IF(AND($J66=-1,$F66=""),"ATENCAO: informe o destino da retirada","OK"))))))</f>
        <v/>
      </c>
    </row>
    <row r="67" customFormat="false" ht="15" hidden="false" customHeight="false" outlineLevel="0" collapsed="false">
      <c r="A67" s="30" t="str">
        <f aca="false">IF($B67="","","MOV-"&amp;TEXT(ROW()-4,"000000"))</f>
        <v/>
      </c>
      <c r="B67" s="31"/>
      <c r="C67" s="32"/>
      <c r="D67" s="32"/>
      <c r="E67" s="33"/>
      <c r="F67" s="32"/>
      <c r="G67" s="32"/>
      <c r="H67" s="32"/>
      <c r="I67" s="35" t="str">
        <f aca="false">IF($C67="","",IFERROR(INDEX(M_NOME,MATCH($C67,M_ID,0)),"?"))</f>
        <v/>
      </c>
      <c r="J67" s="34" t="n">
        <f aca="false">IF($D67="",0,IFERROR(INDEX(MAP_SINALMOV,MATCH($D67,LST_TIPOMOV,0)),0))</f>
        <v>0</v>
      </c>
      <c r="K67" s="36" t="n">
        <f aca="false">IF($A67="",0,$E67*$J67)</f>
        <v>0</v>
      </c>
      <c r="L67" s="35" t="str">
        <f aca="false">IF($C67="","",IFERROR(INDEX(M_CONTA,MATCH($C67,M_ID,0)),""))</f>
        <v/>
      </c>
      <c r="M67" s="35" t="str">
        <f aca="false">IF($B67="","",IF($E67&lt;=0,"ERRO: valor deve ser maior que zero",IF(COUNTIF(M_ID,$C67)=0,"ERRO: meta inexistente",IF(COUNTIF(LST_TIPOMOV,$D67)=0,"ERRO: tipo de movimento invalido",IF(AND($D67="TRANSF_SAIDA",COUNTIF(M_ID,$G67)=0),"ERRO: informe a meta de destino",IF(AND($J67=-1,$F67=""),"ATENCAO: informe o destino da retirada","OK"))))))</f>
        <v/>
      </c>
    </row>
    <row r="68" customFormat="false" ht="15" hidden="false" customHeight="false" outlineLevel="0" collapsed="false">
      <c r="A68" s="30" t="str">
        <f aca="false">IF($B68="","","MOV-"&amp;TEXT(ROW()-4,"000000"))</f>
        <v/>
      </c>
      <c r="B68" s="31"/>
      <c r="C68" s="32"/>
      <c r="D68" s="32"/>
      <c r="E68" s="33"/>
      <c r="F68" s="32"/>
      <c r="G68" s="32"/>
      <c r="H68" s="32"/>
      <c r="I68" s="35" t="str">
        <f aca="false">IF($C68="","",IFERROR(INDEX(M_NOME,MATCH($C68,M_ID,0)),"?"))</f>
        <v/>
      </c>
      <c r="J68" s="34" t="n">
        <f aca="false">IF($D68="",0,IFERROR(INDEX(MAP_SINALMOV,MATCH($D68,LST_TIPOMOV,0)),0))</f>
        <v>0</v>
      </c>
      <c r="K68" s="36" t="n">
        <f aca="false">IF($A68="",0,$E68*$J68)</f>
        <v>0</v>
      </c>
      <c r="L68" s="35" t="str">
        <f aca="false">IF($C68="","",IFERROR(INDEX(M_CONTA,MATCH($C68,M_ID,0)),""))</f>
        <v/>
      </c>
      <c r="M68" s="35" t="str">
        <f aca="false">IF($B68="","",IF($E68&lt;=0,"ERRO: valor deve ser maior que zero",IF(COUNTIF(M_ID,$C68)=0,"ERRO: meta inexistente",IF(COUNTIF(LST_TIPOMOV,$D68)=0,"ERRO: tipo de movimento invalido",IF(AND($D68="TRANSF_SAIDA",COUNTIF(M_ID,$G68)=0),"ERRO: informe a meta de destino",IF(AND($J68=-1,$F68=""),"ATENCAO: informe o destino da retirada","OK"))))))</f>
        <v/>
      </c>
    </row>
    <row r="69" customFormat="false" ht="15" hidden="false" customHeight="false" outlineLevel="0" collapsed="false">
      <c r="A69" s="30" t="str">
        <f aca="false">IF($B69="","","MOV-"&amp;TEXT(ROW()-4,"000000"))</f>
        <v/>
      </c>
      <c r="B69" s="31"/>
      <c r="C69" s="32"/>
      <c r="D69" s="32"/>
      <c r="E69" s="33"/>
      <c r="F69" s="32"/>
      <c r="G69" s="32"/>
      <c r="H69" s="32"/>
      <c r="I69" s="35" t="str">
        <f aca="false">IF($C69="","",IFERROR(INDEX(M_NOME,MATCH($C69,M_ID,0)),"?"))</f>
        <v/>
      </c>
      <c r="J69" s="34" t="n">
        <f aca="false">IF($D69="",0,IFERROR(INDEX(MAP_SINALMOV,MATCH($D69,LST_TIPOMOV,0)),0))</f>
        <v>0</v>
      </c>
      <c r="K69" s="36" t="n">
        <f aca="false">IF($A69="",0,$E69*$J69)</f>
        <v>0</v>
      </c>
      <c r="L69" s="35" t="str">
        <f aca="false">IF($C69="","",IFERROR(INDEX(M_CONTA,MATCH($C69,M_ID,0)),""))</f>
        <v/>
      </c>
      <c r="M69" s="35" t="str">
        <f aca="false">IF($B69="","",IF($E69&lt;=0,"ERRO: valor deve ser maior que zero",IF(COUNTIF(M_ID,$C69)=0,"ERRO: meta inexistente",IF(COUNTIF(LST_TIPOMOV,$D69)=0,"ERRO: tipo de movimento invalido",IF(AND($D69="TRANSF_SAIDA",COUNTIF(M_ID,$G69)=0),"ERRO: informe a meta de destino",IF(AND($J69=-1,$F69=""),"ATENCAO: informe o destino da retirada","OK"))))))</f>
        <v/>
      </c>
    </row>
    <row r="70" customFormat="false" ht="15" hidden="false" customHeight="false" outlineLevel="0" collapsed="false">
      <c r="A70" s="30" t="str">
        <f aca="false">IF($B70="","","MOV-"&amp;TEXT(ROW()-4,"000000"))</f>
        <v/>
      </c>
      <c r="B70" s="31"/>
      <c r="C70" s="32"/>
      <c r="D70" s="32"/>
      <c r="E70" s="33"/>
      <c r="F70" s="32"/>
      <c r="G70" s="32"/>
      <c r="H70" s="32"/>
      <c r="I70" s="35" t="str">
        <f aca="false">IF($C70="","",IFERROR(INDEX(M_NOME,MATCH($C70,M_ID,0)),"?"))</f>
        <v/>
      </c>
      <c r="J70" s="34" t="n">
        <f aca="false">IF($D70="",0,IFERROR(INDEX(MAP_SINALMOV,MATCH($D70,LST_TIPOMOV,0)),0))</f>
        <v>0</v>
      </c>
      <c r="K70" s="36" t="n">
        <f aca="false">IF($A70="",0,$E70*$J70)</f>
        <v>0</v>
      </c>
      <c r="L70" s="35" t="str">
        <f aca="false">IF($C70="","",IFERROR(INDEX(M_CONTA,MATCH($C70,M_ID,0)),""))</f>
        <v/>
      </c>
      <c r="M70" s="35" t="str">
        <f aca="false">IF($B70="","",IF($E70&lt;=0,"ERRO: valor deve ser maior que zero",IF(COUNTIF(M_ID,$C70)=0,"ERRO: meta inexistente",IF(COUNTIF(LST_TIPOMOV,$D70)=0,"ERRO: tipo de movimento invalido",IF(AND($D70="TRANSF_SAIDA",COUNTIF(M_ID,$G70)=0),"ERRO: informe a meta de destino",IF(AND($J70=-1,$F70=""),"ATENCAO: informe o destino da retirada","OK"))))))</f>
        <v/>
      </c>
    </row>
    <row r="71" customFormat="false" ht="15" hidden="false" customHeight="false" outlineLevel="0" collapsed="false">
      <c r="A71" s="30" t="str">
        <f aca="false">IF($B71="","","MOV-"&amp;TEXT(ROW()-4,"000000"))</f>
        <v/>
      </c>
      <c r="B71" s="31"/>
      <c r="C71" s="32"/>
      <c r="D71" s="32"/>
      <c r="E71" s="33"/>
      <c r="F71" s="32"/>
      <c r="G71" s="32"/>
      <c r="H71" s="32"/>
      <c r="I71" s="35" t="str">
        <f aca="false">IF($C71="","",IFERROR(INDEX(M_NOME,MATCH($C71,M_ID,0)),"?"))</f>
        <v/>
      </c>
      <c r="J71" s="34" t="n">
        <f aca="false">IF($D71="",0,IFERROR(INDEX(MAP_SINALMOV,MATCH($D71,LST_TIPOMOV,0)),0))</f>
        <v>0</v>
      </c>
      <c r="K71" s="36" t="n">
        <f aca="false">IF($A71="",0,$E71*$J71)</f>
        <v>0</v>
      </c>
      <c r="L71" s="35" t="str">
        <f aca="false">IF($C71="","",IFERROR(INDEX(M_CONTA,MATCH($C71,M_ID,0)),""))</f>
        <v/>
      </c>
      <c r="M71" s="35" t="str">
        <f aca="false">IF($B71="","",IF($E71&lt;=0,"ERRO: valor deve ser maior que zero",IF(COUNTIF(M_ID,$C71)=0,"ERRO: meta inexistente",IF(COUNTIF(LST_TIPOMOV,$D71)=0,"ERRO: tipo de movimento invalido",IF(AND($D71="TRANSF_SAIDA",COUNTIF(M_ID,$G71)=0),"ERRO: informe a meta de destino",IF(AND($J71=-1,$F71=""),"ATENCAO: informe o destino da retirada","OK"))))))</f>
        <v/>
      </c>
    </row>
    <row r="72" customFormat="false" ht="15" hidden="false" customHeight="false" outlineLevel="0" collapsed="false">
      <c r="A72" s="30" t="str">
        <f aca="false">IF($B72="","","MOV-"&amp;TEXT(ROW()-4,"000000"))</f>
        <v/>
      </c>
      <c r="B72" s="31"/>
      <c r="C72" s="32"/>
      <c r="D72" s="32"/>
      <c r="E72" s="33"/>
      <c r="F72" s="32"/>
      <c r="G72" s="32"/>
      <c r="H72" s="32"/>
      <c r="I72" s="35" t="str">
        <f aca="false">IF($C72="","",IFERROR(INDEX(M_NOME,MATCH($C72,M_ID,0)),"?"))</f>
        <v/>
      </c>
      <c r="J72" s="34" t="n">
        <f aca="false">IF($D72="",0,IFERROR(INDEX(MAP_SINALMOV,MATCH($D72,LST_TIPOMOV,0)),0))</f>
        <v>0</v>
      </c>
      <c r="K72" s="36" t="n">
        <f aca="false">IF($A72="",0,$E72*$J72)</f>
        <v>0</v>
      </c>
      <c r="L72" s="35" t="str">
        <f aca="false">IF($C72="","",IFERROR(INDEX(M_CONTA,MATCH($C72,M_ID,0)),""))</f>
        <v/>
      </c>
      <c r="M72" s="35" t="str">
        <f aca="false">IF($B72="","",IF($E72&lt;=0,"ERRO: valor deve ser maior que zero",IF(COUNTIF(M_ID,$C72)=0,"ERRO: meta inexistente",IF(COUNTIF(LST_TIPOMOV,$D72)=0,"ERRO: tipo de movimento invalido",IF(AND($D72="TRANSF_SAIDA",COUNTIF(M_ID,$G72)=0),"ERRO: informe a meta de destino",IF(AND($J72=-1,$F72=""),"ATENCAO: informe o destino da retirada","OK"))))))</f>
        <v/>
      </c>
    </row>
    <row r="73" customFormat="false" ht="15" hidden="false" customHeight="false" outlineLevel="0" collapsed="false">
      <c r="A73" s="30" t="str">
        <f aca="false">IF($B73="","","MOV-"&amp;TEXT(ROW()-4,"000000"))</f>
        <v/>
      </c>
      <c r="B73" s="31"/>
      <c r="C73" s="32"/>
      <c r="D73" s="32"/>
      <c r="E73" s="33"/>
      <c r="F73" s="32"/>
      <c r="G73" s="32"/>
      <c r="H73" s="32"/>
      <c r="I73" s="35" t="str">
        <f aca="false">IF($C73="","",IFERROR(INDEX(M_NOME,MATCH($C73,M_ID,0)),"?"))</f>
        <v/>
      </c>
      <c r="J73" s="34" t="n">
        <f aca="false">IF($D73="",0,IFERROR(INDEX(MAP_SINALMOV,MATCH($D73,LST_TIPOMOV,0)),0))</f>
        <v>0</v>
      </c>
      <c r="K73" s="36" t="n">
        <f aca="false">IF($A73="",0,$E73*$J73)</f>
        <v>0</v>
      </c>
      <c r="L73" s="35" t="str">
        <f aca="false">IF($C73="","",IFERROR(INDEX(M_CONTA,MATCH($C73,M_ID,0)),""))</f>
        <v/>
      </c>
      <c r="M73" s="35" t="str">
        <f aca="false">IF($B73="","",IF($E73&lt;=0,"ERRO: valor deve ser maior que zero",IF(COUNTIF(M_ID,$C73)=0,"ERRO: meta inexistente",IF(COUNTIF(LST_TIPOMOV,$D73)=0,"ERRO: tipo de movimento invalido",IF(AND($D73="TRANSF_SAIDA",COUNTIF(M_ID,$G73)=0),"ERRO: informe a meta de destino",IF(AND($J73=-1,$F73=""),"ATENCAO: informe o destino da retirada","OK"))))))</f>
        <v/>
      </c>
    </row>
    <row r="74" customFormat="false" ht="15" hidden="false" customHeight="false" outlineLevel="0" collapsed="false">
      <c r="A74" s="30" t="str">
        <f aca="false">IF($B74="","","MOV-"&amp;TEXT(ROW()-4,"000000"))</f>
        <v/>
      </c>
      <c r="B74" s="31"/>
      <c r="C74" s="32"/>
      <c r="D74" s="32"/>
      <c r="E74" s="33"/>
      <c r="F74" s="32"/>
      <c r="G74" s="32"/>
      <c r="H74" s="32"/>
      <c r="I74" s="35" t="str">
        <f aca="false">IF($C74="","",IFERROR(INDEX(M_NOME,MATCH($C74,M_ID,0)),"?"))</f>
        <v/>
      </c>
      <c r="J74" s="34" t="n">
        <f aca="false">IF($D74="",0,IFERROR(INDEX(MAP_SINALMOV,MATCH($D74,LST_TIPOMOV,0)),0))</f>
        <v>0</v>
      </c>
      <c r="K74" s="36" t="n">
        <f aca="false">IF($A74="",0,$E74*$J74)</f>
        <v>0</v>
      </c>
      <c r="L74" s="35" t="str">
        <f aca="false">IF($C74="","",IFERROR(INDEX(M_CONTA,MATCH($C74,M_ID,0)),""))</f>
        <v/>
      </c>
      <c r="M74" s="35" t="str">
        <f aca="false">IF($B74="","",IF($E74&lt;=0,"ERRO: valor deve ser maior que zero",IF(COUNTIF(M_ID,$C74)=0,"ERRO: meta inexistente",IF(COUNTIF(LST_TIPOMOV,$D74)=0,"ERRO: tipo de movimento invalido",IF(AND($D74="TRANSF_SAIDA",COUNTIF(M_ID,$G74)=0),"ERRO: informe a meta de destino",IF(AND($J74=-1,$F74=""),"ATENCAO: informe o destino da retirada","OK"))))))</f>
        <v/>
      </c>
    </row>
    <row r="75" customFormat="false" ht="15" hidden="false" customHeight="false" outlineLevel="0" collapsed="false">
      <c r="A75" s="30" t="str">
        <f aca="false">IF($B75="","","MOV-"&amp;TEXT(ROW()-4,"000000"))</f>
        <v/>
      </c>
      <c r="B75" s="31"/>
      <c r="C75" s="32"/>
      <c r="D75" s="32"/>
      <c r="E75" s="33"/>
      <c r="F75" s="32"/>
      <c r="G75" s="32"/>
      <c r="H75" s="32"/>
      <c r="I75" s="35" t="str">
        <f aca="false">IF($C75="","",IFERROR(INDEX(M_NOME,MATCH($C75,M_ID,0)),"?"))</f>
        <v/>
      </c>
      <c r="J75" s="34" t="n">
        <f aca="false">IF($D75="",0,IFERROR(INDEX(MAP_SINALMOV,MATCH($D75,LST_TIPOMOV,0)),0))</f>
        <v>0</v>
      </c>
      <c r="K75" s="36" t="n">
        <f aca="false">IF($A75="",0,$E75*$J75)</f>
        <v>0</v>
      </c>
      <c r="L75" s="35" t="str">
        <f aca="false">IF($C75="","",IFERROR(INDEX(M_CONTA,MATCH($C75,M_ID,0)),""))</f>
        <v/>
      </c>
      <c r="M75" s="35" t="str">
        <f aca="false">IF($B75="","",IF($E75&lt;=0,"ERRO: valor deve ser maior que zero",IF(COUNTIF(M_ID,$C75)=0,"ERRO: meta inexistente",IF(COUNTIF(LST_TIPOMOV,$D75)=0,"ERRO: tipo de movimento invalido",IF(AND($D75="TRANSF_SAIDA",COUNTIF(M_ID,$G75)=0),"ERRO: informe a meta de destino",IF(AND($J75=-1,$F75=""),"ATENCAO: informe o destino da retirada","OK"))))))</f>
        <v/>
      </c>
    </row>
    <row r="76" customFormat="false" ht="15" hidden="false" customHeight="false" outlineLevel="0" collapsed="false">
      <c r="A76" s="30" t="str">
        <f aca="false">IF($B76="","","MOV-"&amp;TEXT(ROW()-4,"000000"))</f>
        <v/>
      </c>
      <c r="B76" s="31"/>
      <c r="C76" s="32"/>
      <c r="D76" s="32"/>
      <c r="E76" s="33"/>
      <c r="F76" s="32"/>
      <c r="G76" s="32"/>
      <c r="H76" s="32"/>
      <c r="I76" s="35" t="str">
        <f aca="false">IF($C76="","",IFERROR(INDEX(M_NOME,MATCH($C76,M_ID,0)),"?"))</f>
        <v/>
      </c>
      <c r="J76" s="34" t="n">
        <f aca="false">IF($D76="",0,IFERROR(INDEX(MAP_SINALMOV,MATCH($D76,LST_TIPOMOV,0)),0))</f>
        <v>0</v>
      </c>
      <c r="K76" s="36" t="n">
        <f aca="false">IF($A76="",0,$E76*$J76)</f>
        <v>0</v>
      </c>
      <c r="L76" s="35" t="str">
        <f aca="false">IF($C76="","",IFERROR(INDEX(M_CONTA,MATCH($C76,M_ID,0)),""))</f>
        <v/>
      </c>
      <c r="M76" s="35" t="str">
        <f aca="false">IF($B76="","",IF($E76&lt;=0,"ERRO: valor deve ser maior que zero",IF(COUNTIF(M_ID,$C76)=0,"ERRO: meta inexistente",IF(COUNTIF(LST_TIPOMOV,$D76)=0,"ERRO: tipo de movimento invalido",IF(AND($D76="TRANSF_SAIDA",COUNTIF(M_ID,$G76)=0),"ERRO: informe a meta de destino",IF(AND($J76=-1,$F76=""),"ATENCAO: informe o destino da retirada","OK"))))))</f>
        <v/>
      </c>
    </row>
    <row r="77" customFormat="false" ht="15" hidden="false" customHeight="false" outlineLevel="0" collapsed="false">
      <c r="A77" s="30" t="str">
        <f aca="false">IF($B77="","","MOV-"&amp;TEXT(ROW()-4,"000000"))</f>
        <v/>
      </c>
      <c r="B77" s="31"/>
      <c r="C77" s="32"/>
      <c r="D77" s="32"/>
      <c r="E77" s="33"/>
      <c r="F77" s="32"/>
      <c r="G77" s="32"/>
      <c r="H77" s="32"/>
      <c r="I77" s="35" t="str">
        <f aca="false">IF($C77="","",IFERROR(INDEX(M_NOME,MATCH($C77,M_ID,0)),"?"))</f>
        <v/>
      </c>
      <c r="J77" s="34" t="n">
        <f aca="false">IF($D77="",0,IFERROR(INDEX(MAP_SINALMOV,MATCH($D77,LST_TIPOMOV,0)),0))</f>
        <v>0</v>
      </c>
      <c r="K77" s="36" t="n">
        <f aca="false">IF($A77="",0,$E77*$J77)</f>
        <v>0</v>
      </c>
      <c r="L77" s="35" t="str">
        <f aca="false">IF($C77="","",IFERROR(INDEX(M_CONTA,MATCH($C77,M_ID,0)),""))</f>
        <v/>
      </c>
      <c r="M77" s="35" t="str">
        <f aca="false">IF($B77="","",IF($E77&lt;=0,"ERRO: valor deve ser maior que zero",IF(COUNTIF(M_ID,$C77)=0,"ERRO: meta inexistente",IF(COUNTIF(LST_TIPOMOV,$D77)=0,"ERRO: tipo de movimento invalido",IF(AND($D77="TRANSF_SAIDA",COUNTIF(M_ID,$G77)=0),"ERRO: informe a meta de destino",IF(AND($J77=-1,$F77=""),"ATENCAO: informe o destino da retirada","OK"))))))</f>
        <v/>
      </c>
    </row>
    <row r="78" customFormat="false" ht="15" hidden="false" customHeight="false" outlineLevel="0" collapsed="false">
      <c r="A78" s="30" t="str">
        <f aca="false">IF($B78="","","MOV-"&amp;TEXT(ROW()-4,"000000"))</f>
        <v/>
      </c>
      <c r="B78" s="31"/>
      <c r="C78" s="32"/>
      <c r="D78" s="32"/>
      <c r="E78" s="33"/>
      <c r="F78" s="32"/>
      <c r="G78" s="32"/>
      <c r="H78" s="32"/>
      <c r="I78" s="35" t="str">
        <f aca="false">IF($C78="","",IFERROR(INDEX(M_NOME,MATCH($C78,M_ID,0)),"?"))</f>
        <v/>
      </c>
      <c r="J78" s="34" t="n">
        <f aca="false">IF($D78="",0,IFERROR(INDEX(MAP_SINALMOV,MATCH($D78,LST_TIPOMOV,0)),0))</f>
        <v>0</v>
      </c>
      <c r="K78" s="36" t="n">
        <f aca="false">IF($A78="",0,$E78*$J78)</f>
        <v>0</v>
      </c>
      <c r="L78" s="35" t="str">
        <f aca="false">IF($C78="","",IFERROR(INDEX(M_CONTA,MATCH($C78,M_ID,0)),""))</f>
        <v/>
      </c>
      <c r="M78" s="35" t="str">
        <f aca="false">IF($B78="","",IF($E78&lt;=0,"ERRO: valor deve ser maior que zero",IF(COUNTIF(M_ID,$C78)=0,"ERRO: meta inexistente",IF(COUNTIF(LST_TIPOMOV,$D78)=0,"ERRO: tipo de movimento invalido",IF(AND($D78="TRANSF_SAIDA",COUNTIF(M_ID,$G78)=0),"ERRO: informe a meta de destino",IF(AND($J78=-1,$F78=""),"ATENCAO: informe o destino da retirada","OK"))))))</f>
        <v/>
      </c>
    </row>
    <row r="79" customFormat="false" ht="15" hidden="false" customHeight="false" outlineLevel="0" collapsed="false">
      <c r="A79" s="30" t="str">
        <f aca="false">IF($B79="","","MOV-"&amp;TEXT(ROW()-4,"000000"))</f>
        <v/>
      </c>
      <c r="B79" s="31"/>
      <c r="C79" s="32"/>
      <c r="D79" s="32"/>
      <c r="E79" s="33"/>
      <c r="F79" s="32"/>
      <c r="G79" s="32"/>
      <c r="H79" s="32"/>
      <c r="I79" s="35" t="str">
        <f aca="false">IF($C79="","",IFERROR(INDEX(M_NOME,MATCH($C79,M_ID,0)),"?"))</f>
        <v/>
      </c>
      <c r="J79" s="34" t="n">
        <f aca="false">IF($D79="",0,IFERROR(INDEX(MAP_SINALMOV,MATCH($D79,LST_TIPOMOV,0)),0))</f>
        <v>0</v>
      </c>
      <c r="K79" s="36" t="n">
        <f aca="false">IF($A79="",0,$E79*$J79)</f>
        <v>0</v>
      </c>
      <c r="L79" s="35" t="str">
        <f aca="false">IF($C79="","",IFERROR(INDEX(M_CONTA,MATCH($C79,M_ID,0)),""))</f>
        <v/>
      </c>
      <c r="M79" s="35" t="str">
        <f aca="false">IF($B79="","",IF($E79&lt;=0,"ERRO: valor deve ser maior que zero",IF(COUNTIF(M_ID,$C79)=0,"ERRO: meta inexistente",IF(COUNTIF(LST_TIPOMOV,$D79)=0,"ERRO: tipo de movimento invalido",IF(AND($D79="TRANSF_SAIDA",COUNTIF(M_ID,$G79)=0),"ERRO: informe a meta de destino",IF(AND($J79=-1,$F79=""),"ATENCAO: informe o destino da retirada","OK"))))))</f>
        <v/>
      </c>
    </row>
    <row r="80" customFormat="false" ht="15" hidden="false" customHeight="false" outlineLevel="0" collapsed="false">
      <c r="A80" s="30" t="str">
        <f aca="false">IF($B80="","","MOV-"&amp;TEXT(ROW()-4,"000000"))</f>
        <v/>
      </c>
      <c r="B80" s="31"/>
      <c r="C80" s="32"/>
      <c r="D80" s="32"/>
      <c r="E80" s="33"/>
      <c r="F80" s="32"/>
      <c r="G80" s="32"/>
      <c r="H80" s="32"/>
      <c r="I80" s="35" t="str">
        <f aca="false">IF($C80="","",IFERROR(INDEX(M_NOME,MATCH($C80,M_ID,0)),"?"))</f>
        <v/>
      </c>
      <c r="J80" s="34" t="n">
        <f aca="false">IF($D80="",0,IFERROR(INDEX(MAP_SINALMOV,MATCH($D80,LST_TIPOMOV,0)),0))</f>
        <v>0</v>
      </c>
      <c r="K80" s="36" t="n">
        <f aca="false">IF($A80="",0,$E80*$J80)</f>
        <v>0</v>
      </c>
      <c r="L80" s="35" t="str">
        <f aca="false">IF($C80="","",IFERROR(INDEX(M_CONTA,MATCH($C80,M_ID,0)),""))</f>
        <v/>
      </c>
      <c r="M80" s="35" t="str">
        <f aca="false">IF($B80="","",IF($E80&lt;=0,"ERRO: valor deve ser maior que zero",IF(COUNTIF(M_ID,$C80)=0,"ERRO: meta inexistente",IF(COUNTIF(LST_TIPOMOV,$D80)=0,"ERRO: tipo de movimento invalido",IF(AND($D80="TRANSF_SAIDA",COUNTIF(M_ID,$G80)=0),"ERRO: informe a meta de destino",IF(AND($J80=-1,$F80=""),"ATENCAO: informe o destino da retirada","OK"))))))</f>
        <v/>
      </c>
    </row>
    <row r="81" customFormat="false" ht="15" hidden="false" customHeight="false" outlineLevel="0" collapsed="false">
      <c r="A81" s="30" t="str">
        <f aca="false">IF($B81="","","MOV-"&amp;TEXT(ROW()-4,"000000"))</f>
        <v/>
      </c>
      <c r="B81" s="31"/>
      <c r="C81" s="32"/>
      <c r="D81" s="32"/>
      <c r="E81" s="33"/>
      <c r="F81" s="32"/>
      <c r="G81" s="32"/>
      <c r="H81" s="32"/>
      <c r="I81" s="35" t="str">
        <f aca="false">IF($C81="","",IFERROR(INDEX(M_NOME,MATCH($C81,M_ID,0)),"?"))</f>
        <v/>
      </c>
      <c r="J81" s="34" t="n">
        <f aca="false">IF($D81="",0,IFERROR(INDEX(MAP_SINALMOV,MATCH($D81,LST_TIPOMOV,0)),0))</f>
        <v>0</v>
      </c>
      <c r="K81" s="36" t="n">
        <f aca="false">IF($A81="",0,$E81*$J81)</f>
        <v>0</v>
      </c>
      <c r="L81" s="35" t="str">
        <f aca="false">IF($C81="","",IFERROR(INDEX(M_CONTA,MATCH($C81,M_ID,0)),""))</f>
        <v/>
      </c>
      <c r="M81" s="35" t="str">
        <f aca="false">IF($B81="","",IF($E81&lt;=0,"ERRO: valor deve ser maior que zero",IF(COUNTIF(M_ID,$C81)=0,"ERRO: meta inexistente",IF(COUNTIF(LST_TIPOMOV,$D81)=0,"ERRO: tipo de movimento invalido",IF(AND($D81="TRANSF_SAIDA",COUNTIF(M_ID,$G81)=0),"ERRO: informe a meta de destino",IF(AND($J81=-1,$F81=""),"ATENCAO: informe o destino da retirada","OK"))))))</f>
        <v/>
      </c>
    </row>
    <row r="82" customFormat="false" ht="15" hidden="false" customHeight="false" outlineLevel="0" collapsed="false">
      <c r="A82" s="30" t="str">
        <f aca="false">IF($B82="","","MOV-"&amp;TEXT(ROW()-4,"000000"))</f>
        <v/>
      </c>
      <c r="B82" s="31"/>
      <c r="C82" s="32"/>
      <c r="D82" s="32"/>
      <c r="E82" s="33"/>
      <c r="F82" s="32"/>
      <c r="G82" s="32"/>
      <c r="H82" s="32"/>
      <c r="I82" s="35" t="str">
        <f aca="false">IF($C82="","",IFERROR(INDEX(M_NOME,MATCH($C82,M_ID,0)),"?"))</f>
        <v/>
      </c>
      <c r="J82" s="34" t="n">
        <f aca="false">IF($D82="",0,IFERROR(INDEX(MAP_SINALMOV,MATCH($D82,LST_TIPOMOV,0)),0))</f>
        <v>0</v>
      </c>
      <c r="K82" s="36" t="n">
        <f aca="false">IF($A82="",0,$E82*$J82)</f>
        <v>0</v>
      </c>
      <c r="L82" s="35" t="str">
        <f aca="false">IF($C82="","",IFERROR(INDEX(M_CONTA,MATCH($C82,M_ID,0)),""))</f>
        <v/>
      </c>
      <c r="M82" s="35" t="str">
        <f aca="false">IF($B82="","",IF($E82&lt;=0,"ERRO: valor deve ser maior que zero",IF(COUNTIF(M_ID,$C82)=0,"ERRO: meta inexistente",IF(COUNTIF(LST_TIPOMOV,$D82)=0,"ERRO: tipo de movimento invalido",IF(AND($D82="TRANSF_SAIDA",COUNTIF(M_ID,$G82)=0),"ERRO: informe a meta de destino",IF(AND($J82=-1,$F82=""),"ATENCAO: informe o destino da retirada","OK"))))))</f>
        <v/>
      </c>
    </row>
    <row r="83" customFormat="false" ht="15" hidden="false" customHeight="false" outlineLevel="0" collapsed="false">
      <c r="A83" s="30" t="str">
        <f aca="false">IF($B83="","","MOV-"&amp;TEXT(ROW()-4,"000000"))</f>
        <v/>
      </c>
      <c r="B83" s="31"/>
      <c r="C83" s="32"/>
      <c r="D83" s="32"/>
      <c r="E83" s="33"/>
      <c r="F83" s="32"/>
      <c r="G83" s="32"/>
      <c r="H83" s="32"/>
      <c r="I83" s="35" t="str">
        <f aca="false">IF($C83="","",IFERROR(INDEX(M_NOME,MATCH($C83,M_ID,0)),"?"))</f>
        <v/>
      </c>
      <c r="J83" s="34" t="n">
        <f aca="false">IF($D83="",0,IFERROR(INDEX(MAP_SINALMOV,MATCH($D83,LST_TIPOMOV,0)),0))</f>
        <v>0</v>
      </c>
      <c r="K83" s="36" t="n">
        <f aca="false">IF($A83="",0,$E83*$J83)</f>
        <v>0</v>
      </c>
      <c r="L83" s="35" t="str">
        <f aca="false">IF($C83="","",IFERROR(INDEX(M_CONTA,MATCH($C83,M_ID,0)),""))</f>
        <v/>
      </c>
      <c r="M83" s="35" t="str">
        <f aca="false">IF($B83="","",IF($E83&lt;=0,"ERRO: valor deve ser maior que zero",IF(COUNTIF(M_ID,$C83)=0,"ERRO: meta inexistente",IF(COUNTIF(LST_TIPOMOV,$D83)=0,"ERRO: tipo de movimento invalido",IF(AND($D83="TRANSF_SAIDA",COUNTIF(M_ID,$G83)=0),"ERRO: informe a meta de destino",IF(AND($J83=-1,$F83=""),"ATENCAO: informe o destino da retirada","OK"))))))</f>
        <v/>
      </c>
    </row>
    <row r="84" customFormat="false" ht="15" hidden="false" customHeight="false" outlineLevel="0" collapsed="false">
      <c r="A84" s="30" t="str">
        <f aca="false">IF($B84="","","MOV-"&amp;TEXT(ROW()-4,"000000"))</f>
        <v/>
      </c>
      <c r="B84" s="31"/>
      <c r="C84" s="32"/>
      <c r="D84" s="32"/>
      <c r="E84" s="33"/>
      <c r="F84" s="32"/>
      <c r="G84" s="32"/>
      <c r="H84" s="32"/>
      <c r="I84" s="35" t="str">
        <f aca="false">IF($C84="","",IFERROR(INDEX(M_NOME,MATCH($C84,M_ID,0)),"?"))</f>
        <v/>
      </c>
      <c r="J84" s="34" t="n">
        <f aca="false">IF($D84="",0,IFERROR(INDEX(MAP_SINALMOV,MATCH($D84,LST_TIPOMOV,0)),0))</f>
        <v>0</v>
      </c>
      <c r="K84" s="36" t="n">
        <f aca="false">IF($A84="",0,$E84*$J84)</f>
        <v>0</v>
      </c>
      <c r="L84" s="35" t="str">
        <f aca="false">IF($C84="","",IFERROR(INDEX(M_CONTA,MATCH($C84,M_ID,0)),""))</f>
        <v/>
      </c>
      <c r="M84" s="35" t="str">
        <f aca="false">IF($B84="","",IF($E84&lt;=0,"ERRO: valor deve ser maior que zero",IF(COUNTIF(M_ID,$C84)=0,"ERRO: meta inexistente",IF(COUNTIF(LST_TIPOMOV,$D84)=0,"ERRO: tipo de movimento invalido",IF(AND($D84="TRANSF_SAIDA",COUNTIF(M_ID,$G84)=0),"ERRO: informe a meta de destino",IF(AND($J84=-1,$F84=""),"ATENCAO: informe o destino da retirada","OK"))))))</f>
        <v/>
      </c>
    </row>
    <row r="85" customFormat="false" ht="15" hidden="false" customHeight="false" outlineLevel="0" collapsed="false">
      <c r="A85" s="30" t="str">
        <f aca="false">IF($B85="","","MOV-"&amp;TEXT(ROW()-4,"000000"))</f>
        <v/>
      </c>
      <c r="B85" s="31"/>
      <c r="C85" s="32"/>
      <c r="D85" s="32"/>
      <c r="E85" s="33"/>
      <c r="F85" s="32"/>
      <c r="G85" s="32"/>
      <c r="H85" s="32"/>
      <c r="I85" s="35" t="str">
        <f aca="false">IF($C85="","",IFERROR(INDEX(M_NOME,MATCH($C85,M_ID,0)),"?"))</f>
        <v/>
      </c>
      <c r="J85" s="34" t="n">
        <f aca="false">IF($D85="",0,IFERROR(INDEX(MAP_SINALMOV,MATCH($D85,LST_TIPOMOV,0)),0))</f>
        <v>0</v>
      </c>
      <c r="K85" s="36" t="n">
        <f aca="false">IF($A85="",0,$E85*$J85)</f>
        <v>0</v>
      </c>
      <c r="L85" s="35" t="str">
        <f aca="false">IF($C85="","",IFERROR(INDEX(M_CONTA,MATCH($C85,M_ID,0)),""))</f>
        <v/>
      </c>
      <c r="M85" s="35" t="str">
        <f aca="false">IF($B85="","",IF($E85&lt;=0,"ERRO: valor deve ser maior que zero",IF(COUNTIF(M_ID,$C85)=0,"ERRO: meta inexistente",IF(COUNTIF(LST_TIPOMOV,$D85)=0,"ERRO: tipo de movimento invalido",IF(AND($D85="TRANSF_SAIDA",COUNTIF(M_ID,$G85)=0),"ERRO: informe a meta de destino",IF(AND($J85=-1,$F85=""),"ATENCAO: informe o destino da retirada","OK"))))))</f>
        <v/>
      </c>
    </row>
    <row r="86" customFormat="false" ht="15" hidden="false" customHeight="false" outlineLevel="0" collapsed="false">
      <c r="A86" s="30" t="str">
        <f aca="false">IF($B86="","","MOV-"&amp;TEXT(ROW()-4,"000000"))</f>
        <v/>
      </c>
      <c r="B86" s="31"/>
      <c r="C86" s="32"/>
      <c r="D86" s="32"/>
      <c r="E86" s="33"/>
      <c r="F86" s="32"/>
      <c r="G86" s="32"/>
      <c r="H86" s="32"/>
      <c r="I86" s="35" t="str">
        <f aca="false">IF($C86="","",IFERROR(INDEX(M_NOME,MATCH($C86,M_ID,0)),"?"))</f>
        <v/>
      </c>
      <c r="J86" s="34" t="n">
        <f aca="false">IF($D86="",0,IFERROR(INDEX(MAP_SINALMOV,MATCH($D86,LST_TIPOMOV,0)),0))</f>
        <v>0</v>
      </c>
      <c r="K86" s="36" t="n">
        <f aca="false">IF($A86="",0,$E86*$J86)</f>
        <v>0</v>
      </c>
      <c r="L86" s="35" t="str">
        <f aca="false">IF($C86="","",IFERROR(INDEX(M_CONTA,MATCH($C86,M_ID,0)),""))</f>
        <v/>
      </c>
      <c r="M86" s="35" t="str">
        <f aca="false">IF($B86="","",IF($E86&lt;=0,"ERRO: valor deve ser maior que zero",IF(COUNTIF(M_ID,$C86)=0,"ERRO: meta inexistente",IF(COUNTIF(LST_TIPOMOV,$D86)=0,"ERRO: tipo de movimento invalido",IF(AND($D86="TRANSF_SAIDA",COUNTIF(M_ID,$G86)=0),"ERRO: informe a meta de destino",IF(AND($J86=-1,$F86=""),"ATENCAO: informe o destino da retirada","OK"))))))</f>
        <v/>
      </c>
    </row>
    <row r="87" customFormat="false" ht="15" hidden="false" customHeight="false" outlineLevel="0" collapsed="false">
      <c r="A87" s="30" t="str">
        <f aca="false">IF($B87="","","MOV-"&amp;TEXT(ROW()-4,"000000"))</f>
        <v/>
      </c>
      <c r="B87" s="31"/>
      <c r="C87" s="32"/>
      <c r="D87" s="32"/>
      <c r="E87" s="33"/>
      <c r="F87" s="32"/>
      <c r="G87" s="32"/>
      <c r="H87" s="32"/>
      <c r="I87" s="35" t="str">
        <f aca="false">IF($C87="","",IFERROR(INDEX(M_NOME,MATCH($C87,M_ID,0)),"?"))</f>
        <v/>
      </c>
      <c r="J87" s="34" t="n">
        <f aca="false">IF($D87="",0,IFERROR(INDEX(MAP_SINALMOV,MATCH($D87,LST_TIPOMOV,0)),0))</f>
        <v>0</v>
      </c>
      <c r="K87" s="36" t="n">
        <f aca="false">IF($A87="",0,$E87*$J87)</f>
        <v>0</v>
      </c>
      <c r="L87" s="35" t="str">
        <f aca="false">IF($C87="","",IFERROR(INDEX(M_CONTA,MATCH($C87,M_ID,0)),""))</f>
        <v/>
      </c>
      <c r="M87" s="35" t="str">
        <f aca="false">IF($B87="","",IF($E87&lt;=0,"ERRO: valor deve ser maior que zero",IF(COUNTIF(M_ID,$C87)=0,"ERRO: meta inexistente",IF(COUNTIF(LST_TIPOMOV,$D87)=0,"ERRO: tipo de movimento invalido",IF(AND($D87="TRANSF_SAIDA",COUNTIF(M_ID,$G87)=0),"ERRO: informe a meta de destino",IF(AND($J87=-1,$F87=""),"ATENCAO: informe o destino da retirada","OK"))))))</f>
        <v/>
      </c>
    </row>
    <row r="88" customFormat="false" ht="15" hidden="false" customHeight="false" outlineLevel="0" collapsed="false">
      <c r="A88" s="30" t="str">
        <f aca="false">IF($B88="","","MOV-"&amp;TEXT(ROW()-4,"000000"))</f>
        <v/>
      </c>
      <c r="B88" s="31"/>
      <c r="C88" s="32"/>
      <c r="D88" s="32"/>
      <c r="E88" s="33"/>
      <c r="F88" s="32"/>
      <c r="G88" s="32"/>
      <c r="H88" s="32"/>
      <c r="I88" s="35" t="str">
        <f aca="false">IF($C88="","",IFERROR(INDEX(M_NOME,MATCH($C88,M_ID,0)),"?"))</f>
        <v/>
      </c>
      <c r="J88" s="34" t="n">
        <f aca="false">IF($D88="",0,IFERROR(INDEX(MAP_SINALMOV,MATCH($D88,LST_TIPOMOV,0)),0))</f>
        <v>0</v>
      </c>
      <c r="K88" s="36" t="n">
        <f aca="false">IF($A88="",0,$E88*$J88)</f>
        <v>0</v>
      </c>
      <c r="L88" s="35" t="str">
        <f aca="false">IF($C88="","",IFERROR(INDEX(M_CONTA,MATCH($C88,M_ID,0)),""))</f>
        <v/>
      </c>
      <c r="M88" s="35" t="str">
        <f aca="false">IF($B88="","",IF($E88&lt;=0,"ERRO: valor deve ser maior que zero",IF(COUNTIF(M_ID,$C88)=0,"ERRO: meta inexistente",IF(COUNTIF(LST_TIPOMOV,$D88)=0,"ERRO: tipo de movimento invalido",IF(AND($D88="TRANSF_SAIDA",COUNTIF(M_ID,$G88)=0),"ERRO: informe a meta de destino",IF(AND($J88=-1,$F88=""),"ATENCAO: informe o destino da retirada","OK"))))))</f>
        <v/>
      </c>
    </row>
    <row r="89" customFormat="false" ht="15" hidden="false" customHeight="false" outlineLevel="0" collapsed="false">
      <c r="A89" s="30" t="str">
        <f aca="false">IF($B89="","","MOV-"&amp;TEXT(ROW()-4,"000000"))</f>
        <v/>
      </c>
      <c r="B89" s="31"/>
      <c r="C89" s="32"/>
      <c r="D89" s="32"/>
      <c r="E89" s="33"/>
      <c r="F89" s="32"/>
      <c r="G89" s="32"/>
      <c r="H89" s="32"/>
      <c r="I89" s="35" t="str">
        <f aca="false">IF($C89="","",IFERROR(INDEX(M_NOME,MATCH($C89,M_ID,0)),"?"))</f>
        <v/>
      </c>
      <c r="J89" s="34" t="n">
        <f aca="false">IF($D89="",0,IFERROR(INDEX(MAP_SINALMOV,MATCH($D89,LST_TIPOMOV,0)),0))</f>
        <v>0</v>
      </c>
      <c r="K89" s="36" t="n">
        <f aca="false">IF($A89="",0,$E89*$J89)</f>
        <v>0</v>
      </c>
      <c r="L89" s="35" t="str">
        <f aca="false">IF($C89="","",IFERROR(INDEX(M_CONTA,MATCH($C89,M_ID,0)),""))</f>
        <v/>
      </c>
      <c r="M89" s="35" t="str">
        <f aca="false">IF($B89="","",IF($E89&lt;=0,"ERRO: valor deve ser maior que zero",IF(COUNTIF(M_ID,$C89)=0,"ERRO: meta inexistente",IF(COUNTIF(LST_TIPOMOV,$D89)=0,"ERRO: tipo de movimento invalido",IF(AND($D89="TRANSF_SAIDA",COUNTIF(M_ID,$G89)=0),"ERRO: informe a meta de destino",IF(AND($J89=-1,$F89=""),"ATENCAO: informe o destino da retirada","OK"))))))</f>
        <v/>
      </c>
    </row>
    <row r="90" customFormat="false" ht="15" hidden="false" customHeight="false" outlineLevel="0" collapsed="false">
      <c r="A90" s="30" t="str">
        <f aca="false">IF($B90="","","MOV-"&amp;TEXT(ROW()-4,"000000"))</f>
        <v/>
      </c>
      <c r="B90" s="31"/>
      <c r="C90" s="32"/>
      <c r="D90" s="32"/>
      <c r="E90" s="33"/>
      <c r="F90" s="32"/>
      <c r="G90" s="32"/>
      <c r="H90" s="32"/>
      <c r="I90" s="35" t="str">
        <f aca="false">IF($C90="","",IFERROR(INDEX(M_NOME,MATCH($C90,M_ID,0)),"?"))</f>
        <v/>
      </c>
      <c r="J90" s="34" t="n">
        <f aca="false">IF($D90="",0,IFERROR(INDEX(MAP_SINALMOV,MATCH($D90,LST_TIPOMOV,0)),0))</f>
        <v>0</v>
      </c>
      <c r="K90" s="36" t="n">
        <f aca="false">IF($A90="",0,$E90*$J90)</f>
        <v>0</v>
      </c>
      <c r="L90" s="35" t="str">
        <f aca="false">IF($C90="","",IFERROR(INDEX(M_CONTA,MATCH($C90,M_ID,0)),""))</f>
        <v/>
      </c>
      <c r="M90" s="35" t="str">
        <f aca="false">IF($B90="","",IF($E90&lt;=0,"ERRO: valor deve ser maior que zero",IF(COUNTIF(M_ID,$C90)=0,"ERRO: meta inexistente",IF(COUNTIF(LST_TIPOMOV,$D90)=0,"ERRO: tipo de movimento invalido",IF(AND($D90="TRANSF_SAIDA",COUNTIF(M_ID,$G90)=0),"ERRO: informe a meta de destino",IF(AND($J90=-1,$F90=""),"ATENCAO: informe o destino da retirada","OK"))))))</f>
        <v/>
      </c>
    </row>
    <row r="91" customFormat="false" ht="15" hidden="false" customHeight="false" outlineLevel="0" collapsed="false">
      <c r="A91" s="30" t="str">
        <f aca="false">IF($B91="","","MOV-"&amp;TEXT(ROW()-4,"000000"))</f>
        <v/>
      </c>
      <c r="B91" s="31"/>
      <c r="C91" s="32"/>
      <c r="D91" s="32"/>
      <c r="E91" s="33"/>
      <c r="F91" s="32"/>
      <c r="G91" s="32"/>
      <c r="H91" s="32"/>
      <c r="I91" s="35" t="str">
        <f aca="false">IF($C91="","",IFERROR(INDEX(M_NOME,MATCH($C91,M_ID,0)),"?"))</f>
        <v/>
      </c>
      <c r="J91" s="34" t="n">
        <f aca="false">IF($D91="",0,IFERROR(INDEX(MAP_SINALMOV,MATCH($D91,LST_TIPOMOV,0)),0))</f>
        <v>0</v>
      </c>
      <c r="K91" s="36" t="n">
        <f aca="false">IF($A91="",0,$E91*$J91)</f>
        <v>0</v>
      </c>
      <c r="L91" s="35" t="str">
        <f aca="false">IF($C91="","",IFERROR(INDEX(M_CONTA,MATCH($C91,M_ID,0)),""))</f>
        <v/>
      </c>
      <c r="M91" s="35" t="str">
        <f aca="false">IF($B91="","",IF($E91&lt;=0,"ERRO: valor deve ser maior que zero",IF(COUNTIF(M_ID,$C91)=0,"ERRO: meta inexistente",IF(COUNTIF(LST_TIPOMOV,$D91)=0,"ERRO: tipo de movimento invalido",IF(AND($D91="TRANSF_SAIDA",COUNTIF(M_ID,$G91)=0),"ERRO: informe a meta de destino",IF(AND($J91=-1,$F91=""),"ATENCAO: informe o destino da retirada","OK"))))))</f>
        <v/>
      </c>
    </row>
    <row r="92" customFormat="false" ht="15" hidden="false" customHeight="false" outlineLevel="0" collapsed="false">
      <c r="A92" s="30" t="str">
        <f aca="false">IF($B92="","","MOV-"&amp;TEXT(ROW()-4,"000000"))</f>
        <v/>
      </c>
      <c r="B92" s="31"/>
      <c r="C92" s="32"/>
      <c r="D92" s="32"/>
      <c r="E92" s="33"/>
      <c r="F92" s="32"/>
      <c r="G92" s="32"/>
      <c r="H92" s="32"/>
      <c r="I92" s="35" t="str">
        <f aca="false">IF($C92="","",IFERROR(INDEX(M_NOME,MATCH($C92,M_ID,0)),"?"))</f>
        <v/>
      </c>
      <c r="J92" s="34" t="n">
        <f aca="false">IF($D92="",0,IFERROR(INDEX(MAP_SINALMOV,MATCH($D92,LST_TIPOMOV,0)),0))</f>
        <v>0</v>
      </c>
      <c r="K92" s="36" t="n">
        <f aca="false">IF($A92="",0,$E92*$J92)</f>
        <v>0</v>
      </c>
      <c r="L92" s="35" t="str">
        <f aca="false">IF($C92="","",IFERROR(INDEX(M_CONTA,MATCH($C92,M_ID,0)),""))</f>
        <v/>
      </c>
      <c r="M92" s="35" t="str">
        <f aca="false">IF($B92="","",IF($E92&lt;=0,"ERRO: valor deve ser maior que zero",IF(COUNTIF(M_ID,$C92)=0,"ERRO: meta inexistente",IF(COUNTIF(LST_TIPOMOV,$D92)=0,"ERRO: tipo de movimento invalido",IF(AND($D92="TRANSF_SAIDA",COUNTIF(M_ID,$G92)=0),"ERRO: informe a meta de destino",IF(AND($J92=-1,$F92=""),"ATENCAO: informe o destino da retirada","OK"))))))</f>
        <v/>
      </c>
    </row>
    <row r="93" customFormat="false" ht="15" hidden="false" customHeight="false" outlineLevel="0" collapsed="false">
      <c r="A93" s="30" t="str">
        <f aca="false">IF($B93="","","MOV-"&amp;TEXT(ROW()-4,"000000"))</f>
        <v/>
      </c>
      <c r="B93" s="31"/>
      <c r="C93" s="32"/>
      <c r="D93" s="32"/>
      <c r="E93" s="33"/>
      <c r="F93" s="32"/>
      <c r="G93" s="32"/>
      <c r="H93" s="32"/>
      <c r="I93" s="35" t="str">
        <f aca="false">IF($C93="","",IFERROR(INDEX(M_NOME,MATCH($C93,M_ID,0)),"?"))</f>
        <v/>
      </c>
      <c r="J93" s="34" t="n">
        <f aca="false">IF($D93="",0,IFERROR(INDEX(MAP_SINALMOV,MATCH($D93,LST_TIPOMOV,0)),0))</f>
        <v>0</v>
      </c>
      <c r="K93" s="36" t="n">
        <f aca="false">IF($A93="",0,$E93*$J93)</f>
        <v>0</v>
      </c>
      <c r="L93" s="35" t="str">
        <f aca="false">IF($C93="","",IFERROR(INDEX(M_CONTA,MATCH($C93,M_ID,0)),""))</f>
        <v/>
      </c>
      <c r="M93" s="35" t="str">
        <f aca="false">IF($B93="","",IF($E93&lt;=0,"ERRO: valor deve ser maior que zero",IF(COUNTIF(M_ID,$C93)=0,"ERRO: meta inexistente",IF(COUNTIF(LST_TIPOMOV,$D93)=0,"ERRO: tipo de movimento invalido",IF(AND($D93="TRANSF_SAIDA",COUNTIF(M_ID,$G93)=0),"ERRO: informe a meta de destino",IF(AND($J93=-1,$F93=""),"ATENCAO: informe o destino da retirada","OK"))))))</f>
        <v/>
      </c>
    </row>
    <row r="94" customFormat="false" ht="15" hidden="false" customHeight="false" outlineLevel="0" collapsed="false">
      <c r="A94" s="30" t="str">
        <f aca="false">IF($B94="","","MOV-"&amp;TEXT(ROW()-4,"000000"))</f>
        <v/>
      </c>
      <c r="B94" s="31"/>
      <c r="C94" s="32"/>
      <c r="D94" s="32"/>
      <c r="E94" s="33"/>
      <c r="F94" s="32"/>
      <c r="G94" s="32"/>
      <c r="H94" s="32"/>
      <c r="I94" s="35" t="str">
        <f aca="false">IF($C94="","",IFERROR(INDEX(M_NOME,MATCH($C94,M_ID,0)),"?"))</f>
        <v/>
      </c>
      <c r="J94" s="34" t="n">
        <f aca="false">IF($D94="",0,IFERROR(INDEX(MAP_SINALMOV,MATCH($D94,LST_TIPOMOV,0)),0))</f>
        <v>0</v>
      </c>
      <c r="K94" s="36" t="n">
        <f aca="false">IF($A94="",0,$E94*$J94)</f>
        <v>0</v>
      </c>
      <c r="L94" s="35" t="str">
        <f aca="false">IF($C94="","",IFERROR(INDEX(M_CONTA,MATCH($C94,M_ID,0)),""))</f>
        <v/>
      </c>
      <c r="M94" s="35" t="str">
        <f aca="false">IF($B94="","",IF($E94&lt;=0,"ERRO: valor deve ser maior que zero",IF(COUNTIF(M_ID,$C94)=0,"ERRO: meta inexistente",IF(COUNTIF(LST_TIPOMOV,$D94)=0,"ERRO: tipo de movimento invalido",IF(AND($D94="TRANSF_SAIDA",COUNTIF(M_ID,$G94)=0),"ERRO: informe a meta de destino",IF(AND($J94=-1,$F94=""),"ATENCAO: informe o destino da retirada","OK"))))))</f>
        <v/>
      </c>
    </row>
    <row r="95" customFormat="false" ht="15" hidden="false" customHeight="false" outlineLevel="0" collapsed="false">
      <c r="A95" s="30" t="str">
        <f aca="false">IF($B95="","","MOV-"&amp;TEXT(ROW()-4,"000000"))</f>
        <v/>
      </c>
      <c r="B95" s="31"/>
      <c r="C95" s="32"/>
      <c r="D95" s="32"/>
      <c r="E95" s="33"/>
      <c r="F95" s="32"/>
      <c r="G95" s="32"/>
      <c r="H95" s="32"/>
      <c r="I95" s="35" t="str">
        <f aca="false">IF($C95="","",IFERROR(INDEX(M_NOME,MATCH($C95,M_ID,0)),"?"))</f>
        <v/>
      </c>
      <c r="J95" s="34" t="n">
        <f aca="false">IF($D95="",0,IFERROR(INDEX(MAP_SINALMOV,MATCH($D95,LST_TIPOMOV,0)),0))</f>
        <v>0</v>
      </c>
      <c r="K95" s="36" t="n">
        <f aca="false">IF($A95="",0,$E95*$J95)</f>
        <v>0</v>
      </c>
      <c r="L95" s="35" t="str">
        <f aca="false">IF($C95="","",IFERROR(INDEX(M_CONTA,MATCH($C95,M_ID,0)),""))</f>
        <v/>
      </c>
      <c r="M95" s="35" t="str">
        <f aca="false">IF($B95="","",IF($E95&lt;=0,"ERRO: valor deve ser maior que zero",IF(COUNTIF(M_ID,$C95)=0,"ERRO: meta inexistente",IF(COUNTIF(LST_TIPOMOV,$D95)=0,"ERRO: tipo de movimento invalido",IF(AND($D95="TRANSF_SAIDA",COUNTIF(M_ID,$G95)=0),"ERRO: informe a meta de destino",IF(AND($J95=-1,$F95=""),"ATENCAO: informe o destino da retirada","OK"))))))</f>
        <v/>
      </c>
    </row>
    <row r="96" customFormat="false" ht="15" hidden="false" customHeight="false" outlineLevel="0" collapsed="false">
      <c r="A96" s="30" t="str">
        <f aca="false">IF($B96="","","MOV-"&amp;TEXT(ROW()-4,"000000"))</f>
        <v/>
      </c>
      <c r="B96" s="31"/>
      <c r="C96" s="32"/>
      <c r="D96" s="32"/>
      <c r="E96" s="33"/>
      <c r="F96" s="32"/>
      <c r="G96" s="32"/>
      <c r="H96" s="32"/>
      <c r="I96" s="35" t="str">
        <f aca="false">IF($C96="","",IFERROR(INDEX(M_NOME,MATCH($C96,M_ID,0)),"?"))</f>
        <v/>
      </c>
      <c r="J96" s="34" t="n">
        <f aca="false">IF($D96="",0,IFERROR(INDEX(MAP_SINALMOV,MATCH($D96,LST_TIPOMOV,0)),0))</f>
        <v>0</v>
      </c>
      <c r="K96" s="36" t="n">
        <f aca="false">IF($A96="",0,$E96*$J96)</f>
        <v>0</v>
      </c>
      <c r="L96" s="35" t="str">
        <f aca="false">IF($C96="","",IFERROR(INDEX(M_CONTA,MATCH($C96,M_ID,0)),""))</f>
        <v/>
      </c>
      <c r="M96" s="35" t="str">
        <f aca="false">IF($B96="","",IF($E96&lt;=0,"ERRO: valor deve ser maior que zero",IF(COUNTIF(M_ID,$C96)=0,"ERRO: meta inexistente",IF(COUNTIF(LST_TIPOMOV,$D96)=0,"ERRO: tipo de movimento invalido",IF(AND($D96="TRANSF_SAIDA",COUNTIF(M_ID,$G96)=0),"ERRO: informe a meta de destino",IF(AND($J96=-1,$F96=""),"ATENCAO: informe o destino da retirada","OK"))))))</f>
        <v/>
      </c>
    </row>
    <row r="97" customFormat="false" ht="15" hidden="false" customHeight="false" outlineLevel="0" collapsed="false">
      <c r="A97" s="30" t="str">
        <f aca="false">IF($B97="","","MOV-"&amp;TEXT(ROW()-4,"000000"))</f>
        <v/>
      </c>
      <c r="B97" s="31"/>
      <c r="C97" s="32"/>
      <c r="D97" s="32"/>
      <c r="E97" s="33"/>
      <c r="F97" s="32"/>
      <c r="G97" s="32"/>
      <c r="H97" s="32"/>
      <c r="I97" s="35" t="str">
        <f aca="false">IF($C97="","",IFERROR(INDEX(M_NOME,MATCH($C97,M_ID,0)),"?"))</f>
        <v/>
      </c>
      <c r="J97" s="34" t="n">
        <f aca="false">IF($D97="",0,IFERROR(INDEX(MAP_SINALMOV,MATCH($D97,LST_TIPOMOV,0)),0))</f>
        <v>0</v>
      </c>
      <c r="K97" s="36" t="n">
        <f aca="false">IF($A97="",0,$E97*$J97)</f>
        <v>0</v>
      </c>
      <c r="L97" s="35" t="str">
        <f aca="false">IF($C97="","",IFERROR(INDEX(M_CONTA,MATCH($C97,M_ID,0)),""))</f>
        <v/>
      </c>
      <c r="M97" s="35" t="str">
        <f aca="false">IF($B97="","",IF($E97&lt;=0,"ERRO: valor deve ser maior que zero",IF(COUNTIF(M_ID,$C97)=0,"ERRO: meta inexistente",IF(COUNTIF(LST_TIPOMOV,$D97)=0,"ERRO: tipo de movimento invalido",IF(AND($D97="TRANSF_SAIDA",COUNTIF(M_ID,$G97)=0),"ERRO: informe a meta de destino",IF(AND($J97=-1,$F97=""),"ATENCAO: informe o destino da retirada","OK"))))))</f>
        <v/>
      </c>
    </row>
    <row r="98" customFormat="false" ht="15" hidden="false" customHeight="false" outlineLevel="0" collapsed="false">
      <c r="A98" s="30" t="str">
        <f aca="false">IF($B98="","","MOV-"&amp;TEXT(ROW()-4,"000000"))</f>
        <v/>
      </c>
      <c r="B98" s="31"/>
      <c r="C98" s="32"/>
      <c r="D98" s="32"/>
      <c r="E98" s="33"/>
      <c r="F98" s="32"/>
      <c r="G98" s="32"/>
      <c r="H98" s="32"/>
      <c r="I98" s="35" t="str">
        <f aca="false">IF($C98="","",IFERROR(INDEX(M_NOME,MATCH($C98,M_ID,0)),"?"))</f>
        <v/>
      </c>
      <c r="J98" s="34" t="n">
        <f aca="false">IF($D98="",0,IFERROR(INDEX(MAP_SINALMOV,MATCH($D98,LST_TIPOMOV,0)),0))</f>
        <v>0</v>
      </c>
      <c r="K98" s="36" t="n">
        <f aca="false">IF($A98="",0,$E98*$J98)</f>
        <v>0</v>
      </c>
      <c r="L98" s="35" t="str">
        <f aca="false">IF($C98="","",IFERROR(INDEX(M_CONTA,MATCH($C98,M_ID,0)),""))</f>
        <v/>
      </c>
      <c r="M98" s="35" t="str">
        <f aca="false">IF($B98="","",IF($E98&lt;=0,"ERRO: valor deve ser maior que zero",IF(COUNTIF(M_ID,$C98)=0,"ERRO: meta inexistente",IF(COUNTIF(LST_TIPOMOV,$D98)=0,"ERRO: tipo de movimento invalido",IF(AND($D98="TRANSF_SAIDA",COUNTIF(M_ID,$G98)=0),"ERRO: informe a meta de destino",IF(AND($J98=-1,$F98=""),"ATENCAO: informe o destino da retirada","OK"))))))</f>
        <v/>
      </c>
    </row>
    <row r="99" customFormat="false" ht="15" hidden="false" customHeight="false" outlineLevel="0" collapsed="false">
      <c r="A99" s="30" t="str">
        <f aca="false">IF($B99="","","MOV-"&amp;TEXT(ROW()-4,"000000"))</f>
        <v/>
      </c>
      <c r="B99" s="31"/>
      <c r="C99" s="32"/>
      <c r="D99" s="32"/>
      <c r="E99" s="33"/>
      <c r="F99" s="32"/>
      <c r="G99" s="32"/>
      <c r="H99" s="32"/>
      <c r="I99" s="35" t="str">
        <f aca="false">IF($C99="","",IFERROR(INDEX(M_NOME,MATCH($C99,M_ID,0)),"?"))</f>
        <v/>
      </c>
      <c r="J99" s="34" t="n">
        <f aca="false">IF($D99="",0,IFERROR(INDEX(MAP_SINALMOV,MATCH($D99,LST_TIPOMOV,0)),0))</f>
        <v>0</v>
      </c>
      <c r="K99" s="36" t="n">
        <f aca="false">IF($A99="",0,$E99*$J99)</f>
        <v>0</v>
      </c>
      <c r="L99" s="35" t="str">
        <f aca="false">IF($C99="","",IFERROR(INDEX(M_CONTA,MATCH($C99,M_ID,0)),""))</f>
        <v/>
      </c>
      <c r="M99" s="35" t="str">
        <f aca="false">IF($B99="","",IF($E99&lt;=0,"ERRO: valor deve ser maior que zero",IF(COUNTIF(M_ID,$C99)=0,"ERRO: meta inexistente",IF(COUNTIF(LST_TIPOMOV,$D99)=0,"ERRO: tipo de movimento invalido",IF(AND($D99="TRANSF_SAIDA",COUNTIF(M_ID,$G99)=0),"ERRO: informe a meta de destino",IF(AND($J99=-1,$F99=""),"ATENCAO: informe o destino da retirada","OK"))))))</f>
        <v/>
      </c>
    </row>
    <row r="100" customFormat="false" ht="15" hidden="false" customHeight="false" outlineLevel="0" collapsed="false">
      <c r="A100" s="30" t="str">
        <f aca="false">IF($B100="","","MOV-"&amp;TEXT(ROW()-4,"000000"))</f>
        <v/>
      </c>
      <c r="B100" s="31"/>
      <c r="C100" s="32"/>
      <c r="D100" s="32"/>
      <c r="E100" s="33"/>
      <c r="F100" s="32"/>
      <c r="G100" s="32"/>
      <c r="H100" s="32"/>
      <c r="I100" s="35" t="str">
        <f aca="false">IF($C100="","",IFERROR(INDEX(M_NOME,MATCH($C100,M_ID,0)),"?"))</f>
        <v/>
      </c>
      <c r="J100" s="34" t="n">
        <f aca="false">IF($D100="",0,IFERROR(INDEX(MAP_SINALMOV,MATCH($D100,LST_TIPOMOV,0)),0))</f>
        <v>0</v>
      </c>
      <c r="K100" s="36" t="n">
        <f aca="false">IF($A100="",0,$E100*$J100)</f>
        <v>0</v>
      </c>
      <c r="L100" s="35" t="str">
        <f aca="false">IF($C100="","",IFERROR(INDEX(M_CONTA,MATCH($C100,M_ID,0)),""))</f>
        <v/>
      </c>
      <c r="M100" s="35" t="str">
        <f aca="false">IF($B100="","",IF($E100&lt;=0,"ERRO: valor deve ser maior que zero",IF(COUNTIF(M_ID,$C100)=0,"ERRO: meta inexistente",IF(COUNTIF(LST_TIPOMOV,$D100)=0,"ERRO: tipo de movimento invalido",IF(AND($D100="TRANSF_SAIDA",COUNTIF(M_ID,$G100)=0),"ERRO: informe a meta de destino",IF(AND($J100=-1,$F100=""),"ATENCAO: informe o destino da retirada","OK"))))))</f>
        <v/>
      </c>
    </row>
    <row r="101" customFormat="false" ht="15" hidden="false" customHeight="false" outlineLevel="0" collapsed="false">
      <c r="A101" s="30" t="str">
        <f aca="false">IF($B101="","","MOV-"&amp;TEXT(ROW()-4,"000000"))</f>
        <v/>
      </c>
      <c r="B101" s="31"/>
      <c r="C101" s="32"/>
      <c r="D101" s="32"/>
      <c r="E101" s="33"/>
      <c r="F101" s="32"/>
      <c r="G101" s="32"/>
      <c r="H101" s="32"/>
      <c r="I101" s="35" t="str">
        <f aca="false">IF($C101="","",IFERROR(INDEX(M_NOME,MATCH($C101,M_ID,0)),"?"))</f>
        <v/>
      </c>
      <c r="J101" s="34" t="n">
        <f aca="false">IF($D101="",0,IFERROR(INDEX(MAP_SINALMOV,MATCH($D101,LST_TIPOMOV,0)),0))</f>
        <v>0</v>
      </c>
      <c r="K101" s="36" t="n">
        <f aca="false">IF($A101="",0,$E101*$J101)</f>
        <v>0</v>
      </c>
      <c r="L101" s="35" t="str">
        <f aca="false">IF($C101="","",IFERROR(INDEX(M_CONTA,MATCH($C101,M_ID,0)),""))</f>
        <v/>
      </c>
      <c r="M101" s="35" t="str">
        <f aca="false">IF($B101="","",IF($E101&lt;=0,"ERRO: valor deve ser maior que zero",IF(COUNTIF(M_ID,$C101)=0,"ERRO: meta inexistente",IF(COUNTIF(LST_TIPOMOV,$D101)=0,"ERRO: tipo de movimento invalido",IF(AND($D101="TRANSF_SAIDA",COUNTIF(M_ID,$G101)=0),"ERRO: informe a meta de destino",IF(AND($J101=-1,$F101=""),"ATENCAO: informe o destino da retirada","OK"))))))</f>
        <v/>
      </c>
    </row>
    <row r="102" customFormat="false" ht="15" hidden="false" customHeight="false" outlineLevel="0" collapsed="false">
      <c r="A102" s="30" t="str">
        <f aca="false">IF($B102="","","MOV-"&amp;TEXT(ROW()-4,"000000"))</f>
        <v/>
      </c>
      <c r="B102" s="31"/>
      <c r="C102" s="32"/>
      <c r="D102" s="32"/>
      <c r="E102" s="33"/>
      <c r="F102" s="32"/>
      <c r="G102" s="32"/>
      <c r="H102" s="32"/>
      <c r="I102" s="35" t="str">
        <f aca="false">IF($C102="","",IFERROR(INDEX(M_NOME,MATCH($C102,M_ID,0)),"?"))</f>
        <v/>
      </c>
      <c r="J102" s="34" t="n">
        <f aca="false">IF($D102="",0,IFERROR(INDEX(MAP_SINALMOV,MATCH($D102,LST_TIPOMOV,0)),0))</f>
        <v>0</v>
      </c>
      <c r="K102" s="36" t="n">
        <f aca="false">IF($A102="",0,$E102*$J102)</f>
        <v>0</v>
      </c>
      <c r="L102" s="35" t="str">
        <f aca="false">IF($C102="","",IFERROR(INDEX(M_CONTA,MATCH($C102,M_ID,0)),""))</f>
        <v/>
      </c>
      <c r="M102" s="35" t="str">
        <f aca="false">IF($B102="","",IF($E102&lt;=0,"ERRO: valor deve ser maior que zero",IF(COUNTIF(M_ID,$C102)=0,"ERRO: meta inexistente",IF(COUNTIF(LST_TIPOMOV,$D102)=0,"ERRO: tipo de movimento invalido",IF(AND($D102="TRANSF_SAIDA",COUNTIF(M_ID,$G102)=0),"ERRO: informe a meta de destino",IF(AND($J102=-1,$F102=""),"ATENCAO: informe o destino da retirada","OK"))))))</f>
        <v/>
      </c>
    </row>
    <row r="103" customFormat="false" ht="15" hidden="false" customHeight="false" outlineLevel="0" collapsed="false">
      <c r="A103" s="30" t="str">
        <f aca="false">IF($B103="","","MOV-"&amp;TEXT(ROW()-4,"000000"))</f>
        <v/>
      </c>
      <c r="B103" s="31"/>
      <c r="C103" s="32"/>
      <c r="D103" s="32"/>
      <c r="E103" s="33"/>
      <c r="F103" s="32"/>
      <c r="G103" s="32"/>
      <c r="H103" s="32"/>
      <c r="I103" s="35" t="str">
        <f aca="false">IF($C103="","",IFERROR(INDEX(M_NOME,MATCH($C103,M_ID,0)),"?"))</f>
        <v/>
      </c>
      <c r="J103" s="34" t="n">
        <f aca="false">IF($D103="",0,IFERROR(INDEX(MAP_SINALMOV,MATCH($D103,LST_TIPOMOV,0)),0))</f>
        <v>0</v>
      </c>
      <c r="K103" s="36" t="n">
        <f aca="false">IF($A103="",0,$E103*$J103)</f>
        <v>0</v>
      </c>
      <c r="L103" s="35" t="str">
        <f aca="false">IF($C103="","",IFERROR(INDEX(M_CONTA,MATCH($C103,M_ID,0)),""))</f>
        <v/>
      </c>
      <c r="M103" s="35" t="str">
        <f aca="false">IF($B103="","",IF($E103&lt;=0,"ERRO: valor deve ser maior que zero",IF(COUNTIF(M_ID,$C103)=0,"ERRO: meta inexistente",IF(COUNTIF(LST_TIPOMOV,$D103)=0,"ERRO: tipo de movimento invalido",IF(AND($D103="TRANSF_SAIDA",COUNTIF(M_ID,$G103)=0),"ERRO: informe a meta de destino",IF(AND($J103=-1,$F103=""),"ATENCAO: informe o destino da retirada","OK"))))))</f>
        <v/>
      </c>
    </row>
    <row r="104" customFormat="false" ht="15" hidden="false" customHeight="false" outlineLevel="0" collapsed="false">
      <c r="A104" s="30" t="str">
        <f aca="false">IF($B104="","","MOV-"&amp;TEXT(ROW()-4,"000000"))</f>
        <v/>
      </c>
      <c r="B104" s="31"/>
      <c r="C104" s="32"/>
      <c r="D104" s="32"/>
      <c r="E104" s="33"/>
      <c r="F104" s="32"/>
      <c r="G104" s="32"/>
      <c r="H104" s="32"/>
      <c r="I104" s="35" t="str">
        <f aca="false">IF($C104="","",IFERROR(INDEX(M_NOME,MATCH($C104,M_ID,0)),"?"))</f>
        <v/>
      </c>
      <c r="J104" s="34" t="n">
        <f aca="false">IF($D104="",0,IFERROR(INDEX(MAP_SINALMOV,MATCH($D104,LST_TIPOMOV,0)),0))</f>
        <v>0</v>
      </c>
      <c r="K104" s="36" t="n">
        <f aca="false">IF($A104="",0,$E104*$J104)</f>
        <v>0</v>
      </c>
      <c r="L104" s="35" t="str">
        <f aca="false">IF($C104="","",IFERROR(INDEX(M_CONTA,MATCH($C104,M_ID,0)),""))</f>
        <v/>
      </c>
      <c r="M104" s="35" t="str">
        <f aca="false">IF($B104="","",IF($E104&lt;=0,"ERRO: valor deve ser maior que zero",IF(COUNTIF(M_ID,$C104)=0,"ERRO: meta inexistente",IF(COUNTIF(LST_TIPOMOV,$D104)=0,"ERRO: tipo de movimento invalido",IF(AND($D104="TRANSF_SAIDA",COUNTIF(M_ID,$G104)=0),"ERRO: informe a meta de destino",IF(AND($J104=-1,$F104=""),"ATENCAO: informe o destino da retirada","OK"))))))</f>
        <v/>
      </c>
    </row>
    <row r="105" customFormat="false" ht="15" hidden="false" customHeight="false" outlineLevel="0" collapsed="false">
      <c r="A105" s="30" t="str">
        <f aca="false">IF($B105="","","MOV-"&amp;TEXT(ROW()-4,"000000"))</f>
        <v/>
      </c>
      <c r="B105" s="31"/>
      <c r="C105" s="32"/>
      <c r="D105" s="32"/>
      <c r="E105" s="33"/>
      <c r="F105" s="32"/>
      <c r="G105" s="32"/>
      <c r="H105" s="32"/>
      <c r="I105" s="35" t="str">
        <f aca="false">IF($C105="","",IFERROR(INDEX(M_NOME,MATCH($C105,M_ID,0)),"?"))</f>
        <v/>
      </c>
      <c r="J105" s="34" t="n">
        <f aca="false">IF($D105="",0,IFERROR(INDEX(MAP_SINALMOV,MATCH($D105,LST_TIPOMOV,0)),0))</f>
        <v>0</v>
      </c>
      <c r="K105" s="36" t="n">
        <f aca="false">IF($A105="",0,$E105*$J105)</f>
        <v>0</v>
      </c>
      <c r="L105" s="35" t="str">
        <f aca="false">IF($C105="","",IFERROR(INDEX(M_CONTA,MATCH($C105,M_ID,0)),""))</f>
        <v/>
      </c>
      <c r="M105" s="35" t="str">
        <f aca="false">IF($B105="","",IF($E105&lt;=0,"ERRO: valor deve ser maior que zero",IF(COUNTIF(M_ID,$C105)=0,"ERRO: meta inexistente",IF(COUNTIF(LST_TIPOMOV,$D105)=0,"ERRO: tipo de movimento invalido",IF(AND($D105="TRANSF_SAIDA",COUNTIF(M_ID,$G105)=0),"ERRO: informe a meta de destino",IF(AND($J105=-1,$F105=""),"ATENCAO: informe o destino da retirada","OK"))))))</f>
        <v/>
      </c>
    </row>
    <row r="106" customFormat="false" ht="15" hidden="false" customHeight="false" outlineLevel="0" collapsed="false">
      <c r="A106" s="30" t="str">
        <f aca="false">IF($B106="","","MOV-"&amp;TEXT(ROW()-4,"000000"))</f>
        <v/>
      </c>
      <c r="B106" s="31"/>
      <c r="C106" s="32"/>
      <c r="D106" s="32"/>
      <c r="E106" s="33"/>
      <c r="F106" s="32"/>
      <c r="G106" s="32"/>
      <c r="H106" s="32"/>
      <c r="I106" s="35" t="str">
        <f aca="false">IF($C106="","",IFERROR(INDEX(M_NOME,MATCH($C106,M_ID,0)),"?"))</f>
        <v/>
      </c>
      <c r="J106" s="34" t="n">
        <f aca="false">IF($D106="",0,IFERROR(INDEX(MAP_SINALMOV,MATCH($D106,LST_TIPOMOV,0)),0))</f>
        <v>0</v>
      </c>
      <c r="K106" s="36" t="n">
        <f aca="false">IF($A106="",0,$E106*$J106)</f>
        <v>0</v>
      </c>
      <c r="L106" s="35" t="str">
        <f aca="false">IF($C106="","",IFERROR(INDEX(M_CONTA,MATCH($C106,M_ID,0)),""))</f>
        <v/>
      </c>
      <c r="M106" s="35" t="str">
        <f aca="false">IF($B106="","",IF($E106&lt;=0,"ERRO: valor deve ser maior que zero",IF(COUNTIF(M_ID,$C106)=0,"ERRO: meta inexistente",IF(COUNTIF(LST_TIPOMOV,$D106)=0,"ERRO: tipo de movimento invalido",IF(AND($D106="TRANSF_SAIDA",COUNTIF(M_ID,$G106)=0),"ERRO: informe a meta de destino",IF(AND($J106=-1,$F106=""),"ATENCAO: informe o destino da retirada","OK"))))))</f>
        <v/>
      </c>
    </row>
    <row r="107" customFormat="false" ht="15" hidden="false" customHeight="false" outlineLevel="0" collapsed="false">
      <c r="A107" s="30" t="str">
        <f aca="false">IF($B107="","","MOV-"&amp;TEXT(ROW()-4,"000000"))</f>
        <v/>
      </c>
      <c r="B107" s="31"/>
      <c r="C107" s="32"/>
      <c r="D107" s="32"/>
      <c r="E107" s="33"/>
      <c r="F107" s="32"/>
      <c r="G107" s="32"/>
      <c r="H107" s="32"/>
      <c r="I107" s="35" t="str">
        <f aca="false">IF($C107="","",IFERROR(INDEX(M_NOME,MATCH($C107,M_ID,0)),"?"))</f>
        <v/>
      </c>
      <c r="J107" s="34" t="n">
        <f aca="false">IF($D107="",0,IFERROR(INDEX(MAP_SINALMOV,MATCH($D107,LST_TIPOMOV,0)),0))</f>
        <v>0</v>
      </c>
      <c r="K107" s="36" t="n">
        <f aca="false">IF($A107="",0,$E107*$J107)</f>
        <v>0</v>
      </c>
      <c r="L107" s="35" t="str">
        <f aca="false">IF($C107="","",IFERROR(INDEX(M_CONTA,MATCH($C107,M_ID,0)),""))</f>
        <v/>
      </c>
      <c r="M107" s="35" t="str">
        <f aca="false">IF($B107="","",IF($E107&lt;=0,"ERRO: valor deve ser maior que zero",IF(COUNTIF(M_ID,$C107)=0,"ERRO: meta inexistente",IF(COUNTIF(LST_TIPOMOV,$D107)=0,"ERRO: tipo de movimento invalido",IF(AND($D107="TRANSF_SAIDA",COUNTIF(M_ID,$G107)=0),"ERRO: informe a meta de destino",IF(AND($J107=-1,$F107=""),"ATENCAO: informe o destino da retirada","OK"))))))</f>
        <v/>
      </c>
    </row>
    <row r="108" customFormat="false" ht="15" hidden="false" customHeight="false" outlineLevel="0" collapsed="false">
      <c r="A108" s="30" t="str">
        <f aca="false">IF($B108="","","MOV-"&amp;TEXT(ROW()-4,"000000"))</f>
        <v/>
      </c>
      <c r="B108" s="31"/>
      <c r="C108" s="32"/>
      <c r="D108" s="32"/>
      <c r="E108" s="33"/>
      <c r="F108" s="32"/>
      <c r="G108" s="32"/>
      <c r="H108" s="32"/>
      <c r="I108" s="35" t="str">
        <f aca="false">IF($C108="","",IFERROR(INDEX(M_NOME,MATCH($C108,M_ID,0)),"?"))</f>
        <v/>
      </c>
      <c r="J108" s="34" t="n">
        <f aca="false">IF($D108="",0,IFERROR(INDEX(MAP_SINALMOV,MATCH($D108,LST_TIPOMOV,0)),0))</f>
        <v>0</v>
      </c>
      <c r="K108" s="36" t="n">
        <f aca="false">IF($A108="",0,$E108*$J108)</f>
        <v>0</v>
      </c>
      <c r="L108" s="35" t="str">
        <f aca="false">IF($C108="","",IFERROR(INDEX(M_CONTA,MATCH($C108,M_ID,0)),""))</f>
        <v/>
      </c>
      <c r="M108" s="35" t="str">
        <f aca="false">IF($B108="","",IF($E108&lt;=0,"ERRO: valor deve ser maior que zero",IF(COUNTIF(M_ID,$C108)=0,"ERRO: meta inexistente",IF(COUNTIF(LST_TIPOMOV,$D108)=0,"ERRO: tipo de movimento invalido",IF(AND($D108="TRANSF_SAIDA",COUNTIF(M_ID,$G108)=0),"ERRO: informe a meta de destino",IF(AND($J108=-1,$F108=""),"ATENCAO: informe o destino da retirada","OK"))))))</f>
        <v/>
      </c>
    </row>
    <row r="109" customFormat="false" ht="15" hidden="false" customHeight="false" outlineLevel="0" collapsed="false">
      <c r="A109" s="30" t="str">
        <f aca="false">IF($B109="","","MOV-"&amp;TEXT(ROW()-4,"000000"))</f>
        <v/>
      </c>
      <c r="B109" s="31"/>
      <c r="C109" s="32"/>
      <c r="D109" s="32"/>
      <c r="E109" s="33"/>
      <c r="F109" s="32"/>
      <c r="G109" s="32"/>
      <c r="H109" s="32"/>
      <c r="I109" s="35" t="str">
        <f aca="false">IF($C109="","",IFERROR(INDEX(M_NOME,MATCH($C109,M_ID,0)),"?"))</f>
        <v/>
      </c>
      <c r="J109" s="34" t="n">
        <f aca="false">IF($D109="",0,IFERROR(INDEX(MAP_SINALMOV,MATCH($D109,LST_TIPOMOV,0)),0))</f>
        <v>0</v>
      </c>
      <c r="K109" s="36" t="n">
        <f aca="false">IF($A109="",0,$E109*$J109)</f>
        <v>0</v>
      </c>
      <c r="L109" s="35" t="str">
        <f aca="false">IF($C109="","",IFERROR(INDEX(M_CONTA,MATCH($C109,M_ID,0)),""))</f>
        <v/>
      </c>
      <c r="M109" s="35" t="str">
        <f aca="false">IF($B109="","",IF($E109&lt;=0,"ERRO: valor deve ser maior que zero",IF(COUNTIF(M_ID,$C109)=0,"ERRO: meta inexistente",IF(COUNTIF(LST_TIPOMOV,$D109)=0,"ERRO: tipo de movimento invalido",IF(AND($D109="TRANSF_SAIDA",COUNTIF(M_ID,$G109)=0),"ERRO: informe a meta de destino",IF(AND($J109=-1,$F109=""),"ATENCAO: informe o destino da retirada","OK"))))))</f>
        <v/>
      </c>
    </row>
    <row r="110" customFormat="false" ht="15" hidden="false" customHeight="false" outlineLevel="0" collapsed="false">
      <c r="A110" s="30" t="str">
        <f aca="false">IF($B110="","","MOV-"&amp;TEXT(ROW()-4,"000000"))</f>
        <v/>
      </c>
      <c r="B110" s="31"/>
      <c r="C110" s="32"/>
      <c r="D110" s="32"/>
      <c r="E110" s="33"/>
      <c r="F110" s="32"/>
      <c r="G110" s="32"/>
      <c r="H110" s="32"/>
      <c r="I110" s="35" t="str">
        <f aca="false">IF($C110="","",IFERROR(INDEX(M_NOME,MATCH($C110,M_ID,0)),"?"))</f>
        <v/>
      </c>
      <c r="J110" s="34" t="n">
        <f aca="false">IF($D110="",0,IFERROR(INDEX(MAP_SINALMOV,MATCH($D110,LST_TIPOMOV,0)),0))</f>
        <v>0</v>
      </c>
      <c r="K110" s="36" t="n">
        <f aca="false">IF($A110="",0,$E110*$J110)</f>
        <v>0</v>
      </c>
      <c r="L110" s="35" t="str">
        <f aca="false">IF($C110="","",IFERROR(INDEX(M_CONTA,MATCH($C110,M_ID,0)),""))</f>
        <v/>
      </c>
      <c r="M110" s="35" t="str">
        <f aca="false">IF($B110="","",IF($E110&lt;=0,"ERRO: valor deve ser maior que zero",IF(COUNTIF(M_ID,$C110)=0,"ERRO: meta inexistente",IF(COUNTIF(LST_TIPOMOV,$D110)=0,"ERRO: tipo de movimento invalido",IF(AND($D110="TRANSF_SAIDA",COUNTIF(M_ID,$G110)=0),"ERRO: informe a meta de destino",IF(AND($J110=-1,$F110=""),"ATENCAO: informe o destino da retirada","OK"))))))</f>
        <v/>
      </c>
    </row>
    <row r="111" customFormat="false" ht="15" hidden="false" customHeight="false" outlineLevel="0" collapsed="false">
      <c r="A111" s="30" t="str">
        <f aca="false">IF($B111="","","MOV-"&amp;TEXT(ROW()-4,"000000"))</f>
        <v/>
      </c>
      <c r="B111" s="31"/>
      <c r="C111" s="32"/>
      <c r="D111" s="32"/>
      <c r="E111" s="33"/>
      <c r="F111" s="32"/>
      <c r="G111" s="32"/>
      <c r="H111" s="32"/>
      <c r="I111" s="35" t="str">
        <f aca="false">IF($C111="","",IFERROR(INDEX(M_NOME,MATCH($C111,M_ID,0)),"?"))</f>
        <v/>
      </c>
      <c r="J111" s="34" t="n">
        <f aca="false">IF($D111="",0,IFERROR(INDEX(MAP_SINALMOV,MATCH($D111,LST_TIPOMOV,0)),0))</f>
        <v>0</v>
      </c>
      <c r="K111" s="36" t="n">
        <f aca="false">IF($A111="",0,$E111*$J111)</f>
        <v>0</v>
      </c>
      <c r="L111" s="35" t="str">
        <f aca="false">IF($C111="","",IFERROR(INDEX(M_CONTA,MATCH($C111,M_ID,0)),""))</f>
        <v/>
      </c>
      <c r="M111" s="35" t="str">
        <f aca="false">IF($B111="","",IF($E111&lt;=0,"ERRO: valor deve ser maior que zero",IF(COUNTIF(M_ID,$C111)=0,"ERRO: meta inexistente",IF(COUNTIF(LST_TIPOMOV,$D111)=0,"ERRO: tipo de movimento invalido",IF(AND($D111="TRANSF_SAIDA",COUNTIF(M_ID,$G111)=0),"ERRO: informe a meta de destino",IF(AND($J111=-1,$F111=""),"ATENCAO: informe o destino da retirada","OK"))))))</f>
        <v/>
      </c>
    </row>
    <row r="112" customFormat="false" ht="15" hidden="false" customHeight="false" outlineLevel="0" collapsed="false">
      <c r="A112" s="30" t="str">
        <f aca="false">IF($B112="","","MOV-"&amp;TEXT(ROW()-4,"000000"))</f>
        <v/>
      </c>
      <c r="B112" s="31"/>
      <c r="C112" s="32"/>
      <c r="D112" s="32"/>
      <c r="E112" s="33"/>
      <c r="F112" s="32"/>
      <c r="G112" s="32"/>
      <c r="H112" s="32"/>
      <c r="I112" s="35" t="str">
        <f aca="false">IF($C112="","",IFERROR(INDEX(M_NOME,MATCH($C112,M_ID,0)),"?"))</f>
        <v/>
      </c>
      <c r="J112" s="34" t="n">
        <f aca="false">IF($D112="",0,IFERROR(INDEX(MAP_SINALMOV,MATCH($D112,LST_TIPOMOV,0)),0))</f>
        <v>0</v>
      </c>
      <c r="K112" s="36" t="n">
        <f aca="false">IF($A112="",0,$E112*$J112)</f>
        <v>0</v>
      </c>
      <c r="L112" s="35" t="str">
        <f aca="false">IF($C112="","",IFERROR(INDEX(M_CONTA,MATCH($C112,M_ID,0)),""))</f>
        <v/>
      </c>
      <c r="M112" s="35" t="str">
        <f aca="false">IF($B112="","",IF($E112&lt;=0,"ERRO: valor deve ser maior que zero",IF(COUNTIF(M_ID,$C112)=0,"ERRO: meta inexistente",IF(COUNTIF(LST_TIPOMOV,$D112)=0,"ERRO: tipo de movimento invalido",IF(AND($D112="TRANSF_SAIDA",COUNTIF(M_ID,$G112)=0),"ERRO: informe a meta de destino",IF(AND($J112=-1,$F112=""),"ATENCAO: informe o destino da retirada","OK"))))))</f>
        <v/>
      </c>
    </row>
    <row r="113" customFormat="false" ht="15" hidden="false" customHeight="false" outlineLevel="0" collapsed="false">
      <c r="A113" s="30" t="str">
        <f aca="false">IF($B113="","","MOV-"&amp;TEXT(ROW()-4,"000000"))</f>
        <v/>
      </c>
      <c r="B113" s="31"/>
      <c r="C113" s="32"/>
      <c r="D113" s="32"/>
      <c r="E113" s="33"/>
      <c r="F113" s="32"/>
      <c r="G113" s="32"/>
      <c r="H113" s="32"/>
      <c r="I113" s="35" t="str">
        <f aca="false">IF($C113="","",IFERROR(INDEX(M_NOME,MATCH($C113,M_ID,0)),"?"))</f>
        <v/>
      </c>
      <c r="J113" s="34" t="n">
        <f aca="false">IF($D113="",0,IFERROR(INDEX(MAP_SINALMOV,MATCH($D113,LST_TIPOMOV,0)),0))</f>
        <v>0</v>
      </c>
      <c r="K113" s="36" t="n">
        <f aca="false">IF($A113="",0,$E113*$J113)</f>
        <v>0</v>
      </c>
      <c r="L113" s="35" t="str">
        <f aca="false">IF($C113="","",IFERROR(INDEX(M_CONTA,MATCH($C113,M_ID,0)),""))</f>
        <v/>
      </c>
      <c r="M113" s="35" t="str">
        <f aca="false">IF($B113="","",IF($E113&lt;=0,"ERRO: valor deve ser maior que zero",IF(COUNTIF(M_ID,$C113)=0,"ERRO: meta inexistente",IF(COUNTIF(LST_TIPOMOV,$D113)=0,"ERRO: tipo de movimento invalido",IF(AND($D113="TRANSF_SAIDA",COUNTIF(M_ID,$G113)=0),"ERRO: informe a meta de destino",IF(AND($J113=-1,$F113=""),"ATENCAO: informe o destino da retirada","OK"))))))</f>
        <v/>
      </c>
    </row>
    <row r="114" customFormat="false" ht="15" hidden="false" customHeight="false" outlineLevel="0" collapsed="false">
      <c r="A114" s="30" t="str">
        <f aca="false">IF($B114="","","MOV-"&amp;TEXT(ROW()-4,"000000"))</f>
        <v/>
      </c>
      <c r="B114" s="31"/>
      <c r="C114" s="32"/>
      <c r="D114" s="32"/>
      <c r="E114" s="33"/>
      <c r="F114" s="32"/>
      <c r="G114" s="32"/>
      <c r="H114" s="32"/>
      <c r="I114" s="35" t="str">
        <f aca="false">IF($C114="","",IFERROR(INDEX(M_NOME,MATCH($C114,M_ID,0)),"?"))</f>
        <v/>
      </c>
      <c r="J114" s="34" t="n">
        <f aca="false">IF($D114="",0,IFERROR(INDEX(MAP_SINALMOV,MATCH($D114,LST_TIPOMOV,0)),0))</f>
        <v>0</v>
      </c>
      <c r="K114" s="36" t="n">
        <f aca="false">IF($A114="",0,$E114*$J114)</f>
        <v>0</v>
      </c>
      <c r="L114" s="35" t="str">
        <f aca="false">IF($C114="","",IFERROR(INDEX(M_CONTA,MATCH($C114,M_ID,0)),""))</f>
        <v/>
      </c>
      <c r="M114" s="35" t="str">
        <f aca="false">IF($B114="","",IF($E114&lt;=0,"ERRO: valor deve ser maior que zero",IF(COUNTIF(M_ID,$C114)=0,"ERRO: meta inexistente",IF(COUNTIF(LST_TIPOMOV,$D114)=0,"ERRO: tipo de movimento invalido",IF(AND($D114="TRANSF_SAIDA",COUNTIF(M_ID,$G114)=0),"ERRO: informe a meta de destino",IF(AND($J114=-1,$F114=""),"ATENCAO: informe o destino da retirada","OK"))))))</f>
        <v/>
      </c>
    </row>
    <row r="115" customFormat="false" ht="15" hidden="false" customHeight="false" outlineLevel="0" collapsed="false">
      <c r="A115" s="30" t="str">
        <f aca="false">IF($B115="","","MOV-"&amp;TEXT(ROW()-4,"000000"))</f>
        <v/>
      </c>
      <c r="B115" s="31"/>
      <c r="C115" s="32"/>
      <c r="D115" s="32"/>
      <c r="E115" s="33"/>
      <c r="F115" s="32"/>
      <c r="G115" s="32"/>
      <c r="H115" s="32"/>
      <c r="I115" s="35" t="str">
        <f aca="false">IF($C115="","",IFERROR(INDEX(M_NOME,MATCH($C115,M_ID,0)),"?"))</f>
        <v/>
      </c>
      <c r="J115" s="34" t="n">
        <f aca="false">IF($D115="",0,IFERROR(INDEX(MAP_SINALMOV,MATCH($D115,LST_TIPOMOV,0)),0))</f>
        <v>0</v>
      </c>
      <c r="K115" s="36" t="n">
        <f aca="false">IF($A115="",0,$E115*$J115)</f>
        <v>0</v>
      </c>
      <c r="L115" s="35" t="str">
        <f aca="false">IF($C115="","",IFERROR(INDEX(M_CONTA,MATCH($C115,M_ID,0)),""))</f>
        <v/>
      </c>
      <c r="M115" s="35" t="str">
        <f aca="false">IF($B115="","",IF($E115&lt;=0,"ERRO: valor deve ser maior que zero",IF(COUNTIF(M_ID,$C115)=0,"ERRO: meta inexistente",IF(COUNTIF(LST_TIPOMOV,$D115)=0,"ERRO: tipo de movimento invalido",IF(AND($D115="TRANSF_SAIDA",COUNTIF(M_ID,$G115)=0),"ERRO: informe a meta de destino",IF(AND($J115=-1,$F115=""),"ATENCAO: informe o destino da retirada","OK"))))))</f>
        <v/>
      </c>
    </row>
    <row r="116" customFormat="false" ht="15" hidden="false" customHeight="false" outlineLevel="0" collapsed="false">
      <c r="A116" s="30" t="str">
        <f aca="false">IF($B116="","","MOV-"&amp;TEXT(ROW()-4,"000000"))</f>
        <v/>
      </c>
      <c r="B116" s="31"/>
      <c r="C116" s="32"/>
      <c r="D116" s="32"/>
      <c r="E116" s="33"/>
      <c r="F116" s="32"/>
      <c r="G116" s="32"/>
      <c r="H116" s="32"/>
      <c r="I116" s="35" t="str">
        <f aca="false">IF($C116="","",IFERROR(INDEX(M_NOME,MATCH($C116,M_ID,0)),"?"))</f>
        <v/>
      </c>
      <c r="J116" s="34" t="n">
        <f aca="false">IF($D116="",0,IFERROR(INDEX(MAP_SINALMOV,MATCH($D116,LST_TIPOMOV,0)),0))</f>
        <v>0</v>
      </c>
      <c r="K116" s="36" t="n">
        <f aca="false">IF($A116="",0,$E116*$J116)</f>
        <v>0</v>
      </c>
      <c r="L116" s="35" t="str">
        <f aca="false">IF($C116="","",IFERROR(INDEX(M_CONTA,MATCH($C116,M_ID,0)),""))</f>
        <v/>
      </c>
      <c r="M116" s="35" t="str">
        <f aca="false">IF($B116="","",IF($E116&lt;=0,"ERRO: valor deve ser maior que zero",IF(COUNTIF(M_ID,$C116)=0,"ERRO: meta inexistente",IF(COUNTIF(LST_TIPOMOV,$D116)=0,"ERRO: tipo de movimento invalido",IF(AND($D116="TRANSF_SAIDA",COUNTIF(M_ID,$G116)=0),"ERRO: informe a meta de destino",IF(AND($J116=-1,$F116=""),"ATENCAO: informe o destino da retirada","OK"))))))</f>
        <v/>
      </c>
    </row>
    <row r="117" customFormat="false" ht="15" hidden="false" customHeight="false" outlineLevel="0" collapsed="false">
      <c r="A117" s="30" t="str">
        <f aca="false">IF($B117="","","MOV-"&amp;TEXT(ROW()-4,"000000"))</f>
        <v/>
      </c>
      <c r="B117" s="31"/>
      <c r="C117" s="32"/>
      <c r="D117" s="32"/>
      <c r="E117" s="33"/>
      <c r="F117" s="32"/>
      <c r="G117" s="32"/>
      <c r="H117" s="32"/>
      <c r="I117" s="35" t="str">
        <f aca="false">IF($C117="","",IFERROR(INDEX(M_NOME,MATCH($C117,M_ID,0)),"?"))</f>
        <v/>
      </c>
      <c r="J117" s="34" t="n">
        <f aca="false">IF($D117="",0,IFERROR(INDEX(MAP_SINALMOV,MATCH($D117,LST_TIPOMOV,0)),0))</f>
        <v>0</v>
      </c>
      <c r="K117" s="36" t="n">
        <f aca="false">IF($A117="",0,$E117*$J117)</f>
        <v>0</v>
      </c>
      <c r="L117" s="35" t="str">
        <f aca="false">IF($C117="","",IFERROR(INDEX(M_CONTA,MATCH($C117,M_ID,0)),""))</f>
        <v/>
      </c>
      <c r="M117" s="35" t="str">
        <f aca="false">IF($B117="","",IF($E117&lt;=0,"ERRO: valor deve ser maior que zero",IF(COUNTIF(M_ID,$C117)=0,"ERRO: meta inexistente",IF(COUNTIF(LST_TIPOMOV,$D117)=0,"ERRO: tipo de movimento invalido",IF(AND($D117="TRANSF_SAIDA",COUNTIF(M_ID,$G117)=0),"ERRO: informe a meta de destino",IF(AND($J117=-1,$F117=""),"ATENCAO: informe o destino da retirada","OK"))))))</f>
        <v/>
      </c>
    </row>
    <row r="118" customFormat="false" ht="15" hidden="false" customHeight="false" outlineLevel="0" collapsed="false">
      <c r="A118" s="30" t="str">
        <f aca="false">IF($B118="","","MOV-"&amp;TEXT(ROW()-4,"000000"))</f>
        <v/>
      </c>
      <c r="B118" s="31"/>
      <c r="C118" s="32"/>
      <c r="D118" s="32"/>
      <c r="E118" s="33"/>
      <c r="F118" s="32"/>
      <c r="G118" s="32"/>
      <c r="H118" s="32"/>
      <c r="I118" s="35" t="str">
        <f aca="false">IF($C118="","",IFERROR(INDEX(M_NOME,MATCH($C118,M_ID,0)),"?"))</f>
        <v/>
      </c>
      <c r="J118" s="34" t="n">
        <f aca="false">IF($D118="",0,IFERROR(INDEX(MAP_SINALMOV,MATCH($D118,LST_TIPOMOV,0)),0))</f>
        <v>0</v>
      </c>
      <c r="K118" s="36" t="n">
        <f aca="false">IF($A118="",0,$E118*$J118)</f>
        <v>0</v>
      </c>
      <c r="L118" s="35" t="str">
        <f aca="false">IF($C118="","",IFERROR(INDEX(M_CONTA,MATCH($C118,M_ID,0)),""))</f>
        <v/>
      </c>
      <c r="M118" s="35" t="str">
        <f aca="false">IF($B118="","",IF($E118&lt;=0,"ERRO: valor deve ser maior que zero",IF(COUNTIF(M_ID,$C118)=0,"ERRO: meta inexistente",IF(COUNTIF(LST_TIPOMOV,$D118)=0,"ERRO: tipo de movimento invalido",IF(AND($D118="TRANSF_SAIDA",COUNTIF(M_ID,$G118)=0),"ERRO: informe a meta de destino",IF(AND($J118=-1,$F118=""),"ATENCAO: informe o destino da retirada","OK"))))))</f>
        <v/>
      </c>
    </row>
    <row r="119" customFormat="false" ht="15" hidden="false" customHeight="false" outlineLevel="0" collapsed="false">
      <c r="A119" s="30" t="str">
        <f aca="false">IF($B119="","","MOV-"&amp;TEXT(ROW()-4,"000000"))</f>
        <v/>
      </c>
      <c r="B119" s="31"/>
      <c r="C119" s="32"/>
      <c r="D119" s="32"/>
      <c r="E119" s="33"/>
      <c r="F119" s="32"/>
      <c r="G119" s="32"/>
      <c r="H119" s="32"/>
      <c r="I119" s="35" t="str">
        <f aca="false">IF($C119="","",IFERROR(INDEX(M_NOME,MATCH($C119,M_ID,0)),"?"))</f>
        <v/>
      </c>
      <c r="J119" s="34" t="n">
        <f aca="false">IF($D119="",0,IFERROR(INDEX(MAP_SINALMOV,MATCH($D119,LST_TIPOMOV,0)),0))</f>
        <v>0</v>
      </c>
      <c r="K119" s="36" t="n">
        <f aca="false">IF($A119="",0,$E119*$J119)</f>
        <v>0</v>
      </c>
      <c r="L119" s="35" t="str">
        <f aca="false">IF($C119="","",IFERROR(INDEX(M_CONTA,MATCH($C119,M_ID,0)),""))</f>
        <v/>
      </c>
      <c r="M119" s="35" t="str">
        <f aca="false">IF($B119="","",IF($E119&lt;=0,"ERRO: valor deve ser maior que zero",IF(COUNTIF(M_ID,$C119)=0,"ERRO: meta inexistente",IF(COUNTIF(LST_TIPOMOV,$D119)=0,"ERRO: tipo de movimento invalido",IF(AND($D119="TRANSF_SAIDA",COUNTIF(M_ID,$G119)=0),"ERRO: informe a meta de destino",IF(AND($J119=-1,$F119=""),"ATENCAO: informe o destino da retirada","OK"))))))</f>
        <v/>
      </c>
    </row>
    <row r="120" customFormat="false" ht="15" hidden="false" customHeight="false" outlineLevel="0" collapsed="false">
      <c r="A120" s="30" t="str">
        <f aca="false">IF($B120="","","MOV-"&amp;TEXT(ROW()-4,"000000"))</f>
        <v/>
      </c>
      <c r="B120" s="31"/>
      <c r="C120" s="32"/>
      <c r="D120" s="32"/>
      <c r="E120" s="33"/>
      <c r="F120" s="32"/>
      <c r="G120" s="32"/>
      <c r="H120" s="32"/>
      <c r="I120" s="35" t="str">
        <f aca="false">IF($C120="","",IFERROR(INDEX(M_NOME,MATCH($C120,M_ID,0)),"?"))</f>
        <v/>
      </c>
      <c r="J120" s="34" t="n">
        <f aca="false">IF($D120="",0,IFERROR(INDEX(MAP_SINALMOV,MATCH($D120,LST_TIPOMOV,0)),0))</f>
        <v>0</v>
      </c>
      <c r="K120" s="36" t="n">
        <f aca="false">IF($A120="",0,$E120*$J120)</f>
        <v>0</v>
      </c>
      <c r="L120" s="35" t="str">
        <f aca="false">IF($C120="","",IFERROR(INDEX(M_CONTA,MATCH($C120,M_ID,0)),""))</f>
        <v/>
      </c>
      <c r="M120" s="35" t="str">
        <f aca="false">IF($B120="","",IF($E120&lt;=0,"ERRO: valor deve ser maior que zero",IF(COUNTIF(M_ID,$C120)=0,"ERRO: meta inexistente",IF(COUNTIF(LST_TIPOMOV,$D120)=0,"ERRO: tipo de movimento invalido",IF(AND($D120="TRANSF_SAIDA",COUNTIF(M_ID,$G120)=0),"ERRO: informe a meta de destino",IF(AND($J120=-1,$F120=""),"ATENCAO: informe o destino da retirada","OK"))))))</f>
        <v/>
      </c>
    </row>
    <row r="121" customFormat="false" ht="15" hidden="false" customHeight="false" outlineLevel="0" collapsed="false">
      <c r="A121" s="30" t="str">
        <f aca="false">IF($B121="","","MOV-"&amp;TEXT(ROW()-4,"000000"))</f>
        <v/>
      </c>
      <c r="B121" s="31"/>
      <c r="C121" s="32"/>
      <c r="D121" s="32"/>
      <c r="E121" s="33"/>
      <c r="F121" s="32"/>
      <c r="G121" s="32"/>
      <c r="H121" s="32"/>
      <c r="I121" s="35" t="str">
        <f aca="false">IF($C121="","",IFERROR(INDEX(M_NOME,MATCH($C121,M_ID,0)),"?"))</f>
        <v/>
      </c>
      <c r="J121" s="34" t="n">
        <f aca="false">IF($D121="",0,IFERROR(INDEX(MAP_SINALMOV,MATCH($D121,LST_TIPOMOV,0)),0))</f>
        <v>0</v>
      </c>
      <c r="K121" s="36" t="n">
        <f aca="false">IF($A121="",0,$E121*$J121)</f>
        <v>0</v>
      </c>
      <c r="L121" s="35" t="str">
        <f aca="false">IF($C121="","",IFERROR(INDEX(M_CONTA,MATCH($C121,M_ID,0)),""))</f>
        <v/>
      </c>
      <c r="M121" s="35" t="str">
        <f aca="false">IF($B121="","",IF($E121&lt;=0,"ERRO: valor deve ser maior que zero",IF(COUNTIF(M_ID,$C121)=0,"ERRO: meta inexistente",IF(COUNTIF(LST_TIPOMOV,$D121)=0,"ERRO: tipo de movimento invalido",IF(AND($D121="TRANSF_SAIDA",COUNTIF(M_ID,$G121)=0),"ERRO: informe a meta de destino",IF(AND($J121=-1,$F121=""),"ATENCAO: informe o destino da retirada","OK"))))))</f>
        <v/>
      </c>
    </row>
    <row r="122" customFormat="false" ht="15" hidden="false" customHeight="false" outlineLevel="0" collapsed="false">
      <c r="A122" s="30" t="str">
        <f aca="false">IF($B122="","","MOV-"&amp;TEXT(ROW()-4,"000000"))</f>
        <v/>
      </c>
      <c r="B122" s="31"/>
      <c r="C122" s="32"/>
      <c r="D122" s="32"/>
      <c r="E122" s="33"/>
      <c r="F122" s="32"/>
      <c r="G122" s="32"/>
      <c r="H122" s="32"/>
      <c r="I122" s="35" t="str">
        <f aca="false">IF($C122="","",IFERROR(INDEX(M_NOME,MATCH($C122,M_ID,0)),"?"))</f>
        <v/>
      </c>
      <c r="J122" s="34" t="n">
        <f aca="false">IF($D122="",0,IFERROR(INDEX(MAP_SINALMOV,MATCH($D122,LST_TIPOMOV,0)),0))</f>
        <v>0</v>
      </c>
      <c r="K122" s="36" t="n">
        <f aca="false">IF($A122="",0,$E122*$J122)</f>
        <v>0</v>
      </c>
      <c r="L122" s="35" t="str">
        <f aca="false">IF($C122="","",IFERROR(INDEX(M_CONTA,MATCH($C122,M_ID,0)),""))</f>
        <v/>
      </c>
      <c r="M122" s="35" t="str">
        <f aca="false">IF($B122="","",IF($E122&lt;=0,"ERRO: valor deve ser maior que zero",IF(COUNTIF(M_ID,$C122)=0,"ERRO: meta inexistente",IF(COUNTIF(LST_TIPOMOV,$D122)=0,"ERRO: tipo de movimento invalido",IF(AND($D122="TRANSF_SAIDA",COUNTIF(M_ID,$G122)=0),"ERRO: informe a meta de destino",IF(AND($J122=-1,$F122=""),"ATENCAO: informe o destino da retirada","OK"))))))</f>
        <v/>
      </c>
    </row>
    <row r="123" customFormat="false" ht="15" hidden="false" customHeight="false" outlineLevel="0" collapsed="false">
      <c r="A123" s="30" t="str">
        <f aca="false">IF($B123="","","MOV-"&amp;TEXT(ROW()-4,"000000"))</f>
        <v/>
      </c>
      <c r="B123" s="31"/>
      <c r="C123" s="32"/>
      <c r="D123" s="32"/>
      <c r="E123" s="33"/>
      <c r="F123" s="32"/>
      <c r="G123" s="32"/>
      <c r="H123" s="32"/>
      <c r="I123" s="35" t="str">
        <f aca="false">IF($C123="","",IFERROR(INDEX(M_NOME,MATCH($C123,M_ID,0)),"?"))</f>
        <v/>
      </c>
      <c r="J123" s="34" t="n">
        <f aca="false">IF($D123="",0,IFERROR(INDEX(MAP_SINALMOV,MATCH($D123,LST_TIPOMOV,0)),0))</f>
        <v>0</v>
      </c>
      <c r="K123" s="36" t="n">
        <f aca="false">IF($A123="",0,$E123*$J123)</f>
        <v>0</v>
      </c>
      <c r="L123" s="35" t="str">
        <f aca="false">IF($C123="","",IFERROR(INDEX(M_CONTA,MATCH($C123,M_ID,0)),""))</f>
        <v/>
      </c>
      <c r="M123" s="35" t="str">
        <f aca="false">IF($B123="","",IF($E123&lt;=0,"ERRO: valor deve ser maior que zero",IF(COUNTIF(M_ID,$C123)=0,"ERRO: meta inexistente",IF(COUNTIF(LST_TIPOMOV,$D123)=0,"ERRO: tipo de movimento invalido",IF(AND($D123="TRANSF_SAIDA",COUNTIF(M_ID,$G123)=0),"ERRO: informe a meta de destino",IF(AND($J123=-1,$F123=""),"ATENCAO: informe o destino da retirada","OK"))))))</f>
        <v/>
      </c>
    </row>
    <row r="124" customFormat="false" ht="15" hidden="false" customHeight="false" outlineLevel="0" collapsed="false">
      <c r="A124" s="30" t="str">
        <f aca="false">IF($B124="","","MOV-"&amp;TEXT(ROW()-4,"000000"))</f>
        <v/>
      </c>
      <c r="B124" s="31"/>
      <c r="C124" s="32"/>
      <c r="D124" s="32"/>
      <c r="E124" s="33"/>
      <c r="F124" s="32"/>
      <c r="G124" s="32"/>
      <c r="H124" s="32"/>
      <c r="I124" s="35" t="str">
        <f aca="false">IF($C124="","",IFERROR(INDEX(M_NOME,MATCH($C124,M_ID,0)),"?"))</f>
        <v/>
      </c>
      <c r="J124" s="34" t="n">
        <f aca="false">IF($D124="",0,IFERROR(INDEX(MAP_SINALMOV,MATCH($D124,LST_TIPOMOV,0)),0))</f>
        <v>0</v>
      </c>
      <c r="K124" s="36" t="n">
        <f aca="false">IF($A124="",0,$E124*$J124)</f>
        <v>0</v>
      </c>
      <c r="L124" s="35" t="str">
        <f aca="false">IF($C124="","",IFERROR(INDEX(M_CONTA,MATCH($C124,M_ID,0)),""))</f>
        <v/>
      </c>
      <c r="M124" s="35" t="str">
        <f aca="false">IF($B124="","",IF($E124&lt;=0,"ERRO: valor deve ser maior que zero",IF(COUNTIF(M_ID,$C124)=0,"ERRO: meta inexistente",IF(COUNTIF(LST_TIPOMOV,$D124)=0,"ERRO: tipo de movimento invalido",IF(AND($D124="TRANSF_SAIDA",COUNTIF(M_ID,$G124)=0),"ERRO: informe a meta de destino",IF(AND($J124=-1,$F124=""),"ATENCAO: informe o destino da retirada","OK"))))))</f>
        <v/>
      </c>
    </row>
    <row r="125" customFormat="false" ht="15" hidden="false" customHeight="false" outlineLevel="0" collapsed="false">
      <c r="A125" s="30" t="str">
        <f aca="false">IF($B125="","","MOV-"&amp;TEXT(ROW()-4,"000000"))</f>
        <v/>
      </c>
      <c r="B125" s="31"/>
      <c r="C125" s="32"/>
      <c r="D125" s="32"/>
      <c r="E125" s="33"/>
      <c r="F125" s="32"/>
      <c r="G125" s="32"/>
      <c r="H125" s="32"/>
      <c r="I125" s="35" t="str">
        <f aca="false">IF($C125="","",IFERROR(INDEX(M_NOME,MATCH($C125,M_ID,0)),"?"))</f>
        <v/>
      </c>
      <c r="J125" s="34" t="n">
        <f aca="false">IF($D125="",0,IFERROR(INDEX(MAP_SINALMOV,MATCH($D125,LST_TIPOMOV,0)),0))</f>
        <v>0</v>
      </c>
      <c r="K125" s="36" t="n">
        <f aca="false">IF($A125="",0,$E125*$J125)</f>
        <v>0</v>
      </c>
      <c r="L125" s="35" t="str">
        <f aca="false">IF($C125="","",IFERROR(INDEX(M_CONTA,MATCH($C125,M_ID,0)),""))</f>
        <v/>
      </c>
      <c r="M125" s="35" t="str">
        <f aca="false">IF($B125="","",IF($E125&lt;=0,"ERRO: valor deve ser maior que zero",IF(COUNTIF(M_ID,$C125)=0,"ERRO: meta inexistente",IF(COUNTIF(LST_TIPOMOV,$D125)=0,"ERRO: tipo de movimento invalido",IF(AND($D125="TRANSF_SAIDA",COUNTIF(M_ID,$G125)=0),"ERRO: informe a meta de destino",IF(AND($J125=-1,$F125=""),"ATENCAO: informe o destino da retirada","OK"))))))</f>
        <v/>
      </c>
    </row>
    <row r="126" customFormat="false" ht="15" hidden="false" customHeight="false" outlineLevel="0" collapsed="false">
      <c r="A126" s="30" t="str">
        <f aca="false">IF($B126="","","MOV-"&amp;TEXT(ROW()-4,"000000"))</f>
        <v/>
      </c>
      <c r="B126" s="31"/>
      <c r="C126" s="32"/>
      <c r="D126" s="32"/>
      <c r="E126" s="33"/>
      <c r="F126" s="32"/>
      <c r="G126" s="32"/>
      <c r="H126" s="32"/>
      <c r="I126" s="35" t="str">
        <f aca="false">IF($C126="","",IFERROR(INDEX(M_NOME,MATCH($C126,M_ID,0)),"?"))</f>
        <v/>
      </c>
      <c r="J126" s="34" t="n">
        <f aca="false">IF($D126="",0,IFERROR(INDEX(MAP_SINALMOV,MATCH($D126,LST_TIPOMOV,0)),0))</f>
        <v>0</v>
      </c>
      <c r="K126" s="36" t="n">
        <f aca="false">IF($A126="",0,$E126*$J126)</f>
        <v>0</v>
      </c>
      <c r="L126" s="35" t="str">
        <f aca="false">IF($C126="","",IFERROR(INDEX(M_CONTA,MATCH($C126,M_ID,0)),""))</f>
        <v/>
      </c>
      <c r="M126" s="35" t="str">
        <f aca="false">IF($B126="","",IF($E126&lt;=0,"ERRO: valor deve ser maior que zero",IF(COUNTIF(M_ID,$C126)=0,"ERRO: meta inexistente",IF(COUNTIF(LST_TIPOMOV,$D126)=0,"ERRO: tipo de movimento invalido",IF(AND($D126="TRANSF_SAIDA",COUNTIF(M_ID,$G126)=0),"ERRO: informe a meta de destino",IF(AND($J126=-1,$F126=""),"ATENCAO: informe o destino da retirada","OK"))))))</f>
        <v/>
      </c>
    </row>
    <row r="127" customFormat="false" ht="15" hidden="false" customHeight="false" outlineLevel="0" collapsed="false">
      <c r="A127" s="30" t="str">
        <f aca="false">IF($B127="","","MOV-"&amp;TEXT(ROW()-4,"000000"))</f>
        <v/>
      </c>
      <c r="B127" s="31"/>
      <c r="C127" s="32"/>
      <c r="D127" s="32"/>
      <c r="E127" s="33"/>
      <c r="F127" s="32"/>
      <c r="G127" s="32"/>
      <c r="H127" s="32"/>
      <c r="I127" s="35" t="str">
        <f aca="false">IF($C127="","",IFERROR(INDEX(M_NOME,MATCH($C127,M_ID,0)),"?"))</f>
        <v/>
      </c>
      <c r="J127" s="34" t="n">
        <f aca="false">IF($D127="",0,IFERROR(INDEX(MAP_SINALMOV,MATCH($D127,LST_TIPOMOV,0)),0))</f>
        <v>0</v>
      </c>
      <c r="K127" s="36" t="n">
        <f aca="false">IF($A127="",0,$E127*$J127)</f>
        <v>0</v>
      </c>
      <c r="L127" s="35" t="str">
        <f aca="false">IF($C127="","",IFERROR(INDEX(M_CONTA,MATCH($C127,M_ID,0)),""))</f>
        <v/>
      </c>
      <c r="M127" s="35" t="str">
        <f aca="false">IF($B127="","",IF($E127&lt;=0,"ERRO: valor deve ser maior que zero",IF(COUNTIF(M_ID,$C127)=0,"ERRO: meta inexistente",IF(COUNTIF(LST_TIPOMOV,$D127)=0,"ERRO: tipo de movimento invalido",IF(AND($D127="TRANSF_SAIDA",COUNTIF(M_ID,$G127)=0),"ERRO: informe a meta de destino",IF(AND($J127=-1,$F127=""),"ATENCAO: informe o destino da retirada","OK"))))))</f>
        <v/>
      </c>
    </row>
    <row r="128" customFormat="false" ht="15" hidden="false" customHeight="false" outlineLevel="0" collapsed="false">
      <c r="A128" s="30" t="str">
        <f aca="false">IF($B128="","","MOV-"&amp;TEXT(ROW()-4,"000000"))</f>
        <v/>
      </c>
      <c r="B128" s="31"/>
      <c r="C128" s="32"/>
      <c r="D128" s="32"/>
      <c r="E128" s="33"/>
      <c r="F128" s="32"/>
      <c r="G128" s="32"/>
      <c r="H128" s="32"/>
      <c r="I128" s="35" t="str">
        <f aca="false">IF($C128="","",IFERROR(INDEX(M_NOME,MATCH($C128,M_ID,0)),"?"))</f>
        <v/>
      </c>
      <c r="J128" s="34" t="n">
        <f aca="false">IF($D128="",0,IFERROR(INDEX(MAP_SINALMOV,MATCH($D128,LST_TIPOMOV,0)),0))</f>
        <v>0</v>
      </c>
      <c r="K128" s="36" t="n">
        <f aca="false">IF($A128="",0,$E128*$J128)</f>
        <v>0</v>
      </c>
      <c r="L128" s="35" t="str">
        <f aca="false">IF($C128="","",IFERROR(INDEX(M_CONTA,MATCH($C128,M_ID,0)),""))</f>
        <v/>
      </c>
      <c r="M128" s="35" t="str">
        <f aca="false">IF($B128="","",IF($E128&lt;=0,"ERRO: valor deve ser maior que zero",IF(COUNTIF(M_ID,$C128)=0,"ERRO: meta inexistente",IF(COUNTIF(LST_TIPOMOV,$D128)=0,"ERRO: tipo de movimento invalido",IF(AND($D128="TRANSF_SAIDA",COUNTIF(M_ID,$G128)=0),"ERRO: informe a meta de destino",IF(AND($J128=-1,$F128=""),"ATENCAO: informe o destino da retirada","OK"))))))</f>
        <v/>
      </c>
    </row>
    <row r="129" customFormat="false" ht="15" hidden="false" customHeight="false" outlineLevel="0" collapsed="false">
      <c r="A129" s="30" t="str">
        <f aca="false">IF($B129="","","MOV-"&amp;TEXT(ROW()-4,"000000"))</f>
        <v/>
      </c>
      <c r="B129" s="31"/>
      <c r="C129" s="32"/>
      <c r="D129" s="32"/>
      <c r="E129" s="33"/>
      <c r="F129" s="32"/>
      <c r="G129" s="32"/>
      <c r="H129" s="32"/>
      <c r="I129" s="35" t="str">
        <f aca="false">IF($C129="","",IFERROR(INDEX(M_NOME,MATCH($C129,M_ID,0)),"?"))</f>
        <v/>
      </c>
      <c r="J129" s="34" t="n">
        <f aca="false">IF($D129="",0,IFERROR(INDEX(MAP_SINALMOV,MATCH($D129,LST_TIPOMOV,0)),0))</f>
        <v>0</v>
      </c>
      <c r="K129" s="36" t="n">
        <f aca="false">IF($A129="",0,$E129*$J129)</f>
        <v>0</v>
      </c>
      <c r="L129" s="35" t="str">
        <f aca="false">IF($C129="","",IFERROR(INDEX(M_CONTA,MATCH($C129,M_ID,0)),""))</f>
        <v/>
      </c>
      <c r="M129" s="35" t="str">
        <f aca="false">IF($B129="","",IF($E129&lt;=0,"ERRO: valor deve ser maior que zero",IF(COUNTIF(M_ID,$C129)=0,"ERRO: meta inexistente",IF(COUNTIF(LST_TIPOMOV,$D129)=0,"ERRO: tipo de movimento invalido",IF(AND($D129="TRANSF_SAIDA",COUNTIF(M_ID,$G129)=0),"ERRO: informe a meta de destino",IF(AND($J129=-1,$F129=""),"ATENCAO: informe o destino da retirada","OK"))))))</f>
        <v/>
      </c>
    </row>
    <row r="130" customFormat="false" ht="15" hidden="false" customHeight="false" outlineLevel="0" collapsed="false">
      <c r="A130" s="30" t="str">
        <f aca="false">IF($B130="","","MOV-"&amp;TEXT(ROW()-4,"000000"))</f>
        <v/>
      </c>
      <c r="B130" s="31"/>
      <c r="C130" s="32"/>
      <c r="D130" s="32"/>
      <c r="E130" s="33"/>
      <c r="F130" s="32"/>
      <c r="G130" s="32"/>
      <c r="H130" s="32"/>
      <c r="I130" s="35" t="str">
        <f aca="false">IF($C130="","",IFERROR(INDEX(M_NOME,MATCH($C130,M_ID,0)),"?"))</f>
        <v/>
      </c>
      <c r="J130" s="34" t="n">
        <f aca="false">IF($D130="",0,IFERROR(INDEX(MAP_SINALMOV,MATCH($D130,LST_TIPOMOV,0)),0))</f>
        <v>0</v>
      </c>
      <c r="K130" s="36" t="n">
        <f aca="false">IF($A130="",0,$E130*$J130)</f>
        <v>0</v>
      </c>
      <c r="L130" s="35" t="str">
        <f aca="false">IF($C130="","",IFERROR(INDEX(M_CONTA,MATCH($C130,M_ID,0)),""))</f>
        <v/>
      </c>
      <c r="M130" s="35" t="str">
        <f aca="false">IF($B130="","",IF($E130&lt;=0,"ERRO: valor deve ser maior que zero",IF(COUNTIF(M_ID,$C130)=0,"ERRO: meta inexistente",IF(COUNTIF(LST_TIPOMOV,$D130)=0,"ERRO: tipo de movimento invalido",IF(AND($D130="TRANSF_SAIDA",COUNTIF(M_ID,$G130)=0),"ERRO: informe a meta de destino",IF(AND($J130=-1,$F130=""),"ATENCAO: informe o destino da retirada","OK"))))))</f>
        <v/>
      </c>
    </row>
    <row r="131" customFormat="false" ht="15" hidden="false" customHeight="false" outlineLevel="0" collapsed="false">
      <c r="A131" s="30" t="str">
        <f aca="false">IF($B131="","","MOV-"&amp;TEXT(ROW()-4,"000000"))</f>
        <v/>
      </c>
      <c r="B131" s="31"/>
      <c r="C131" s="32"/>
      <c r="D131" s="32"/>
      <c r="E131" s="33"/>
      <c r="F131" s="32"/>
      <c r="G131" s="32"/>
      <c r="H131" s="32"/>
      <c r="I131" s="35" t="str">
        <f aca="false">IF($C131="","",IFERROR(INDEX(M_NOME,MATCH($C131,M_ID,0)),"?"))</f>
        <v/>
      </c>
      <c r="J131" s="34" t="n">
        <f aca="false">IF($D131="",0,IFERROR(INDEX(MAP_SINALMOV,MATCH($D131,LST_TIPOMOV,0)),0))</f>
        <v>0</v>
      </c>
      <c r="K131" s="36" t="n">
        <f aca="false">IF($A131="",0,$E131*$J131)</f>
        <v>0</v>
      </c>
      <c r="L131" s="35" t="str">
        <f aca="false">IF($C131="","",IFERROR(INDEX(M_CONTA,MATCH($C131,M_ID,0)),""))</f>
        <v/>
      </c>
      <c r="M131" s="35" t="str">
        <f aca="false">IF($B131="","",IF($E131&lt;=0,"ERRO: valor deve ser maior que zero",IF(COUNTIF(M_ID,$C131)=0,"ERRO: meta inexistente",IF(COUNTIF(LST_TIPOMOV,$D131)=0,"ERRO: tipo de movimento invalido",IF(AND($D131="TRANSF_SAIDA",COUNTIF(M_ID,$G131)=0),"ERRO: informe a meta de destino",IF(AND($J131=-1,$F131=""),"ATENCAO: informe o destino da retirada","OK"))))))</f>
        <v/>
      </c>
    </row>
    <row r="132" customFormat="false" ht="15" hidden="false" customHeight="false" outlineLevel="0" collapsed="false">
      <c r="A132" s="30" t="str">
        <f aca="false">IF($B132="","","MOV-"&amp;TEXT(ROW()-4,"000000"))</f>
        <v/>
      </c>
      <c r="B132" s="31"/>
      <c r="C132" s="32"/>
      <c r="D132" s="32"/>
      <c r="E132" s="33"/>
      <c r="F132" s="32"/>
      <c r="G132" s="32"/>
      <c r="H132" s="32"/>
      <c r="I132" s="35" t="str">
        <f aca="false">IF($C132="","",IFERROR(INDEX(M_NOME,MATCH($C132,M_ID,0)),"?"))</f>
        <v/>
      </c>
      <c r="J132" s="34" t="n">
        <f aca="false">IF($D132="",0,IFERROR(INDEX(MAP_SINALMOV,MATCH($D132,LST_TIPOMOV,0)),0))</f>
        <v>0</v>
      </c>
      <c r="K132" s="36" t="n">
        <f aca="false">IF($A132="",0,$E132*$J132)</f>
        <v>0</v>
      </c>
      <c r="L132" s="35" t="str">
        <f aca="false">IF($C132="","",IFERROR(INDEX(M_CONTA,MATCH($C132,M_ID,0)),""))</f>
        <v/>
      </c>
      <c r="M132" s="35" t="str">
        <f aca="false">IF($B132="","",IF($E132&lt;=0,"ERRO: valor deve ser maior que zero",IF(COUNTIF(M_ID,$C132)=0,"ERRO: meta inexistente",IF(COUNTIF(LST_TIPOMOV,$D132)=0,"ERRO: tipo de movimento invalido",IF(AND($D132="TRANSF_SAIDA",COUNTIF(M_ID,$G132)=0),"ERRO: informe a meta de destino",IF(AND($J132=-1,$F132=""),"ATENCAO: informe o destino da retirada","OK"))))))</f>
        <v/>
      </c>
    </row>
    <row r="133" customFormat="false" ht="15" hidden="false" customHeight="false" outlineLevel="0" collapsed="false">
      <c r="A133" s="30" t="str">
        <f aca="false">IF($B133="","","MOV-"&amp;TEXT(ROW()-4,"000000"))</f>
        <v/>
      </c>
      <c r="B133" s="31"/>
      <c r="C133" s="32"/>
      <c r="D133" s="32"/>
      <c r="E133" s="33"/>
      <c r="F133" s="32"/>
      <c r="G133" s="32"/>
      <c r="H133" s="32"/>
      <c r="I133" s="35" t="str">
        <f aca="false">IF($C133="","",IFERROR(INDEX(M_NOME,MATCH($C133,M_ID,0)),"?"))</f>
        <v/>
      </c>
      <c r="J133" s="34" t="n">
        <f aca="false">IF($D133="",0,IFERROR(INDEX(MAP_SINALMOV,MATCH($D133,LST_TIPOMOV,0)),0))</f>
        <v>0</v>
      </c>
      <c r="K133" s="36" t="n">
        <f aca="false">IF($A133="",0,$E133*$J133)</f>
        <v>0</v>
      </c>
      <c r="L133" s="35" t="str">
        <f aca="false">IF($C133="","",IFERROR(INDEX(M_CONTA,MATCH($C133,M_ID,0)),""))</f>
        <v/>
      </c>
      <c r="M133" s="35" t="str">
        <f aca="false">IF($B133="","",IF($E133&lt;=0,"ERRO: valor deve ser maior que zero",IF(COUNTIF(M_ID,$C133)=0,"ERRO: meta inexistente",IF(COUNTIF(LST_TIPOMOV,$D133)=0,"ERRO: tipo de movimento invalido",IF(AND($D133="TRANSF_SAIDA",COUNTIF(M_ID,$G133)=0),"ERRO: informe a meta de destino",IF(AND($J133=-1,$F133=""),"ATENCAO: informe o destino da retirada","OK"))))))</f>
        <v/>
      </c>
    </row>
    <row r="134" customFormat="false" ht="15" hidden="false" customHeight="false" outlineLevel="0" collapsed="false">
      <c r="A134" s="30" t="str">
        <f aca="false">IF($B134="","","MOV-"&amp;TEXT(ROW()-4,"000000"))</f>
        <v/>
      </c>
      <c r="B134" s="31"/>
      <c r="C134" s="32"/>
      <c r="D134" s="32"/>
      <c r="E134" s="33"/>
      <c r="F134" s="32"/>
      <c r="G134" s="32"/>
      <c r="H134" s="32"/>
      <c r="I134" s="35" t="str">
        <f aca="false">IF($C134="","",IFERROR(INDEX(M_NOME,MATCH($C134,M_ID,0)),"?"))</f>
        <v/>
      </c>
      <c r="J134" s="34" t="n">
        <f aca="false">IF($D134="",0,IFERROR(INDEX(MAP_SINALMOV,MATCH($D134,LST_TIPOMOV,0)),0))</f>
        <v>0</v>
      </c>
      <c r="K134" s="36" t="n">
        <f aca="false">IF($A134="",0,$E134*$J134)</f>
        <v>0</v>
      </c>
      <c r="L134" s="35" t="str">
        <f aca="false">IF($C134="","",IFERROR(INDEX(M_CONTA,MATCH($C134,M_ID,0)),""))</f>
        <v/>
      </c>
      <c r="M134" s="35" t="str">
        <f aca="false">IF($B134="","",IF($E134&lt;=0,"ERRO: valor deve ser maior que zero",IF(COUNTIF(M_ID,$C134)=0,"ERRO: meta inexistente",IF(COUNTIF(LST_TIPOMOV,$D134)=0,"ERRO: tipo de movimento invalido",IF(AND($D134="TRANSF_SAIDA",COUNTIF(M_ID,$G134)=0),"ERRO: informe a meta de destino",IF(AND($J134=-1,$F134=""),"ATENCAO: informe o destino da retirada","OK"))))))</f>
        <v/>
      </c>
    </row>
    <row r="135" customFormat="false" ht="15" hidden="false" customHeight="false" outlineLevel="0" collapsed="false">
      <c r="A135" s="30" t="str">
        <f aca="false">IF($B135="","","MOV-"&amp;TEXT(ROW()-4,"000000"))</f>
        <v/>
      </c>
      <c r="B135" s="31"/>
      <c r="C135" s="32"/>
      <c r="D135" s="32"/>
      <c r="E135" s="33"/>
      <c r="F135" s="32"/>
      <c r="G135" s="32"/>
      <c r="H135" s="32"/>
      <c r="I135" s="35" t="str">
        <f aca="false">IF($C135="","",IFERROR(INDEX(M_NOME,MATCH($C135,M_ID,0)),"?"))</f>
        <v/>
      </c>
      <c r="J135" s="34" t="n">
        <f aca="false">IF($D135="",0,IFERROR(INDEX(MAP_SINALMOV,MATCH($D135,LST_TIPOMOV,0)),0))</f>
        <v>0</v>
      </c>
      <c r="K135" s="36" t="n">
        <f aca="false">IF($A135="",0,$E135*$J135)</f>
        <v>0</v>
      </c>
      <c r="L135" s="35" t="str">
        <f aca="false">IF($C135="","",IFERROR(INDEX(M_CONTA,MATCH($C135,M_ID,0)),""))</f>
        <v/>
      </c>
      <c r="M135" s="35" t="str">
        <f aca="false">IF($B135="","",IF($E135&lt;=0,"ERRO: valor deve ser maior que zero",IF(COUNTIF(M_ID,$C135)=0,"ERRO: meta inexistente",IF(COUNTIF(LST_TIPOMOV,$D135)=0,"ERRO: tipo de movimento invalido",IF(AND($D135="TRANSF_SAIDA",COUNTIF(M_ID,$G135)=0),"ERRO: informe a meta de destino",IF(AND($J135=-1,$F135=""),"ATENCAO: informe o destino da retirada","OK"))))))</f>
        <v/>
      </c>
    </row>
    <row r="136" customFormat="false" ht="15" hidden="false" customHeight="false" outlineLevel="0" collapsed="false">
      <c r="A136" s="30" t="str">
        <f aca="false">IF($B136="","","MOV-"&amp;TEXT(ROW()-4,"000000"))</f>
        <v/>
      </c>
      <c r="B136" s="31"/>
      <c r="C136" s="32"/>
      <c r="D136" s="32"/>
      <c r="E136" s="33"/>
      <c r="F136" s="32"/>
      <c r="G136" s="32"/>
      <c r="H136" s="32"/>
      <c r="I136" s="35" t="str">
        <f aca="false">IF($C136="","",IFERROR(INDEX(M_NOME,MATCH($C136,M_ID,0)),"?"))</f>
        <v/>
      </c>
      <c r="J136" s="34" t="n">
        <f aca="false">IF($D136="",0,IFERROR(INDEX(MAP_SINALMOV,MATCH($D136,LST_TIPOMOV,0)),0))</f>
        <v>0</v>
      </c>
      <c r="K136" s="36" t="n">
        <f aca="false">IF($A136="",0,$E136*$J136)</f>
        <v>0</v>
      </c>
      <c r="L136" s="35" t="str">
        <f aca="false">IF($C136="","",IFERROR(INDEX(M_CONTA,MATCH($C136,M_ID,0)),""))</f>
        <v/>
      </c>
      <c r="M136" s="35" t="str">
        <f aca="false">IF($B136="","",IF($E136&lt;=0,"ERRO: valor deve ser maior que zero",IF(COUNTIF(M_ID,$C136)=0,"ERRO: meta inexistente",IF(COUNTIF(LST_TIPOMOV,$D136)=0,"ERRO: tipo de movimento invalido",IF(AND($D136="TRANSF_SAIDA",COUNTIF(M_ID,$G136)=0),"ERRO: informe a meta de destino",IF(AND($J136=-1,$F136=""),"ATENCAO: informe o destino da retirada","OK"))))))</f>
        <v/>
      </c>
    </row>
    <row r="137" customFormat="false" ht="15" hidden="false" customHeight="false" outlineLevel="0" collapsed="false">
      <c r="A137" s="30" t="str">
        <f aca="false">IF($B137="","","MOV-"&amp;TEXT(ROW()-4,"000000"))</f>
        <v/>
      </c>
      <c r="B137" s="31"/>
      <c r="C137" s="32"/>
      <c r="D137" s="32"/>
      <c r="E137" s="33"/>
      <c r="F137" s="32"/>
      <c r="G137" s="32"/>
      <c r="H137" s="32"/>
      <c r="I137" s="35" t="str">
        <f aca="false">IF($C137="","",IFERROR(INDEX(M_NOME,MATCH($C137,M_ID,0)),"?"))</f>
        <v/>
      </c>
      <c r="J137" s="34" t="n">
        <f aca="false">IF($D137="",0,IFERROR(INDEX(MAP_SINALMOV,MATCH($D137,LST_TIPOMOV,0)),0))</f>
        <v>0</v>
      </c>
      <c r="K137" s="36" t="n">
        <f aca="false">IF($A137="",0,$E137*$J137)</f>
        <v>0</v>
      </c>
      <c r="L137" s="35" t="str">
        <f aca="false">IF($C137="","",IFERROR(INDEX(M_CONTA,MATCH($C137,M_ID,0)),""))</f>
        <v/>
      </c>
      <c r="M137" s="35" t="str">
        <f aca="false">IF($B137="","",IF($E137&lt;=0,"ERRO: valor deve ser maior que zero",IF(COUNTIF(M_ID,$C137)=0,"ERRO: meta inexistente",IF(COUNTIF(LST_TIPOMOV,$D137)=0,"ERRO: tipo de movimento invalido",IF(AND($D137="TRANSF_SAIDA",COUNTIF(M_ID,$G137)=0),"ERRO: informe a meta de destino",IF(AND($J137=-1,$F137=""),"ATENCAO: informe o destino da retirada","OK"))))))</f>
        <v/>
      </c>
    </row>
    <row r="138" customFormat="false" ht="15" hidden="false" customHeight="false" outlineLevel="0" collapsed="false">
      <c r="A138" s="30" t="str">
        <f aca="false">IF($B138="","","MOV-"&amp;TEXT(ROW()-4,"000000"))</f>
        <v/>
      </c>
      <c r="B138" s="31"/>
      <c r="C138" s="32"/>
      <c r="D138" s="32"/>
      <c r="E138" s="33"/>
      <c r="F138" s="32"/>
      <c r="G138" s="32"/>
      <c r="H138" s="32"/>
      <c r="I138" s="35" t="str">
        <f aca="false">IF($C138="","",IFERROR(INDEX(M_NOME,MATCH($C138,M_ID,0)),"?"))</f>
        <v/>
      </c>
      <c r="J138" s="34" t="n">
        <f aca="false">IF($D138="",0,IFERROR(INDEX(MAP_SINALMOV,MATCH($D138,LST_TIPOMOV,0)),0))</f>
        <v>0</v>
      </c>
      <c r="K138" s="36" t="n">
        <f aca="false">IF($A138="",0,$E138*$J138)</f>
        <v>0</v>
      </c>
      <c r="L138" s="35" t="str">
        <f aca="false">IF($C138="","",IFERROR(INDEX(M_CONTA,MATCH($C138,M_ID,0)),""))</f>
        <v/>
      </c>
      <c r="M138" s="35" t="str">
        <f aca="false">IF($B138="","",IF($E138&lt;=0,"ERRO: valor deve ser maior que zero",IF(COUNTIF(M_ID,$C138)=0,"ERRO: meta inexistente",IF(COUNTIF(LST_TIPOMOV,$D138)=0,"ERRO: tipo de movimento invalido",IF(AND($D138="TRANSF_SAIDA",COUNTIF(M_ID,$G138)=0),"ERRO: informe a meta de destino",IF(AND($J138=-1,$F138=""),"ATENCAO: informe o destino da retirada","OK"))))))</f>
        <v/>
      </c>
    </row>
    <row r="139" customFormat="false" ht="15" hidden="false" customHeight="false" outlineLevel="0" collapsed="false">
      <c r="A139" s="30" t="str">
        <f aca="false">IF($B139="","","MOV-"&amp;TEXT(ROW()-4,"000000"))</f>
        <v/>
      </c>
      <c r="B139" s="31"/>
      <c r="C139" s="32"/>
      <c r="D139" s="32"/>
      <c r="E139" s="33"/>
      <c r="F139" s="32"/>
      <c r="G139" s="32"/>
      <c r="H139" s="32"/>
      <c r="I139" s="35" t="str">
        <f aca="false">IF($C139="","",IFERROR(INDEX(M_NOME,MATCH($C139,M_ID,0)),"?"))</f>
        <v/>
      </c>
      <c r="J139" s="34" t="n">
        <f aca="false">IF($D139="",0,IFERROR(INDEX(MAP_SINALMOV,MATCH($D139,LST_TIPOMOV,0)),0))</f>
        <v>0</v>
      </c>
      <c r="K139" s="36" t="n">
        <f aca="false">IF($A139="",0,$E139*$J139)</f>
        <v>0</v>
      </c>
      <c r="L139" s="35" t="str">
        <f aca="false">IF($C139="","",IFERROR(INDEX(M_CONTA,MATCH($C139,M_ID,0)),""))</f>
        <v/>
      </c>
      <c r="M139" s="35" t="str">
        <f aca="false">IF($B139="","",IF($E139&lt;=0,"ERRO: valor deve ser maior que zero",IF(COUNTIF(M_ID,$C139)=0,"ERRO: meta inexistente",IF(COUNTIF(LST_TIPOMOV,$D139)=0,"ERRO: tipo de movimento invalido",IF(AND($D139="TRANSF_SAIDA",COUNTIF(M_ID,$G139)=0),"ERRO: informe a meta de destino",IF(AND($J139=-1,$F139=""),"ATENCAO: informe o destino da retirada","OK"))))))</f>
        <v/>
      </c>
    </row>
    <row r="140" customFormat="false" ht="15" hidden="false" customHeight="false" outlineLevel="0" collapsed="false">
      <c r="A140" s="30" t="str">
        <f aca="false">IF($B140="","","MOV-"&amp;TEXT(ROW()-4,"000000"))</f>
        <v/>
      </c>
      <c r="B140" s="31"/>
      <c r="C140" s="32"/>
      <c r="D140" s="32"/>
      <c r="E140" s="33"/>
      <c r="F140" s="32"/>
      <c r="G140" s="32"/>
      <c r="H140" s="32"/>
      <c r="I140" s="35" t="str">
        <f aca="false">IF($C140="","",IFERROR(INDEX(M_NOME,MATCH($C140,M_ID,0)),"?"))</f>
        <v/>
      </c>
      <c r="J140" s="34" t="n">
        <f aca="false">IF($D140="",0,IFERROR(INDEX(MAP_SINALMOV,MATCH($D140,LST_TIPOMOV,0)),0))</f>
        <v>0</v>
      </c>
      <c r="K140" s="36" t="n">
        <f aca="false">IF($A140="",0,$E140*$J140)</f>
        <v>0</v>
      </c>
      <c r="L140" s="35" t="str">
        <f aca="false">IF($C140="","",IFERROR(INDEX(M_CONTA,MATCH($C140,M_ID,0)),""))</f>
        <v/>
      </c>
      <c r="M140" s="35" t="str">
        <f aca="false">IF($B140="","",IF($E140&lt;=0,"ERRO: valor deve ser maior que zero",IF(COUNTIF(M_ID,$C140)=0,"ERRO: meta inexistente",IF(COUNTIF(LST_TIPOMOV,$D140)=0,"ERRO: tipo de movimento invalido",IF(AND($D140="TRANSF_SAIDA",COUNTIF(M_ID,$G140)=0),"ERRO: informe a meta de destino",IF(AND($J140=-1,$F140=""),"ATENCAO: informe o destino da retirada","OK"))))))</f>
        <v/>
      </c>
    </row>
    <row r="141" customFormat="false" ht="15" hidden="false" customHeight="false" outlineLevel="0" collapsed="false">
      <c r="A141" s="30" t="str">
        <f aca="false">IF($B141="","","MOV-"&amp;TEXT(ROW()-4,"000000"))</f>
        <v/>
      </c>
      <c r="B141" s="31"/>
      <c r="C141" s="32"/>
      <c r="D141" s="32"/>
      <c r="E141" s="33"/>
      <c r="F141" s="32"/>
      <c r="G141" s="32"/>
      <c r="H141" s="32"/>
      <c r="I141" s="35" t="str">
        <f aca="false">IF($C141="","",IFERROR(INDEX(M_NOME,MATCH($C141,M_ID,0)),"?"))</f>
        <v/>
      </c>
      <c r="J141" s="34" t="n">
        <f aca="false">IF($D141="",0,IFERROR(INDEX(MAP_SINALMOV,MATCH($D141,LST_TIPOMOV,0)),0))</f>
        <v>0</v>
      </c>
      <c r="K141" s="36" t="n">
        <f aca="false">IF($A141="",0,$E141*$J141)</f>
        <v>0</v>
      </c>
      <c r="L141" s="35" t="str">
        <f aca="false">IF($C141="","",IFERROR(INDEX(M_CONTA,MATCH($C141,M_ID,0)),""))</f>
        <v/>
      </c>
      <c r="M141" s="35" t="str">
        <f aca="false">IF($B141="","",IF($E141&lt;=0,"ERRO: valor deve ser maior que zero",IF(COUNTIF(M_ID,$C141)=0,"ERRO: meta inexistente",IF(COUNTIF(LST_TIPOMOV,$D141)=0,"ERRO: tipo de movimento invalido",IF(AND($D141="TRANSF_SAIDA",COUNTIF(M_ID,$G141)=0),"ERRO: informe a meta de destino",IF(AND($J141=-1,$F141=""),"ATENCAO: informe o destino da retirada","OK"))))))</f>
        <v/>
      </c>
    </row>
    <row r="142" customFormat="false" ht="15" hidden="false" customHeight="false" outlineLevel="0" collapsed="false">
      <c r="A142" s="30" t="str">
        <f aca="false">IF($B142="","","MOV-"&amp;TEXT(ROW()-4,"000000"))</f>
        <v/>
      </c>
      <c r="B142" s="31"/>
      <c r="C142" s="32"/>
      <c r="D142" s="32"/>
      <c r="E142" s="33"/>
      <c r="F142" s="32"/>
      <c r="G142" s="32"/>
      <c r="H142" s="32"/>
      <c r="I142" s="35" t="str">
        <f aca="false">IF($C142="","",IFERROR(INDEX(M_NOME,MATCH($C142,M_ID,0)),"?"))</f>
        <v/>
      </c>
      <c r="J142" s="34" t="n">
        <f aca="false">IF($D142="",0,IFERROR(INDEX(MAP_SINALMOV,MATCH($D142,LST_TIPOMOV,0)),0))</f>
        <v>0</v>
      </c>
      <c r="K142" s="36" t="n">
        <f aca="false">IF($A142="",0,$E142*$J142)</f>
        <v>0</v>
      </c>
      <c r="L142" s="35" t="str">
        <f aca="false">IF($C142="","",IFERROR(INDEX(M_CONTA,MATCH($C142,M_ID,0)),""))</f>
        <v/>
      </c>
      <c r="M142" s="35" t="str">
        <f aca="false">IF($B142="","",IF($E142&lt;=0,"ERRO: valor deve ser maior que zero",IF(COUNTIF(M_ID,$C142)=0,"ERRO: meta inexistente",IF(COUNTIF(LST_TIPOMOV,$D142)=0,"ERRO: tipo de movimento invalido",IF(AND($D142="TRANSF_SAIDA",COUNTIF(M_ID,$G142)=0),"ERRO: informe a meta de destino",IF(AND($J142=-1,$F142=""),"ATENCAO: informe o destino da retirada","OK"))))))</f>
        <v/>
      </c>
    </row>
    <row r="143" customFormat="false" ht="15" hidden="false" customHeight="false" outlineLevel="0" collapsed="false">
      <c r="A143" s="30" t="str">
        <f aca="false">IF($B143="","","MOV-"&amp;TEXT(ROW()-4,"000000"))</f>
        <v/>
      </c>
      <c r="B143" s="31"/>
      <c r="C143" s="32"/>
      <c r="D143" s="32"/>
      <c r="E143" s="33"/>
      <c r="F143" s="32"/>
      <c r="G143" s="32"/>
      <c r="H143" s="32"/>
      <c r="I143" s="35" t="str">
        <f aca="false">IF($C143="","",IFERROR(INDEX(M_NOME,MATCH($C143,M_ID,0)),"?"))</f>
        <v/>
      </c>
      <c r="J143" s="34" t="n">
        <f aca="false">IF($D143="",0,IFERROR(INDEX(MAP_SINALMOV,MATCH($D143,LST_TIPOMOV,0)),0))</f>
        <v>0</v>
      </c>
      <c r="K143" s="36" t="n">
        <f aca="false">IF($A143="",0,$E143*$J143)</f>
        <v>0</v>
      </c>
      <c r="L143" s="35" t="str">
        <f aca="false">IF($C143="","",IFERROR(INDEX(M_CONTA,MATCH($C143,M_ID,0)),""))</f>
        <v/>
      </c>
      <c r="M143" s="35" t="str">
        <f aca="false">IF($B143="","",IF($E143&lt;=0,"ERRO: valor deve ser maior que zero",IF(COUNTIF(M_ID,$C143)=0,"ERRO: meta inexistente",IF(COUNTIF(LST_TIPOMOV,$D143)=0,"ERRO: tipo de movimento invalido",IF(AND($D143="TRANSF_SAIDA",COUNTIF(M_ID,$G143)=0),"ERRO: informe a meta de destino",IF(AND($J143=-1,$F143=""),"ATENCAO: informe o destino da retirada","OK"))))))</f>
        <v/>
      </c>
    </row>
    <row r="144" customFormat="false" ht="15" hidden="false" customHeight="false" outlineLevel="0" collapsed="false">
      <c r="A144" s="30" t="str">
        <f aca="false">IF($B144="","","MOV-"&amp;TEXT(ROW()-4,"000000"))</f>
        <v/>
      </c>
      <c r="B144" s="31"/>
      <c r="C144" s="32"/>
      <c r="D144" s="32"/>
      <c r="E144" s="33"/>
      <c r="F144" s="32"/>
      <c r="G144" s="32"/>
      <c r="H144" s="32"/>
      <c r="I144" s="35" t="str">
        <f aca="false">IF($C144="","",IFERROR(INDEX(M_NOME,MATCH($C144,M_ID,0)),"?"))</f>
        <v/>
      </c>
      <c r="J144" s="34" t="n">
        <f aca="false">IF($D144="",0,IFERROR(INDEX(MAP_SINALMOV,MATCH($D144,LST_TIPOMOV,0)),0))</f>
        <v>0</v>
      </c>
      <c r="K144" s="36" t="n">
        <f aca="false">IF($A144="",0,$E144*$J144)</f>
        <v>0</v>
      </c>
      <c r="L144" s="35" t="str">
        <f aca="false">IF($C144="","",IFERROR(INDEX(M_CONTA,MATCH($C144,M_ID,0)),""))</f>
        <v/>
      </c>
      <c r="M144" s="35" t="str">
        <f aca="false">IF($B144="","",IF($E144&lt;=0,"ERRO: valor deve ser maior que zero",IF(COUNTIF(M_ID,$C144)=0,"ERRO: meta inexistente",IF(COUNTIF(LST_TIPOMOV,$D144)=0,"ERRO: tipo de movimento invalido",IF(AND($D144="TRANSF_SAIDA",COUNTIF(M_ID,$G144)=0),"ERRO: informe a meta de destino",IF(AND($J144=-1,$F144=""),"ATENCAO: informe o destino da retirada","OK"))))))</f>
        <v/>
      </c>
    </row>
    <row r="145" customFormat="false" ht="15" hidden="false" customHeight="false" outlineLevel="0" collapsed="false">
      <c r="A145" s="30" t="str">
        <f aca="false">IF($B145="","","MOV-"&amp;TEXT(ROW()-4,"000000"))</f>
        <v/>
      </c>
      <c r="B145" s="31"/>
      <c r="C145" s="32"/>
      <c r="D145" s="32"/>
      <c r="E145" s="33"/>
      <c r="F145" s="32"/>
      <c r="G145" s="32"/>
      <c r="H145" s="32"/>
      <c r="I145" s="35" t="str">
        <f aca="false">IF($C145="","",IFERROR(INDEX(M_NOME,MATCH($C145,M_ID,0)),"?"))</f>
        <v/>
      </c>
      <c r="J145" s="34" t="n">
        <f aca="false">IF($D145="",0,IFERROR(INDEX(MAP_SINALMOV,MATCH($D145,LST_TIPOMOV,0)),0))</f>
        <v>0</v>
      </c>
      <c r="K145" s="36" t="n">
        <f aca="false">IF($A145="",0,$E145*$J145)</f>
        <v>0</v>
      </c>
      <c r="L145" s="35" t="str">
        <f aca="false">IF($C145="","",IFERROR(INDEX(M_CONTA,MATCH($C145,M_ID,0)),""))</f>
        <v/>
      </c>
      <c r="M145" s="35" t="str">
        <f aca="false">IF($B145="","",IF($E145&lt;=0,"ERRO: valor deve ser maior que zero",IF(COUNTIF(M_ID,$C145)=0,"ERRO: meta inexistente",IF(COUNTIF(LST_TIPOMOV,$D145)=0,"ERRO: tipo de movimento invalido",IF(AND($D145="TRANSF_SAIDA",COUNTIF(M_ID,$G145)=0),"ERRO: informe a meta de destino",IF(AND($J145=-1,$F145=""),"ATENCAO: informe o destino da retirada","OK"))))))</f>
        <v/>
      </c>
    </row>
    <row r="146" customFormat="false" ht="15" hidden="false" customHeight="false" outlineLevel="0" collapsed="false">
      <c r="A146" s="30" t="str">
        <f aca="false">IF($B146="","","MOV-"&amp;TEXT(ROW()-4,"000000"))</f>
        <v/>
      </c>
      <c r="B146" s="31"/>
      <c r="C146" s="32"/>
      <c r="D146" s="32"/>
      <c r="E146" s="33"/>
      <c r="F146" s="32"/>
      <c r="G146" s="32"/>
      <c r="H146" s="32"/>
      <c r="I146" s="35" t="str">
        <f aca="false">IF($C146="","",IFERROR(INDEX(M_NOME,MATCH($C146,M_ID,0)),"?"))</f>
        <v/>
      </c>
      <c r="J146" s="34" t="n">
        <f aca="false">IF($D146="",0,IFERROR(INDEX(MAP_SINALMOV,MATCH($D146,LST_TIPOMOV,0)),0))</f>
        <v>0</v>
      </c>
      <c r="K146" s="36" t="n">
        <f aca="false">IF($A146="",0,$E146*$J146)</f>
        <v>0</v>
      </c>
      <c r="L146" s="35" t="str">
        <f aca="false">IF($C146="","",IFERROR(INDEX(M_CONTA,MATCH($C146,M_ID,0)),""))</f>
        <v/>
      </c>
      <c r="M146" s="35" t="str">
        <f aca="false">IF($B146="","",IF($E146&lt;=0,"ERRO: valor deve ser maior que zero",IF(COUNTIF(M_ID,$C146)=0,"ERRO: meta inexistente",IF(COUNTIF(LST_TIPOMOV,$D146)=0,"ERRO: tipo de movimento invalido",IF(AND($D146="TRANSF_SAIDA",COUNTIF(M_ID,$G146)=0),"ERRO: informe a meta de destino",IF(AND($J146=-1,$F146=""),"ATENCAO: informe o destino da retirada","OK"))))))</f>
        <v/>
      </c>
    </row>
    <row r="147" customFormat="false" ht="15" hidden="false" customHeight="false" outlineLevel="0" collapsed="false">
      <c r="A147" s="30" t="str">
        <f aca="false">IF($B147="","","MOV-"&amp;TEXT(ROW()-4,"000000"))</f>
        <v/>
      </c>
      <c r="B147" s="31"/>
      <c r="C147" s="32"/>
      <c r="D147" s="32"/>
      <c r="E147" s="33"/>
      <c r="F147" s="32"/>
      <c r="G147" s="32"/>
      <c r="H147" s="32"/>
      <c r="I147" s="35" t="str">
        <f aca="false">IF($C147="","",IFERROR(INDEX(M_NOME,MATCH($C147,M_ID,0)),"?"))</f>
        <v/>
      </c>
      <c r="J147" s="34" t="n">
        <f aca="false">IF($D147="",0,IFERROR(INDEX(MAP_SINALMOV,MATCH($D147,LST_TIPOMOV,0)),0))</f>
        <v>0</v>
      </c>
      <c r="K147" s="36" t="n">
        <f aca="false">IF($A147="",0,$E147*$J147)</f>
        <v>0</v>
      </c>
      <c r="L147" s="35" t="str">
        <f aca="false">IF($C147="","",IFERROR(INDEX(M_CONTA,MATCH($C147,M_ID,0)),""))</f>
        <v/>
      </c>
      <c r="M147" s="35" t="str">
        <f aca="false">IF($B147="","",IF($E147&lt;=0,"ERRO: valor deve ser maior que zero",IF(COUNTIF(M_ID,$C147)=0,"ERRO: meta inexistente",IF(COUNTIF(LST_TIPOMOV,$D147)=0,"ERRO: tipo de movimento invalido",IF(AND($D147="TRANSF_SAIDA",COUNTIF(M_ID,$G147)=0),"ERRO: informe a meta de destino",IF(AND($J147=-1,$F147=""),"ATENCAO: informe o destino da retirada","OK"))))))</f>
        <v/>
      </c>
    </row>
    <row r="148" customFormat="false" ht="15" hidden="false" customHeight="false" outlineLevel="0" collapsed="false">
      <c r="A148" s="30" t="str">
        <f aca="false">IF($B148="","","MOV-"&amp;TEXT(ROW()-4,"000000"))</f>
        <v/>
      </c>
      <c r="B148" s="31"/>
      <c r="C148" s="32"/>
      <c r="D148" s="32"/>
      <c r="E148" s="33"/>
      <c r="F148" s="32"/>
      <c r="G148" s="32"/>
      <c r="H148" s="32"/>
      <c r="I148" s="35" t="str">
        <f aca="false">IF($C148="","",IFERROR(INDEX(M_NOME,MATCH($C148,M_ID,0)),"?"))</f>
        <v/>
      </c>
      <c r="J148" s="34" t="n">
        <f aca="false">IF($D148="",0,IFERROR(INDEX(MAP_SINALMOV,MATCH($D148,LST_TIPOMOV,0)),0))</f>
        <v>0</v>
      </c>
      <c r="K148" s="36" t="n">
        <f aca="false">IF($A148="",0,$E148*$J148)</f>
        <v>0</v>
      </c>
      <c r="L148" s="35" t="str">
        <f aca="false">IF($C148="","",IFERROR(INDEX(M_CONTA,MATCH($C148,M_ID,0)),""))</f>
        <v/>
      </c>
      <c r="M148" s="35" t="str">
        <f aca="false">IF($B148="","",IF($E148&lt;=0,"ERRO: valor deve ser maior que zero",IF(COUNTIF(M_ID,$C148)=0,"ERRO: meta inexistente",IF(COUNTIF(LST_TIPOMOV,$D148)=0,"ERRO: tipo de movimento invalido",IF(AND($D148="TRANSF_SAIDA",COUNTIF(M_ID,$G148)=0),"ERRO: informe a meta de destino",IF(AND($J148=-1,$F148=""),"ATENCAO: informe o destino da retirada","OK"))))))</f>
        <v/>
      </c>
    </row>
    <row r="149" customFormat="false" ht="15" hidden="false" customHeight="false" outlineLevel="0" collapsed="false">
      <c r="A149" s="30" t="str">
        <f aca="false">IF($B149="","","MOV-"&amp;TEXT(ROW()-4,"000000"))</f>
        <v/>
      </c>
      <c r="B149" s="31"/>
      <c r="C149" s="32"/>
      <c r="D149" s="32"/>
      <c r="E149" s="33"/>
      <c r="F149" s="32"/>
      <c r="G149" s="32"/>
      <c r="H149" s="32"/>
      <c r="I149" s="35" t="str">
        <f aca="false">IF($C149="","",IFERROR(INDEX(M_NOME,MATCH($C149,M_ID,0)),"?"))</f>
        <v/>
      </c>
      <c r="J149" s="34" t="n">
        <f aca="false">IF($D149="",0,IFERROR(INDEX(MAP_SINALMOV,MATCH($D149,LST_TIPOMOV,0)),0))</f>
        <v>0</v>
      </c>
      <c r="K149" s="36" t="n">
        <f aca="false">IF($A149="",0,$E149*$J149)</f>
        <v>0</v>
      </c>
      <c r="L149" s="35" t="str">
        <f aca="false">IF($C149="","",IFERROR(INDEX(M_CONTA,MATCH($C149,M_ID,0)),""))</f>
        <v/>
      </c>
      <c r="M149" s="35" t="str">
        <f aca="false">IF($B149="","",IF($E149&lt;=0,"ERRO: valor deve ser maior que zero",IF(COUNTIF(M_ID,$C149)=0,"ERRO: meta inexistente",IF(COUNTIF(LST_TIPOMOV,$D149)=0,"ERRO: tipo de movimento invalido",IF(AND($D149="TRANSF_SAIDA",COUNTIF(M_ID,$G149)=0),"ERRO: informe a meta de destino",IF(AND($J149=-1,$F149=""),"ATENCAO: informe o destino da retirada","OK"))))))</f>
        <v/>
      </c>
    </row>
    <row r="150" customFormat="false" ht="15" hidden="false" customHeight="false" outlineLevel="0" collapsed="false">
      <c r="A150" s="30" t="str">
        <f aca="false">IF($B150="","","MOV-"&amp;TEXT(ROW()-4,"000000"))</f>
        <v/>
      </c>
      <c r="B150" s="31"/>
      <c r="C150" s="32"/>
      <c r="D150" s="32"/>
      <c r="E150" s="33"/>
      <c r="F150" s="32"/>
      <c r="G150" s="32"/>
      <c r="H150" s="32"/>
      <c r="I150" s="35" t="str">
        <f aca="false">IF($C150="","",IFERROR(INDEX(M_NOME,MATCH($C150,M_ID,0)),"?"))</f>
        <v/>
      </c>
      <c r="J150" s="34" t="n">
        <f aca="false">IF($D150="",0,IFERROR(INDEX(MAP_SINALMOV,MATCH($D150,LST_TIPOMOV,0)),0))</f>
        <v>0</v>
      </c>
      <c r="K150" s="36" t="n">
        <f aca="false">IF($A150="",0,$E150*$J150)</f>
        <v>0</v>
      </c>
      <c r="L150" s="35" t="str">
        <f aca="false">IF($C150="","",IFERROR(INDEX(M_CONTA,MATCH($C150,M_ID,0)),""))</f>
        <v/>
      </c>
      <c r="M150" s="35" t="str">
        <f aca="false">IF($B150="","",IF($E150&lt;=0,"ERRO: valor deve ser maior que zero",IF(COUNTIF(M_ID,$C150)=0,"ERRO: meta inexistente",IF(COUNTIF(LST_TIPOMOV,$D150)=0,"ERRO: tipo de movimento invalido",IF(AND($D150="TRANSF_SAIDA",COUNTIF(M_ID,$G150)=0),"ERRO: informe a meta de destino",IF(AND($J150=-1,$F150=""),"ATENCAO: informe o destino da retirada","OK"))))))</f>
        <v/>
      </c>
    </row>
    <row r="151" customFormat="false" ht="15" hidden="false" customHeight="false" outlineLevel="0" collapsed="false">
      <c r="A151" s="30" t="str">
        <f aca="false">IF($B151="","","MOV-"&amp;TEXT(ROW()-4,"000000"))</f>
        <v/>
      </c>
      <c r="B151" s="31"/>
      <c r="C151" s="32"/>
      <c r="D151" s="32"/>
      <c r="E151" s="33"/>
      <c r="F151" s="32"/>
      <c r="G151" s="32"/>
      <c r="H151" s="32"/>
      <c r="I151" s="35" t="str">
        <f aca="false">IF($C151="","",IFERROR(INDEX(M_NOME,MATCH($C151,M_ID,0)),"?"))</f>
        <v/>
      </c>
      <c r="J151" s="34" t="n">
        <f aca="false">IF($D151="",0,IFERROR(INDEX(MAP_SINALMOV,MATCH($D151,LST_TIPOMOV,0)),0))</f>
        <v>0</v>
      </c>
      <c r="K151" s="36" t="n">
        <f aca="false">IF($A151="",0,$E151*$J151)</f>
        <v>0</v>
      </c>
      <c r="L151" s="35" t="str">
        <f aca="false">IF($C151="","",IFERROR(INDEX(M_CONTA,MATCH($C151,M_ID,0)),""))</f>
        <v/>
      </c>
      <c r="M151" s="35" t="str">
        <f aca="false">IF($B151="","",IF($E151&lt;=0,"ERRO: valor deve ser maior que zero",IF(COUNTIF(M_ID,$C151)=0,"ERRO: meta inexistente",IF(COUNTIF(LST_TIPOMOV,$D151)=0,"ERRO: tipo de movimento invalido",IF(AND($D151="TRANSF_SAIDA",COUNTIF(M_ID,$G151)=0),"ERRO: informe a meta de destino",IF(AND($J151=-1,$F151=""),"ATENCAO: informe o destino da retirada","OK"))))))</f>
        <v/>
      </c>
    </row>
    <row r="152" customFormat="false" ht="15" hidden="false" customHeight="false" outlineLevel="0" collapsed="false">
      <c r="A152" s="30" t="str">
        <f aca="false">IF($B152="","","MOV-"&amp;TEXT(ROW()-4,"000000"))</f>
        <v/>
      </c>
      <c r="B152" s="31"/>
      <c r="C152" s="32"/>
      <c r="D152" s="32"/>
      <c r="E152" s="33"/>
      <c r="F152" s="32"/>
      <c r="G152" s="32"/>
      <c r="H152" s="32"/>
      <c r="I152" s="35" t="str">
        <f aca="false">IF($C152="","",IFERROR(INDEX(M_NOME,MATCH($C152,M_ID,0)),"?"))</f>
        <v/>
      </c>
      <c r="J152" s="34" t="n">
        <f aca="false">IF($D152="",0,IFERROR(INDEX(MAP_SINALMOV,MATCH($D152,LST_TIPOMOV,0)),0))</f>
        <v>0</v>
      </c>
      <c r="K152" s="36" t="n">
        <f aca="false">IF($A152="",0,$E152*$J152)</f>
        <v>0</v>
      </c>
      <c r="L152" s="35" t="str">
        <f aca="false">IF($C152="","",IFERROR(INDEX(M_CONTA,MATCH($C152,M_ID,0)),""))</f>
        <v/>
      </c>
      <c r="M152" s="35" t="str">
        <f aca="false">IF($B152="","",IF($E152&lt;=0,"ERRO: valor deve ser maior que zero",IF(COUNTIF(M_ID,$C152)=0,"ERRO: meta inexistente",IF(COUNTIF(LST_TIPOMOV,$D152)=0,"ERRO: tipo de movimento invalido",IF(AND($D152="TRANSF_SAIDA",COUNTIF(M_ID,$G152)=0),"ERRO: informe a meta de destino",IF(AND($J152=-1,$F152=""),"ATENCAO: informe o destino da retirada","OK"))))))</f>
        <v/>
      </c>
    </row>
    <row r="153" customFormat="false" ht="15" hidden="false" customHeight="false" outlineLevel="0" collapsed="false">
      <c r="A153" s="30" t="str">
        <f aca="false">IF($B153="","","MOV-"&amp;TEXT(ROW()-4,"000000"))</f>
        <v/>
      </c>
      <c r="B153" s="31"/>
      <c r="C153" s="32"/>
      <c r="D153" s="32"/>
      <c r="E153" s="33"/>
      <c r="F153" s="32"/>
      <c r="G153" s="32"/>
      <c r="H153" s="32"/>
      <c r="I153" s="35" t="str">
        <f aca="false">IF($C153="","",IFERROR(INDEX(M_NOME,MATCH($C153,M_ID,0)),"?"))</f>
        <v/>
      </c>
      <c r="J153" s="34" t="n">
        <f aca="false">IF($D153="",0,IFERROR(INDEX(MAP_SINALMOV,MATCH($D153,LST_TIPOMOV,0)),0))</f>
        <v>0</v>
      </c>
      <c r="K153" s="36" t="n">
        <f aca="false">IF($A153="",0,$E153*$J153)</f>
        <v>0</v>
      </c>
      <c r="L153" s="35" t="str">
        <f aca="false">IF($C153="","",IFERROR(INDEX(M_CONTA,MATCH($C153,M_ID,0)),""))</f>
        <v/>
      </c>
      <c r="M153" s="35" t="str">
        <f aca="false">IF($B153="","",IF($E153&lt;=0,"ERRO: valor deve ser maior que zero",IF(COUNTIF(M_ID,$C153)=0,"ERRO: meta inexistente",IF(COUNTIF(LST_TIPOMOV,$D153)=0,"ERRO: tipo de movimento invalido",IF(AND($D153="TRANSF_SAIDA",COUNTIF(M_ID,$G153)=0),"ERRO: informe a meta de destino",IF(AND($J153=-1,$F153=""),"ATENCAO: informe o destino da retirada","OK"))))))</f>
        <v/>
      </c>
    </row>
    <row r="154" customFormat="false" ht="15" hidden="false" customHeight="false" outlineLevel="0" collapsed="false">
      <c r="A154" s="30" t="str">
        <f aca="false">IF($B154="","","MOV-"&amp;TEXT(ROW()-4,"000000"))</f>
        <v/>
      </c>
      <c r="B154" s="31"/>
      <c r="C154" s="32"/>
      <c r="D154" s="32"/>
      <c r="E154" s="33"/>
      <c r="F154" s="32"/>
      <c r="G154" s="32"/>
      <c r="H154" s="32"/>
      <c r="I154" s="35" t="str">
        <f aca="false">IF($C154="","",IFERROR(INDEX(M_NOME,MATCH($C154,M_ID,0)),"?"))</f>
        <v/>
      </c>
      <c r="J154" s="34" t="n">
        <f aca="false">IF($D154="",0,IFERROR(INDEX(MAP_SINALMOV,MATCH($D154,LST_TIPOMOV,0)),0))</f>
        <v>0</v>
      </c>
      <c r="K154" s="36" t="n">
        <f aca="false">IF($A154="",0,$E154*$J154)</f>
        <v>0</v>
      </c>
      <c r="L154" s="35" t="str">
        <f aca="false">IF($C154="","",IFERROR(INDEX(M_CONTA,MATCH($C154,M_ID,0)),""))</f>
        <v/>
      </c>
      <c r="M154" s="35" t="str">
        <f aca="false">IF($B154="","",IF($E154&lt;=0,"ERRO: valor deve ser maior que zero",IF(COUNTIF(M_ID,$C154)=0,"ERRO: meta inexistente",IF(COUNTIF(LST_TIPOMOV,$D154)=0,"ERRO: tipo de movimento invalido",IF(AND($D154="TRANSF_SAIDA",COUNTIF(M_ID,$G154)=0),"ERRO: informe a meta de destino",IF(AND($J154=-1,$F154=""),"ATENCAO: informe o destino da retirada","OK"))))))</f>
        <v/>
      </c>
    </row>
    <row r="155" customFormat="false" ht="15" hidden="false" customHeight="false" outlineLevel="0" collapsed="false">
      <c r="A155" s="30" t="str">
        <f aca="false">IF($B155="","","MOV-"&amp;TEXT(ROW()-4,"000000"))</f>
        <v/>
      </c>
      <c r="B155" s="31"/>
      <c r="C155" s="32"/>
      <c r="D155" s="32"/>
      <c r="E155" s="33"/>
      <c r="F155" s="32"/>
      <c r="G155" s="32"/>
      <c r="H155" s="32"/>
      <c r="I155" s="35" t="str">
        <f aca="false">IF($C155="","",IFERROR(INDEX(M_NOME,MATCH($C155,M_ID,0)),"?"))</f>
        <v/>
      </c>
      <c r="J155" s="34" t="n">
        <f aca="false">IF($D155="",0,IFERROR(INDEX(MAP_SINALMOV,MATCH($D155,LST_TIPOMOV,0)),0))</f>
        <v>0</v>
      </c>
      <c r="K155" s="36" t="n">
        <f aca="false">IF($A155="",0,$E155*$J155)</f>
        <v>0</v>
      </c>
      <c r="L155" s="35" t="str">
        <f aca="false">IF($C155="","",IFERROR(INDEX(M_CONTA,MATCH($C155,M_ID,0)),""))</f>
        <v/>
      </c>
      <c r="M155" s="35" t="str">
        <f aca="false">IF($B155="","",IF($E155&lt;=0,"ERRO: valor deve ser maior que zero",IF(COUNTIF(M_ID,$C155)=0,"ERRO: meta inexistente",IF(COUNTIF(LST_TIPOMOV,$D155)=0,"ERRO: tipo de movimento invalido",IF(AND($D155="TRANSF_SAIDA",COUNTIF(M_ID,$G155)=0),"ERRO: informe a meta de destino",IF(AND($J155=-1,$F155=""),"ATENCAO: informe o destino da retirada","OK"))))))</f>
        <v/>
      </c>
    </row>
    <row r="156" customFormat="false" ht="15" hidden="false" customHeight="false" outlineLevel="0" collapsed="false">
      <c r="A156" s="30" t="str">
        <f aca="false">IF($B156="","","MOV-"&amp;TEXT(ROW()-4,"000000"))</f>
        <v/>
      </c>
      <c r="B156" s="31"/>
      <c r="C156" s="32"/>
      <c r="D156" s="32"/>
      <c r="E156" s="33"/>
      <c r="F156" s="32"/>
      <c r="G156" s="32"/>
      <c r="H156" s="32"/>
      <c r="I156" s="35" t="str">
        <f aca="false">IF($C156="","",IFERROR(INDEX(M_NOME,MATCH($C156,M_ID,0)),"?"))</f>
        <v/>
      </c>
      <c r="J156" s="34" t="n">
        <f aca="false">IF($D156="",0,IFERROR(INDEX(MAP_SINALMOV,MATCH($D156,LST_TIPOMOV,0)),0))</f>
        <v>0</v>
      </c>
      <c r="K156" s="36" t="n">
        <f aca="false">IF($A156="",0,$E156*$J156)</f>
        <v>0</v>
      </c>
      <c r="L156" s="35" t="str">
        <f aca="false">IF($C156="","",IFERROR(INDEX(M_CONTA,MATCH($C156,M_ID,0)),""))</f>
        <v/>
      </c>
      <c r="M156" s="35" t="str">
        <f aca="false">IF($B156="","",IF($E156&lt;=0,"ERRO: valor deve ser maior que zero",IF(COUNTIF(M_ID,$C156)=0,"ERRO: meta inexistente",IF(COUNTIF(LST_TIPOMOV,$D156)=0,"ERRO: tipo de movimento invalido",IF(AND($D156="TRANSF_SAIDA",COUNTIF(M_ID,$G156)=0),"ERRO: informe a meta de destino",IF(AND($J156=-1,$F156=""),"ATENCAO: informe o destino da retirada","OK"))))))</f>
        <v/>
      </c>
    </row>
    <row r="157" customFormat="false" ht="15" hidden="false" customHeight="false" outlineLevel="0" collapsed="false">
      <c r="A157" s="30" t="str">
        <f aca="false">IF($B157="","","MOV-"&amp;TEXT(ROW()-4,"000000"))</f>
        <v/>
      </c>
      <c r="B157" s="31"/>
      <c r="C157" s="32"/>
      <c r="D157" s="32"/>
      <c r="E157" s="33"/>
      <c r="F157" s="32"/>
      <c r="G157" s="32"/>
      <c r="H157" s="32"/>
      <c r="I157" s="35" t="str">
        <f aca="false">IF($C157="","",IFERROR(INDEX(M_NOME,MATCH($C157,M_ID,0)),"?"))</f>
        <v/>
      </c>
      <c r="J157" s="34" t="n">
        <f aca="false">IF($D157="",0,IFERROR(INDEX(MAP_SINALMOV,MATCH($D157,LST_TIPOMOV,0)),0))</f>
        <v>0</v>
      </c>
      <c r="K157" s="36" t="n">
        <f aca="false">IF($A157="",0,$E157*$J157)</f>
        <v>0</v>
      </c>
      <c r="L157" s="35" t="str">
        <f aca="false">IF($C157="","",IFERROR(INDEX(M_CONTA,MATCH($C157,M_ID,0)),""))</f>
        <v/>
      </c>
      <c r="M157" s="35" t="str">
        <f aca="false">IF($B157="","",IF($E157&lt;=0,"ERRO: valor deve ser maior que zero",IF(COUNTIF(M_ID,$C157)=0,"ERRO: meta inexistente",IF(COUNTIF(LST_TIPOMOV,$D157)=0,"ERRO: tipo de movimento invalido",IF(AND($D157="TRANSF_SAIDA",COUNTIF(M_ID,$G157)=0),"ERRO: informe a meta de destino",IF(AND($J157=-1,$F157=""),"ATENCAO: informe o destino da retirada","OK"))))))</f>
        <v/>
      </c>
    </row>
    <row r="158" customFormat="false" ht="15" hidden="false" customHeight="false" outlineLevel="0" collapsed="false">
      <c r="A158" s="30" t="str">
        <f aca="false">IF($B158="","","MOV-"&amp;TEXT(ROW()-4,"000000"))</f>
        <v/>
      </c>
      <c r="B158" s="31"/>
      <c r="C158" s="32"/>
      <c r="D158" s="32"/>
      <c r="E158" s="33"/>
      <c r="F158" s="32"/>
      <c r="G158" s="32"/>
      <c r="H158" s="32"/>
      <c r="I158" s="35" t="str">
        <f aca="false">IF($C158="","",IFERROR(INDEX(M_NOME,MATCH($C158,M_ID,0)),"?"))</f>
        <v/>
      </c>
      <c r="J158" s="34" t="n">
        <f aca="false">IF($D158="",0,IFERROR(INDEX(MAP_SINALMOV,MATCH($D158,LST_TIPOMOV,0)),0))</f>
        <v>0</v>
      </c>
      <c r="K158" s="36" t="n">
        <f aca="false">IF($A158="",0,$E158*$J158)</f>
        <v>0</v>
      </c>
      <c r="L158" s="35" t="str">
        <f aca="false">IF($C158="","",IFERROR(INDEX(M_CONTA,MATCH($C158,M_ID,0)),""))</f>
        <v/>
      </c>
      <c r="M158" s="35" t="str">
        <f aca="false">IF($B158="","",IF($E158&lt;=0,"ERRO: valor deve ser maior que zero",IF(COUNTIF(M_ID,$C158)=0,"ERRO: meta inexistente",IF(COUNTIF(LST_TIPOMOV,$D158)=0,"ERRO: tipo de movimento invalido",IF(AND($D158="TRANSF_SAIDA",COUNTIF(M_ID,$G158)=0),"ERRO: informe a meta de destino",IF(AND($J158=-1,$F158=""),"ATENCAO: informe o destino da retirada","OK"))))))</f>
        <v/>
      </c>
    </row>
    <row r="159" customFormat="false" ht="15" hidden="false" customHeight="false" outlineLevel="0" collapsed="false">
      <c r="A159" s="30" t="str">
        <f aca="false">IF($B159="","","MOV-"&amp;TEXT(ROW()-4,"000000"))</f>
        <v/>
      </c>
      <c r="B159" s="31"/>
      <c r="C159" s="32"/>
      <c r="D159" s="32"/>
      <c r="E159" s="33"/>
      <c r="F159" s="32"/>
      <c r="G159" s="32"/>
      <c r="H159" s="32"/>
      <c r="I159" s="35" t="str">
        <f aca="false">IF($C159="","",IFERROR(INDEX(M_NOME,MATCH($C159,M_ID,0)),"?"))</f>
        <v/>
      </c>
      <c r="J159" s="34" t="n">
        <f aca="false">IF($D159="",0,IFERROR(INDEX(MAP_SINALMOV,MATCH($D159,LST_TIPOMOV,0)),0))</f>
        <v>0</v>
      </c>
      <c r="K159" s="36" t="n">
        <f aca="false">IF($A159="",0,$E159*$J159)</f>
        <v>0</v>
      </c>
      <c r="L159" s="35" t="str">
        <f aca="false">IF($C159="","",IFERROR(INDEX(M_CONTA,MATCH($C159,M_ID,0)),""))</f>
        <v/>
      </c>
      <c r="M159" s="35" t="str">
        <f aca="false">IF($B159="","",IF($E159&lt;=0,"ERRO: valor deve ser maior que zero",IF(COUNTIF(M_ID,$C159)=0,"ERRO: meta inexistente",IF(COUNTIF(LST_TIPOMOV,$D159)=0,"ERRO: tipo de movimento invalido",IF(AND($D159="TRANSF_SAIDA",COUNTIF(M_ID,$G159)=0),"ERRO: informe a meta de destino",IF(AND($J159=-1,$F159=""),"ATENCAO: informe o destino da retirada","OK"))))))</f>
        <v/>
      </c>
    </row>
    <row r="160" customFormat="false" ht="15" hidden="false" customHeight="false" outlineLevel="0" collapsed="false">
      <c r="A160" s="30" t="str">
        <f aca="false">IF($B160="","","MOV-"&amp;TEXT(ROW()-4,"000000"))</f>
        <v/>
      </c>
      <c r="B160" s="31"/>
      <c r="C160" s="32"/>
      <c r="D160" s="32"/>
      <c r="E160" s="33"/>
      <c r="F160" s="32"/>
      <c r="G160" s="32"/>
      <c r="H160" s="32"/>
      <c r="I160" s="35" t="str">
        <f aca="false">IF($C160="","",IFERROR(INDEX(M_NOME,MATCH($C160,M_ID,0)),"?"))</f>
        <v/>
      </c>
      <c r="J160" s="34" t="n">
        <f aca="false">IF($D160="",0,IFERROR(INDEX(MAP_SINALMOV,MATCH($D160,LST_TIPOMOV,0)),0))</f>
        <v>0</v>
      </c>
      <c r="K160" s="36" t="n">
        <f aca="false">IF($A160="",0,$E160*$J160)</f>
        <v>0</v>
      </c>
      <c r="L160" s="35" t="str">
        <f aca="false">IF($C160="","",IFERROR(INDEX(M_CONTA,MATCH($C160,M_ID,0)),""))</f>
        <v/>
      </c>
      <c r="M160" s="35" t="str">
        <f aca="false">IF($B160="","",IF($E160&lt;=0,"ERRO: valor deve ser maior que zero",IF(COUNTIF(M_ID,$C160)=0,"ERRO: meta inexistente",IF(COUNTIF(LST_TIPOMOV,$D160)=0,"ERRO: tipo de movimento invalido",IF(AND($D160="TRANSF_SAIDA",COUNTIF(M_ID,$G160)=0),"ERRO: informe a meta de destino",IF(AND($J160=-1,$F160=""),"ATENCAO: informe o destino da retirada","OK"))))))</f>
        <v/>
      </c>
    </row>
    <row r="161" customFormat="false" ht="15" hidden="false" customHeight="false" outlineLevel="0" collapsed="false">
      <c r="A161" s="30" t="str">
        <f aca="false">IF($B161="","","MOV-"&amp;TEXT(ROW()-4,"000000"))</f>
        <v/>
      </c>
      <c r="B161" s="31"/>
      <c r="C161" s="32"/>
      <c r="D161" s="32"/>
      <c r="E161" s="33"/>
      <c r="F161" s="32"/>
      <c r="G161" s="32"/>
      <c r="H161" s="32"/>
      <c r="I161" s="35" t="str">
        <f aca="false">IF($C161="","",IFERROR(INDEX(M_NOME,MATCH($C161,M_ID,0)),"?"))</f>
        <v/>
      </c>
      <c r="J161" s="34" t="n">
        <f aca="false">IF($D161="",0,IFERROR(INDEX(MAP_SINALMOV,MATCH($D161,LST_TIPOMOV,0)),0))</f>
        <v>0</v>
      </c>
      <c r="K161" s="36" t="n">
        <f aca="false">IF($A161="",0,$E161*$J161)</f>
        <v>0</v>
      </c>
      <c r="L161" s="35" t="str">
        <f aca="false">IF($C161="","",IFERROR(INDEX(M_CONTA,MATCH($C161,M_ID,0)),""))</f>
        <v/>
      </c>
      <c r="M161" s="35" t="str">
        <f aca="false">IF($B161="","",IF($E161&lt;=0,"ERRO: valor deve ser maior que zero",IF(COUNTIF(M_ID,$C161)=0,"ERRO: meta inexistente",IF(COUNTIF(LST_TIPOMOV,$D161)=0,"ERRO: tipo de movimento invalido",IF(AND($D161="TRANSF_SAIDA",COUNTIF(M_ID,$G161)=0),"ERRO: informe a meta de destino",IF(AND($J161=-1,$F161=""),"ATENCAO: informe o destino da retirada","OK"))))))</f>
        <v/>
      </c>
    </row>
    <row r="162" customFormat="false" ht="15" hidden="false" customHeight="false" outlineLevel="0" collapsed="false">
      <c r="A162" s="30" t="str">
        <f aca="false">IF($B162="","","MOV-"&amp;TEXT(ROW()-4,"000000"))</f>
        <v/>
      </c>
      <c r="B162" s="31"/>
      <c r="C162" s="32"/>
      <c r="D162" s="32"/>
      <c r="E162" s="33"/>
      <c r="F162" s="32"/>
      <c r="G162" s="32"/>
      <c r="H162" s="32"/>
      <c r="I162" s="35" t="str">
        <f aca="false">IF($C162="","",IFERROR(INDEX(M_NOME,MATCH($C162,M_ID,0)),"?"))</f>
        <v/>
      </c>
      <c r="J162" s="34" t="n">
        <f aca="false">IF($D162="",0,IFERROR(INDEX(MAP_SINALMOV,MATCH($D162,LST_TIPOMOV,0)),0))</f>
        <v>0</v>
      </c>
      <c r="K162" s="36" t="n">
        <f aca="false">IF($A162="",0,$E162*$J162)</f>
        <v>0</v>
      </c>
      <c r="L162" s="35" t="str">
        <f aca="false">IF($C162="","",IFERROR(INDEX(M_CONTA,MATCH($C162,M_ID,0)),""))</f>
        <v/>
      </c>
      <c r="M162" s="35" t="str">
        <f aca="false">IF($B162="","",IF($E162&lt;=0,"ERRO: valor deve ser maior que zero",IF(COUNTIF(M_ID,$C162)=0,"ERRO: meta inexistente",IF(COUNTIF(LST_TIPOMOV,$D162)=0,"ERRO: tipo de movimento invalido",IF(AND($D162="TRANSF_SAIDA",COUNTIF(M_ID,$G162)=0),"ERRO: informe a meta de destino",IF(AND($J162=-1,$F162=""),"ATENCAO: informe o destino da retirada","OK"))))))</f>
        <v/>
      </c>
    </row>
    <row r="163" customFormat="false" ht="15" hidden="false" customHeight="false" outlineLevel="0" collapsed="false">
      <c r="A163" s="30" t="str">
        <f aca="false">IF($B163="","","MOV-"&amp;TEXT(ROW()-4,"000000"))</f>
        <v/>
      </c>
      <c r="B163" s="31"/>
      <c r="C163" s="32"/>
      <c r="D163" s="32"/>
      <c r="E163" s="33"/>
      <c r="F163" s="32"/>
      <c r="G163" s="32"/>
      <c r="H163" s="32"/>
      <c r="I163" s="35" t="str">
        <f aca="false">IF($C163="","",IFERROR(INDEX(M_NOME,MATCH($C163,M_ID,0)),"?"))</f>
        <v/>
      </c>
      <c r="J163" s="34" t="n">
        <f aca="false">IF($D163="",0,IFERROR(INDEX(MAP_SINALMOV,MATCH($D163,LST_TIPOMOV,0)),0))</f>
        <v>0</v>
      </c>
      <c r="K163" s="36" t="n">
        <f aca="false">IF($A163="",0,$E163*$J163)</f>
        <v>0</v>
      </c>
      <c r="L163" s="35" t="str">
        <f aca="false">IF($C163="","",IFERROR(INDEX(M_CONTA,MATCH($C163,M_ID,0)),""))</f>
        <v/>
      </c>
      <c r="M163" s="35" t="str">
        <f aca="false">IF($B163="","",IF($E163&lt;=0,"ERRO: valor deve ser maior que zero",IF(COUNTIF(M_ID,$C163)=0,"ERRO: meta inexistente",IF(COUNTIF(LST_TIPOMOV,$D163)=0,"ERRO: tipo de movimento invalido",IF(AND($D163="TRANSF_SAIDA",COUNTIF(M_ID,$G163)=0),"ERRO: informe a meta de destino",IF(AND($J163=-1,$F163=""),"ATENCAO: informe o destino da retirada","OK"))))))</f>
        <v/>
      </c>
    </row>
    <row r="164" customFormat="false" ht="15" hidden="false" customHeight="false" outlineLevel="0" collapsed="false">
      <c r="A164" s="30" t="str">
        <f aca="false">IF($B164="","","MOV-"&amp;TEXT(ROW()-4,"000000"))</f>
        <v/>
      </c>
      <c r="B164" s="31"/>
      <c r="C164" s="32"/>
      <c r="D164" s="32"/>
      <c r="E164" s="33"/>
      <c r="F164" s="32"/>
      <c r="G164" s="32"/>
      <c r="H164" s="32"/>
      <c r="I164" s="35" t="str">
        <f aca="false">IF($C164="","",IFERROR(INDEX(M_NOME,MATCH($C164,M_ID,0)),"?"))</f>
        <v/>
      </c>
      <c r="J164" s="34" t="n">
        <f aca="false">IF($D164="",0,IFERROR(INDEX(MAP_SINALMOV,MATCH($D164,LST_TIPOMOV,0)),0))</f>
        <v>0</v>
      </c>
      <c r="K164" s="36" t="n">
        <f aca="false">IF($A164="",0,$E164*$J164)</f>
        <v>0</v>
      </c>
      <c r="L164" s="35" t="str">
        <f aca="false">IF($C164="","",IFERROR(INDEX(M_CONTA,MATCH($C164,M_ID,0)),""))</f>
        <v/>
      </c>
      <c r="M164" s="35" t="str">
        <f aca="false">IF($B164="","",IF($E164&lt;=0,"ERRO: valor deve ser maior que zero",IF(COUNTIF(M_ID,$C164)=0,"ERRO: meta inexistente",IF(COUNTIF(LST_TIPOMOV,$D164)=0,"ERRO: tipo de movimento invalido",IF(AND($D164="TRANSF_SAIDA",COUNTIF(M_ID,$G164)=0),"ERRO: informe a meta de destino",IF(AND($J164=-1,$F164=""),"ATENCAO: informe o destino da retirada","OK"))))))</f>
        <v/>
      </c>
    </row>
    <row r="165" customFormat="false" ht="15" hidden="false" customHeight="false" outlineLevel="0" collapsed="false">
      <c r="A165" s="30" t="str">
        <f aca="false">IF($B165="","","MOV-"&amp;TEXT(ROW()-4,"000000"))</f>
        <v/>
      </c>
      <c r="B165" s="31"/>
      <c r="C165" s="32"/>
      <c r="D165" s="32"/>
      <c r="E165" s="33"/>
      <c r="F165" s="32"/>
      <c r="G165" s="32"/>
      <c r="H165" s="32"/>
      <c r="I165" s="35" t="str">
        <f aca="false">IF($C165="","",IFERROR(INDEX(M_NOME,MATCH($C165,M_ID,0)),"?"))</f>
        <v/>
      </c>
      <c r="J165" s="34" t="n">
        <f aca="false">IF($D165="",0,IFERROR(INDEX(MAP_SINALMOV,MATCH($D165,LST_TIPOMOV,0)),0))</f>
        <v>0</v>
      </c>
      <c r="K165" s="36" t="n">
        <f aca="false">IF($A165="",0,$E165*$J165)</f>
        <v>0</v>
      </c>
      <c r="L165" s="35" t="str">
        <f aca="false">IF($C165="","",IFERROR(INDEX(M_CONTA,MATCH($C165,M_ID,0)),""))</f>
        <v/>
      </c>
      <c r="M165" s="35" t="str">
        <f aca="false">IF($B165="","",IF($E165&lt;=0,"ERRO: valor deve ser maior que zero",IF(COUNTIF(M_ID,$C165)=0,"ERRO: meta inexistente",IF(COUNTIF(LST_TIPOMOV,$D165)=0,"ERRO: tipo de movimento invalido",IF(AND($D165="TRANSF_SAIDA",COUNTIF(M_ID,$G165)=0),"ERRO: informe a meta de destino",IF(AND($J165=-1,$F165=""),"ATENCAO: informe o destino da retirada","OK"))))))</f>
        <v/>
      </c>
    </row>
    <row r="166" customFormat="false" ht="15" hidden="false" customHeight="false" outlineLevel="0" collapsed="false">
      <c r="A166" s="30" t="str">
        <f aca="false">IF($B166="","","MOV-"&amp;TEXT(ROW()-4,"000000"))</f>
        <v/>
      </c>
      <c r="B166" s="31"/>
      <c r="C166" s="32"/>
      <c r="D166" s="32"/>
      <c r="E166" s="33"/>
      <c r="F166" s="32"/>
      <c r="G166" s="32"/>
      <c r="H166" s="32"/>
      <c r="I166" s="35" t="str">
        <f aca="false">IF($C166="","",IFERROR(INDEX(M_NOME,MATCH($C166,M_ID,0)),"?"))</f>
        <v/>
      </c>
      <c r="J166" s="34" t="n">
        <f aca="false">IF($D166="",0,IFERROR(INDEX(MAP_SINALMOV,MATCH($D166,LST_TIPOMOV,0)),0))</f>
        <v>0</v>
      </c>
      <c r="K166" s="36" t="n">
        <f aca="false">IF($A166="",0,$E166*$J166)</f>
        <v>0</v>
      </c>
      <c r="L166" s="35" t="str">
        <f aca="false">IF($C166="","",IFERROR(INDEX(M_CONTA,MATCH($C166,M_ID,0)),""))</f>
        <v/>
      </c>
      <c r="M166" s="35" t="str">
        <f aca="false">IF($B166="","",IF($E166&lt;=0,"ERRO: valor deve ser maior que zero",IF(COUNTIF(M_ID,$C166)=0,"ERRO: meta inexistente",IF(COUNTIF(LST_TIPOMOV,$D166)=0,"ERRO: tipo de movimento invalido",IF(AND($D166="TRANSF_SAIDA",COUNTIF(M_ID,$G166)=0),"ERRO: informe a meta de destino",IF(AND($J166=-1,$F166=""),"ATENCAO: informe o destino da retirada","OK"))))))</f>
        <v/>
      </c>
    </row>
    <row r="167" customFormat="false" ht="15" hidden="false" customHeight="false" outlineLevel="0" collapsed="false">
      <c r="A167" s="30" t="str">
        <f aca="false">IF($B167="","","MOV-"&amp;TEXT(ROW()-4,"000000"))</f>
        <v/>
      </c>
      <c r="B167" s="31"/>
      <c r="C167" s="32"/>
      <c r="D167" s="32"/>
      <c r="E167" s="33"/>
      <c r="F167" s="32"/>
      <c r="G167" s="32"/>
      <c r="H167" s="32"/>
      <c r="I167" s="35" t="str">
        <f aca="false">IF($C167="","",IFERROR(INDEX(M_NOME,MATCH($C167,M_ID,0)),"?"))</f>
        <v/>
      </c>
      <c r="J167" s="34" t="n">
        <f aca="false">IF($D167="",0,IFERROR(INDEX(MAP_SINALMOV,MATCH($D167,LST_TIPOMOV,0)),0))</f>
        <v>0</v>
      </c>
      <c r="K167" s="36" t="n">
        <f aca="false">IF($A167="",0,$E167*$J167)</f>
        <v>0</v>
      </c>
      <c r="L167" s="35" t="str">
        <f aca="false">IF($C167="","",IFERROR(INDEX(M_CONTA,MATCH($C167,M_ID,0)),""))</f>
        <v/>
      </c>
      <c r="M167" s="35" t="str">
        <f aca="false">IF($B167="","",IF($E167&lt;=0,"ERRO: valor deve ser maior que zero",IF(COUNTIF(M_ID,$C167)=0,"ERRO: meta inexistente",IF(COUNTIF(LST_TIPOMOV,$D167)=0,"ERRO: tipo de movimento invalido",IF(AND($D167="TRANSF_SAIDA",COUNTIF(M_ID,$G167)=0),"ERRO: informe a meta de destino",IF(AND($J167=-1,$F167=""),"ATENCAO: informe o destino da retirada","OK"))))))</f>
        <v/>
      </c>
    </row>
    <row r="168" customFormat="false" ht="15" hidden="false" customHeight="false" outlineLevel="0" collapsed="false">
      <c r="A168" s="30" t="str">
        <f aca="false">IF($B168="","","MOV-"&amp;TEXT(ROW()-4,"000000"))</f>
        <v/>
      </c>
      <c r="B168" s="31"/>
      <c r="C168" s="32"/>
      <c r="D168" s="32"/>
      <c r="E168" s="33"/>
      <c r="F168" s="32"/>
      <c r="G168" s="32"/>
      <c r="H168" s="32"/>
      <c r="I168" s="35" t="str">
        <f aca="false">IF($C168="","",IFERROR(INDEX(M_NOME,MATCH($C168,M_ID,0)),"?"))</f>
        <v/>
      </c>
      <c r="J168" s="34" t="n">
        <f aca="false">IF($D168="",0,IFERROR(INDEX(MAP_SINALMOV,MATCH($D168,LST_TIPOMOV,0)),0))</f>
        <v>0</v>
      </c>
      <c r="K168" s="36" t="n">
        <f aca="false">IF($A168="",0,$E168*$J168)</f>
        <v>0</v>
      </c>
      <c r="L168" s="35" t="str">
        <f aca="false">IF($C168="","",IFERROR(INDEX(M_CONTA,MATCH($C168,M_ID,0)),""))</f>
        <v/>
      </c>
      <c r="M168" s="35" t="str">
        <f aca="false">IF($B168="","",IF($E168&lt;=0,"ERRO: valor deve ser maior que zero",IF(COUNTIF(M_ID,$C168)=0,"ERRO: meta inexistente",IF(COUNTIF(LST_TIPOMOV,$D168)=0,"ERRO: tipo de movimento invalido",IF(AND($D168="TRANSF_SAIDA",COUNTIF(M_ID,$G168)=0),"ERRO: informe a meta de destino",IF(AND($J168=-1,$F168=""),"ATENCAO: informe o destino da retirada","OK"))))))</f>
        <v/>
      </c>
    </row>
    <row r="169" customFormat="false" ht="15" hidden="false" customHeight="false" outlineLevel="0" collapsed="false">
      <c r="A169" s="30" t="str">
        <f aca="false">IF($B169="","","MOV-"&amp;TEXT(ROW()-4,"000000"))</f>
        <v/>
      </c>
      <c r="B169" s="31"/>
      <c r="C169" s="32"/>
      <c r="D169" s="32"/>
      <c r="E169" s="33"/>
      <c r="F169" s="32"/>
      <c r="G169" s="32"/>
      <c r="H169" s="32"/>
      <c r="I169" s="35" t="str">
        <f aca="false">IF($C169="","",IFERROR(INDEX(M_NOME,MATCH($C169,M_ID,0)),"?"))</f>
        <v/>
      </c>
      <c r="J169" s="34" t="n">
        <f aca="false">IF($D169="",0,IFERROR(INDEX(MAP_SINALMOV,MATCH($D169,LST_TIPOMOV,0)),0))</f>
        <v>0</v>
      </c>
      <c r="K169" s="36" t="n">
        <f aca="false">IF($A169="",0,$E169*$J169)</f>
        <v>0</v>
      </c>
      <c r="L169" s="35" t="str">
        <f aca="false">IF($C169="","",IFERROR(INDEX(M_CONTA,MATCH($C169,M_ID,0)),""))</f>
        <v/>
      </c>
      <c r="M169" s="35" t="str">
        <f aca="false">IF($B169="","",IF($E169&lt;=0,"ERRO: valor deve ser maior que zero",IF(COUNTIF(M_ID,$C169)=0,"ERRO: meta inexistente",IF(COUNTIF(LST_TIPOMOV,$D169)=0,"ERRO: tipo de movimento invalido",IF(AND($D169="TRANSF_SAIDA",COUNTIF(M_ID,$G169)=0),"ERRO: informe a meta de destino",IF(AND($J169=-1,$F169=""),"ATENCAO: informe o destino da retirada","OK"))))))</f>
        <v/>
      </c>
    </row>
    <row r="170" customFormat="false" ht="15" hidden="false" customHeight="false" outlineLevel="0" collapsed="false">
      <c r="A170" s="30" t="str">
        <f aca="false">IF($B170="","","MOV-"&amp;TEXT(ROW()-4,"000000"))</f>
        <v/>
      </c>
      <c r="B170" s="31"/>
      <c r="C170" s="32"/>
      <c r="D170" s="32"/>
      <c r="E170" s="33"/>
      <c r="F170" s="32"/>
      <c r="G170" s="32"/>
      <c r="H170" s="32"/>
      <c r="I170" s="35" t="str">
        <f aca="false">IF($C170="","",IFERROR(INDEX(M_NOME,MATCH($C170,M_ID,0)),"?"))</f>
        <v/>
      </c>
      <c r="J170" s="34" t="n">
        <f aca="false">IF($D170="",0,IFERROR(INDEX(MAP_SINALMOV,MATCH($D170,LST_TIPOMOV,0)),0))</f>
        <v>0</v>
      </c>
      <c r="K170" s="36" t="n">
        <f aca="false">IF($A170="",0,$E170*$J170)</f>
        <v>0</v>
      </c>
      <c r="L170" s="35" t="str">
        <f aca="false">IF($C170="","",IFERROR(INDEX(M_CONTA,MATCH($C170,M_ID,0)),""))</f>
        <v/>
      </c>
      <c r="M170" s="35" t="str">
        <f aca="false">IF($B170="","",IF($E170&lt;=0,"ERRO: valor deve ser maior que zero",IF(COUNTIF(M_ID,$C170)=0,"ERRO: meta inexistente",IF(COUNTIF(LST_TIPOMOV,$D170)=0,"ERRO: tipo de movimento invalido",IF(AND($D170="TRANSF_SAIDA",COUNTIF(M_ID,$G170)=0),"ERRO: informe a meta de destino",IF(AND($J170=-1,$F170=""),"ATENCAO: informe o destino da retirada","OK"))))))</f>
        <v/>
      </c>
    </row>
    <row r="171" customFormat="false" ht="15" hidden="false" customHeight="false" outlineLevel="0" collapsed="false">
      <c r="A171" s="30" t="str">
        <f aca="false">IF($B171="","","MOV-"&amp;TEXT(ROW()-4,"000000"))</f>
        <v/>
      </c>
      <c r="B171" s="31"/>
      <c r="C171" s="32"/>
      <c r="D171" s="32"/>
      <c r="E171" s="33"/>
      <c r="F171" s="32"/>
      <c r="G171" s="32"/>
      <c r="H171" s="32"/>
      <c r="I171" s="35" t="str">
        <f aca="false">IF($C171="","",IFERROR(INDEX(M_NOME,MATCH($C171,M_ID,0)),"?"))</f>
        <v/>
      </c>
      <c r="J171" s="34" t="n">
        <f aca="false">IF($D171="",0,IFERROR(INDEX(MAP_SINALMOV,MATCH($D171,LST_TIPOMOV,0)),0))</f>
        <v>0</v>
      </c>
      <c r="K171" s="36" t="n">
        <f aca="false">IF($A171="",0,$E171*$J171)</f>
        <v>0</v>
      </c>
      <c r="L171" s="35" t="str">
        <f aca="false">IF($C171="","",IFERROR(INDEX(M_CONTA,MATCH($C171,M_ID,0)),""))</f>
        <v/>
      </c>
      <c r="M171" s="35" t="str">
        <f aca="false">IF($B171="","",IF($E171&lt;=0,"ERRO: valor deve ser maior que zero",IF(COUNTIF(M_ID,$C171)=0,"ERRO: meta inexistente",IF(COUNTIF(LST_TIPOMOV,$D171)=0,"ERRO: tipo de movimento invalido",IF(AND($D171="TRANSF_SAIDA",COUNTIF(M_ID,$G171)=0),"ERRO: informe a meta de destino",IF(AND($J171=-1,$F171=""),"ATENCAO: informe o destino da retirada","OK"))))))</f>
        <v/>
      </c>
    </row>
    <row r="172" customFormat="false" ht="15" hidden="false" customHeight="false" outlineLevel="0" collapsed="false">
      <c r="A172" s="30" t="str">
        <f aca="false">IF($B172="","","MOV-"&amp;TEXT(ROW()-4,"000000"))</f>
        <v/>
      </c>
      <c r="B172" s="31"/>
      <c r="C172" s="32"/>
      <c r="D172" s="32"/>
      <c r="E172" s="33"/>
      <c r="F172" s="32"/>
      <c r="G172" s="32"/>
      <c r="H172" s="32"/>
      <c r="I172" s="35" t="str">
        <f aca="false">IF($C172="","",IFERROR(INDEX(M_NOME,MATCH($C172,M_ID,0)),"?"))</f>
        <v/>
      </c>
      <c r="J172" s="34" t="n">
        <f aca="false">IF($D172="",0,IFERROR(INDEX(MAP_SINALMOV,MATCH($D172,LST_TIPOMOV,0)),0))</f>
        <v>0</v>
      </c>
      <c r="K172" s="36" t="n">
        <f aca="false">IF($A172="",0,$E172*$J172)</f>
        <v>0</v>
      </c>
      <c r="L172" s="35" t="str">
        <f aca="false">IF($C172="","",IFERROR(INDEX(M_CONTA,MATCH($C172,M_ID,0)),""))</f>
        <v/>
      </c>
      <c r="M172" s="35" t="str">
        <f aca="false">IF($B172="","",IF($E172&lt;=0,"ERRO: valor deve ser maior que zero",IF(COUNTIF(M_ID,$C172)=0,"ERRO: meta inexistente",IF(COUNTIF(LST_TIPOMOV,$D172)=0,"ERRO: tipo de movimento invalido",IF(AND($D172="TRANSF_SAIDA",COUNTIF(M_ID,$G172)=0),"ERRO: informe a meta de destino",IF(AND($J172=-1,$F172=""),"ATENCAO: informe o destino da retirada","OK"))))))</f>
        <v/>
      </c>
    </row>
    <row r="173" customFormat="false" ht="15" hidden="false" customHeight="false" outlineLevel="0" collapsed="false">
      <c r="A173" s="30" t="str">
        <f aca="false">IF($B173="","","MOV-"&amp;TEXT(ROW()-4,"000000"))</f>
        <v/>
      </c>
      <c r="B173" s="31"/>
      <c r="C173" s="32"/>
      <c r="D173" s="32"/>
      <c r="E173" s="33"/>
      <c r="F173" s="32"/>
      <c r="G173" s="32"/>
      <c r="H173" s="32"/>
      <c r="I173" s="35" t="str">
        <f aca="false">IF($C173="","",IFERROR(INDEX(M_NOME,MATCH($C173,M_ID,0)),"?"))</f>
        <v/>
      </c>
      <c r="J173" s="34" t="n">
        <f aca="false">IF($D173="",0,IFERROR(INDEX(MAP_SINALMOV,MATCH($D173,LST_TIPOMOV,0)),0))</f>
        <v>0</v>
      </c>
      <c r="K173" s="36" t="n">
        <f aca="false">IF($A173="",0,$E173*$J173)</f>
        <v>0</v>
      </c>
      <c r="L173" s="35" t="str">
        <f aca="false">IF($C173="","",IFERROR(INDEX(M_CONTA,MATCH($C173,M_ID,0)),""))</f>
        <v/>
      </c>
      <c r="M173" s="35" t="str">
        <f aca="false">IF($B173="","",IF($E173&lt;=0,"ERRO: valor deve ser maior que zero",IF(COUNTIF(M_ID,$C173)=0,"ERRO: meta inexistente",IF(COUNTIF(LST_TIPOMOV,$D173)=0,"ERRO: tipo de movimento invalido",IF(AND($D173="TRANSF_SAIDA",COUNTIF(M_ID,$G173)=0),"ERRO: informe a meta de destino",IF(AND($J173=-1,$F173=""),"ATENCAO: informe o destino da retirada","OK"))))))</f>
        <v/>
      </c>
    </row>
    <row r="174" customFormat="false" ht="15" hidden="false" customHeight="false" outlineLevel="0" collapsed="false">
      <c r="A174" s="30" t="str">
        <f aca="false">IF($B174="","","MOV-"&amp;TEXT(ROW()-4,"000000"))</f>
        <v/>
      </c>
      <c r="B174" s="31"/>
      <c r="C174" s="32"/>
      <c r="D174" s="32"/>
      <c r="E174" s="33"/>
      <c r="F174" s="32"/>
      <c r="G174" s="32"/>
      <c r="H174" s="32"/>
      <c r="I174" s="35" t="str">
        <f aca="false">IF($C174="","",IFERROR(INDEX(M_NOME,MATCH($C174,M_ID,0)),"?"))</f>
        <v/>
      </c>
      <c r="J174" s="34" t="n">
        <f aca="false">IF($D174="",0,IFERROR(INDEX(MAP_SINALMOV,MATCH($D174,LST_TIPOMOV,0)),0))</f>
        <v>0</v>
      </c>
      <c r="K174" s="36" t="n">
        <f aca="false">IF($A174="",0,$E174*$J174)</f>
        <v>0</v>
      </c>
      <c r="L174" s="35" t="str">
        <f aca="false">IF($C174="","",IFERROR(INDEX(M_CONTA,MATCH($C174,M_ID,0)),""))</f>
        <v/>
      </c>
      <c r="M174" s="35" t="str">
        <f aca="false">IF($B174="","",IF($E174&lt;=0,"ERRO: valor deve ser maior que zero",IF(COUNTIF(M_ID,$C174)=0,"ERRO: meta inexistente",IF(COUNTIF(LST_TIPOMOV,$D174)=0,"ERRO: tipo de movimento invalido",IF(AND($D174="TRANSF_SAIDA",COUNTIF(M_ID,$G174)=0),"ERRO: informe a meta de destino",IF(AND($J174=-1,$F174=""),"ATENCAO: informe o destino da retirada","OK"))))))</f>
        <v/>
      </c>
    </row>
    <row r="175" customFormat="false" ht="15" hidden="false" customHeight="false" outlineLevel="0" collapsed="false">
      <c r="A175" s="30" t="str">
        <f aca="false">IF($B175="","","MOV-"&amp;TEXT(ROW()-4,"000000"))</f>
        <v/>
      </c>
      <c r="B175" s="31"/>
      <c r="C175" s="32"/>
      <c r="D175" s="32"/>
      <c r="E175" s="33"/>
      <c r="F175" s="32"/>
      <c r="G175" s="32"/>
      <c r="H175" s="32"/>
      <c r="I175" s="35" t="str">
        <f aca="false">IF($C175="","",IFERROR(INDEX(M_NOME,MATCH($C175,M_ID,0)),"?"))</f>
        <v/>
      </c>
      <c r="J175" s="34" t="n">
        <f aca="false">IF($D175="",0,IFERROR(INDEX(MAP_SINALMOV,MATCH($D175,LST_TIPOMOV,0)),0))</f>
        <v>0</v>
      </c>
      <c r="K175" s="36" t="n">
        <f aca="false">IF($A175="",0,$E175*$J175)</f>
        <v>0</v>
      </c>
      <c r="L175" s="35" t="str">
        <f aca="false">IF($C175="","",IFERROR(INDEX(M_CONTA,MATCH($C175,M_ID,0)),""))</f>
        <v/>
      </c>
      <c r="M175" s="35" t="str">
        <f aca="false">IF($B175="","",IF($E175&lt;=0,"ERRO: valor deve ser maior que zero",IF(COUNTIF(M_ID,$C175)=0,"ERRO: meta inexistente",IF(COUNTIF(LST_TIPOMOV,$D175)=0,"ERRO: tipo de movimento invalido",IF(AND($D175="TRANSF_SAIDA",COUNTIF(M_ID,$G175)=0),"ERRO: informe a meta de destino",IF(AND($J175=-1,$F175=""),"ATENCAO: informe o destino da retirada","OK"))))))</f>
        <v/>
      </c>
    </row>
    <row r="176" customFormat="false" ht="15" hidden="false" customHeight="false" outlineLevel="0" collapsed="false">
      <c r="A176" s="30" t="str">
        <f aca="false">IF($B176="","","MOV-"&amp;TEXT(ROW()-4,"000000"))</f>
        <v/>
      </c>
      <c r="B176" s="31"/>
      <c r="C176" s="32"/>
      <c r="D176" s="32"/>
      <c r="E176" s="33"/>
      <c r="F176" s="32"/>
      <c r="G176" s="32"/>
      <c r="H176" s="32"/>
      <c r="I176" s="35" t="str">
        <f aca="false">IF($C176="","",IFERROR(INDEX(M_NOME,MATCH($C176,M_ID,0)),"?"))</f>
        <v/>
      </c>
      <c r="J176" s="34" t="n">
        <f aca="false">IF($D176="",0,IFERROR(INDEX(MAP_SINALMOV,MATCH($D176,LST_TIPOMOV,0)),0))</f>
        <v>0</v>
      </c>
      <c r="K176" s="36" t="n">
        <f aca="false">IF($A176="",0,$E176*$J176)</f>
        <v>0</v>
      </c>
      <c r="L176" s="35" t="str">
        <f aca="false">IF($C176="","",IFERROR(INDEX(M_CONTA,MATCH($C176,M_ID,0)),""))</f>
        <v/>
      </c>
      <c r="M176" s="35" t="str">
        <f aca="false">IF($B176="","",IF($E176&lt;=0,"ERRO: valor deve ser maior que zero",IF(COUNTIF(M_ID,$C176)=0,"ERRO: meta inexistente",IF(COUNTIF(LST_TIPOMOV,$D176)=0,"ERRO: tipo de movimento invalido",IF(AND($D176="TRANSF_SAIDA",COUNTIF(M_ID,$G176)=0),"ERRO: informe a meta de destino",IF(AND($J176=-1,$F176=""),"ATENCAO: informe o destino da retirada","OK"))))))</f>
        <v/>
      </c>
    </row>
    <row r="177" customFormat="false" ht="15" hidden="false" customHeight="false" outlineLevel="0" collapsed="false">
      <c r="A177" s="30" t="str">
        <f aca="false">IF($B177="","","MOV-"&amp;TEXT(ROW()-4,"000000"))</f>
        <v/>
      </c>
      <c r="B177" s="31"/>
      <c r="C177" s="32"/>
      <c r="D177" s="32"/>
      <c r="E177" s="33"/>
      <c r="F177" s="32"/>
      <c r="G177" s="32"/>
      <c r="H177" s="32"/>
      <c r="I177" s="35" t="str">
        <f aca="false">IF($C177="","",IFERROR(INDEX(M_NOME,MATCH($C177,M_ID,0)),"?"))</f>
        <v/>
      </c>
      <c r="J177" s="34" t="n">
        <f aca="false">IF($D177="",0,IFERROR(INDEX(MAP_SINALMOV,MATCH($D177,LST_TIPOMOV,0)),0))</f>
        <v>0</v>
      </c>
      <c r="K177" s="36" t="n">
        <f aca="false">IF($A177="",0,$E177*$J177)</f>
        <v>0</v>
      </c>
      <c r="L177" s="35" t="str">
        <f aca="false">IF($C177="","",IFERROR(INDEX(M_CONTA,MATCH($C177,M_ID,0)),""))</f>
        <v/>
      </c>
      <c r="M177" s="35" t="str">
        <f aca="false">IF($B177="","",IF($E177&lt;=0,"ERRO: valor deve ser maior que zero",IF(COUNTIF(M_ID,$C177)=0,"ERRO: meta inexistente",IF(COUNTIF(LST_TIPOMOV,$D177)=0,"ERRO: tipo de movimento invalido",IF(AND($D177="TRANSF_SAIDA",COUNTIF(M_ID,$G177)=0),"ERRO: informe a meta de destino",IF(AND($J177=-1,$F177=""),"ATENCAO: informe o destino da retirada","OK"))))))</f>
        <v/>
      </c>
    </row>
    <row r="178" customFormat="false" ht="15" hidden="false" customHeight="false" outlineLevel="0" collapsed="false">
      <c r="A178" s="30" t="str">
        <f aca="false">IF($B178="","","MOV-"&amp;TEXT(ROW()-4,"000000"))</f>
        <v/>
      </c>
      <c r="B178" s="31"/>
      <c r="C178" s="32"/>
      <c r="D178" s="32"/>
      <c r="E178" s="33"/>
      <c r="F178" s="32"/>
      <c r="G178" s="32"/>
      <c r="H178" s="32"/>
      <c r="I178" s="35" t="str">
        <f aca="false">IF($C178="","",IFERROR(INDEX(M_NOME,MATCH($C178,M_ID,0)),"?"))</f>
        <v/>
      </c>
      <c r="J178" s="34" t="n">
        <f aca="false">IF($D178="",0,IFERROR(INDEX(MAP_SINALMOV,MATCH($D178,LST_TIPOMOV,0)),0))</f>
        <v>0</v>
      </c>
      <c r="K178" s="36" t="n">
        <f aca="false">IF($A178="",0,$E178*$J178)</f>
        <v>0</v>
      </c>
      <c r="L178" s="35" t="str">
        <f aca="false">IF($C178="","",IFERROR(INDEX(M_CONTA,MATCH($C178,M_ID,0)),""))</f>
        <v/>
      </c>
      <c r="M178" s="35" t="str">
        <f aca="false">IF($B178="","",IF($E178&lt;=0,"ERRO: valor deve ser maior que zero",IF(COUNTIF(M_ID,$C178)=0,"ERRO: meta inexistente",IF(COUNTIF(LST_TIPOMOV,$D178)=0,"ERRO: tipo de movimento invalido",IF(AND($D178="TRANSF_SAIDA",COUNTIF(M_ID,$G178)=0),"ERRO: informe a meta de destino",IF(AND($J178=-1,$F178=""),"ATENCAO: informe o destino da retirada","OK"))))))</f>
        <v/>
      </c>
    </row>
    <row r="179" customFormat="false" ht="15" hidden="false" customHeight="false" outlineLevel="0" collapsed="false">
      <c r="A179" s="30" t="str">
        <f aca="false">IF($B179="","","MOV-"&amp;TEXT(ROW()-4,"000000"))</f>
        <v/>
      </c>
      <c r="B179" s="31"/>
      <c r="C179" s="32"/>
      <c r="D179" s="32"/>
      <c r="E179" s="33"/>
      <c r="F179" s="32"/>
      <c r="G179" s="32"/>
      <c r="H179" s="32"/>
      <c r="I179" s="35" t="str">
        <f aca="false">IF($C179="","",IFERROR(INDEX(M_NOME,MATCH($C179,M_ID,0)),"?"))</f>
        <v/>
      </c>
      <c r="J179" s="34" t="n">
        <f aca="false">IF($D179="",0,IFERROR(INDEX(MAP_SINALMOV,MATCH($D179,LST_TIPOMOV,0)),0))</f>
        <v>0</v>
      </c>
      <c r="K179" s="36" t="n">
        <f aca="false">IF($A179="",0,$E179*$J179)</f>
        <v>0</v>
      </c>
      <c r="L179" s="35" t="str">
        <f aca="false">IF($C179="","",IFERROR(INDEX(M_CONTA,MATCH($C179,M_ID,0)),""))</f>
        <v/>
      </c>
      <c r="M179" s="35" t="str">
        <f aca="false">IF($B179="","",IF($E179&lt;=0,"ERRO: valor deve ser maior que zero",IF(COUNTIF(M_ID,$C179)=0,"ERRO: meta inexistente",IF(COUNTIF(LST_TIPOMOV,$D179)=0,"ERRO: tipo de movimento invalido",IF(AND($D179="TRANSF_SAIDA",COUNTIF(M_ID,$G179)=0),"ERRO: informe a meta de destino",IF(AND($J179=-1,$F179=""),"ATENCAO: informe o destino da retirada","OK"))))))</f>
        <v/>
      </c>
    </row>
    <row r="180" customFormat="false" ht="15" hidden="false" customHeight="false" outlineLevel="0" collapsed="false">
      <c r="A180" s="30" t="str">
        <f aca="false">IF($B180="","","MOV-"&amp;TEXT(ROW()-4,"000000"))</f>
        <v/>
      </c>
      <c r="B180" s="31"/>
      <c r="C180" s="32"/>
      <c r="D180" s="32"/>
      <c r="E180" s="33"/>
      <c r="F180" s="32"/>
      <c r="G180" s="32"/>
      <c r="H180" s="32"/>
      <c r="I180" s="35" t="str">
        <f aca="false">IF($C180="","",IFERROR(INDEX(M_NOME,MATCH($C180,M_ID,0)),"?"))</f>
        <v/>
      </c>
      <c r="J180" s="34" t="n">
        <f aca="false">IF($D180="",0,IFERROR(INDEX(MAP_SINALMOV,MATCH($D180,LST_TIPOMOV,0)),0))</f>
        <v>0</v>
      </c>
      <c r="K180" s="36" t="n">
        <f aca="false">IF($A180="",0,$E180*$J180)</f>
        <v>0</v>
      </c>
      <c r="L180" s="35" t="str">
        <f aca="false">IF($C180="","",IFERROR(INDEX(M_CONTA,MATCH($C180,M_ID,0)),""))</f>
        <v/>
      </c>
      <c r="M180" s="35" t="str">
        <f aca="false">IF($B180="","",IF($E180&lt;=0,"ERRO: valor deve ser maior que zero",IF(COUNTIF(M_ID,$C180)=0,"ERRO: meta inexistente",IF(COUNTIF(LST_TIPOMOV,$D180)=0,"ERRO: tipo de movimento invalido",IF(AND($D180="TRANSF_SAIDA",COUNTIF(M_ID,$G180)=0),"ERRO: informe a meta de destino",IF(AND($J180=-1,$F180=""),"ATENCAO: informe o destino da retirada","OK"))))))</f>
        <v/>
      </c>
    </row>
    <row r="181" customFormat="false" ht="15" hidden="false" customHeight="false" outlineLevel="0" collapsed="false">
      <c r="A181" s="30" t="str">
        <f aca="false">IF($B181="","","MOV-"&amp;TEXT(ROW()-4,"000000"))</f>
        <v/>
      </c>
      <c r="B181" s="31"/>
      <c r="C181" s="32"/>
      <c r="D181" s="32"/>
      <c r="E181" s="33"/>
      <c r="F181" s="32"/>
      <c r="G181" s="32"/>
      <c r="H181" s="32"/>
      <c r="I181" s="35" t="str">
        <f aca="false">IF($C181="","",IFERROR(INDEX(M_NOME,MATCH($C181,M_ID,0)),"?"))</f>
        <v/>
      </c>
      <c r="J181" s="34" t="n">
        <f aca="false">IF($D181="",0,IFERROR(INDEX(MAP_SINALMOV,MATCH($D181,LST_TIPOMOV,0)),0))</f>
        <v>0</v>
      </c>
      <c r="K181" s="36" t="n">
        <f aca="false">IF($A181="",0,$E181*$J181)</f>
        <v>0</v>
      </c>
      <c r="L181" s="35" t="str">
        <f aca="false">IF($C181="","",IFERROR(INDEX(M_CONTA,MATCH($C181,M_ID,0)),""))</f>
        <v/>
      </c>
      <c r="M181" s="35" t="str">
        <f aca="false">IF($B181="","",IF($E181&lt;=0,"ERRO: valor deve ser maior que zero",IF(COUNTIF(M_ID,$C181)=0,"ERRO: meta inexistente",IF(COUNTIF(LST_TIPOMOV,$D181)=0,"ERRO: tipo de movimento invalido",IF(AND($D181="TRANSF_SAIDA",COUNTIF(M_ID,$G181)=0),"ERRO: informe a meta de destino",IF(AND($J181=-1,$F181=""),"ATENCAO: informe o destino da retirada","OK"))))))</f>
        <v/>
      </c>
    </row>
    <row r="182" customFormat="false" ht="15" hidden="false" customHeight="false" outlineLevel="0" collapsed="false">
      <c r="A182" s="30" t="str">
        <f aca="false">IF($B182="","","MOV-"&amp;TEXT(ROW()-4,"000000"))</f>
        <v/>
      </c>
      <c r="B182" s="31"/>
      <c r="C182" s="32"/>
      <c r="D182" s="32"/>
      <c r="E182" s="33"/>
      <c r="F182" s="32"/>
      <c r="G182" s="32"/>
      <c r="H182" s="32"/>
      <c r="I182" s="35" t="str">
        <f aca="false">IF($C182="","",IFERROR(INDEX(M_NOME,MATCH($C182,M_ID,0)),"?"))</f>
        <v/>
      </c>
      <c r="J182" s="34" t="n">
        <f aca="false">IF($D182="",0,IFERROR(INDEX(MAP_SINALMOV,MATCH($D182,LST_TIPOMOV,0)),0))</f>
        <v>0</v>
      </c>
      <c r="K182" s="36" t="n">
        <f aca="false">IF($A182="",0,$E182*$J182)</f>
        <v>0</v>
      </c>
      <c r="L182" s="35" t="str">
        <f aca="false">IF($C182="","",IFERROR(INDEX(M_CONTA,MATCH($C182,M_ID,0)),""))</f>
        <v/>
      </c>
      <c r="M182" s="35" t="str">
        <f aca="false">IF($B182="","",IF($E182&lt;=0,"ERRO: valor deve ser maior que zero",IF(COUNTIF(M_ID,$C182)=0,"ERRO: meta inexistente",IF(COUNTIF(LST_TIPOMOV,$D182)=0,"ERRO: tipo de movimento invalido",IF(AND($D182="TRANSF_SAIDA",COUNTIF(M_ID,$G182)=0),"ERRO: informe a meta de destino",IF(AND($J182=-1,$F182=""),"ATENCAO: informe o destino da retirada","OK"))))))</f>
        <v/>
      </c>
    </row>
    <row r="183" customFormat="false" ht="15" hidden="false" customHeight="false" outlineLevel="0" collapsed="false">
      <c r="A183" s="30" t="str">
        <f aca="false">IF($B183="","","MOV-"&amp;TEXT(ROW()-4,"000000"))</f>
        <v/>
      </c>
      <c r="B183" s="31"/>
      <c r="C183" s="32"/>
      <c r="D183" s="32"/>
      <c r="E183" s="33"/>
      <c r="F183" s="32"/>
      <c r="G183" s="32"/>
      <c r="H183" s="32"/>
      <c r="I183" s="35" t="str">
        <f aca="false">IF($C183="","",IFERROR(INDEX(M_NOME,MATCH($C183,M_ID,0)),"?"))</f>
        <v/>
      </c>
      <c r="J183" s="34" t="n">
        <f aca="false">IF($D183="",0,IFERROR(INDEX(MAP_SINALMOV,MATCH($D183,LST_TIPOMOV,0)),0))</f>
        <v>0</v>
      </c>
      <c r="K183" s="36" t="n">
        <f aca="false">IF($A183="",0,$E183*$J183)</f>
        <v>0</v>
      </c>
      <c r="L183" s="35" t="str">
        <f aca="false">IF($C183="","",IFERROR(INDEX(M_CONTA,MATCH($C183,M_ID,0)),""))</f>
        <v/>
      </c>
      <c r="M183" s="35" t="str">
        <f aca="false">IF($B183="","",IF($E183&lt;=0,"ERRO: valor deve ser maior que zero",IF(COUNTIF(M_ID,$C183)=0,"ERRO: meta inexistente",IF(COUNTIF(LST_TIPOMOV,$D183)=0,"ERRO: tipo de movimento invalido",IF(AND($D183="TRANSF_SAIDA",COUNTIF(M_ID,$G183)=0),"ERRO: informe a meta de destino",IF(AND($J183=-1,$F183=""),"ATENCAO: informe o destino da retirada","OK"))))))</f>
        <v/>
      </c>
    </row>
    <row r="184" customFormat="false" ht="15" hidden="false" customHeight="false" outlineLevel="0" collapsed="false">
      <c r="A184" s="30" t="str">
        <f aca="false">IF($B184="","","MOV-"&amp;TEXT(ROW()-4,"000000"))</f>
        <v/>
      </c>
      <c r="B184" s="31"/>
      <c r="C184" s="32"/>
      <c r="D184" s="32"/>
      <c r="E184" s="33"/>
      <c r="F184" s="32"/>
      <c r="G184" s="32"/>
      <c r="H184" s="32"/>
      <c r="I184" s="35" t="str">
        <f aca="false">IF($C184="","",IFERROR(INDEX(M_NOME,MATCH($C184,M_ID,0)),"?"))</f>
        <v/>
      </c>
      <c r="J184" s="34" t="n">
        <f aca="false">IF($D184="",0,IFERROR(INDEX(MAP_SINALMOV,MATCH($D184,LST_TIPOMOV,0)),0))</f>
        <v>0</v>
      </c>
      <c r="K184" s="36" t="n">
        <f aca="false">IF($A184="",0,$E184*$J184)</f>
        <v>0</v>
      </c>
      <c r="L184" s="35" t="str">
        <f aca="false">IF($C184="","",IFERROR(INDEX(M_CONTA,MATCH($C184,M_ID,0)),""))</f>
        <v/>
      </c>
      <c r="M184" s="35" t="str">
        <f aca="false">IF($B184="","",IF($E184&lt;=0,"ERRO: valor deve ser maior que zero",IF(COUNTIF(M_ID,$C184)=0,"ERRO: meta inexistente",IF(COUNTIF(LST_TIPOMOV,$D184)=0,"ERRO: tipo de movimento invalido",IF(AND($D184="TRANSF_SAIDA",COUNTIF(M_ID,$G184)=0),"ERRO: informe a meta de destino",IF(AND($J184=-1,$F184=""),"ATENCAO: informe o destino da retirada","OK"))))))</f>
        <v/>
      </c>
    </row>
    <row r="185" customFormat="false" ht="15" hidden="false" customHeight="false" outlineLevel="0" collapsed="false">
      <c r="A185" s="30" t="str">
        <f aca="false">IF($B185="","","MOV-"&amp;TEXT(ROW()-4,"000000"))</f>
        <v/>
      </c>
      <c r="B185" s="31"/>
      <c r="C185" s="32"/>
      <c r="D185" s="32"/>
      <c r="E185" s="33"/>
      <c r="F185" s="32"/>
      <c r="G185" s="32"/>
      <c r="H185" s="32"/>
      <c r="I185" s="35" t="str">
        <f aca="false">IF($C185="","",IFERROR(INDEX(M_NOME,MATCH($C185,M_ID,0)),"?"))</f>
        <v/>
      </c>
      <c r="J185" s="34" t="n">
        <f aca="false">IF($D185="",0,IFERROR(INDEX(MAP_SINALMOV,MATCH($D185,LST_TIPOMOV,0)),0))</f>
        <v>0</v>
      </c>
      <c r="K185" s="36" t="n">
        <f aca="false">IF($A185="",0,$E185*$J185)</f>
        <v>0</v>
      </c>
      <c r="L185" s="35" t="str">
        <f aca="false">IF($C185="","",IFERROR(INDEX(M_CONTA,MATCH($C185,M_ID,0)),""))</f>
        <v/>
      </c>
      <c r="M185" s="35" t="str">
        <f aca="false">IF($B185="","",IF($E185&lt;=0,"ERRO: valor deve ser maior que zero",IF(COUNTIF(M_ID,$C185)=0,"ERRO: meta inexistente",IF(COUNTIF(LST_TIPOMOV,$D185)=0,"ERRO: tipo de movimento invalido",IF(AND($D185="TRANSF_SAIDA",COUNTIF(M_ID,$G185)=0),"ERRO: informe a meta de destino",IF(AND($J185=-1,$F185=""),"ATENCAO: informe o destino da retirada","OK"))))))</f>
        <v/>
      </c>
    </row>
    <row r="186" customFormat="false" ht="15" hidden="false" customHeight="false" outlineLevel="0" collapsed="false">
      <c r="A186" s="30" t="str">
        <f aca="false">IF($B186="","","MOV-"&amp;TEXT(ROW()-4,"000000"))</f>
        <v/>
      </c>
      <c r="B186" s="31"/>
      <c r="C186" s="32"/>
      <c r="D186" s="32"/>
      <c r="E186" s="33"/>
      <c r="F186" s="32"/>
      <c r="G186" s="32"/>
      <c r="H186" s="32"/>
      <c r="I186" s="35" t="str">
        <f aca="false">IF($C186="","",IFERROR(INDEX(M_NOME,MATCH($C186,M_ID,0)),"?"))</f>
        <v/>
      </c>
      <c r="J186" s="34" t="n">
        <f aca="false">IF($D186="",0,IFERROR(INDEX(MAP_SINALMOV,MATCH($D186,LST_TIPOMOV,0)),0))</f>
        <v>0</v>
      </c>
      <c r="K186" s="36" t="n">
        <f aca="false">IF($A186="",0,$E186*$J186)</f>
        <v>0</v>
      </c>
      <c r="L186" s="35" t="str">
        <f aca="false">IF($C186="","",IFERROR(INDEX(M_CONTA,MATCH($C186,M_ID,0)),""))</f>
        <v/>
      </c>
      <c r="M186" s="35" t="str">
        <f aca="false">IF($B186="","",IF($E186&lt;=0,"ERRO: valor deve ser maior que zero",IF(COUNTIF(M_ID,$C186)=0,"ERRO: meta inexistente",IF(COUNTIF(LST_TIPOMOV,$D186)=0,"ERRO: tipo de movimento invalido",IF(AND($D186="TRANSF_SAIDA",COUNTIF(M_ID,$G186)=0),"ERRO: informe a meta de destino",IF(AND($J186=-1,$F186=""),"ATENCAO: informe o destino da retirada","OK"))))))</f>
        <v/>
      </c>
    </row>
    <row r="187" customFormat="false" ht="15" hidden="false" customHeight="false" outlineLevel="0" collapsed="false">
      <c r="A187" s="30" t="str">
        <f aca="false">IF($B187="","","MOV-"&amp;TEXT(ROW()-4,"000000"))</f>
        <v/>
      </c>
      <c r="B187" s="31"/>
      <c r="C187" s="32"/>
      <c r="D187" s="32"/>
      <c r="E187" s="33"/>
      <c r="F187" s="32"/>
      <c r="G187" s="32"/>
      <c r="H187" s="32"/>
      <c r="I187" s="35" t="str">
        <f aca="false">IF($C187="","",IFERROR(INDEX(M_NOME,MATCH($C187,M_ID,0)),"?"))</f>
        <v/>
      </c>
      <c r="J187" s="34" t="n">
        <f aca="false">IF($D187="",0,IFERROR(INDEX(MAP_SINALMOV,MATCH($D187,LST_TIPOMOV,0)),0))</f>
        <v>0</v>
      </c>
      <c r="K187" s="36" t="n">
        <f aca="false">IF($A187="",0,$E187*$J187)</f>
        <v>0</v>
      </c>
      <c r="L187" s="35" t="str">
        <f aca="false">IF($C187="","",IFERROR(INDEX(M_CONTA,MATCH($C187,M_ID,0)),""))</f>
        <v/>
      </c>
      <c r="M187" s="35" t="str">
        <f aca="false">IF($B187="","",IF($E187&lt;=0,"ERRO: valor deve ser maior que zero",IF(COUNTIF(M_ID,$C187)=0,"ERRO: meta inexistente",IF(COUNTIF(LST_TIPOMOV,$D187)=0,"ERRO: tipo de movimento invalido",IF(AND($D187="TRANSF_SAIDA",COUNTIF(M_ID,$G187)=0),"ERRO: informe a meta de destino",IF(AND($J187=-1,$F187=""),"ATENCAO: informe o destino da retirada","OK"))))))</f>
        <v/>
      </c>
    </row>
    <row r="188" customFormat="false" ht="15" hidden="false" customHeight="false" outlineLevel="0" collapsed="false">
      <c r="A188" s="30" t="str">
        <f aca="false">IF($B188="","","MOV-"&amp;TEXT(ROW()-4,"000000"))</f>
        <v/>
      </c>
      <c r="B188" s="31"/>
      <c r="C188" s="32"/>
      <c r="D188" s="32"/>
      <c r="E188" s="33"/>
      <c r="F188" s="32"/>
      <c r="G188" s="32"/>
      <c r="H188" s="32"/>
      <c r="I188" s="35" t="str">
        <f aca="false">IF($C188="","",IFERROR(INDEX(M_NOME,MATCH($C188,M_ID,0)),"?"))</f>
        <v/>
      </c>
      <c r="J188" s="34" t="n">
        <f aca="false">IF($D188="",0,IFERROR(INDEX(MAP_SINALMOV,MATCH($D188,LST_TIPOMOV,0)),0))</f>
        <v>0</v>
      </c>
      <c r="K188" s="36" t="n">
        <f aca="false">IF($A188="",0,$E188*$J188)</f>
        <v>0</v>
      </c>
      <c r="L188" s="35" t="str">
        <f aca="false">IF($C188="","",IFERROR(INDEX(M_CONTA,MATCH($C188,M_ID,0)),""))</f>
        <v/>
      </c>
      <c r="M188" s="35" t="str">
        <f aca="false">IF($B188="","",IF($E188&lt;=0,"ERRO: valor deve ser maior que zero",IF(COUNTIF(M_ID,$C188)=0,"ERRO: meta inexistente",IF(COUNTIF(LST_TIPOMOV,$D188)=0,"ERRO: tipo de movimento invalido",IF(AND($D188="TRANSF_SAIDA",COUNTIF(M_ID,$G188)=0),"ERRO: informe a meta de destino",IF(AND($J188=-1,$F188=""),"ATENCAO: informe o destino da retirada","OK"))))))</f>
        <v/>
      </c>
    </row>
    <row r="189" customFormat="false" ht="15" hidden="false" customHeight="false" outlineLevel="0" collapsed="false">
      <c r="A189" s="30" t="str">
        <f aca="false">IF($B189="","","MOV-"&amp;TEXT(ROW()-4,"000000"))</f>
        <v/>
      </c>
      <c r="B189" s="31"/>
      <c r="C189" s="32"/>
      <c r="D189" s="32"/>
      <c r="E189" s="33"/>
      <c r="F189" s="32"/>
      <c r="G189" s="32"/>
      <c r="H189" s="32"/>
      <c r="I189" s="35" t="str">
        <f aca="false">IF($C189="","",IFERROR(INDEX(M_NOME,MATCH($C189,M_ID,0)),"?"))</f>
        <v/>
      </c>
      <c r="J189" s="34" t="n">
        <f aca="false">IF($D189="",0,IFERROR(INDEX(MAP_SINALMOV,MATCH($D189,LST_TIPOMOV,0)),0))</f>
        <v>0</v>
      </c>
      <c r="K189" s="36" t="n">
        <f aca="false">IF($A189="",0,$E189*$J189)</f>
        <v>0</v>
      </c>
      <c r="L189" s="35" t="str">
        <f aca="false">IF($C189="","",IFERROR(INDEX(M_CONTA,MATCH($C189,M_ID,0)),""))</f>
        <v/>
      </c>
      <c r="M189" s="35" t="str">
        <f aca="false">IF($B189="","",IF($E189&lt;=0,"ERRO: valor deve ser maior que zero",IF(COUNTIF(M_ID,$C189)=0,"ERRO: meta inexistente",IF(COUNTIF(LST_TIPOMOV,$D189)=0,"ERRO: tipo de movimento invalido",IF(AND($D189="TRANSF_SAIDA",COUNTIF(M_ID,$G189)=0),"ERRO: informe a meta de destino",IF(AND($J189=-1,$F189=""),"ATENCAO: informe o destino da retirada","OK"))))))</f>
        <v/>
      </c>
    </row>
    <row r="190" customFormat="false" ht="15" hidden="false" customHeight="false" outlineLevel="0" collapsed="false">
      <c r="A190" s="30" t="str">
        <f aca="false">IF($B190="","","MOV-"&amp;TEXT(ROW()-4,"000000"))</f>
        <v/>
      </c>
      <c r="B190" s="31"/>
      <c r="C190" s="32"/>
      <c r="D190" s="32"/>
      <c r="E190" s="33"/>
      <c r="F190" s="32"/>
      <c r="G190" s="32"/>
      <c r="H190" s="32"/>
      <c r="I190" s="35" t="str">
        <f aca="false">IF($C190="","",IFERROR(INDEX(M_NOME,MATCH($C190,M_ID,0)),"?"))</f>
        <v/>
      </c>
      <c r="J190" s="34" t="n">
        <f aca="false">IF($D190="",0,IFERROR(INDEX(MAP_SINALMOV,MATCH($D190,LST_TIPOMOV,0)),0))</f>
        <v>0</v>
      </c>
      <c r="K190" s="36" t="n">
        <f aca="false">IF($A190="",0,$E190*$J190)</f>
        <v>0</v>
      </c>
      <c r="L190" s="35" t="str">
        <f aca="false">IF($C190="","",IFERROR(INDEX(M_CONTA,MATCH($C190,M_ID,0)),""))</f>
        <v/>
      </c>
      <c r="M190" s="35" t="str">
        <f aca="false">IF($B190="","",IF($E190&lt;=0,"ERRO: valor deve ser maior que zero",IF(COUNTIF(M_ID,$C190)=0,"ERRO: meta inexistente",IF(COUNTIF(LST_TIPOMOV,$D190)=0,"ERRO: tipo de movimento invalido",IF(AND($D190="TRANSF_SAIDA",COUNTIF(M_ID,$G190)=0),"ERRO: informe a meta de destino",IF(AND($J190=-1,$F190=""),"ATENCAO: informe o destino da retirada","OK"))))))</f>
        <v/>
      </c>
    </row>
    <row r="191" customFormat="false" ht="15" hidden="false" customHeight="false" outlineLevel="0" collapsed="false">
      <c r="A191" s="30" t="str">
        <f aca="false">IF($B191="","","MOV-"&amp;TEXT(ROW()-4,"000000"))</f>
        <v/>
      </c>
      <c r="B191" s="31"/>
      <c r="C191" s="32"/>
      <c r="D191" s="32"/>
      <c r="E191" s="33"/>
      <c r="F191" s="32"/>
      <c r="G191" s="32"/>
      <c r="H191" s="32"/>
      <c r="I191" s="35" t="str">
        <f aca="false">IF($C191="","",IFERROR(INDEX(M_NOME,MATCH($C191,M_ID,0)),"?"))</f>
        <v/>
      </c>
      <c r="J191" s="34" t="n">
        <f aca="false">IF($D191="",0,IFERROR(INDEX(MAP_SINALMOV,MATCH($D191,LST_TIPOMOV,0)),0))</f>
        <v>0</v>
      </c>
      <c r="K191" s="36" t="n">
        <f aca="false">IF($A191="",0,$E191*$J191)</f>
        <v>0</v>
      </c>
      <c r="L191" s="35" t="str">
        <f aca="false">IF($C191="","",IFERROR(INDEX(M_CONTA,MATCH($C191,M_ID,0)),""))</f>
        <v/>
      </c>
      <c r="M191" s="35" t="str">
        <f aca="false">IF($B191="","",IF($E191&lt;=0,"ERRO: valor deve ser maior que zero",IF(COUNTIF(M_ID,$C191)=0,"ERRO: meta inexistente",IF(COUNTIF(LST_TIPOMOV,$D191)=0,"ERRO: tipo de movimento invalido",IF(AND($D191="TRANSF_SAIDA",COUNTIF(M_ID,$G191)=0),"ERRO: informe a meta de destino",IF(AND($J191=-1,$F191=""),"ATENCAO: informe o destino da retirada","OK"))))))</f>
        <v/>
      </c>
    </row>
    <row r="192" customFormat="false" ht="15" hidden="false" customHeight="false" outlineLevel="0" collapsed="false">
      <c r="A192" s="30" t="str">
        <f aca="false">IF($B192="","","MOV-"&amp;TEXT(ROW()-4,"000000"))</f>
        <v/>
      </c>
      <c r="B192" s="31"/>
      <c r="C192" s="32"/>
      <c r="D192" s="32"/>
      <c r="E192" s="33"/>
      <c r="F192" s="32"/>
      <c r="G192" s="32"/>
      <c r="H192" s="32"/>
      <c r="I192" s="35" t="str">
        <f aca="false">IF($C192="","",IFERROR(INDEX(M_NOME,MATCH($C192,M_ID,0)),"?"))</f>
        <v/>
      </c>
      <c r="J192" s="34" t="n">
        <f aca="false">IF($D192="",0,IFERROR(INDEX(MAP_SINALMOV,MATCH($D192,LST_TIPOMOV,0)),0))</f>
        <v>0</v>
      </c>
      <c r="K192" s="36" t="n">
        <f aca="false">IF($A192="",0,$E192*$J192)</f>
        <v>0</v>
      </c>
      <c r="L192" s="35" t="str">
        <f aca="false">IF($C192="","",IFERROR(INDEX(M_CONTA,MATCH($C192,M_ID,0)),""))</f>
        <v/>
      </c>
      <c r="M192" s="35" t="str">
        <f aca="false">IF($B192="","",IF($E192&lt;=0,"ERRO: valor deve ser maior que zero",IF(COUNTIF(M_ID,$C192)=0,"ERRO: meta inexistente",IF(COUNTIF(LST_TIPOMOV,$D192)=0,"ERRO: tipo de movimento invalido",IF(AND($D192="TRANSF_SAIDA",COUNTIF(M_ID,$G192)=0),"ERRO: informe a meta de destino",IF(AND($J192=-1,$F192=""),"ATENCAO: informe o destino da retirada","OK"))))))</f>
        <v/>
      </c>
    </row>
    <row r="193" customFormat="false" ht="15" hidden="false" customHeight="false" outlineLevel="0" collapsed="false">
      <c r="A193" s="30" t="str">
        <f aca="false">IF($B193="","","MOV-"&amp;TEXT(ROW()-4,"000000"))</f>
        <v/>
      </c>
      <c r="B193" s="31"/>
      <c r="C193" s="32"/>
      <c r="D193" s="32"/>
      <c r="E193" s="33"/>
      <c r="F193" s="32"/>
      <c r="G193" s="32"/>
      <c r="H193" s="32"/>
      <c r="I193" s="35" t="str">
        <f aca="false">IF($C193="","",IFERROR(INDEX(M_NOME,MATCH($C193,M_ID,0)),"?"))</f>
        <v/>
      </c>
      <c r="J193" s="34" t="n">
        <f aca="false">IF($D193="",0,IFERROR(INDEX(MAP_SINALMOV,MATCH($D193,LST_TIPOMOV,0)),0))</f>
        <v>0</v>
      </c>
      <c r="K193" s="36" t="n">
        <f aca="false">IF($A193="",0,$E193*$J193)</f>
        <v>0</v>
      </c>
      <c r="L193" s="35" t="str">
        <f aca="false">IF($C193="","",IFERROR(INDEX(M_CONTA,MATCH($C193,M_ID,0)),""))</f>
        <v/>
      </c>
      <c r="M193" s="35" t="str">
        <f aca="false">IF($B193="","",IF($E193&lt;=0,"ERRO: valor deve ser maior que zero",IF(COUNTIF(M_ID,$C193)=0,"ERRO: meta inexistente",IF(COUNTIF(LST_TIPOMOV,$D193)=0,"ERRO: tipo de movimento invalido",IF(AND($D193="TRANSF_SAIDA",COUNTIF(M_ID,$G193)=0),"ERRO: informe a meta de destino",IF(AND($J193=-1,$F193=""),"ATENCAO: informe o destino da retirada","OK"))))))</f>
        <v/>
      </c>
    </row>
    <row r="194" customFormat="false" ht="15" hidden="false" customHeight="false" outlineLevel="0" collapsed="false">
      <c r="A194" s="30" t="str">
        <f aca="false">IF($B194="","","MOV-"&amp;TEXT(ROW()-4,"000000"))</f>
        <v/>
      </c>
      <c r="B194" s="31"/>
      <c r="C194" s="32"/>
      <c r="D194" s="32"/>
      <c r="E194" s="33"/>
      <c r="F194" s="32"/>
      <c r="G194" s="32"/>
      <c r="H194" s="32"/>
      <c r="I194" s="35" t="str">
        <f aca="false">IF($C194="","",IFERROR(INDEX(M_NOME,MATCH($C194,M_ID,0)),"?"))</f>
        <v/>
      </c>
      <c r="J194" s="34" t="n">
        <f aca="false">IF($D194="",0,IFERROR(INDEX(MAP_SINALMOV,MATCH($D194,LST_TIPOMOV,0)),0))</f>
        <v>0</v>
      </c>
      <c r="K194" s="36" t="n">
        <f aca="false">IF($A194="",0,$E194*$J194)</f>
        <v>0</v>
      </c>
      <c r="L194" s="35" t="str">
        <f aca="false">IF($C194="","",IFERROR(INDEX(M_CONTA,MATCH($C194,M_ID,0)),""))</f>
        <v/>
      </c>
      <c r="M194" s="35" t="str">
        <f aca="false">IF($B194="","",IF($E194&lt;=0,"ERRO: valor deve ser maior que zero",IF(COUNTIF(M_ID,$C194)=0,"ERRO: meta inexistente",IF(COUNTIF(LST_TIPOMOV,$D194)=0,"ERRO: tipo de movimento invalido",IF(AND($D194="TRANSF_SAIDA",COUNTIF(M_ID,$G194)=0),"ERRO: informe a meta de destino",IF(AND($J194=-1,$F194=""),"ATENCAO: informe o destino da retirada","OK"))))))</f>
        <v/>
      </c>
    </row>
    <row r="195" customFormat="false" ht="15" hidden="false" customHeight="false" outlineLevel="0" collapsed="false">
      <c r="A195" s="30" t="str">
        <f aca="false">IF($B195="","","MOV-"&amp;TEXT(ROW()-4,"000000"))</f>
        <v/>
      </c>
      <c r="B195" s="31"/>
      <c r="C195" s="32"/>
      <c r="D195" s="32"/>
      <c r="E195" s="33"/>
      <c r="F195" s="32"/>
      <c r="G195" s="32"/>
      <c r="H195" s="32"/>
      <c r="I195" s="35" t="str">
        <f aca="false">IF($C195="","",IFERROR(INDEX(M_NOME,MATCH($C195,M_ID,0)),"?"))</f>
        <v/>
      </c>
      <c r="J195" s="34" t="n">
        <f aca="false">IF($D195="",0,IFERROR(INDEX(MAP_SINALMOV,MATCH($D195,LST_TIPOMOV,0)),0))</f>
        <v>0</v>
      </c>
      <c r="K195" s="36" t="n">
        <f aca="false">IF($A195="",0,$E195*$J195)</f>
        <v>0</v>
      </c>
      <c r="L195" s="35" t="str">
        <f aca="false">IF($C195="","",IFERROR(INDEX(M_CONTA,MATCH($C195,M_ID,0)),""))</f>
        <v/>
      </c>
      <c r="M195" s="35" t="str">
        <f aca="false">IF($B195="","",IF($E195&lt;=0,"ERRO: valor deve ser maior que zero",IF(COUNTIF(M_ID,$C195)=0,"ERRO: meta inexistente",IF(COUNTIF(LST_TIPOMOV,$D195)=0,"ERRO: tipo de movimento invalido",IF(AND($D195="TRANSF_SAIDA",COUNTIF(M_ID,$G195)=0),"ERRO: informe a meta de destino",IF(AND($J195=-1,$F195=""),"ATENCAO: informe o destino da retirada","OK"))))))</f>
        <v/>
      </c>
    </row>
    <row r="196" customFormat="false" ht="15" hidden="false" customHeight="false" outlineLevel="0" collapsed="false">
      <c r="A196" s="30" t="str">
        <f aca="false">IF($B196="","","MOV-"&amp;TEXT(ROW()-4,"000000"))</f>
        <v/>
      </c>
      <c r="B196" s="31"/>
      <c r="C196" s="32"/>
      <c r="D196" s="32"/>
      <c r="E196" s="33"/>
      <c r="F196" s="32"/>
      <c r="G196" s="32"/>
      <c r="H196" s="32"/>
      <c r="I196" s="35" t="str">
        <f aca="false">IF($C196="","",IFERROR(INDEX(M_NOME,MATCH($C196,M_ID,0)),"?"))</f>
        <v/>
      </c>
      <c r="J196" s="34" t="n">
        <f aca="false">IF($D196="",0,IFERROR(INDEX(MAP_SINALMOV,MATCH($D196,LST_TIPOMOV,0)),0))</f>
        <v>0</v>
      </c>
      <c r="K196" s="36" t="n">
        <f aca="false">IF($A196="",0,$E196*$J196)</f>
        <v>0</v>
      </c>
      <c r="L196" s="35" t="str">
        <f aca="false">IF($C196="","",IFERROR(INDEX(M_CONTA,MATCH($C196,M_ID,0)),""))</f>
        <v/>
      </c>
      <c r="M196" s="35" t="str">
        <f aca="false">IF($B196="","",IF($E196&lt;=0,"ERRO: valor deve ser maior que zero",IF(COUNTIF(M_ID,$C196)=0,"ERRO: meta inexistente",IF(COUNTIF(LST_TIPOMOV,$D196)=0,"ERRO: tipo de movimento invalido",IF(AND($D196="TRANSF_SAIDA",COUNTIF(M_ID,$G196)=0),"ERRO: informe a meta de destino",IF(AND($J196=-1,$F196=""),"ATENCAO: informe o destino da retirada","OK"))))))</f>
        <v/>
      </c>
    </row>
    <row r="197" customFormat="false" ht="15" hidden="false" customHeight="false" outlineLevel="0" collapsed="false">
      <c r="A197" s="30" t="str">
        <f aca="false">IF($B197="","","MOV-"&amp;TEXT(ROW()-4,"000000"))</f>
        <v/>
      </c>
      <c r="B197" s="31"/>
      <c r="C197" s="32"/>
      <c r="D197" s="32"/>
      <c r="E197" s="33"/>
      <c r="F197" s="32"/>
      <c r="G197" s="32"/>
      <c r="H197" s="32"/>
      <c r="I197" s="35" t="str">
        <f aca="false">IF($C197="","",IFERROR(INDEX(M_NOME,MATCH($C197,M_ID,0)),"?"))</f>
        <v/>
      </c>
      <c r="J197" s="34" t="n">
        <f aca="false">IF($D197="",0,IFERROR(INDEX(MAP_SINALMOV,MATCH($D197,LST_TIPOMOV,0)),0))</f>
        <v>0</v>
      </c>
      <c r="K197" s="36" t="n">
        <f aca="false">IF($A197="",0,$E197*$J197)</f>
        <v>0</v>
      </c>
      <c r="L197" s="35" t="str">
        <f aca="false">IF($C197="","",IFERROR(INDEX(M_CONTA,MATCH($C197,M_ID,0)),""))</f>
        <v/>
      </c>
      <c r="M197" s="35" t="str">
        <f aca="false">IF($B197="","",IF($E197&lt;=0,"ERRO: valor deve ser maior que zero",IF(COUNTIF(M_ID,$C197)=0,"ERRO: meta inexistente",IF(COUNTIF(LST_TIPOMOV,$D197)=0,"ERRO: tipo de movimento invalido",IF(AND($D197="TRANSF_SAIDA",COUNTIF(M_ID,$G197)=0),"ERRO: informe a meta de destino",IF(AND($J197=-1,$F197=""),"ATENCAO: informe o destino da retirada","OK"))))))</f>
        <v/>
      </c>
    </row>
    <row r="198" customFormat="false" ht="15" hidden="false" customHeight="false" outlineLevel="0" collapsed="false">
      <c r="A198" s="30" t="str">
        <f aca="false">IF($B198="","","MOV-"&amp;TEXT(ROW()-4,"000000"))</f>
        <v/>
      </c>
      <c r="B198" s="31"/>
      <c r="C198" s="32"/>
      <c r="D198" s="32"/>
      <c r="E198" s="33"/>
      <c r="F198" s="32"/>
      <c r="G198" s="32"/>
      <c r="H198" s="32"/>
      <c r="I198" s="35" t="str">
        <f aca="false">IF($C198="","",IFERROR(INDEX(M_NOME,MATCH($C198,M_ID,0)),"?"))</f>
        <v/>
      </c>
      <c r="J198" s="34" t="n">
        <f aca="false">IF($D198="",0,IFERROR(INDEX(MAP_SINALMOV,MATCH($D198,LST_TIPOMOV,0)),0))</f>
        <v>0</v>
      </c>
      <c r="K198" s="36" t="n">
        <f aca="false">IF($A198="",0,$E198*$J198)</f>
        <v>0</v>
      </c>
      <c r="L198" s="35" t="str">
        <f aca="false">IF($C198="","",IFERROR(INDEX(M_CONTA,MATCH($C198,M_ID,0)),""))</f>
        <v/>
      </c>
      <c r="M198" s="35" t="str">
        <f aca="false">IF($B198="","",IF($E198&lt;=0,"ERRO: valor deve ser maior que zero",IF(COUNTIF(M_ID,$C198)=0,"ERRO: meta inexistente",IF(COUNTIF(LST_TIPOMOV,$D198)=0,"ERRO: tipo de movimento invalido",IF(AND($D198="TRANSF_SAIDA",COUNTIF(M_ID,$G198)=0),"ERRO: informe a meta de destino",IF(AND($J198=-1,$F198=""),"ATENCAO: informe o destino da retirada","OK"))))))</f>
        <v/>
      </c>
    </row>
    <row r="199" customFormat="false" ht="15" hidden="false" customHeight="false" outlineLevel="0" collapsed="false">
      <c r="A199" s="30" t="str">
        <f aca="false">IF($B199="","","MOV-"&amp;TEXT(ROW()-4,"000000"))</f>
        <v/>
      </c>
      <c r="B199" s="31"/>
      <c r="C199" s="32"/>
      <c r="D199" s="32"/>
      <c r="E199" s="33"/>
      <c r="F199" s="32"/>
      <c r="G199" s="32"/>
      <c r="H199" s="32"/>
      <c r="I199" s="35" t="str">
        <f aca="false">IF($C199="","",IFERROR(INDEX(M_NOME,MATCH($C199,M_ID,0)),"?"))</f>
        <v/>
      </c>
      <c r="J199" s="34" t="n">
        <f aca="false">IF($D199="",0,IFERROR(INDEX(MAP_SINALMOV,MATCH($D199,LST_TIPOMOV,0)),0))</f>
        <v>0</v>
      </c>
      <c r="K199" s="36" t="n">
        <f aca="false">IF($A199="",0,$E199*$J199)</f>
        <v>0</v>
      </c>
      <c r="L199" s="35" t="str">
        <f aca="false">IF($C199="","",IFERROR(INDEX(M_CONTA,MATCH($C199,M_ID,0)),""))</f>
        <v/>
      </c>
      <c r="M199" s="35" t="str">
        <f aca="false">IF($B199="","",IF($E199&lt;=0,"ERRO: valor deve ser maior que zero",IF(COUNTIF(M_ID,$C199)=0,"ERRO: meta inexistente",IF(COUNTIF(LST_TIPOMOV,$D199)=0,"ERRO: tipo de movimento invalido",IF(AND($D199="TRANSF_SAIDA",COUNTIF(M_ID,$G199)=0),"ERRO: informe a meta de destino",IF(AND($J199=-1,$F199=""),"ATENCAO: informe o destino da retirada","OK"))))))</f>
        <v/>
      </c>
    </row>
    <row r="200" customFormat="false" ht="15" hidden="false" customHeight="false" outlineLevel="0" collapsed="false">
      <c r="A200" s="30" t="str">
        <f aca="false">IF($B200="","","MOV-"&amp;TEXT(ROW()-4,"000000"))</f>
        <v/>
      </c>
      <c r="B200" s="31"/>
      <c r="C200" s="32"/>
      <c r="D200" s="32"/>
      <c r="E200" s="33"/>
      <c r="F200" s="32"/>
      <c r="G200" s="32"/>
      <c r="H200" s="32"/>
      <c r="I200" s="35" t="str">
        <f aca="false">IF($C200="","",IFERROR(INDEX(M_NOME,MATCH($C200,M_ID,0)),"?"))</f>
        <v/>
      </c>
      <c r="J200" s="34" t="n">
        <f aca="false">IF($D200="",0,IFERROR(INDEX(MAP_SINALMOV,MATCH($D200,LST_TIPOMOV,0)),0))</f>
        <v>0</v>
      </c>
      <c r="K200" s="36" t="n">
        <f aca="false">IF($A200="",0,$E200*$J200)</f>
        <v>0</v>
      </c>
      <c r="L200" s="35" t="str">
        <f aca="false">IF($C200="","",IFERROR(INDEX(M_CONTA,MATCH($C200,M_ID,0)),""))</f>
        <v/>
      </c>
      <c r="M200" s="35" t="str">
        <f aca="false">IF($B200="","",IF($E200&lt;=0,"ERRO: valor deve ser maior que zero",IF(COUNTIF(M_ID,$C200)=0,"ERRO: meta inexistente",IF(COUNTIF(LST_TIPOMOV,$D200)=0,"ERRO: tipo de movimento invalido",IF(AND($D200="TRANSF_SAIDA",COUNTIF(M_ID,$G200)=0),"ERRO: informe a meta de destino",IF(AND($J200=-1,$F200=""),"ATENCAO: informe o destino da retirada","OK"))))))</f>
        <v/>
      </c>
    </row>
    <row r="201" customFormat="false" ht="15" hidden="false" customHeight="false" outlineLevel="0" collapsed="false">
      <c r="A201" s="30" t="str">
        <f aca="false">IF($B201="","","MOV-"&amp;TEXT(ROW()-4,"000000"))</f>
        <v/>
      </c>
      <c r="B201" s="31"/>
      <c r="C201" s="32"/>
      <c r="D201" s="32"/>
      <c r="E201" s="33"/>
      <c r="F201" s="32"/>
      <c r="G201" s="32"/>
      <c r="H201" s="32"/>
      <c r="I201" s="35" t="str">
        <f aca="false">IF($C201="","",IFERROR(INDEX(M_NOME,MATCH($C201,M_ID,0)),"?"))</f>
        <v/>
      </c>
      <c r="J201" s="34" t="n">
        <f aca="false">IF($D201="",0,IFERROR(INDEX(MAP_SINALMOV,MATCH($D201,LST_TIPOMOV,0)),0))</f>
        <v>0</v>
      </c>
      <c r="K201" s="36" t="n">
        <f aca="false">IF($A201="",0,$E201*$J201)</f>
        <v>0</v>
      </c>
      <c r="L201" s="35" t="str">
        <f aca="false">IF($C201="","",IFERROR(INDEX(M_CONTA,MATCH($C201,M_ID,0)),""))</f>
        <v/>
      </c>
      <c r="M201" s="35" t="str">
        <f aca="false">IF($B201="","",IF($E201&lt;=0,"ERRO: valor deve ser maior que zero",IF(COUNTIF(M_ID,$C201)=0,"ERRO: meta inexistente",IF(COUNTIF(LST_TIPOMOV,$D201)=0,"ERRO: tipo de movimento invalido",IF(AND($D201="TRANSF_SAIDA",COUNTIF(M_ID,$G201)=0),"ERRO: informe a meta de destino",IF(AND($J201=-1,$F201=""),"ATENCAO: informe o destino da retirada","OK"))))))</f>
        <v/>
      </c>
    </row>
    <row r="202" customFormat="false" ht="15" hidden="false" customHeight="false" outlineLevel="0" collapsed="false">
      <c r="A202" s="30" t="str">
        <f aca="false">IF($B202="","","MOV-"&amp;TEXT(ROW()-4,"000000"))</f>
        <v/>
      </c>
      <c r="B202" s="31"/>
      <c r="C202" s="32"/>
      <c r="D202" s="32"/>
      <c r="E202" s="33"/>
      <c r="F202" s="32"/>
      <c r="G202" s="32"/>
      <c r="H202" s="32"/>
      <c r="I202" s="35" t="str">
        <f aca="false">IF($C202="","",IFERROR(INDEX(M_NOME,MATCH($C202,M_ID,0)),"?"))</f>
        <v/>
      </c>
      <c r="J202" s="34" t="n">
        <f aca="false">IF($D202="",0,IFERROR(INDEX(MAP_SINALMOV,MATCH($D202,LST_TIPOMOV,0)),0))</f>
        <v>0</v>
      </c>
      <c r="K202" s="36" t="n">
        <f aca="false">IF($A202="",0,$E202*$J202)</f>
        <v>0</v>
      </c>
      <c r="L202" s="35" t="str">
        <f aca="false">IF($C202="","",IFERROR(INDEX(M_CONTA,MATCH($C202,M_ID,0)),""))</f>
        <v/>
      </c>
      <c r="M202" s="35" t="str">
        <f aca="false">IF($B202="","",IF($E202&lt;=0,"ERRO: valor deve ser maior que zero",IF(COUNTIF(M_ID,$C202)=0,"ERRO: meta inexistente",IF(COUNTIF(LST_TIPOMOV,$D202)=0,"ERRO: tipo de movimento invalido",IF(AND($D202="TRANSF_SAIDA",COUNTIF(M_ID,$G202)=0),"ERRO: informe a meta de destino",IF(AND($J202=-1,$F202=""),"ATENCAO: informe o destino da retirada","OK"))))))</f>
        <v/>
      </c>
    </row>
    <row r="203" customFormat="false" ht="15" hidden="false" customHeight="false" outlineLevel="0" collapsed="false">
      <c r="A203" s="30" t="str">
        <f aca="false">IF($B203="","","MOV-"&amp;TEXT(ROW()-4,"000000"))</f>
        <v/>
      </c>
      <c r="B203" s="31"/>
      <c r="C203" s="32"/>
      <c r="D203" s="32"/>
      <c r="E203" s="33"/>
      <c r="F203" s="32"/>
      <c r="G203" s="32"/>
      <c r="H203" s="32"/>
      <c r="I203" s="35" t="str">
        <f aca="false">IF($C203="","",IFERROR(INDEX(M_NOME,MATCH($C203,M_ID,0)),"?"))</f>
        <v/>
      </c>
      <c r="J203" s="34" t="n">
        <f aca="false">IF($D203="",0,IFERROR(INDEX(MAP_SINALMOV,MATCH($D203,LST_TIPOMOV,0)),0))</f>
        <v>0</v>
      </c>
      <c r="K203" s="36" t="n">
        <f aca="false">IF($A203="",0,$E203*$J203)</f>
        <v>0</v>
      </c>
      <c r="L203" s="35" t="str">
        <f aca="false">IF($C203="","",IFERROR(INDEX(M_CONTA,MATCH($C203,M_ID,0)),""))</f>
        <v/>
      </c>
      <c r="M203" s="35" t="str">
        <f aca="false">IF($B203="","",IF($E203&lt;=0,"ERRO: valor deve ser maior que zero",IF(COUNTIF(M_ID,$C203)=0,"ERRO: meta inexistente",IF(COUNTIF(LST_TIPOMOV,$D203)=0,"ERRO: tipo de movimento invalido",IF(AND($D203="TRANSF_SAIDA",COUNTIF(M_ID,$G203)=0),"ERRO: informe a meta de destino",IF(AND($J203=-1,$F203=""),"ATENCAO: informe o destino da retirada","OK"))))))</f>
        <v/>
      </c>
    </row>
    <row r="204" customFormat="false" ht="15" hidden="false" customHeight="false" outlineLevel="0" collapsed="false">
      <c r="A204" s="30" t="str">
        <f aca="false">IF($B204="","","MOV-"&amp;TEXT(ROW()-4,"000000"))</f>
        <v/>
      </c>
      <c r="B204" s="31"/>
      <c r="C204" s="32"/>
      <c r="D204" s="32"/>
      <c r="E204" s="33"/>
      <c r="F204" s="32"/>
      <c r="G204" s="32"/>
      <c r="H204" s="32"/>
      <c r="I204" s="35" t="str">
        <f aca="false">IF($C204="","",IFERROR(INDEX(M_NOME,MATCH($C204,M_ID,0)),"?"))</f>
        <v/>
      </c>
      <c r="J204" s="34" t="n">
        <f aca="false">IF($D204="",0,IFERROR(INDEX(MAP_SINALMOV,MATCH($D204,LST_TIPOMOV,0)),0))</f>
        <v>0</v>
      </c>
      <c r="K204" s="36" t="n">
        <f aca="false">IF($A204="",0,$E204*$J204)</f>
        <v>0</v>
      </c>
      <c r="L204" s="35" t="str">
        <f aca="false">IF($C204="","",IFERROR(INDEX(M_CONTA,MATCH($C204,M_ID,0)),""))</f>
        <v/>
      </c>
      <c r="M204" s="35" t="str">
        <f aca="false">IF($B204="","",IF($E204&lt;=0,"ERRO: valor deve ser maior que zero",IF(COUNTIF(M_ID,$C204)=0,"ERRO: meta inexistente",IF(COUNTIF(LST_TIPOMOV,$D204)=0,"ERRO: tipo de movimento invalido",IF(AND($D204="TRANSF_SAIDA",COUNTIF(M_ID,$G204)=0),"ERRO: informe a meta de destino",IF(AND($J204=-1,$F204=""),"ATENCAO: informe o destino da retirada","OK"))))))</f>
        <v/>
      </c>
    </row>
    <row r="205" customFormat="false" ht="15" hidden="false" customHeight="false" outlineLevel="0" collapsed="false">
      <c r="A205" s="30" t="str">
        <f aca="false">IF($B205="","","MOV-"&amp;TEXT(ROW()-4,"000000"))</f>
        <v/>
      </c>
      <c r="B205" s="31"/>
      <c r="C205" s="32"/>
      <c r="D205" s="32"/>
      <c r="E205" s="33"/>
      <c r="F205" s="32"/>
      <c r="G205" s="32"/>
      <c r="H205" s="32"/>
      <c r="I205" s="35" t="str">
        <f aca="false">IF($C205="","",IFERROR(INDEX(M_NOME,MATCH($C205,M_ID,0)),"?"))</f>
        <v/>
      </c>
      <c r="J205" s="34" t="n">
        <f aca="false">IF($D205="",0,IFERROR(INDEX(MAP_SINALMOV,MATCH($D205,LST_TIPOMOV,0)),0))</f>
        <v>0</v>
      </c>
      <c r="K205" s="36" t="n">
        <f aca="false">IF($A205="",0,$E205*$J205)</f>
        <v>0</v>
      </c>
      <c r="L205" s="35" t="str">
        <f aca="false">IF($C205="","",IFERROR(INDEX(M_CONTA,MATCH($C205,M_ID,0)),""))</f>
        <v/>
      </c>
      <c r="M205" s="35" t="str">
        <f aca="false">IF($B205="","",IF($E205&lt;=0,"ERRO: valor deve ser maior que zero",IF(COUNTIF(M_ID,$C205)=0,"ERRO: meta inexistente",IF(COUNTIF(LST_TIPOMOV,$D205)=0,"ERRO: tipo de movimento invalido",IF(AND($D205="TRANSF_SAIDA",COUNTIF(M_ID,$G205)=0),"ERRO: informe a meta de destino",IF(AND($J205=-1,$F205=""),"ATENCAO: informe o destino da retirada","OK"))))))</f>
        <v/>
      </c>
    </row>
    <row r="206" customFormat="false" ht="15" hidden="false" customHeight="false" outlineLevel="0" collapsed="false">
      <c r="A206" s="30" t="str">
        <f aca="false">IF($B206="","","MOV-"&amp;TEXT(ROW()-4,"000000"))</f>
        <v/>
      </c>
      <c r="B206" s="31"/>
      <c r="C206" s="32"/>
      <c r="D206" s="32"/>
      <c r="E206" s="33"/>
      <c r="F206" s="32"/>
      <c r="G206" s="32"/>
      <c r="H206" s="32"/>
      <c r="I206" s="35" t="str">
        <f aca="false">IF($C206="","",IFERROR(INDEX(M_NOME,MATCH($C206,M_ID,0)),"?"))</f>
        <v/>
      </c>
      <c r="J206" s="34" t="n">
        <f aca="false">IF($D206="",0,IFERROR(INDEX(MAP_SINALMOV,MATCH($D206,LST_TIPOMOV,0)),0))</f>
        <v>0</v>
      </c>
      <c r="K206" s="36" t="n">
        <f aca="false">IF($A206="",0,$E206*$J206)</f>
        <v>0</v>
      </c>
      <c r="L206" s="35" t="str">
        <f aca="false">IF($C206="","",IFERROR(INDEX(M_CONTA,MATCH($C206,M_ID,0)),""))</f>
        <v/>
      </c>
      <c r="M206" s="35" t="str">
        <f aca="false">IF($B206="","",IF($E206&lt;=0,"ERRO: valor deve ser maior que zero",IF(COUNTIF(M_ID,$C206)=0,"ERRO: meta inexistente",IF(COUNTIF(LST_TIPOMOV,$D206)=0,"ERRO: tipo de movimento invalido",IF(AND($D206="TRANSF_SAIDA",COUNTIF(M_ID,$G206)=0),"ERRO: informe a meta de destino",IF(AND($J206=-1,$F206=""),"ATENCAO: informe o destino da retirada","OK"))))))</f>
        <v/>
      </c>
    </row>
    <row r="207" customFormat="false" ht="15" hidden="false" customHeight="false" outlineLevel="0" collapsed="false">
      <c r="A207" s="30" t="str">
        <f aca="false">IF($B207="","","MOV-"&amp;TEXT(ROW()-4,"000000"))</f>
        <v/>
      </c>
      <c r="B207" s="31"/>
      <c r="C207" s="32"/>
      <c r="D207" s="32"/>
      <c r="E207" s="33"/>
      <c r="F207" s="32"/>
      <c r="G207" s="32"/>
      <c r="H207" s="32"/>
      <c r="I207" s="35" t="str">
        <f aca="false">IF($C207="","",IFERROR(INDEX(M_NOME,MATCH($C207,M_ID,0)),"?"))</f>
        <v/>
      </c>
      <c r="J207" s="34" t="n">
        <f aca="false">IF($D207="",0,IFERROR(INDEX(MAP_SINALMOV,MATCH($D207,LST_TIPOMOV,0)),0))</f>
        <v>0</v>
      </c>
      <c r="K207" s="36" t="n">
        <f aca="false">IF($A207="",0,$E207*$J207)</f>
        <v>0</v>
      </c>
      <c r="L207" s="35" t="str">
        <f aca="false">IF($C207="","",IFERROR(INDEX(M_CONTA,MATCH($C207,M_ID,0)),""))</f>
        <v/>
      </c>
      <c r="M207" s="35" t="str">
        <f aca="false">IF($B207="","",IF($E207&lt;=0,"ERRO: valor deve ser maior que zero",IF(COUNTIF(M_ID,$C207)=0,"ERRO: meta inexistente",IF(COUNTIF(LST_TIPOMOV,$D207)=0,"ERRO: tipo de movimento invalido",IF(AND($D207="TRANSF_SAIDA",COUNTIF(M_ID,$G207)=0),"ERRO: informe a meta de destino",IF(AND($J207=-1,$F207=""),"ATENCAO: informe o destino da retirada","OK"))))))</f>
        <v/>
      </c>
    </row>
    <row r="208" customFormat="false" ht="15" hidden="false" customHeight="false" outlineLevel="0" collapsed="false">
      <c r="A208" s="30" t="str">
        <f aca="false">IF($B208="","","MOV-"&amp;TEXT(ROW()-4,"000000"))</f>
        <v/>
      </c>
      <c r="B208" s="31"/>
      <c r="C208" s="32"/>
      <c r="D208" s="32"/>
      <c r="E208" s="33"/>
      <c r="F208" s="32"/>
      <c r="G208" s="32"/>
      <c r="H208" s="32"/>
      <c r="I208" s="35" t="str">
        <f aca="false">IF($C208="","",IFERROR(INDEX(M_NOME,MATCH($C208,M_ID,0)),"?"))</f>
        <v/>
      </c>
      <c r="J208" s="34" t="n">
        <f aca="false">IF($D208="",0,IFERROR(INDEX(MAP_SINALMOV,MATCH($D208,LST_TIPOMOV,0)),0))</f>
        <v>0</v>
      </c>
      <c r="K208" s="36" t="n">
        <f aca="false">IF($A208="",0,$E208*$J208)</f>
        <v>0</v>
      </c>
      <c r="L208" s="35" t="str">
        <f aca="false">IF($C208="","",IFERROR(INDEX(M_CONTA,MATCH($C208,M_ID,0)),""))</f>
        <v/>
      </c>
      <c r="M208" s="35" t="str">
        <f aca="false">IF($B208="","",IF($E208&lt;=0,"ERRO: valor deve ser maior que zero",IF(COUNTIF(M_ID,$C208)=0,"ERRO: meta inexistente",IF(COUNTIF(LST_TIPOMOV,$D208)=0,"ERRO: tipo de movimento invalido",IF(AND($D208="TRANSF_SAIDA",COUNTIF(M_ID,$G208)=0),"ERRO: informe a meta de destino",IF(AND($J208=-1,$F208=""),"ATENCAO: informe o destino da retirada","OK"))))))</f>
        <v/>
      </c>
    </row>
    <row r="209" customFormat="false" ht="15" hidden="false" customHeight="false" outlineLevel="0" collapsed="false">
      <c r="A209" s="30" t="str">
        <f aca="false">IF($B209="","","MOV-"&amp;TEXT(ROW()-4,"000000"))</f>
        <v/>
      </c>
      <c r="B209" s="31"/>
      <c r="C209" s="32"/>
      <c r="D209" s="32"/>
      <c r="E209" s="33"/>
      <c r="F209" s="32"/>
      <c r="G209" s="32"/>
      <c r="H209" s="32"/>
      <c r="I209" s="35" t="str">
        <f aca="false">IF($C209="","",IFERROR(INDEX(M_NOME,MATCH($C209,M_ID,0)),"?"))</f>
        <v/>
      </c>
      <c r="J209" s="34" t="n">
        <f aca="false">IF($D209="",0,IFERROR(INDEX(MAP_SINALMOV,MATCH($D209,LST_TIPOMOV,0)),0))</f>
        <v>0</v>
      </c>
      <c r="K209" s="36" t="n">
        <f aca="false">IF($A209="",0,$E209*$J209)</f>
        <v>0</v>
      </c>
      <c r="L209" s="35" t="str">
        <f aca="false">IF($C209="","",IFERROR(INDEX(M_CONTA,MATCH($C209,M_ID,0)),""))</f>
        <v/>
      </c>
      <c r="M209" s="35" t="str">
        <f aca="false">IF($B209="","",IF($E209&lt;=0,"ERRO: valor deve ser maior que zero",IF(COUNTIF(M_ID,$C209)=0,"ERRO: meta inexistente",IF(COUNTIF(LST_TIPOMOV,$D209)=0,"ERRO: tipo de movimento invalido",IF(AND($D209="TRANSF_SAIDA",COUNTIF(M_ID,$G209)=0),"ERRO: informe a meta de destino",IF(AND($J209=-1,$F209=""),"ATENCAO: informe o destino da retirada","OK"))))))</f>
        <v/>
      </c>
    </row>
    <row r="210" customFormat="false" ht="15" hidden="false" customHeight="false" outlineLevel="0" collapsed="false">
      <c r="A210" s="30" t="str">
        <f aca="false">IF($B210="","","MOV-"&amp;TEXT(ROW()-4,"000000"))</f>
        <v/>
      </c>
      <c r="B210" s="31"/>
      <c r="C210" s="32"/>
      <c r="D210" s="32"/>
      <c r="E210" s="33"/>
      <c r="F210" s="32"/>
      <c r="G210" s="32"/>
      <c r="H210" s="32"/>
      <c r="I210" s="35" t="str">
        <f aca="false">IF($C210="","",IFERROR(INDEX(M_NOME,MATCH($C210,M_ID,0)),"?"))</f>
        <v/>
      </c>
      <c r="J210" s="34" t="n">
        <f aca="false">IF($D210="",0,IFERROR(INDEX(MAP_SINALMOV,MATCH($D210,LST_TIPOMOV,0)),0))</f>
        <v>0</v>
      </c>
      <c r="K210" s="36" t="n">
        <f aca="false">IF($A210="",0,$E210*$J210)</f>
        <v>0</v>
      </c>
      <c r="L210" s="35" t="str">
        <f aca="false">IF($C210="","",IFERROR(INDEX(M_CONTA,MATCH($C210,M_ID,0)),""))</f>
        <v/>
      </c>
      <c r="M210" s="35" t="str">
        <f aca="false">IF($B210="","",IF($E210&lt;=0,"ERRO: valor deve ser maior que zero",IF(COUNTIF(M_ID,$C210)=0,"ERRO: meta inexistente",IF(COUNTIF(LST_TIPOMOV,$D210)=0,"ERRO: tipo de movimento invalido",IF(AND($D210="TRANSF_SAIDA",COUNTIF(M_ID,$G210)=0),"ERRO: informe a meta de destino",IF(AND($J210=-1,$F210=""),"ATENCAO: informe o destino da retirada","OK"))))))</f>
        <v/>
      </c>
    </row>
    <row r="211" customFormat="false" ht="15" hidden="false" customHeight="false" outlineLevel="0" collapsed="false">
      <c r="A211" s="30" t="str">
        <f aca="false">IF($B211="","","MOV-"&amp;TEXT(ROW()-4,"000000"))</f>
        <v/>
      </c>
      <c r="B211" s="31"/>
      <c r="C211" s="32"/>
      <c r="D211" s="32"/>
      <c r="E211" s="33"/>
      <c r="F211" s="32"/>
      <c r="G211" s="32"/>
      <c r="H211" s="32"/>
      <c r="I211" s="35" t="str">
        <f aca="false">IF($C211="","",IFERROR(INDEX(M_NOME,MATCH($C211,M_ID,0)),"?"))</f>
        <v/>
      </c>
      <c r="J211" s="34" t="n">
        <f aca="false">IF($D211="",0,IFERROR(INDEX(MAP_SINALMOV,MATCH($D211,LST_TIPOMOV,0)),0))</f>
        <v>0</v>
      </c>
      <c r="K211" s="36" t="n">
        <f aca="false">IF($A211="",0,$E211*$J211)</f>
        <v>0</v>
      </c>
      <c r="L211" s="35" t="str">
        <f aca="false">IF($C211="","",IFERROR(INDEX(M_CONTA,MATCH($C211,M_ID,0)),""))</f>
        <v/>
      </c>
      <c r="M211" s="35" t="str">
        <f aca="false">IF($B211="","",IF($E211&lt;=0,"ERRO: valor deve ser maior que zero",IF(COUNTIF(M_ID,$C211)=0,"ERRO: meta inexistente",IF(COUNTIF(LST_TIPOMOV,$D211)=0,"ERRO: tipo de movimento invalido",IF(AND($D211="TRANSF_SAIDA",COUNTIF(M_ID,$G211)=0),"ERRO: informe a meta de destino",IF(AND($J211=-1,$F211=""),"ATENCAO: informe o destino da retirada","OK"))))))</f>
        <v/>
      </c>
    </row>
    <row r="212" customFormat="false" ht="15" hidden="false" customHeight="false" outlineLevel="0" collapsed="false">
      <c r="A212" s="30" t="str">
        <f aca="false">IF($B212="","","MOV-"&amp;TEXT(ROW()-4,"000000"))</f>
        <v/>
      </c>
      <c r="B212" s="31"/>
      <c r="C212" s="32"/>
      <c r="D212" s="32"/>
      <c r="E212" s="33"/>
      <c r="F212" s="32"/>
      <c r="G212" s="32"/>
      <c r="H212" s="32"/>
      <c r="I212" s="35" t="str">
        <f aca="false">IF($C212="","",IFERROR(INDEX(M_NOME,MATCH($C212,M_ID,0)),"?"))</f>
        <v/>
      </c>
      <c r="J212" s="34" t="n">
        <f aca="false">IF($D212="",0,IFERROR(INDEX(MAP_SINALMOV,MATCH($D212,LST_TIPOMOV,0)),0))</f>
        <v>0</v>
      </c>
      <c r="K212" s="36" t="n">
        <f aca="false">IF($A212="",0,$E212*$J212)</f>
        <v>0</v>
      </c>
      <c r="L212" s="35" t="str">
        <f aca="false">IF($C212="","",IFERROR(INDEX(M_CONTA,MATCH($C212,M_ID,0)),""))</f>
        <v/>
      </c>
      <c r="M212" s="35" t="str">
        <f aca="false">IF($B212="","",IF($E212&lt;=0,"ERRO: valor deve ser maior que zero",IF(COUNTIF(M_ID,$C212)=0,"ERRO: meta inexistente",IF(COUNTIF(LST_TIPOMOV,$D212)=0,"ERRO: tipo de movimento invalido",IF(AND($D212="TRANSF_SAIDA",COUNTIF(M_ID,$G212)=0),"ERRO: informe a meta de destino",IF(AND($J212=-1,$F212=""),"ATENCAO: informe o destino da retirada","OK"))))))</f>
        <v/>
      </c>
    </row>
    <row r="213" customFormat="false" ht="15" hidden="false" customHeight="false" outlineLevel="0" collapsed="false">
      <c r="A213" s="30" t="str">
        <f aca="false">IF($B213="","","MOV-"&amp;TEXT(ROW()-4,"000000"))</f>
        <v/>
      </c>
      <c r="B213" s="31"/>
      <c r="C213" s="32"/>
      <c r="D213" s="32"/>
      <c r="E213" s="33"/>
      <c r="F213" s="32"/>
      <c r="G213" s="32"/>
      <c r="H213" s="32"/>
      <c r="I213" s="35" t="str">
        <f aca="false">IF($C213="","",IFERROR(INDEX(M_NOME,MATCH($C213,M_ID,0)),"?"))</f>
        <v/>
      </c>
      <c r="J213" s="34" t="n">
        <f aca="false">IF($D213="",0,IFERROR(INDEX(MAP_SINALMOV,MATCH($D213,LST_TIPOMOV,0)),0))</f>
        <v>0</v>
      </c>
      <c r="K213" s="36" t="n">
        <f aca="false">IF($A213="",0,$E213*$J213)</f>
        <v>0</v>
      </c>
      <c r="L213" s="35" t="str">
        <f aca="false">IF($C213="","",IFERROR(INDEX(M_CONTA,MATCH($C213,M_ID,0)),""))</f>
        <v/>
      </c>
      <c r="M213" s="35" t="str">
        <f aca="false">IF($B213="","",IF($E213&lt;=0,"ERRO: valor deve ser maior que zero",IF(COUNTIF(M_ID,$C213)=0,"ERRO: meta inexistente",IF(COUNTIF(LST_TIPOMOV,$D213)=0,"ERRO: tipo de movimento invalido",IF(AND($D213="TRANSF_SAIDA",COUNTIF(M_ID,$G213)=0),"ERRO: informe a meta de destino",IF(AND($J213=-1,$F213=""),"ATENCAO: informe o destino da retirada","OK"))))))</f>
        <v/>
      </c>
    </row>
    <row r="214" customFormat="false" ht="15" hidden="false" customHeight="false" outlineLevel="0" collapsed="false">
      <c r="A214" s="30" t="str">
        <f aca="false">IF($B214="","","MOV-"&amp;TEXT(ROW()-4,"000000"))</f>
        <v/>
      </c>
      <c r="B214" s="31"/>
      <c r="C214" s="32"/>
      <c r="D214" s="32"/>
      <c r="E214" s="33"/>
      <c r="F214" s="32"/>
      <c r="G214" s="32"/>
      <c r="H214" s="32"/>
      <c r="I214" s="35" t="str">
        <f aca="false">IF($C214="","",IFERROR(INDEX(M_NOME,MATCH($C214,M_ID,0)),"?"))</f>
        <v/>
      </c>
      <c r="J214" s="34" t="n">
        <f aca="false">IF($D214="",0,IFERROR(INDEX(MAP_SINALMOV,MATCH($D214,LST_TIPOMOV,0)),0))</f>
        <v>0</v>
      </c>
      <c r="K214" s="36" t="n">
        <f aca="false">IF($A214="",0,$E214*$J214)</f>
        <v>0</v>
      </c>
      <c r="L214" s="35" t="str">
        <f aca="false">IF($C214="","",IFERROR(INDEX(M_CONTA,MATCH($C214,M_ID,0)),""))</f>
        <v/>
      </c>
      <c r="M214" s="35" t="str">
        <f aca="false">IF($B214="","",IF($E214&lt;=0,"ERRO: valor deve ser maior que zero",IF(COUNTIF(M_ID,$C214)=0,"ERRO: meta inexistente",IF(COUNTIF(LST_TIPOMOV,$D214)=0,"ERRO: tipo de movimento invalido",IF(AND($D214="TRANSF_SAIDA",COUNTIF(M_ID,$G214)=0),"ERRO: informe a meta de destino",IF(AND($J214=-1,$F214=""),"ATENCAO: informe o destino da retirada","OK"))))))</f>
        <v/>
      </c>
    </row>
    <row r="215" customFormat="false" ht="15" hidden="false" customHeight="false" outlineLevel="0" collapsed="false">
      <c r="A215" s="30" t="str">
        <f aca="false">IF($B215="","","MOV-"&amp;TEXT(ROW()-4,"000000"))</f>
        <v/>
      </c>
      <c r="B215" s="31"/>
      <c r="C215" s="32"/>
      <c r="D215" s="32"/>
      <c r="E215" s="33"/>
      <c r="F215" s="32"/>
      <c r="G215" s="32"/>
      <c r="H215" s="32"/>
      <c r="I215" s="35" t="str">
        <f aca="false">IF($C215="","",IFERROR(INDEX(M_NOME,MATCH($C215,M_ID,0)),"?"))</f>
        <v/>
      </c>
      <c r="J215" s="34" t="n">
        <f aca="false">IF($D215="",0,IFERROR(INDEX(MAP_SINALMOV,MATCH($D215,LST_TIPOMOV,0)),0))</f>
        <v>0</v>
      </c>
      <c r="K215" s="36" t="n">
        <f aca="false">IF($A215="",0,$E215*$J215)</f>
        <v>0</v>
      </c>
      <c r="L215" s="35" t="str">
        <f aca="false">IF($C215="","",IFERROR(INDEX(M_CONTA,MATCH($C215,M_ID,0)),""))</f>
        <v/>
      </c>
      <c r="M215" s="35" t="str">
        <f aca="false">IF($B215="","",IF($E215&lt;=0,"ERRO: valor deve ser maior que zero",IF(COUNTIF(M_ID,$C215)=0,"ERRO: meta inexistente",IF(COUNTIF(LST_TIPOMOV,$D215)=0,"ERRO: tipo de movimento invalido",IF(AND($D215="TRANSF_SAIDA",COUNTIF(M_ID,$G215)=0),"ERRO: informe a meta de destino",IF(AND($J215=-1,$F215=""),"ATENCAO: informe o destino da retirada","OK"))))))</f>
        <v/>
      </c>
    </row>
    <row r="216" customFormat="false" ht="15" hidden="false" customHeight="false" outlineLevel="0" collapsed="false">
      <c r="A216" s="30" t="str">
        <f aca="false">IF($B216="","","MOV-"&amp;TEXT(ROW()-4,"000000"))</f>
        <v/>
      </c>
      <c r="B216" s="31"/>
      <c r="C216" s="32"/>
      <c r="D216" s="32"/>
      <c r="E216" s="33"/>
      <c r="F216" s="32"/>
      <c r="G216" s="32"/>
      <c r="H216" s="32"/>
      <c r="I216" s="35" t="str">
        <f aca="false">IF($C216="","",IFERROR(INDEX(M_NOME,MATCH($C216,M_ID,0)),"?"))</f>
        <v/>
      </c>
      <c r="J216" s="34" t="n">
        <f aca="false">IF($D216="",0,IFERROR(INDEX(MAP_SINALMOV,MATCH($D216,LST_TIPOMOV,0)),0))</f>
        <v>0</v>
      </c>
      <c r="K216" s="36" t="n">
        <f aca="false">IF($A216="",0,$E216*$J216)</f>
        <v>0</v>
      </c>
      <c r="L216" s="35" t="str">
        <f aca="false">IF($C216="","",IFERROR(INDEX(M_CONTA,MATCH($C216,M_ID,0)),""))</f>
        <v/>
      </c>
      <c r="M216" s="35" t="str">
        <f aca="false">IF($B216="","",IF($E216&lt;=0,"ERRO: valor deve ser maior que zero",IF(COUNTIF(M_ID,$C216)=0,"ERRO: meta inexistente",IF(COUNTIF(LST_TIPOMOV,$D216)=0,"ERRO: tipo de movimento invalido",IF(AND($D216="TRANSF_SAIDA",COUNTIF(M_ID,$G216)=0),"ERRO: informe a meta de destino",IF(AND($J216=-1,$F216=""),"ATENCAO: informe o destino da retirada","OK"))))))</f>
        <v/>
      </c>
    </row>
    <row r="217" customFormat="false" ht="15" hidden="false" customHeight="false" outlineLevel="0" collapsed="false">
      <c r="A217" s="30" t="str">
        <f aca="false">IF($B217="","","MOV-"&amp;TEXT(ROW()-4,"000000"))</f>
        <v/>
      </c>
      <c r="B217" s="31"/>
      <c r="C217" s="32"/>
      <c r="D217" s="32"/>
      <c r="E217" s="33"/>
      <c r="F217" s="32"/>
      <c r="G217" s="32"/>
      <c r="H217" s="32"/>
      <c r="I217" s="35" t="str">
        <f aca="false">IF($C217="","",IFERROR(INDEX(M_NOME,MATCH($C217,M_ID,0)),"?"))</f>
        <v/>
      </c>
      <c r="J217" s="34" t="n">
        <f aca="false">IF($D217="",0,IFERROR(INDEX(MAP_SINALMOV,MATCH($D217,LST_TIPOMOV,0)),0))</f>
        <v>0</v>
      </c>
      <c r="K217" s="36" t="n">
        <f aca="false">IF($A217="",0,$E217*$J217)</f>
        <v>0</v>
      </c>
      <c r="L217" s="35" t="str">
        <f aca="false">IF($C217="","",IFERROR(INDEX(M_CONTA,MATCH($C217,M_ID,0)),""))</f>
        <v/>
      </c>
      <c r="M217" s="35" t="str">
        <f aca="false">IF($B217="","",IF($E217&lt;=0,"ERRO: valor deve ser maior que zero",IF(COUNTIF(M_ID,$C217)=0,"ERRO: meta inexistente",IF(COUNTIF(LST_TIPOMOV,$D217)=0,"ERRO: tipo de movimento invalido",IF(AND($D217="TRANSF_SAIDA",COUNTIF(M_ID,$G217)=0),"ERRO: informe a meta de destino",IF(AND($J217=-1,$F217=""),"ATENCAO: informe o destino da retirada","OK"))))))</f>
        <v/>
      </c>
    </row>
    <row r="218" customFormat="false" ht="15" hidden="false" customHeight="false" outlineLevel="0" collapsed="false">
      <c r="A218" s="30" t="str">
        <f aca="false">IF($B218="","","MOV-"&amp;TEXT(ROW()-4,"000000"))</f>
        <v/>
      </c>
      <c r="B218" s="31"/>
      <c r="C218" s="32"/>
      <c r="D218" s="32"/>
      <c r="E218" s="33"/>
      <c r="F218" s="32"/>
      <c r="G218" s="32"/>
      <c r="H218" s="32"/>
      <c r="I218" s="35" t="str">
        <f aca="false">IF($C218="","",IFERROR(INDEX(M_NOME,MATCH($C218,M_ID,0)),"?"))</f>
        <v/>
      </c>
      <c r="J218" s="34" t="n">
        <f aca="false">IF($D218="",0,IFERROR(INDEX(MAP_SINALMOV,MATCH($D218,LST_TIPOMOV,0)),0))</f>
        <v>0</v>
      </c>
      <c r="K218" s="36" t="n">
        <f aca="false">IF($A218="",0,$E218*$J218)</f>
        <v>0</v>
      </c>
      <c r="L218" s="35" t="str">
        <f aca="false">IF($C218="","",IFERROR(INDEX(M_CONTA,MATCH($C218,M_ID,0)),""))</f>
        <v/>
      </c>
      <c r="M218" s="35" t="str">
        <f aca="false">IF($B218="","",IF($E218&lt;=0,"ERRO: valor deve ser maior que zero",IF(COUNTIF(M_ID,$C218)=0,"ERRO: meta inexistente",IF(COUNTIF(LST_TIPOMOV,$D218)=0,"ERRO: tipo de movimento invalido",IF(AND($D218="TRANSF_SAIDA",COUNTIF(M_ID,$G218)=0),"ERRO: informe a meta de destino",IF(AND($J218=-1,$F218=""),"ATENCAO: informe o destino da retirada","OK"))))))</f>
        <v/>
      </c>
    </row>
    <row r="219" customFormat="false" ht="15" hidden="false" customHeight="false" outlineLevel="0" collapsed="false">
      <c r="A219" s="30" t="str">
        <f aca="false">IF($B219="","","MOV-"&amp;TEXT(ROW()-4,"000000"))</f>
        <v/>
      </c>
      <c r="B219" s="31"/>
      <c r="C219" s="32"/>
      <c r="D219" s="32"/>
      <c r="E219" s="33"/>
      <c r="F219" s="32"/>
      <c r="G219" s="32"/>
      <c r="H219" s="32"/>
      <c r="I219" s="35" t="str">
        <f aca="false">IF($C219="","",IFERROR(INDEX(M_NOME,MATCH($C219,M_ID,0)),"?"))</f>
        <v/>
      </c>
      <c r="J219" s="34" t="n">
        <f aca="false">IF($D219="",0,IFERROR(INDEX(MAP_SINALMOV,MATCH($D219,LST_TIPOMOV,0)),0))</f>
        <v>0</v>
      </c>
      <c r="K219" s="36" t="n">
        <f aca="false">IF($A219="",0,$E219*$J219)</f>
        <v>0</v>
      </c>
      <c r="L219" s="35" t="str">
        <f aca="false">IF($C219="","",IFERROR(INDEX(M_CONTA,MATCH($C219,M_ID,0)),""))</f>
        <v/>
      </c>
      <c r="M219" s="35" t="str">
        <f aca="false">IF($B219="","",IF($E219&lt;=0,"ERRO: valor deve ser maior que zero",IF(COUNTIF(M_ID,$C219)=0,"ERRO: meta inexistente",IF(COUNTIF(LST_TIPOMOV,$D219)=0,"ERRO: tipo de movimento invalido",IF(AND($D219="TRANSF_SAIDA",COUNTIF(M_ID,$G219)=0),"ERRO: informe a meta de destino",IF(AND($J219=-1,$F219=""),"ATENCAO: informe o destino da retirada","OK"))))))</f>
        <v/>
      </c>
    </row>
    <row r="220" customFormat="false" ht="15" hidden="false" customHeight="false" outlineLevel="0" collapsed="false">
      <c r="A220" s="30" t="str">
        <f aca="false">IF($B220="","","MOV-"&amp;TEXT(ROW()-4,"000000"))</f>
        <v/>
      </c>
      <c r="B220" s="31"/>
      <c r="C220" s="32"/>
      <c r="D220" s="32"/>
      <c r="E220" s="33"/>
      <c r="F220" s="32"/>
      <c r="G220" s="32"/>
      <c r="H220" s="32"/>
      <c r="I220" s="35" t="str">
        <f aca="false">IF($C220="","",IFERROR(INDEX(M_NOME,MATCH($C220,M_ID,0)),"?"))</f>
        <v/>
      </c>
      <c r="J220" s="34" t="n">
        <f aca="false">IF($D220="",0,IFERROR(INDEX(MAP_SINALMOV,MATCH($D220,LST_TIPOMOV,0)),0))</f>
        <v>0</v>
      </c>
      <c r="K220" s="36" t="n">
        <f aca="false">IF($A220="",0,$E220*$J220)</f>
        <v>0</v>
      </c>
      <c r="L220" s="35" t="str">
        <f aca="false">IF($C220="","",IFERROR(INDEX(M_CONTA,MATCH($C220,M_ID,0)),""))</f>
        <v/>
      </c>
      <c r="M220" s="35" t="str">
        <f aca="false">IF($B220="","",IF($E220&lt;=0,"ERRO: valor deve ser maior que zero",IF(COUNTIF(M_ID,$C220)=0,"ERRO: meta inexistente",IF(COUNTIF(LST_TIPOMOV,$D220)=0,"ERRO: tipo de movimento invalido",IF(AND($D220="TRANSF_SAIDA",COUNTIF(M_ID,$G220)=0),"ERRO: informe a meta de destino",IF(AND($J220=-1,$F220=""),"ATENCAO: informe o destino da retirada","OK"))))))</f>
        <v/>
      </c>
    </row>
    <row r="221" customFormat="false" ht="15" hidden="false" customHeight="false" outlineLevel="0" collapsed="false">
      <c r="A221" s="30" t="str">
        <f aca="false">IF($B221="","","MOV-"&amp;TEXT(ROW()-4,"000000"))</f>
        <v/>
      </c>
      <c r="B221" s="31"/>
      <c r="C221" s="32"/>
      <c r="D221" s="32"/>
      <c r="E221" s="33"/>
      <c r="F221" s="32"/>
      <c r="G221" s="32"/>
      <c r="H221" s="32"/>
      <c r="I221" s="35" t="str">
        <f aca="false">IF($C221="","",IFERROR(INDEX(M_NOME,MATCH($C221,M_ID,0)),"?"))</f>
        <v/>
      </c>
      <c r="J221" s="34" t="n">
        <f aca="false">IF($D221="",0,IFERROR(INDEX(MAP_SINALMOV,MATCH($D221,LST_TIPOMOV,0)),0))</f>
        <v>0</v>
      </c>
      <c r="K221" s="36" t="n">
        <f aca="false">IF($A221="",0,$E221*$J221)</f>
        <v>0</v>
      </c>
      <c r="L221" s="35" t="str">
        <f aca="false">IF($C221="","",IFERROR(INDEX(M_CONTA,MATCH($C221,M_ID,0)),""))</f>
        <v/>
      </c>
      <c r="M221" s="35" t="str">
        <f aca="false">IF($B221="","",IF($E221&lt;=0,"ERRO: valor deve ser maior que zero",IF(COUNTIF(M_ID,$C221)=0,"ERRO: meta inexistente",IF(COUNTIF(LST_TIPOMOV,$D221)=0,"ERRO: tipo de movimento invalido",IF(AND($D221="TRANSF_SAIDA",COUNTIF(M_ID,$G221)=0),"ERRO: informe a meta de destino",IF(AND($J221=-1,$F221=""),"ATENCAO: informe o destino da retirada","OK"))))))</f>
        <v/>
      </c>
    </row>
    <row r="222" customFormat="false" ht="15" hidden="false" customHeight="false" outlineLevel="0" collapsed="false">
      <c r="A222" s="30" t="str">
        <f aca="false">IF($B222="","","MOV-"&amp;TEXT(ROW()-4,"000000"))</f>
        <v/>
      </c>
      <c r="B222" s="31"/>
      <c r="C222" s="32"/>
      <c r="D222" s="32"/>
      <c r="E222" s="33"/>
      <c r="F222" s="32"/>
      <c r="G222" s="32"/>
      <c r="H222" s="32"/>
      <c r="I222" s="35" t="str">
        <f aca="false">IF($C222="","",IFERROR(INDEX(M_NOME,MATCH($C222,M_ID,0)),"?"))</f>
        <v/>
      </c>
      <c r="J222" s="34" t="n">
        <f aca="false">IF($D222="",0,IFERROR(INDEX(MAP_SINALMOV,MATCH($D222,LST_TIPOMOV,0)),0))</f>
        <v>0</v>
      </c>
      <c r="K222" s="36" t="n">
        <f aca="false">IF($A222="",0,$E222*$J222)</f>
        <v>0</v>
      </c>
      <c r="L222" s="35" t="str">
        <f aca="false">IF($C222="","",IFERROR(INDEX(M_CONTA,MATCH($C222,M_ID,0)),""))</f>
        <v/>
      </c>
      <c r="M222" s="35" t="str">
        <f aca="false">IF($B222="","",IF($E222&lt;=0,"ERRO: valor deve ser maior que zero",IF(COUNTIF(M_ID,$C222)=0,"ERRO: meta inexistente",IF(COUNTIF(LST_TIPOMOV,$D222)=0,"ERRO: tipo de movimento invalido",IF(AND($D222="TRANSF_SAIDA",COUNTIF(M_ID,$G222)=0),"ERRO: informe a meta de destino",IF(AND($J222=-1,$F222=""),"ATENCAO: informe o destino da retirada","OK"))))))</f>
        <v/>
      </c>
    </row>
    <row r="223" customFormat="false" ht="15" hidden="false" customHeight="false" outlineLevel="0" collapsed="false">
      <c r="A223" s="30" t="str">
        <f aca="false">IF($B223="","","MOV-"&amp;TEXT(ROW()-4,"000000"))</f>
        <v/>
      </c>
      <c r="B223" s="31"/>
      <c r="C223" s="32"/>
      <c r="D223" s="32"/>
      <c r="E223" s="33"/>
      <c r="F223" s="32"/>
      <c r="G223" s="32"/>
      <c r="H223" s="32"/>
      <c r="I223" s="35" t="str">
        <f aca="false">IF($C223="","",IFERROR(INDEX(M_NOME,MATCH($C223,M_ID,0)),"?"))</f>
        <v/>
      </c>
      <c r="J223" s="34" t="n">
        <f aca="false">IF($D223="",0,IFERROR(INDEX(MAP_SINALMOV,MATCH($D223,LST_TIPOMOV,0)),0))</f>
        <v>0</v>
      </c>
      <c r="K223" s="36" t="n">
        <f aca="false">IF($A223="",0,$E223*$J223)</f>
        <v>0</v>
      </c>
      <c r="L223" s="35" t="str">
        <f aca="false">IF($C223="","",IFERROR(INDEX(M_CONTA,MATCH($C223,M_ID,0)),""))</f>
        <v/>
      </c>
      <c r="M223" s="35" t="str">
        <f aca="false">IF($B223="","",IF($E223&lt;=0,"ERRO: valor deve ser maior que zero",IF(COUNTIF(M_ID,$C223)=0,"ERRO: meta inexistente",IF(COUNTIF(LST_TIPOMOV,$D223)=0,"ERRO: tipo de movimento invalido",IF(AND($D223="TRANSF_SAIDA",COUNTIF(M_ID,$G223)=0),"ERRO: informe a meta de destino",IF(AND($J223=-1,$F223=""),"ATENCAO: informe o destino da retirada","OK"))))))</f>
        <v/>
      </c>
    </row>
    <row r="224" customFormat="false" ht="15" hidden="false" customHeight="false" outlineLevel="0" collapsed="false">
      <c r="A224" s="30" t="str">
        <f aca="false">IF($B224="","","MOV-"&amp;TEXT(ROW()-4,"000000"))</f>
        <v/>
      </c>
      <c r="B224" s="31"/>
      <c r="C224" s="32"/>
      <c r="D224" s="32"/>
      <c r="E224" s="33"/>
      <c r="F224" s="32"/>
      <c r="G224" s="32"/>
      <c r="H224" s="32"/>
      <c r="I224" s="35" t="str">
        <f aca="false">IF($C224="","",IFERROR(INDEX(M_NOME,MATCH($C224,M_ID,0)),"?"))</f>
        <v/>
      </c>
      <c r="J224" s="34" t="n">
        <f aca="false">IF($D224="",0,IFERROR(INDEX(MAP_SINALMOV,MATCH($D224,LST_TIPOMOV,0)),0))</f>
        <v>0</v>
      </c>
      <c r="K224" s="36" t="n">
        <f aca="false">IF($A224="",0,$E224*$J224)</f>
        <v>0</v>
      </c>
      <c r="L224" s="35" t="str">
        <f aca="false">IF($C224="","",IFERROR(INDEX(M_CONTA,MATCH($C224,M_ID,0)),""))</f>
        <v/>
      </c>
      <c r="M224" s="35" t="str">
        <f aca="false">IF($B224="","",IF($E224&lt;=0,"ERRO: valor deve ser maior que zero",IF(COUNTIF(M_ID,$C224)=0,"ERRO: meta inexistente",IF(COUNTIF(LST_TIPOMOV,$D224)=0,"ERRO: tipo de movimento invalido",IF(AND($D224="TRANSF_SAIDA",COUNTIF(M_ID,$G224)=0),"ERRO: informe a meta de destino",IF(AND($J224=-1,$F224=""),"ATENCAO: informe o destino da retirada","OK"))))))</f>
        <v/>
      </c>
    </row>
    <row r="225" customFormat="false" ht="15" hidden="false" customHeight="false" outlineLevel="0" collapsed="false">
      <c r="A225" s="30" t="str">
        <f aca="false">IF($B225="","","MOV-"&amp;TEXT(ROW()-4,"000000"))</f>
        <v/>
      </c>
      <c r="B225" s="31"/>
      <c r="C225" s="32"/>
      <c r="D225" s="32"/>
      <c r="E225" s="33"/>
      <c r="F225" s="32"/>
      <c r="G225" s="32"/>
      <c r="H225" s="32"/>
      <c r="I225" s="35" t="str">
        <f aca="false">IF($C225="","",IFERROR(INDEX(M_NOME,MATCH($C225,M_ID,0)),"?"))</f>
        <v/>
      </c>
      <c r="J225" s="34" t="n">
        <f aca="false">IF($D225="",0,IFERROR(INDEX(MAP_SINALMOV,MATCH($D225,LST_TIPOMOV,0)),0))</f>
        <v>0</v>
      </c>
      <c r="K225" s="36" t="n">
        <f aca="false">IF($A225="",0,$E225*$J225)</f>
        <v>0</v>
      </c>
      <c r="L225" s="35" t="str">
        <f aca="false">IF($C225="","",IFERROR(INDEX(M_CONTA,MATCH($C225,M_ID,0)),""))</f>
        <v/>
      </c>
      <c r="M225" s="35" t="str">
        <f aca="false">IF($B225="","",IF($E225&lt;=0,"ERRO: valor deve ser maior que zero",IF(COUNTIF(M_ID,$C225)=0,"ERRO: meta inexistente",IF(COUNTIF(LST_TIPOMOV,$D225)=0,"ERRO: tipo de movimento invalido",IF(AND($D225="TRANSF_SAIDA",COUNTIF(M_ID,$G225)=0),"ERRO: informe a meta de destino",IF(AND($J225=-1,$F225=""),"ATENCAO: informe o destino da retirada","OK"))))))</f>
        <v/>
      </c>
    </row>
    <row r="226" customFormat="false" ht="15" hidden="false" customHeight="false" outlineLevel="0" collapsed="false">
      <c r="A226" s="30" t="str">
        <f aca="false">IF($B226="","","MOV-"&amp;TEXT(ROW()-4,"000000"))</f>
        <v/>
      </c>
      <c r="B226" s="31"/>
      <c r="C226" s="32"/>
      <c r="D226" s="32"/>
      <c r="E226" s="33"/>
      <c r="F226" s="32"/>
      <c r="G226" s="32"/>
      <c r="H226" s="32"/>
      <c r="I226" s="35" t="str">
        <f aca="false">IF($C226="","",IFERROR(INDEX(M_NOME,MATCH($C226,M_ID,0)),"?"))</f>
        <v/>
      </c>
      <c r="J226" s="34" t="n">
        <f aca="false">IF($D226="",0,IFERROR(INDEX(MAP_SINALMOV,MATCH($D226,LST_TIPOMOV,0)),0))</f>
        <v>0</v>
      </c>
      <c r="K226" s="36" t="n">
        <f aca="false">IF($A226="",0,$E226*$J226)</f>
        <v>0</v>
      </c>
      <c r="L226" s="35" t="str">
        <f aca="false">IF($C226="","",IFERROR(INDEX(M_CONTA,MATCH($C226,M_ID,0)),""))</f>
        <v/>
      </c>
      <c r="M226" s="35" t="str">
        <f aca="false">IF($B226="","",IF($E226&lt;=0,"ERRO: valor deve ser maior que zero",IF(COUNTIF(M_ID,$C226)=0,"ERRO: meta inexistente",IF(COUNTIF(LST_TIPOMOV,$D226)=0,"ERRO: tipo de movimento invalido",IF(AND($D226="TRANSF_SAIDA",COUNTIF(M_ID,$G226)=0),"ERRO: informe a meta de destino",IF(AND($J226=-1,$F226=""),"ATENCAO: informe o destino da retirada","OK"))))))</f>
        <v/>
      </c>
    </row>
    <row r="227" customFormat="false" ht="15" hidden="false" customHeight="false" outlineLevel="0" collapsed="false">
      <c r="A227" s="30" t="str">
        <f aca="false">IF($B227="","","MOV-"&amp;TEXT(ROW()-4,"000000"))</f>
        <v/>
      </c>
      <c r="B227" s="31"/>
      <c r="C227" s="32"/>
      <c r="D227" s="32"/>
      <c r="E227" s="33"/>
      <c r="F227" s="32"/>
      <c r="G227" s="32"/>
      <c r="H227" s="32"/>
      <c r="I227" s="35" t="str">
        <f aca="false">IF($C227="","",IFERROR(INDEX(M_NOME,MATCH($C227,M_ID,0)),"?"))</f>
        <v/>
      </c>
      <c r="J227" s="34" t="n">
        <f aca="false">IF($D227="",0,IFERROR(INDEX(MAP_SINALMOV,MATCH($D227,LST_TIPOMOV,0)),0))</f>
        <v>0</v>
      </c>
      <c r="K227" s="36" t="n">
        <f aca="false">IF($A227="",0,$E227*$J227)</f>
        <v>0</v>
      </c>
      <c r="L227" s="35" t="str">
        <f aca="false">IF($C227="","",IFERROR(INDEX(M_CONTA,MATCH($C227,M_ID,0)),""))</f>
        <v/>
      </c>
      <c r="M227" s="35" t="str">
        <f aca="false">IF($B227="","",IF($E227&lt;=0,"ERRO: valor deve ser maior que zero",IF(COUNTIF(M_ID,$C227)=0,"ERRO: meta inexistente",IF(COUNTIF(LST_TIPOMOV,$D227)=0,"ERRO: tipo de movimento invalido",IF(AND($D227="TRANSF_SAIDA",COUNTIF(M_ID,$G227)=0),"ERRO: informe a meta de destino",IF(AND($J227=-1,$F227=""),"ATENCAO: informe o destino da retirada","OK"))))))</f>
        <v/>
      </c>
    </row>
    <row r="228" customFormat="false" ht="15" hidden="false" customHeight="false" outlineLevel="0" collapsed="false">
      <c r="A228" s="30" t="str">
        <f aca="false">IF($B228="","","MOV-"&amp;TEXT(ROW()-4,"000000"))</f>
        <v/>
      </c>
      <c r="B228" s="31"/>
      <c r="C228" s="32"/>
      <c r="D228" s="32"/>
      <c r="E228" s="33"/>
      <c r="F228" s="32"/>
      <c r="G228" s="32"/>
      <c r="H228" s="32"/>
      <c r="I228" s="35" t="str">
        <f aca="false">IF($C228="","",IFERROR(INDEX(M_NOME,MATCH($C228,M_ID,0)),"?"))</f>
        <v/>
      </c>
      <c r="J228" s="34" t="n">
        <f aca="false">IF($D228="",0,IFERROR(INDEX(MAP_SINALMOV,MATCH($D228,LST_TIPOMOV,0)),0))</f>
        <v>0</v>
      </c>
      <c r="K228" s="36" t="n">
        <f aca="false">IF($A228="",0,$E228*$J228)</f>
        <v>0</v>
      </c>
      <c r="L228" s="35" t="str">
        <f aca="false">IF($C228="","",IFERROR(INDEX(M_CONTA,MATCH($C228,M_ID,0)),""))</f>
        <v/>
      </c>
      <c r="M228" s="35" t="str">
        <f aca="false">IF($B228="","",IF($E228&lt;=0,"ERRO: valor deve ser maior que zero",IF(COUNTIF(M_ID,$C228)=0,"ERRO: meta inexistente",IF(COUNTIF(LST_TIPOMOV,$D228)=0,"ERRO: tipo de movimento invalido",IF(AND($D228="TRANSF_SAIDA",COUNTIF(M_ID,$G228)=0),"ERRO: informe a meta de destino",IF(AND($J228=-1,$F228=""),"ATENCAO: informe o destino da retirada","OK"))))))</f>
        <v/>
      </c>
    </row>
    <row r="229" customFormat="false" ht="15" hidden="false" customHeight="false" outlineLevel="0" collapsed="false">
      <c r="A229" s="30" t="str">
        <f aca="false">IF($B229="","","MOV-"&amp;TEXT(ROW()-4,"000000"))</f>
        <v/>
      </c>
      <c r="B229" s="31"/>
      <c r="C229" s="32"/>
      <c r="D229" s="32"/>
      <c r="E229" s="33"/>
      <c r="F229" s="32"/>
      <c r="G229" s="32"/>
      <c r="H229" s="32"/>
      <c r="I229" s="35" t="str">
        <f aca="false">IF($C229="","",IFERROR(INDEX(M_NOME,MATCH($C229,M_ID,0)),"?"))</f>
        <v/>
      </c>
      <c r="J229" s="34" t="n">
        <f aca="false">IF($D229="",0,IFERROR(INDEX(MAP_SINALMOV,MATCH($D229,LST_TIPOMOV,0)),0))</f>
        <v>0</v>
      </c>
      <c r="K229" s="36" t="n">
        <f aca="false">IF($A229="",0,$E229*$J229)</f>
        <v>0</v>
      </c>
      <c r="L229" s="35" t="str">
        <f aca="false">IF($C229="","",IFERROR(INDEX(M_CONTA,MATCH($C229,M_ID,0)),""))</f>
        <v/>
      </c>
      <c r="M229" s="35" t="str">
        <f aca="false">IF($B229="","",IF($E229&lt;=0,"ERRO: valor deve ser maior que zero",IF(COUNTIF(M_ID,$C229)=0,"ERRO: meta inexistente",IF(COUNTIF(LST_TIPOMOV,$D229)=0,"ERRO: tipo de movimento invalido",IF(AND($D229="TRANSF_SAIDA",COUNTIF(M_ID,$G229)=0),"ERRO: informe a meta de destino",IF(AND($J229=-1,$F229=""),"ATENCAO: informe o destino da retirada","OK"))))))</f>
        <v/>
      </c>
    </row>
    <row r="230" customFormat="false" ht="15" hidden="false" customHeight="false" outlineLevel="0" collapsed="false">
      <c r="A230" s="30" t="str">
        <f aca="false">IF($B230="","","MOV-"&amp;TEXT(ROW()-4,"000000"))</f>
        <v/>
      </c>
      <c r="B230" s="31"/>
      <c r="C230" s="32"/>
      <c r="D230" s="32"/>
      <c r="E230" s="33"/>
      <c r="F230" s="32"/>
      <c r="G230" s="32"/>
      <c r="H230" s="32"/>
      <c r="I230" s="35" t="str">
        <f aca="false">IF($C230="","",IFERROR(INDEX(M_NOME,MATCH($C230,M_ID,0)),"?"))</f>
        <v/>
      </c>
      <c r="J230" s="34" t="n">
        <f aca="false">IF($D230="",0,IFERROR(INDEX(MAP_SINALMOV,MATCH($D230,LST_TIPOMOV,0)),0))</f>
        <v>0</v>
      </c>
      <c r="K230" s="36" t="n">
        <f aca="false">IF($A230="",0,$E230*$J230)</f>
        <v>0</v>
      </c>
      <c r="L230" s="35" t="str">
        <f aca="false">IF($C230="","",IFERROR(INDEX(M_CONTA,MATCH($C230,M_ID,0)),""))</f>
        <v/>
      </c>
      <c r="M230" s="35" t="str">
        <f aca="false">IF($B230="","",IF($E230&lt;=0,"ERRO: valor deve ser maior que zero",IF(COUNTIF(M_ID,$C230)=0,"ERRO: meta inexistente",IF(COUNTIF(LST_TIPOMOV,$D230)=0,"ERRO: tipo de movimento invalido",IF(AND($D230="TRANSF_SAIDA",COUNTIF(M_ID,$G230)=0),"ERRO: informe a meta de destino",IF(AND($J230=-1,$F230=""),"ATENCAO: informe o destino da retirada","OK"))))))</f>
        <v/>
      </c>
    </row>
    <row r="231" customFormat="false" ht="15" hidden="false" customHeight="false" outlineLevel="0" collapsed="false">
      <c r="A231" s="30" t="str">
        <f aca="false">IF($B231="","","MOV-"&amp;TEXT(ROW()-4,"000000"))</f>
        <v/>
      </c>
      <c r="B231" s="31"/>
      <c r="C231" s="32"/>
      <c r="D231" s="32"/>
      <c r="E231" s="33"/>
      <c r="F231" s="32"/>
      <c r="G231" s="32"/>
      <c r="H231" s="32"/>
      <c r="I231" s="35" t="str">
        <f aca="false">IF($C231="","",IFERROR(INDEX(M_NOME,MATCH($C231,M_ID,0)),"?"))</f>
        <v/>
      </c>
      <c r="J231" s="34" t="n">
        <f aca="false">IF($D231="",0,IFERROR(INDEX(MAP_SINALMOV,MATCH($D231,LST_TIPOMOV,0)),0))</f>
        <v>0</v>
      </c>
      <c r="K231" s="36" t="n">
        <f aca="false">IF($A231="",0,$E231*$J231)</f>
        <v>0</v>
      </c>
      <c r="L231" s="35" t="str">
        <f aca="false">IF($C231="","",IFERROR(INDEX(M_CONTA,MATCH($C231,M_ID,0)),""))</f>
        <v/>
      </c>
      <c r="M231" s="35" t="str">
        <f aca="false">IF($B231="","",IF($E231&lt;=0,"ERRO: valor deve ser maior que zero",IF(COUNTIF(M_ID,$C231)=0,"ERRO: meta inexistente",IF(COUNTIF(LST_TIPOMOV,$D231)=0,"ERRO: tipo de movimento invalido",IF(AND($D231="TRANSF_SAIDA",COUNTIF(M_ID,$G231)=0),"ERRO: informe a meta de destino",IF(AND($J231=-1,$F231=""),"ATENCAO: informe o destino da retirada","OK"))))))</f>
        <v/>
      </c>
    </row>
    <row r="232" customFormat="false" ht="15" hidden="false" customHeight="false" outlineLevel="0" collapsed="false">
      <c r="A232" s="30" t="str">
        <f aca="false">IF($B232="","","MOV-"&amp;TEXT(ROW()-4,"000000"))</f>
        <v/>
      </c>
      <c r="B232" s="31"/>
      <c r="C232" s="32"/>
      <c r="D232" s="32"/>
      <c r="E232" s="33"/>
      <c r="F232" s="32"/>
      <c r="G232" s="32"/>
      <c r="H232" s="32"/>
      <c r="I232" s="35" t="str">
        <f aca="false">IF($C232="","",IFERROR(INDEX(M_NOME,MATCH($C232,M_ID,0)),"?"))</f>
        <v/>
      </c>
      <c r="J232" s="34" t="n">
        <f aca="false">IF($D232="",0,IFERROR(INDEX(MAP_SINALMOV,MATCH($D232,LST_TIPOMOV,0)),0))</f>
        <v>0</v>
      </c>
      <c r="K232" s="36" t="n">
        <f aca="false">IF($A232="",0,$E232*$J232)</f>
        <v>0</v>
      </c>
      <c r="L232" s="35" t="str">
        <f aca="false">IF($C232="","",IFERROR(INDEX(M_CONTA,MATCH($C232,M_ID,0)),""))</f>
        <v/>
      </c>
      <c r="M232" s="35" t="str">
        <f aca="false">IF($B232="","",IF($E232&lt;=0,"ERRO: valor deve ser maior que zero",IF(COUNTIF(M_ID,$C232)=0,"ERRO: meta inexistente",IF(COUNTIF(LST_TIPOMOV,$D232)=0,"ERRO: tipo de movimento invalido",IF(AND($D232="TRANSF_SAIDA",COUNTIF(M_ID,$G232)=0),"ERRO: informe a meta de destino",IF(AND($J232=-1,$F232=""),"ATENCAO: informe o destino da retirada","OK"))))))</f>
        <v/>
      </c>
    </row>
    <row r="233" customFormat="false" ht="15" hidden="false" customHeight="false" outlineLevel="0" collapsed="false">
      <c r="A233" s="30" t="str">
        <f aca="false">IF($B233="","","MOV-"&amp;TEXT(ROW()-4,"000000"))</f>
        <v/>
      </c>
      <c r="B233" s="31"/>
      <c r="C233" s="32"/>
      <c r="D233" s="32"/>
      <c r="E233" s="33"/>
      <c r="F233" s="32"/>
      <c r="G233" s="32"/>
      <c r="H233" s="32"/>
      <c r="I233" s="35" t="str">
        <f aca="false">IF($C233="","",IFERROR(INDEX(M_NOME,MATCH($C233,M_ID,0)),"?"))</f>
        <v/>
      </c>
      <c r="J233" s="34" t="n">
        <f aca="false">IF($D233="",0,IFERROR(INDEX(MAP_SINALMOV,MATCH($D233,LST_TIPOMOV,0)),0))</f>
        <v>0</v>
      </c>
      <c r="K233" s="36" t="n">
        <f aca="false">IF($A233="",0,$E233*$J233)</f>
        <v>0</v>
      </c>
      <c r="L233" s="35" t="str">
        <f aca="false">IF($C233="","",IFERROR(INDEX(M_CONTA,MATCH($C233,M_ID,0)),""))</f>
        <v/>
      </c>
      <c r="M233" s="35" t="str">
        <f aca="false">IF($B233="","",IF($E233&lt;=0,"ERRO: valor deve ser maior que zero",IF(COUNTIF(M_ID,$C233)=0,"ERRO: meta inexistente",IF(COUNTIF(LST_TIPOMOV,$D233)=0,"ERRO: tipo de movimento invalido",IF(AND($D233="TRANSF_SAIDA",COUNTIF(M_ID,$G233)=0),"ERRO: informe a meta de destino",IF(AND($J233=-1,$F233=""),"ATENCAO: informe o destino da retirada","OK"))))))</f>
        <v/>
      </c>
    </row>
    <row r="234" customFormat="false" ht="15" hidden="false" customHeight="false" outlineLevel="0" collapsed="false">
      <c r="A234" s="30" t="str">
        <f aca="false">IF($B234="","","MOV-"&amp;TEXT(ROW()-4,"000000"))</f>
        <v/>
      </c>
      <c r="B234" s="31"/>
      <c r="C234" s="32"/>
      <c r="D234" s="32"/>
      <c r="E234" s="33"/>
      <c r="F234" s="32"/>
      <c r="G234" s="32"/>
      <c r="H234" s="32"/>
      <c r="I234" s="35" t="str">
        <f aca="false">IF($C234="","",IFERROR(INDEX(M_NOME,MATCH($C234,M_ID,0)),"?"))</f>
        <v/>
      </c>
      <c r="J234" s="34" t="n">
        <f aca="false">IF($D234="",0,IFERROR(INDEX(MAP_SINALMOV,MATCH($D234,LST_TIPOMOV,0)),0))</f>
        <v>0</v>
      </c>
      <c r="K234" s="36" t="n">
        <f aca="false">IF($A234="",0,$E234*$J234)</f>
        <v>0</v>
      </c>
      <c r="L234" s="35" t="str">
        <f aca="false">IF($C234="","",IFERROR(INDEX(M_CONTA,MATCH($C234,M_ID,0)),""))</f>
        <v/>
      </c>
      <c r="M234" s="35" t="str">
        <f aca="false">IF($B234="","",IF($E234&lt;=0,"ERRO: valor deve ser maior que zero",IF(COUNTIF(M_ID,$C234)=0,"ERRO: meta inexistente",IF(COUNTIF(LST_TIPOMOV,$D234)=0,"ERRO: tipo de movimento invalido",IF(AND($D234="TRANSF_SAIDA",COUNTIF(M_ID,$G234)=0),"ERRO: informe a meta de destino",IF(AND($J234=-1,$F234=""),"ATENCAO: informe o destino da retirada","OK"))))))</f>
        <v/>
      </c>
    </row>
    <row r="235" customFormat="false" ht="15" hidden="false" customHeight="false" outlineLevel="0" collapsed="false">
      <c r="A235" s="30" t="str">
        <f aca="false">IF($B235="","","MOV-"&amp;TEXT(ROW()-4,"000000"))</f>
        <v/>
      </c>
      <c r="B235" s="31"/>
      <c r="C235" s="32"/>
      <c r="D235" s="32"/>
      <c r="E235" s="33"/>
      <c r="F235" s="32"/>
      <c r="G235" s="32"/>
      <c r="H235" s="32"/>
      <c r="I235" s="35" t="str">
        <f aca="false">IF($C235="","",IFERROR(INDEX(M_NOME,MATCH($C235,M_ID,0)),"?"))</f>
        <v/>
      </c>
      <c r="J235" s="34" t="n">
        <f aca="false">IF($D235="",0,IFERROR(INDEX(MAP_SINALMOV,MATCH($D235,LST_TIPOMOV,0)),0))</f>
        <v>0</v>
      </c>
      <c r="K235" s="36" t="n">
        <f aca="false">IF($A235="",0,$E235*$J235)</f>
        <v>0</v>
      </c>
      <c r="L235" s="35" t="str">
        <f aca="false">IF($C235="","",IFERROR(INDEX(M_CONTA,MATCH($C235,M_ID,0)),""))</f>
        <v/>
      </c>
      <c r="M235" s="35" t="str">
        <f aca="false">IF($B235="","",IF($E235&lt;=0,"ERRO: valor deve ser maior que zero",IF(COUNTIF(M_ID,$C235)=0,"ERRO: meta inexistente",IF(COUNTIF(LST_TIPOMOV,$D235)=0,"ERRO: tipo de movimento invalido",IF(AND($D235="TRANSF_SAIDA",COUNTIF(M_ID,$G235)=0),"ERRO: informe a meta de destino",IF(AND($J235=-1,$F235=""),"ATENCAO: informe o destino da retirada","OK"))))))</f>
        <v/>
      </c>
    </row>
    <row r="236" customFormat="false" ht="15" hidden="false" customHeight="false" outlineLevel="0" collapsed="false">
      <c r="A236" s="30" t="str">
        <f aca="false">IF($B236="","","MOV-"&amp;TEXT(ROW()-4,"000000"))</f>
        <v/>
      </c>
      <c r="B236" s="31"/>
      <c r="C236" s="32"/>
      <c r="D236" s="32"/>
      <c r="E236" s="33"/>
      <c r="F236" s="32"/>
      <c r="G236" s="32"/>
      <c r="H236" s="32"/>
      <c r="I236" s="35" t="str">
        <f aca="false">IF($C236="","",IFERROR(INDEX(M_NOME,MATCH($C236,M_ID,0)),"?"))</f>
        <v/>
      </c>
      <c r="J236" s="34" t="n">
        <f aca="false">IF($D236="",0,IFERROR(INDEX(MAP_SINALMOV,MATCH($D236,LST_TIPOMOV,0)),0))</f>
        <v>0</v>
      </c>
      <c r="K236" s="36" t="n">
        <f aca="false">IF($A236="",0,$E236*$J236)</f>
        <v>0</v>
      </c>
      <c r="L236" s="35" t="str">
        <f aca="false">IF($C236="","",IFERROR(INDEX(M_CONTA,MATCH($C236,M_ID,0)),""))</f>
        <v/>
      </c>
      <c r="M236" s="35" t="str">
        <f aca="false">IF($B236="","",IF($E236&lt;=0,"ERRO: valor deve ser maior que zero",IF(COUNTIF(M_ID,$C236)=0,"ERRO: meta inexistente",IF(COUNTIF(LST_TIPOMOV,$D236)=0,"ERRO: tipo de movimento invalido",IF(AND($D236="TRANSF_SAIDA",COUNTIF(M_ID,$G236)=0),"ERRO: informe a meta de destino",IF(AND($J236=-1,$F236=""),"ATENCAO: informe o destino da retirada","OK"))))))</f>
        <v/>
      </c>
    </row>
    <row r="237" customFormat="false" ht="15" hidden="false" customHeight="false" outlineLevel="0" collapsed="false">
      <c r="A237" s="30" t="str">
        <f aca="false">IF($B237="","","MOV-"&amp;TEXT(ROW()-4,"000000"))</f>
        <v/>
      </c>
      <c r="B237" s="31"/>
      <c r="C237" s="32"/>
      <c r="D237" s="32"/>
      <c r="E237" s="33"/>
      <c r="F237" s="32"/>
      <c r="G237" s="32"/>
      <c r="H237" s="32"/>
      <c r="I237" s="35" t="str">
        <f aca="false">IF($C237="","",IFERROR(INDEX(M_NOME,MATCH($C237,M_ID,0)),"?"))</f>
        <v/>
      </c>
      <c r="J237" s="34" t="n">
        <f aca="false">IF($D237="",0,IFERROR(INDEX(MAP_SINALMOV,MATCH($D237,LST_TIPOMOV,0)),0))</f>
        <v>0</v>
      </c>
      <c r="K237" s="36" t="n">
        <f aca="false">IF($A237="",0,$E237*$J237)</f>
        <v>0</v>
      </c>
      <c r="L237" s="35" t="str">
        <f aca="false">IF($C237="","",IFERROR(INDEX(M_CONTA,MATCH($C237,M_ID,0)),""))</f>
        <v/>
      </c>
      <c r="M237" s="35" t="str">
        <f aca="false">IF($B237="","",IF($E237&lt;=0,"ERRO: valor deve ser maior que zero",IF(COUNTIF(M_ID,$C237)=0,"ERRO: meta inexistente",IF(COUNTIF(LST_TIPOMOV,$D237)=0,"ERRO: tipo de movimento invalido",IF(AND($D237="TRANSF_SAIDA",COUNTIF(M_ID,$G237)=0),"ERRO: informe a meta de destino",IF(AND($J237=-1,$F237=""),"ATENCAO: informe o destino da retirada","OK"))))))</f>
        <v/>
      </c>
    </row>
    <row r="238" customFormat="false" ht="15" hidden="false" customHeight="false" outlineLevel="0" collapsed="false">
      <c r="A238" s="30" t="str">
        <f aca="false">IF($B238="","","MOV-"&amp;TEXT(ROW()-4,"000000"))</f>
        <v/>
      </c>
      <c r="B238" s="31"/>
      <c r="C238" s="32"/>
      <c r="D238" s="32"/>
      <c r="E238" s="33"/>
      <c r="F238" s="32"/>
      <c r="G238" s="32"/>
      <c r="H238" s="32"/>
      <c r="I238" s="35" t="str">
        <f aca="false">IF($C238="","",IFERROR(INDEX(M_NOME,MATCH($C238,M_ID,0)),"?"))</f>
        <v/>
      </c>
      <c r="J238" s="34" t="n">
        <f aca="false">IF($D238="",0,IFERROR(INDEX(MAP_SINALMOV,MATCH($D238,LST_TIPOMOV,0)),0))</f>
        <v>0</v>
      </c>
      <c r="K238" s="36" t="n">
        <f aca="false">IF($A238="",0,$E238*$J238)</f>
        <v>0</v>
      </c>
      <c r="L238" s="35" t="str">
        <f aca="false">IF($C238="","",IFERROR(INDEX(M_CONTA,MATCH($C238,M_ID,0)),""))</f>
        <v/>
      </c>
      <c r="M238" s="35" t="str">
        <f aca="false">IF($B238="","",IF($E238&lt;=0,"ERRO: valor deve ser maior que zero",IF(COUNTIF(M_ID,$C238)=0,"ERRO: meta inexistente",IF(COUNTIF(LST_TIPOMOV,$D238)=0,"ERRO: tipo de movimento invalido",IF(AND($D238="TRANSF_SAIDA",COUNTIF(M_ID,$G238)=0),"ERRO: informe a meta de destino",IF(AND($J238=-1,$F238=""),"ATENCAO: informe o destino da retirada","OK"))))))</f>
        <v/>
      </c>
    </row>
    <row r="239" customFormat="false" ht="15" hidden="false" customHeight="false" outlineLevel="0" collapsed="false">
      <c r="A239" s="30" t="str">
        <f aca="false">IF($B239="","","MOV-"&amp;TEXT(ROW()-4,"000000"))</f>
        <v/>
      </c>
      <c r="B239" s="31"/>
      <c r="C239" s="32"/>
      <c r="D239" s="32"/>
      <c r="E239" s="33"/>
      <c r="F239" s="32"/>
      <c r="G239" s="32"/>
      <c r="H239" s="32"/>
      <c r="I239" s="35" t="str">
        <f aca="false">IF($C239="","",IFERROR(INDEX(M_NOME,MATCH($C239,M_ID,0)),"?"))</f>
        <v/>
      </c>
      <c r="J239" s="34" t="n">
        <f aca="false">IF($D239="",0,IFERROR(INDEX(MAP_SINALMOV,MATCH($D239,LST_TIPOMOV,0)),0))</f>
        <v>0</v>
      </c>
      <c r="K239" s="36" t="n">
        <f aca="false">IF($A239="",0,$E239*$J239)</f>
        <v>0</v>
      </c>
      <c r="L239" s="35" t="str">
        <f aca="false">IF($C239="","",IFERROR(INDEX(M_CONTA,MATCH($C239,M_ID,0)),""))</f>
        <v/>
      </c>
      <c r="M239" s="35" t="str">
        <f aca="false">IF($B239="","",IF($E239&lt;=0,"ERRO: valor deve ser maior que zero",IF(COUNTIF(M_ID,$C239)=0,"ERRO: meta inexistente",IF(COUNTIF(LST_TIPOMOV,$D239)=0,"ERRO: tipo de movimento invalido",IF(AND($D239="TRANSF_SAIDA",COUNTIF(M_ID,$G239)=0),"ERRO: informe a meta de destino",IF(AND($J239=-1,$F239=""),"ATENCAO: informe o destino da retirada","OK"))))))</f>
        <v/>
      </c>
    </row>
    <row r="240" customFormat="false" ht="15" hidden="false" customHeight="false" outlineLevel="0" collapsed="false">
      <c r="A240" s="30" t="str">
        <f aca="false">IF($B240="","","MOV-"&amp;TEXT(ROW()-4,"000000"))</f>
        <v/>
      </c>
      <c r="B240" s="31"/>
      <c r="C240" s="32"/>
      <c r="D240" s="32"/>
      <c r="E240" s="33"/>
      <c r="F240" s="32"/>
      <c r="G240" s="32"/>
      <c r="H240" s="32"/>
      <c r="I240" s="35" t="str">
        <f aca="false">IF($C240="","",IFERROR(INDEX(M_NOME,MATCH($C240,M_ID,0)),"?"))</f>
        <v/>
      </c>
      <c r="J240" s="34" t="n">
        <f aca="false">IF($D240="",0,IFERROR(INDEX(MAP_SINALMOV,MATCH($D240,LST_TIPOMOV,0)),0))</f>
        <v>0</v>
      </c>
      <c r="K240" s="36" t="n">
        <f aca="false">IF($A240="",0,$E240*$J240)</f>
        <v>0</v>
      </c>
      <c r="L240" s="35" t="str">
        <f aca="false">IF($C240="","",IFERROR(INDEX(M_CONTA,MATCH($C240,M_ID,0)),""))</f>
        <v/>
      </c>
      <c r="M240" s="35" t="str">
        <f aca="false">IF($B240="","",IF($E240&lt;=0,"ERRO: valor deve ser maior que zero",IF(COUNTIF(M_ID,$C240)=0,"ERRO: meta inexistente",IF(COUNTIF(LST_TIPOMOV,$D240)=0,"ERRO: tipo de movimento invalido",IF(AND($D240="TRANSF_SAIDA",COUNTIF(M_ID,$G240)=0),"ERRO: informe a meta de destino",IF(AND($J240=-1,$F240=""),"ATENCAO: informe o destino da retirada","OK"))))))</f>
        <v/>
      </c>
    </row>
    <row r="241" customFormat="false" ht="15" hidden="false" customHeight="false" outlineLevel="0" collapsed="false">
      <c r="A241" s="30" t="str">
        <f aca="false">IF($B241="","","MOV-"&amp;TEXT(ROW()-4,"000000"))</f>
        <v/>
      </c>
      <c r="B241" s="31"/>
      <c r="C241" s="32"/>
      <c r="D241" s="32"/>
      <c r="E241" s="33"/>
      <c r="F241" s="32"/>
      <c r="G241" s="32"/>
      <c r="H241" s="32"/>
      <c r="I241" s="35" t="str">
        <f aca="false">IF($C241="","",IFERROR(INDEX(M_NOME,MATCH($C241,M_ID,0)),"?"))</f>
        <v/>
      </c>
      <c r="J241" s="34" t="n">
        <f aca="false">IF($D241="",0,IFERROR(INDEX(MAP_SINALMOV,MATCH($D241,LST_TIPOMOV,0)),0))</f>
        <v>0</v>
      </c>
      <c r="K241" s="36" t="n">
        <f aca="false">IF($A241="",0,$E241*$J241)</f>
        <v>0</v>
      </c>
      <c r="L241" s="35" t="str">
        <f aca="false">IF($C241="","",IFERROR(INDEX(M_CONTA,MATCH($C241,M_ID,0)),""))</f>
        <v/>
      </c>
      <c r="M241" s="35" t="str">
        <f aca="false">IF($B241="","",IF($E241&lt;=0,"ERRO: valor deve ser maior que zero",IF(COUNTIF(M_ID,$C241)=0,"ERRO: meta inexistente",IF(COUNTIF(LST_TIPOMOV,$D241)=0,"ERRO: tipo de movimento invalido",IF(AND($D241="TRANSF_SAIDA",COUNTIF(M_ID,$G241)=0),"ERRO: informe a meta de destino",IF(AND($J241=-1,$F241=""),"ATENCAO: informe o destino da retirada","OK"))))))</f>
        <v/>
      </c>
    </row>
    <row r="242" customFormat="false" ht="15" hidden="false" customHeight="false" outlineLevel="0" collapsed="false">
      <c r="A242" s="30" t="str">
        <f aca="false">IF($B242="","","MOV-"&amp;TEXT(ROW()-4,"000000"))</f>
        <v/>
      </c>
      <c r="B242" s="31"/>
      <c r="C242" s="32"/>
      <c r="D242" s="32"/>
      <c r="E242" s="33"/>
      <c r="F242" s="32"/>
      <c r="G242" s="32"/>
      <c r="H242" s="32"/>
      <c r="I242" s="35" t="str">
        <f aca="false">IF($C242="","",IFERROR(INDEX(M_NOME,MATCH($C242,M_ID,0)),"?"))</f>
        <v/>
      </c>
      <c r="J242" s="34" t="n">
        <f aca="false">IF($D242="",0,IFERROR(INDEX(MAP_SINALMOV,MATCH($D242,LST_TIPOMOV,0)),0))</f>
        <v>0</v>
      </c>
      <c r="K242" s="36" t="n">
        <f aca="false">IF($A242="",0,$E242*$J242)</f>
        <v>0</v>
      </c>
      <c r="L242" s="35" t="str">
        <f aca="false">IF($C242="","",IFERROR(INDEX(M_CONTA,MATCH($C242,M_ID,0)),""))</f>
        <v/>
      </c>
      <c r="M242" s="35" t="str">
        <f aca="false">IF($B242="","",IF($E242&lt;=0,"ERRO: valor deve ser maior que zero",IF(COUNTIF(M_ID,$C242)=0,"ERRO: meta inexistente",IF(COUNTIF(LST_TIPOMOV,$D242)=0,"ERRO: tipo de movimento invalido",IF(AND($D242="TRANSF_SAIDA",COUNTIF(M_ID,$G242)=0),"ERRO: informe a meta de destino",IF(AND($J242=-1,$F242=""),"ATENCAO: informe o destino da retirada","OK"))))))</f>
        <v/>
      </c>
    </row>
    <row r="243" customFormat="false" ht="15" hidden="false" customHeight="false" outlineLevel="0" collapsed="false">
      <c r="A243" s="30" t="str">
        <f aca="false">IF($B243="","","MOV-"&amp;TEXT(ROW()-4,"000000"))</f>
        <v/>
      </c>
      <c r="B243" s="31"/>
      <c r="C243" s="32"/>
      <c r="D243" s="32"/>
      <c r="E243" s="33"/>
      <c r="F243" s="32"/>
      <c r="G243" s="32"/>
      <c r="H243" s="32"/>
      <c r="I243" s="35" t="str">
        <f aca="false">IF($C243="","",IFERROR(INDEX(M_NOME,MATCH($C243,M_ID,0)),"?"))</f>
        <v/>
      </c>
      <c r="J243" s="34" t="n">
        <f aca="false">IF($D243="",0,IFERROR(INDEX(MAP_SINALMOV,MATCH($D243,LST_TIPOMOV,0)),0))</f>
        <v>0</v>
      </c>
      <c r="K243" s="36" t="n">
        <f aca="false">IF($A243="",0,$E243*$J243)</f>
        <v>0</v>
      </c>
      <c r="L243" s="35" t="str">
        <f aca="false">IF($C243="","",IFERROR(INDEX(M_CONTA,MATCH($C243,M_ID,0)),""))</f>
        <v/>
      </c>
      <c r="M243" s="35" t="str">
        <f aca="false">IF($B243="","",IF($E243&lt;=0,"ERRO: valor deve ser maior que zero",IF(COUNTIF(M_ID,$C243)=0,"ERRO: meta inexistente",IF(COUNTIF(LST_TIPOMOV,$D243)=0,"ERRO: tipo de movimento invalido",IF(AND($D243="TRANSF_SAIDA",COUNTIF(M_ID,$G243)=0),"ERRO: informe a meta de destino",IF(AND($J243=-1,$F243=""),"ATENCAO: informe o destino da retirada","OK"))))))</f>
        <v/>
      </c>
    </row>
    <row r="244" customFormat="false" ht="15" hidden="false" customHeight="false" outlineLevel="0" collapsed="false">
      <c r="A244" s="30" t="str">
        <f aca="false">IF($B244="","","MOV-"&amp;TEXT(ROW()-4,"000000"))</f>
        <v/>
      </c>
      <c r="B244" s="31"/>
      <c r="C244" s="32"/>
      <c r="D244" s="32"/>
      <c r="E244" s="33"/>
      <c r="F244" s="32"/>
      <c r="G244" s="32"/>
      <c r="H244" s="32"/>
      <c r="I244" s="35" t="str">
        <f aca="false">IF($C244="","",IFERROR(INDEX(M_NOME,MATCH($C244,M_ID,0)),"?"))</f>
        <v/>
      </c>
      <c r="J244" s="34" t="n">
        <f aca="false">IF($D244="",0,IFERROR(INDEX(MAP_SINALMOV,MATCH($D244,LST_TIPOMOV,0)),0))</f>
        <v>0</v>
      </c>
      <c r="K244" s="36" t="n">
        <f aca="false">IF($A244="",0,$E244*$J244)</f>
        <v>0</v>
      </c>
      <c r="L244" s="35" t="str">
        <f aca="false">IF($C244="","",IFERROR(INDEX(M_CONTA,MATCH($C244,M_ID,0)),""))</f>
        <v/>
      </c>
      <c r="M244" s="35" t="str">
        <f aca="false">IF($B244="","",IF($E244&lt;=0,"ERRO: valor deve ser maior que zero",IF(COUNTIF(M_ID,$C244)=0,"ERRO: meta inexistente",IF(COUNTIF(LST_TIPOMOV,$D244)=0,"ERRO: tipo de movimento invalido",IF(AND($D244="TRANSF_SAIDA",COUNTIF(M_ID,$G244)=0),"ERRO: informe a meta de destino",IF(AND($J244=-1,$F244=""),"ATENCAO: informe o destino da retirada","OK"))))))</f>
        <v/>
      </c>
    </row>
    <row r="245" customFormat="false" ht="15" hidden="false" customHeight="false" outlineLevel="0" collapsed="false">
      <c r="A245" s="30" t="str">
        <f aca="false">IF($B245="","","MOV-"&amp;TEXT(ROW()-4,"000000"))</f>
        <v/>
      </c>
      <c r="B245" s="31"/>
      <c r="C245" s="32"/>
      <c r="D245" s="32"/>
      <c r="E245" s="33"/>
      <c r="F245" s="32"/>
      <c r="G245" s="32"/>
      <c r="H245" s="32"/>
      <c r="I245" s="35" t="str">
        <f aca="false">IF($C245="","",IFERROR(INDEX(M_NOME,MATCH($C245,M_ID,0)),"?"))</f>
        <v/>
      </c>
      <c r="J245" s="34" t="n">
        <f aca="false">IF($D245="",0,IFERROR(INDEX(MAP_SINALMOV,MATCH($D245,LST_TIPOMOV,0)),0))</f>
        <v>0</v>
      </c>
      <c r="K245" s="36" t="n">
        <f aca="false">IF($A245="",0,$E245*$J245)</f>
        <v>0</v>
      </c>
      <c r="L245" s="35" t="str">
        <f aca="false">IF($C245="","",IFERROR(INDEX(M_CONTA,MATCH($C245,M_ID,0)),""))</f>
        <v/>
      </c>
      <c r="M245" s="35" t="str">
        <f aca="false">IF($B245="","",IF($E245&lt;=0,"ERRO: valor deve ser maior que zero",IF(COUNTIF(M_ID,$C245)=0,"ERRO: meta inexistente",IF(COUNTIF(LST_TIPOMOV,$D245)=0,"ERRO: tipo de movimento invalido",IF(AND($D245="TRANSF_SAIDA",COUNTIF(M_ID,$G245)=0),"ERRO: informe a meta de destino",IF(AND($J245=-1,$F245=""),"ATENCAO: informe o destino da retirada","OK"))))))</f>
        <v/>
      </c>
    </row>
    <row r="246" customFormat="false" ht="15" hidden="false" customHeight="false" outlineLevel="0" collapsed="false">
      <c r="A246" s="30" t="str">
        <f aca="false">IF($B246="","","MOV-"&amp;TEXT(ROW()-4,"000000"))</f>
        <v/>
      </c>
      <c r="B246" s="31"/>
      <c r="C246" s="32"/>
      <c r="D246" s="32"/>
      <c r="E246" s="33"/>
      <c r="F246" s="32"/>
      <c r="G246" s="32"/>
      <c r="H246" s="32"/>
      <c r="I246" s="35" t="str">
        <f aca="false">IF($C246="","",IFERROR(INDEX(M_NOME,MATCH($C246,M_ID,0)),"?"))</f>
        <v/>
      </c>
      <c r="J246" s="34" t="n">
        <f aca="false">IF($D246="",0,IFERROR(INDEX(MAP_SINALMOV,MATCH($D246,LST_TIPOMOV,0)),0))</f>
        <v>0</v>
      </c>
      <c r="K246" s="36" t="n">
        <f aca="false">IF($A246="",0,$E246*$J246)</f>
        <v>0</v>
      </c>
      <c r="L246" s="35" t="str">
        <f aca="false">IF($C246="","",IFERROR(INDEX(M_CONTA,MATCH($C246,M_ID,0)),""))</f>
        <v/>
      </c>
      <c r="M246" s="35" t="str">
        <f aca="false">IF($B246="","",IF($E246&lt;=0,"ERRO: valor deve ser maior que zero",IF(COUNTIF(M_ID,$C246)=0,"ERRO: meta inexistente",IF(COUNTIF(LST_TIPOMOV,$D246)=0,"ERRO: tipo de movimento invalido",IF(AND($D246="TRANSF_SAIDA",COUNTIF(M_ID,$G246)=0),"ERRO: informe a meta de destino",IF(AND($J246=-1,$F246=""),"ATENCAO: informe o destino da retirada","OK"))))))</f>
        <v/>
      </c>
    </row>
    <row r="247" customFormat="false" ht="15" hidden="false" customHeight="false" outlineLevel="0" collapsed="false">
      <c r="A247" s="30" t="str">
        <f aca="false">IF($B247="","","MOV-"&amp;TEXT(ROW()-4,"000000"))</f>
        <v/>
      </c>
      <c r="B247" s="31"/>
      <c r="C247" s="32"/>
      <c r="D247" s="32"/>
      <c r="E247" s="33"/>
      <c r="F247" s="32"/>
      <c r="G247" s="32"/>
      <c r="H247" s="32"/>
      <c r="I247" s="35" t="str">
        <f aca="false">IF($C247="","",IFERROR(INDEX(M_NOME,MATCH($C247,M_ID,0)),"?"))</f>
        <v/>
      </c>
      <c r="J247" s="34" t="n">
        <f aca="false">IF($D247="",0,IFERROR(INDEX(MAP_SINALMOV,MATCH($D247,LST_TIPOMOV,0)),0))</f>
        <v>0</v>
      </c>
      <c r="K247" s="36" t="n">
        <f aca="false">IF($A247="",0,$E247*$J247)</f>
        <v>0</v>
      </c>
      <c r="L247" s="35" t="str">
        <f aca="false">IF($C247="","",IFERROR(INDEX(M_CONTA,MATCH($C247,M_ID,0)),""))</f>
        <v/>
      </c>
      <c r="M247" s="35" t="str">
        <f aca="false">IF($B247="","",IF($E247&lt;=0,"ERRO: valor deve ser maior que zero",IF(COUNTIF(M_ID,$C247)=0,"ERRO: meta inexistente",IF(COUNTIF(LST_TIPOMOV,$D247)=0,"ERRO: tipo de movimento invalido",IF(AND($D247="TRANSF_SAIDA",COUNTIF(M_ID,$G247)=0),"ERRO: informe a meta de destino",IF(AND($J247=-1,$F247=""),"ATENCAO: informe o destino da retirada","OK"))))))</f>
        <v/>
      </c>
    </row>
    <row r="248" customFormat="false" ht="15" hidden="false" customHeight="false" outlineLevel="0" collapsed="false">
      <c r="A248" s="30" t="str">
        <f aca="false">IF($B248="","","MOV-"&amp;TEXT(ROW()-4,"000000"))</f>
        <v/>
      </c>
      <c r="B248" s="31"/>
      <c r="C248" s="32"/>
      <c r="D248" s="32"/>
      <c r="E248" s="33"/>
      <c r="F248" s="32"/>
      <c r="G248" s="32"/>
      <c r="H248" s="32"/>
      <c r="I248" s="35" t="str">
        <f aca="false">IF($C248="","",IFERROR(INDEX(M_NOME,MATCH($C248,M_ID,0)),"?"))</f>
        <v/>
      </c>
      <c r="J248" s="34" t="n">
        <f aca="false">IF($D248="",0,IFERROR(INDEX(MAP_SINALMOV,MATCH($D248,LST_TIPOMOV,0)),0))</f>
        <v>0</v>
      </c>
      <c r="K248" s="36" t="n">
        <f aca="false">IF($A248="",0,$E248*$J248)</f>
        <v>0</v>
      </c>
      <c r="L248" s="35" t="str">
        <f aca="false">IF($C248="","",IFERROR(INDEX(M_CONTA,MATCH($C248,M_ID,0)),""))</f>
        <v/>
      </c>
      <c r="M248" s="35" t="str">
        <f aca="false">IF($B248="","",IF($E248&lt;=0,"ERRO: valor deve ser maior que zero",IF(COUNTIF(M_ID,$C248)=0,"ERRO: meta inexistente",IF(COUNTIF(LST_TIPOMOV,$D248)=0,"ERRO: tipo de movimento invalido",IF(AND($D248="TRANSF_SAIDA",COUNTIF(M_ID,$G248)=0),"ERRO: informe a meta de destino",IF(AND($J248=-1,$F248=""),"ATENCAO: informe o destino da retirada","OK"))))))</f>
        <v/>
      </c>
    </row>
    <row r="249" customFormat="false" ht="15" hidden="false" customHeight="false" outlineLevel="0" collapsed="false">
      <c r="A249" s="30" t="str">
        <f aca="false">IF($B249="","","MOV-"&amp;TEXT(ROW()-4,"000000"))</f>
        <v/>
      </c>
      <c r="B249" s="31"/>
      <c r="C249" s="32"/>
      <c r="D249" s="32"/>
      <c r="E249" s="33"/>
      <c r="F249" s="32"/>
      <c r="G249" s="32"/>
      <c r="H249" s="32"/>
      <c r="I249" s="35" t="str">
        <f aca="false">IF($C249="","",IFERROR(INDEX(M_NOME,MATCH($C249,M_ID,0)),"?"))</f>
        <v/>
      </c>
      <c r="J249" s="34" t="n">
        <f aca="false">IF($D249="",0,IFERROR(INDEX(MAP_SINALMOV,MATCH($D249,LST_TIPOMOV,0)),0))</f>
        <v>0</v>
      </c>
      <c r="K249" s="36" t="n">
        <f aca="false">IF($A249="",0,$E249*$J249)</f>
        <v>0</v>
      </c>
      <c r="L249" s="35" t="str">
        <f aca="false">IF($C249="","",IFERROR(INDEX(M_CONTA,MATCH($C249,M_ID,0)),""))</f>
        <v/>
      </c>
      <c r="M249" s="35" t="str">
        <f aca="false">IF($B249="","",IF($E249&lt;=0,"ERRO: valor deve ser maior que zero",IF(COUNTIF(M_ID,$C249)=0,"ERRO: meta inexistente",IF(COUNTIF(LST_TIPOMOV,$D249)=0,"ERRO: tipo de movimento invalido",IF(AND($D249="TRANSF_SAIDA",COUNTIF(M_ID,$G249)=0),"ERRO: informe a meta de destino",IF(AND($J249=-1,$F249=""),"ATENCAO: informe o destino da retirada","OK"))))))</f>
        <v/>
      </c>
    </row>
    <row r="250" customFormat="false" ht="15" hidden="false" customHeight="false" outlineLevel="0" collapsed="false">
      <c r="A250" s="30" t="str">
        <f aca="false">IF($B250="","","MOV-"&amp;TEXT(ROW()-4,"000000"))</f>
        <v/>
      </c>
      <c r="B250" s="31"/>
      <c r="C250" s="32"/>
      <c r="D250" s="32"/>
      <c r="E250" s="33"/>
      <c r="F250" s="32"/>
      <c r="G250" s="32"/>
      <c r="H250" s="32"/>
      <c r="I250" s="35" t="str">
        <f aca="false">IF($C250="","",IFERROR(INDEX(M_NOME,MATCH($C250,M_ID,0)),"?"))</f>
        <v/>
      </c>
      <c r="J250" s="34" t="n">
        <f aca="false">IF($D250="",0,IFERROR(INDEX(MAP_SINALMOV,MATCH($D250,LST_TIPOMOV,0)),0))</f>
        <v>0</v>
      </c>
      <c r="K250" s="36" t="n">
        <f aca="false">IF($A250="",0,$E250*$J250)</f>
        <v>0</v>
      </c>
      <c r="L250" s="35" t="str">
        <f aca="false">IF($C250="","",IFERROR(INDEX(M_CONTA,MATCH($C250,M_ID,0)),""))</f>
        <v/>
      </c>
      <c r="M250" s="35" t="str">
        <f aca="false">IF($B250="","",IF($E250&lt;=0,"ERRO: valor deve ser maior que zero",IF(COUNTIF(M_ID,$C250)=0,"ERRO: meta inexistente",IF(COUNTIF(LST_TIPOMOV,$D250)=0,"ERRO: tipo de movimento invalido",IF(AND($D250="TRANSF_SAIDA",COUNTIF(M_ID,$G250)=0),"ERRO: informe a meta de destino",IF(AND($J250=-1,$F250=""),"ATENCAO: informe o destino da retirada","OK"))))))</f>
        <v/>
      </c>
    </row>
    <row r="251" customFormat="false" ht="15" hidden="false" customHeight="false" outlineLevel="0" collapsed="false">
      <c r="A251" s="30" t="str">
        <f aca="false">IF($B251="","","MOV-"&amp;TEXT(ROW()-4,"000000"))</f>
        <v/>
      </c>
      <c r="B251" s="31"/>
      <c r="C251" s="32"/>
      <c r="D251" s="32"/>
      <c r="E251" s="33"/>
      <c r="F251" s="32"/>
      <c r="G251" s="32"/>
      <c r="H251" s="32"/>
      <c r="I251" s="35" t="str">
        <f aca="false">IF($C251="","",IFERROR(INDEX(M_NOME,MATCH($C251,M_ID,0)),"?"))</f>
        <v/>
      </c>
      <c r="J251" s="34" t="n">
        <f aca="false">IF($D251="",0,IFERROR(INDEX(MAP_SINALMOV,MATCH($D251,LST_TIPOMOV,0)),0))</f>
        <v>0</v>
      </c>
      <c r="K251" s="36" t="n">
        <f aca="false">IF($A251="",0,$E251*$J251)</f>
        <v>0</v>
      </c>
      <c r="L251" s="35" t="str">
        <f aca="false">IF($C251="","",IFERROR(INDEX(M_CONTA,MATCH($C251,M_ID,0)),""))</f>
        <v/>
      </c>
      <c r="M251" s="35" t="str">
        <f aca="false">IF($B251="","",IF($E251&lt;=0,"ERRO: valor deve ser maior que zero",IF(COUNTIF(M_ID,$C251)=0,"ERRO: meta inexistente",IF(COUNTIF(LST_TIPOMOV,$D251)=0,"ERRO: tipo de movimento invalido",IF(AND($D251="TRANSF_SAIDA",COUNTIF(M_ID,$G251)=0),"ERRO: informe a meta de destino",IF(AND($J251=-1,$F251=""),"ATENCAO: informe o destino da retirada","OK"))))))</f>
        <v/>
      </c>
    </row>
    <row r="252" customFormat="false" ht="15" hidden="false" customHeight="false" outlineLevel="0" collapsed="false">
      <c r="A252" s="30" t="str">
        <f aca="false">IF($B252="","","MOV-"&amp;TEXT(ROW()-4,"000000"))</f>
        <v/>
      </c>
      <c r="B252" s="31"/>
      <c r="C252" s="32"/>
      <c r="D252" s="32"/>
      <c r="E252" s="33"/>
      <c r="F252" s="32"/>
      <c r="G252" s="32"/>
      <c r="H252" s="32"/>
      <c r="I252" s="35" t="str">
        <f aca="false">IF($C252="","",IFERROR(INDEX(M_NOME,MATCH($C252,M_ID,0)),"?"))</f>
        <v/>
      </c>
      <c r="J252" s="34" t="n">
        <f aca="false">IF($D252="",0,IFERROR(INDEX(MAP_SINALMOV,MATCH($D252,LST_TIPOMOV,0)),0))</f>
        <v>0</v>
      </c>
      <c r="K252" s="36" t="n">
        <f aca="false">IF($A252="",0,$E252*$J252)</f>
        <v>0</v>
      </c>
      <c r="L252" s="35" t="str">
        <f aca="false">IF($C252="","",IFERROR(INDEX(M_CONTA,MATCH($C252,M_ID,0)),""))</f>
        <v/>
      </c>
      <c r="M252" s="35" t="str">
        <f aca="false">IF($B252="","",IF($E252&lt;=0,"ERRO: valor deve ser maior que zero",IF(COUNTIF(M_ID,$C252)=0,"ERRO: meta inexistente",IF(COUNTIF(LST_TIPOMOV,$D252)=0,"ERRO: tipo de movimento invalido",IF(AND($D252="TRANSF_SAIDA",COUNTIF(M_ID,$G252)=0),"ERRO: informe a meta de destino",IF(AND($J252=-1,$F252=""),"ATENCAO: informe o destino da retirada","OK"))))))</f>
        <v/>
      </c>
    </row>
    <row r="253" customFormat="false" ht="15" hidden="false" customHeight="false" outlineLevel="0" collapsed="false">
      <c r="A253" s="30" t="str">
        <f aca="false">IF($B253="","","MOV-"&amp;TEXT(ROW()-4,"000000"))</f>
        <v/>
      </c>
      <c r="B253" s="31"/>
      <c r="C253" s="32"/>
      <c r="D253" s="32"/>
      <c r="E253" s="33"/>
      <c r="F253" s="32"/>
      <c r="G253" s="32"/>
      <c r="H253" s="32"/>
      <c r="I253" s="35" t="str">
        <f aca="false">IF($C253="","",IFERROR(INDEX(M_NOME,MATCH($C253,M_ID,0)),"?"))</f>
        <v/>
      </c>
      <c r="J253" s="34" t="n">
        <f aca="false">IF($D253="",0,IFERROR(INDEX(MAP_SINALMOV,MATCH($D253,LST_TIPOMOV,0)),0))</f>
        <v>0</v>
      </c>
      <c r="K253" s="36" t="n">
        <f aca="false">IF($A253="",0,$E253*$J253)</f>
        <v>0</v>
      </c>
      <c r="L253" s="35" t="str">
        <f aca="false">IF($C253="","",IFERROR(INDEX(M_CONTA,MATCH($C253,M_ID,0)),""))</f>
        <v/>
      </c>
      <c r="M253" s="35" t="str">
        <f aca="false">IF($B253="","",IF($E253&lt;=0,"ERRO: valor deve ser maior que zero",IF(COUNTIF(M_ID,$C253)=0,"ERRO: meta inexistente",IF(COUNTIF(LST_TIPOMOV,$D253)=0,"ERRO: tipo de movimento invalido",IF(AND($D253="TRANSF_SAIDA",COUNTIF(M_ID,$G253)=0),"ERRO: informe a meta de destino",IF(AND($J253=-1,$F253=""),"ATENCAO: informe o destino da retirada","OK"))))))</f>
        <v/>
      </c>
    </row>
    <row r="254" customFormat="false" ht="15" hidden="false" customHeight="false" outlineLevel="0" collapsed="false">
      <c r="A254" s="30" t="str">
        <f aca="false">IF($B254="","","MOV-"&amp;TEXT(ROW()-4,"000000"))</f>
        <v/>
      </c>
      <c r="B254" s="31"/>
      <c r="C254" s="32"/>
      <c r="D254" s="32"/>
      <c r="E254" s="33"/>
      <c r="F254" s="32"/>
      <c r="G254" s="32"/>
      <c r="H254" s="32"/>
      <c r="I254" s="35" t="str">
        <f aca="false">IF($C254="","",IFERROR(INDEX(M_NOME,MATCH($C254,M_ID,0)),"?"))</f>
        <v/>
      </c>
      <c r="J254" s="34" t="n">
        <f aca="false">IF($D254="",0,IFERROR(INDEX(MAP_SINALMOV,MATCH($D254,LST_TIPOMOV,0)),0))</f>
        <v>0</v>
      </c>
      <c r="K254" s="36" t="n">
        <f aca="false">IF($A254="",0,$E254*$J254)</f>
        <v>0</v>
      </c>
      <c r="L254" s="35" t="str">
        <f aca="false">IF($C254="","",IFERROR(INDEX(M_CONTA,MATCH($C254,M_ID,0)),""))</f>
        <v/>
      </c>
      <c r="M254" s="35" t="str">
        <f aca="false">IF($B254="","",IF($E254&lt;=0,"ERRO: valor deve ser maior que zero",IF(COUNTIF(M_ID,$C254)=0,"ERRO: meta inexistente",IF(COUNTIF(LST_TIPOMOV,$D254)=0,"ERRO: tipo de movimento invalido",IF(AND($D254="TRANSF_SAIDA",COUNTIF(M_ID,$G254)=0),"ERRO: informe a meta de destino",IF(AND($J254=-1,$F254=""),"ATENCAO: informe o destino da retirada","OK"))))))</f>
        <v/>
      </c>
    </row>
    <row r="255" customFormat="false" ht="15" hidden="false" customHeight="false" outlineLevel="0" collapsed="false">
      <c r="A255" s="30" t="str">
        <f aca="false">IF($B255="","","MOV-"&amp;TEXT(ROW()-4,"000000"))</f>
        <v/>
      </c>
      <c r="B255" s="31"/>
      <c r="C255" s="32"/>
      <c r="D255" s="32"/>
      <c r="E255" s="33"/>
      <c r="F255" s="32"/>
      <c r="G255" s="32"/>
      <c r="H255" s="32"/>
      <c r="I255" s="35" t="str">
        <f aca="false">IF($C255="","",IFERROR(INDEX(M_NOME,MATCH($C255,M_ID,0)),"?"))</f>
        <v/>
      </c>
      <c r="J255" s="34" t="n">
        <f aca="false">IF($D255="",0,IFERROR(INDEX(MAP_SINALMOV,MATCH($D255,LST_TIPOMOV,0)),0))</f>
        <v>0</v>
      </c>
      <c r="K255" s="36" t="n">
        <f aca="false">IF($A255="",0,$E255*$J255)</f>
        <v>0</v>
      </c>
      <c r="L255" s="35" t="str">
        <f aca="false">IF($C255="","",IFERROR(INDEX(M_CONTA,MATCH($C255,M_ID,0)),""))</f>
        <v/>
      </c>
      <c r="M255" s="35" t="str">
        <f aca="false">IF($B255="","",IF($E255&lt;=0,"ERRO: valor deve ser maior que zero",IF(COUNTIF(M_ID,$C255)=0,"ERRO: meta inexistente",IF(COUNTIF(LST_TIPOMOV,$D255)=0,"ERRO: tipo de movimento invalido",IF(AND($D255="TRANSF_SAIDA",COUNTIF(M_ID,$G255)=0),"ERRO: informe a meta de destino",IF(AND($J255=-1,$F255=""),"ATENCAO: informe o destino da retirada","OK"))))))</f>
        <v/>
      </c>
    </row>
    <row r="256" customFormat="false" ht="15" hidden="false" customHeight="false" outlineLevel="0" collapsed="false">
      <c r="A256" s="30" t="str">
        <f aca="false">IF($B256="","","MOV-"&amp;TEXT(ROW()-4,"000000"))</f>
        <v/>
      </c>
      <c r="B256" s="31"/>
      <c r="C256" s="32"/>
      <c r="D256" s="32"/>
      <c r="E256" s="33"/>
      <c r="F256" s="32"/>
      <c r="G256" s="32"/>
      <c r="H256" s="32"/>
      <c r="I256" s="35" t="str">
        <f aca="false">IF($C256="","",IFERROR(INDEX(M_NOME,MATCH($C256,M_ID,0)),"?"))</f>
        <v/>
      </c>
      <c r="J256" s="34" t="n">
        <f aca="false">IF($D256="",0,IFERROR(INDEX(MAP_SINALMOV,MATCH($D256,LST_TIPOMOV,0)),0))</f>
        <v>0</v>
      </c>
      <c r="K256" s="36" t="n">
        <f aca="false">IF($A256="",0,$E256*$J256)</f>
        <v>0</v>
      </c>
      <c r="L256" s="35" t="str">
        <f aca="false">IF($C256="","",IFERROR(INDEX(M_CONTA,MATCH($C256,M_ID,0)),""))</f>
        <v/>
      </c>
      <c r="M256" s="35" t="str">
        <f aca="false">IF($B256="","",IF($E256&lt;=0,"ERRO: valor deve ser maior que zero",IF(COUNTIF(M_ID,$C256)=0,"ERRO: meta inexistente",IF(COUNTIF(LST_TIPOMOV,$D256)=0,"ERRO: tipo de movimento invalido",IF(AND($D256="TRANSF_SAIDA",COUNTIF(M_ID,$G256)=0),"ERRO: informe a meta de destino",IF(AND($J256=-1,$F256=""),"ATENCAO: informe o destino da retirada","OK"))))))</f>
        <v/>
      </c>
    </row>
    <row r="257" customFormat="false" ht="15" hidden="false" customHeight="false" outlineLevel="0" collapsed="false">
      <c r="A257" s="30" t="str">
        <f aca="false">IF($B257="","","MOV-"&amp;TEXT(ROW()-4,"000000"))</f>
        <v/>
      </c>
      <c r="B257" s="31"/>
      <c r="C257" s="32"/>
      <c r="D257" s="32"/>
      <c r="E257" s="33"/>
      <c r="F257" s="32"/>
      <c r="G257" s="32"/>
      <c r="H257" s="32"/>
      <c r="I257" s="35" t="str">
        <f aca="false">IF($C257="","",IFERROR(INDEX(M_NOME,MATCH($C257,M_ID,0)),"?"))</f>
        <v/>
      </c>
      <c r="J257" s="34" t="n">
        <f aca="false">IF($D257="",0,IFERROR(INDEX(MAP_SINALMOV,MATCH($D257,LST_TIPOMOV,0)),0))</f>
        <v>0</v>
      </c>
      <c r="K257" s="36" t="n">
        <f aca="false">IF($A257="",0,$E257*$J257)</f>
        <v>0</v>
      </c>
      <c r="L257" s="35" t="str">
        <f aca="false">IF($C257="","",IFERROR(INDEX(M_CONTA,MATCH($C257,M_ID,0)),""))</f>
        <v/>
      </c>
      <c r="M257" s="35" t="str">
        <f aca="false">IF($B257="","",IF($E257&lt;=0,"ERRO: valor deve ser maior que zero",IF(COUNTIF(M_ID,$C257)=0,"ERRO: meta inexistente",IF(COUNTIF(LST_TIPOMOV,$D257)=0,"ERRO: tipo de movimento invalido",IF(AND($D257="TRANSF_SAIDA",COUNTIF(M_ID,$G257)=0),"ERRO: informe a meta de destino",IF(AND($J257=-1,$F257=""),"ATENCAO: informe o destino da retirada","OK"))))))</f>
        <v/>
      </c>
    </row>
    <row r="258" customFormat="false" ht="15" hidden="false" customHeight="false" outlineLevel="0" collapsed="false">
      <c r="A258" s="30" t="str">
        <f aca="false">IF($B258="","","MOV-"&amp;TEXT(ROW()-4,"000000"))</f>
        <v/>
      </c>
      <c r="B258" s="31"/>
      <c r="C258" s="32"/>
      <c r="D258" s="32"/>
      <c r="E258" s="33"/>
      <c r="F258" s="32"/>
      <c r="G258" s="32"/>
      <c r="H258" s="32"/>
      <c r="I258" s="35" t="str">
        <f aca="false">IF($C258="","",IFERROR(INDEX(M_NOME,MATCH($C258,M_ID,0)),"?"))</f>
        <v/>
      </c>
      <c r="J258" s="34" t="n">
        <f aca="false">IF($D258="",0,IFERROR(INDEX(MAP_SINALMOV,MATCH($D258,LST_TIPOMOV,0)),0))</f>
        <v>0</v>
      </c>
      <c r="K258" s="36" t="n">
        <f aca="false">IF($A258="",0,$E258*$J258)</f>
        <v>0</v>
      </c>
      <c r="L258" s="35" t="str">
        <f aca="false">IF($C258="","",IFERROR(INDEX(M_CONTA,MATCH($C258,M_ID,0)),""))</f>
        <v/>
      </c>
      <c r="M258" s="35" t="str">
        <f aca="false">IF($B258="","",IF($E258&lt;=0,"ERRO: valor deve ser maior que zero",IF(COUNTIF(M_ID,$C258)=0,"ERRO: meta inexistente",IF(COUNTIF(LST_TIPOMOV,$D258)=0,"ERRO: tipo de movimento invalido",IF(AND($D258="TRANSF_SAIDA",COUNTIF(M_ID,$G258)=0),"ERRO: informe a meta de destino",IF(AND($J258=-1,$F258=""),"ATENCAO: informe o destino da retirada","OK"))))))</f>
        <v/>
      </c>
    </row>
    <row r="259" customFormat="false" ht="15" hidden="false" customHeight="false" outlineLevel="0" collapsed="false">
      <c r="A259" s="30" t="str">
        <f aca="false">IF($B259="","","MOV-"&amp;TEXT(ROW()-4,"000000"))</f>
        <v/>
      </c>
      <c r="B259" s="31"/>
      <c r="C259" s="32"/>
      <c r="D259" s="32"/>
      <c r="E259" s="33"/>
      <c r="F259" s="32"/>
      <c r="G259" s="32"/>
      <c r="H259" s="32"/>
      <c r="I259" s="35" t="str">
        <f aca="false">IF($C259="","",IFERROR(INDEX(M_NOME,MATCH($C259,M_ID,0)),"?"))</f>
        <v/>
      </c>
      <c r="J259" s="34" t="n">
        <f aca="false">IF($D259="",0,IFERROR(INDEX(MAP_SINALMOV,MATCH($D259,LST_TIPOMOV,0)),0))</f>
        <v>0</v>
      </c>
      <c r="K259" s="36" t="n">
        <f aca="false">IF($A259="",0,$E259*$J259)</f>
        <v>0</v>
      </c>
      <c r="L259" s="35" t="str">
        <f aca="false">IF($C259="","",IFERROR(INDEX(M_CONTA,MATCH($C259,M_ID,0)),""))</f>
        <v/>
      </c>
      <c r="M259" s="35" t="str">
        <f aca="false">IF($B259="","",IF($E259&lt;=0,"ERRO: valor deve ser maior que zero",IF(COUNTIF(M_ID,$C259)=0,"ERRO: meta inexistente",IF(COUNTIF(LST_TIPOMOV,$D259)=0,"ERRO: tipo de movimento invalido",IF(AND($D259="TRANSF_SAIDA",COUNTIF(M_ID,$G259)=0),"ERRO: informe a meta de destino",IF(AND($J259=-1,$F259=""),"ATENCAO: informe o destino da retirada","OK"))))))</f>
        <v/>
      </c>
    </row>
    <row r="260" customFormat="false" ht="15" hidden="false" customHeight="false" outlineLevel="0" collapsed="false">
      <c r="A260" s="30" t="str">
        <f aca="false">IF($B260="","","MOV-"&amp;TEXT(ROW()-4,"000000"))</f>
        <v/>
      </c>
      <c r="B260" s="31"/>
      <c r="C260" s="32"/>
      <c r="D260" s="32"/>
      <c r="E260" s="33"/>
      <c r="F260" s="32"/>
      <c r="G260" s="32"/>
      <c r="H260" s="32"/>
      <c r="I260" s="35" t="str">
        <f aca="false">IF($C260="","",IFERROR(INDEX(M_NOME,MATCH($C260,M_ID,0)),"?"))</f>
        <v/>
      </c>
      <c r="J260" s="34" t="n">
        <f aca="false">IF($D260="",0,IFERROR(INDEX(MAP_SINALMOV,MATCH($D260,LST_TIPOMOV,0)),0))</f>
        <v>0</v>
      </c>
      <c r="K260" s="36" t="n">
        <f aca="false">IF($A260="",0,$E260*$J260)</f>
        <v>0</v>
      </c>
      <c r="L260" s="35" t="str">
        <f aca="false">IF($C260="","",IFERROR(INDEX(M_CONTA,MATCH($C260,M_ID,0)),""))</f>
        <v/>
      </c>
      <c r="M260" s="35" t="str">
        <f aca="false">IF($B260="","",IF($E260&lt;=0,"ERRO: valor deve ser maior que zero",IF(COUNTIF(M_ID,$C260)=0,"ERRO: meta inexistente",IF(COUNTIF(LST_TIPOMOV,$D260)=0,"ERRO: tipo de movimento invalido",IF(AND($D260="TRANSF_SAIDA",COUNTIF(M_ID,$G260)=0),"ERRO: informe a meta de destino",IF(AND($J260=-1,$F260=""),"ATENCAO: informe o destino da retirada","OK"))))))</f>
        <v/>
      </c>
    </row>
    <row r="261" customFormat="false" ht="15" hidden="false" customHeight="false" outlineLevel="0" collapsed="false">
      <c r="A261" s="30" t="str">
        <f aca="false">IF($B261="","","MOV-"&amp;TEXT(ROW()-4,"000000"))</f>
        <v/>
      </c>
      <c r="B261" s="31"/>
      <c r="C261" s="32"/>
      <c r="D261" s="32"/>
      <c r="E261" s="33"/>
      <c r="F261" s="32"/>
      <c r="G261" s="32"/>
      <c r="H261" s="32"/>
      <c r="I261" s="35" t="str">
        <f aca="false">IF($C261="","",IFERROR(INDEX(M_NOME,MATCH($C261,M_ID,0)),"?"))</f>
        <v/>
      </c>
      <c r="J261" s="34" t="n">
        <f aca="false">IF($D261="",0,IFERROR(INDEX(MAP_SINALMOV,MATCH($D261,LST_TIPOMOV,0)),0))</f>
        <v>0</v>
      </c>
      <c r="K261" s="36" t="n">
        <f aca="false">IF($A261="",0,$E261*$J261)</f>
        <v>0</v>
      </c>
      <c r="L261" s="35" t="str">
        <f aca="false">IF($C261="","",IFERROR(INDEX(M_CONTA,MATCH($C261,M_ID,0)),""))</f>
        <v/>
      </c>
      <c r="M261" s="35" t="str">
        <f aca="false">IF($B261="","",IF($E261&lt;=0,"ERRO: valor deve ser maior que zero",IF(COUNTIF(M_ID,$C261)=0,"ERRO: meta inexistente",IF(COUNTIF(LST_TIPOMOV,$D261)=0,"ERRO: tipo de movimento invalido",IF(AND($D261="TRANSF_SAIDA",COUNTIF(M_ID,$G261)=0),"ERRO: informe a meta de destino",IF(AND($J261=-1,$F261=""),"ATENCAO: informe o destino da retirada","OK"))))))</f>
        <v/>
      </c>
    </row>
    <row r="262" customFormat="false" ht="15" hidden="false" customHeight="false" outlineLevel="0" collapsed="false">
      <c r="A262" s="30" t="str">
        <f aca="false">IF($B262="","","MOV-"&amp;TEXT(ROW()-4,"000000"))</f>
        <v/>
      </c>
      <c r="B262" s="31"/>
      <c r="C262" s="32"/>
      <c r="D262" s="32"/>
      <c r="E262" s="33"/>
      <c r="F262" s="32"/>
      <c r="G262" s="32"/>
      <c r="H262" s="32"/>
      <c r="I262" s="35" t="str">
        <f aca="false">IF($C262="","",IFERROR(INDEX(M_NOME,MATCH($C262,M_ID,0)),"?"))</f>
        <v/>
      </c>
      <c r="J262" s="34" t="n">
        <f aca="false">IF($D262="",0,IFERROR(INDEX(MAP_SINALMOV,MATCH($D262,LST_TIPOMOV,0)),0))</f>
        <v>0</v>
      </c>
      <c r="K262" s="36" t="n">
        <f aca="false">IF($A262="",0,$E262*$J262)</f>
        <v>0</v>
      </c>
      <c r="L262" s="35" t="str">
        <f aca="false">IF($C262="","",IFERROR(INDEX(M_CONTA,MATCH($C262,M_ID,0)),""))</f>
        <v/>
      </c>
      <c r="M262" s="35" t="str">
        <f aca="false">IF($B262="","",IF($E262&lt;=0,"ERRO: valor deve ser maior que zero",IF(COUNTIF(M_ID,$C262)=0,"ERRO: meta inexistente",IF(COUNTIF(LST_TIPOMOV,$D262)=0,"ERRO: tipo de movimento invalido",IF(AND($D262="TRANSF_SAIDA",COUNTIF(M_ID,$G262)=0),"ERRO: informe a meta de destino",IF(AND($J262=-1,$F262=""),"ATENCAO: informe o destino da retirada","OK"))))))</f>
        <v/>
      </c>
    </row>
    <row r="263" customFormat="false" ht="15" hidden="false" customHeight="false" outlineLevel="0" collapsed="false">
      <c r="A263" s="30" t="str">
        <f aca="false">IF($B263="","","MOV-"&amp;TEXT(ROW()-4,"000000"))</f>
        <v/>
      </c>
      <c r="B263" s="31"/>
      <c r="C263" s="32"/>
      <c r="D263" s="32"/>
      <c r="E263" s="33"/>
      <c r="F263" s="32"/>
      <c r="G263" s="32"/>
      <c r="H263" s="32"/>
      <c r="I263" s="35" t="str">
        <f aca="false">IF($C263="","",IFERROR(INDEX(M_NOME,MATCH($C263,M_ID,0)),"?"))</f>
        <v/>
      </c>
      <c r="J263" s="34" t="n">
        <f aca="false">IF($D263="",0,IFERROR(INDEX(MAP_SINALMOV,MATCH($D263,LST_TIPOMOV,0)),0))</f>
        <v>0</v>
      </c>
      <c r="K263" s="36" t="n">
        <f aca="false">IF($A263="",0,$E263*$J263)</f>
        <v>0</v>
      </c>
      <c r="L263" s="35" t="str">
        <f aca="false">IF($C263="","",IFERROR(INDEX(M_CONTA,MATCH($C263,M_ID,0)),""))</f>
        <v/>
      </c>
      <c r="M263" s="35" t="str">
        <f aca="false">IF($B263="","",IF($E263&lt;=0,"ERRO: valor deve ser maior que zero",IF(COUNTIF(M_ID,$C263)=0,"ERRO: meta inexistente",IF(COUNTIF(LST_TIPOMOV,$D263)=0,"ERRO: tipo de movimento invalido",IF(AND($D263="TRANSF_SAIDA",COUNTIF(M_ID,$G263)=0),"ERRO: informe a meta de destino",IF(AND($J263=-1,$F263=""),"ATENCAO: informe o destino da retirada","OK"))))))</f>
        <v/>
      </c>
    </row>
    <row r="264" customFormat="false" ht="15" hidden="false" customHeight="false" outlineLevel="0" collapsed="false">
      <c r="A264" s="30" t="str">
        <f aca="false">IF($B264="","","MOV-"&amp;TEXT(ROW()-4,"000000"))</f>
        <v/>
      </c>
      <c r="B264" s="31"/>
      <c r="C264" s="32"/>
      <c r="D264" s="32"/>
      <c r="E264" s="33"/>
      <c r="F264" s="32"/>
      <c r="G264" s="32"/>
      <c r="H264" s="32"/>
      <c r="I264" s="35" t="str">
        <f aca="false">IF($C264="","",IFERROR(INDEX(M_NOME,MATCH($C264,M_ID,0)),"?"))</f>
        <v/>
      </c>
      <c r="J264" s="34" t="n">
        <f aca="false">IF($D264="",0,IFERROR(INDEX(MAP_SINALMOV,MATCH($D264,LST_TIPOMOV,0)),0))</f>
        <v>0</v>
      </c>
      <c r="K264" s="36" t="n">
        <f aca="false">IF($A264="",0,$E264*$J264)</f>
        <v>0</v>
      </c>
      <c r="L264" s="35" t="str">
        <f aca="false">IF($C264="","",IFERROR(INDEX(M_CONTA,MATCH($C264,M_ID,0)),""))</f>
        <v/>
      </c>
      <c r="M264" s="35" t="str">
        <f aca="false">IF($B264="","",IF($E264&lt;=0,"ERRO: valor deve ser maior que zero",IF(COUNTIF(M_ID,$C264)=0,"ERRO: meta inexistente",IF(COUNTIF(LST_TIPOMOV,$D264)=0,"ERRO: tipo de movimento invalido",IF(AND($D264="TRANSF_SAIDA",COUNTIF(M_ID,$G264)=0),"ERRO: informe a meta de destino",IF(AND($J264=-1,$F264=""),"ATENCAO: informe o destino da retirada","OK"))))))</f>
        <v/>
      </c>
    </row>
    <row r="265" customFormat="false" ht="15" hidden="false" customHeight="false" outlineLevel="0" collapsed="false">
      <c r="A265" s="30" t="str">
        <f aca="false">IF($B265="","","MOV-"&amp;TEXT(ROW()-4,"000000"))</f>
        <v/>
      </c>
      <c r="B265" s="31"/>
      <c r="C265" s="32"/>
      <c r="D265" s="32"/>
      <c r="E265" s="33"/>
      <c r="F265" s="32"/>
      <c r="G265" s="32"/>
      <c r="H265" s="32"/>
      <c r="I265" s="35" t="str">
        <f aca="false">IF($C265="","",IFERROR(INDEX(M_NOME,MATCH($C265,M_ID,0)),"?"))</f>
        <v/>
      </c>
      <c r="J265" s="34" t="n">
        <f aca="false">IF($D265="",0,IFERROR(INDEX(MAP_SINALMOV,MATCH($D265,LST_TIPOMOV,0)),0))</f>
        <v>0</v>
      </c>
      <c r="K265" s="36" t="n">
        <f aca="false">IF($A265="",0,$E265*$J265)</f>
        <v>0</v>
      </c>
      <c r="L265" s="35" t="str">
        <f aca="false">IF($C265="","",IFERROR(INDEX(M_CONTA,MATCH($C265,M_ID,0)),""))</f>
        <v/>
      </c>
      <c r="M265" s="35" t="str">
        <f aca="false">IF($B265="","",IF($E265&lt;=0,"ERRO: valor deve ser maior que zero",IF(COUNTIF(M_ID,$C265)=0,"ERRO: meta inexistente",IF(COUNTIF(LST_TIPOMOV,$D265)=0,"ERRO: tipo de movimento invalido",IF(AND($D265="TRANSF_SAIDA",COUNTIF(M_ID,$G265)=0),"ERRO: informe a meta de destino",IF(AND($J265=-1,$F265=""),"ATENCAO: informe o destino da retirada","OK"))))))</f>
        <v/>
      </c>
    </row>
    <row r="266" customFormat="false" ht="15" hidden="false" customHeight="false" outlineLevel="0" collapsed="false">
      <c r="A266" s="30" t="str">
        <f aca="false">IF($B266="","","MOV-"&amp;TEXT(ROW()-4,"000000"))</f>
        <v/>
      </c>
      <c r="B266" s="31"/>
      <c r="C266" s="32"/>
      <c r="D266" s="32"/>
      <c r="E266" s="33"/>
      <c r="F266" s="32"/>
      <c r="G266" s="32"/>
      <c r="H266" s="32"/>
      <c r="I266" s="35" t="str">
        <f aca="false">IF($C266="","",IFERROR(INDEX(M_NOME,MATCH($C266,M_ID,0)),"?"))</f>
        <v/>
      </c>
      <c r="J266" s="34" t="n">
        <f aca="false">IF($D266="",0,IFERROR(INDEX(MAP_SINALMOV,MATCH($D266,LST_TIPOMOV,0)),0))</f>
        <v>0</v>
      </c>
      <c r="K266" s="36" t="n">
        <f aca="false">IF($A266="",0,$E266*$J266)</f>
        <v>0</v>
      </c>
      <c r="L266" s="35" t="str">
        <f aca="false">IF($C266="","",IFERROR(INDEX(M_CONTA,MATCH($C266,M_ID,0)),""))</f>
        <v/>
      </c>
      <c r="M266" s="35" t="str">
        <f aca="false">IF($B266="","",IF($E266&lt;=0,"ERRO: valor deve ser maior que zero",IF(COUNTIF(M_ID,$C266)=0,"ERRO: meta inexistente",IF(COUNTIF(LST_TIPOMOV,$D266)=0,"ERRO: tipo de movimento invalido",IF(AND($D266="TRANSF_SAIDA",COUNTIF(M_ID,$G266)=0),"ERRO: informe a meta de destino",IF(AND($J266=-1,$F266=""),"ATENCAO: informe o destino da retirada","OK"))))))</f>
        <v/>
      </c>
    </row>
    <row r="267" customFormat="false" ht="15" hidden="false" customHeight="false" outlineLevel="0" collapsed="false">
      <c r="A267" s="30" t="str">
        <f aca="false">IF($B267="","","MOV-"&amp;TEXT(ROW()-4,"000000"))</f>
        <v/>
      </c>
      <c r="B267" s="31"/>
      <c r="C267" s="32"/>
      <c r="D267" s="32"/>
      <c r="E267" s="33"/>
      <c r="F267" s="32"/>
      <c r="G267" s="32"/>
      <c r="H267" s="32"/>
      <c r="I267" s="35" t="str">
        <f aca="false">IF($C267="","",IFERROR(INDEX(M_NOME,MATCH($C267,M_ID,0)),"?"))</f>
        <v/>
      </c>
      <c r="J267" s="34" t="n">
        <f aca="false">IF($D267="",0,IFERROR(INDEX(MAP_SINALMOV,MATCH($D267,LST_TIPOMOV,0)),0))</f>
        <v>0</v>
      </c>
      <c r="K267" s="36" t="n">
        <f aca="false">IF($A267="",0,$E267*$J267)</f>
        <v>0</v>
      </c>
      <c r="L267" s="35" t="str">
        <f aca="false">IF($C267="","",IFERROR(INDEX(M_CONTA,MATCH($C267,M_ID,0)),""))</f>
        <v/>
      </c>
      <c r="M267" s="35" t="str">
        <f aca="false">IF($B267="","",IF($E267&lt;=0,"ERRO: valor deve ser maior que zero",IF(COUNTIF(M_ID,$C267)=0,"ERRO: meta inexistente",IF(COUNTIF(LST_TIPOMOV,$D267)=0,"ERRO: tipo de movimento invalido",IF(AND($D267="TRANSF_SAIDA",COUNTIF(M_ID,$G267)=0),"ERRO: informe a meta de destino",IF(AND($J267=-1,$F267=""),"ATENCAO: informe o destino da retirada","OK"))))))</f>
        <v/>
      </c>
    </row>
    <row r="268" customFormat="false" ht="15" hidden="false" customHeight="false" outlineLevel="0" collapsed="false">
      <c r="A268" s="30" t="str">
        <f aca="false">IF($B268="","","MOV-"&amp;TEXT(ROW()-4,"000000"))</f>
        <v/>
      </c>
      <c r="B268" s="31"/>
      <c r="C268" s="32"/>
      <c r="D268" s="32"/>
      <c r="E268" s="33"/>
      <c r="F268" s="32"/>
      <c r="G268" s="32"/>
      <c r="H268" s="32"/>
      <c r="I268" s="35" t="str">
        <f aca="false">IF($C268="","",IFERROR(INDEX(M_NOME,MATCH($C268,M_ID,0)),"?"))</f>
        <v/>
      </c>
      <c r="J268" s="34" t="n">
        <f aca="false">IF($D268="",0,IFERROR(INDEX(MAP_SINALMOV,MATCH($D268,LST_TIPOMOV,0)),0))</f>
        <v>0</v>
      </c>
      <c r="K268" s="36" t="n">
        <f aca="false">IF($A268="",0,$E268*$J268)</f>
        <v>0</v>
      </c>
      <c r="L268" s="35" t="str">
        <f aca="false">IF($C268="","",IFERROR(INDEX(M_CONTA,MATCH($C268,M_ID,0)),""))</f>
        <v/>
      </c>
      <c r="M268" s="35" t="str">
        <f aca="false">IF($B268="","",IF($E268&lt;=0,"ERRO: valor deve ser maior que zero",IF(COUNTIF(M_ID,$C268)=0,"ERRO: meta inexistente",IF(COUNTIF(LST_TIPOMOV,$D268)=0,"ERRO: tipo de movimento invalido",IF(AND($D268="TRANSF_SAIDA",COUNTIF(M_ID,$G268)=0),"ERRO: informe a meta de destino",IF(AND($J268=-1,$F268=""),"ATENCAO: informe o destino da retirada","OK"))))))</f>
        <v/>
      </c>
    </row>
    <row r="269" customFormat="false" ht="15" hidden="false" customHeight="false" outlineLevel="0" collapsed="false">
      <c r="A269" s="30" t="str">
        <f aca="false">IF($B269="","","MOV-"&amp;TEXT(ROW()-4,"000000"))</f>
        <v/>
      </c>
      <c r="B269" s="31"/>
      <c r="C269" s="32"/>
      <c r="D269" s="32"/>
      <c r="E269" s="33"/>
      <c r="F269" s="32"/>
      <c r="G269" s="32"/>
      <c r="H269" s="32"/>
      <c r="I269" s="35" t="str">
        <f aca="false">IF($C269="","",IFERROR(INDEX(M_NOME,MATCH($C269,M_ID,0)),"?"))</f>
        <v/>
      </c>
      <c r="J269" s="34" t="n">
        <f aca="false">IF($D269="",0,IFERROR(INDEX(MAP_SINALMOV,MATCH($D269,LST_TIPOMOV,0)),0))</f>
        <v>0</v>
      </c>
      <c r="K269" s="36" t="n">
        <f aca="false">IF($A269="",0,$E269*$J269)</f>
        <v>0</v>
      </c>
      <c r="L269" s="35" t="str">
        <f aca="false">IF($C269="","",IFERROR(INDEX(M_CONTA,MATCH($C269,M_ID,0)),""))</f>
        <v/>
      </c>
      <c r="M269" s="35" t="str">
        <f aca="false">IF($B269="","",IF($E269&lt;=0,"ERRO: valor deve ser maior que zero",IF(COUNTIF(M_ID,$C269)=0,"ERRO: meta inexistente",IF(COUNTIF(LST_TIPOMOV,$D269)=0,"ERRO: tipo de movimento invalido",IF(AND($D269="TRANSF_SAIDA",COUNTIF(M_ID,$G269)=0),"ERRO: informe a meta de destino",IF(AND($J269=-1,$F269=""),"ATENCAO: informe o destino da retirada","OK"))))))</f>
        <v/>
      </c>
    </row>
    <row r="270" customFormat="false" ht="15" hidden="false" customHeight="false" outlineLevel="0" collapsed="false">
      <c r="A270" s="30" t="str">
        <f aca="false">IF($B270="","","MOV-"&amp;TEXT(ROW()-4,"000000"))</f>
        <v/>
      </c>
      <c r="B270" s="31"/>
      <c r="C270" s="32"/>
      <c r="D270" s="32"/>
      <c r="E270" s="33"/>
      <c r="F270" s="32"/>
      <c r="G270" s="32"/>
      <c r="H270" s="32"/>
      <c r="I270" s="35" t="str">
        <f aca="false">IF($C270="","",IFERROR(INDEX(M_NOME,MATCH($C270,M_ID,0)),"?"))</f>
        <v/>
      </c>
      <c r="J270" s="34" t="n">
        <f aca="false">IF($D270="",0,IFERROR(INDEX(MAP_SINALMOV,MATCH($D270,LST_TIPOMOV,0)),0))</f>
        <v>0</v>
      </c>
      <c r="K270" s="36" t="n">
        <f aca="false">IF($A270="",0,$E270*$J270)</f>
        <v>0</v>
      </c>
      <c r="L270" s="35" t="str">
        <f aca="false">IF($C270="","",IFERROR(INDEX(M_CONTA,MATCH($C270,M_ID,0)),""))</f>
        <v/>
      </c>
      <c r="M270" s="35" t="str">
        <f aca="false">IF($B270="","",IF($E270&lt;=0,"ERRO: valor deve ser maior que zero",IF(COUNTIF(M_ID,$C270)=0,"ERRO: meta inexistente",IF(COUNTIF(LST_TIPOMOV,$D270)=0,"ERRO: tipo de movimento invalido",IF(AND($D270="TRANSF_SAIDA",COUNTIF(M_ID,$G270)=0),"ERRO: informe a meta de destino",IF(AND($J270=-1,$F270=""),"ATENCAO: informe o destino da retirada","OK"))))))</f>
        <v/>
      </c>
    </row>
    <row r="271" customFormat="false" ht="15" hidden="false" customHeight="false" outlineLevel="0" collapsed="false">
      <c r="A271" s="30" t="str">
        <f aca="false">IF($B271="","","MOV-"&amp;TEXT(ROW()-4,"000000"))</f>
        <v/>
      </c>
      <c r="B271" s="31"/>
      <c r="C271" s="32"/>
      <c r="D271" s="32"/>
      <c r="E271" s="33"/>
      <c r="F271" s="32"/>
      <c r="G271" s="32"/>
      <c r="H271" s="32"/>
      <c r="I271" s="35" t="str">
        <f aca="false">IF($C271="","",IFERROR(INDEX(M_NOME,MATCH($C271,M_ID,0)),"?"))</f>
        <v/>
      </c>
      <c r="J271" s="34" t="n">
        <f aca="false">IF($D271="",0,IFERROR(INDEX(MAP_SINALMOV,MATCH($D271,LST_TIPOMOV,0)),0))</f>
        <v>0</v>
      </c>
      <c r="K271" s="36" t="n">
        <f aca="false">IF($A271="",0,$E271*$J271)</f>
        <v>0</v>
      </c>
      <c r="L271" s="35" t="str">
        <f aca="false">IF($C271="","",IFERROR(INDEX(M_CONTA,MATCH($C271,M_ID,0)),""))</f>
        <v/>
      </c>
      <c r="M271" s="35" t="str">
        <f aca="false">IF($B271="","",IF($E271&lt;=0,"ERRO: valor deve ser maior que zero",IF(COUNTIF(M_ID,$C271)=0,"ERRO: meta inexistente",IF(COUNTIF(LST_TIPOMOV,$D271)=0,"ERRO: tipo de movimento invalido",IF(AND($D271="TRANSF_SAIDA",COUNTIF(M_ID,$G271)=0),"ERRO: informe a meta de destino",IF(AND($J271=-1,$F271=""),"ATENCAO: informe o destino da retirada","OK"))))))</f>
        <v/>
      </c>
    </row>
    <row r="272" customFormat="false" ht="15" hidden="false" customHeight="false" outlineLevel="0" collapsed="false">
      <c r="A272" s="30" t="str">
        <f aca="false">IF($B272="","","MOV-"&amp;TEXT(ROW()-4,"000000"))</f>
        <v/>
      </c>
      <c r="B272" s="31"/>
      <c r="C272" s="32"/>
      <c r="D272" s="32"/>
      <c r="E272" s="33"/>
      <c r="F272" s="32"/>
      <c r="G272" s="32"/>
      <c r="H272" s="32"/>
      <c r="I272" s="35" t="str">
        <f aca="false">IF($C272="","",IFERROR(INDEX(M_NOME,MATCH($C272,M_ID,0)),"?"))</f>
        <v/>
      </c>
      <c r="J272" s="34" t="n">
        <f aca="false">IF($D272="",0,IFERROR(INDEX(MAP_SINALMOV,MATCH($D272,LST_TIPOMOV,0)),0))</f>
        <v>0</v>
      </c>
      <c r="K272" s="36" t="n">
        <f aca="false">IF($A272="",0,$E272*$J272)</f>
        <v>0</v>
      </c>
      <c r="L272" s="35" t="str">
        <f aca="false">IF($C272="","",IFERROR(INDEX(M_CONTA,MATCH($C272,M_ID,0)),""))</f>
        <v/>
      </c>
      <c r="M272" s="35" t="str">
        <f aca="false">IF($B272="","",IF($E272&lt;=0,"ERRO: valor deve ser maior que zero",IF(COUNTIF(M_ID,$C272)=0,"ERRO: meta inexistente",IF(COUNTIF(LST_TIPOMOV,$D272)=0,"ERRO: tipo de movimento invalido",IF(AND($D272="TRANSF_SAIDA",COUNTIF(M_ID,$G272)=0),"ERRO: informe a meta de destino",IF(AND($J272=-1,$F272=""),"ATENCAO: informe o destino da retirada","OK"))))))</f>
        <v/>
      </c>
    </row>
    <row r="273" customFormat="false" ht="15" hidden="false" customHeight="false" outlineLevel="0" collapsed="false">
      <c r="A273" s="30" t="str">
        <f aca="false">IF($B273="","","MOV-"&amp;TEXT(ROW()-4,"000000"))</f>
        <v/>
      </c>
      <c r="B273" s="31"/>
      <c r="C273" s="32"/>
      <c r="D273" s="32"/>
      <c r="E273" s="33"/>
      <c r="F273" s="32"/>
      <c r="G273" s="32"/>
      <c r="H273" s="32"/>
      <c r="I273" s="35" t="str">
        <f aca="false">IF($C273="","",IFERROR(INDEX(M_NOME,MATCH($C273,M_ID,0)),"?"))</f>
        <v/>
      </c>
      <c r="J273" s="34" t="n">
        <f aca="false">IF($D273="",0,IFERROR(INDEX(MAP_SINALMOV,MATCH($D273,LST_TIPOMOV,0)),0))</f>
        <v>0</v>
      </c>
      <c r="K273" s="36" t="n">
        <f aca="false">IF($A273="",0,$E273*$J273)</f>
        <v>0</v>
      </c>
      <c r="L273" s="35" t="str">
        <f aca="false">IF($C273="","",IFERROR(INDEX(M_CONTA,MATCH($C273,M_ID,0)),""))</f>
        <v/>
      </c>
      <c r="M273" s="35" t="str">
        <f aca="false">IF($B273="","",IF($E273&lt;=0,"ERRO: valor deve ser maior que zero",IF(COUNTIF(M_ID,$C273)=0,"ERRO: meta inexistente",IF(COUNTIF(LST_TIPOMOV,$D273)=0,"ERRO: tipo de movimento invalido",IF(AND($D273="TRANSF_SAIDA",COUNTIF(M_ID,$G273)=0),"ERRO: informe a meta de destino",IF(AND($J273=-1,$F273=""),"ATENCAO: informe o destino da retirada","OK"))))))</f>
        <v/>
      </c>
    </row>
    <row r="274" customFormat="false" ht="15" hidden="false" customHeight="false" outlineLevel="0" collapsed="false">
      <c r="A274" s="30" t="str">
        <f aca="false">IF($B274="","","MOV-"&amp;TEXT(ROW()-4,"000000"))</f>
        <v/>
      </c>
      <c r="B274" s="31"/>
      <c r="C274" s="32"/>
      <c r="D274" s="32"/>
      <c r="E274" s="33"/>
      <c r="F274" s="32"/>
      <c r="G274" s="32"/>
      <c r="H274" s="32"/>
      <c r="I274" s="35" t="str">
        <f aca="false">IF($C274="","",IFERROR(INDEX(M_NOME,MATCH($C274,M_ID,0)),"?"))</f>
        <v/>
      </c>
      <c r="J274" s="34" t="n">
        <f aca="false">IF($D274="",0,IFERROR(INDEX(MAP_SINALMOV,MATCH($D274,LST_TIPOMOV,0)),0))</f>
        <v>0</v>
      </c>
      <c r="K274" s="36" t="n">
        <f aca="false">IF($A274="",0,$E274*$J274)</f>
        <v>0</v>
      </c>
      <c r="L274" s="35" t="str">
        <f aca="false">IF($C274="","",IFERROR(INDEX(M_CONTA,MATCH($C274,M_ID,0)),""))</f>
        <v/>
      </c>
      <c r="M274" s="35" t="str">
        <f aca="false">IF($B274="","",IF($E274&lt;=0,"ERRO: valor deve ser maior que zero",IF(COUNTIF(M_ID,$C274)=0,"ERRO: meta inexistente",IF(COUNTIF(LST_TIPOMOV,$D274)=0,"ERRO: tipo de movimento invalido",IF(AND($D274="TRANSF_SAIDA",COUNTIF(M_ID,$G274)=0),"ERRO: informe a meta de destino",IF(AND($J274=-1,$F274=""),"ATENCAO: informe o destino da retirada","OK"))))))</f>
        <v/>
      </c>
    </row>
    <row r="275" customFormat="false" ht="15" hidden="false" customHeight="false" outlineLevel="0" collapsed="false">
      <c r="A275" s="30" t="str">
        <f aca="false">IF($B275="","","MOV-"&amp;TEXT(ROW()-4,"000000"))</f>
        <v/>
      </c>
      <c r="B275" s="31"/>
      <c r="C275" s="32"/>
      <c r="D275" s="32"/>
      <c r="E275" s="33"/>
      <c r="F275" s="32"/>
      <c r="G275" s="32"/>
      <c r="H275" s="32"/>
      <c r="I275" s="35" t="str">
        <f aca="false">IF($C275="","",IFERROR(INDEX(M_NOME,MATCH($C275,M_ID,0)),"?"))</f>
        <v/>
      </c>
      <c r="J275" s="34" t="n">
        <f aca="false">IF($D275="",0,IFERROR(INDEX(MAP_SINALMOV,MATCH($D275,LST_TIPOMOV,0)),0))</f>
        <v>0</v>
      </c>
      <c r="K275" s="36" t="n">
        <f aca="false">IF($A275="",0,$E275*$J275)</f>
        <v>0</v>
      </c>
      <c r="L275" s="35" t="str">
        <f aca="false">IF($C275="","",IFERROR(INDEX(M_CONTA,MATCH($C275,M_ID,0)),""))</f>
        <v/>
      </c>
      <c r="M275" s="35" t="str">
        <f aca="false">IF($B275="","",IF($E275&lt;=0,"ERRO: valor deve ser maior que zero",IF(COUNTIF(M_ID,$C275)=0,"ERRO: meta inexistente",IF(COUNTIF(LST_TIPOMOV,$D275)=0,"ERRO: tipo de movimento invalido",IF(AND($D275="TRANSF_SAIDA",COUNTIF(M_ID,$G275)=0),"ERRO: informe a meta de destino",IF(AND($J275=-1,$F275=""),"ATENCAO: informe o destino da retirada","OK"))))))</f>
        <v/>
      </c>
    </row>
    <row r="276" customFormat="false" ht="15" hidden="false" customHeight="false" outlineLevel="0" collapsed="false">
      <c r="A276" s="30" t="str">
        <f aca="false">IF($B276="","","MOV-"&amp;TEXT(ROW()-4,"000000"))</f>
        <v/>
      </c>
      <c r="B276" s="31"/>
      <c r="C276" s="32"/>
      <c r="D276" s="32"/>
      <c r="E276" s="33"/>
      <c r="F276" s="32"/>
      <c r="G276" s="32"/>
      <c r="H276" s="32"/>
      <c r="I276" s="35" t="str">
        <f aca="false">IF($C276="","",IFERROR(INDEX(M_NOME,MATCH($C276,M_ID,0)),"?"))</f>
        <v/>
      </c>
      <c r="J276" s="34" t="n">
        <f aca="false">IF($D276="",0,IFERROR(INDEX(MAP_SINALMOV,MATCH($D276,LST_TIPOMOV,0)),0))</f>
        <v>0</v>
      </c>
      <c r="K276" s="36" t="n">
        <f aca="false">IF($A276="",0,$E276*$J276)</f>
        <v>0</v>
      </c>
      <c r="L276" s="35" t="str">
        <f aca="false">IF($C276="","",IFERROR(INDEX(M_CONTA,MATCH($C276,M_ID,0)),""))</f>
        <v/>
      </c>
      <c r="M276" s="35" t="str">
        <f aca="false">IF($B276="","",IF($E276&lt;=0,"ERRO: valor deve ser maior que zero",IF(COUNTIF(M_ID,$C276)=0,"ERRO: meta inexistente",IF(COUNTIF(LST_TIPOMOV,$D276)=0,"ERRO: tipo de movimento invalido",IF(AND($D276="TRANSF_SAIDA",COUNTIF(M_ID,$G276)=0),"ERRO: informe a meta de destino",IF(AND($J276=-1,$F276=""),"ATENCAO: informe o destino da retirada","OK"))))))</f>
        <v/>
      </c>
    </row>
    <row r="277" customFormat="false" ht="15" hidden="false" customHeight="false" outlineLevel="0" collapsed="false">
      <c r="A277" s="30" t="str">
        <f aca="false">IF($B277="","","MOV-"&amp;TEXT(ROW()-4,"000000"))</f>
        <v/>
      </c>
      <c r="B277" s="31"/>
      <c r="C277" s="32"/>
      <c r="D277" s="32"/>
      <c r="E277" s="33"/>
      <c r="F277" s="32"/>
      <c r="G277" s="32"/>
      <c r="H277" s="32"/>
      <c r="I277" s="35" t="str">
        <f aca="false">IF($C277="","",IFERROR(INDEX(M_NOME,MATCH($C277,M_ID,0)),"?"))</f>
        <v/>
      </c>
      <c r="J277" s="34" t="n">
        <f aca="false">IF($D277="",0,IFERROR(INDEX(MAP_SINALMOV,MATCH($D277,LST_TIPOMOV,0)),0))</f>
        <v>0</v>
      </c>
      <c r="K277" s="36" t="n">
        <f aca="false">IF($A277="",0,$E277*$J277)</f>
        <v>0</v>
      </c>
      <c r="L277" s="35" t="str">
        <f aca="false">IF($C277="","",IFERROR(INDEX(M_CONTA,MATCH($C277,M_ID,0)),""))</f>
        <v/>
      </c>
      <c r="M277" s="35" t="str">
        <f aca="false">IF($B277="","",IF($E277&lt;=0,"ERRO: valor deve ser maior que zero",IF(COUNTIF(M_ID,$C277)=0,"ERRO: meta inexistente",IF(COUNTIF(LST_TIPOMOV,$D277)=0,"ERRO: tipo de movimento invalido",IF(AND($D277="TRANSF_SAIDA",COUNTIF(M_ID,$G277)=0),"ERRO: informe a meta de destino",IF(AND($J277=-1,$F277=""),"ATENCAO: informe o destino da retirada","OK"))))))</f>
        <v/>
      </c>
    </row>
    <row r="278" customFormat="false" ht="15" hidden="false" customHeight="false" outlineLevel="0" collapsed="false">
      <c r="A278" s="30" t="str">
        <f aca="false">IF($B278="","","MOV-"&amp;TEXT(ROW()-4,"000000"))</f>
        <v/>
      </c>
      <c r="B278" s="31"/>
      <c r="C278" s="32"/>
      <c r="D278" s="32"/>
      <c r="E278" s="33"/>
      <c r="F278" s="32"/>
      <c r="G278" s="32"/>
      <c r="H278" s="32"/>
      <c r="I278" s="35" t="str">
        <f aca="false">IF($C278="","",IFERROR(INDEX(M_NOME,MATCH($C278,M_ID,0)),"?"))</f>
        <v/>
      </c>
      <c r="J278" s="34" t="n">
        <f aca="false">IF($D278="",0,IFERROR(INDEX(MAP_SINALMOV,MATCH($D278,LST_TIPOMOV,0)),0))</f>
        <v>0</v>
      </c>
      <c r="K278" s="36" t="n">
        <f aca="false">IF($A278="",0,$E278*$J278)</f>
        <v>0</v>
      </c>
      <c r="L278" s="35" t="str">
        <f aca="false">IF($C278="","",IFERROR(INDEX(M_CONTA,MATCH($C278,M_ID,0)),""))</f>
        <v/>
      </c>
      <c r="M278" s="35" t="str">
        <f aca="false">IF($B278="","",IF($E278&lt;=0,"ERRO: valor deve ser maior que zero",IF(COUNTIF(M_ID,$C278)=0,"ERRO: meta inexistente",IF(COUNTIF(LST_TIPOMOV,$D278)=0,"ERRO: tipo de movimento invalido",IF(AND($D278="TRANSF_SAIDA",COUNTIF(M_ID,$G278)=0),"ERRO: informe a meta de destino",IF(AND($J278=-1,$F278=""),"ATENCAO: informe o destino da retirada","OK"))))))</f>
        <v/>
      </c>
    </row>
    <row r="279" customFormat="false" ht="15" hidden="false" customHeight="false" outlineLevel="0" collapsed="false">
      <c r="A279" s="30" t="str">
        <f aca="false">IF($B279="","","MOV-"&amp;TEXT(ROW()-4,"000000"))</f>
        <v/>
      </c>
      <c r="B279" s="31"/>
      <c r="C279" s="32"/>
      <c r="D279" s="32"/>
      <c r="E279" s="33"/>
      <c r="F279" s="32"/>
      <c r="G279" s="32"/>
      <c r="H279" s="32"/>
      <c r="I279" s="35" t="str">
        <f aca="false">IF($C279="","",IFERROR(INDEX(M_NOME,MATCH($C279,M_ID,0)),"?"))</f>
        <v/>
      </c>
      <c r="J279" s="34" t="n">
        <f aca="false">IF($D279="",0,IFERROR(INDEX(MAP_SINALMOV,MATCH($D279,LST_TIPOMOV,0)),0))</f>
        <v>0</v>
      </c>
      <c r="K279" s="36" t="n">
        <f aca="false">IF($A279="",0,$E279*$J279)</f>
        <v>0</v>
      </c>
      <c r="L279" s="35" t="str">
        <f aca="false">IF($C279="","",IFERROR(INDEX(M_CONTA,MATCH($C279,M_ID,0)),""))</f>
        <v/>
      </c>
      <c r="M279" s="35" t="str">
        <f aca="false">IF($B279="","",IF($E279&lt;=0,"ERRO: valor deve ser maior que zero",IF(COUNTIF(M_ID,$C279)=0,"ERRO: meta inexistente",IF(COUNTIF(LST_TIPOMOV,$D279)=0,"ERRO: tipo de movimento invalido",IF(AND($D279="TRANSF_SAIDA",COUNTIF(M_ID,$G279)=0),"ERRO: informe a meta de destino",IF(AND($J279=-1,$F279=""),"ATENCAO: informe o destino da retirada","OK"))))))</f>
        <v/>
      </c>
    </row>
    <row r="280" customFormat="false" ht="15" hidden="false" customHeight="false" outlineLevel="0" collapsed="false">
      <c r="A280" s="30" t="str">
        <f aca="false">IF($B280="","","MOV-"&amp;TEXT(ROW()-4,"000000"))</f>
        <v/>
      </c>
      <c r="B280" s="31"/>
      <c r="C280" s="32"/>
      <c r="D280" s="32"/>
      <c r="E280" s="33"/>
      <c r="F280" s="32"/>
      <c r="G280" s="32"/>
      <c r="H280" s="32"/>
      <c r="I280" s="35" t="str">
        <f aca="false">IF($C280="","",IFERROR(INDEX(M_NOME,MATCH($C280,M_ID,0)),"?"))</f>
        <v/>
      </c>
      <c r="J280" s="34" t="n">
        <f aca="false">IF($D280="",0,IFERROR(INDEX(MAP_SINALMOV,MATCH($D280,LST_TIPOMOV,0)),0))</f>
        <v>0</v>
      </c>
      <c r="K280" s="36" t="n">
        <f aca="false">IF($A280="",0,$E280*$J280)</f>
        <v>0</v>
      </c>
      <c r="L280" s="35" t="str">
        <f aca="false">IF($C280="","",IFERROR(INDEX(M_CONTA,MATCH($C280,M_ID,0)),""))</f>
        <v/>
      </c>
      <c r="M280" s="35" t="str">
        <f aca="false">IF($B280="","",IF($E280&lt;=0,"ERRO: valor deve ser maior que zero",IF(COUNTIF(M_ID,$C280)=0,"ERRO: meta inexistente",IF(COUNTIF(LST_TIPOMOV,$D280)=0,"ERRO: tipo de movimento invalido",IF(AND($D280="TRANSF_SAIDA",COUNTIF(M_ID,$G280)=0),"ERRO: informe a meta de destino",IF(AND($J280=-1,$F280=""),"ATENCAO: informe o destino da retirada","OK"))))))</f>
        <v/>
      </c>
    </row>
    <row r="281" customFormat="false" ht="15" hidden="false" customHeight="false" outlineLevel="0" collapsed="false">
      <c r="A281" s="30" t="str">
        <f aca="false">IF($B281="","","MOV-"&amp;TEXT(ROW()-4,"000000"))</f>
        <v/>
      </c>
      <c r="B281" s="31"/>
      <c r="C281" s="32"/>
      <c r="D281" s="32"/>
      <c r="E281" s="33"/>
      <c r="F281" s="32"/>
      <c r="G281" s="32"/>
      <c r="H281" s="32"/>
      <c r="I281" s="35" t="str">
        <f aca="false">IF($C281="","",IFERROR(INDEX(M_NOME,MATCH($C281,M_ID,0)),"?"))</f>
        <v/>
      </c>
      <c r="J281" s="34" t="n">
        <f aca="false">IF($D281="",0,IFERROR(INDEX(MAP_SINALMOV,MATCH($D281,LST_TIPOMOV,0)),0))</f>
        <v>0</v>
      </c>
      <c r="K281" s="36" t="n">
        <f aca="false">IF($A281="",0,$E281*$J281)</f>
        <v>0</v>
      </c>
      <c r="L281" s="35" t="str">
        <f aca="false">IF($C281="","",IFERROR(INDEX(M_CONTA,MATCH($C281,M_ID,0)),""))</f>
        <v/>
      </c>
      <c r="M281" s="35" t="str">
        <f aca="false">IF($B281="","",IF($E281&lt;=0,"ERRO: valor deve ser maior que zero",IF(COUNTIF(M_ID,$C281)=0,"ERRO: meta inexistente",IF(COUNTIF(LST_TIPOMOV,$D281)=0,"ERRO: tipo de movimento invalido",IF(AND($D281="TRANSF_SAIDA",COUNTIF(M_ID,$G281)=0),"ERRO: informe a meta de destino",IF(AND($J281=-1,$F281=""),"ATENCAO: informe o destino da retirada","OK"))))))</f>
        <v/>
      </c>
    </row>
    <row r="282" customFormat="false" ht="15" hidden="false" customHeight="false" outlineLevel="0" collapsed="false">
      <c r="A282" s="30" t="str">
        <f aca="false">IF($B282="","","MOV-"&amp;TEXT(ROW()-4,"000000"))</f>
        <v/>
      </c>
      <c r="B282" s="31"/>
      <c r="C282" s="32"/>
      <c r="D282" s="32"/>
      <c r="E282" s="33"/>
      <c r="F282" s="32"/>
      <c r="G282" s="32"/>
      <c r="H282" s="32"/>
      <c r="I282" s="35" t="str">
        <f aca="false">IF($C282="","",IFERROR(INDEX(M_NOME,MATCH($C282,M_ID,0)),"?"))</f>
        <v/>
      </c>
      <c r="J282" s="34" t="n">
        <f aca="false">IF($D282="",0,IFERROR(INDEX(MAP_SINALMOV,MATCH($D282,LST_TIPOMOV,0)),0))</f>
        <v>0</v>
      </c>
      <c r="K282" s="36" t="n">
        <f aca="false">IF($A282="",0,$E282*$J282)</f>
        <v>0</v>
      </c>
      <c r="L282" s="35" t="str">
        <f aca="false">IF($C282="","",IFERROR(INDEX(M_CONTA,MATCH($C282,M_ID,0)),""))</f>
        <v/>
      </c>
      <c r="M282" s="35" t="str">
        <f aca="false">IF($B282="","",IF($E282&lt;=0,"ERRO: valor deve ser maior que zero",IF(COUNTIF(M_ID,$C282)=0,"ERRO: meta inexistente",IF(COUNTIF(LST_TIPOMOV,$D282)=0,"ERRO: tipo de movimento invalido",IF(AND($D282="TRANSF_SAIDA",COUNTIF(M_ID,$G282)=0),"ERRO: informe a meta de destino",IF(AND($J282=-1,$F282=""),"ATENCAO: informe o destino da retirada","OK"))))))</f>
        <v/>
      </c>
    </row>
    <row r="283" customFormat="false" ht="15" hidden="false" customHeight="false" outlineLevel="0" collapsed="false">
      <c r="A283" s="30" t="str">
        <f aca="false">IF($B283="","","MOV-"&amp;TEXT(ROW()-4,"000000"))</f>
        <v/>
      </c>
      <c r="B283" s="31"/>
      <c r="C283" s="32"/>
      <c r="D283" s="32"/>
      <c r="E283" s="33"/>
      <c r="F283" s="32"/>
      <c r="G283" s="32"/>
      <c r="H283" s="32"/>
      <c r="I283" s="35" t="str">
        <f aca="false">IF($C283="","",IFERROR(INDEX(M_NOME,MATCH($C283,M_ID,0)),"?"))</f>
        <v/>
      </c>
      <c r="J283" s="34" t="n">
        <f aca="false">IF($D283="",0,IFERROR(INDEX(MAP_SINALMOV,MATCH($D283,LST_TIPOMOV,0)),0))</f>
        <v>0</v>
      </c>
      <c r="K283" s="36" t="n">
        <f aca="false">IF($A283="",0,$E283*$J283)</f>
        <v>0</v>
      </c>
      <c r="L283" s="35" t="str">
        <f aca="false">IF($C283="","",IFERROR(INDEX(M_CONTA,MATCH($C283,M_ID,0)),""))</f>
        <v/>
      </c>
      <c r="M283" s="35" t="str">
        <f aca="false">IF($B283="","",IF($E283&lt;=0,"ERRO: valor deve ser maior que zero",IF(COUNTIF(M_ID,$C283)=0,"ERRO: meta inexistente",IF(COUNTIF(LST_TIPOMOV,$D283)=0,"ERRO: tipo de movimento invalido",IF(AND($D283="TRANSF_SAIDA",COUNTIF(M_ID,$G283)=0),"ERRO: informe a meta de destino",IF(AND($J283=-1,$F283=""),"ATENCAO: informe o destino da retirada","OK"))))))</f>
        <v/>
      </c>
    </row>
    <row r="284" customFormat="false" ht="15" hidden="false" customHeight="false" outlineLevel="0" collapsed="false">
      <c r="A284" s="30" t="str">
        <f aca="false">IF($B284="","","MOV-"&amp;TEXT(ROW()-4,"000000"))</f>
        <v/>
      </c>
      <c r="B284" s="31"/>
      <c r="C284" s="32"/>
      <c r="D284" s="32"/>
      <c r="E284" s="33"/>
      <c r="F284" s="32"/>
      <c r="G284" s="32"/>
      <c r="H284" s="32"/>
      <c r="I284" s="35" t="str">
        <f aca="false">IF($C284="","",IFERROR(INDEX(M_NOME,MATCH($C284,M_ID,0)),"?"))</f>
        <v/>
      </c>
      <c r="J284" s="34" t="n">
        <f aca="false">IF($D284="",0,IFERROR(INDEX(MAP_SINALMOV,MATCH($D284,LST_TIPOMOV,0)),0))</f>
        <v>0</v>
      </c>
      <c r="K284" s="36" t="n">
        <f aca="false">IF($A284="",0,$E284*$J284)</f>
        <v>0</v>
      </c>
      <c r="L284" s="35" t="str">
        <f aca="false">IF($C284="","",IFERROR(INDEX(M_CONTA,MATCH($C284,M_ID,0)),""))</f>
        <v/>
      </c>
      <c r="M284" s="35" t="str">
        <f aca="false">IF($B284="","",IF($E284&lt;=0,"ERRO: valor deve ser maior que zero",IF(COUNTIF(M_ID,$C284)=0,"ERRO: meta inexistente",IF(COUNTIF(LST_TIPOMOV,$D284)=0,"ERRO: tipo de movimento invalido",IF(AND($D284="TRANSF_SAIDA",COUNTIF(M_ID,$G284)=0),"ERRO: informe a meta de destino",IF(AND($J284=-1,$F284=""),"ATENCAO: informe o destino da retirada","OK"))))))</f>
        <v/>
      </c>
    </row>
    <row r="285" customFormat="false" ht="15" hidden="false" customHeight="false" outlineLevel="0" collapsed="false">
      <c r="A285" s="30" t="str">
        <f aca="false">IF($B285="","","MOV-"&amp;TEXT(ROW()-4,"000000"))</f>
        <v/>
      </c>
      <c r="B285" s="31"/>
      <c r="C285" s="32"/>
      <c r="D285" s="32"/>
      <c r="E285" s="33"/>
      <c r="F285" s="32"/>
      <c r="G285" s="32"/>
      <c r="H285" s="32"/>
      <c r="I285" s="35" t="str">
        <f aca="false">IF($C285="","",IFERROR(INDEX(M_NOME,MATCH($C285,M_ID,0)),"?"))</f>
        <v/>
      </c>
      <c r="J285" s="34" t="n">
        <f aca="false">IF($D285="",0,IFERROR(INDEX(MAP_SINALMOV,MATCH($D285,LST_TIPOMOV,0)),0))</f>
        <v>0</v>
      </c>
      <c r="K285" s="36" t="n">
        <f aca="false">IF($A285="",0,$E285*$J285)</f>
        <v>0</v>
      </c>
      <c r="L285" s="35" t="str">
        <f aca="false">IF($C285="","",IFERROR(INDEX(M_CONTA,MATCH($C285,M_ID,0)),""))</f>
        <v/>
      </c>
      <c r="M285" s="35" t="str">
        <f aca="false">IF($B285="","",IF($E285&lt;=0,"ERRO: valor deve ser maior que zero",IF(COUNTIF(M_ID,$C285)=0,"ERRO: meta inexistente",IF(COUNTIF(LST_TIPOMOV,$D285)=0,"ERRO: tipo de movimento invalido",IF(AND($D285="TRANSF_SAIDA",COUNTIF(M_ID,$G285)=0),"ERRO: informe a meta de destino",IF(AND($J285=-1,$F285=""),"ATENCAO: informe o destino da retirada","OK"))))))</f>
        <v/>
      </c>
    </row>
    <row r="286" customFormat="false" ht="15" hidden="false" customHeight="false" outlineLevel="0" collapsed="false">
      <c r="A286" s="30" t="str">
        <f aca="false">IF($B286="","","MOV-"&amp;TEXT(ROW()-4,"000000"))</f>
        <v/>
      </c>
      <c r="B286" s="31"/>
      <c r="C286" s="32"/>
      <c r="D286" s="32"/>
      <c r="E286" s="33"/>
      <c r="F286" s="32"/>
      <c r="G286" s="32"/>
      <c r="H286" s="32"/>
      <c r="I286" s="35" t="str">
        <f aca="false">IF($C286="","",IFERROR(INDEX(M_NOME,MATCH($C286,M_ID,0)),"?"))</f>
        <v/>
      </c>
      <c r="J286" s="34" t="n">
        <f aca="false">IF($D286="",0,IFERROR(INDEX(MAP_SINALMOV,MATCH($D286,LST_TIPOMOV,0)),0))</f>
        <v>0</v>
      </c>
      <c r="K286" s="36" t="n">
        <f aca="false">IF($A286="",0,$E286*$J286)</f>
        <v>0</v>
      </c>
      <c r="L286" s="35" t="str">
        <f aca="false">IF($C286="","",IFERROR(INDEX(M_CONTA,MATCH($C286,M_ID,0)),""))</f>
        <v/>
      </c>
      <c r="M286" s="35" t="str">
        <f aca="false">IF($B286="","",IF($E286&lt;=0,"ERRO: valor deve ser maior que zero",IF(COUNTIF(M_ID,$C286)=0,"ERRO: meta inexistente",IF(COUNTIF(LST_TIPOMOV,$D286)=0,"ERRO: tipo de movimento invalido",IF(AND($D286="TRANSF_SAIDA",COUNTIF(M_ID,$G286)=0),"ERRO: informe a meta de destino",IF(AND($J286=-1,$F286=""),"ATENCAO: informe o destino da retirada","OK"))))))</f>
        <v/>
      </c>
    </row>
    <row r="287" customFormat="false" ht="15" hidden="false" customHeight="false" outlineLevel="0" collapsed="false">
      <c r="A287" s="30" t="str">
        <f aca="false">IF($B287="","","MOV-"&amp;TEXT(ROW()-4,"000000"))</f>
        <v/>
      </c>
      <c r="B287" s="31"/>
      <c r="C287" s="32"/>
      <c r="D287" s="32"/>
      <c r="E287" s="33"/>
      <c r="F287" s="32"/>
      <c r="G287" s="32"/>
      <c r="H287" s="32"/>
      <c r="I287" s="35" t="str">
        <f aca="false">IF($C287="","",IFERROR(INDEX(M_NOME,MATCH($C287,M_ID,0)),"?"))</f>
        <v/>
      </c>
      <c r="J287" s="34" t="n">
        <f aca="false">IF($D287="",0,IFERROR(INDEX(MAP_SINALMOV,MATCH($D287,LST_TIPOMOV,0)),0))</f>
        <v>0</v>
      </c>
      <c r="K287" s="36" t="n">
        <f aca="false">IF($A287="",0,$E287*$J287)</f>
        <v>0</v>
      </c>
      <c r="L287" s="35" t="str">
        <f aca="false">IF($C287="","",IFERROR(INDEX(M_CONTA,MATCH($C287,M_ID,0)),""))</f>
        <v/>
      </c>
      <c r="M287" s="35" t="str">
        <f aca="false">IF($B287="","",IF($E287&lt;=0,"ERRO: valor deve ser maior que zero",IF(COUNTIF(M_ID,$C287)=0,"ERRO: meta inexistente",IF(COUNTIF(LST_TIPOMOV,$D287)=0,"ERRO: tipo de movimento invalido",IF(AND($D287="TRANSF_SAIDA",COUNTIF(M_ID,$G287)=0),"ERRO: informe a meta de destino",IF(AND($J287=-1,$F287=""),"ATENCAO: informe o destino da retirada","OK"))))))</f>
        <v/>
      </c>
    </row>
    <row r="288" customFormat="false" ht="15" hidden="false" customHeight="false" outlineLevel="0" collapsed="false">
      <c r="A288" s="30" t="str">
        <f aca="false">IF($B288="","","MOV-"&amp;TEXT(ROW()-4,"000000"))</f>
        <v/>
      </c>
      <c r="B288" s="31"/>
      <c r="C288" s="32"/>
      <c r="D288" s="32"/>
      <c r="E288" s="33"/>
      <c r="F288" s="32"/>
      <c r="G288" s="32"/>
      <c r="H288" s="32"/>
      <c r="I288" s="35" t="str">
        <f aca="false">IF($C288="","",IFERROR(INDEX(M_NOME,MATCH($C288,M_ID,0)),"?"))</f>
        <v/>
      </c>
      <c r="J288" s="34" t="n">
        <f aca="false">IF($D288="",0,IFERROR(INDEX(MAP_SINALMOV,MATCH($D288,LST_TIPOMOV,0)),0))</f>
        <v>0</v>
      </c>
      <c r="K288" s="36" t="n">
        <f aca="false">IF($A288="",0,$E288*$J288)</f>
        <v>0</v>
      </c>
      <c r="L288" s="35" t="str">
        <f aca="false">IF($C288="","",IFERROR(INDEX(M_CONTA,MATCH($C288,M_ID,0)),""))</f>
        <v/>
      </c>
      <c r="M288" s="35" t="str">
        <f aca="false">IF($B288="","",IF($E288&lt;=0,"ERRO: valor deve ser maior que zero",IF(COUNTIF(M_ID,$C288)=0,"ERRO: meta inexistente",IF(COUNTIF(LST_TIPOMOV,$D288)=0,"ERRO: tipo de movimento invalido",IF(AND($D288="TRANSF_SAIDA",COUNTIF(M_ID,$G288)=0),"ERRO: informe a meta de destino",IF(AND($J288=-1,$F288=""),"ATENCAO: informe o destino da retirada","OK"))))))</f>
        <v/>
      </c>
    </row>
    <row r="289" customFormat="false" ht="15" hidden="false" customHeight="false" outlineLevel="0" collapsed="false">
      <c r="A289" s="30" t="str">
        <f aca="false">IF($B289="","","MOV-"&amp;TEXT(ROW()-4,"000000"))</f>
        <v/>
      </c>
      <c r="B289" s="31"/>
      <c r="C289" s="32"/>
      <c r="D289" s="32"/>
      <c r="E289" s="33"/>
      <c r="F289" s="32"/>
      <c r="G289" s="32"/>
      <c r="H289" s="32"/>
      <c r="I289" s="35" t="str">
        <f aca="false">IF($C289="","",IFERROR(INDEX(M_NOME,MATCH($C289,M_ID,0)),"?"))</f>
        <v/>
      </c>
      <c r="J289" s="34" t="n">
        <f aca="false">IF($D289="",0,IFERROR(INDEX(MAP_SINALMOV,MATCH($D289,LST_TIPOMOV,0)),0))</f>
        <v>0</v>
      </c>
      <c r="K289" s="36" t="n">
        <f aca="false">IF($A289="",0,$E289*$J289)</f>
        <v>0</v>
      </c>
      <c r="L289" s="35" t="str">
        <f aca="false">IF($C289="","",IFERROR(INDEX(M_CONTA,MATCH($C289,M_ID,0)),""))</f>
        <v/>
      </c>
      <c r="M289" s="35" t="str">
        <f aca="false">IF($B289="","",IF($E289&lt;=0,"ERRO: valor deve ser maior que zero",IF(COUNTIF(M_ID,$C289)=0,"ERRO: meta inexistente",IF(COUNTIF(LST_TIPOMOV,$D289)=0,"ERRO: tipo de movimento invalido",IF(AND($D289="TRANSF_SAIDA",COUNTIF(M_ID,$G289)=0),"ERRO: informe a meta de destino",IF(AND($J289=-1,$F289=""),"ATENCAO: informe o destino da retirada","OK"))))))</f>
        <v/>
      </c>
    </row>
    <row r="290" customFormat="false" ht="15" hidden="false" customHeight="false" outlineLevel="0" collapsed="false">
      <c r="A290" s="30" t="str">
        <f aca="false">IF($B290="","","MOV-"&amp;TEXT(ROW()-4,"000000"))</f>
        <v/>
      </c>
      <c r="B290" s="31"/>
      <c r="C290" s="32"/>
      <c r="D290" s="32"/>
      <c r="E290" s="33"/>
      <c r="F290" s="32"/>
      <c r="G290" s="32"/>
      <c r="H290" s="32"/>
      <c r="I290" s="35" t="str">
        <f aca="false">IF($C290="","",IFERROR(INDEX(M_NOME,MATCH($C290,M_ID,0)),"?"))</f>
        <v/>
      </c>
      <c r="J290" s="34" t="n">
        <f aca="false">IF($D290="",0,IFERROR(INDEX(MAP_SINALMOV,MATCH($D290,LST_TIPOMOV,0)),0))</f>
        <v>0</v>
      </c>
      <c r="K290" s="36" t="n">
        <f aca="false">IF($A290="",0,$E290*$J290)</f>
        <v>0</v>
      </c>
      <c r="L290" s="35" t="str">
        <f aca="false">IF($C290="","",IFERROR(INDEX(M_CONTA,MATCH($C290,M_ID,0)),""))</f>
        <v/>
      </c>
      <c r="M290" s="35" t="str">
        <f aca="false">IF($B290="","",IF($E290&lt;=0,"ERRO: valor deve ser maior que zero",IF(COUNTIF(M_ID,$C290)=0,"ERRO: meta inexistente",IF(COUNTIF(LST_TIPOMOV,$D290)=0,"ERRO: tipo de movimento invalido",IF(AND($D290="TRANSF_SAIDA",COUNTIF(M_ID,$G290)=0),"ERRO: informe a meta de destino",IF(AND($J290=-1,$F290=""),"ATENCAO: informe o destino da retirada","OK"))))))</f>
        <v/>
      </c>
    </row>
    <row r="291" customFormat="false" ht="15" hidden="false" customHeight="false" outlineLevel="0" collapsed="false">
      <c r="A291" s="30" t="str">
        <f aca="false">IF($B291="","","MOV-"&amp;TEXT(ROW()-4,"000000"))</f>
        <v/>
      </c>
      <c r="B291" s="31"/>
      <c r="C291" s="32"/>
      <c r="D291" s="32"/>
      <c r="E291" s="33"/>
      <c r="F291" s="32"/>
      <c r="G291" s="32"/>
      <c r="H291" s="32"/>
      <c r="I291" s="35" t="str">
        <f aca="false">IF($C291="","",IFERROR(INDEX(M_NOME,MATCH($C291,M_ID,0)),"?"))</f>
        <v/>
      </c>
      <c r="J291" s="34" t="n">
        <f aca="false">IF($D291="",0,IFERROR(INDEX(MAP_SINALMOV,MATCH($D291,LST_TIPOMOV,0)),0))</f>
        <v>0</v>
      </c>
      <c r="K291" s="36" t="n">
        <f aca="false">IF($A291="",0,$E291*$J291)</f>
        <v>0</v>
      </c>
      <c r="L291" s="35" t="str">
        <f aca="false">IF($C291="","",IFERROR(INDEX(M_CONTA,MATCH($C291,M_ID,0)),""))</f>
        <v/>
      </c>
      <c r="M291" s="35" t="str">
        <f aca="false">IF($B291="","",IF($E291&lt;=0,"ERRO: valor deve ser maior que zero",IF(COUNTIF(M_ID,$C291)=0,"ERRO: meta inexistente",IF(COUNTIF(LST_TIPOMOV,$D291)=0,"ERRO: tipo de movimento invalido",IF(AND($D291="TRANSF_SAIDA",COUNTIF(M_ID,$G291)=0),"ERRO: informe a meta de destino",IF(AND($J291=-1,$F291=""),"ATENCAO: informe o destino da retirada","OK"))))))</f>
        <v/>
      </c>
    </row>
    <row r="292" customFormat="false" ht="15" hidden="false" customHeight="false" outlineLevel="0" collapsed="false">
      <c r="A292" s="30" t="str">
        <f aca="false">IF($B292="","","MOV-"&amp;TEXT(ROW()-4,"000000"))</f>
        <v/>
      </c>
      <c r="B292" s="31"/>
      <c r="C292" s="32"/>
      <c r="D292" s="32"/>
      <c r="E292" s="33"/>
      <c r="F292" s="32"/>
      <c r="G292" s="32"/>
      <c r="H292" s="32"/>
      <c r="I292" s="35" t="str">
        <f aca="false">IF($C292="","",IFERROR(INDEX(M_NOME,MATCH($C292,M_ID,0)),"?"))</f>
        <v/>
      </c>
      <c r="J292" s="34" t="n">
        <f aca="false">IF($D292="",0,IFERROR(INDEX(MAP_SINALMOV,MATCH($D292,LST_TIPOMOV,0)),0))</f>
        <v>0</v>
      </c>
      <c r="K292" s="36" t="n">
        <f aca="false">IF($A292="",0,$E292*$J292)</f>
        <v>0</v>
      </c>
      <c r="L292" s="35" t="str">
        <f aca="false">IF($C292="","",IFERROR(INDEX(M_CONTA,MATCH($C292,M_ID,0)),""))</f>
        <v/>
      </c>
      <c r="M292" s="35" t="str">
        <f aca="false">IF($B292="","",IF($E292&lt;=0,"ERRO: valor deve ser maior que zero",IF(COUNTIF(M_ID,$C292)=0,"ERRO: meta inexistente",IF(COUNTIF(LST_TIPOMOV,$D292)=0,"ERRO: tipo de movimento invalido",IF(AND($D292="TRANSF_SAIDA",COUNTIF(M_ID,$G292)=0),"ERRO: informe a meta de destino",IF(AND($J292=-1,$F292=""),"ATENCAO: informe o destino da retirada","OK"))))))</f>
        <v/>
      </c>
    </row>
    <row r="293" customFormat="false" ht="15" hidden="false" customHeight="false" outlineLevel="0" collapsed="false">
      <c r="A293" s="30" t="str">
        <f aca="false">IF($B293="","","MOV-"&amp;TEXT(ROW()-4,"000000"))</f>
        <v/>
      </c>
      <c r="B293" s="31"/>
      <c r="C293" s="32"/>
      <c r="D293" s="32"/>
      <c r="E293" s="33"/>
      <c r="F293" s="32"/>
      <c r="G293" s="32"/>
      <c r="H293" s="32"/>
      <c r="I293" s="35" t="str">
        <f aca="false">IF($C293="","",IFERROR(INDEX(M_NOME,MATCH($C293,M_ID,0)),"?"))</f>
        <v/>
      </c>
      <c r="J293" s="34" t="n">
        <f aca="false">IF($D293="",0,IFERROR(INDEX(MAP_SINALMOV,MATCH($D293,LST_TIPOMOV,0)),0))</f>
        <v>0</v>
      </c>
      <c r="K293" s="36" t="n">
        <f aca="false">IF($A293="",0,$E293*$J293)</f>
        <v>0</v>
      </c>
      <c r="L293" s="35" t="str">
        <f aca="false">IF($C293="","",IFERROR(INDEX(M_CONTA,MATCH($C293,M_ID,0)),""))</f>
        <v/>
      </c>
      <c r="M293" s="35" t="str">
        <f aca="false">IF($B293="","",IF($E293&lt;=0,"ERRO: valor deve ser maior que zero",IF(COUNTIF(M_ID,$C293)=0,"ERRO: meta inexistente",IF(COUNTIF(LST_TIPOMOV,$D293)=0,"ERRO: tipo de movimento invalido",IF(AND($D293="TRANSF_SAIDA",COUNTIF(M_ID,$G293)=0),"ERRO: informe a meta de destino",IF(AND($J293=-1,$F293=""),"ATENCAO: informe o destino da retirada","OK"))))))</f>
        <v/>
      </c>
    </row>
    <row r="294" customFormat="false" ht="15" hidden="false" customHeight="false" outlineLevel="0" collapsed="false">
      <c r="A294" s="30" t="str">
        <f aca="false">IF($B294="","","MOV-"&amp;TEXT(ROW()-4,"000000"))</f>
        <v/>
      </c>
      <c r="B294" s="31"/>
      <c r="C294" s="32"/>
      <c r="D294" s="32"/>
      <c r="E294" s="33"/>
      <c r="F294" s="32"/>
      <c r="G294" s="32"/>
      <c r="H294" s="32"/>
      <c r="I294" s="35" t="str">
        <f aca="false">IF($C294="","",IFERROR(INDEX(M_NOME,MATCH($C294,M_ID,0)),"?"))</f>
        <v/>
      </c>
      <c r="J294" s="34" t="n">
        <f aca="false">IF($D294="",0,IFERROR(INDEX(MAP_SINALMOV,MATCH($D294,LST_TIPOMOV,0)),0))</f>
        <v>0</v>
      </c>
      <c r="K294" s="36" t="n">
        <f aca="false">IF($A294="",0,$E294*$J294)</f>
        <v>0</v>
      </c>
      <c r="L294" s="35" t="str">
        <f aca="false">IF($C294="","",IFERROR(INDEX(M_CONTA,MATCH($C294,M_ID,0)),""))</f>
        <v/>
      </c>
      <c r="M294" s="35" t="str">
        <f aca="false">IF($B294="","",IF($E294&lt;=0,"ERRO: valor deve ser maior que zero",IF(COUNTIF(M_ID,$C294)=0,"ERRO: meta inexistente",IF(COUNTIF(LST_TIPOMOV,$D294)=0,"ERRO: tipo de movimento invalido",IF(AND($D294="TRANSF_SAIDA",COUNTIF(M_ID,$G294)=0),"ERRO: informe a meta de destino",IF(AND($J294=-1,$F294=""),"ATENCAO: informe o destino da retirada","OK"))))))</f>
        <v/>
      </c>
    </row>
    <row r="295" customFormat="false" ht="15" hidden="false" customHeight="false" outlineLevel="0" collapsed="false">
      <c r="A295" s="30" t="str">
        <f aca="false">IF($B295="","","MOV-"&amp;TEXT(ROW()-4,"000000"))</f>
        <v/>
      </c>
      <c r="B295" s="31"/>
      <c r="C295" s="32"/>
      <c r="D295" s="32"/>
      <c r="E295" s="33"/>
      <c r="F295" s="32"/>
      <c r="G295" s="32"/>
      <c r="H295" s="32"/>
      <c r="I295" s="35" t="str">
        <f aca="false">IF($C295="","",IFERROR(INDEX(M_NOME,MATCH($C295,M_ID,0)),"?"))</f>
        <v/>
      </c>
      <c r="J295" s="34" t="n">
        <f aca="false">IF($D295="",0,IFERROR(INDEX(MAP_SINALMOV,MATCH($D295,LST_TIPOMOV,0)),0))</f>
        <v>0</v>
      </c>
      <c r="K295" s="36" t="n">
        <f aca="false">IF($A295="",0,$E295*$J295)</f>
        <v>0</v>
      </c>
      <c r="L295" s="35" t="str">
        <f aca="false">IF($C295="","",IFERROR(INDEX(M_CONTA,MATCH($C295,M_ID,0)),""))</f>
        <v/>
      </c>
      <c r="M295" s="35" t="str">
        <f aca="false">IF($B295="","",IF($E295&lt;=0,"ERRO: valor deve ser maior que zero",IF(COUNTIF(M_ID,$C295)=0,"ERRO: meta inexistente",IF(COUNTIF(LST_TIPOMOV,$D295)=0,"ERRO: tipo de movimento invalido",IF(AND($D295="TRANSF_SAIDA",COUNTIF(M_ID,$G295)=0),"ERRO: informe a meta de destino",IF(AND($J295=-1,$F295=""),"ATENCAO: informe o destino da retirada","OK"))))))</f>
        <v/>
      </c>
    </row>
    <row r="296" customFormat="false" ht="15" hidden="false" customHeight="false" outlineLevel="0" collapsed="false">
      <c r="A296" s="30" t="str">
        <f aca="false">IF($B296="","","MOV-"&amp;TEXT(ROW()-4,"000000"))</f>
        <v/>
      </c>
      <c r="B296" s="31"/>
      <c r="C296" s="32"/>
      <c r="D296" s="32"/>
      <c r="E296" s="33"/>
      <c r="F296" s="32"/>
      <c r="G296" s="32"/>
      <c r="H296" s="32"/>
      <c r="I296" s="35" t="str">
        <f aca="false">IF($C296="","",IFERROR(INDEX(M_NOME,MATCH($C296,M_ID,0)),"?"))</f>
        <v/>
      </c>
      <c r="J296" s="34" t="n">
        <f aca="false">IF($D296="",0,IFERROR(INDEX(MAP_SINALMOV,MATCH($D296,LST_TIPOMOV,0)),0))</f>
        <v>0</v>
      </c>
      <c r="K296" s="36" t="n">
        <f aca="false">IF($A296="",0,$E296*$J296)</f>
        <v>0</v>
      </c>
      <c r="L296" s="35" t="str">
        <f aca="false">IF($C296="","",IFERROR(INDEX(M_CONTA,MATCH($C296,M_ID,0)),""))</f>
        <v/>
      </c>
      <c r="M296" s="35" t="str">
        <f aca="false">IF($B296="","",IF($E296&lt;=0,"ERRO: valor deve ser maior que zero",IF(COUNTIF(M_ID,$C296)=0,"ERRO: meta inexistente",IF(COUNTIF(LST_TIPOMOV,$D296)=0,"ERRO: tipo de movimento invalido",IF(AND($D296="TRANSF_SAIDA",COUNTIF(M_ID,$G296)=0),"ERRO: informe a meta de destino",IF(AND($J296=-1,$F296=""),"ATENCAO: informe o destino da retirada","OK"))))))</f>
        <v/>
      </c>
    </row>
    <row r="297" customFormat="false" ht="15" hidden="false" customHeight="false" outlineLevel="0" collapsed="false">
      <c r="A297" s="30" t="str">
        <f aca="false">IF($B297="","","MOV-"&amp;TEXT(ROW()-4,"000000"))</f>
        <v/>
      </c>
      <c r="B297" s="31"/>
      <c r="C297" s="32"/>
      <c r="D297" s="32"/>
      <c r="E297" s="33"/>
      <c r="F297" s="32"/>
      <c r="G297" s="32"/>
      <c r="H297" s="32"/>
      <c r="I297" s="35" t="str">
        <f aca="false">IF($C297="","",IFERROR(INDEX(M_NOME,MATCH($C297,M_ID,0)),"?"))</f>
        <v/>
      </c>
      <c r="J297" s="34" t="n">
        <f aca="false">IF($D297="",0,IFERROR(INDEX(MAP_SINALMOV,MATCH($D297,LST_TIPOMOV,0)),0))</f>
        <v>0</v>
      </c>
      <c r="K297" s="36" t="n">
        <f aca="false">IF($A297="",0,$E297*$J297)</f>
        <v>0</v>
      </c>
      <c r="L297" s="35" t="str">
        <f aca="false">IF($C297="","",IFERROR(INDEX(M_CONTA,MATCH($C297,M_ID,0)),""))</f>
        <v/>
      </c>
      <c r="M297" s="35" t="str">
        <f aca="false">IF($B297="","",IF($E297&lt;=0,"ERRO: valor deve ser maior que zero",IF(COUNTIF(M_ID,$C297)=0,"ERRO: meta inexistente",IF(COUNTIF(LST_TIPOMOV,$D297)=0,"ERRO: tipo de movimento invalido",IF(AND($D297="TRANSF_SAIDA",COUNTIF(M_ID,$G297)=0),"ERRO: informe a meta de destino",IF(AND($J297=-1,$F297=""),"ATENCAO: informe o destino da retirada","OK"))))))</f>
        <v/>
      </c>
    </row>
    <row r="298" customFormat="false" ht="15" hidden="false" customHeight="false" outlineLevel="0" collapsed="false">
      <c r="A298" s="30" t="str">
        <f aca="false">IF($B298="","","MOV-"&amp;TEXT(ROW()-4,"000000"))</f>
        <v/>
      </c>
      <c r="B298" s="31"/>
      <c r="C298" s="32"/>
      <c r="D298" s="32"/>
      <c r="E298" s="33"/>
      <c r="F298" s="32"/>
      <c r="G298" s="32"/>
      <c r="H298" s="32"/>
      <c r="I298" s="35" t="str">
        <f aca="false">IF($C298="","",IFERROR(INDEX(M_NOME,MATCH($C298,M_ID,0)),"?"))</f>
        <v/>
      </c>
      <c r="J298" s="34" t="n">
        <f aca="false">IF($D298="",0,IFERROR(INDEX(MAP_SINALMOV,MATCH($D298,LST_TIPOMOV,0)),0))</f>
        <v>0</v>
      </c>
      <c r="K298" s="36" t="n">
        <f aca="false">IF($A298="",0,$E298*$J298)</f>
        <v>0</v>
      </c>
      <c r="L298" s="35" t="str">
        <f aca="false">IF($C298="","",IFERROR(INDEX(M_CONTA,MATCH($C298,M_ID,0)),""))</f>
        <v/>
      </c>
      <c r="M298" s="35" t="str">
        <f aca="false">IF($B298="","",IF($E298&lt;=0,"ERRO: valor deve ser maior que zero",IF(COUNTIF(M_ID,$C298)=0,"ERRO: meta inexistente",IF(COUNTIF(LST_TIPOMOV,$D298)=0,"ERRO: tipo de movimento invalido",IF(AND($D298="TRANSF_SAIDA",COUNTIF(M_ID,$G298)=0),"ERRO: informe a meta de destino",IF(AND($J298=-1,$F298=""),"ATENCAO: informe o destino da retirada","OK"))))))</f>
        <v/>
      </c>
    </row>
    <row r="299" customFormat="false" ht="15" hidden="false" customHeight="false" outlineLevel="0" collapsed="false">
      <c r="A299" s="30" t="str">
        <f aca="false">IF($B299="","","MOV-"&amp;TEXT(ROW()-4,"000000"))</f>
        <v/>
      </c>
      <c r="B299" s="31"/>
      <c r="C299" s="32"/>
      <c r="D299" s="32"/>
      <c r="E299" s="33"/>
      <c r="F299" s="32"/>
      <c r="G299" s="32"/>
      <c r="H299" s="32"/>
      <c r="I299" s="35" t="str">
        <f aca="false">IF($C299="","",IFERROR(INDEX(M_NOME,MATCH($C299,M_ID,0)),"?"))</f>
        <v/>
      </c>
      <c r="J299" s="34" t="n">
        <f aca="false">IF($D299="",0,IFERROR(INDEX(MAP_SINALMOV,MATCH($D299,LST_TIPOMOV,0)),0))</f>
        <v>0</v>
      </c>
      <c r="K299" s="36" t="n">
        <f aca="false">IF($A299="",0,$E299*$J299)</f>
        <v>0</v>
      </c>
      <c r="L299" s="35" t="str">
        <f aca="false">IF($C299="","",IFERROR(INDEX(M_CONTA,MATCH($C299,M_ID,0)),""))</f>
        <v/>
      </c>
      <c r="M299" s="35" t="str">
        <f aca="false">IF($B299="","",IF($E299&lt;=0,"ERRO: valor deve ser maior que zero",IF(COUNTIF(M_ID,$C299)=0,"ERRO: meta inexistente",IF(COUNTIF(LST_TIPOMOV,$D299)=0,"ERRO: tipo de movimento invalido",IF(AND($D299="TRANSF_SAIDA",COUNTIF(M_ID,$G299)=0),"ERRO: informe a meta de destino",IF(AND($J299=-1,$F299=""),"ATENCAO: informe o destino da retirada","OK"))))))</f>
        <v/>
      </c>
    </row>
    <row r="300" customFormat="false" ht="15" hidden="false" customHeight="false" outlineLevel="0" collapsed="false">
      <c r="A300" s="30" t="str">
        <f aca="false">IF($B300="","","MOV-"&amp;TEXT(ROW()-4,"000000"))</f>
        <v/>
      </c>
      <c r="B300" s="31"/>
      <c r="C300" s="32"/>
      <c r="D300" s="32"/>
      <c r="E300" s="33"/>
      <c r="F300" s="32"/>
      <c r="G300" s="32"/>
      <c r="H300" s="32"/>
      <c r="I300" s="35" t="str">
        <f aca="false">IF($C300="","",IFERROR(INDEX(M_NOME,MATCH($C300,M_ID,0)),"?"))</f>
        <v/>
      </c>
      <c r="J300" s="34" t="n">
        <f aca="false">IF($D300="",0,IFERROR(INDEX(MAP_SINALMOV,MATCH($D300,LST_TIPOMOV,0)),0))</f>
        <v>0</v>
      </c>
      <c r="K300" s="36" t="n">
        <f aca="false">IF($A300="",0,$E300*$J300)</f>
        <v>0</v>
      </c>
      <c r="L300" s="35" t="str">
        <f aca="false">IF($C300="","",IFERROR(INDEX(M_CONTA,MATCH($C300,M_ID,0)),""))</f>
        <v/>
      </c>
      <c r="M300" s="35" t="str">
        <f aca="false">IF($B300="","",IF($E300&lt;=0,"ERRO: valor deve ser maior que zero",IF(COUNTIF(M_ID,$C300)=0,"ERRO: meta inexistente",IF(COUNTIF(LST_TIPOMOV,$D300)=0,"ERRO: tipo de movimento invalido",IF(AND($D300="TRANSF_SAIDA",COUNTIF(M_ID,$G300)=0),"ERRO: informe a meta de destino",IF(AND($J300=-1,$F300=""),"ATENCAO: informe o destino da retirada","OK"))))))</f>
        <v/>
      </c>
    </row>
    <row r="301" customFormat="false" ht="15" hidden="false" customHeight="false" outlineLevel="0" collapsed="false">
      <c r="A301" s="30" t="str">
        <f aca="false">IF($B301="","","MOV-"&amp;TEXT(ROW()-4,"000000"))</f>
        <v/>
      </c>
      <c r="B301" s="31"/>
      <c r="C301" s="32"/>
      <c r="D301" s="32"/>
      <c r="E301" s="33"/>
      <c r="F301" s="32"/>
      <c r="G301" s="32"/>
      <c r="H301" s="32"/>
      <c r="I301" s="35" t="str">
        <f aca="false">IF($C301="","",IFERROR(INDEX(M_NOME,MATCH($C301,M_ID,0)),"?"))</f>
        <v/>
      </c>
      <c r="J301" s="34" t="n">
        <f aca="false">IF($D301="",0,IFERROR(INDEX(MAP_SINALMOV,MATCH($D301,LST_TIPOMOV,0)),0))</f>
        <v>0</v>
      </c>
      <c r="K301" s="36" t="n">
        <f aca="false">IF($A301="",0,$E301*$J301)</f>
        <v>0</v>
      </c>
      <c r="L301" s="35" t="str">
        <f aca="false">IF($C301="","",IFERROR(INDEX(M_CONTA,MATCH($C301,M_ID,0)),""))</f>
        <v/>
      </c>
      <c r="M301" s="35" t="str">
        <f aca="false">IF($B301="","",IF($E301&lt;=0,"ERRO: valor deve ser maior que zero",IF(COUNTIF(M_ID,$C301)=0,"ERRO: meta inexistente",IF(COUNTIF(LST_TIPOMOV,$D301)=0,"ERRO: tipo de movimento invalido",IF(AND($D301="TRANSF_SAIDA",COUNTIF(M_ID,$G301)=0),"ERRO: informe a meta de destino",IF(AND($J301=-1,$F301=""),"ATENCAO: informe o destino da retirada","OK"))))))</f>
        <v/>
      </c>
    </row>
    <row r="302" customFormat="false" ht="15" hidden="false" customHeight="false" outlineLevel="0" collapsed="false">
      <c r="A302" s="30" t="str">
        <f aca="false">IF($B302="","","MOV-"&amp;TEXT(ROW()-4,"000000"))</f>
        <v/>
      </c>
      <c r="B302" s="31"/>
      <c r="C302" s="32"/>
      <c r="D302" s="32"/>
      <c r="E302" s="33"/>
      <c r="F302" s="32"/>
      <c r="G302" s="32"/>
      <c r="H302" s="32"/>
      <c r="I302" s="35" t="str">
        <f aca="false">IF($C302="","",IFERROR(INDEX(M_NOME,MATCH($C302,M_ID,0)),"?"))</f>
        <v/>
      </c>
      <c r="J302" s="34" t="n">
        <f aca="false">IF($D302="",0,IFERROR(INDEX(MAP_SINALMOV,MATCH($D302,LST_TIPOMOV,0)),0))</f>
        <v>0</v>
      </c>
      <c r="K302" s="36" t="n">
        <f aca="false">IF($A302="",0,$E302*$J302)</f>
        <v>0</v>
      </c>
      <c r="L302" s="35" t="str">
        <f aca="false">IF($C302="","",IFERROR(INDEX(M_CONTA,MATCH($C302,M_ID,0)),""))</f>
        <v/>
      </c>
      <c r="M302" s="35" t="str">
        <f aca="false">IF($B302="","",IF($E302&lt;=0,"ERRO: valor deve ser maior que zero",IF(COUNTIF(M_ID,$C302)=0,"ERRO: meta inexistente",IF(COUNTIF(LST_TIPOMOV,$D302)=0,"ERRO: tipo de movimento invalido",IF(AND($D302="TRANSF_SAIDA",COUNTIF(M_ID,$G302)=0),"ERRO: informe a meta de destino",IF(AND($J302=-1,$F302=""),"ATENCAO: informe o destino da retirada","OK"))))))</f>
        <v/>
      </c>
    </row>
    <row r="303" customFormat="false" ht="15" hidden="false" customHeight="false" outlineLevel="0" collapsed="false">
      <c r="A303" s="30" t="str">
        <f aca="false">IF($B303="","","MOV-"&amp;TEXT(ROW()-4,"000000"))</f>
        <v/>
      </c>
      <c r="B303" s="31"/>
      <c r="C303" s="32"/>
      <c r="D303" s="32"/>
      <c r="E303" s="33"/>
      <c r="F303" s="32"/>
      <c r="G303" s="32"/>
      <c r="H303" s="32"/>
      <c r="I303" s="35" t="str">
        <f aca="false">IF($C303="","",IFERROR(INDEX(M_NOME,MATCH($C303,M_ID,0)),"?"))</f>
        <v/>
      </c>
      <c r="J303" s="34" t="n">
        <f aca="false">IF($D303="",0,IFERROR(INDEX(MAP_SINALMOV,MATCH($D303,LST_TIPOMOV,0)),0))</f>
        <v>0</v>
      </c>
      <c r="K303" s="36" t="n">
        <f aca="false">IF($A303="",0,$E303*$J303)</f>
        <v>0</v>
      </c>
      <c r="L303" s="35" t="str">
        <f aca="false">IF($C303="","",IFERROR(INDEX(M_CONTA,MATCH($C303,M_ID,0)),""))</f>
        <v/>
      </c>
      <c r="M303" s="35" t="str">
        <f aca="false">IF($B303="","",IF($E303&lt;=0,"ERRO: valor deve ser maior que zero",IF(COUNTIF(M_ID,$C303)=0,"ERRO: meta inexistente",IF(COUNTIF(LST_TIPOMOV,$D303)=0,"ERRO: tipo de movimento invalido",IF(AND($D303="TRANSF_SAIDA",COUNTIF(M_ID,$G303)=0),"ERRO: informe a meta de destino",IF(AND($J303=-1,$F303=""),"ATENCAO: informe o destino da retirada","OK"))))))</f>
        <v/>
      </c>
    </row>
    <row r="304" customFormat="false" ht="15" hidden="false" customHeight="false" outlineLevel="0" collapsed="false">
      <c r="A304" s="30" t="str">
        <f aca="false">IF($B304="","","MOV-"&amp;TEXT(ROW()-4,"000000"))</f>
        <v/>
      </c>
      <c r="B304" s="31"/>
      <c r="C304" s="32"/>
      <c r="D304" s="32"/>
      <c r="E304" s="33"/>
      <c r="F304" s="32"/>
      <c r="G304" s="32"/>
      <c r="H304" s="32"/>
      <c r="I304" s="35" t="str">
        <f aca="false">IF($C304="","",IFERROR(INDEX(M_NOME,MATCH($C304,M_ID,0)),"?"))</f>
        <v/>
      </c>
      <c r="J304" s="34" t="n">
        <f aca="false">IF($D304="",0,IFERROR(INDEX(MAP_SINALMOV,MATCH($D304,LST_TIPOMOV,0)),0))</f>
        <v>0</v>
      </c>
      <c r="K304" s="36" t="n">
        <f aca="false">IF($A304="",0,$E304*$J304)</f>
        <v>0</v>
      </c>
      <c r="L304" s="35" t="str">
        <f aca="false">IF($C304="","",IFERROR(INDEX(M_CONTA,MATCH($C304,M_ID,0)),""))</f>
        <v/>
      </c>
      <c r="M304" s="35" t="str">
        <f aca="false">IF($B304="","",IF($E304&lt;=0,"ERRO: valor deve ser maior que zero",IF(COUNTIF(M_ID,$C304)=0,"ERRO: meta inexistente",IF(COUNTIF(LST_TIPOMOV,$D304)=0,"ERRO: tipo de movimento invalido",IF(AND($D304="TRANSF_SAIDA",COUNTIF(M_ID,$G304)=0),"ERRO: informe a meta de destino",IF(AND($J304=-1,$F304=""),"ATENCAO: informe o destino da retirada","OK"))))))</f>
        <v/>
      </c>
    </row>
  </sheetData>
  <autoFilter ref="A4:M604"/>
  <mergeCells count="2">
    <mergeCell ref="A1:M1"/>
    <mergeCell ref="A2:M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3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304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304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304" type="list">
      <formula1>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</row>
    <row r="4" customFormat="false" ht="30" hidden="false" customHeight="true" outlineLevel="0" collapsed="false">
      <c r="A4" s="8" t="s">
        <v>160</v>
      </c>
      <c r="B4" s="8" t="s">
        <v>161</v>
      </c>
      <c r="C4" s="8" t="s">
        <v>162</v>
      </c>
      <c r="D4" s="8" t="s">
        <v>163</v>
      </c>
      <c r="E4" s="8" t="s">
        <v>164</v>
      </c>
      <c r="F4" s="8" t="s">
        <v>165</v>
      </c>
      <c r="G4" s="8" t="s">
        <v>76</v>
      </c>
    </row>
    <row r="5" customFormat="false" ht="15" hidden="false" customHeight="false" outlineLevel="0" collapsed="false">
      <c r="A5" s="30" t="str">
        <f aca="false">IF($B5="","","INS-"&amp;TEXT(ROW()-4,"000000"))</f>
        <v/>
      </c>
      <c r="B5" s="32"/>
      <c r="C5" s="32"/>
      <c r="D5" s="34" t="str">
        <f aca="false">IF($A5="","",COUNTIF(CAD_Contas!$D$5:$D$44,$A5))</f>
        <v/>
      </c>
      <c r="E5" s="34" t="str">
        <f aca="false">IF($A5="","",COUNTIF(CAD_Cartoes!$D$5:$D$44,$A5))</f>
        <v/>
      </c>
      <c r="F5" s="34" t="str">
        <f aca="false">IF($A5="","",COUNTIF(CAD_Investimentos!$D$5:$D$44,$A5))</f>
        <v/>
      </c>
      <c r="G5" s="32"/>
    </row>
    <row r="6" customFormat="false" ht="15" hidden="false" customHeight="false" outlineLevel="0" collapsed="false">
      <c r="A6" s="30" t="str">
        <f aca="false">IF($B6="","","INS-"&amp;TEXT(ROW()-4,"000000"))</f>
        <v/>
      </c>
      <c r="B6" s="32"/>
      <c r="C6" s="32"/>
      <c r="D6" s="34" t="str">
        <f aca="false">IF($A6="","",COUNTIF(CAD_Contas!$D$5:$D$44,$A6))</f>
        <v/>
      </c>
      <c r="E6" s="34" t="str">
        <f aca="false">IF($A6="","",COUNTIF(CAD_Cartoes!$D$5:$D$44,$A6))</f>
        <v/>
      </c>
      <c r="F6" s="34" t="str">
        <f aca="false">IF($A6="","",COUNTIF(CAD_Investimentos!$D$5:$D$44,$A6))</f>
        <v/>
      </c>
      <c r="G6" s="32"/>
    </row>
    <row r="7" customFormat="false" ht="15" hidden="false" customHeight="false" outlineLevel="0" collapsed="false">
      <c r="A7" s="30" t="str">
        <f aca="false">IF($B7="","","INS-"&amp;TEXT(ROW()-4,"000000"))</f>
        <v/>
      </c>
      <c r="B7" s="32"/>
      <c r="C7" s="32"/>
      <c r="D7" s="34" t="str">
        <f aca="false">IF($A7="","",COUNTIF(CAD_Contas!$D$5:$D$44,$A7))</f>
        <v/>
      </c>
      <c r="E7" s="34" t="str">
        <f aca="false">IF($A7="","",COUNTIF(CAD_Cartoes!$D$5:$D$44,$A7))</f>
        <v/>
      </c>
      <c r="F7" s="34" t="str">
        <f aca="false">IF($A7="","",COUNTIF(CAD_Investimentos!$D$5:$D$44,$A7))</f>
        <v/>
      </c>
      <c r="G7" s="32"/>
    </row>
    <row r="8" customFormat="false" ht="15" hidden="false" customHeight="false" outlineLevel="0" collapsed="false">
      <c r="A8" s="30" t="str">
        <f aca="false">IF($B8="","","INS-"&amp;TEXT(ROW()-4,"000000"))</f>
        <v/>
      </c>
      <c r="B8" s="32"/>
      <c r="C8" s="32"/>
      <c r="D8" s="34" t="str">
        <f aca="false">IF($A8="","",COUNTIF(CAD_Contas!$D$5:$D$44,$A8))</f>
        <v/>
      </c>
      <c r="E8" s="34" t="str">
        <f aca="false">IF($A8="","",COUNTIF(CAD_Cartoes!$D$5:$D$44,$A8))</f>
        <v/>
      </c>
      <c r="F8" s="34" t="str">
        <f aca="false">IF($A8="","",COUNTIF(CAD_Investimentos!$D$5:$D$44,$A8))</f>
        <v/>
      </c>
      <c r="G8" s="32"/>
    </row>
    <row r="9" customFormat="false" ht="15" hidden="false" customHeight="false" outlineLevel="0" collapsed="false">
      <c r="A9" s="30" t="str">
        <f aca="false">IF($B9="","","INS-"&amp;TEXT(ROW()-4,"000000"))</f>
        <v/>
      </c>
      <c r="B9" s="32"/>
      <c r="C9" s="32"/>
      <c r="D9" s="34" t="str">
        <f aca="false">IF($A9="","",COUNTIF(CAD_Contas!$D$5:$D$44,$A9))</f>
        <v/>
      </c>
      <c r="E9" s="34" t="str">
        <f aca="false">IF($A9="","",COUNTIF(CAD_Cartoes!$D$5:$D$44,$A9))</f>
        <v/>
      </c>
      <c r="F9" s="34" t="str">
        <f aca="false">IF($A9="","",COUNTIF(CAD_Investimentos!$D$5:$D$44,$A9))</f>
        <v/>
      </c>
      <c r="G9" s="32"/>
    </row>
    <row r="10" customFormat="false" ht="15" hidden="false" customHeight="false" outlineLevel="0" collapsed="false">
      <c r="A10" s="30" t="str">
        <f aca="false">IF($B10="","","INS-"&amp;TEXT(ROW()-4,"000000"))</f>
        <v/>
      </c>
      <c r="B10" s="32"/>
      <c r="C10" s="32"/>
      <c r="D10" s="34" t="str">
        <f aca="false">IF($A10="","",COUNTIF(CAD_Contas!$D$5:$D$44,$A10))</f>
        <v/>
      </c>
      <c r="E10" s="34" t="str">
        <f aca="false">IF($A10="","",COUNTIF(CAD_Cartoes!$D$5:$D$44,$A10))</f>
        <v/>
      </c>
      <c r="F10" s="34" t="str">
        <f aca="false">IF($A10="","",COUNTIF(CAD_Investimentos!$D$5:$D$44,$A10))</f>
        <v/>
      </c>
      <c r="G10" s="32"/>
    </row>
    <row r="11" customFormat="false" ht="15" hidden="false" customHeight="false" outlineLevel="0" collapsed="false">
      <c r="A11" s="30" t="str">
        <f aca="false">IF($B11="","","INS-"&amp;TEXT(ROW()-4,"000000"))</f>
        <v/>
      </c>
      <c r="B11" s="32"/>
      <c r="C11" s="32"/>
      <c r="D11" s="34" t="str">
        <f aca="false">IF($A11="","",COUNTIF(CAD_Contas!$D$5:$D$44,$A11))</f>
        <v/>
      </c>
      <c r="E11" s="34" t="str">
        <f aca="false">IF($A11="","",COUNTIF(CAD_Cartoes!$D$5:$D$44,$A11))</f>
        <v/>
      </c>
      <c r="F11" s="34" t="str">
        <f aca="false">IF($A11="","",COUNTIF(CAD_Investimentos!$D$5:$D$44,$A11))</f>
        <v/>
      </c>
      <c r="G11" s="32"/>
    </row>
    <row r="12" customFormat="false" ht="15" hidden="false" customHeight="false" outlineLevel="0" collapsed="false">
      <c r="A12" s="30" t="str">
        <f aca="false">IF($B12="","","INS-"&amp;TEXT(ROW()-4,"000000"))</f>
        <v/>
      </c>
      <c r="B12" s="32"/>
      <c r="C12" s="32"/>
      <c r="D12" s="34" t="str">
        <f aca="false">IF($A12="","",COUNTIF(CAD_Contas!$D$5:$D$44,$A12))</f>
        <v/>
      </c>
      <c r="E12" s="34" t="str">
        <f aca="false">IF($A12="","",COUNTIF(CAD_Cartoes!$D$5:$D$44,$A12))</f>
        <v/>
      </c>
      <c r="F12" s="34" t="str">
        <f aca="false">IF($A12="","",COUNTIF(CAD_Investimentos!$D$5:$D$44,$A12))</f>
        <v/>
      </c>
      <c r="G12" s="32"/>
    </row>
    <row r="13" customFormat="false" ht="15" hidden="false" customHeight="false" outlineLevel="0" collapsed="false">
      <c r="A13" s="30" t="str">
        <f aca="false">IF($B13="","","INS-"&amp;TEXT(ROW()-4,"000000"))</f>
        <v/>
      </c>
      <c r="B13" s="32"/>
      <c r="C13" s="32"/>
      <c r="D13" s="34" t="str">
        <f aca="false">IF($A13="","",COUNTIF(CAD_Contas!$D$5:$D$44,$A13))</f>
        <v/>
      </c>
      <c r="E13" s="34" t="str">
        <f aca="false">IF($A13="","",COUNTIF(CAD_Cartoes!$D$5:$D$44,$A13))</f>
        <v/>
      </c>
      <c r="F13" s="34" t="str">
        <f aca="false">IF($A13="","",COUNTIF(CAD_Investimentos!$D$5:$D$44,$A13))</f>
        <v/>
      </c>
      <c r="G13" s="32"/>
    </row>
    <row r="14" customFormat="false" ht="15" hidden="false" customHeight="false" outlineLevel="0" collapsed="false">
      <c r="A14" s="30" t="str">
        <f aca="false">IF($B14="","","INS-"&amp;TEXT(ROW()-4,"000000"))</f>
        <v/>
      </c>
      <c r="B14" s="32"/>
      <c r="C14" s="32"/>
      <c r="D14" s="34" t="str">
        <f aca="false">IF($A14="","",COUNTIF(CAD_Contas!$D$5:$D$44,$A14))</f>
        <v/>
      </c>
      <c r="E14" s="34" t="str">
        <f aca="false">IF($A14="","",COUNTIF(CAD_Cartoes!$D$5:$D$44,$A14))</f>
        <v/>
      </c>
      <c r="F14" s="34" t="str">
        <f aca="false">IF($A14="","",COUNTIF(CAD_Investimentos!$D$5:$D$44,$A14))</f>
        <v/>
      </c>
      <c r="G14" s="32"/>
    </row>
    <row r="15" customFormat="false" ht="15" hidden="false" customHeight="false" outlineLevel="0" collapsed="false">
      <c r="A15" s="30" t="str">
        <f aca="false">IF($B15="","","INS-"&amp;TEXT(ROW()-4,"000000"))</f>
        <v/>
      </c>
      <c r="B15" s="32"/>
      <c r="C15" s="32"/>
      <c r="D15" s="34" t="str">
        <f aca="false">IF($A15="","",COUNTIF(CAD_Contas!$D$5:$D$44,$A15))</f>
        <v/>
      </c>
      <c r="E15" s="34" t="str">
        <f aca="false">IF($A15="","",COUNTIF(CAD_Cartoes!$D$5:$D$44,$A15))</f>
        <v/>
      </c>
      <c r="F15" s="34" t="str">
        <f aca="false">IF($A15="","",COUNTIF(CAD_Investimentos!$D$5:$D$44,$A15))</f>
        <v/>
      </c>
      <c r="G15" s="32"/>
    </row>
    <row r="16" customFormat="false" ht="15" hidden="false" customHeight="false" outlineLevel="0" collapsed="false">
      <c r="A16" s="30" t="str">
        <f aca="false">IF($B16="","","INS-"&amp;TEXT(ROW()-4,"000000"))</f>
        <v/>
      </c>
      <c r="B16" s="32"/>
      <c r="C16" s="32"/>
      <c r="D16" s="34" t="str">
        <f aca="false">IF($A16="","",COUNTIF(CAD_Contas!$D$5:$D$44,$A16))</f>
        <v/>
      </c>
      <c r="E16" s="34" t="str">
        <f aca="false">IF($A16="","",COUNTIF(CAD_Cartoes!$D$5:$D$44,$A16))</f>
        <v/>
      </c>
      <c r="F16" s="34" t="str">
        <f aca="false">IF($A16="","",COUNTIF(CAD_Investimentos!$D$5:$D$44,$A16))</f>
        <v/>
      </c>
      <c r="G16" s="32"/>
    </row>
    <row r="17" customFormat="false" ht="15" hidden="false" customHeight="false" outlineLevel="0" collapsed="false">
      <c r="A17" s="30" t="str">
        <f aca="false">IF($B17="","","INS-"&amp;TEXT(ROW()-4,"000000"))</f>
        <v/>
      </c>
      <c r="B17" s="32"/>
      <c r="C17" s="32"/>
      <c r="D17" s="34" t="str">
        <f aca="false">IF($A17="","",COUNTIF(CAD_Contas!$D$5:$D$44,$A17))</f>
        <v/>
      </c>
      <c r="E17" s="34" t="str">
        <f aca="false">IF($A17="","",COUNTIF(CAD_Cartoes!$D$5:$D$44,$A17))</f>
        <v/>
      </c>
      <c r="F17" s="34" t="str">
        <f aca="false">IF($A17="","",COUNTIF(CAD_Investimentos!$D$5:$D$44,$A17))</f>
        <v/>
      </c>
      <c r="G17" s="32"/>
    </row>
    <row r="18" customFormat="false" ht="15" hidden="false" customHeight="false" outlineLevel="0" collapsed="false">
      <c r="A18" s="30" t="str">
        <f aca="false">IF($B18="","","INS-"&amp;TEXT(ROW()-4,"000000"))</f>
        <v/>
      </c>
      <c r="B18" s="32"/>
      <c r="C18" s="32"/>
      <c r="D18" s="34" t="str">
        <f aca="false">IF($A18="","",COUNTIF(CAD_Contas!$D$5:$D$44,$A18))</f>
        <v/>
      </c>
      <c r="E18" s="34" t="str">
        <f aca="false">IF($A18="","",COUNTIF(CAD_Cartoes!$D$5:$D$44,$A18))</f>
        <v/>
      </c>
      <c r="F18" s="34" t="str">
        <f aca="false">IF($A18="","",COUNTIF(CAD_Investimentos!$D$5:$D$44,$A18))</f>
        <v/>
      </c>
      <c r="G18" s="32"/>
    </row>
    <row r="19" customFormat="false" ht="15" hidden="false" customHeight="false" outlineLevel="0" collapsed="false">
      <c r="A19" s="30" t="str">
        <f aca="false">IF($B19="","","INS-"&amp;TEXT(ROW()-4,"000000"))</f>
        <v/>
      </c>
      <c r="B19" s="32"/>
      <c r="C19" s="32"/>
      <c r="D19" s="34" t="str">
        <f aca="false">IF($A19="","",COUNTIF(CAD_Contas!$D$5:$D$44,$A19))</f>
        <v/>
      </c>
      <c r="E19" s="34" t="str">
        <f aca="false">IF($A19="","",COUNTIF(CAD_Cartoes!$D$5:$D$44,$A19))</f>
        <v/>
      </c>
      <c r="F19" s="34" t="str">
        <f aca="false">IF($A19="","",COUNTIF(CAD_Investimentos!$D$5:$D$44,$A19))</f>
        <v/>
      </c>
      <c r="G19" s="32"/>
    </row>
    <row r="20" customFormat="false" ht="15" hidden="false" customHeight="false" outlineLevel="0" collapsed="false">
      <c r="A20" s="30" t="str">
        <f aca="false">IF($B20="","","INS-"&amp;TEXT(ROW()-4,"000000"))</f>
        <v/>
      </c>
      <c r="B20" s="32"/>
      <c r="C20" s="32"/>
      <c r="D20" s="34" t="str">
        <f aca="false">IF($A20="","",COUNTIF(CAD_Contas!$D$5:$D$44,$A20))</f>
        <v/>
      </c>
      <c r="E20" s="34" t="str">
        <f aca="false">IF($A20="","",COUNTIF(CAD_Cartoes!$D$5:$D$44,$A20))</f>
        <v/>
      </c>
      <c r="F20" s="34" t="str">
        <f aca="false">IF($A20="","",COUNTIF(CAD_Investimentos!$D$5:$D$44,$A20))</f>
        <v/>
      </c>
      <c r="G20" s="32"/>
    </row>
    <row r="21" customFormat="false" ht="15" hidden="false" customHeight="false" outlineLevel="0" collapsed="false">
      <c r="A21" s="30" t="str">
        <f aca="false">IF($B21="","","INS-"&amp;TEXT(ROW()-4,"000000"))</f>
        <v/>
      </c>
      <c r="B21" s="32"/>
      <c r="C21" s="32"/>
      <c r="D21" s="34" t="str">
        <f aca="false">IF($A21="","",COUNTIF(CAD_Contas!$D$5:$D$44,$A21))</f>
        <v/>
      </c>
      <c r="E21" s="34" t="str">
        <f aca="false">IF($A21="","",COUNTIF(CAD_Cartoes!$D$5:$D$44,$A21))</f>
        <v/>
      </c>
      <c r="F21" s="34" t="str">
        <f aca="false">IF($A21="","",COUNTIF(CAD_Investimentos!$D$5:$D$44,$A21))</f>
        <v/>
      </c>
      <c r="G21" s="32"/>
    </row>
    <row r="22" customFormat="false" ht="15" hidden="false" customHeight="false" outlineLevel="0" collapsed="false">
      <c r="A22" s="30" t="str">
        <f aca="false">IF($B22="","","INS-"&amp;TEXT(ROW()-4,"000000"))</f>
        <v/>
      </c>
      <c r="B22" s="32"/>
      <c r="C22" s="32"/>
      <c r="D22" s="34" t="str">
        <f aca="false">IF($A22="","",COUNTIF(CAD_Contas!$D$5:$D$44,$A22))</f>
        <v/>
      </c>
      <c r="E22" s="34" t="str">
        <f aca="false">IF($A22="","",COUNTIF(CAD_Cartoes!$D$5:$D$44,$A22))</f>
        <v/>
      </c>
      <c r="F22" s="34" t="str">
        <f aca="false">IF($A22="","",COUNTIF(CAD_Investimentos!$D$5:$D$44,$A22))</f>
        <v/>
      </c>
      <c r="G22" s="32"/>
    </row>
    <row r="23" customFormat="false" ht="15" hidden="false" customHeight="false" outlineLevel="0" collapsed="false">
      <c r="A23" s="30" t="str">
        <f aca="false">IF($B23="","","INS-"&amp;TEXT(ROW()-4,"000000"))</f>
        <v/>
      </c>
      <c r="B23" s="32"/>
      <c r="C23" s="32"/>
      <c r="D23" s="34" t="str">
        <f aca="false">IF($A23="","",COUNTIF(CAD_Contas!$D$5:$D$44,$A23))</f>
        <v/>
      </c>
      <c r="E23" s="34" t="str">
        <f aca="false">IF($A23="","",COUNTIF(CAD_Cartoes!$D$5:$D$44,$A23))</f>
        <v/>
      </c>
      <c r="F23" s="34" t="str">
        <f aca="false">IF($A23="","",COUNTIF(CAD_Investimentos!$D$5:$D$44,$A23))</f>
        <v/>
      </c>
      <c r="G23" s="32"/>
    </row>
    <row r="24" customFormat="false" ht="15" hidden="false" customHeight="false" outlineLevel="0" collapsed="false">
      <c r="A24" s="30" t="str">
        <f aca="false">IF($B24="","","INS-"&amp;TEXT(ROW()-4,"000000"))</f>
        <v/>
      </c>
      <c r="B24" s="32"/>
      <c r="C24" s="32"/>
      <c r="D24" s="34" t="str">
        <f aca="false">IF($A24="","",COUNTIF(CAD_Contas!$D$5:$D$44,$A24))</f>
        <v/>
      </c>
      <c r="E24" s="34" t="str">
        <f aca="false">IF($A24="","",COUNTIF(CAD_Cartoes!$D$5:$D$44,$A24))</f>
        <v/>
      </c>
      <c r="F24" s="34" t="str">
        <f aca="false">IF($A24="","",COUNTIF(CAD_Investimentos!$D$5:$D$44,$A24))</f>
        <v/>
      </c>
      <c r="G24" s="32"/>
    </row>
    <row r="25" customFormat="false" ht="15" hidden="false" customHeight="false" outlineLevel="0" collapsed="false">
      <c r="A25" s="30" t="str">
        <f aca="false">IF($B25="","","INS-"&amp;TEXT(ROW()-4,"000000"))</f>
        <v/>
      </c>
      <c r="B25" s="32"/>
      <c r="C25" s="32"/>
      <c r="D25" s="34" t="str">
        <f aca="false">IF($A25="","",COUNTIF(CAD_Contas!$D$5:$D$44,$A25))</f>
        <v/>
      </c>
      <c r="E25" s="34" t="str">
        <f aca="false">IF($A25="","",COUNTIF(CAD_Cartoes!$D$5:$D$44,$A25))</f>
        <v/>
      </c>
      <c r="F25" s="34" t="str">
        <f aca="false">IF($A25="","",COUNTIF(CAD_Investimentos!$D$5:$D$44,$A25))</f>
        <v/>
      </c>
      <c r="G25" s="32"/>
    </row>
    <row r="26" customFormat="false" ht="15" hidden="false" customHeight="false" outlineLevel="0" collapsed="false">
      <c r="A26" s="30" t="str">
        <f aca="false">IF($B26="","","INS-"&amp;TEXT(ROW()-4,"000000"))</f>
        <v/>
      </c>
      <c r="B26" s="32"/>
      <c r="C26" s="32"/>
      <c r="D26" s="34" t="str">
        <f aca="false">IF($A26="","",COUNTIF(CAD_Contas!$D$5:$D$44,$A26))</f>
        <v/>
      </c>
      <c r="E26" s="34" t="str">
        <f aca="false">IF($A26="","",COUNTIF(CAD_Cartoes!$D$5:$D$44,$A26))</f>
        <v/>
      </c>
      <c r="F26" s="34" t="str">
        <f aca="false">IF($A26="","",COUNTIF(CAD_Investimentos!$D$5:$D$44,$A26))</f>
        <v/>
      </c>
      <c r="G26" s="32"/>
    </row>
    <row r="27" customFormat="false" ht="15" hidden="false" customHeight="false" outlineLevel="0" collapsed="false">
      <c r="A27" s="30" t="str">
        <f aca="false">IF($B27="","","INS-"&amp;TEXT(ROW()-4,"000000"))</f>
        <v/>
      </c>
      <c r="B27" s="32"/>
      <c r="C27" s="32"/>
      <c r="D27" s="34" t="str">
        <f aca="false">IF($A27="","",COUNTIF(CAD_Contas!$D$5:$D$44,$A27))</f>
        <v/>
      </c>
      <c r="E27" s="34" t="str">
        <f aca="false">IF($A27="","",COUNTIF(CAD_Cartoes!$D$5:$D$44,$A27))</f>
        <v/>
      </c>
      <c r="F27" s="34" t="str">
        <f aca="false">IF($A27="","",COUNTIF(CAD_Investimentos!$D$5:$D$44,$A27))</f>
        <v/>
      </c>
      <c r="G27" s="32"/>
    </row>
    <row r="28" customFormat="false" ht="15" hidden="false" customHeight="false" outlineLevel="0" collapsed="false">
      <c r="A28" s="30" t="str">
        <f aca="false">IF($B28="","","INS-"&amp;TEXT(ROW()-4,"000000"))</f>
        <v/>
      </c>
      <c r="B28" s="32"/>
      <c r="C28" s="32"/>
      <c r="D28" s="34" t="str">
        <f aca="false">IF($A28="","",COUNTIF(CAD_Contas!$D$5:$D$44,$A28))</f>
        <v/>
      </c>
      <c r="E28" s="34" t="str">
        <f aca="false">IF($A28="","",COUNTIF(CAD_Cartoes!$D$5:$D$44,$A28))</f>
        <v/>
      </c>
      <c r="F28" s="34" t="str">
        <f aca="false">IF($A28="","",COUNTIF(CAD_Investimentos!$D$5:$D$44,$A28))</f>
        <v/>
      </c>
      <c r="G28" s="32"/>
    </row>
    <row r="29" customFormat="false" ht="15" hidden="false" customHeight="false" outlineLevel="0" collapsed="false">
      <c r="A29" s="30" t="str">
        <f aca="false">IF($B29="","","INS-"&amp;TEXT(ROW()-4,"000000"))</f>
        <v/>
      </c>
      <c r="B29" s="32"/>
      <c r="C29" s="32"/>
      <c r="D29" s="34" t="str">
        <f aca="false">IF($A29="","",COUNTIF(CAD_Contas!$D$5:$D$44,$A29))</f>
        <v/>
      </c>
      <c r="E29" s="34" t="str">
        <f aca="false">IF($A29="","",COUNTIF(CAD_Cartoes!$D$5:$D$44,$A29))</f>
        <v/>
      </c>
      <c r="F29" s="34" t="str">
        <f aca="false">IF($A29="","",COUNTIF(CAD_Investimentos!$D$5:$D$44,$A29))</f>
        <v/>
      </c>
      <c r="G29" s="32"/>
    </row>
    <row r="30" customFormat="false" ht="15" hidden="false" customHeight="false" outlineLevel="0" collapsed="false">
      <c r="A30" s="30" t="str">
        <f aca="false">IF($B30="","","INS-"&amp;TEXT(ROW()-4,"000000"))</f>
        <v/>
      </c>
      <c r="B30" s="32"/>
      <c r="C30" s="32"/>
      <c r="D30" s="34" t="str">
        <f aca="false">IF($A30="","",COUNTIF(CAD_Contas!$D$5:$D$44,$A30))</f>
        <v/>
      </c>
      <c r="E30" s="34" t="str">
        <f aca="false">IF($A30="","",COUNTIF(CAD_Cartoes!$D$5:$D$44,$A30))</f>
        <v/>
      </c>
      <c r="F30" s="34" t="str">
        <f aca="false">IF($A30="","",COUNTIF(CAD_Investimentos!$D$5:$D$44,$A30))</f>
        <v/>
      </c>
      <c r="G30" s="32"/>
    </row>
    <row r="31" customFormat="false" ht="15" hidden="false" customHeight="false" outlineLevel="0" collapsed="false">
      <c r="A31" s="30" t="str">
        <f aca="false">IF($B31="","","INS-"&amp;TEXT(ROW()-4,"000000"))</f>
        <v/>
      </c>
      <c r="B31" s="32"/>
      <c r="C31" s="32"/>
      <c r="D31" s="34" t="str">
        <f aca="false">IF($A31="","",COUNTIF(CAD_Contas!$D$5:$D$44,$A31))</f>
        <v/>
      </c>
      <c r="E31" s="34" t="str">
        <f aca="false">IF($A31="","",COUNTIF(CAD_Cartoes!$D$5:$D$44,$A31))</f>
        <v/>
      </c>
      <c r="F31" s="34" t="str">
        <f aca="false">IF($A31="","",COUNTIF(CAD_Investimentos!$D$5:$D$44,$A31))</f>
        <v/>
      </c>
      <c r="G31" s="32"/>
    </row>
    <row r="32" customFormat="false" ht="15" hidden="false" customHeight="false" outlineLevel="0" collapsed="false">
      <c r="A32" s="30" t="str">
        <f aca="false">IF($B32="","","INS-"&amp;TEXT(ROW()-4,"000000"))</f>
        <v/>
      </c>
      <c r="B32" s="32"/>
      <c r="C32" s="32"/>
      <c r="D32" s="34" t="str">
        <f aca="false">IF($A32="","",COUNTIF(CAD_Contas!$D$5:$D$44,$A32))</f>
        <v/>
      </c>
      <c r="E32" s="34" t="str">
        <f aca="false">IF($A32="","",COUNTIF(CAD_Cartoes!$D$5:$D$44,$A32))</f>
        <v/>
      </c>
      <c r="F32" s="34" t="str">
        <f aca="false">IF($A32="","",COUNTIF(CAD_Investimentos!$D$5:$D$44,$A32))</f>
        <v/>
      </c>
      <c r="G32" s="32"/>
    </row>
    <row r="33" customFormat="false" ht="15" hidden="false" customHeight="false" outlineLevel="0" collapsed="false">
      <c r="A33" s="30" t="str">
        <f aca="false">IF($B33="","","INS-"&amp;TEXT(ROW()-4,"000000"))</f>
        <v/>
      </c>
      <c r="B33" s="32"/>
      <c r="C33" s="32"/>
      <c r="D33" s="34" t="str">
        <f aca="false">IF($A33="","",COUNTIF(CAD_Contas!$D$5:$D$44,$A33))</f>
        <v/>
      </c>
      <c r="E33" s="34" t="str">
        <f aca="false">IF($A33="","",COUNTIF(CAD_Cartoes!$D$5:$D$44,$A33))</f>
        <v/>
      </c>
      <c r="F33" s="34" t="str">
        <f aca="false">IF($A33="","",COUNTIF(CAD_Investimentos!$D$5:$D$44,$A33))</f>
        <v/>
      </c>
      <c r="G33" s="32"/>
    </row>
    <row r="34" customFormat="false" ht="15" hidden="false" customHeight="false" outlineLevel="0" collapsed="false">
      <c r="A34" s="30" t="str">
        <f aca="false">IF($B34="","","INS-"&amp;TEXT(ROW()-4,"000000"))</f>
        <v/>
      </c>
      <c r="B34" s="32"/>
      <c r="C34" s="32"/>
      <c r="D34" s="34" t="str">
        <f aca="false">IF($A34="","",COUNTIF(CAD_Contas!$D$5:$D$44,$A34))</f>
        <v/>
      </c>
      <c r="E34" s="34" t="str">
        <f aca="false">IF($A34="","",COUNTIF(CAD_Cartoes!$D$5:$D$44,$A34))</f>
        <v/>
      </c>
      <c r="F34" s="34" t="str">
        <f aca="false">IF($A34="","",COUNTIF(CAD_Investimentos!$D$5:$D$44,$A34))</f>
        <v/>
      </c>
      <c r="G34" s="32"/>
    </row>
    <row r="35" customFormat="false" ht="15" hidden="false" customHeight="false" outlineLevel="0" collapsed="false">
      <c r="A35" s="30" t="str">
        <f aca="false">IF($B35="","","INS-"&amp;TEXT(ROW()-4,"000000"))</f>
        <v/>
      </c>
      <c r="B35" s="32"/>
      <c r="C35" s="32"/>
      <c r="D35" s="34" t="str">
        <f aca="false">IF($A35="","",COUNTIF(CAD_Contas!$D$5:$D$44,$A35))</f>
        <v/>
      </c>
      <c r="E35" s="34" t="str">
        <f aca="false">IF($A35="","",COUNTIF(CAD_Cartoes!$D$5:$D$44,$A35))</f>
        <v/>
      </c>
      <c r="F35" s="34" t="str">
        <f aca="false">IF($A35="","",COUNTIF(CAD_Investimentos!$D$5:$D$44,$A35))</f>
        <v/>
      </c>
      <c r="G35" s="32"/>
    </row>
    <row r="36" customFormat="false" ht="15" hidden="false" customHeight="false" outlineLevel="0" collapsed="false">
      <c r="A36" s="30" t="str">
        <f aca="false">IF($B36="","","INS-"&amp;TEXT(ROW()-4,"000000"))</f>
        <v/>
      </c>
      <c r="B36" s="32"/>
      <c r="C36" s="32"/>
      <c r="D36" s="34" t="str">
        <f aca="false">IF($A36="","",COUNTIF(CAD_Contas!$D$5:$D$44,$A36))</f>
        <v/>
      </c>
      <c r="E36" s="34" t="str">
        <f aca="false">IF($A36="","",COUNTIF(CAD_Cartoes!$D$5:$D$44,$A36))</f>
        <v/>
      </c>
      <c r="F36" s="34" t="str">
        <f aca="false">IF($A36="","",COUNTIF(CAD_Investimentos!$D$5:$D$44,$A36))</f>
        <v/>
      </c>
      <c r="G36" s="32"/>
    </row>
    <row r="37" customFormat="false" ht="15" hidden="false" customHeight="false" outlineLevel="0" collapsed="false">
      <c r="A37" s="30" t="str">
        <f aca="false">IF($B37="","","INS-"&amp;TEXT(ROW()-4,"000000"))</f>
        <v/>
      </c>
      <c r="B37" s="32"/>
      <c r="C37" s="32"/>
      <c r="D37" s="34" t="str">
        <f aca="false">IF($A37="","",COUNTIF(CAD_Contas!$D$5:$D$44,$A37))</f>
        <v/>
      </c>
      <c r="E37" s="34" t="str">
        <f aca="false">IF($A37="","",COUNTIF(CAD_Cartoes!$D$5:$D$44,$A37))</f>
        <v/>
      </c>
      <c r="F37" s="34" t="str">
        <f aca="false">IF($A37="","",COUNTIF(CAD_Investimentos!$D$5:$D$44,$A37))</f>
        <v/>
      </c>
      <c r="G37" s="32"/>
    </row>
    <row r="38" customFormat="false" ht="15" hidden="false" customHeight="false" outlineLevel="0" collapsed="false">
      <c r="A38" s="30" t="str">
        <f aca="false">IF($B38="","","INS-"&amp;TEXT(ROW()-4,"000000"))</f>
        <v/>
      </c>
      <c r="B38" s="32"/>
      <c r="C38" s="32"/>
      <c r="D38" s="34" t="str">
        <f aca="false">IF($A38="","",COUNTIF(CAD_Contas!$D$5:$D$44,$A38))</f>
        <v/>
      </c>
      <c r="E38" s="34" t="str">
        <f aca="false">IF($A38="","",COUNTIF(CAD_Cartoes!$D$5:$D$44,$A38))</f>
        <v/>
      </c>
      <c r="F38" s="34" t="str">
        <f aca="false">IF($A38="","",COUNTIF(CAD_Investimentos!$D$5:$D$44,$A38))</f>
        <v/>
      </c>
      <c r="G38" s="32"/>
    </row>
    <row r="39" customFormat="false" ht="15" hidden="false" customHeight="false" outlineLevel="0" collapsed="false">
      <c r="A39" s="30" t="str">
        <f aca="false">IF($B39="","","INS-"&amp;TEXT(ROW()-4,"000000"))</f>
        <v/>
      </c>
      <c r="B39" s="32"/>
      <c r="C39" s="32"/>
      <c r="D39" s="34" t="str">
        <f aca="false">IF($A39="","",COUNTIF(CAD_Contas!$D$5:$D$44,$A39))</f>
        <v/>
      </c>
      <c r="E39" s="34" t="str">
        <f aca="false">IF($A39="","",COUNTIF(CAD_Cartoes!$D$5:$D$44,$A39))</f>
        <v/>
      </c>
      <c r="F39" s="34" t="str">
        <f aca="false">IF($A39="","",COUNTIF(CAD_Investimentos!$D$5:$D$44,$A39))</f>
        <v/>
      </c>
      <c r="G39" s="32"/>
    </row>
    <row r="40" customFormat="false" ht="15" hidden="false" customHeight="false" outlineLevel="0" collapsed="false">
      <c r="A40" s="30" t="str">
        <f aca="false">IF($B40="","","INS-"&amp;TEXT(ROW()-4,"000000"))</f>
        <v/>
      </c>
      <c r="B40" s="32"/>
      <c r="C40" s="32"/>
      <c r="D40" s="34" t="str">
        <f aca="false">IF($A40="","",COUNTIF(CAD_Contas!$D$5:$D$44,$A40))</f>
        <v/>
      </c>
      <c r="E40" s="34" t="str">
        <f aca="false">IF($A40="","",COUNTIF(CAD_Cartoes!$D$5:$D$44,$A40))</f>
        <v/>
      </c>
      <c r="F40" s="34" t="str">
        <f aca="false">IF($A40="","",COUNTIF(CAD_Investimentos!$D$5:$D$44,$A40))</f>
        <v/>
      </c>
      <c r="G40" s="32"/>
    </row>
    <row r="41" customFormat="false" ht="15" hidden="false" customHeight="false" outlineLevel="0" collapsed="false">
      <c r="A41" s="30" t="str">
        <f aca="false">IF($B41="","","INS-"&amp;TEXT(ROW()-4,"000000"))</f>
        <v/>
      </c>
      <c r="B41" s="32"/>
      <c r="C41" s="32"/>
      <c r="D41" s="34" t="str">
        <f aca="false">IF($A41="","",COUNTIF(CAD_Contas!$D$5:$D$44,$A41))</f>
        <v/>
      </c>
      <c r="E41" s="34" t="str">
        <f aca="false">IF($A41="","",COUNTIF(CAD_Cartoes!$D$5:$D$44,$A41))</f>
        <v/>
      </c>
      <c r="F41" s="34" t="str">
        <f aca="false">IF($A41="","",COUNTIF(CAD_Investimentos!$D$5:$D$44,$A41))</f>
        <v/>
      </c>
      <c r="G41" s="32"/>
    </row>
    <row r="42" customFormat="false" ht="15" hidden="false" customHeight="false" outlineLevel="0" collapsed="false">
      <c r="A42" s="30" t="str">
        <f aca="false">IF($B42="","","INS-"&amp;TEXT(ROW()-4,"000000"))</f>
        <v/>
      </c>
      <c r="B42" s="32"/>
      <c r="C42" s="32"/>
      <c r="D42" s="34" t="str">
        <f aca="false">IF($A42="","",COUNTIF(CAD_Contas!$D$5:$D$44,$A42))</f>
        <v/>
      </c>
      <c r="E42" s="34" t="str">
        <f aca="false">IF($A42="","",COUNTIF(CAD_Cartoes!$D$5:$D$44,$A42))</f>
        <v/>
      </c>
      <c r="F42" s="34" t="str">
        <f aca="false">IF($A42="","",COUNTIF(CAD_Investimentos!$D$5:$D$44,$A42))</f>
        <v/>
      </c>
      <c r="G42" s="32"/>
    </row>
    <row r="43" customFormat="false" ht="15" hidden="false" customHeight="false" outlineLevel="0" collapsed="false">
      <c r="A43" s="30" t="str">
        <f aca="false">IF($B43="","","INS-"&amp;TEXT(ROW()-4,"000000"))</f>
        <v/>
      </c>
      <c r="B43" s="32"/>
      <c r="C43" s="32"/>
      <c r="D43" s="34" t="str">
        <f aca="false">IF($A43="","",COUNTIF(CAD_Contas!$D$5:$D$44,$A43))</f>
        <v/>
      </c>
      <c r="E43" s="34" t="str">
        <f aca="false">IF($A43="","",COUNTIF(CAD_Cartoes!$D$5:$D$44,$A43))</f>
        <v/>
      </c>
      <c r="F43" s="34" t="str">
        <f aca="false">IF($A43="","",COUNTIF(CAD_Investimentos!$D$5:$D$44,$A43))</f>
        <v/>
      </c>
      <c r="G43" s="32"/>
    </row>
    <row r="44" customFormat="false" ht="15" hidden="false" customHeight="false" outlineLevel="0" collapsed="false">
      <c r="A44" s="30" t="str">
        <f aca="false">IF($B44="","","INS-"&amp;TEXT(ROW()-4,"000000"))</f>
        <v/>
      </c>
      <c r="B44" s="32"/>
      <c r="C44" s="32"/>
      <c r="D44" s="34" t="str">
        <f aca="false">IF($A44="","",COUNTIF(CAD_Contas!$D$5:$D$44,$A44))</f>
        <v/>
      </c>
      <c r="E44" s="34" t="str">
        <f aca="false">IF($A44="","",COUNTIF(CAD_Cartoes!$D$5:$D$44,$A44))</f>
        <v/>
      </c>
      <c r="F44" s="34" t="str">
        <f aca="false">IF($A44="","",COUNTIF(CAD_Investimentos!$D$5:$D$44,$A44))</f>
        <v/>
      </c>
      <c r="G44" s="32"/>
    </row>
  </sheetData>
  <autoFilter ref="A4:G44"/>
  <mergeCells count="2">
    <mergeCell ref="A1:G1"/>
    <mergeCell ref="A2:G2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LST_TIPOINST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10" min="8" style="0" width="18"/>
    <col collapsed="false" customWidth="true" hidden="false" outlineLevel="0" max="11" min="11" style="0" width="17"/>
    <col collapsed="false" customWidth="true" hidden="false" outlineLevel="0" max="15" min="12" style="0" width="18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167</v>
      </c>
      <c r="B4" s="8" t="s">
        <v>161</v>
      </c>
      <c r="C4" s="8" t="s">
        <v>168</v>
      </c>
      <c r="D4" s="8" t="s">
        <v>160</v>
      </c>
      <c r="E4" s="8" t="s">
        <v>162</v>
      </c>
      <c r="F4" s="8" t="s">
        <v>169</v>
      </c>
      <c r="G4" s="8" t="s">
        <v>170</v>
      </c>
      <c r="H4" s="8" t="s">
        <v>171</v>
      </c>
      <c r="I4" s="8" t="s">
        <v>172</v>
      </c>
      <c r="J4" s="8" t="s">
        <v>34</v>
      </c>
      <c r="K4" s="8" t="s">
        <v>173</v>
      </c>
      <c r="L4" s="8" t="s">
        <v>174</v>
      </c>
      <c r="M4" s="8" t="s">
        <v>175</v>
      </c>
      <c r="N4" s="8" t="s">
        <v>176</v>
      </c>
      <c r="O4" s="8" t="s">
        <v>37</v>
      </c>
      <c r="P4" s="8" t="s">
        <v>52</v>
      </c>
      <c r="Q4" s="8" t="s">
        <v>76</v>
      </c>
    </row>
    <row r="5" customFormat="false" ht="15" hidden="false" customHeight="false" outlineLevel="0" collapsed="false">
      <c r="A5" s="30" t="str">
        <f aca="false">IF($B5="","","CON-"&amp;TEXT(ROW()-4,"000000"))</f>
        <v/>
      </c>
      <c r="B5" s="32"/>
      <c r="C5" s="32"/>
      <c r="D5" s="35" t="str">
        <f aca="false">IF($C5="","",IFERROR(INDEX(INS_ID,MATCH($C5,INS_NOME,0)),"?"))</f>
        <v/>
      </c>
      <c r="E5" s="32"/>
      <c r="F5" s="33"/>
      <c r="G5" s="31"/>
      <c r="H5" s="36" t="n">
        <f aca="false">IF($A5="",0,SUMIFS(L_Valor,L_DestTipo,"CONTA",L_DestID,$A5,L_Status,"REALIZADO"))</f>
        <v>0</v>
      </c>
      <c r="I5" s="36" t="n">
        <f aca="false">IF($A5="",0,SUMIFS(L_Valor,L_OrigTipo,"CONTA",L_OrigID,$A5,L_Status,"REALIZADO"))</f>
        <v>0</v>
      </c>
      <c r="J5" s="36" t="str">
        <f aca="false">IF($A5="","",$F5+$H5-$I5)</f>
        <v/>
      </c>
      <c r="K5" s="36" t="n">
        <f aca="false">IF($A5="",0,SUMIFS(MM_VALSINAL,MM_CONTA,$A5))</f>
        <v>0</v>
      </c>
      <c r="L5" s="36" t="str">
        <f aca="false">IF($A5="","",$J5-$K5)</f>
        <v/>
      </c>
      <c r="M5" s="36" t="n">
        <f aca="false">IF($A5="",0,SUMIFS(L_Valor,L_DestTipo,"CONTA",L_DestID,$A5,L_Status,"PROJETADO"))</f>
        <v>0</v>
      </c>
      <c r="N5" s="36" t="n">
        <f aca="false">IF($A5="",0,SUMIFS(L_Valor,L_OrigTipo,"CONTA",L_OrigID,$A5,L_Status,"PROJETADO"))</f>
        <v>0</v>
      </c>
      <c r="O5" s="36" t="str">
        <f aca="false">IF($A5="","",$J5+$M5-$N5)</f>
        <v/>
      </c>
      <c r="P5" s="32"/>
      <c r="Q5" s="32"/>
    </row>
    <row r="6" customFormat="false" ht="15" hidden="false" customHeight="false" outlineLevel="0" collapsed="false">
      <c r="A6" s="30" t="str">
        <f aca="false">IF($B6="","","CON-"&amp;TEXT(ROW()-4,"000000"))</f>
        <v/>
      </c>
      <c r="B6" s="32"/>
      <c r="C6" s="32"/>
      <c r="D6" s="35" t="str">
        <f aca="false">IF($C6="","",IFERROR(INDEX(INS_ID,MATCH($C6,INS_NOME,0)),"?"))</f>
        <v/>
      </c>
      <c r="E6" s="32"/>
      <c r="F6" s="33"/>
      <c r="G6" s="31"/>
      <c r="H6" s="36" t="n">
        <f aca="false">IF($A6="",0,SUMIFS(L_Valor,L_DestTipo,"CONTA",L_DestID,$A6,L_Status,"REALIZADO"))</f>
        <v>0</v>
      </c>
      <c r="I6" s="36" t="n">
        <f aca="false">IF($A6="",0,SUMIFS(L_Valor,L_OrigTipo,"CONTA",L_OrigID,$A6,L_Status,"REALIZADO"))</f>
        <v>0</v>
      </c>
      <c r="J6" s="36" t="str">
        <f aca="false">IF($A6="","",$F6+$H6-$I6)</f>
        <v/>
      </c>
      <c r="K6" s="36" t="n">
        <f aca="false">IF($A6="",0,SUMIFS(MM_VALSINAL,MM_CONTA,$A6))</f>
        <v>0</v>
      </c>
      <c r="L6" s="36" t="str">
        <f aca="false">IF($A6="","",$J6-$K6)</f>
        <v/>
      </c>
      <c r="M6" s="36" t="n">
        <f aca="false">IF($A6="",0,SUMIFS(L_Valor,L_DestTipo,"CONTA",L_DestID,$A6,L_Status,"PROJETADO"))</f>
        <v>0</v>
      </c>
      <c r="N6" s="36" t="n">
        <f aca="false">IF($A6="",0,SUMIFS(L_Valor,L_OrigTipo,"CONTA",L_OrigID,$A6,L_Status,"PROJETADO"))</f>
        <v>0</v>
      </c>
      <c r="O6" s="36" t="str">
        <f aca="false">IF($A6="","",$J6+$M6-$N6)</f>
        <v/>
      </c>
      <c r="P6" s="32"/>
      <c r="Q6" s="32"/>
    </row>
    <row r="7" customFormat="false" ht="15" hidden="false" customHeight="false" outlineLevel="0" collapsed="false">
      <c r="A7" s="30" t="str">
        <f aca="false">IF($B7="","","CON-"&amp;TEXT(ROW()-4,"000000"))</f>
        <v/>
      </c>
      <c r="B7" s="32"/>
      <c r="C7" s="32"/>
      <c r="D7" s="35" t="str">
        <f aca="false">IF($C7="","",IFERROR(INDEX(INS_ID,MATCH($C7,INS_NOME,0)),"?"))</f>
        <v/>
      </c>
      <c r="E7" s="32"/>
      <c r="F7" s="33"/>
      <c r="G7" s="31"/>
      <c r="H7" s="36" t="n">
        <f aca="false">IF($A7="",0,SUMIFS(L_Valor,L_DestTipo,"CONTA",L_DestID,$A7,L_Status,"REALIZADO"))</f>
        <v>0</v>
      </c>
      <c r="I7" s="36" t="n">
        <f aca="false">IF($A7="",0,SUMIFS(L_Valor,L_OrigTipo,"CONTA",L_OrigID,$A7,L_Status,"REALIZADO"))</f>
        <v>0</v>
      </c>
      <c r="J7" s="36" t="str">
        <f aca="false">IF($A7="","",$F7+$H7-$I7)</f>
        <v/>
      </c>
      <c r="K7" s="36" t="n">
        <f aca="false">IF($A7="",0,SUMIFS(MM_VALSINAL,MM_CONTA,$A7))</f>
        <v>0</v>
      </c>
      <c r="L7" s="36" t="str">
        <f aca="false">IF($A7="","",$J7-$K7)</f>
        <v/>
      </c>
      <c r="M7" s="36" t="n">
        <f aca="false">IF($A7="",0,SUMIFS(L_Valor,L_DestTipo,"CONTA",L_DestID,$A7,L_Status,"PROJETADO"))</f>
        <v>0</v>
      </c>
      <c r="N7" s="36" t="n">
        <f aca="false">IF($A7="",0,SUMIFS(L_Valor,L_OrigTipo,"CONTA",L_OrigID,$A7,L_Status,"PROJETADO"))</f>
        <v>0</v>
      </c>
      <c r="O7" s="36" t="str">
        <f aca="false">IF($A7="","",$J7+$M7-$N7)</f>
        <v/>
      </c>
      <c r="P7" s="32"/>
      <c r="Q7" s="32"/>
    </row>
    <row r="8" customFormat="false" ht="15" hidden="false" customHeight="false" outlineLevel="0" collapsed="false">
      <c r="A8" s="30" t="str">
        <f aca="false">IF($B8="","","CON-"&amp;TEXT(ROW()-4,"000000"))</f>
        <v/>
      </c>
      <c r="B8" s="32"/>
      <c r="C8" s="32"/>
      <c r="D8" s="35" t="str">
        <f aca="false">IF($C8="","",IFERROR(INDEX(INS_ID,MATCH($C8,INS_NOME,0)),"?"))</f>
        <v/>
      </c>
      <c r="E8" s="32"/>
      <c r="F8" s="33"/>
      <c r="G8" s="31"/>
      <c r="H8" s="36" t="n">
        <f aca="false">IF($A8="",0,SUMIFS(L_Valor,L_DestTipo,"CONTA",L_DestID,$A8,L_Status,"REALIZADO"))</f>
        <v>0</v>
      </c>
      <c r="I8" s="36" t="n">
        <f aca="false">IF($A8="",0,SUMIFS(L_Valor,L_OrigTipo,"CONTA",L_OrigID,$A8,L_Status,"REALIZADO"))</f>
        <v>0</v>
      </c>
      <c r="J8" s="36" t="str">
        <f aca="false">IF($A8="","",$F8+$H8-$I8)</f>
        <v/>
      </c>
      <c r="K8" s="36" t="n">
        <f aca="false">IF($A8="",0,SUMIFS(MM_VALSINAL,MM_CONTA,$A8))</f>
        <v>0</v>
      </c>
      <c r="L8" s="36" t="str">
        <f aca="false">IF($A8="","",$J8-$K8)</f>
        <v/>
      </c>
      <c r="M8" s="36" t="n">
        <f aca="false">IF($A8="",0,SUMIFS(L_Valor,L_DestTipo,"CONTA",L_DestID,$A8,L_Status,"PROJETADO"))</f>
        <v>0</v>
      </c>
      <c r="N8" s="36" t="n">
        <f aca="false">IF($A8="",0,SUMIFS(L_Valor,L_OrigTipo,"CONTA",L_OrigID,$A8,L_Status,"PROJETADO"))</f>
        <v>0</v>
      </c>
      <c r="O8" s="36" t="str">
        <f aca="false">IF($A8="","",$J8+$M8-$N8)</f>
        <v/>
      </c>
      <c r="P8" s="32"/>
      <c r="Q8" s="32"/>
    </row>
    <row r="9" customFormat="false" ht="15" hidden="false" customHeight="false" outlineLevel="0" collapsed="false">
      <c r="A9" s="30" t="str">
        <f aca="false">IF($B9="","","CON-"&amp;TEXT(ROW()-4,"000000"))</f>
        <v/>
      </c>
      <c r="B9" s="32"/>
      <c r="C9" s="32"/>
      <c r="D9" s="35" t="str">
        <f aca="false">IF($C9="","",IFERROR(INDEX(INS_ID,MATCH($C9,INS_NOME,0)),"?"))</f>
        <v/>
      </c>
      <c r="E9" s="32"/>
      <c r="F9" s="33"/>
      <c r="G9" s="31"/>
      <c r="H9" s="36" t="n">
        <f aca="false">IF($A9="",0,SUMIFS(L_Valor,L_DestTipo,"CONTA",L_DestID,$A9,L_Status,"REALIZADO"))</f>
        <v>0</v>
      </c>
      <c r="I9" s="36" t="n">
        <f aca="false">IF($A9="",0,SUMIFS(L_Valor,L_OrigTipo,"CONTA",L_OrigID,$A9,L_Status,"REALIZADO"))</f>
        <v>0</v>
      </c>
      <c r="J9" s="36" t="str">
        <f aca="false">IF($A9="","",$F9+$H9-$I9)</f>
        <v/>
      </c>
      <c r="K9" s="36" t="n">
        <f aca="false">IF($A9="",0,SUMIFS(MM_VALSINAL,MM_CONTA,$A9))</f>
        <v>0</v>
      </c>
      <c r="L9" s="36" t="str">
        <f aca="false">IF($A9="","",$J9-$K9)</f>
        <v/>
      </c>
      <c r="M9" s="36" t="n">
        <f aca="false">IF($A9="",0,SUMIFS(L_Valor,L_DestTipo,"CONTA",L_DestID,$A9,L_Status,"PROJETADO"))</f>
        <v>0</v>
      </c>
      <c r="N9" s="36" t="n">
        <f aca="false">IF($A9="",0,SUMIFS(L_Valor,L_OrigTipo,"CONTA",L_OrigID,$A9,L_Status,"PROJETADO"))</f>
        <v>0</v>
      </c>
      <c r="O9" s="36" t="str">
        <f aca="false">IF($A9="","",$J9+$M9-$N9)</f>
        <v/>
      </c>
      <c r="P9" s="32"/>
      <c r="Q9" s="32"/>
    </row>
    <row r="10" customFormat="false" ht="15" hidden="false" customHeight="false" outlineLevel="0" collapsed="false">
      <c r="A10" s="30" t="str">
        <f aca="false">IF($B10="","","CON-"&amp;TEXT(ROW()-4,"000000"))</f>
        <v/>
      </c>
      <c r="B10" s="32"/>
      <c r="C10" s="32"/>
      <c r="D10" s="35" t="str">
        <f aca="false">IF($C10="","",IFERROR(INDEX(INS_ID,MATCH($C10,INS_NOME,0)),"?"))</f>
        <v/>
      </c>
      <c r="E10" s="32"/>
      <c r="F10" s="33"/>
      <c r="G10" s="31"/>
      <c r="H10" s="36" t="n">
        <f aca="false">IF($A10="",0,SUMIFS(L_Valor,L_DestTipo,"CONTA",L_DestID,$A10,L_Status,"REALIZADO"))</f>
        <v>0</v>
      </c>
      <c r="I10" s="36" t="n">
        <f aca="false">IF($A10="",0,SUMIFS(L_Valor,L_OrigTipo,"CONTA",L_OrigID,$A10,L_Status,"REALIZADO"))</f>
        <v>0</v>
      </c>
      <c r="J10" s="36" t="str">
        <f aca="false">IF($A10="","",$F10+$H10-$I10)</f>
        <v/>
      </c>
      <c r="K10" s="36" t="n">
        <f aca="false">IF($A10="",0,SUMIFS(MM_VALSINAL,MM_CONTA,$A10))</f>
        <v>0</v>
      </c>
      <c r="L10" s="36" t="str">
        <f aca="false">IF($A10="","",$J10-$K10)</f>
        <v/>
      </c>
      <c r="M10" s="36" t="n">
        <f aca="false">IF($A10="",0,SUMIFS(L_Valor,L_DestTipo,"CONTA",L_DestID,$A10,L_Status,"PROJETADO"))</f>
        <v>0</v>
      </c>
      <c r="N10" s="36" t="n">
        <f aca="false">IF($A10="",0,SUMIFS(L_Valor,L_OrigTipo,"CONTA",L_OrigID,$A10,L_Status,"PROJETADO"))</f>
        <v>0</v>
      </c>
      <c r="O10" s="36" t="str">
        <f aca="false">IF($A10="","",$J10+$M10-$N10)</f>
        <v/>
      </c>
      <c r="P10" s="32"/>
      <c r="Q10" s="32"/>
    </row>
    <row r="11" customFormat="false" ht="15" hidden="false" customHeight="false" outlineLevel="0" collapsed="false">
      <c r="A11" s="30" t="str">
        <f aca="false">IF($B11="","","CON-"&amp;TEXT(ROW()-4,"000000"))</f>
        <v/>
      </c>
      <c r="B11" s="32"/>
      <c r="C11" s="32"/>
      <c r="D11" s="35" t="str">
        <f aca="false">IF($C11="","",IFERROR(INDEX(INS_ID,MATCH($C11,INS_NOME,0)),"?"))</f>
        <v/>
      </c>
      <c r="E11" s="32"/>
      <c r="F11" s="33"/>
      <c r="G11" s="31"/>
      <c r="H11" s="36" t="n">
        <f aca="false">IF($A11="",0,SUMIFS(L_Valor,L_DestTipo,"CONTA",L_DestID,$A11,L_Status,"REALIZADO"))</f>
        <v>0</v>
      </c>
      <c r="I11" s="36" t="n">
        <f aca="false">IF($A11="",0,SUMIFS(L_Valor,L_OrigTipo,"CONTA",L_OrigID,$A11,L_Status,"REALIZADO"))</f>
        <v>0</v>
      </c>
      <c r="J11" s="36" t="str">
        <f aca="false">IF($A11="","",$F11+$H11-$I11)</f>
        <v/>
      </c>
      <c r="K11" s="36" t="n">
        <f aca="false">IF($A11="",0,SUMIFS(MM_VALSINAL,MM_CONTA,$A11))</f>
        <v>0</v>
      </c>
      <c r="L11" s="36" t="str">
        <f aca="false">IF($A11="","",$J11-$K11)</f>
        <v/>
      </c>
      <c r="M11" s="36" t="n">
        <f aca="false">IF($A11="",0,SUMIFS(L_Valor,L_DestTipo,"CONTA",L_DestID,$A11,L_Status,"PROJETADO"))</f>
        <v>0</v>
      </c>
      <c r="N11" s="36" t="n">
        <f aca="false">IF($A11="",0,SUMIFS(L_Valor,L_OrigTipo,"CONTA",L_OrigID,$A11,L_Status,"PROJETADO"))</f>
        <v>0</v>
      </c>
      <c r="O11" s="36" t="str">
        <f aca="false">IF($A11="","",$J11+$M11-$N11)</f>
        <v/>
      </c>
      <c r="P11" s="32"/>
      <c r="Q11" s="32"/>
    </row>
    <row r="12" customFormat="false" ht="15" hidden="false" customHeight="false" outlineLevel="0" collapsed="false">
      <c r="A12" s="30" t="str">
        <f aca="false">IF($B12="","","CON-"&amp;TEXT(ROW()-4,"000000"))</f>
        <v/>
      </c>
      <c r="B12" s="32"/>
      <c r="C12" s="32"/>
      <c r="D12" s="35" t="str">
        <f aca="false">IF($C12="","",IFERROR(INDEX(INS_ID,MATCH($C12,INS_NOME,0)),"?"))</f>
        <v/>
      </c>
      <c r="E12" s="32"/>
      <c r="F12" s="33"/>
      <c r="G12" s="31"/>
      <c r="H12" s="36" t="n">
        <f aca="false">IF($A12="",0,SUMIFS(L_Valor,L_DestTipo,"CONTA",L_DestID,$A12,L_Status,"REALIZADO"))</f>
        <v>0</v>
      </c>
      <c r="I12" s="36" t="n">
        <f aca="false">IF($A12="",0,SUMIFS(L_Valor,L_OrigTipo,"CONTA",L_OrigID,$A12,L_Status,"REALIZADO"))</f>
        <v>0</v>
      </c>
      <c r="J12" s="36" t="str">
        <f aca="false">IF($A12="","",$F12+$H12-$I12)</f>
        <v/>
      </c>
      <c r="K12" s="36" t="n">
        <f aca="false">IF($A12="",0,SUMIFS(MM_VALSINAL,MM_CONTA,$A12))</f>
        <v>0</v>
      </c>
      <c r="L12" s="36" t="str">
        <f aca="false">IF($A12="","",$J12-$K12)</f>
        <v/>
      </c>
      <c r="M12" s="36" t="n">
        <f aca="false">IF($A12="",0,SUMIFS(L_Valor,L_DestTipo,"CONTA",L_DestID,$A12,L_Status,"PROJETADO"))</f>
        <v>0</v>
      </c>
      <c r="N12" s="36" t="n">
        <f aca="false">IF($A12="",0,SUMIFS(L_Valor,L_OrigTipo,"CONTA",L_OrigID,$A12,L_Status,"PROJETADO"))</f>
        <v>0</v>
      </c>
      <c r="O12" s="36" t="str">
        <f aca="false">IF($A12="","",$J12+$M12-$N12)</f>
        <v/>
      </c>
      <c r="P12" s="32"/>
      <c r="Q12" s="32"/>
    </row>
    <row r="13" customFormat="false" ht="15" hidden="false" customHeight="false" outlineLevel="0" collapsed="false">
      <c r="A13" s="30" t="str">
        <f aca="false">IF($B13="","","CON-"&amp;TEXT(ROW()-4,"000000"))</f>
        <v/>
      </c>
      <c r="B13" s="32"/>
      <c r="C13" s="32"/>
      <c r="D13" s="35" t="str">
        <f aca="false">IF($C13="","",IFERROR(INDEX(INS_ID,MATCH($C13,INS_NOME,0)),"?"))</f>
        <v/>
      </c>
      <c r="E13" s="32"/>
      <c r="F13" s="33"/>
      <c r="G13" s="31"/>
      <c r="H13" s="36" t="n">
        <f aca="false">IF($A13="",0,SUMIFS(L_Valor,L_DestTipo,"CONTA",L_DestID,$A13,L_Status,"REALIZADO"))</f>
        <v>0</v>
      </c>
      <c r="I13" s="36" t="n">
        <f aca="false">IF($A13="",0,SUMIFS(L_Valor,L_OrigTipo,"CONTA",L_OrigID,$A13,L_Status,"REALIZADO"))</f>
        <v>0</v>
      </c>
      <c r="J13" s="36" t="str">
        <f aca="false">IF($A13="","",$F13+$H13-$I13)</f>
        <v/>
      </c>
      <c r="K13" s="36" t="n">
        <f aca="false">IF($A13="",0,SUMIFS(MM_VALSINAL,MM_CONTA,$A13))</f>
        <v>0</v>
      </c>
      <c r="L13" s="36" t="str">
        <f aca="false">IF($A13="","",$J13-$K13)</f>
        <v/>
      </c>
      <c r="M13" s="36" t="n">
        <f aca="false">IF($A13="",0,SUMIFS(L_Valor,L_DestTipo,"CONTA",L_DestID,$A13,L_Status,"PROJETADO"))</f>
        <v>0</v>
      </c>
      <c r="N13" s="36" t="n">
        <f aca="false">IF($A13="",0,SUMIFS(L_Valor,L_OrigTipo,"CONTA",L_OrigID,$A13,L_Status,"PROJETADO"))</f>
        <v>0</v>
      </c>
      <c r="O13" s="36" t="str">
        <f aca="false">IF($A13="","",$J13+$M13-$N13)</f>
        <v/>
      </c>
      <c r="P13" s="32"/>
      <c r="Q13" s="32"/>
    </row>
    <row r="14" customFormat="false" ht="15" hidden="false" customHeight="false" outlineLevel="0" collapsed="false">
      <c r="A14" s="30" t="str">
        <f aca="false">IF($B14="","","CON-"&amp;TEXT(ROW()-4,"000000"))</f>
        <v/>
      </c>
      <c r="B14" s="32"/>
      <c r="C14" s="32"/>
      <c r="D14" s="35" t="str">
        <f aca="false">IF($C14="","",IFERROR(INDEX(INS_ID,MATCH($C14,INS_NOME,0)),"?"))</f>
        <v/>
      </c>
      <c r="E14" s="32"/>
      <c r="F14" s="33"/>
      <c r="G14" s="31"/>
      <c r="H14" s="36" t="n">
        <f aca="false">IF($A14="",0,SUMIFS(L_Valor,L_DestTipo,"CONTA",L_DestID,$A14,L_Status,"REALIZADO"))</f>
        <v>0</v>
      </c>
      <c r="I14" s="36" t="n">
        <f aca="false">IF($A14="",0,SUMIFS(L_Valor,L_OrigTipo,"CONTA",L_OrigID,$A14,L_Status,"REALIZADO"))</f>
        <v>0</v>
      </c>
      <c r="J14" s="36" t="str">
        <f aca="false">IF($A14="","",$F14+$H14-$I14)</f>
        <v/>
      </c>
      <c r="K14" s="36" t="n">
        <f aca="false">IF($A14="",0,SUMIFS(MM_VALSINAL,MM_CONTA,$A14))</f>
        <v>0</v>
      </c>
      <c r="L14" s="36" t="str">
        <f aca="false">IF($A14="","",$J14-$K14)</f>
        <v/>
      </c>
      <c r="M14" s="36" t="n">
        <f aca="false">IF($A14="",0,SUMIFS(L_Valor,L_DestTipo,"CONTA",L_DestID,$A14,L_Status,"PROJETADO"))</f>
        <v>0</v>
      </c>
      <c r="N14" s="36" t="n">
        <f aca="false">IF($A14="",0,SUMIFS(L_Valor,L_OrigTipo,"CONTA",L_OrigID,$A14,L_Status,"PROJETADO"))</f>
        <v>0</v>
      </c>
      <c r="O14" s="36" t="str">
        <f aca="false">IF($A14="","",$J14+$M14-$N14)</f>
        <v/>
      </c>
      <c r="P14" s="32"/>
      <c r="Q14" s="32"/>
    </row>
    <row r="15" customFormat="false" ht="15" hidden="false" customHeight="false" outlineLevel="0" collapsed="false">
      <c r="A15" s="30" t="str">
        <f aca="false">IF($B15="","","CON-"&amp;TEXT(ROW()-4,"000000"))</f>
        <v/>
      </c>
      <c r="B15" s="32"/>
      <c r="C15" s="32"/>
      <c r="D15" s="35" t="str">
        <f aca="false">IF($C15="","",IFERROR(INDEX(INS_ID,MATCH($C15,INS_NOME,0)),"?"))</f>
        <v/>
      </c>
      <c r="E15" s="32"/>
      <c r="F15" s="33"/>
      <c r="G15" s="31"/>
      <c r="H15" s="36" t="n">
        <f aca="false">IF($A15="",0,SUMIFS(L_Valor,L_DestTipo,"CONTA",L_DestID,$A15,L_Status,"REALIZADO"))</f>
        <v>0</v>
      </c>
      <c r="I15" s="36" t="n">
        <f aca="false">IF($A15="",0,SUMIFS(L_Valor,L_OrigTipo,"CONTA",L_OrigID,$A15,L_Status,"REALIZADO"))</f>
        <v>0</v>
      </c>
      <c r="J15" s="36" t="str">
        <f aca="false">IF($A15="","",$F15+$H15-$I15)</f>
        <v/>
      </c>
      <c r="K15" s="36" t="n">
        <f aca="false">IF($A15="",0,SUMIFS(MM_VALSINAL,MM_CONTA,$A15))</f>
        <v>0</v>
      </c>
      <c r="L15" s="36" t="str">
        <f aca="false">IF($A15="","",$J15-$K15)</f>
        <v/>
      </c>
      <c r="M15" s="36" t="n">
        <f aca="false">IF($A15="",0,SUMIFS(L_Valor,L_DestTipo,"CONTA",L_DestID,$A15,L_Status,"PROJETADO"))</f>
        <v>0</v>
      </c>
      <c r="N15" s="36" t="n">
        <f aca="false">IF($A15="",0,SUMIFS(L_Valor,L_OrigTipo,"CONTA",L_OrigID,$A15,L_Status,"PROJETADO"))</f>
        <v>0</v>
      </c>
      <c r="O15" s="36" t="str">
        <f aca="false">IF($A15="","",$J15+$M15-$N15)</f>
        <v/>
      </c>
      <c r="P15" s="32"/>
      <c r="Q15" s="32"/>
    </row>
    <row r="16" customFormat="false" ht="15" hidden="false" customHeight="false" outlineLevel="0" collapsed="false">
      <c r="A16" s="30" t="str">
        <f aca="false">IF($B16="","","CON-"&amp;TEXT(ROW()-4,"000000"))</f>
        <v/>
      </c>
      <c r="B16" s="32"/>
      <c r="C16" s="32"/>
      <c r="D16" s="35" t="str">
        <f aca="false">IF($C16="","",IFERROR(INDEX(INS_ID,MATCH($C16,INS_NOME,0)),"?"))</f>
        <v/>
      </c>
      <c r="E16" s="32"/>
      <c r="F16" s="33"/>
      <c r="G16" s="31"/>
      <c r="H16" s="36" t="n">
        <f aca="false">IF($A16="",0,SUMIFS(L_Valor,L_DestTipo,"CONTA",L_DestID,$A16,L_Status,"REALIZADO"))</f>
        <v>0</v>
      </c>
      <c r="I16" s="36" t="n">
        <f aca="false">IF($A16="",0,SUMIFS(L_Valor,L_OrigTipo,"CONTA",L_OrigID,$A16,L_Status,"REALIZADO"))</f>
        <v>0</v>
      </c>
      <c r="J16" s="36" t="str">
        <f aca="false">IF($A16="","",$F16+$H16-$I16)</f>
        <v/>
      </c>
      <c r="K16" s="36" t="n">
        <f aca="false">IF($A16="",0,SUMIFS(MM_VALSINAL,MM_CONTA,$A16))</f>
        <v>0</v>
      </c>
      <c r="L16" s="36" t="str">
        <f aca="false">IF($A16="","",$J16-$K16)</f>
        <v/>
      </c>
      <c r="M16" s="36" t="n">
        <f aca="false">IF($A16="",0,SUMIFS(L_Valor,L_DestTipo,"CONTA",L_DestID,$A16,L_Status,"PROJETADO"))</f>
        <v>0</v>
      </c>
      <c r="N16" s="36" t="n">
        <f aca="false">IF($A16="",0,SUMIFS(L_Valor,L_OrigTipo,"CONTA",L_OrigID,$A16,L_Status,"PROJETADO"))</f>
        <v>0</v>
      </c>
      <c r="O16" s="36" t="str">
        <f aca="false">IF($A16="","",$J16+$M16-$N16)</f>
        <v/>
      </c>
      <c r="P16" s="32"/>
      <c r="Q16" s="32"/>
    </row>
    <row r="17" customFormat="false" ht="15" hidden="false" customHeight="false" outlineLevel="0" collapsed="false">
      <c r="A17" s="30" t="str">
        <f aca="false">IF($B17="","","CON-"&amp;TEXT(ROW()-4,"000000"))</f>
        <v/>
      </c>
      <c r="B17" s="32"/>
      <c r="C17" s="32"/>
      <c r="D17" s="35" t="str">
        <f aca="false">IF($C17="","",IFERROR(INDEX(INS_ID,MATCH($C17,INS_NOME,0)),"?"))</f>
        <v/>
      </c>
      <c r="E17" s="32"/>
      <c r="F17" s="33"/>
      <c r="G17" s="31"/>
      <c r="H17" s="36" t="n">
        <f aca="false">IF($A17="",0,SUMIFS(L_Valor,L_DestTipo,"CONTA",L_DestID,$A17,L_Status,"REALIZADO"))</f>
        <v>0</v>
      </c>
      <c r="I17" s="36" t="n">
        <f aca="false">IF($A17="",0,SUMIFS(L_Valor,L_OrigTipo,"CONTA",L_OrigID,$A17,L_Status,"REALIZADO"))</f>
        <v>0</v>
      </c>
      <c r="J17" s="36" t="str">
        <f aca="false">IF($A17="","",$F17+$H17-$I17)</f>
        <v/>
      </c>
      <c r="K17" s="36" t="n">
        <f aca="false">IF($A17="",0,SUMIFS(MM_VALSINAL,MM_CONTA,$A17))</f>
        <v>0</v>
      </c>
      <c r="L17" s="36" t="str">
        <f aca="false">IF($A17="","",$J17-$K17)</f>
        <v/>
      </c>
      <c r="M17" s="36" t="n">
        <f aca="false">IF($A17="",0,SUMIFS(L_Valor,L_DestTipo,"CONTA",L_DestID,$A17,L_Status,"PROJETADO"))</f>
        <v>0</v>
      </c>
      <c r="N17" s="36" t="n">
        <f aca="false">IF($A17="",0,SUMIFS(L_Valor,L_OrigTipo,"CONTA",L_OrigID,$A17,L_Status,"PROJETADO"))</f>
        <v>0</v>
      </c>
      <c r="O17" s="36" t="str">
        <f aca="false">IF($A17="","",$J17+$M17-$N17)</f>
        <v/>
      </c>
      <c r="P17" s="32"/>
      <c r="Q17" s="32"/>
    </row>
    <row r="18" customFormat="false" ht="15" hidden="false" customHeight="false" outlineLevel="0" collapsed="false">
      <c r="A18" s="30" t="str">
        <f aca="false">IF($B18="","","CON-"&amp;TEXT(ROW()-4,"000000"))</f>
        <v/>
      </c>
      <c r="B18" s="32"/>
      <c r="C18" s="32"/>
      <c r="D18" s="35" t="str">
        <f aca="false">IF($C18="","",IFERROR(INDEX(INS_ID,MATCH($C18,INS_NOME,0)),"?"))</f>
        <v/>
      </c>
      <c r="E18" s="32"/>
      <c r="F18" s="33"/>
      <c r="G18" s="31"/>
      <c r="H18" s="36" t="n">
        <f aca="false">IF($A18="",0,SUMIFS(L_Valor,L_DestTipo,"CONTA",L_DestID,$A18,L_Status,"REALIZADO"))</f>
        <v>0</v>
      </c>
      <c r="I18" s="36" t="n">
        <f aca="false">IF($A18="",0,SUMIFS(L_Valor,L_OrigTipo,"CONTA",L_OrigID,$A18,L_Status,"REALIZADO"))</f>
        <v>0</v>
      </c>
      <c r="J18" s="36" t="str">
        <f aca="false">IF($A18="","",$F18+$H18-$I18)</f>
        <v/>
      </c>
      <c r="K18" s="36" t="n">
        <f aca="false">IF($A18="",0,SUMIFS(MM_VALSINAL,MM_CONTA,$A18))</f>
        <v>0</v>
      </c>
      <c r="L18" s="36" t="str">
        <f aca="false">IF($A18="","",$J18-$K18)</f>
        <v/>
      </c>
      <c r="M18" s="36" t="n">
        <f aca="false">IF($A18="",0,SUMIFS(L_Valor,L_DestTipo,"CONTA",L_DestID,$A18,L_Status,"PROJETADO"))</f>
        <v>0</v>
      </c>
      <c r="N18" s="36" t="n">
        <f aca="false">IF($A18="",0,SUMIFS(L_Valor,L_OrigTipo,"CONTA",L_OrigID,$A18,L_Status,"PROJETADO"))</f>
        <v>0</v>
      </c>
      <c r="O18" s="36" t="str">
        <f aca="false">IF($A18="","",$J18+$M18-$N18)</f>
        <v/>
      </c>
      <c r="P18" s="32"/>
      <c r="Q18" s="32"/>
    </row>
    <row r="19" customFormat="false" ht="15" hidden="false" customHeight="false" outlineLevel="0" collapsed="false">
      <c r="A19" s="30" t="str">
        <f aca="false">IF($B19="","","CON-"&amp;TEXT(ROW()-4,"000000"))</f>
        <v/>
      </c>
      <c r="B19" s="32"/>
      <c r="C19" s="32"/>
      <c r="D19" s="35" t="str">
        <f aca="false">IF($C19="","",IFERROR(INDEX(INS_ID,MATCH($C19,INS_NOME,0)),"?"))</f>
        <v/>
      </c>
      <c r="E19" s="32"/>
      <c r="F19" s="33"/>
      <c r="G19" s="31"/>
      <c r="H19" s="36" t="n">
        <f aca="false">IF($A19="",0,SUMIFS(L_Valor,L_DestTipo,"CONTA",L_DestID,$A19,L_Status,"REALIZADO"))</f>
        <v>0</v>
      </c>
      <c r="I19" s="36" t="n">
        <f aca="false">IF($A19="",0,SUMIFS(L_Valor,L_OrigTipo,"CONTA",L_OrigID,$A19,L_Status,"REALIZADO"))</f>
        <v>0</v>
      </c>
      <c r="J19" s="36" t="str">
        <f aca="false">IF($A19="","",$F19+$H19-$I19)</f>
        <v/>
      </c>
      <c r="K19" s="36" t="n">
        <f aca="false">IF($A19="",0,SUMIFS(MM_VALSINAL,MM_CONTA,$A19))</f>
        <v>0</v>
      </c>
      <c r="L19" s="36" t="str">
        <f aca="false">IF($A19="","",$J19-$K19)</f>
        <v/>
      </c>
      <c r="M19" s="36" t="n">
        <f aca="false">IF($A19="",0,SUMIFS(L_Valor,L_DestTipo,"CONTA",L_DestID,$A19,L_Status,"PROJETADO"))</f>
        <v>0</v>
      </c>
      <c r="N19" s="36" t="n">
        <f aca="false">IF($A19="",0,SUMIFS(L_Valor,L_OrigTipo,"CONTA",L_OrigID,$A19,L_Status,"PROJETADO"))</f>
        <v>0</v>
      </c>
      <c r="O19" s="36" t="str">
        <f aca="false">IF($A19="","",$J19+$M19-$N19)</f>
        <v/>
      </c>
      <c r="P19" s="32"/>
      <c r="Q19" s="32"/>
    </row>
    <row r="20" customFormat="false" ht="15" hidden="false" customHeight="false" outlineLevel="0" collapsed="false">
      <c r="A20" s="30" t="str">
        <f aca="false">IF($B20="","","CON-"&amp;TEXT(ROW()-4,"000000"))</f>
        <v/>
      </c>
      <c r="B20" s="32"/>
      <c r="C20" s="32"/>
      <c r="D20" s="35" t="str">
        <f aca="false">IF($C20="","",IFERROR(INDEX(INS_ID,MATCH($C20,INS_NOME,0)),"?"))</f>
        <v/>
      </c>
      <c r="E20" s="32"/>
      <c r="F20" s="33"/>
      <c r="G20" s="31"/>
      <c r="H20" s="36" t="n">
        <f aca="false">IF($A20="",0,SUMIFS(L_Valor,L_DestTipo,"CONTA",L_DestID,$A20,L_Status,"REALIZADO"))</f>
        <v>0</v>
      </c>
      <c r="I20" s="36" t="n">
        <f aca="false">IF($A20="",0,SUMIFS(L_Valor,L_OrigTipo,"CONTA",L_OrigID,$A20,L_Status,"REALIZADO"))</f>
        <v>0</v>
      </c>
      <c r="J20" s="36" t="str">
        <f aca="false">IF($A20="","",$F20+$H20-$I20)</f>
        <v/>
      </c>
      <c r="K20" s="36" t="n">
        <f aca="false">IF($A20="",0,SUMIFS(MM_VALSINAL,MM_CONTA,$A20))</f>
        <v>0</v>
      </c>
      <c r="L20" s="36" t="str">
        <f aca="false">IF($A20="","",$J20-$K20)</f>
        <v/>
      </c>
      <c r="M20" s="36" t="n">
        <f aca="false">IF($A20="",0,SUMIFS(L_Valor,L_DestTipo,"CONTA",L_DestID,$A20,L_Status,"PROJETADO"))</f>
        <v>0</v>
      </c>
      <c r="N20" s="36" t="n">
        <f aca="false">IF($A20="",0,SUMIFS(L_Valor,L_OrigTipo,"CONTA",L_OrigID,$A20,L_Status,"PROJETADO"))</f>
        <v>0</v>
      </c>
      <c r="O20" s="36" t="str">
        <f aca="false">IF($A20="","",$J20+$M20-$N20)</f>
        <v/>
      </c>
      <c r="P20" s="32"/>
      <c r="Q20" s="32"/>
    </row>
    <row r="21" customFormat="false" ht="15" hidden="false" customHeight="false" outlineLevel="0" collapsed="false">
      <c r="A21" s="30" t="str">
        <f aca="false">IF($B21="","","CON-"&amp;TEXT(ROW()-4,"000000"))</f>
        <v/>
      </c>
      <c r="B21" s="32"/>
      <c r="C21" s="32"/>
      <c r="D21" s="35" t="str">
        <f aca="false">IF($C21="","",IFERROR(INDEX(INS_ID,MATCH($C21,INS_NOME,0)),"?"))</f>
        <v/>
      </c>
      <c r="E21" s="32"/>
      <c r="F21" s="33"/>
      <c r="G21" s="31"/>
      <c r="H21" s="36" t="n">
        <f aca="false">IF($A21="",0,SUMIFS(L_Valor,L_DestTipo,"CONTA",L_DestID,$A21,L_Status,"REALIZADO"))</f>
        <v>0</v>
      </c>
      <c r="I21" s="36" t="n">
        <f aca="false">IF($A21="",0,SUMIFS(L_Valor,L_OrigTipo,"CONTA",L_OrigID,$A21,L_Status,"REALIZADO"))</f>
        <v>0</v>
      </c>
      <c r="J21" s="36" t="str">
        <f aca="false">IF($A21="","",$F21+$H21-$I21)</f>
        <v/>
      </c>
      <c r="K21" s="36" t="n">
        <f aca="false">IF($A21="",0,SUMIFS(MM_VALSINAL,MM_CONTA,$A21))</f>
        <v>0</v>
      </c>
      <c r="L21" s="36" t="str">
        <f aca="false">IF($A21="","",$J21-$K21)</f>
        <v/>
      </c>
      <c r="M21" s="36" t="n">
        <f aca="false">IF($A21="",0,SUMIFS(L_Valor,L_DestTipo,"CONTA",L_DestID,$A21,L_Status,"PROJETADO"))</f>
        <v>0</v>
      </c>
      <c r="N21" s="36" t="n">
        <f aca="false">IF($A21="",0,SUMIFS(L_Valor,L_OrigTipo,"CONTA",L_OrigID,$A21,L_Status,"PROJETADO"))</f>
        <v>0</v>
      </c>
      <c r="O21" s="36" t="str">
        <f aca="false">IF($A21="","",$J21+$M21-$N21)</f>
        <v/>
      </c>
      <c r="P21" s="32"/>
      <c r="Q21" s="32"/>
    </row>
    <row r="22" customFormat="false" ht="15" hidden="false" customHeight="false" outlineLevel="0" collapsed="false">
      <c r="A22" s="30" t="str">
        <f aca="false">IF($B22="","","CON-"&amp;TEXT(ROW()-4,"000000"))</f>
        <v/>
      </c>
      <c r="B22" s="32"/>
      <c r="C22" s="32"/>
      <c r="D22" s="35" t="str">
        <f aca="false">IF($C22="","",IFERROR(INDEX(INS_ID,MATCH($C22,INS_NOME,0)),"?"))</f>
        <v/>
      </c>
      <c r="E22" s="32"/>
      <c r="F22" s="33"/>
      <c r="G22" s="31"/>
      <c r="H22" s="36" t="n">
        <f aca="false">IF($A22="",0,SUMIFS(L_Valor,L_DestTipo,"CONTA",L_DestID,$A22,L_Status,"REALIZADO"))</f>
        <v>0</v>
      </c>
      <c r="I22" s="36" t="n">
        <f aca="false">IF($A22="",0,SUMIFS(L_Valor,L_OrigTipo,"CONTA",L_OrigID,$A22,L_Status,"REALIZADO"))</f>
        <v>0</v>
      </c>
      <c r="J22" s="36" t="str">
        <f aca="false">IF($A22="","",$F22+$H22-$I22)</f>
        <v/>
      </c>
      <c r="K22" s="36" t="n">
        <f aca="false">IF($A22="",0,SUMIFS(MM_VALSINAL,MM_CONTA,$A22))</f>
        <v>0</v>
      </c>
      <c r="L22" s="36" t="str">
        <f aca="false">IF($A22="","",$J22-$K22)</f>
        <v/>
      </c>
      <c r="M22" s="36" t="n">
        <f aca="false">IF($A22="",0,SUMIFS(L_Valor,L_DestTipo,"CONTA",L_DestID,$A22,L_Status,"PROJETADO"))</f>
        <v>0</v>
      </c>
      <c r="N22" s="36" t="n">
        <f aca="false">IF($A22="",0,SUMIFS(L_Valor,L_OrigTipo,"CONTA",L_OrigID,$A22,L_Status,"PROJETADO"))</f>
        <v>0</v>
      </c>
      <c r="O22" s="36" t="str">
        <f aca="false">IF($A22="","",$J22+$M22-$N22)</f>
        <v/>
      </c>
      <c r="P22" s="32"/>
      <c r="Q22" s="32"/>
    </row>
    <row r="23" customFormat="false" ht="15" hidden="false" customHeight="false" outlineLevel="0" collapsed="false">
      <c r="A23" s="30" t="str">
        <f aca="false">IF($B23="","","CON-"&amp;TEXT(ROW()-4,"000000"))</f>
        <v/>
      </c>
      <c r="B23" s="32"/>
      <c r="C23" s="32"/>
      <c r="D23" s="35" t="str">
        <f aca="false">IF($C23="","",IFERROR(INDEX(INS_ID,MATCH($C23,INS_NOME,0)),"?"))</f>
        <v/>
      </c>
      <c r="E23" s="32"/>
      <c r="F23" s="33"/>
      <c r="G23" s="31"/>
      <c r="H23" s="36" t="n">
        <f aca="false">IF($A23="",0,SUMIFS(L_Valor,L_DestTipo,"CONTA",L_DestID,$A23,L_Status,"REALIZADO"))</f>
        <v>0</v>
      </c>
      <c r="I23" s="36" t="n">
        <f aca="false">IF($A23="",0,SUMIFS(L_Valor,L_OrigTipo,"CONTA",L_OrigID,$A23,L_Status,"REALIZADO"))</f>
        <v>0</v>
      </c>
      <c r="J23" s="36" t="str">
        <f aca="false">IF($A23="","",$F23+$H23-$I23)</f>
        <v/>
      </c>
      <c r="K23" s="36" t="n">
        <f aca="false">IF($A23="",0,SUMIFS(MM_VALSINAL,MM_CONTA,$A23))</f>
        <v>0</v>
      </c>
      <c r="L23" s="36" t="str">
        <f aca="false">IF($A23="","",$J23-$K23)</f>
        <v/>
      </c>
      <c r="M23" s="36" t="n">
        <f aca="false">IF($A23="",0,SUMIFS(L_Valor,L_DestTipo,"CONTA",L_DestID,$A23,L_Status,"PROJETADO"))</f>
        <v>0</v>
      </c>
      <c r="N23" s="36" t="n">
        <f aca="false">IF($A23="",0,SUMIFS(L_Valor,L_OrigTipo,"CONTA",L_OrigID,$A23,L_Status,"PROJETADO"))</f>
        <v>0</v>
      </c>
      <c r="O23" s="36" t="str">
        <f aca="false">IF($A23="","",$J23+$M23-$N23)</f>
        <v/>
      </c>
      <c r="P23" s="32"/>
      <c r="Q23" s="32"/>
    </row>
    <row r="24" customFormat="false" ht="15" hidden="false" customHeight="false" outlineLevel="0" collapsed="false">
      <c r="A24" s="30" t="str">
        <f aca="false">IF($B24="","","CON-"&amp;TEXT(ROW()-4,"000000"))</f>
        <v/>
      </c>
      <c r="B24" s="32"/>
      <c r="C24" s="32"/>
      <c r="D24" s="35" t="str">
        <f aca="false">IF($C24="","",IFERROR(INDEX(INS_ID,MATCH($C24,INS_NOME,0)),"?"))</f>
        <v/>
      </c>
      <c r="E24" s="32"/>
      <c r="F24" s="33"/>
      <c r="G24" s="31"/>
      <c r="H24" s="36" t="n">
        <f aca="false">IF($A24="",0,SUMIFS(L_Valor,L_DestTipo,"CONTA",L_DestID,$A24,L_Status,"REALIZADO"))</f>
        <v>0</v>
      </c>
      <c r="I24" s="36" t="n">
        <f aca="false">IF($A24="",0,SUMIFS(L_Valor,L_OrigTipo,"CONTA",L_OrigID,$A24,L_Status,"REALIZADO"))</f>
        <v>0</v>
      </c>
      <c r="J24" s="36" t="str">
        <f aca="false">IF($A24="","",$F24+$H24-$I24)</f>
        <v/>
      </c>
      <c r="K24" s="36" t="n">
        <f aca="false">IF($A24="",0,SUMIFS(MM_VALSINAL,MM_CONTA,$A24))</f>
        <v>0</v>
      </c>
      <c r="L24" s="36" t="str">
        <f aca="false">IF($A24="","",$J24-$K24)</f>
        <v/>
      </c>
      <c r="M24" s="36" t="n">
        <f aca="false">IF($A24="",0,SUMIFS(L_Valor,L_DestTipo,"CONTA",L_DestID,$A24,L_Status,"PROJETADO"))</f>
        <v>0</v>
      </c>
      <c r="N24" s="36" t="n">
        <f aca="false">IF($A24="",0,SUMIFS(L_Valor,L_OrigTipo,"CONTA",L_OrigID,$A24,L_Status,"PROJETADO"))</f>
        <v>0</v>
      </c>
      <c r="O24" s="36" t="str">
        <f aca="false">IF($A24="","",$J24+$M24-$N24)</f>
        <v/>
      </c>
      <c r="P24" s="32"/>
      <c r="Q24" s="32"/>
    </row>
    <row r="25" customFormat="false" ht="15" hidden="false" customHeight="false" outlineLevel="0" collapsed="false">
      <c r="A25" s="30" t="str">
        <f aca="false">IF($B25="","","CON-"&amp;TEXT(ROW()-4,"000000"))</f>
        <v/>
      </c>
      <c r="B25" s="32"/>
      <c r="C25" s="32"/>
      <c r="D25" s="35" t="str">
        <f aca="false">IF($C25="","",IFERROR(INDEX(INS_ID,MATCH($C25,INS_NOME,0)),"?"))</f>
        <v/>
      </c>
      <c r="E25" s="32"/>
      <c r="F25" s="33"/>
      <c r="G25" s="31"/>
      <c r="H25" s="36" t="n">
        <f aca="false">IF($A25="",0,SUMIFS(L_Valor,L_DestTipo,"CONTA",L_DestID,$A25,L_Status,"REALIZADO"))</f>
        <v>0</v>
      </c>
      <c r="I25" s="36" t="n">
        <f aca="false">IF($A25="",0,SUMIFS(L_Valor,L_OrigTipo,"CONTA",L_OrigID,$A25,L_Status,"REALIZADO"))</f>
        <v>0</v>
      </c>
      <c r="J25" s="36" t="str">
        <f aca="false">IF($A25="","",$F25+$H25-$I25)</f>
        <v/>
      </c>
      <c r="K25" s="36" t="n">
        <f aca="false">IF($A25="",0,SUMIFS(MM_VALSINAL,MM_CONTA,$A25))</f>
        <v>0</v>
      </c>
      <c r="L25" s="36" t="str">
        <f aca="false">IF($A25="","",$J25-$K25)</f>
        <v/>
      </c>
      <c r="M25" s="36" t="n">
        <f aca="false">IF($A25="",0,SUMIFS(L_Valor,L_DestTipo,"CONTA",L_DestID,$A25,L_Status,"PROJETADO"))</f>
        <v>0</v>
      </c>
      <c r="N25" s="36" t="n">
        <f aca="false">IF($A25="",0,SUMIFS(L_Valor,L_OrigTipo,"CONTA",L_OrigID,$A25,L_Status,"PROJETADO"))</f>
        <v>0</v>
      </c>
      <c r="O25" s="36" t="str">
        <f aca="false">IF($A25="","",$J25+$M25-$N25)</f>
        <v/>
      </c>
      <c r="P25" s="32"/>
      <c r="Q25" s="32"/>
    </row>
    <row r="26" customFormat="false" ht="15" hidden="false" customHeight="false" outlineLevel="0" collapsed="false">
      <c r="A26" s="30" t="str">
        <f aca="false">IF($B26="","","CON-"&amp;TEXT(ROW()-4,"000000"))</f>
        <v/>
      </c>
      <c r="B26" s="32"/>
      <c r="C26" s="32"/>
      <c r="D26" s="35" t="str">
        <f aca="false">IF($C26="","",IFERROR(INDEX(INS_ID,MATCH($C26,INS_NOME,0)),"?"))</f>
        <v/>
      </c>
      <c r="E26" s="32"/>
      <c r="F26" s="33"/>
      <c r="G26" s="31"/>
      <c r="H26" s="36" t="n">
        <f aca="false">IF($A26="",0,SUMIFS(L_Valor,L_DestTipo,"CONTA",L_DestID,$A26,L_Status,"REALIZADO"))</f>
        <v>0</v>
      </c>
      <c r="I26" s="36" t="n">
        <f aca="false">IF($A26="",0,SUMIFS(L_Valor,L_OrigTipo,"CONTA",L_OrigID,$A26,L_Status,"REALIZADO"))</f>
        <v>0</v>
      </c>
      <c r="J26" s="36" t="str">
        <f aca="false">IF($A26="","",$F26+$H26-$I26)</f>
        <v/>
      </c>
      <c r="K26" s="36" t="n">
        <f aca="false">IF($A26="",0,SUMIFS(MM_VALSINAL,MM_CONTA,$A26))</f>
        <v>0</v>
      </c>
      <c r="L26" s="36" t="str">
        <f aca="false">IF($A26="","",$J26-$K26)</f>
        <v/>
      </c>
      <c r="M26" s="36" t="n">
        <f aca="false">IF($A26="",0,SUMIFS(L_Valor,L_DestTipo,"CONTA",L_DestID,$A26,L_Status,"PROJETADO"))</f>
        <v>0</v>
      </c>
      <c r="N26" s="36" t="n">
        <f aca="false">IF($A26="",0,SUMIFS(L_Valor,L_OrigTipo,"CONTA",L_OrigID,$A26,L_Status,"PROJETADO"))</f>
        <v>0</v>
      </c>
      <c r="O26" s="36" t="str">
        <f aca="false">IF($A26="","",$J26+$M26-$N26)</f>
        <v/>
      </c>
      <c r="P26" s="32"/>
      <c r="Q26" s="32"/>
    </row>
    <row r="27" customFormat="false" ht="15" hidden="false" customHeight="false" outlineLevel="0" collapsed="false">
      <c r="A27" s="30" t="str">
        <f aca="false">IF($B27="","","CON-"&amp;TEXT(ROW()-4,"000000"))</f>
        <v/>
      </c>
      <c r="B27" s="32"/>
      <c r="C27" s="32"/>
      <c r="D27" s="35" t="str">
        <f aca="false">IF($C27="","",IFERROR(INDEX(INS_ID,MATCH($C27,INS_NOME,0)),"?"))</f>
        <v/>
      </c>
      <c r="E27" s="32"/>
      <c r="F27" s="33"/>
      <c r="G27" s="31"/>
      <c r="H27" s="36" t="n">
        <f aca="false">IF($A27="",0,SUMIFS(L_Valor,L_DestTipo,"CONTA",L_DestID,$A27,L_Status,"REALIZADO"))</f>
        <v>0</v>
      </c>
      <c r="I27" s="36" t="n">
        <f aca="false">IF($A27="",0,SUMIFS(L_Valor,L_OrigTipo,"CONTA",L_OrigID,$A27,L_Status,"REALIZADO"))</f>
        <v>0</v>
      </c>
      <c r="J27" s="36" t="str">
        <f aca="false">IF($A27="","",$F27+$H27-$I27)</f>
        <v/>
      </c>
      <c r="K27" s="36" t="n">
        <f aca="false">IF($A27="",0,SUMIFS(MM_VALSINAL,MM_CONTA,$A27))</f>
        <v>0</v>
      </c>
      <c r="L27" s="36" t="str">
        <f aca="false">IF($A27="","",$J27-$K27)</f>
        <v/>
      </c>
      <c r="M27" s="36" t="n">
        <f aca="false">IF($A27="",0,SUMIFS(L_Valor,L_DestTipo,"CONTA",L_DestID,$A27,L_Status,"PROJETADO"))</f>
        <v>0</v>
      </c>
      <c r="N27" s="36" t="n">
        <f aca="false">IF($A27="",0,SUMIFS(L_Valor,L_OrigTipo,"CONTA",L_OrigID,$A27,L_Status,"PROJETADO"))</f>
        <v>0</v>
      </c>
      <c r="O27" s="36" t="str">
        <f aca="false">IF($A27="","",$J27+$M27-$N27)</f>
        <v/>
      </c>
      <c r="P27" s="32"/>
      <c r="Q27" s="32"/>
    </row>
    <row r="28" customFormat="false" ht="15" hidden="false" customHeight="false" outlineLevel="0" collapsed="false">
      <c r="A28" s="30" t="str">
        <f aca="false">IF($B28="","","CON-"&amp;TEXT(ROW()-4,"000000"))</f>
        <v/>
      </c>
      <c r="B28" s="32"/>
      <c r="C28" s="32"/>
      <c r="D28" s="35" t="str">
        <f aca="false">IF($C28="","",IFERROR(INDEX(INS_ID,MATCH($C28,INS_NOME,0)),"?"))</f>
        <v/>
      </c>
      <c r="E28" s="32"/>
      <c r="F28" s="33"/>
      <c r="G28" s="31"/>
      <c r="H28" s="36" t="n">
        <f aca="false">IF($A28="",0,SUMIFS(L_Valor,L_DestTipo,"CONTA",L_DestID,$A28,L_Status,"REALIZADO"))</f>
        <v>0</v>
      </c>
      <c r="I28" s="36" t="n">
        <f aca="false">IF($A28="",0,SUMIFS(L_Valor,L_OrigTipo,"CONTA",L_OrigID,$A28,L_Status,"REALIZADO"))</f>
        <v>0</v>
      </c>
      <c r="J28" s="36" t="str">
        <f aca="false">IF($A28="","",$F28+$H28-$I28)</f>
        <v/>
      </c>
      <c r="K28" s="36" t="n">
        <f aca="false">IF($A28="",0,SUMIFS(MM_VALSINAL,MM_CONTA,$A28))</f>
        <v>0</v>
      </c>
      <c r="L28" s="36" t="str">
        <f aca="false">IF($A28="","",$J28-$K28)</f>
        <v/>
      </c>
      <c r="M28" s="36" t="n">
        <f aca="false">IF($A28="",0,SUMIFS(L_Valor,L_DestTipo,"CONTA",L_DestID,$A28,L_Status,"PROJETADO"))</f>
        <v>0</v>
      </c>
      <c r="N28" s="36" t="n">
        <f aca="false">IF($A28="",0,SUMIFS(L_Valor,L_OrigTipo,"CONTA",L_OrigID,$A28,L_Status,"PROJETADO"))</f>
        <v>0</v>
      </c>
      <c r="O28" s="36" t="str">
        <f aca="false">IF($A28="","",$J28+$M28-$N28)</f>
        <v/>
      </c>
      <c r="P28" s="32"/>
      <c r="Q28" s="32"/>
    </row>
    <row r="29" customFormat="false" ht="15" hidden="false" customHeight="false" outlineLevel="0" collapsed="false">
      <c r="A29" s="30" t="str">
        <f aca="false">IF($B29="","","CON-"&amp;TEXT(ROW()-4,"000000"))</f>
        <v/>
      </c>
      <c r="B29" s="32"/>
      <c r="C29" s="32"/>
      <c r="D29" s="35" t="str">
        <f aca="false">IF($C29="","",IFERROR(INDEX(INS_ID,MATCH($C29,INS_NOME,0)),"?"))</f>
        <v/>
      </c>
      <c r="E29" s="32"/>
      <c r="F29" s="33"/>
      <c r="G29" s="31"/>
      <c r="H29" s="36" t="n">
        <f aca="false">IF($A29="",0,SUMIFS(L_Valor,L_DestTipo,"CONTA",L_DestID,$A29,L_Status,"REALIZADO"))</f>
        <v>0</v>
      </c>
      <c r="I29" s="36" t="n">
        <f aca="false">IF($A29="",0,SUMIFS(L_Valor,L_OrigTipo,"CONTA",L_OrigID,$A29,L_Status,"REALIZADO"))</f>
        <v>0</v>
      </c>
      <c r="J29" s="36" t="str">
        <f aca="false">IF($A29="","",$F29+$H29-$I29)</f>
        <v/>
      </c>
      <c r="K29" s="36" t="n">
        <f aca="false">IF($A29="",0,SUMIFS(MM_VALSINAL,MM_CONTA,$A29))</f>
        <v>0</v>
      </c>
      <c r="L29" s="36" t="str">
        <f aca="false">IF($A29="","",$J29-$K29)</f>
        <v/>
      </c>
      <c r="M29" s="36" t="n">
        <f aca="false">IF($A29="",0,SUMIFS(L_Valor,L_DestTipo,"CONTA",L_DestID,$A29,L_Status,"PROJETADO"))</f>
        <v>0</v>
      </c>
      <c r="N29" s="36" t="n">
        <f aca="false">IF($A29="",0,SUMIFS(L_Valor,L_OrigTipo,"CONTA",L_OrigID,$A29,L_Status,"PROJETADO"))</f>
        <v>0</v>
      </c>
      <c r="O29" s="36" t="str">
        <f aca="false">IF($A29="","",$J29+$M29-$N29)</f>
        <v/>
      </c>
      <c r="P29" s="32"/>
      <c r="Q29" s="32"/>
    </row>
    <row r="30" customFormat="false" ht="15" hidden="false" customHeight="false" outlineLevel="0" collapsed="false">
      <c r="A30" s="30" t="str">
        <f aca="false">IF($B30="","","CON-"&amp;TEXT(ROW()-4,"000000"))</f>
        <v/>
      </c>
      <c r="B30" s="32"/>
      <c r="C30" s="32"/>
      <c r="D30" s="35" t="str">
        <f aca="false">IF($C30="","",IFERROR(INDEX(INS_ID,MATCH($C30,INS_NOME,0)),"?"))</f>
        <v/>
      </c>
      <c r="E30" s="32"/>
      <c r="F30" s="33"/>
      <c r="G30" s="31"/>
      <c r="H30" s="36" t="n">
        <f aca="false">IF($A30="",0,SUMIFS(L_Valor,L_DestTipo,"CONTA",L_DestID,$A30,L_Status,"REALIZADO"))</f>
        <v>0</v>
      </c>
      <c r="I30" s="36" t="n">
        <f aca="false">IF($A30="",0,SUMIFS(L_Valor,L_OrigTipo,"CONTA",L_OrigID,$A30,L_Status,"REALIZADO"))</f>
        <v>0</v>
      </c>
      <c r="J30" s="36" t="str">
        <f aca="false">IF($A30="","",$F30+$H30-$I30)</f>
        <v/>
      </c>
      <c r="K30" s="36" t="n">
        <f aca="false">IF($A30="",0,SUMIFS(MM_VALSINAL,MM_CONTA,$A30))</f>
        <v>0</v>
      </c>
      <c r="L30" s="36" t="str">
        <f aca="false">IF($A30="","",$J30-$K30)</f>
        <v/>
      </c>
      <c r="M30" s="36" t="n">
        <f aca="false">IF($A30="",0,SUMIFS(L_Valor,L_DestTipo,"CONTA",L_DestID,$A30,L_Status,"PROJETADO"))</f>
        <v>0</v>
      </c>
      <c r="N30" s="36" t="n">
        <f aca="false">IF($A30="",0,SUMIFS(L_Valor,L_OrigTipo,"CONTA",L_OrigID,$A30,L_Status,"PROJETADO"))</f>
        <v>0</v>
      </c>
      <c r="O30" s="36" t="str">
        <f aca="false">IF($A30="","",$J30+$M30-$N30)</f>
        <v/>
      </c>
      <c r="P30" s="32"/>
      <c r="Q30" s="32"/>
    </row>
    <row r="31" customFormat="false" ht="15" hidden="false" customHeight="false" outlineLevel="0" collapsed="false">
      <c r="A31" s="30" t="str">
        <f aca="false">IF($B31="","","CON-"&amp;TEXT(ROW()-4,"000000"))</f>
        <v/>
      </c>
      <c r="B31" s="32"/>
      <c r="C31" s="32"/>
      <c r="D31" s="35" t="str">
        <f aca="false">IF($C31="","",IFERROR(INDEX(INS_ID,MATCH($C31,INS_NOME,0)),"?"))</f>
        <v/>
      </c>
      <c r="E31" s="32"/>
      <c r="F31" s="33"/>
      <c r="G31" s="31"/>
      <c r="H31" s="36" t="n">
        <f aca="false">IF($A31="",0,SUMIFS(L_Valor,L_DestTipo,"CONTA",L_DestID,$A31,L_Status,"REALIZADO"))</f>
        <v>0</v>
      </c>
      <c r="I31" s="36" t="n">
        <f aca="false">IF($A31="",0,SUMIFS(L_Valor,L_OrigTipo,"CONTA",L_OrigID,$A31,L_Status,"REALIZADO"))</f>
        <v>0</v>
      </c>
      <c r="J31" s="36" t="str">
        <f aca="false">IF($A31="","",$F31+$H31-$I31)</f>
        <v/>
      </c>
      <c r="K31" s="36" t="n">
        <f aca="false">IF($A31="",0,SUMIFS(MM_VALSINAL,MM_CONTA,$A31))</f>
        <v>0</v>
      </c>
      <c r="L31" s="36" t="str">
        <f aca="false">IF($A31="","",$J31-$K31)</f>
        <v/>
      </c>
      <c r="M31" s="36" t="n">
        <f aca="false">IF($A31="",0,SUMIFS(L_Valor,L_DestTipo,"CONTA",L_DestID,$A31,L_Status,"PROJETADO"))</f>
        <v>0</v>
      </c>
      <c r="N31" s="36" t="n">
        <f aca="false">IF($A31="",0,SUMIFS(L_Valor,L_OrigTipo,"CONTA",L_OrigID,$A31,L_Status,"PROJETADO"))</f>
        <v>0</v>
      </c>
      <c r="O31" s="36" t="str">
        <f aca="false">IF($A31="","",$J31+$M31-$N31)</f>
        <v/>
      </c>
      <c r="P31" s="32"/>
      <c r="Q31" s="32"/>
    </row>
    <row r="32" customFormat="false" ht="15" hidden="false" customHeight="false" outlineLevel="0" collapsed="false">
      <c r="A32" s="30" t="str">
        <f aca="false">IF($B32="","","CON-"&amp;TEXT(ROW()-4,"000000"))</f>
        <v/>
      </c>
      <c r="B32" s="32"/>
      <c r="C32" s="32"/>
      <c r="D32" s="35" t="str">
        <f aca="false">IF($C32="","",IFERROR(INDEX(INS_ID,MATCH($C32,INS_NOME,0)),"?"))</f>
        <v/>
      </c>
      <c r="E32" s="32"/>
      <c r="F32" s="33"/>
      <c r="G32" s="31"/>
      <c r="H32" s="36" t="n">
        <f aca="false">IF($A32="",0,SUMIFS(L_Valor,L_DestTipo,"CONTA",L_DestID,$A32,L_Status,"REALIZADO"))</f>
        <v>0</v>
      </c>
      <c r="I32" s="36" t="n">
        <f aca="false">IF($A32="",0,SUMIFS(L_Valor,L_OrigTipo,"CONTA",L_OrigID,$A32,L_Status,"REALIZADO"))</f>
        <v>0</v>
      </c>
      <c r="J32" s="36" t="str">
        <f aca="false">IF($A32="","",$F32+$H32-$I32)</f>
        <v/>
      </c>
      <c r="K32" s="36" t="n">
        <f aca="false">IF($A32="",0,SUMIFS(MM_VALSINAL,MM_CONTA,$A32))</f>
        <v>0</v>
      </c>
      <c r="L32" s="36" t="str">
        <f aca="false">IF($A32="","",$J32-$K32)</f>
        <v/>
      </c>
      <c r="M32" s="36" t="n">
        <f aca="false">IF($A32="",0,SUMIFS(L_Valor,L_DestTipo,"CONTA",L_DestID,$A32,L_Status,"PROJETADO"))</f>
        <v>0</v>
      </c>
      <c r="N32" s="36" t="n">
        <f aca="false">IF($A32="",0,SUMIFS(L_Valor,L_OrigTipo,"CONTA",L_OrigID,$A32,L_Status,"PROJETADO"))</f>
        <v>0</v>
      </c>
      <c r="O32" s="36" t="str">
        <f aca="false">IF($A32="","",$J32+$M32-$N32)</f>
        <v/>
      </c>
      <c r="P32" s="32"/>
      <c r="Q32" s="32"/>
    </row>
    <row r="33" customFormat="false" ht="15" hidden="false" customHeight="false" outlineLevel="0" collapsed="false">
      <c r="A33" s="30" t="str">
        <f aca="false">IF($B33="","","CON-"&amp;TEXT(ROW()-4,"000000"))</f>
        <v/>
      </c>
      <c r="B33" s="32"/>
      <c r="C33" s="32"/>
      <c r="D33" s="35" t="str">
        <f aca="false">IF($C33="","",IFERROR(INDEX(INS_ID,MATCH($C33,INS_NOME,0)),"?"))</f>
        <v/>
      </c>
      <c r="E33" s="32"/>
      <c r="F33" s="33"/>
      <c r="G33" s="31"/>
      <c r="H33" s="36" t="n">
        <f aca="false">IF($A33="",0,SUMIFS(L_Valor,L_DestTipo,"CONTA",L_DestID,$A33,L_Status,"REALIZADO"))</f>
        <v>0</v>
      </c>
      <c r="I33" s="36" t="n">
        <f aca="false">IF($A33="",0,SUMIFS(L_Valor,L_OrigTipo,"CONTA",L_OrigID,$A33,L_Status,"REALIZADO"))</f>
        <v>0</v>
      </c>
      <c r="J33" s="36" t="str">
        <f aca="false">IF($A33="","",$F33+$H33-$I33)</f>
        <v/>
      </c>
      <c r="K33" s="36" t="n">
        <f aca="false">IF($A33="",0,SUMIFS(MM_VALSINAL,MM_CONTA,$A33))</f>
        <v>0</v>
      </c>
      <c r="L33" s="36" t="str">
        <f aca="false">IF($A33="","",$J33-$K33)</f>
        <v/>
      </c>
      <c r="M33" s="36" t="n">
        <f aca="false">IF($A33="",0,SUMIFS(L_Valor,L_DestTipo,"CONTA",L_DestID,$A33,L_Status,"PROJETADO"))</f>
        <v>0</v>
      </c>
      <c r="N33" s="36" t="n">
        <f aca="false">IF($A33="",0,SUMIFS(L_Valor,L_OrigTipo,"CONTA",L_OrigID,$A33,L_Status,"PROJETADO"))</f>
        <v>0</v>
      </c>
      <c r="O33" s="36" t="str">
        <f aca="false">IF($A33="","",$J33+$M33-$N33)</f>
        <v/>
      </c>
      <c r="P33" s="32"/>
      <c r="Q33" s="32"/>
    </row>
    <row r="34" customFormat="false" ht="15" hidden="false" customHeight="false" outlineLevel="0" collapsed="false">
      <c r="A34" s="30" t="str">
        <f aca="false">IF($B34="","","CON-"&amp;TEXT(ROW()-4,"000000"))</f>
        <v/>
      </c>
      <c r="B34" s="32"/>
      <c r="C34" s="32"/>
      <c r="D34" s="35" t="str">
        <f aca="false">IF($C34="","",IFERROR(INDEX(INS_ID,MATCH($C34,INS_NOME,0)),"?"))</f>
        <v/>
      </c>
      <c r="E34" s="32"/>
      <c r="F34" s="33"/>
      <c r="G34" s="31"/>
      <c r="H34" s="36" t="n">
        <f aca="false">IF($A34="",0,SUMIFS(L_Valor,L_DestTipo,"CONTA",L_DestID,$A34,L_Status,"REALIZADO"))</f>
        <v>0</v>
      </c>
      <c r="I34" s="36" t="n">
        <f aca="false">IF($A34="",0,SUMIFS(L_Valor,L_OrigTipo,"CONTA",L_OrigID,$A34,L_Status,"REALIZADO"))</f>
        <v>0</v>
      </c>
      <c r="J34" s="36" t="str">
        <f aca="false">IF($A34="","",$F34+$H34-$I34)</f>
        <v/>
      </c>
      <c r="K34" s="36" t="n">
        <f aca="false">IF($A34="",0,SUMIFS(MM_VALSINAL,MM_CONTA,$A34))</f>
        <v>0</v>
      </c>
      <c r="L34" s="36" t="str">
        <f aca="false">IF($A34="","",$J34-$K34)</f>
        <v/>
      </c>
      <c r="M34" s="36" t="n">
        <f aca="false">IF($A34="",0,SUMIFS(L_Valor,L_DestTipo,"CONTA",L_DestID,$A34,L_Status,"PROJETADO"))</f>
        <v>0</v>
      </c>
      <c r="N34" s="36" t="n">
        <f aca="false">IF($A34="",0,SUMIFS(L_Valor,L_OrigTipo,"CONTA",L_OrigID,$A34,L_Status,"PROJETADO"))</f>
        <v>0</v>
      </c>
      <c r="O34" s="36" t="str">
        <f aca="false">IF($A34="","",$J34+$M34-$N34)</f>
        <v/>
      </c>
      <c r="P34" s="32"/>
      <c r="Q34" s="32"/>
    </row>
    <row r="35" customFormat="false" ht="15" hidden="false" customHeight="false" outlineLevel="0" collapsed="false">
      <c r="A35" s="30" t="str">
        <f aca="false">IF($B35="","","CON-"&amp;TEXT(ROW()-4,"000000"))</f>
        <v/>
      </c>
      <c r="B35" s="32"/>
      <c r="C35" s="32"/>
      <c r="D35" s="35" t="str">
        <f aca="false">IF($C35="","",IFERROR(INDEX(INS_ID,MATCH($C35,INS_NOME,0)),"?"))</f>
        <v/>
      </c>
      <c r="E35" s="32"/>
      <c r="F35" s="33"/>
      <c r="G35" s="31"/>
      <c r="H35" s="36" t="n">
        <f aca="false">IF($A35="",0,SUMIFS(L_Valor,L_DestTipo,"CONTA",L_DestID,$A35,L_Status,"REALIZADO"))</f>
        <v>0</v>
      </c>
      <c r="I35" s="36" t="n">
        <f aca="false">IF($A35="",0,SUMIFS(L_Valor,L_OrigTipo,"CONTA",L_OrigID,$A35,L_Status,"REALIZADO"))</f>
        <v>0</v>
      </c>
      <c r="J35" s="36" t="str">
        <f aca="false">IF($A35="","",$F35+$H35-$I35)</f>
        <v/>
      </c>
      <c r="K35" s="36" t="n">
        <f aca="false">IF($A35="",0,SUMIFS(MM_VALSINAL,MM_CONTA,$A35))</f>
        <v>0</v>
      </c>
      <c r="L35" s="36" t="str">
        <f aca="false">IF($A35="","",$J35-$K35)</f>
        <v/>
      </c>
      <c r="M35" s="36" t="n">
        <f aca="false">IF($A35="",0,SUMIFS(L_Valor,L_DestTipo,"CONTA",L_DestID,$A35,L_Status,"PROJETADO"))</f>
        <v>0</v>
      </c>
      <c r="N35" s="36" t="n">
        <f aca="false">IF($A35="",0,SUMIFS(L_Valor,L_OrigTipo,"CONTA",L_OrigID,$A35,L_Status,"PROJETADO"))</f>
        <v>0</v>
      </c>
      <c r="O35" s="36" t="str">
        <f aca="false">IF($A35="","",$J35+$M35-$N35)</f>
        <v/>
      </c>
      <c r="P35" s="32"/>
      <c r="Q35" s="32"/>
    </row>
    <row r="36" customFormat="false" ht="15" hidden="false" customHeight="false" outlineLevel="0" collapsed="false">
      <c r="A36" s="30" t="str">
        <f aca="false">IF($B36="","","CON-"&amp;TEXT(ROW()-4,"000000"))</f>
        <v/>
      </c>
      <c r="B36" s="32"/>
      <c r="C36" s="32"/>
      <c r="D36" s="35" t="str">
        <f aca="false">IF($C36="","",IFERROR(INDEX(INS_ID,MATCH($C36,INS_NOME,0)),"?"))</f>
        <v/>
      </c>
      <c r="E36" s="32"/>
      <c r="F36" s="33"/>
      <c r="G36" s="31"/>
      <c r="H36" s="36" t="n">
        <f aca="false">IF($A36="",0,SUMIFS(L_Valor,L_DestTipo,"CONTA",L_DestID,$A36,L_Status,"REALIZADO"))</f>
        <v>0</v>
      </c>
      <c r="I36" s="36" t="n">
        <f aca="false">IF($A36="",0,SUMIFS(L_Valor,L_OrigTipo,"CONTA",L_OrigID,$A36,L_Status,"REALIZADO"))</f>
        <v>0</v>
      </c>
      <c r="J36" s="36" t="str">
        <f aca="false">IF($A36="","",$F36+$H36-$I36)</f>
        <v/>
      </c>
      <c r="K36" s="36" t="n">
        <f aca="false">IF($A36="",0,SUMIFS(MM_VALSINAL,MM_CONTA,$A36))</f>
        <v>0</v>
      </c>
      <c r="L36" s="36" t="str">
        <f aca="false">IF($A36="","",$J36-$K36)</f>
        <v/>
      </c>
      <c r="M36" s="36" t="n">
        <f aca="false">IF($A36="",0,SUMIFS(L_Valor,L_DestTipo,"CONTA",L_DestID,$A36,L_Status,"PROJETADO"))</f>
        <v>0</v>
      </c>
      <c r="N36" s="36" t="n">
        <f aca="false">IF($A36="",0,SUMIFS(L_Valor,L_OrigTipo,"CONTA",L_OrigID,$A36,L_Status,"PROJETADO"))</f>
        <v>0</v>
      </c>
      <c r="O36" s="36" t="str">
        <f aca="false">IF($A36="","",$J36+$M36-$N36)</f>
        <v/>
      </c>
      <c r="P36" s="32"/>
      <c r="Q36" s="32"/>
    </row>
    <row r="37" customFormat="false" ht="15" hidden="false" customHeight="false" outlineLevel="0" collapsed="false">
      <c r="A37" s="30" t="str">
        <f aca="false">IF($B37="","","CON-"&amp;TEXT(ROW()-4,"000000"))</f>
        <v/>
      </c>
      <c r="B37" s="32"/>
      <c r="C37" s="32"/>
      <c r="D37" s="35" t="str">
        <f aca="false">IF($C37="","",IFERROR(INDEX(INS_ID,MATCH($C37,INS_NOME,0)),"?"))</f>
        <v/>
      </c>
      <c r="E37" s="32"/>
      <c r="F37" s="33"/>
      <c r="G37" s="31"/>
      <c r="H37" s="36" t="n">
        <f aca="false">IF($A37="",0,SUMIFS(L_Valor,L_DestTipo,"CONTA",L_DestID,$A37,L_Status,"REALIZADO"))</f>
        <v>0</v>
      </c>
      <c r="I37" s="36" t="n">
        <f aca="false">IF($A37="",0,SUMIFS(L_Valor,L_OrigTipo,"CONTA",L_OrigID,$A37,L_Status,"REALIZADO"))</f>
        <v>0</v>
      </c>
      <c r="J37" s="36" t="str">
        <f aca="false">IF($A37="","",$F37+$H37-$I37)</f>
        <v/>
      </c>
      <c r="K37" s="36" t="n">
        <f aca="false">IF($A37="",0,SUMIFS(MM_VALSINAL,MM_CONTA,$A37))</f>
        <v>0</v>
      </c>
      <c r="L37" s="36" t="str">
        <f aca="false">IF($A37="","",$J37-$K37)</f>
        <v/>
      </c>
      <c r="M37" s="36" t="n">
        <f aca="false">IF($A37="",0,SUMIFS(L_Valor,L_DestTipo,"CONTA",L_DestID,$A37,L_Status,"PROJETADO"))</f>
        <v>0</v>
      </c>
      <c r="N37" s="36" t="n">
        <f aca="false">IF($A37="",0,SUMIFS(L_Valor,L_OrigTipo,"CONTA",L_OrigID,$A37,L_Status,"PROJETADO"))</f>
        <v>0</v>
      </c>
      <c r="O37" s="36" t="str">
        <f aca="false">IF($A37="","",$J37+$M37-$N37)</f>
        <v/>
      </c>
      <c r="P37" s="32"/>
      <c r="Q37" s="32"/>
    </row>
    <row r="38" customFormat="false" ht="15" hidden="false" customHeight="false" outlineLevel="0" collapsed="false">
      <c r="A38" s="30" t="str">
        <f aca="false">IF($B38="","","CON-"&amp;TEXT(ROW()-4,"000000"))</f>
        <v/>
      </c>
      <c r="B38" s="32"/>
      <c r="C38" s="32"/>
      <c r="D38" s="35" t="str">
        <f aca="false">IF($C38="","",IFERROR(INDEX(INS_ID,MATCH($C38,INS_NOME,0)),"?"))</f>
        <v/>
      </c>
      <c r="E38" s="32"/>
      <c r="F38" s="33"/>
      <c r="G38" s="31"/>
      <c r="H38" s="36" t="n">
        <f aca="false">IF($A38="",0,SUMIFS(L_Valor,L_DestTipo,"CONTA",L_DestID,$A38,L_Status,"REALIZADO"))</f>
        <v>0</v>
      </c>
      <c r="I38" s="36" t="n">
        <f aca="false">IF($A38="",0,SUMIFS(L_Valor,L_OrigTipo,"CONTA",L_OrigID,$A38,L_Status,"REALIZADO"))</f>
        <v>0</v>
      </c>
      <c r="J38" s="36" t="str">
        <f aca="false">IF($A38="","",$F38+$H38-$I38)</f>
        <v/>
      </c>
      <c r="K38" s="36" t="n">
        <f aca="false">IF($A38="",0,SUMIFS(MM_VALSINAL,MM_CONTA,$A38))</f>
        <v>0</v>
      </c>
      <c r="L38" s="36" t="str">
        <f aca="false">IF($A38="","",$J38-$K38)</f>
        <v/>
      </c>
      <c r="M38" s="36" t="n">
        <f aca="false">IF($A38="",0,SUMIFS(L_Valor,L_DestTipo,"CONTA",L_DestID,$A38,L_Status,"PROJETADO"))</f>
        <v>0</v>
      </c>
      <c r="N38" s="36" t="n">
        <f aca="false">IF($A38="",0,SUMIFS(L_Valor,L_OrigTipo,"CONTA",L_OrigID,$A38,L_Status,"PROJETADO"))</f>
        <v>0</v>
      </c>
      <c r="O38" s="36" t="str">
        <f aca="false">IF($A38="","",$J38+$M38-$N38)</f>
        <v/>
      </c>
      <c r="P38" s="32"/>
      <c r="Q38" s="32"/>
    </row>
    <row r="39" customFormat="false" ht="15" hidden="false" customHeight="false" outlineLevel="0" collapsed="false">
      <c r="A39" s="30" t="str">
        <f aca="false">IF($B39="","","CON-"&amp;TEXT(ROW()-4,"000000"))</f>
        <v/>
      </c>
      <c r="B39" s="32"/>
      <c r="C39" s="32"/>
      <c r="D39" s="35" t="str">
        <f aca="false">IF($C39="","",IFERROR(INDEX(INS_ID,MATCH($C39,INS_NOME,0)),"?"))</f>
        <v/>
      </c>
      <c r="E39" s="32"/>
      <c r="F39" s="33"/>
      <c r="G39" s="31"/>
      <c r="H39" s="36" t="n">
        <f aca="false">IF($A39="",0,SUMIFS(L_Valor,L_DestTipo,"CONTA",L_DestID,$A39,L_Status,"REALIZADO"))</f>
        <v>0</v>
      </c>
      <c r="I39" s="36" t="n">
        <f aca="false">IF($A39="",0,SUMIFS(L_Valor,L_OrigTipo,"CONTA",L_OrigID,$A39,L_Status,"REALIZADO"))</f>
        <v>0</v>
      </c>
      <c r="J39" s="36" t="str">
        <f aca="false">IF($A39="","",$F39+$H39-$I39)</f>
        <v/>
      </c>
      <c r="K39" s="36" t="n">
        <f aca="false">IF($A39="",0,SUMIFS(MM_VALSINAL,MM_CONTA,$A39))</f>
        <v>0</v>
      </c>
      <c r="L39" s="36" t="str">
        <f aca="false">IF($A39="","",$J39-$K39)</f>
        <v/>
      </c>
      <c r="M39" s="36" t="n">
        <f aca="false">IF($A39="",0,SUMIFS(L_Valor,L_DestTipo,"CONTA",L_DestID,$A39,L_Status,"PROJETADO"))</f>
        <v>0</v>
      </c>
      <c r="N39" s="36" t="n">
        <f aca="false">IF($A39="",0,SUMIFS(L_Valor,L_OrigTipo,"CONTA",L_OrigID,$A39,L_Status,"PROJETADO"))</f>
        <v>0</v>
      </c>
      <c r="O39" s="36" t="str">
        <f aca="false">IF($A39="","",$J39+$M39-$N39)</f>
        <v/>
      </c>
      <c r="P39" s="32"/>
      <c r="Q39" s="32"/>
    </row>
    <row r="40" customFormat="false" ht="15" hidden="false" customHeight="false" outlineLevel="0" collapsed="false">
      <c r="A40" s="30" t="str">
        <f aca="false">IF($B40="","","CON-"&amp;TEXT(ROW()-4,"000000"))</f>
        <v/>
      </c>
      <c r="B40" s="32"/>
      <c r="C40" s="32"/>
      <c r="D40" s="35" t="str">
        <f aca="false">IF($C40="","",IFERROR(INDEX(INS_ID,MATCH($C40,INS_NOME,0)),"?"))</f>
        <v/>
      </c>
      <c r="E40" s="32"/>
      <c r="F40" s="33"/>
      <c r="G40" s="31"/>
      <c r="H40" s="36" t="n">
        <f aca="false">IF($A40="",0,SUMIFS(L_Valor,L_DestTipo,"CONTA",L_DestID,$A40,L_Status,"REALIZADO"))</f>
        <v>0</v>
      </c>
      <c r="I40" s="36" t="n">
        <f aca="false">IF($A40="",0,SUMIFS(L_Valor,L_OrigTipo,"CONTA",L_OrigID,$A40,L_Status,"REALIZADO"))</f>
        <v>0</v>
      </c>
      <c r="J40" s="36" t="str">
        <f aca="false">IF($A40="","",$F40+$H40-$I40)</f>
        <v/>
      </c>
      <c r="K40" s="36" t="n">
        <f aca="false">IF($A40="",0,SUMIFS(MM_VALSINAL,MM_CONTA,$A40))</f>
        <v>0</v>
      </c>
      <c r="L40" s="36" t="str">
        <f aca="false">IF($A40="","",$J40-$K40)</f>
        <v/>
      </c>
      <c r="M40" s="36" t="n">
        <f aca="false">IF($A40="",0,SUMIFS(L_Valor,L_DestTipo,"CONTA",L_DestID,$A40,L_Status,"PROJETADO"))</f>
        <v>0</v>
      </c>
      <c r="N40" s="36" t="n">
        <f aca="false">IF($A40="",0,SUMIFS(L_Valor,L_OrigTipo,"CONTA",L_OrigID,$A40,L_Status,"PROJETADO"))</f>
        <v>0</v>
      </c>
      <c r="O40" s="36" t="str">
        <f aca="false">IF($A40="","",$J40+$M40-$N40)</f>
        <v/>
      </c>
      <c r="P40" s="32"/>
      <c r="Q40" s="32"/>
    </row>
    <row r="41" customFormat="false" ht="15" hidden="false" customHeight="false" outlineLevel="0" collapsed="false">
      <c r="A41" s="30" t="str">
        <f aca="false">IF($B41="","","CON-"&amp;TEXT(ROW()-4,"000000"))</f>
        <v/>
      </c>
      <c r="B41" s="32"/>
      <c r="C41" s="32"/>
      <c r="D41" s="35" t="str">
        <f aca="false">IF($C41="","",IFERROR(INDEX(INS_ID,MATCH($C41,INS_NOME,0)),"?"))</f>
        <v/>
      </c>
      <c r="E41" s="32"/>
      <c r="F41" s="33"/>
      <c r="G41" s="31"/>
      <c r="H41" s="36" t="n">
        <f aca="false">IF($A41="",0,SUMIFS(L_Valor,L_DestTipo,"CONTA",L_DestID,$A41,L_Status,"REALIZADO"))</f>
        <v>0</v>
      </c>
      <c r="I41" s="36" t="n">
        <f aca="false">IF($A41="",0,SUMIFS(L_Valor,L_OrigTipo,"CONTA",L_OrigID,$A41,L_Status,"REALIZADO"))</f>
        <v>0</v>
      </c>
      <c r="J41" s="36" t="str">
        <f aca="false">IF($A41="","",$F41+$H41-$I41)</f>
        <v/>
      </c>
      <c r="K41" s="36" t="n">
        <f aca="false">IF($A41="",0,SUMIFS(MM_VALSINAL,MM_CONTA,$A41))</f>
        <v>0</v>
      </c>
      <c r="L41" s="36" t="str">
        <f aca="false">IF($A41="","",$J41-$K41)</f>
        <v/>
      </c>
      <c r="M41" s="36" t="n">
        <f aca="false">IF($A41="",0,SUMIFS(L_Valor,L_DestTipo,"CONTA",L_DestID,$A41,L_Status,"PROJETADO"))</f>
        <v>0</v>
      </c>
      <c r="N41" s="36" t="n">
        <f aca="false">IF($A41="",0,SUMIFS(L_Valor,L_OrigTipo,"CONTA",L_OrigID,$A41,L_Status,"PROJETADO"))</f>
        <v>0</v>
      </c>
      <c r="O41" s="36" t="str">
        <f aca="false">IF($A41="","",$J41+$M41-$N41)</f>
        <v/>
      </c>
      <c r="P41" s="32"/>
      <c r="Q41" s="32"/>
    </row>
    <row r="42" customFormat="false" ht="15" hidden="false" customHeight="false" outlineLevel="0" collapsed="false">
      <c r="A42" s="30" t="str">
        <f aca="false">IF($B42="","","CON-"&amp;TEXT(ROW()-4,"000000"))</f>
        <v/>
      </c>
      <c r="B42" s="32"/>
      <c r="C42" s="32"/>
      <c r="D42" s="35" t="str">
        <f aca="false">IF($C42="","",IFERROR(INDEX(INS_ID,MATCH($C42,INS_NOME,0)),"?"))</f>
        <v/>
      </c>
      <c r="E42" s="32"/>
      <c r="F42" s="33"/>
      <c r="G42" s="31"/>
      <c r="H42" s="36" t="n">
        <f aca="false">IF($A42="",0,SUMIFS(L_Valor,L_DestTipo,"CONTA",L_DestID,$A42,L_Status,"REALIZADO"))</f>
        <v>0</v>
      </c>
      <c r="I42" s="36" t="n">
        <f aca="false">IF($A42="",0,SUMIFS(L_Valor,L_OrigTipo,"CONTA",L_OrigID,$A42,L_Status,"REALIZADO"))</f>
        <v>0</v>
      </c>
      <c r="J42" s="36" t="str">
        <f aca="false">IF($A42="","",$F42+$H42-$I42)</f>
        <v/>
      </c>
      <c r="K42" s="36" t="n">
        <f aca="false">IF($A42="",0,SUMIFS(MM_VALSINAL,MM_CONTA,$A42))</f>
        <v>0</v>
      </c>
      <c r="L42" s="36" t="str">
        <f aca="false">IF($A42="","",$J42-$K42)</f>
        <v/>
      </c>
      <c r="M42" s="36" t="n">
        <f aca="false">IF($A42="",0,SUMIFS(L_Valor,L_DestTipo,"CONTA",L_DestID,$A42,L_Status,"PROJETADO"))</f>
        <v>0</v>
      </c>
      <c r="N42" s="36" t="n">
        <f aca="false">IF($A42="",0,SUMIFS(L_Valor,L_OrigTipo,"CONTA",L_OrigID,$A42,L_Status,"PROJETADO"))</f>
        <v>0</v>
      </c>
      <c r="O42" s="36" t="str">
        <f aca="false">IF($A42="","",$J42+$M42-$N42)</f>
        <v/>
      </c>
      <c r="P42" s="32"/>
      <c r="Q42" s="32"/>
    </row>
    <row r="43" customFormat="false" ht="15" hidden="false" customHeight="false" outlineLevel="0" collapsed="false">
      <c r="A43" s="30" t="str">
        <f aca="false">IF($B43="","","CON-"&amp;TEXT(ROW()-4,"000000"))</f>
        <v/>
      </c>
      <c r="B43" s="32"/>
      <c r="C43" s="32"/>
      <c r="D43" s="35" t="str">
        <f aca="false">IF($C43="","",IFERROR(INDEX(INS_ID,MATCH($C43,INS_NOME,0)),"?"))</f>
        <v/>
      </c>
      <c r="E43" s="32"/>
      <c r="F43" s="33"/>
      <c r="G43" s="31"/>
      <c r="H43" s="36" t="n">
        <f aca="false">IF($A43="",0,SUMIFS(L_Valor,L_DestTipo,"CONTA",L_DestID,$A43,L_Status,"REALIZADO"))</f>
        <v>0</v>
      </c>
      <c r="I43" s="36" t="n">
        <f aca="false">IF($A43="",0,SUMIFS(L_Valor,L_OrigTipo,"CONTA",L_OrigID,$A43,L_Status,"REALIZADO"))</f>
        <v>0</v>
      </c>
      <c r="J43" s="36" t="str">
        <f aca="false">IF($A43="","",$F43+$H43-$I43)</f>
        <v/>
      </c>
      <c r="K43" s="36" t="n">
        <f aca="false">IF($A43="",0,SUMIFS(MM_VALSINAL,MM_CONTA,$A43))</f>
        <v>0</v>
      </c>
      <c r="L43" s="36" t="str">
        <f aca="false">IF($A43="","",$J43-$K43)</f>
        <v/>
      </c>
      <c r="M43" s="36" t="n">
        <f aca="false">IF($A43="",0,SUMIFS(L_Valor,L_DestTipo,"CONTA",L_DestID,$A43,L_Status,"PROJETADO"))</f>
        <v>0</v>
      </c>
      <c r="N43" s="36" t="n">
        <f aca="false">IF($A43="",0,SUMIFS(L_Valor,L_OrigTipo,"CONTA",L_OrigID,$A43,L_Status,"PROJETADO"))</f>
        <v>0</v>
      </c>
      <c r="O43" s="36" t="str">
        <f aca="false">IF($A43="","",$J43+$M43-$N43)</f>
        <v/>
      </c>
      <c r="P43" s="32"/>
      <c r="Q43" s="32"/>
    </row>
    <row r="44" customFormat="false" ht="15" hidden="false" customHeight="false" outlineLevel="0" collapsed="false">
      <c r="A44" s="30" t="str">
        <f aca="false">IF($B44="","","CON-"&amp;TEXT(ROW()-4,"000000"))</f>
        <v/>
      </c>
      <c r="B44" s="32"/>
      <c r="C44" s="32"/>
      <c r="D44" s="35" t="str">
        <f aca="false">IF($C44="","",IFERROR(INDEX(INS_ID,MATCH($C44,INS_NOME,0)),"?"))</f>
        <v/>
      </c>
      <c r="E44" s="32"/>
      <c r="F44" s="33"/>
      <c r="G44" s="31"/>
      <c r="H44" s="36" t="n">
        <f aca="false">IF($A44="",0,SUMIFS(L_Valor,L_DestTipo,"CONTA",L_DestID,$A44,L_Status,"REALIZADO"))</f>
        <v>0</v>
      </c>
      <c r="I44" s="36" t="n">
        <f aca="false">IF($A44="",0,SUMIFS(L_Valor,L_OrigTipo,"CONTA",L_OrigID,$A44,L_Status,"REALIZADO"))</f>
        <v>0</v>
      </c>
      <c r="J44" s="36" t="str">
        <f aca="false">IF($A44="","",$F44+$H44-$I44)</f>
        <v/>
      </c>
      <c r="K44" s="36" t="n">
        <f aca="false">IF($A44="",0,SUMIFS(MM_VALSINAL,MM_CONTA,$A44))</f>
        <v>0</v>
      </c>
      <c r="L44" s="36" t="str">
        <f aca="false">IF($A44="","",$J44-$K44)</f>
        <v/>
      </c>
      <c r="M44" s="36" t="n">
        <f aca="false">IF($A44="",0,SUMIFS(L_Valor,L_DestTipo,"CONTA",L_DestID,$A44,L_Status,"PROJETADO"))</f>
        <v>0</v>
      </c>
      <c r="N44" s="36" t="n">
        <f aca="false">IF($A44="",0,SUMIFS(L_Valor,L_OrigTipo,"CONTA",L_OrigID,$A44,L_Status,"PROJETADO"))</f>
        <v>0</v>
      </c>
      <c r="O44" s="36" t="str">
        <f aca="false">IF($A44="","",$J44+$M44-$N44)</f>
        <v/>
      </c>
      <c r="P44" s="32"/>
      <c r="Q44" s="32"/>
    </row>
  </sheetData>
  <autoFilter ref="A4:Q44"/>
  <mergeCells count="2">
    <mergeCell ref="A1:Q1"/>
    <mergeCell ref="A2:Q2"/>
  </mergeCells>
  <dataValidations count="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5" min="14" style="0" width="17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20" min="18" style="0" width="17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36"/>
  </cols>
  <sheetData>
    <row r="1" customFormat="false" ht="25.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customFormat="false" ht="30" hidden="false" customHeight="true" outlineLevel="0" collapsed="false">
      <c r="A4" s="8" t="s">
        <v>178</v>
      </c>
      <c r="B4" s="8" t="s">
        <v>161</v>
      </c>
      <c r="C4" s="8" t="s">
        <v>168</v>
      </c>
      <c r="D4" s="8" t="s">
        <v>160</v>
      </c>
      <c r="E4" s="8" t="s">
        <v>179</v>
      </c>
      <c r="F4" s="8" t="s">
        <v>180</v>
      </c>
      <c r="G4" s="8" t="s">
        <v>181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187</v>
      </c>
      <c r="N4" s="8" t="s">
        <v>188</v>
      </c>
      <c r="O4" s="8" t="s">
        <v>189</v>
      </c>
      <c r="P4" s="8" t="s">
        <v>190</v>
      </c>
      <c r="Q4" s="8" t="s">
        <v>191</v>
      </c>
      <c r="R4" s="8" t="s">
        <v>192</v>
      </c>
      <c r="S4" s="8" t="s">
        <v>193</v>
      </c>
      <c r="T4" s="8" t="s">
        <v>194</v>
      </c>
      <c r="U4" s="8" t="s">
        <v>195</v>
      </c>
      <c r="V4" s="8" t="s">
        <v>52</v>
      </c>
      <c r="W4" s="8" t="s">
        <v>76</v>
      </c>
    </row>
    <row r="5" customFormat="false" ht="15" hidden="false" customHeight="false" outlineLevel="0" collapsed="false">
      <c r="A5" s="30" t="str">
        <f aca="false">IF($B5="","","CAR-"&amp;TEXT(ROW()-4,"000000"))</f>
        <v/>
      </c>
      <c r="B5" s="32"/>
      <c r="C5" s="32"/>
      <c r="D5" s="35" t="str">
        <f aca="false">IF($C5="","",IFERROR(INDEX(INS_ID,MATCH($C5,INS_NOME,0)),"?"))</f>
        <v/>
      </c>
      <c r="E5" s="33"/>
      <c r="F5" s="33"/>
      <c r="G5" s="31"/>
      <c r="H5" s="37"/>
      <c r="I5" s="37"/>
      <c r="J5" s="36" t="n">
        <f aca="false">IF($A5="",0,SUMIFS(L_Valor,L_OrigTipo,"CARTAO",L_OrigID,$A5,L_Status,"REALIZADO"))</f>
        <v>0</v>
      </c>
      <c r="K5" s="36" t="n">
        <f aca="false">IF($A5="",0,SUMIFS(L_Valor,L_DestTipo,"CARTAO",L_DestID,$A5,L_Status,"REALIZADO"))</f>
        <v>0</v>
      </c>
      <c r="L5" s="36" t="str">
        <f aca="false">IF($A5="","",$F5+$J5-$K5)</f>
        <v/>
      </c>
      <c r="M5" s="39" t="n">
        <f aca="false">IF(OR($A5="",$E5=0),0,$L5/$E5)</f>
        <v>0</v>
      </c>
      <c r="N5" s="36" t="str">
        <f aca="false">IF($A5="","",$E5-$L5)</f>
        <v/>
      </c>
      <c r="O5" s="38" t="str">
        <f aca="false">IF($A5="","",MIN(EOMONTH(DATE(YEAR(CFG_HOJE),MONTH(CFG_HOJE)+IF(DAY(CFG_HOJE)&gt;$H5,1,0),1),0),DATE(YEAR(CFG_HOJE),MONTH(CFG_HOJE)+IF(DAY(CFG_HOJE)&gt;$H5,1,0),1)+$H5-1))</f>
        <v/>
      </c>
      <c r="P5" s="38" t="str">
        <f aca="false">IF($A5="","",EDATE($O5,-1)+1)</f>
        <v/>
      </c>
      <c r="Q5" s="38" t="str">
        <f aca="false">IF($A5="","",MIN(EOMONTH(DATE(YEAR($O5),MONTH($O5)+IF($I5&gt;$H5,0,1),1),0),DATE(YEAR($O5),MONTH($O5)+IF($I5&gt;$H5,0,1),1)+$I5-1))</f>
        <v/>
      </c>
      <c r="R5" s="36" t="n">
        <f aca="false">IF($A5="",0,SUMIFS(L_Valor,L_OrigTipo,"CARTAO",L_OrigID,$A5,L_Data,"&gt;="&amp;$P5,L_Data,"&lt;="&amp;$O5,L_Status,"REALIZADO")+SUMIFS(L_Valor,L_OrigTipo,"CARTAO",L_OrigID,$A5,L_Data,"&gt;="&amp;$P5,L_Data,"&lt;="&amp;$O5,L_Status,"PROJETADO"))</f>
        <v>0</v>
      </c>
      <c r="S5" s="36" t="n">
        <f aca="false">IF($A5="",0,SUMIFS(L_Valor,L_OrigTipo,"CARTAO",L_OrigID,$A5,L_Data,"&gt;"&amp;$O5,L_Status,"PROJETADO"))</f>
        <v>0</v>
      </c>
      <c r="T5" s="36" t="n">
        <f aca="false">IF($A5="",0,SUMIFS(L_Valor,L_OrigTipo,"CARTAO",L_OrigID,$A5,L_Status,"PROJETADO",L_ParcID,"&lt;&gt;"))</f>
        <v>0</v>
      </c>
      <c r="U5" s="36" t="str">
        <f aca="false">IF($A5="","",$L5+$S5)</f>
        <v/>
      </c>
      <c r="V5" s="32"/>
      <c r="W5" s="32"/>
    </row>
    <row r="6" customFormat="false" ht="15" hidden="false" customHeight="false" outlineLevel="0" collapsed="false">
      <c r="A6" s="30" t="str">
        <f aca="false">IF($B6="","","CAR-"&amp;TEXT(ROW()-4,"000000"))</f>
        <v/>
      </c>
      <c r="B6" s="32"/>
      <c r="C6" s="32"/>
      <c r="D6" s="35" t="str">
        <f aca="false">IF($C6="","",IFERROR(INDEX(INS_ID,MATCH($C6,INS_NOME,0)),"?"))</f>
        <v/>
      </c>
      <c r="E6" s="33"/>
      <c r="F6" s="33"/>
      <c r="G6" s="31"/>
      <c r="H6" s="37"/>
      <c r="I6" s="37"/>
      <c r="J6" s="36" t="n">
        <f aca="false">IF($A6="",0,SUMIFS(L_Valor,L_OrigTipo,"CARTAO",L_OrigID,$A6,L_Status,"REALIZADO"))</f>
        <v>0</v>
      </c>
      <c r="K6" s="36" t="n">
        <f aca="false">IF($A6="",0,SUMIFS(L_Valor,L_DestTipo,"CARTAO",L_DestID,$A6,L_Status,"REALIZADO"))</f>
        <v>0</v>
      </c>
      <c r="L6" s="36" t="str">
        <f aca="false">IF($A6="","",$F6+$J6-$K6)</f>
        <v/>
      </c>
      <c r="M6" s="39" t="n">
        <f aca="false">IF(OR($A6="",$E6=0),0,$L6/$E6)</f>
        <v>0</v>
      </c>
      <c r="N6" s="36" t="str">
        <f aca="false">IF($A6="","",$E6-$L6)</f>
        <v/>
      </c>
      <c r="O6" s="38" t="str">
        <f aca="false">IF($A6="","",MIN(EOMONTH(DATE(YEAR(CFG_HOJE),MONTH(CFG_HOJE)+IF(DAY(CFG_HOJE)&gt;$H6,1,0),1),0),DATE(YEAR(CFG_HOJE),MONTH(CFG_HOJE)+IF(DAY(CFG_HOJE)&gt;$H6,1,0),1)+$H6-1))</f>
        <v/>
      </c>
      <c r="P6" s="38" t="str">
        <f aca="false">IF($A6="","",EDATE($O6,-1)+1)</f>
        <v/>
      </c>
      <c r="Q6" s="38" t="str">
        <f aca="false">IF($A6="","",MIN(EOMONTH(DATE(YEAR($O6),MONTH($O6)+IF($I6&gt;$H6,0,1),1),0),DATE(YEAR($O6),MONTH($O6)+IF($I6&gt;$H6,0,1),1)+$I6-1))</f>
        <v/>
      </c>
      <c r="R6" s="36" t="n">
        <f aca="false">IF($A6="",0,SUMIFS(L_Valor,L_OrigTipo,"CARTAO",L_OrigID,$A6,L_Data,"&gt;="&amp;$P6,L_Data,"&lt;="&amp;$O6,L_Status,"REALIZADO")+SUMIFS(L_Valor,L_OrigTipo,"CARTAO",L_OrigID,$A6,L_Data,"&gt;="&amp;$P6,L_Data,"&lt;="&amp;$O6,L_Status,"PROJETADO"))</f>
        <v>0</v>
      </c>
      <c r="S6" s="36" t="n">
        <f aca="false">IF($A6="",0,SUMIFS(L_Valor,L_OrigTipo,"CARTAO",L_OrigID,$A6,L_Data,"&gt;"&amp;$O6,L_Status,"PROJETADO"))</f>
        <v>0</v>
      </c>
      <c r="T6" s="36" t="n">
        <f aca="false">IF($A6="",0,SUMIFS(L_Valor,L_OrigTipo,"CARTAO",L_OrigID,$A6,L_Status,"PROJETADO",L_ParcID,"&lt;&gt;"))</f>
        <v>0</v>
      </c>
      <c r="U6" s="36" t="str">
        <f aca="false">IF($A6="","",$L6+$S6)</f>
        <v/>
      </c>
      <c r="V6" s="32"/>
      <c r="W6" s="32"/>
    </row>
    <row r="7" customFormat="false" ht="15" hidden="false" customHeight="false" outlineLevel="0" collapsed="false">
      <c r="A7" s="30" t="str">
        <f aca="false">IF($B7="","","CAR-"&amp;TEXT(ROW()-4,"000000"))</f>
        <v/>
      </c>
      <c r="B7" s="32"/>
      <c r="C7" s="32"/>
      <c r="D7" s="35" t="str">
        <f aca="false">IF($C7="","",IFERROR(INDEX(INS_ID,MATCH($C7,INS_NOME,0)),"?"))</f>
        <v/>
      </c>
      <c r="E7" s="33"/>
      <c r="F7" s="33"/>
      <c r="G7" s="31"/>
      <c r="H7" s="37"/>
      <c r="I7" s="37"/>
      <c r="J7" s="36" t="n">
        <f aca="false">IF($A7="",0,SUMIFS(L_Valor,L_OrigTipo,"CARTAO",L_OrigID,$A7,L_Status,"REALIZADO"))</f>
        <v>0</v>
      </c>
      <c r="K7" s="36" t="n">
        <f aca="false">IF($A7="",0,SUMIFS(L_Valor,L_DestTipo,"CARTAO",L_DestID,$A7,L_Status,"REALIZADO"))</f>
        <v>0</v>
      </c>
      <c r="L7" s="36" t="str">
        <f aca="false">IF($A7="","",$F7+$J7-$K7)</f>
        <v/>
      </c>
      <c r="M7" s="39" t="n">
        <f aca="false">IF(OR($A7="",$E7=0),0,$L7/$E7)</f>
        <v>0</v>
      </c>
      <c r="N7" s="36" t="str">
        <f aca="false">IF($A7="","",$E7-$L7)</f>
        <v/>
      </c>
      <c r="O7" s="38" t="str">
        <f aca="false">IF($A7="","",MIN(EOMONTH(DATE(YEAR(CFG_HOJE),MONTH(CFG_HOJE)+IF(DAY(CFG_HOJE)&gt;$H7,1,0),1),0),DATE(YEAR(CFG_HOJE),MONTH(CFG_HOJE)+IF(DAY(CFG_HOJE)&gt;$H7,1,0),1)+$H7-1))</f>
        <v/>
      </c>
      <c r="P7" s="38" t="str">
        <f aca="false">IF($A7="","",EDATE($O7,-1)+1)</f>
        <v/>
      </c>
      <c r="Q7" s="38" t="str">
        <f aca="false">IF($A7="","",MIN(EOMONTH(DATE(YEAR($O7),MONTH($O7)+IF($I7&gt;$H7,0,1),1),0),DATE(YEAR($O7),MONTH($O7)+IF($I7&gt;$H7,0,1),1)+$I7-1))</f>
        <v/>
      </c>
      <c r="R7" s="36" t="n">
        <f aca="false">IF($A7="",0,SUMIFS(L_Valor,L_OrigTipo,"CARTAO",L_OrigID,$A7,L_Data,"&gt;="&amp;$P7,L_Data,"&lt;="&amp;$O7,L_Status,"REALIZADO")+SUMIFS(L_Valor,L_OrigTipo,"CARTAO",L_OrigID,$A7,L_Data,"&gt;="&amp;$P7,L_Data,"&lt;="&amp;$O7,L_Status,"PROJETADO"))</f>
        <v>0</v>
      </c>
      <c r="S7" s="36" t="n">
        <f aca="false">IF($A7="",0,SUMIFS(L_Valor,L_OrigTipo,"CARTAO",L_OrigID,$A7,L_Data,"&gt;"&amp;$O7,L_Status,"PROJETADO"))</f>
        <v>0</v>
      </c>
      <c r="T7" s="36" t="n">
        <f aca="false">IF($A7="",0,SUMIFS(L_Valor,L_OrigTipo,"CARTAO",L_OrigID,$A7,L_Status,"PROJETADO",L_ParcID,"&lt;&gt;"))</f>
        <v>0</v>
      </c>
      <c r="U7" s="36" t="str">
        <f aca="false">IF($A7="","",$L7+$S7)</f>
        <v/>
      </c>
      <c r="V7" s="32"/>
      <c r="W7" s="32"/>
    </row>
    <row r="8" customFormat="false" ht="15" hidden="false" customHeight="false" outlineLevel="0" collapsed="false">
      <c r="A8" s="30" t="str">
        <f aca="false">IF($B8="","","CAR-"&amp;TEXT(ROW()-4,"000000"))</f>
        <v/>
      </c>
      <c r="B8" s="32"/>
      <c r="C8" s="32"/>
      <c r="D8" s="35" t="str">
        <f aca="false">IF($C8="","",IFERROR(INDEX(INS_ID,MATCH($C8,INS_NOME,0)),"?"))</f>
        <v/>
      </c>
      <c r="E8" s="33"/>
      <c r="F8" s="33"/>
      <c r="G8" s="31"/>
      <c r="H8" s="37"/>
      <c r="I8" s="37"/>
      <c r="J8" s="36" t="n">
        <f aca="false">IF($A8="",0,SUMIFS(L_Valor,L_OrigTipo,"CARTAO",L_OrigID,$A8,L_Status,"REALIZADO"))</f>
        <v>0</v>
      </c>
      <c r="K8" s="36" t="n">
        <f aca="false">IF($A8="",0,SUMIFS(L_Valor,L_DestTipo,"CARTAO",L_DestID,$A8,L_Status,"REALIZADO"))</f>
        <v>0</v>
      </c>
      <c r="L8" s="36" t="str">
        <f aca="false">IF($A8="","",$F8+$J8-$K8)</f>
        <v/>
      </c>
      <c r="M8" s="39" t="n">
        <f aca="false">IF(OR($A8="",$E8=0),0,$L8/$E8)</f>
        <v>0</v>
      </c>
      <c r="N8" s="36" t="str">
        <f aca="false">IF($A8="","",$E8-$L8)</f>
        <v/>
      </c>
      <c r="O8" s="38" t="str">
        <f aca="false">IF($A8="","",MIN(EOMONTH(DATE(YEAR(CFG_HOJE),MONTH(CFG_HOJE)+IF(DAY(CFG_HOJE)&gt;$H8,1,0),1),0),DATE(YEAR(CFG_HOJE),MONTH(CFG_HOJE)+IF(DAY(CFG_HOJE)&gt;$H8,1,0),1)+$H8-1))</f>
        <v/>
      </c>
      <c r="P8" s="38" t="str">
        <f aca="false">IF($A8="","",EDATE($O8,-1)+1)</f>
        <v/>
      </c>
      <c r="Q8" s="38" t="str">
        <f aca="false">IF($A8="","",MIN(EOMONTH(DATE(YEAR($O8),MONTH($O8)+IF($I8&gt;$H8,0,1),1),0),DATE(YEAR($O8),MONTH($O8)+IF($I8&gt;$H8,0,1),1)+$I8-1))</f>
        <v/>
      </c>
      <c r="R8" s="36" t="n">
        <f aca="false">IF($A8="",0,SUMIFS(L_Valor,L_OrigTipo,"CARTAO",L_OrigID,$A8,L_Data,"&gt;="&amp;$P8,L_Data,"&lt;="&amp;$O8,L_Status,"REALIZADO")+SUMIFS(L_Valor,L_OrigTipo,"CARTAO",L_OrigID,$A8,L_Data,"&gt;="&amp;$P8,L_Data,"&lt;="&amp;$O8,L_Status,"PROJETADO"))</f>
        <v>0</v>
      </c>
      <c r="S8" s="36" t="n">
        <f aca="false">IF($A8="",0,SUMIFS(L_Valor,L_OrigTipo,"CARTAO",L_OrigID,$A8,L_Data,"&gt;"&amp;$O8,L_Status,"PROJETADO"))</f>
        <v>0</v>
      </c>
      <c r="T8" s="36" t="n">
        <f aca="false">IF($A8="",0,SUMIFS(L_Valor,L_OrigTipo,"CARTAO",L_OrigID,$A8,L_Status,"PROJETADO",L_ParcID,"&lt;&gt;"))</f>
        <v>0</v>
      </c>
      <c r="U8" s="36" t="str">
        <f aca="false">IF($A8="","",$L8+$S8)</f>
        <v/>
      </c>
      <c r="V8" s="32"/>
      <c r="W8" s="32"/>
    </row>
    <row r="9" customFormat="false" ht="15" hidden="false" customHeight="false" outlineLevel="0" collapsed="false">
      <c r="A9" s="30" t="str">
        <f aca="false">IF($B9="","","CAR-"&amp;TEXT(ROW()-4,"000000"))</f>
        <v/>
      </c>
      <c r="B9" s="32"/>
      <c r="C9" s="32"/>
      <c r="D9" s="35" t="str">
        <f aca="false">IF($C9="","",IFERROR(INDEX(INS_ID,MATCH($C9,INS_NOME,0)),"?"))</f>
        <v/>
      </c>
      <c r="E9" s="33"/>
      <c r="F9" s="33"/>
      <c r="G9" s="31"/>
      <c r="H9" s="37"/>
      <c r="I9" s="37"/>
      <c r="J9" s="36" t="n">
        <f aca="false">IF($A9="",0,SUMIFS(L_Valor,L_OrigTipo,"CARTAO",L_OrigID,$A9,L_Status,"REALIZADO"))</f>
        <v>0</v>
      </c>
      <c r="K9" s="36" t="n">
        <f aca="false">IF($A9="",0,SUMIFS(L_Valor,L_DestTipo,"CARTAO",L_DestID,$A9,L_Status,"REALIZADO"))</f>
        <v>0</v>
      </c>
      <c r="L9" s="36" t="str">
        <f aca="false">IF($A9="","",$F9+$J9-$K9)</f>
        <v/>
      </c>
      <c r="M9" s="39" t="n">
        <f aca="false">IF(OR($A9="",$E9=0),0,$L9/$E9)</f>
        <v>0</v>
      </c>
      <c r="N9" s="36" t="str">
        <f aca="false">IF($A9="","",$E9-$L9)</f>
        <v/>
      </c>
      <c r="O9" s="38" t="str">
        <f aca="false">IF($A9="","",MIN(EOMONTH(DATE(YEAR(CFG_HOJE),MONTH(CFG_HOJE)+IF(DAY(CFG_HOJE)&gt;$H9,1,0),1),0),DATE(YEAR(CFG_HOJE),MONTH(CFG_HOJE)+IF(DAY(CFG_HOJE)&gt;$H9,1,0),1)+$H9-1))</f>
        <v/>
      </c>
      <c r="P9" s="38" t="str">
        <f aca="false">IF($A9="","",EDATE($O9,-1)+1)</f>
        <v/>
      </c>
      <c r="Q9" s="38" t="str">
        <f aca="false">IF($A9="","",MIN(EOMONTH(DATE(YEAR($O9),MONTH($O9)+IF($I9&gt;$H9,0,1),1),0),DATE(YEAR($O9),MONTH($O9)+IF($I9&gt;$H9,0,1),1)+$I9-1))</f>
        <v/>
      </c>
      <c r="R9" s="36" t="n">
        <f aca="false">IF($A9="",0,SUMIFS(L_Valor,L_OrigTipo,"CARTAO",L_OrigID,$A9,L_Data,"&gt;="&amp;$P9,L_Data,"&lt;="&amp;$O9,L_Status,"REALIZADO")+SUMIFS(L_Valor,L_OrigTipo,"CARTAO",L_OrigID,$A9,L_Data,"&gt;="&amp;$P9,L_Data,"&lt;="&amp;$O9,L_Status,"PROJETADO"))</f>
        <v>0</v>
      </c>
      <c r="S9" s="36" t="n">
        <f aca="false">IF($A9="",0,SUMIFS(L_Valor,L_OrigTipo,"CARTAO",L_OrigID,$A9,L_Data,"&gt;"&amp;$O9,L_Status,"PROJETADO"))</f>
        <v>0</v>
      </c>
      <c r="T9" s="36" t="n">
        <f aca="false">IF($A9="",0,SUMIFS(L_Valor,L_OrigTipo,"CARTAO",L_OrigID,$A9,L_Status,"PROJETADO",L_ParcID,"&lt;&gt;"))</f>
        <v>0</v>
      </c>
      <c r="U9" s="36" t="str">
        <f aca="false">IF($A9="","",$L9+$S9)</f>
        <v/>
      </c>
      <c r="V9" s="32"/>
      <c r="W9" s="32"/>
    </row>
    <row r="10" customFormat="false" ht="15" hidden="false" customHeight="false" outlineLevel="0" collapsed="false">
      <c r="A10" s="30" t="str">
        <f aca="false">IF($B10="","","CAR-"&amp;TEXT(ROW()-4,"000000"))</f>
        <v/>
      </c>
      <c r="B10" s="32"/>
      <c r="C10" s="32"/>
      <c r="D10" s="35" t="str">
        <f aca="false">IF($C10="","",IFERROR(INDEX(INS_ID,MATCH($C10,INS_NOME,0)),"?"))</f>
        <v/>
      </c>
      <c r="E10" s="33"/>
      <c r="F10" s="33"/>
      <c r="G10" s="31"/>
      <c r="H10" s="37"/>
      <c r="I10" s="37"/>
      <c r="J10" s="36" t="n">
        <f aca="false">IF($A10="",0,SUMIFS(L_Valor,L_OrigTipo,"CARTAO",L_OrigID,$A10,L_Status,"REALIZADO"))</f>
        <v>0</v>
      </c>
      <c r="K10" s="36" t="n">
        <f aca="false">IF($A10="",0,SUMIFS(L_Valor,L_DestTipo,"CARTAO",L_DestID,$A10,L_Status,"REALIZADO"))</f>
        <v>0</v>
      </c>
      <c r="L10" s="36" t="str">
        <f aca="false">IF($A10="","",$F10+$J10-$K10)</f>
        <v/>
      </c>
      <c r="M10" s="39" t="n">
        <f aca="false">IF(OR($A10="",$E10=0),0,$L10/$E10)</f>
        <v>0</v>
      </c>
      <c r="N10" s="36" t="str">
        <f aca="false">IF($A10="","",$E10-$L10)</f>
        <v/>
      </c>
      <c r="O10" s="38" t="str">
        <f aca="false">IF($A10="","",MIN(EOMONTH(DATE(YEAR(CFG_HOJE),MONTH(CFG_HOJE)+IF(DAY(CFG_HOJE)&gt;$H10,1,0),1),0),DATE(YEAR(CFG_HOJE),MONTH(CFG_HOJE)+IF(DAY(CFG_HOJE)&gt;$H10,1,0),1)+$H10-1))</f>
        <v/>
      </c>
      <c r="P10" s="38" t="str">
        <f aca="false">IF($A10="","",EDATE($O10,-1)+1)</f>
        <v/>
      </c>
      <c r="Q10" s="38" t="str">
        <f aca="false">IF($A10="","",MIN(EOMONTH(DATE(YEAR($O10),MONTH($O10)+IF($I10&gt;$H10,0,1),1),0),DATE(YEAR($O10),MONTH($O10)+IF($I10&gt;$H10,0,1),1)+$I10-1))</f>
        <v/>
      </c>
      <c r="R10" s="36" t="n">
        <f aca="false">IF($A10="",0,SUMIFS(L_Valor,L_OrigTipo,"CARTAO",L_OrigID,$A10,L_Data,"&gt;="&amp;$P10,L_Data,"&lt;="&amp;$O10,L_Status,"REALIZADO")+SUMIFS(L_Valor,L_OrigTipo,"CARTAO",L_OrigID,$A10,L_Data,"&gt;="&amp;$P10,L_Data,"&lt;="&amp;$O10,L_Status,"PROJETADO"))</f>
        <v>0</v>
      </c>
      <c r="S10" s="36" t="n">
        <f aca="false">IF($A10="",0,SUMIFS(L_Valor,L_OrigTipo,"CARTAO",L_OrigID,$A10,L_Data,"&gt;"&amp;$O10,L_Status,"PROJETADO"))</f>
        <v>0</v>
      </c>
      <c r="T10" s="36" t="n">
        <f aca="false">IF($A10="",0,SUMIFS(L_Valor,L_OrigTipo,"CARTAO",L_OrigID,$A10,L_Status,"PROJETADO",L_ParcID,"&lt;&gt;"))</f>
        <v>0</v>
      </c>
      <c r="U10" s="36" t="str">
        <f aca="false">IF($A10="","",$L10+$S10)</f>
        <v/>
      </c>
      <c r="V10" s="32"/>
      <c r="W10" s="32"/>
    </row>
    <row r="11" customFormat="false" ht="15" hidden="false" customHeight="false" outlineLevel="0" collapsed="false">
      <c r="A11" s="30" t="str">
        <f aca="false">IF($B11="","","CAR-"&amp;TEXT(ROW()-4,"000000"))</f>
        <v/>
      </c>
      <c r="B11" s="32"/>
      <c r="C11" s="32"/>
      <c r="D11" s="35" t="str">
        <f aca="false">IF($C11="","",IFERROR(INDEX(INS_ID,MATCH($C11,INS_NOME,0)),"?"))</f>
        <v/>
      </c>
      <c r="E11" s="33"/>
      <c r="F11" s="33"/>
      <c r="G11" s="31"/>
      <c r="H11" s="37"/>
      <c r="I11" s="37"/>
      <c r="J11" s="36" t="n">
        <f aca="false">IF($A11="",0,SUMIFS(L_Valor,L_OrigTipo,"CARTAO",L_OrigID,$A11,L_Status,"REALIZADO"))</f>
        <v>0</v>
      </c>
      <c r="K11" s="36" t="n">
        <f aca="false">IF($A11="",0,SUMIFS(L_Valor,L_DestTipo,"CARTAO",L_DestID,$A11,L_Status,"REALIZADO"))</f>
        <v>0</v>
      </c>
      <c r="L11" s="36" t="str">
        <f aca="false">IF($A11="","",$F11+$J11-$K11)</f>
        <v/>
      </c>
      <c r="M11" s="39" t="n">
        <f aca="false">IF(OR($A11="",$E11=0),0,$L11/$E11)</f>
        <v>0</v>
      </c>
      <c r="N11" s="36" t="str">
        <f aca="false">IF($A11="","",$E11-$L11)</f>
        <v/>
      </c>
      <c r="O11" s="38" t="str">
        <f aca="false">IF($A11="","",MIN(EOMONTH(DATE(YEAR(CFG_HOJE),MONTH(CFG_HOJE)+IF(DAY(CFG_HOJE)&gt;$H11,1,0),1),0),DATE(YEAR(CFG_HOJE),MONTH(CFG_HOJE)+IF(DAY(CFG_HOJE)&gt;$H11,1,0),1)+$H11-1))</f>
        <v/>
      </c>
      <c r="P11" s="38" t="str">
        <f aca="false">IF($A11="","",EDATE($O11,-1)+1)</f>
        <v/>
      </c>
      <c r="Q11" s="38" t="str">
        <f aca="false">IF($A11="","",MIN(EOMONTH(DATE(YEAR($O11),MONTH($O11)+IF($I11&gt;$H11,0,1),1),0),DATE(YEAR($O11),MONTH($O11)+IF($I11&gt;$H11,0,1),1)+$I11-1))</f>
        <v/>
      </c>
      <c r="R11" s="36" t="n">
        <f aca="false">IF($A11="",0,SUMIFS(L_Valor,L_OrigTipo,"CARTAO",L_OrigID,$A11,L_Data,"&gt;="&amp;$P11,L_Data,"&lt;="&amp;$O11,L_Status,"REALIZADO")+SUMIFS(L_Valor,L_OrigTipo,"CARTAO",L_OrigID,$A11,L_Data,"&gt;="&amp;$P11,L_Data,"&lt;="&amp;$O11,L_Status,"PROJETADO"))</f>
        <v>0</v>
      </c>
      <c r="S11" s="36" t="n">
        <f aca="false">IF($A11="",0,SUMIFS(L_Valor,L_OrigTipo,"CARTAO",L_OrigID,$A11,L_Data,"&gt;"&amp;$O11,L_Status,"PROJETADO"))</f>
        <v>0</v>
      </c>
      <c r="T11" s="36" t="n">
        <f aca="false">IF($A11="",0,SUMIFS(L_Valor,L_OrigTipo,"CARTAO",L_OrigID,$A11,L_Status,"PROJETADO",L_ParcID,"&lt;&gt;"))</f>
        <v>0</v>
      </c>
      <c r="U11" s="36" t="str">
        <f aca="false">IF($A11="","",$L11+$S11)</f>
        <v/>
      </c>
      <c r="V11" s="32"/>
      <c r="W11" s="32"/>
    </row>
    <row r="12" customFormat="false" ht="15" hidden="false" customHeight="false" outlineLevel="0" collapsed="false">
      <c r="A12" s="30" t="str">
        <f aca="false">IF($B12="","","CAR-"&amp;TEXT(ROW()-4,"000000"))</f>
        <v/>
      </c>
      <c r="B12" s="32"/>
      <c r="C12" s="32"/>
      <c r="D12" s="35" t="str">
        <f aca="false">IF($C12="","",IFERROR(INDEX(INS_ID,MATCH($C12,INS_NOME,0)),"?"))</f>
        <v/>
      </c>
      <c r="E12" s="33"/>
      <c r="F12" s="33"/>
      <c r="G12" s="31"/>
      <c r="H12" s="37"/>
      <c r="I12" s="37"/>
      <c r="J12" s="36" t="n">
        <f aca="false">IF($A12="",0,SUMIFS(L_Valor,L_OrigTipo,"CARTAO",L_OrigID,$A12,L_Status,"REALIZADO"))</f>
        <v>0</v>
      </c>
      <c r="K12" s="36" t="n">
        <f aca="false">IF($A12="",0,SUMIFS(L_Valor,L_DestTipo,"CARTAO",L_DestID,$A12,L_Status,"REALIZADO"))</f>
        <v>0</v>
      </c>
      <c r="L12" s="36" t="str">
        <f aca="false">IF($A12="","",$F12+$J12-$K12)</f>
        <v/>
      </c>
      <c r="M12" s="39" t="n">
        <f aca="false">IF(OR($A12="",$E12=0),0,$L12/$E12)</f>
        <v>0</v>
      </c>
      <c r="N12" s="36" t="str">
        <f aca="false">IF($A12="","",$E12-$L12)</f>
        <v/>
      </c>
      <c r="O12" s="38" t="str">
        <f aca="false">IF($A12="","",MIN(EOMONTH(DATE(YEAR(CFG_HOJE),MONTH(CFG_HOJE)+IF(DAY(CFG_HOJE)&gt;$H12,1,0),1),0),DATE(YEAR(CFG_HOJE),MONTH(CFG_HOJE)+IF(DAY(CFG_HOJE)&gt;$H12,1,0),1)+$H12-1))</f>
        <v/>
      </c>
      <c r="P12" s="38" t="str">
        <f aca="false">IF($A12="","",EDATE($O12,-1)+1)</f>
        <v/>
      </c>
      <c r="Q12" s="38" t="str">
        <f aca="false">IF($A12="","",MIN(EOMONTH(DATE(YEAR($O12),MONTH($O12)+IF($I12&gt;$H12,0,1),1),0),DATE(YEAR($O12),MONTH($O12)+IF($I12&gt;$H12,0,1),1)+$I12-1))</f>
        <v/>
      </c>
      <c r="R12" s="36" t="n">
        <f aca="false">IF($A12="",0,SUMIFS(L_Valor,L_OrigTipo,"CARTAO",L_OrigID,$A12,L_Data,"&gt;="&amp;$P12,L_Data,"&lt;="&amp;$O12,L_Status,"REALIZADO")+SUMIFS(L_Valor,L_OrigTipo,"CARTAO",L_OrigID,$A12,L_Data,"&gt;="&amp;$P12,L_Data,"&lt;="&amp;$O12,L_Status,"PROJETADO"))</f>
        <v>0</v>
      </c>
      <c r="S12" s="36" t="n">
        <f aca="false">IF($A12="",0,SUMIFS(L_Valor,L_OrigTipo,"CARTAO",L_OrigID,$A12,L_Data,"&gt;"&amp;$O12,L_Status,"PROJETADO"))</f>
        <v>0</v>
      </c>
      <c r="T12" s="36" t="n">
        <f aca="false">IF($A12="",0,SUMIFS(L_Valor,L_OrigTipo,"CARTAO",L_OrigID,$A12,L_Status,"PROJETADO",L_ParcID,"&lt;&gt;"))</f>
        <v>0</v>
      </c>
      <c r="U12" s="36" t="str">
        <f aca="false">IF($A12="","",$L12+$S12)</f>
        <v/>
      </c>
      <c r="V12" s="32"/>
      <c r="W12" s="32"/>
    </row>
    <row r="13" customFormat="false" ht="15" hidden="false" customHeight="false" outlineLevel="0" collapsed="false">
      <c r="A13" s="30" t="str">
        <f aca="false">IF($B13="","","CAR-"&amp;TEXT(ROW()-4,"000000"))</f>
        <v/>
      </c>
      <c r="B13" s="32"/>
      <c r="C13" s="32"/>
      <c r="D13" s="35" t="str">
        <f aca="false">IF($C13="","",IFERROR(INDEX(INS_ID,MATCH($C13,INS_NOME,0)),"?"))</f>
        <v/>
      </c>
      <c r="E13" s="33"/>
      <c r="F13" s="33"/>
      <c r="G13" s="31"/>
      <c r="H13" s="37"/>
      <c r="I13" s="37"/>
      <c r="J13" s="36" t="n">
        <f aca="false">IF($A13="",0,SUMIFS(L_Valor,L_OrigTipo,"CARTAO",L_OrigID,$A13,L_Status,"REALIZADO"))</f>
        <v>0</v>
      </c>
      <c r="K13" s="36" t="n">
        <f aca="false">IF($A13="",0,SUMIFS(L_Valor,L_DestTipo,"CARTAO",L_DestID,$A13,L_Status,"REALIZADO"))</f>
        <v>0</v>
      </c>
      <c r="L13" s="36" t="str">
        <f aca="false">IF($A13="","",$F13+$J13-$K13)</f>
        <v/>
      </c>
      <c r="M13" s="39" t="n">
        <f aca="false">IF(OR($A13="",$E13=0),0,$L13/$E13)</f>
        <v>0</v>
      </c>
      <c r="N13" s="36" t="str">
        <f aca="false">IF($A13="","",$E13-$L13)</f>
        <v/>
      </c>
      <c r="O13" s="38" t="str">
        <f aca="false">IF($A13="","",MIN(EOMONTH(DATE(YEAR(CFG_HOJE),MONTH(CFG_HOJE)+IF(DAY(CFG_HOJE)&gt;$H13,1,0),1),0),DATE(YEAR(CFG_HOJE),MONTH(CFG_HOJE)+IF(DAY(CFG_HOJE)&gt;$H13,1,0),1)+$H13-1))</f>
        <v/>
      </c>
      <c r="P13" s="38" t="str">
        <f aca="false">IF($A13="","",EDATE($O13,-1)+1)</f>
        <v/>
      </c>
      <c r="Q13" s="38" t="str">
        <f aca="false">IF($A13="","",MIN(EOMONTH(DATE(YEAR($O13),MONTH($O13)+IF($I13&gt;$H13,0,1),1),0),DATE(YEAR($O13),MONTH($O13)+IF($I13&gt;$H13,0,1),1)+$I13-1))</f>
        <v/>
      </c>
      <c r="R13" s="36" t="n">
        <f aca="false">IF($A13="",0,SUMIFS(L_Valor,L_OrigTipo,"CARTAO",L_OrigID,$A13,L_Data,"&gt;="&amp;$P13,L_Data,"&lt;="&amp;$O13,L_Status,"REALIZADO")+SUMIFS(L_Valor,L_OrigTipo,"CARTAO",L_OrigID,$A13,L_Data,"&gt;="&amp;$P13,L_Data,"&lt;="&amp;$O13,L_Status,"PROJETADO"))</f>
        <v>0</v>
      </c>
      <c r="S13" s="36" t="n">
        <f aca="false">IF($A13="",0,SUMIFS(L_Valor,L_OrigTipo,"CARTAO",L_OrigID,$A13,L_Data,"&gt;"&amp;$O13,L_Status,"PROJETADO"))</f>
        <v>0</v>
      </c>
      <c r="T13" s="36" t="n">
        <f aca="false">IF($A13="",0,SUMIFS(L_Valor,L_OrigTipo,"CARTAO",L_OrigID,$A13,L_Status,"PROJETADO",L_ParcID,"&lt;&gt;"))</f>
        <v>0</v>
      </c>
      <c r="U13" s="36" t="str">
        <f aca="false">IF($A13="","",$L13+$S13)</f>
        <v/>
      </c>
      <c r="V13" s="32"/>
      <c r="W13" s="32"/>
    </row>
    <row r="14" customFormat="false" ht="15" hidden="false" customHeight="false" outlineLevel="0" collapsed="false">
      <c r="A14" s="30" t="str">
        <f aca="false">IF($B14="","","CAR-"&amp;TEXT(ROW()-4,"000000"))</f>
        <v/>
      </c>
      <c r="B14" s="32"/>
      <c r="C14" s="32"/>
      <c r="D14" s="35" t="str">
        <f aca="false">IF($C14="","",IFERROR(INDEX(INS_ID,MATCH($C14,INS_NOME,0)),"?"))</f>
        <v/>
      </c>
      <c r="E14" s="33"/>
      <c r="F14" s="33"/>
      <c r="G14" s="31"/>
      <c r="H14" s="37"/>
      <c r="I14" s="37"/>
      <c r="J14" s="36" t="n">
        <f aca="false">IF($A14="",0,SUMIFS(L_Valor,L_OrigTipo,"CARTAO",L_OrigID,$A14,L_Status,"REALIZADO"))</f>
        <v>0</v>
      </c>
      <c r="K14" s="36" t="n">
        <f aca="false">IF($A14="",0,SUMIFS(L_Valor,L_DestTipo,"CARTAO",L_DestID,$A14,L_Status,"REALIZADO"))</f>
        <v>0</v>
      </c>
      <c r="L14" s="36" t="str">
        <f aca="false">IF($A14="","",$F14+$J14-$K14)</f>
        <v/>
      </c>
      <c r="M14" s="39" t="n">
        <f aca="false">IF(OR($A14="",$E14=0),0,$L14/$E14)</f>
        <v>0</v>
      </c>
      <c r="N14" s="36" t="str">
        <f aca="false">IF($A14="","",$E14-$L14)</f>
        <v/>
      </c>
      <c r="O14" s="38" t="str">
        <f aca="false">IF($A14="","",MIN(EOMONTH(DATE(YEAR(CFG_HOJE),MONTH(CFG_HOJE)+IF(DAY(CFG_HOJE)&gt;$H14,1,0),1),0),DATE(YEAR(CFG_HOJE),MONTH(CFG_HOJE)+IF(DAY(CFG_HOJE)&gt;$H14,1,0),1)+$H14-1))</f>
        <v/>
      </c>
      <c r="P14" s="38" t="str">
        <f aca="false">IF($A14="","",EDATE($O14,-1)+1)</f>
        <v/>
      </c>
      <c r="Q14" s="38" t="str">
        <f aca="false">IF($A14="","",MIN(EOMONTH(DATE(YEAR($O14),MONTH($O14)+IF($I14&gt;$H14,0,1),1),0),DATE(YEAR($O14),MONTH($O14)+IF($I14&gt;$H14,0,1),1)+$I14-1))</f>
        <v/>
      </c>
      <c r="R14" s="36" t="n">
        <f aca="false">IF($A14="",0,SUMIFS(L_Valor,L_OrigTipo,"CARTAO",L_OrigID,$A14,L_Data,"&gt;="&amp;$P14,L_Data,"&lt;="&amp;$O14,L_Status,"REALIZADO")+SUMIFS(L_Valor,L_OrigTipo,"CARTAO",L_OrigID,$A14,L_Data,"&gt;="&amp;$P14,L_Data,"&lt;="&amp;$O14,L_Status,"PROJETADO"))</f>
        <v>0</v>
      </c>
      <c r="S14" s="36" t="n">
        <f aca="false">IF($A14="",0,SUMIFS(L_Valor,L_OrigTipo,"CARTAO",L_OrigID,$A14,L_Data,"&gt;"&amp;$O14,L_Status,"PROJETADO"))</f>
        <v>0</v>
      </c>
      <c r="T14" s="36" t="n">
        <f aca="false">IF($A14="",0,SUMIFS(L_Valor,L_OrigTipo,"CARTAO",L_OrigID,$A14,L_Status,"PROJETADO",L_ParcID,"&lt;&gt;"))</f>
        <v>0</v>
      </c>
      <c r="U14" s="36" t="str">
        <f aca="false">IF($A14="","",$L14+$S14)</f>
        <v/>
      </c>
      <c r="V14" s="32"/>
      <c r="W14" s="32"/>
    </row>
    <row r="15" customFormat="false" ht="15" hidden="false" customHeight="false" outlineLevel="0" collapsed="false">
      <c r="A15" s="30" t="str">
        <f aca="false">IF($B15="","","CAR-"&amp;TEXT(ROW()-4,"000000"))</f>
        <v/>
      </c>
      <c r="B15" s="32"/>
      <c r="C15" s="32"/>
      <c r="D15" s="35" t="str">
        <f aca="false">IF($C15="","",IFERROR(INDEX(INS_ID,MATCH($C15,INS_NOME,0)),"?"))</f>
        <v/>
      </c>
      <c r="E15" s="33"/>
      <c r="F15" s="33"/>
      <c r="G15" s="31"/>
      <c r="H15" s="37"/>
      <c r="I15" s="37"/>
      <c r="J15" s="36" t="n">
        <f aca="false">IF($A15="",0,SUMIFS(L_Valor,L_OrigTipo,"CARTAO",L_OrigID,$A15,L_Status,"REALIZADO"))</f>
        <v>0</v>
      </c>
      <c r="K15" s="36" t="n">
        <f aca="false">IF($A15="",0,SUMIFS(L_Valor,L_DestTipo,"CARTAO",L_DestID,$A15,L_Status,"REALIZADO"))</f>
        <v>0</v>
      </c>
      <c r="L15" s="36" t="str">
        <f aca="false">IF($A15="","",$F15+$J15-$K15)</f>
        <v/>
      </c>
      <c r="M15" s="39" t="n">
        <f aca="false">IF(OR($A15="",$E15=0),0,$L15/$E15)</f>
        <v>0</v>
      </c>
      <c r="N15" s="36" t="str">
        <f aca="false">IF($A15="","",$E15-$L15)</f>
        <v/>
      </c>
      <c r="O15" s="38" t="str">
        <f aca="false">IF($A15="","",MIN(EOMONTH(DATE(YEAR(CFG_HOJE),MONTH(CFG_HOJE)+IF(DAY(CFG_HOJE)&gt;$H15,1,0),1),0),DATE(YEAR(CFG_HOJE),MONTH(CFG_HOJE)+IF(DAY(CFG_HOJE)&gt;$H15,1,0),1)+$H15-1))</f>
        <v/>
      </c>
      <c r="P15" s="38" t="str">
        <f aca="false">IF($A15="","",EDATE($O15,-1)+1)</f>
        <v/>
      </c>
      <c r="Q15" s="38" t="str">
        <f aca="false">IF($A15="","",MIN(EOMONTH(DATE(YEAR($O15),MONTH($O15)+IF($I15&gt;$H15,0,1),1),0),DATE(YEAR($O15),MONTH($O15)+IF($I15&gt;$H15,0,1),1)+$I15-1))</f>
        <v/>
      </c>
      <c r="R15" s="36" t="n">
        <f aca="false">IF($A15="",0,SUMIFS(L_Valor,L_OrigTipo,"CARTAO",L_OrigID,$A15,L_Data,"&gt;="&amp;$P15,L_Data,"&lt;="&amp;$O15,L_Status,"REALIZADO")+SUMIFS(L_Valor,L_OrigTipo,"CARTAO",L_OrigID,$A15,L_Data,"&gt;="&amp;$P15,L_Data,"&lt;="&amp;$O15,L_Status,"PROJETADO"))</f>
        <v>0</v>
      </c>
      <c r="S15" s="36" t="n">
        <f aca="false">IF($A15="",0,SUMIFS(L_Valor,L_OrigTipo,"CARTAO",L_OrigID,$A15,L_Data,"&gt;"&amp;$O15,L_Status,"PROJETADO"))</f>
        <v>0</v>
      </c>
      <c r="T15" s="36" t="n">
        <f aca="false">IF($A15="",0,SUMIFS(L_Valor,L_OrigTipo,"CARTAO",L_OrigID,$A15,L_Status,"PROJETADO",L_ParcID,"&lt;&gt;"))</f>
        <v>0</v>
      </c>
      <c r="U15" s="36" t="str">
        <f aca="false">IF($A15="","",$L15+$S15)</f>
        <v/>
      </c>
      <c r="V15" s="32"/>
      <c r="W15" s="32"/>
    </row>
    <row r="16" customFormat="false" ht="15" hidden="false" customHeight="false" outlineLevel="0" collapsed="false">
      <c r="A16" s="30" t="str">
        <f aca="false">IF($B16="","","CAR-"&amp;TEXT(ROW()-4,"000000"))</f>
        <v/>
      </c>
      <c r="B16" s="32"/>
      <c r="C16" s="32"/>
      <c r="D16" s="35" t="str">
        <f aca="false">IF($C16="","",IFERROR(INDEX(INS_ID,MATCH($C16,INS_NOME,0)),"?"))</f>
        <v/>
      </c>
      <c r="E16" s="33"/>
      <c r="F16" s="33"/>
      <c r="G16" s="31"/>
      <c r="H16" s="37"/>
      <c r="I16" s="37"/>
      <c r="J16" s="36" t="n">
        <f aca="false">IF($A16="",0,SUMIFS(L_Valor,L_OrigTipo,"CARTAO",L_OrigID,$A16,L_Status,"REALIZADO"))</f>
        <v>0</v>
      </c>
      <c r="K16" s="36" t="n">
        <f aca="false">IF($A16="",0,SUMIFS(L_Valor,L_DestTipo,"CARTAO",L_DestID,$A16,L_Status,"REALIZADO"))</f>
        <v>0</v>
      </c>
      <c r="L16" s="36" t="str">
        <f aca="false">IF($A16="","",$F16+$J16-$K16)</f>
        <v/>
      </c>
      <c r="M16" s="39" t="n">
        <f aca="false">IF(OR($A16="",$E16=0),0,$L16/$E16)</f>
        <v>0</v>
      </c>
      <c r="N16" s="36" t="str">
        <f aca="false">IF($A16="","",$E16-$L16)</f>
        <v/>
      </c>
      <c r="O16" s="38" t="str">
        <f aca="false">IF($A16="","",MIN(EOMONTH(DATE(YEAR(CFG_HOJE),MONTH(CFG_HOJE)+IF(DAY(CFG_HOJE)&gt;$H16,1,0),1),0),DATE(YEAR(CFG_HOJE),MONTH(CFG_HOJE)+IF(DAY(CFG_HOJE)&gt;$H16,1,0),1)+$H16-1))</f>
        <v/>
      </c>
      <c r="P16" s="38" t="str">
        <f aca="false">IF($A16="","",EDATE($O16,-1)+1)</f>
        <v/>
      </c>
      <c r="Q16" s="38" t="str">
        <f aca="false">IF($A16="","",MIN(EOMONTH(DATE(YEAR($O16),MONTH($O16)+IF($I16&gt;$H16,0,1),1),0),DATE(YEAR($O16),MONTH($O16)+IF($I16&gt;$H16,0,1),1)+$I16-1))</f>
        <v/>
      </c>
      <c r="R16" s="36" t="n">
        <f aca="false">IF($A16="",0,SUMIFS(L_Valor,L_OrigTipo,"CARTAO",L_OrigID,$A16,L_Data,"&gt;="&amp;$P16,L_Data,"&lt;="&amp;$O16,L_Status,"REALIZADO")+SUMIFS(L_Valor,L_OrigTipo,"CARTAO",L_OrigID,$A16,L_Data,"&gt;="&amp;$P16,L_Data,"&lt;="&amp;$O16,L_Status,"PROJETADO"))</f>
        <v>0</v>
      </c>
      <c r="S16" s="36" t="n">
        <f aca="false">IF($A16="",0,SUMIFS(L_Valor,L_OrigTipo,"CARTAO",L_OrigID,$A16,L_Data,"&gt;"&amp;$O16,L_Status,"PROJETADO"))</f>
        <v>0</v>
      </c>
      <c r="T16" s="36" t="n">
        <f aca="false">IF($A16="",0,SUMIFS(L_Valor,L_OrigTipo,"CARTAO",L_OrigID,$A16,L_Status,"PROJETADO",L_ParcID,"&lt;&gt;"))</f>
        <v>0</v>
      </c>
      <c r="U16" s="36" t="str">
        <f aca="false">IF($A16="","",$L16+$S16)</f>
        <v/>
      </c>
      <c r="V16" s="32"/>
      <c r="W16" s="32"/>
    </row>
    <row r="17" customFormat="false" ht="15" hidden="false" customHeight="false" outlineLevel="0" collapsed="false">
      <c r="A17" s="30" t="str">
        <f aca="false">IF($B17="","","CAR-"&amp;TEXT(ROW()-4,"000000"))</f>
        <v/>
      </c>
      <c r="B17" s="32"/>
      <c r="C17" s="32"/>
      <c r="D17" s="35" t="str">
        <f aca="false">IF($C17="","",IFERROR(INDEX(INS_ID,MATCH($C17,INS_NOME,0)),"?"))</f>
        <v/>
      </c>
      <c r="E17" s="33"/>
      <c r="F17" s="33"/>
      <c r="G17" s="31"/>
      <c r="H17" s="37"/>
      <c r="I17" s="37"/>
      <c r="J17" s="36" t="n">
        <f aca="false">IF($A17="",0,SUMIFS(L_Valor,L_OrigTipo,"CARTAO",L_OrigID,$A17,L_Status,"REALIZADO"))</f>
        <v>0</v>
      </c>
      <c r="K17" s="36" t="n">
        <f aca="false">IF($A17="",0,SUMIFS(L_Valor,L_DestTipo,"CARTAO",L_DestID,$A17,L_Status,"REALIZADO"))</f>
        <v>0</v>
      </c>
      <c r="L17" s="36" t="str">
        <f aca="false">IF($A17="","",$F17+$J17-$K17)</f>
        <v/>
      </c>
      <c r="M17" s="39" t="n">
        <f aca="false">IF(OR($A17="",$E17=0),0,$L17/$E17)</f>
        <v>0</v>
      </c>
      <c r="N17" s="36" t="str">
        <f aca="false">IF($A17="","",$E17-$L17)</f>
        <v/>
      </c>
      <c r="O17" s="38" t="str">
        <f aca="false">IF($A17="","",MIN(EOMONTH(DATE(YEAR(CFG_HOJE),MONTH(CFG_HOJE)+IF(DAY(CFG_HOJE)&gt;$H17,1,0),1),0),DATE(YEAR(CFG_HOJE),MONTH(CFG_HOJE)+IF(DAY(CFG_HOJE)&gt;$H17,1,0),1)+$H17-1))</f>
        <v/>
      </c>
      <c r="P17" s="38" t="str">
        <f aca="false">IF($A17="","",EDATE($O17,-1)+1)</f>
        <v/>
      </c>
      <c r="Q17" s="38" t="str">
        <f aca="false">IF($A17="","",MIN(EOMONTH(DATE(YEAR($O17),MONTH($O17)+IF($I17&gt;$H17,0,1),1),0),DATE(YEAR($O17),MONTH($O17)+IF($I17&gt;$H17,0,1),1)+$I17-1))</f>
        <v/>
      </c>
      <c r="R17" s="36" t="n">
        <f aca="false">IF($A17="",0,SUMIFS(L_Valor,L_OrigTipo,"CARTAO",L_OrigID,$A17,L_Data,"&gt;="&amp;$P17,L_Data,"&lt;="&amp;$O17,L_Status,"REALIZADO")+SUMIFS(L_Valor,L_OrigTipo,"CARTAO",L_OrigID,$A17,L_Data,"&gt;="&amp;$P17,L_Data,"&lt;="&amp;$O17,L_Status,"PROJETADO"))</f>
        <v>0</v>
      </c>
      <c r="S17" s="36" t="n">
        <f aca="false">IF($A17="",0,SUMIFS(L_Valor,L_OrigTipo,"CARTAO",L_OrigID,$A17,L_Data,"&gt;"&amp;$O17,L_Status,"PROJETADO"))</f>
        <v>0</v>
      </c>
      <c r="T17" s="36" t="n">
        <f aca="false">IF($A17="",0,SUMIFS(L_Valor,L_OrigTipo,"CARTAO",L_OrigID,$A17,L_Status,"PROJETADO",L_ParcID,"&lt;&gt;"))</f>
        <v>0</v>
      </c>
      <c r="U17" s="36" t="str">
        <f aca="false">IF($A17="","",$L17+$S17)</f>
        <v/>
      </c>
      <c r="V17" s="32"/>
      <c r="W17" s="32"/>
    </row>
    <row r="18" customFormat="false" ht="15" hidden="false" customHeight="false" outlineLevel="0" collapsed="false">
      <c r="A18" s="30" t="str">
        <f aca="false">IF($B18="","","CAR-"&amp;TEXT(ROW()-4,"000000"))</f>
        <v/>
      </c>
      <c r="B18" s="32"/>
      <c r="C18" s="32"/>
      <c r="D18" s="35" t="str">
        <f aca="false">IF($C18="","",IFERROR(INDEX(INS_ID,MATCH($C18,INS_NOME,0)),"?"))</f>
        <v/>
      </c>
      <c r="E18" s="33"/>
      <c r="F18" s="33"/>
      <c r="G18" s="31"/>
      <c r="H18" s="37"/>
      <c r="I18" s="37"/>
      <c r="J18" s="36" t="n">
        <f aca="false">IF($A18="",0,SUMIFS(L_Valor,L_OrigTipo,"CARTAO",L_OrigID,$A18,L_Status,"REALIZADO"))</f>
        <v>0</v>
      </c>
      <c r="K18" s="36" t="n">
        <f aca="false">IF($A18="",0,SUMIFS(L_Valor,L_DestTipo,"CARTAO",L_DestID,$A18,L_Status,"REALIZADO"))</f>
        <v>0</v>
      </c>
      <c r="L18" s="36" t="str">
        <f aca="false">IF($A18="","",$F18+$J18-$K18)</f>
        <v/>
      </c>
      <c r="M18" s="39" t="n">
        <f aca="false">IF(OR($A18="",$E18=0),0,$L18/$E18)</f>
        <v>0</v>
      </c>
      <c r="N18" s="36" t="str">
        <f aca="false">IF($A18="","",$E18-$L18)</f>
        <v/>
      </c>
      <c r="O18" s="38" t="str">
        <f aca="false">IF($A18="","",MIN(EOMONTH(DATE(YEAR(CFG_HOJE),MONTH(CFG_HOJE)+IF(DAY(CFG_HOJE)&gt;$H18,1,0),1),0),DATE(YEAR(CFG_HOJE),MONTH(CFG_HOJE)+IF(DAY(CFG_HOJE)&gt;$H18,1,0),1)+$H18-1))</f>
        <v/>
      </c>
      <c r="P18" s="38" t="str">
        <f aca="false">IF($A18="","",EDATE($O18,-1)+1)</f>
        <v/>
      </c>
      <c r="Q18" s="38" t="str">
        <f aca="false">IF($A18="","",MIN(EOMONTH(DATE(YEAR($O18),MONTH($O18)+IF($I18&gt;$H18,0,1),1),0),DATE(YEAR($O18),MONTH($O18)+IF($I18&gt;$H18,0,1),1)+$I18-1))</f>
        <v/>
      </c>
      <c r="R18" s="36" t="n">
        <f aca="false">IF($A18="",0,SUMIFS(L_Valor,L_OrigTipo,"CARTAO",L_OrigID,$A18,L_Data,"&gt;="&amp;$P18,L_Data,"&lt;="&amp;$O18,L_Status,"REALIZADO")+SUMIFS(L_Valor,L_OrigTipo,"CARTAO",L_OrigID,$A18,L_Data,"&gt;="&amp;$P18,L_Data,"&lt;="&amp;$O18,L_Status,"PROJETADO"))</f>
        <v>0</v>
      </c>
      <c r="S18" s="36" t="n">
        <f aca="false">IF($A18="",0,SUMIFS(L_Valor,L_OrigTipo,"CARTAO",L_OrigID,$A18,L_Data,"&gt;"&amp;$O18,L_Status,"PROJETADO"))</f>
        <v>0</v>
      </c>
      <c r="T18" s="36" t="n">
        <f aca="false">IF($A18="",0,SUMIFS(L_Valor,L_OrigTipo,"CARTAO",L_OrigID,$A18,L_Status,"PROJETADO",L_ParcID,"&lt;&gt;"))</f>
        <v>0</v>
      </c>
      <c r="U18" s="36" t="str">
        <f aca="false">IF($A18="","",$L18+$S18)</f>
        <v/>
      </c>
      <c r="V18" s="32"/>
      <c r="W18" s="32"/>
    </row>
    <row r="19" customFormat="false" ht="15" hidden="false" customHeight="false" outlineLevel="0" collapsed="false">
      <c r="A19" s="30" t="str">
        <f aca="false">IF($B19="","","CAR-"&amp;TEXT(ROW()-4,"000000"))</f>
        <v/>
      </c>
      <c r="B19" s="32"/>
      <c r="C19" s="32"/>
      <c r="D19" s="35" t="str">
        <f aca="false">IF($C19="","",IFERROR(INDEX(INS_ID,MATCH($C19,INS_NOME,0)),"?"))</f>
        <v/>
      </c>
      <c r="E19" s="33"/>
      <c r="F19" s="33"/>
      <c r="G19" s="31"/>
      <c r="H19" s="37"/>
      <c r="I19" s="37"/>
      <c r="J19" s="36" t="n">
        <f aca="false">IF($A19="",0,SUMIFS(L_Valor,L_OrigTipo,"CARTAO",L_OrigID,$A19,L_Status,"REALIZADO"))</f>
        <v>0</v>
      </c>
      <c r="K19" s="36" t="n">
        <f aca="false">IF($A19="",0,SUMIFS(L_Valor,L_DestTipo,"CARTAO",L_DestID,$A19,L_Status,"REALIZADO"))</f>
        <v>0</v>
      </c>
      <c r="L19" s="36" t="str">
        <f aca="false">IF($A19="","",$F19+$J19-$K19)</f>
        <v/>
      </c>
      <c r="M19" s="39" t="n">
        <f aca="false">IF(OR($A19="",$E19=0),0,$L19/$E19)</f>
        <v>0</v>
      </c>
      <c r="N19" s="36" t="str">
        <f aca="false">IF($A19="","",$E19-$L19)</f>
        <v/>
      </c>
      <c r="O19" s="38" t="str">
        <f aca="false">IF($A19="","",MIN(EOMONTH(DATE(YEAR(CFG_HOJE),MONTH(CFG_HOJE)+IF(DAY(CFG_HOJE)&gt;$H19,1,0),1),0),DATE(YEAR(CFG_HOJE),MONTH(CFG_HOJE)+IF(DAY(CFG_HOJE)&gt;$H19,1,0),1)+$H19-1))</f>
        <v/>
      </c>
      <c r="P19" s="38" t="str">
        <f aca="false">IF($A19="","",EDATE($O19,-1)+1)</f>
        <v/>
      </c>
      <c r="Q19" s="38" t="str">
        <f aca="false">IF($A19="","",MIN(EOMONTH(DATE(YEAR($O19),MONTH($O19)+IF($I19&gt;$H19,0,1),1),0),DATE(YEAR($O19),MONTH($O19)+IF($I19&gt;$H19,0,1),1)+$I19-1))</f>
        <v/>
      </c>
      <c r="R19" s="36" t="n">
        <f aca="false">IF($A19="",0,SUMIFS(L_Valor,L_OrigTipo,"CARTAO",L_OrigID,$A19,L_Data,"&gt;="&amp;$P19,L_Data,"&lt;="&amp;$O19,L_Status,"REALIZADO")+SUMIFS(L_Valor,L_OrigTipo,"CARTAO",L_OrigID,$A19,L_Data,"&gt;="&amp;$P19,L_Data,"&lt;="&amp;$O19,L_Status,"PROJETADO"))</f>
        <v>0</v>
      </c>
      <c r="S19" s="36" t="n">
        <f aca="false">IF($A19="",0,SUMIFS(L_Valor,L_OrigTipo,"CARTAO",L_OrigID,$A19,L_Data,"&gt;"&amp;$O19,L_Status,"PROJETADO"))</f>
        <v>0</v>
      </c>
      <c r="T19" s="36" t="n">
        <f aca="false">IF($A19="",0,SUMIFS(L_Valor,L_OrigTipo,"CARTAO",L_OrigID,$A19,L_Status,"PROJETADO",L_ParcID,"&lt;&gt;"))</f>
        <v>0</v>
      </c>
      <c r="U19" s="36" t="str">
        <f aca="false">IF($A19="","",$L19+$S19)</f>
        <v/>
      </c>
      <c r="V19" s="32"/>
      <c r="W19" s="32"/>
    </row>
    <row r="20" customFormat="false" ht="15" hidden="false" customHeight="false" outlineLevel="0" collapsed="false">
      <c r="A20" s="30" t="str">
        <f aca="false">IF($B20="","","CAR-"&amp;TEXT(ROW()-4,"000000"))</f>
        <v/>
      </c>
      <c r="B20" s="32"/>
      <c r="C20" s="32"/>
      <c r="D20" s="35" t="str">
        <f aca="false">IF($C20="","",IFERROR(INDEX(INS_ID,MATCH($C20,INS_NOME,0)),"?"))</f>
        <v/>
      </c>
      <c r="E20" s="33"/>
      <c r="F20" s="33"/>
      <c r="G20" s="31"/>
      <c r="H20" s="37"/>
      <c r="I20" s="37"/>
      <c r="J20" s="36" t="n">
        <f aca="false">IF($A20="",0,SUMIFS(L_Valor,L_OrigTipo,"CARTAO",L_OrigID,$A20,L_Status,"REALIZADO"))</f>
        <v>0</v>
      </c>
      <c r="K20" s="36" t="n">
        <f aca="false">IF($A20="",0,SUMIFS(L_Valor,L_DestTipo,"CARTAO",L_DestID,$A20,L_Status,"REALIZADO"))</f>
        <v>0</v>
      </c>
      <c r="L20" s="36" t="str">
        <f aca="false">IF($A20="","",$F20+$J20-$K20)</f>
        <v/>
      </c>
      <c r="M20" s="39" t="n">
        <f aca="false">IF(OR($A20="",$E20=0),0,$L20/$E20)</f>
        <v>0</v>
      </c>
      <c r="N20" s="36" t="str">
        <f aca="false">IF($A20="","",$E20-$L20)</f>
        <v/>
      </c>
      <c r="O20" s="38" t="str">
        <f aca="false">IF($A20="","",MIN(EOMONTH(DATE(YEAR(CFG_HOJE),MONTH(CFG_HOJE)+IF(DAY(CFG_HOJE)&gt;$H20,1,0),1),0),DATE(YEAR(CFG_HOJE),MONTH(CFG_HOJE)+IF(DAY(CFG_HOJE)&gt;$H20,1,0),1)+$H20-1))</f>
        <v/>
      </c>
      <c r="P20" s="38" t="str">
        <f aca="false">IF($A20="","",EDATE($O20,-1)+1)</f>
        <v/>
      </c>
      <c r="Q20" s="38" t="str">
        <f aca="false">IF($A20="","",MIN(EOMONTH(DATE(YEAR($O20),MONTH($O20)+IF($I20&gt;$H20,0,1),1),0),DATE(YEAR($O20),MONTH($O20)+IF($I20&gt;$H20,0,1),1)+$I20-1))</f>
        <v/>
      </c>
      <c r="R20" s="36" t="n">
        <f aca="false">IF($A20="",0,SUMIFS(L_Valor,L_OrigTipo,"CARTAO",L_OrigID,$A20,L_Data,"&gt;="&amp;$P20,L_Data,"&lt;="&amp;$O20,L_Status,"REALIZADO")+SUMIFS(L_Valor,L_OrigTipo,"CARTAO",L_OrigID,$A20,L_Data,"&gt;="&amp;$P20,L_Data,"&lt;="&amp;$O20,L_Status,"PROJETADO"))</f>
        <v>0</v>
      </c>
      <c r="S20" s="36" t="n">
        <f aca="false">IF($A20="",0,SUMIFS(L_Valor,L_OrigTipo,"CARTAO",L_OrigID,$A20,L_Data,"&gt;"&amp;$O20,L_Status,"PROJETADO"))</f>
        <v>0</v>
      </c>
      <c r="T20" s="36" t="n">
        <f aca="false">IF($A20="",0,SUMIFS(L_Valor,L_OrigTipo,"CARTAO",L_OrigID,$A20,L_Status,"PROJETADO",L_ParcID,"&lt;&gt;"))</f>
        <v>0</v>
      </c>
      <c r="U20" s="36" t="str">
        <f aca="false">IF($A20="","",$L20+$S20)</f>
        <v/>
      </c>
      <c r="V20" s="32"/>
      <c r="W20" s="32"/>
    </row>
    <row r="21" customFormat="false" ht="15" hidden="false" customHeight="false" outlineLevel="0" collapsed="false">
      <c r="A21" s="30" t="str">
        <f aca="false">IF($B21="","","CAR-"&amp;TEXT(ROW()-4,"000000"))</f>
        <v/>
      </c>
      <c r="B21" s="32"/>
      <c r="C21" s="32"/>
      <c r="D21" s="35" t="str">
        <f aca="false">IF($C21="","",IFERROR(INDEX(INS_ID,MATCH($C21,INS_NOME,0)),"?"))</f>
        <v/>
      </c>
      <c r="E21" s="33"/>
      <c r="F21" s="33"/>
      <c r="G21" s="31"/>
      <c r="H21" s="37"/>
      <c r="I21" s="37"/>
      <c r="J21" s="36" t="n">
        <f aca="false">IF($A21="",0,SUMIFS(L_Valor,L_OrigTipo,"CARTAO",L_OrigID,$A21,L_Status,"REALIZADO"))</f>
        <v>0</v>
      </c>
      <c r="K21" s="36" t="n">
        <f aca="false">IF($A21="",0,SUMIFS(L_Valor,L_DestTipo,"CARTAO",L_DestID,$A21,L_Status,"REALIZADO"))</f>
        <v>0</v>
      </c>
      <c r="L21" s="36" t="str">
        <f aca="false">IF($A21="","",$F21+$J21-$K21)</f>
        <v/>
      </c>
      <c r="M21" s="39" t="n">
        <f aca="false">IF(OR($A21="",$E21=0),0,$L21/$E21)</f>
        <v>0</v>
      </c>
      <c r="N21" s="36" t="str">
        <f aca="false">IF($A21="","",$E21-$L21)</f>
        <v/>
      </c>
      <c r="O21" s="38" t="str">
        <f aca="false">IF($A21="","",MIN(EOMONTH(DATE(YEAR(CFG_HOJE),MONTH(CFG_HOJE)+IF(DAY(CFG_HOJE)&gt;$H21,1,0),1),0),DATE(YEAR(CFG_HOJE),MONTH(CFG_HOJE)+IF(DAY(CFG_HOJE)&gt;$H21,1,0),1)+$H21-1))</f>
        <v/>
      </c>
      <c r="P21" s="38" t="str">
        <f aca="false">IF($A21="","",EDATE($O21,-1)+1)</f>
        <v/>
      </c>
      <c r="Q21" s="38" t="str">
        <f aca="false">IF($A21="","",MIN(EOMONTH(DATE(YEAR($O21),MONTH($O21)+IF($I21&gt;$H21,0,1),1),0),DATE(YEAR($O21),MONTH($O21)+IF($I21&gt;$H21,0,1),1)+$I21-1))</f>
        <v/>
      </c>
      <c r="R21" s="36" t="n">
        <f aca="false">IF($A21="",0,SUMIFS(L_Valor,L_OrigTipo,"CARTAO",L_OrigID,$A21,L_Data,"&gt;="&amp;$P21,L_Data,"&lt;="&amp;$O21,L_Status,"REALIZADO")+SUMIFS(L_Valor,L_OrigTipo,"CARTAO",L_OrigID,$A21,L_Data,"&gt;="&amp;$P21,L_Data,"&lt;="&amp;$O21,L_Status,"PROJETADO"))</f>
        <v>0</v>
      </c>
      <c r="S21" s="36" t="n">
        <f aca="false">IF($A21="",0,SUMIFS(L_Valor,L_OrigTipo,"CARTAO",L_OrigID,$A21,L_Data,"&gt;"&amp;$O21,L_Status,"PROJETADO"))</f>
        <v>0</v>
      </c>
      <c r="T21" s="36" t="n">
        <f aca="false">IF($A21="",0,SUMIFS(L_Valor,L_OrigTipo,"CARTAO",L_OrigID,$A21,L_Status,"PROJETADO",L_ParcID,"&lt;&gt;"))</f>
        <v>0</v>
      </c>
      <c r="U21" s="36" t="str">
        <f aca="false">IF($A21="","",$L21+$S21)</f>
        <v/>
      </c>
      <c r="V21" s="32"/>
      <c r="W21" s="32"/>
    </row>
    <row r="22" customFormat="false" ht="15" hidden="false" customHeight="false" outlineLevel="0" collapsed="false">
      <c r="A22" s="30" t="str">
        <f aca="false">IF($B22="","","CAR-"&amp;TEXT(ROW()-4,"000000"))</f>
        <v/>
      </c>
      <c r="B22" s="32"/>
      <c r="C22" s="32"/>
      <c r="D22" s="35" t="str">
        <f aca="false">IF($C22="","",IFERROR(INDEX(INS_ID,MATCH($C22,INS_NOME,0)),"?"))</f>
        <v/>
      </c>
      <c r="E22" s="33"/>
      <c r="F22" s="33"/>
      <c r="G22" s="31"/>
      <c r="H22" s="37"/>
      <c r="I22" s="37"/>
      <c r="J22" s="36" t="n">
        <f aca="false">IF($A22="",0,SUMIFS(L_Valor,L_OrigTipo,"CARTAO",L_OrigID,$A22,L_Status,"REALIZADO"))</f>
        <v>0</v>
      </c>
      <c r="K22" s="36" t="n">
        <f aca="false">IF($A22="",0,SUMIFS(L_Valor,L_DestTipo,"CARTAO",L_DestID,$A22,L_Status,"REALIZADO"))</f>
        <v>0</v>
      </c>
      <c r="L22" s="36" t="str">
        <f aca="false">IF($A22="","",$F22+$J22-$K22)</f>
        <v/>
      </c>
      <c r="M22" s="39" t="n">
        <f aca="false">IF(OR($A22="",$E22=0),0,$L22/$E22)</f>
        <v>0</v>
      </c>
      <c r="N22" s="36" t="str">
        <f aca="false">IF($A22="","",$E22-$L22)</f>
        <v/>
      </c>
      <c r="O22" s="38" t="str">
        <f aca="false">IF($A22="","",MIN(EOMONTH(DATE(YEAR(CFG_HOJE),MONTH(CFG_HOJE)+IF(DAY(CFG_HOJE)&gt;$H22,1,0),1),0),DATE(YEAR(CFG_HOJE),MONTH(CFG_HOJE)+IF(DAY(CFG_HOJE)&gt;$H22,1,0),1)+$H22-1))</f>
        <v/>
      </c>
      <c r="P22" s="38" t="str">
        <f aca="false">IF($A22="","",EDATE($O22,-1)+1)</f>
        <v/>
      </c>
      <c r="Q22" s="38" t="str">
        <f aca="false">IF($A22="","",MIN(EOMONTH(DATE(YEAR($O22),MONTH($O22)+IF($I22&gt;$H22,0,1),1),0),DATE(YEAR($O22),MONTH($O22)+IF($I22&gt;$H22,0,1),1)+$I22-1))</f>
        <v/>
      </c>
      <c r="R22" s="36" t="n">
        <f aca="false">IF($A22="",0,SUMIFS(L_Valor,L_OrigTipo,"CARTAO",L_OrigID,$A22,L_Data,"&gt;="&amp;$P22,L_Data,"&lt;="&amp;$O22,L_Status,"REALIZADO")+SUMIFS(L_Valor,L_OrigTipo,"CARTAO",L_OrigID,$A22,L_Data,"&gt;="&amp;$P22,L_Data,"&lt;="&amp;$O22,L_Status,"PROJETADO"))</f>
        <v>0</v>
      </c>
      <c r="S22" s="36" t="n">
        <f aca="false">IF($A22="",0,SUMIFS(L_Valor,L_OrigTipo,"CARTAO",L_OrigID,$A22,L_Data,"&gt;"&amp;$O22,L_Status,"PROJETADO"))</f>
        <v>0</v>
      </c>
      <c r="T22" s="36" t="n">
        <f aca="false">IF($A22="",0,SUMIFS(L_Valor,L_OrigTipo,"CARTAO",L_OrigID,$A22,L_Status,"PROJETADO",L_ParcID,"&lt;&gt;"))</f>
        <v>0</v>
      </c>
      <c r="U22" s="36" t="str">
        <f aca="false">IF($A22="","",$L22+$S22)</f>
        <v/>
      </c>
      <c r="V22" s="32"/>
      <c r="W22" s="32"/>
    </row>
    <row r="23" customFormat="false" ht="15" hidden="false" customHeight="false" outlineLevel="0" collapsed="false">
      <c r="A23" s="30" t="str">
        <f aca="false">IF($B23="","","CAR-"&amp;TEXT(ROW()-4,"000000"))</f>
        <v/>
      </c>
      <c r="B23" s="32"/>
      <c r="C23" s="32"/>
      <c r="D23" s="35" t="str">
        <f aca="false">IF($C23="","",IFERROR(INDEX(INS_ID,MATCH($C23,INS_NOME,0)),"?"))</f>
        <v/>
      </c>
      <c r="E23" s="33"/>
      <c r="F23" s="33"/>
      <c r="G23" s="31"/>
      <c r="H23" s="37"/>
      <c r="I23" s="37"/>
      <c r="J23" s="36" t="n">
        <f aca="false">IF($A23="",0,SUMIFS(L_Valor,L_OrigTipo,"CARTAO",L_OrigID,$A23,L_Status,"REALIZADO"))</f>
        <v>0</v>
      </c>
      <c r="K23" s="36" t="n">
        <f aca="false">IF($A23="",0,SUMIFS(L_Valor,L_DestTipo,"CARTAO",L_DestID,$A23,L_Status,"REALIZADO"))</f>
        <v>0</v>
      </c>
      <c r="L23" s="36" t="str">
        <f aca="false">IF($A23="","",$F23+$J23-$K23)</f>
        <v/>
      </c>
      <c r="M23" s="39" t="n">
        <f aca="false">IF(OR($A23="",$E23=0),0,$L23/$E23)</f>
        <v>0</v>
      </c>
      <c r="N23" s="36" t="str">
        <f aca="false">IF($A23="","",$E23-$L23)</f>
        <v/>
      </c>
      <c r="O23" s="38" t="str">
        <f aca="false">IF($A23="","",MIN(EOMONTH(DATE(YEAR(CFG_HOJE),MONTH(CFG_HOJE)+IF(DAY(CFG_HOJE)&gt;$H23,1,0),1),0),DATE(YEAR(CFG_HOJE),MONTH(CFG_HOJE)+IF(DAY(CFG_HOJE)&gt;$H23,1,0),1)+$H23-1))</f>
        <v/>
      </c>
      <c r="P23" s="38" t="str">
        <f aca="false">IF($A23="","",EDATE($O23,-1)+1)</f>
        <v/>
      </c>
      <c r="Q23" s="38" t="str">
        <f aca="false">IF($A23="","",MIN(EOMONTH(DATE(YEAR($O23),MONTH($O23)+IF($I23&gt;$H23,0,1),1),0),DATE(YEAR($O23),MONTH($O23)+IF($I23&gt;$H23,0,1),1)+$I23-1))</f>
        <v/>
      </c>
      <c r="R23" s="36" t="n">
        <f aca="false">IF($A23="",0,SUMIFS(L_Valor,L_OrigTipo,"CARTAO",L_OrigID,$A23,L_Data,"&gt;="&amp;$P23,L_Data,"&lt;="&amp;$O23,L_Status,"REALIZADO")+SUMIFS(L_Valor,L_OrigTipo,"CARTAO",L_OrigID,$A23,L_Data,"&gt;="&amp;$P23,L_Data,"&lt;="&amp;$O23,L_Status,"PROJETADO"))</f>
        <v>0</v>
      </c>
      <c r="S23" s="36" t="n">
        <f aca="false">IF($A23="",0,SUMIFS(L_Valor,L_OrigTipo,"CARTAO",L_OrigID,$A23,L_Data,"&gt;"&amp;$O23,L_Status,"PROJETADO"))</f>
        <v>0</v>
      </c>
      <c r="T23" s="36" t="n">
        <f aca="false">IF($A23="",0,SUMIFS(L_Valor,L_OrigTipo,"CARTAO",L_OrigID,$A23,L_Status,"PROJETADO",L_ParcID,"&lt;&gt;"))</f>
        <v>0</v>
      </c>
      <c r="U23" s="36" t="str">
        <f aca="false">IF($A23="","",$L23+$S23)</f>
        <v/>
      </c>
      <c r="V23" s="32"/>
      <c r="W23" s="32"/>
    </row>
    <row r="24" customFormat="false" ht="15" hidden="false" customHeight="false" outlineLevel="0" collapsed="false">
      <c r="A24" s="30" t="str">
        <f aca="false">IF($B24="","","CAR-"&amp;TEXT(ROW()-4,"000000"))</f>
        <v/>
      </c>
      <c r="B24" s="32"/>
      <c r="C24" s="32"/>
      <c r="D24" s="35" t="str">
        <f aca="false">IF($C24="","",IFERROR(INDEX(INS_ID,MATCH($C24,INS_NOME,0)),"?"))</f>
        <v/>
      </c>
      <c r="E24" s="33"/>
      <c r="F24" s="33"/>
      <c r="G24" s="31"/>
      <c r="H24" s="37"/>
      <c r="I24" s="37"/>
      <c r="J24" s="36" t="n">
        <f aca="false">IF($A24="",0,SUMIFS(L_Valor,L_OrigTipo,"CARTAO",L_OrigID,$A24,L_Status,"REALIZADO"))</f>
        <v>0</v>
      </c>
      <c r="K24" s="36" t="n">
        <f aca="false">IF($A24="",0,SUMIFS(L_Valor,L_DestTipo,"CARTAO",L_DestID,$A24,L_Status,"REALIZADO"))</f>
        <v>0</v>
      </c>
      <c r="L24" s="36" t="str">
        <f aca="false">IF($A24="","",$F24+$J24-$K24)</f>
        <v/>
      </c>
      <c r="M24" s="39" t="n">
        <f aca="false">IF(OR($A24="",$E24=0),0,$L24/$E24)</f>
        <v>0</v>
      </c>
      <c r="N24" s="36" t="str">
        <f aca="false">IF($A24="","",$E24-$L24)</f>
        <v/>
      </c>
      <c r="O24" s="38" t="str">
        <f aca="false">IF($A24="","",MIN(EOMONTH(DATE(YEAR(CFG_HOJE),MONTH(CFG_HOJE)+IF(DAY(CFG_HOJE)&gt;$H24,1,0),1),0),DATE(YEAR(CFG_HOJE),MONTH(CFG_HOJE)+IF(DAY(CFG_HOJE)&gt;$H24,1,0),1)+$H24-1))</f>
        <v/>
      </c>
      <c r="P24" s="38" t="str">
        <f aca="false">IF($A24="","",EDATE($O24,-1)+1)</f>
        <v/>
      </c>
      <c r="Q24" s="38" t="str">
        <f aca="false">IF($A24="","",MIN(EOMONTH(DATE(YEAR($O24),MONTH($O24)+IF($I24&gt;$H24,0,1),1),0),DATE(YEAR($O24),MONTH($O24)+IF($I24&gt;$H24,0,1),1)+$I24-1))</f>
        <v/>
      </c>
      <c r="R24" s="36" t="n">
        <f aca="false">IF($A24="",0,SUMIFS(L_Valor,L_OrigTipo,"CARTAO",L_OrigID,$A24,L_Data,"&gt;="&amp;$P24,L_Data,"&lt;="&amp;$O24,L_Status,"REALIZADO")+SUMIFS(L_Valor,L_OrigTipo,"CARTAO",L_OrigID,$A24,L_Data,"&gt;="&amp;$P24,L_Data,"&lt;="&amp;$O24,L_Status,"PROJETADO"))</f>
        <v>0</v>
      </c>
      <c r="S24" s="36" t="n">
        <f aca="false">IF($A24="",0,SUMIFS(L_Valor,L_OrigTipo,"CARTAO",L_OrigID,$A24,L_Data,"&gt;"&amp;$O24,L_Status,"PROJETADO"))</f>
        <v>0</v>
      </c>
      <c r="T24" s="36" t="n">
        <f aca="false">IF($A24="",0,SUMIFS(L_Valor,L_OrigTipo,"CARTAO",L_OrigID,$A24,L_Status,"PROJETADO",L_ParcID,"&lt;&gt;"))</f>
        <v>0</v>
      </c>
      <c r="U24" s="36" t="str">
        <f aca="false">IF($A24="","",$L24+$S24)</f>
        <v/>
      </c>
      <c r="V24" s="32"/>
      <c r="W24" s="32"/>
    </row>
    <row r="25" customFormat="false" ht="15" hidden="false" customHeight="false" outlineLevel="0" collapsed="false">
      <c r="A25" s="30" t="str">
        <f aca="false">IF($B25="","","CAR-"&amp;TEXT(ROW()-4,"000000"))</f>
        <v/>
      </c>
      <c r="B25" s="32"/>
      <c r="C25" s="32"/>
      <c r="D25" s="35" t="str">
        <f aca="false">IF($C25="","",IFERROR(INDEX(INS_ID,MATCH($C25,INS_NOME,0)),"?"))</f>
        <v/>
      </c>
      <c r="E25" s="33"/>
      <c r="F25" s="33"/>
      <c r="G25" s="31"/>
      <c r="H25" s="37"/>
      <c r="I25" s="37"/>
      <c r="J25" s="36" t="n">
        <f aca="false">IF($A25="",0,SUMIFS(L_Valor,L_OrigTipo,"CARTAO",L_OrigID,$A25,L_Status,"REALIZADO"))</f>
        <v>0</v>
      </c>
      <c r="K25" s="36" t="n">
        <f aca="false">IF($A25="",0,SUMIFS(L_Valor,L_DestTipo,"CARTAO",L_DestID,$A25,L_Status,"REALIZADO"))</f>
        <v>0</v>
      </c>
      <c r="L25" s="36" t="str">
        <f aca="false">IF($A25="","",$F25+$J25-$K25)</f>
        <v/>
      </c>
      <c r="M25" s="39" t="n">
        <f aca="false">IF(OR($A25="",$E25=0),0,$L25/$E25)</f>
        <v>0</v>
      </c>
      <c r="N25" s="36" t="str">
        <f aca="false">IF($A25="","",$E25-$L25)</f>
        <v/>
      </c>
      <c r="O25" s="38" t="str">
        <f aca="false">IF($A25="","",MIN(EOMONTH(DATE(YEAR(CFG_HOJE),MONTH(CFG_HOJE)+IF(DAY(CFG_HOJE)&gt;$H25,1,0),1),0),DATE(YEAR(CFG_HOJE),MONTH(CFG_HOJE)+IF(DAY(CFG_HOJE)&gt;$H25,1,0),1)+$H25-1))</f>
        <v/>
      </c>
      <c r="P25" s="38" t="str">
        <f aca="false">IF($A25="","",EDATE($O25,-1)+1)</f>
        <v/>
      </c>
      <c r="Q25" s="38" t="str">
        <f aca="false">IF($A25="","",MIN(EOMONTH(DATE(YEAR($O25),MONTH($O25)+IF($I25&gt;$H25,0,1),1),0),DATE(YEAR($O25),MONTH($O25)+IF($I25&gt;$H25,0,1),1)+$I25-1))</f>
        <v/>
      </c>
      <c r="R25" s="36" t="n">
        <f aca="false">IF($A25="",0,SUMIFS(L_Valor,L_OrigTipo,"CARTAO",L_OrigID,$A25,L_Data,"&gt;="&amp;$P25,L_Data,"&lt;="&amp;$O25,L_Status,"REALIZADO")+SUMIFS(L_Valor,L_OrigTipo,"CARTAO",L_OrigID,$A25,L_Data,"&gt;="&amp;$P25,L_Data,"&lt;="&amp;$O25,L_Status,"PROJETADO"))</f>
        <v>0</v>
      </c>
      <c r="S25" s="36" t="n">
        <f aca="false">IF($A25="",0,SUMIFS(L_Valor,L_OrigTipo,"CARTAO",L_OrigID,$A25,L_Data,"&gt;"&amp;$O25,L_Status,"PROJETADO"))</f>
        <v>0</v>
      </c>
      <c r="T25" s="36" t="n">
        <f aca="false">IF($A25="",0,SUMIFS(L_Valor,L_OrigTipo,"CARTAO",L_OrigID,$A25,L_Status,"PROJETADO",L_ParcID,"&lt;&gt;"))</f>
        <v>0</v>
      </c>
      <c r="U25" s="36" t="str">
        <f aca="false">IF($A25="","",$L25+$S25)</f>
        <v/>
      </c>
      <c r="V25" s="32"/>
      <c r="W25" s="32"/>
    </row>
    <row r="26" customFormat="false" ht="15" hidden="false" customHeight="false" outlineLevel="0" collapsed="false">
      <c r="A26" s="30" t="str">
        <f aca="false">IF($B26="","","CAR-"&amp;TEXT(ROW()-4,"000000"))</f>
        <v/>
      </c>
      <c r="B26" s="32"/>
      <c r="C26" s="32"/>
      <c r="D26" s="35" t="str">
        <f aca="false">IF($C26="","",IFERROR(INDEX(INS_ID,MATCH($C26,INS_NOME,0)),"?"))</f>
        <v/>
      </c>
      <c r="E26" s="33"/>
      <c r="F26" s="33"/>
      <c r="G26" s="31"/>
      <c r="H26" s="37"/>
      <c r="I26" s="37"/>
      <c r="J26" s="36" t="n">
        <f aca="false">IF($A26="",0,SUMIFS(L_Valor,L_OrigTipo,"CARTAO",L_OrigID,$A26,L_Status,"REALIZADO"))</f>
        <v>0</v>
      </c>
      <c r="K26" s="36" t="n">
        <f aca="false">IF($A26="",0,SUMIFS(L_Valor,L_DestTipo,"CARTAO",L_DestID,$A26,L_Status,"REALIZADO"))</f>
        <v>0</v>
      </c>
      <c r="L26" s="36" t="str">
        <f aca="false">IF($A26="","",$F26+$J26-$K26)</f>
        <v/>
      </c>
      <c r="M26" s="39" t="n">
        <f aca="false">IF(OR($A26="",$E26=0),0,$L26/$E26)</f>
        <v>0</v>
      </c>
      <c r="N26" s="36" t="str">
        <f aca="false">IF($A26="","",$E26-$L26)</f>
        <v/>
      </c>
      <c r="O26" s="38" t="str">
        <f aca="false">IF($A26="","",MIN(EOMONTH(DATE(YEAR(CFG_HOJE),MONTH(CFG_HOJE)+IF(DAY(CFG_HOJE)&gt;$H26,1,0),1),0),DATE(YEAR(CFG_HOJE),MONTH(CFG_HOJE)+IF(DAY(CFG_HOJE)&gt;$H26,1,0),1)+$H26-1))</f>
        <v/>
      </c>
      <c r="P26" s="38" t="str">
        <f aca="false">IF($A26="","",EDATE($O26,-1)+1)</f>
        <v/>
      </c>
      <c r="Q26" s="38" t="str">
        <f aca="false">IF($A26="","",MIN(EOMONTH(DATE(YEAR($O26),MONTH($O26)+IF($I26&gt;$H26,0,1),1),0),DATE(YEAR($O26),MONTH($O26)+IF($I26&gt;$H26,0,1),1)+$I26-1))</f>
        <v/>
      </c>
      <c r="R26" s="36" t="n">
        <f aca="false">IF($A26="",0,SUMIFS(L_Valor,L_OrigTipo,"CARTAO",L_OrigID,$A26,L_Data,"&gt;="&amp;$P26,L_Data,"&lt;="&amp;$O26,L_Status,"REALIZADO")+SUMIFS(L_Valor,L_OrigTipo,"CARTAO",L_OrigID,$A26,L_Data,"&gt;="&amp;$P26,L_Data,"&lt;="&amp;$O26,L_Status,"PROJETADO"))</f>
        <v>0</v>
      </c>
      <c r="S26" s="36" t="n">
        <f aca="false">IF($A26="",0,SUMIFS(L_Valor,L_OrigTipo,"CARTAO",L_OrigID,$A26,L_Data,"&gt;"&amp;$O26,L_Status,"PROJETADO"))</f>
        <v>0</v>
      </c>
      <c r="T26" s="36" t="n">
        <f aca="false">IF($A26="",0,SUMIFS(L_Valor,L_OrigTipo,"CARTAO",L_OrigID,$A26,L_Status,"PROJETADO",L_ParcID,"&lt;&gt;"))</f>
        <v>0</v>
      </c>
      <c r="U26" s="36" t="str">
        <f aca="false">IF($A26="","",$L26+$S26)</f>
        <v/>
      </c>
      <c r="V26" s="32"/>
      <c r="W26" s="32"/>
    </row>
    <row r="27" customFormat="false" ht="15" hidden="false" customHeight="false" outlineLevel="0" collapsed="false">
      <c r="A27" s="30" t="str">
        <f aca="false">IF($B27="","","CAR-"&amp;TEXT(ROW()-4,"000000"))</f>
        <v/>
      </c>
      <c r="B27" s="32"/>
      <c r="C27" s="32"/>
      <c r="D27" s="35" t="str">
        <f aca="false">IF($C27="","",IFERROR(INDEX(INS_ID,MATCH($C27,INS_NOME,0)),"?"))</f>
        <v/>
      </c>
      <c r="E27" s="33"/>
      <c r="F27" s="33"/>
      <c r="G27" s="31"/>
      <c r="H27" s="37"/>
      <c r="I27" s="37"/>
      <c r="J27" s="36" t="n">
        <f aca="false">IF($A27="",0,SUMIFS(L_Valor,L_OrigTipo,"CARTAO",L_OrigID,$A27,L_Status,"REALIZADO"))</f>
        <v>0</v>
      </c>
      <c r="K27" s="36" t="n">
        <f aca="false">IF($A27="",0,SUMIFS(L_Valor,L_DestTipo,"CARTAO",L_DestID,$A27,L_Status,"REALIZADO"))</f>
        <v>0</v>
      </c>
      <c r="L27" s="36" t="str">
        <f aca="false">IF($A27="","",$F27+$J27-$K27)</f>
        <v/>
      </c>
      <c r="M27" s="39" t="n">
        <f aca="false">IF(OR($A27="",$E27=0),0,$L27/$E27)</f>
        <v>0</v>
      </c>
      <c r="N27" s="36" t="str">
        <f aca="false">IF($A27="","",$E27-$L27)</f>
        <v/>
      </c>
      <c r="O27" s="38" t="str">
        <f aca="false">IF($A27="","",MIN(EOMONTH(DATE(YEAR(CFG_HOJE),MONTH(CFG_HOJE)+IF(DAY(CFG_HOJE)&gt;$H27,1,0),1),0),DATE(YEAR(CFG_HOJE),MONTH(CFG_HOJE)+IF(DAY(CFG_HOJE)&gt;$H27,1,0),1)+$H27-1))</f>
        <v/>
      </c>
      <c r="P27" s="38" t="str">
        <f aca="false">IF($A27="","",EDATE($O27,-1)+1)</f>
        <v/>
      </c>
      <c r="Q27" s="38" t="str">
        <f aca="false">IF($A27="","",MIN(EOMONTH(DATE(YEAR($O27),MONTH($O27)+IF($I27&gt;$H27,0,1),1),0),DATE(YEAR($O27),MONTH($O27)+IF($I27&gt;$H27,0,1),1)+$I27-1))</f>
        <v/>
      </c>
      <c r="R27" s="36" t="n">
        <f aca="false">IF($A27="",0,SUMIFS(L_Valor,L_OrigTipo,"CARTAO",L_OrigID,$A27,L_Data,"&gt;="&amp;$P27,L_Data,"&lt;="&amp;$O27,L_Status,"REALIZADO")+SUMIFS(L_Valor,L_OrigTipo,"CARTAO",L_OrigID,$A27,L_Data,"&gt;="&amp;$P27,L_Data,"&lt;="&amp;$O27,L_Status,"PROJETADO"))</f>
        <v>0</v>
      </c>
      <c r="S27" s="36" t="n">
        <f aca="false">IF($A27="",0,SUMIFS(L_Valor,L_OrigTipo,"CARTAO",L_OrigID,$A27,L_Data,"&gt;"&amp;$O27,L_Status,"PROJETADO"))</f>
        <v>0</v>
      </c>
      <c r="T27" s="36" t="n">
        <f aca="false">IF($A27="",0,SUMIFS(L_Valor,L_OrigTipo,"CARTAO",L_OrigID,$A27,L_Status,"PROJETADO",L_ParcID,"&lt;&gt;"))</f>
        <v>0</v>
      </c>
      <c r="U27" s="36" t="str">
        <f aca="false">IF($A27="","",$L27+$S27)</f>
        <v/>
      </c>
      <c r="V27" s="32"/>
      <c r="W27" s="32"/>
    </row>
    <row r="28" customFormat="false" ht="15" hidden="false" customHeight="false" outlineLevel="0" collapsed="false">
      <c r="A28" s="30" t="str">
        <f aca="false">IF($B28="","","CAR-"&amp;TEXT(ROW()-4,"000000"))</f>
        <v/>
      </c>
      <c r="B28" s="32"/>
      <c r="C28" s="32"/>
      <c r="D28" s="35" t="str">
        <f aca="false">IF($C28="","",IFERROR(INDEX(INS_ID,MATCH($C28,INS_NOME,0)),"?"))</f>
        <v/>
      </c>
      <c r="E28" s="33"/>
      <c r="F28" s="33"/>
      <c r="G28" s="31"/>
      <c r="H28" s="37"/>
      <c r="I28" s="37"/>
      <c r="J28" s="36" t="n">
        <f aca="false">IF($A28="",0,SUMIFS(L_Valor,L_OrigTipo,"CARTAO",L_OrigID,$A28,L_Status,"REALIZADO"))</f>
        <v>0</v>
      </c>
      <c r="K28" s="36" t="n">
        <f aca="false">IF($A28="",0,SUMIFS(L_Valor,L_DestTipo,"CARTAO",L_DestID,$A28,L_Status,"REALIZADO"))</f>
        <v>0</v>
      </c>
      <c r="L28" s="36" t="str">
        <f aca="false">IF($A28="","",$F28+$J28-$K28)</f>
        <v/>
      </c>
      <c r="M28" s="39" t="n">
        <f aca="false">IF(OR($A28="",$E28=0),0,$L28/$E28)</f>
        <v>0</v>
      </c>
      <c r="N28" s="36" t="str">
        <f aca="false">IF($A28="","",$E28-$L28)</f>
        <v/>
      </c>
      <c r="O28" s="38" t="str">
        <f aca="false">IF($A28="","",MIN(EOMONTH(DATE(YEAR(CFG_HOJE),MONTH(CFG_HOJE)+IF(DAY(CFG_HOJE)&gt;$H28,1,0),1),0),DATE(YEAR(CFG_HOJE),MONTH(CFG_HOJE)+IF(DAY(CFG_HOJE)&gt;$H28,1,0),1)+$H28-1))</f>
        <v/>
      </c>
      <c r="P28" s="38" t="str">
        <f aca="false">IF($A28="","",EDATE($O28,-1)+1)</f>
        <v/>
      </c>
      <c r="Q28" s="38" t="str">
        <f aca="false">IF($A28="","",MIN(EOMONTH(DATE(YEAR($O28),MONTH($O28)+IF($I28&gt;$H28,0,1),1),0),DATE(YEAR($O28),MONTH($O28)+IF($I28&gt;$H28,0,1),1)+$I28-1))</f>
        <v/>
      </c>
      <c r="R28" s="36" t="n">
        <f aca="false">IF($A28="",0,SUMIFS(L_Valor,L_OrigTipo,"CARTAO",L_OrigID,$A28,L_Data,"&gt;="&amp;$P28,L_Data,"&lt;="&amp;$O28,L_Status,"REALIZADO")+SUMIFS(L_Valor,L_OrigTipo,"CARTAO",L_OrigID,$A28,L_Data,"&gt;="&amp;$P28,L_Data,"&lt;="&amp;$O28,L_Status,"PROJETADO"))</f>
        <v>0</v>
      </c>
      <c r="S28" s="36" t="n">
        <f aca="false">IF($A28="",0,SUMIFS(L_Valor,L_OrigTipo,"CARTAO",L_OrigID,$A28,L_Data,"&gt;"&amp;$O28,L_Status,"PROJETADO"))</f>
        <v>0</v>
      </c>
      <c r="T28" s="36" t="n">
        <f aca="false">IF($A28="",0,SUMIFS(L_Valor,L_OrigTipo,"CARTAO",L_OrigID,$A28,L_Status,"PROJETADO",L_ParcID,"&lt;&gt;"))</f>
        <v>0</v>
      </c>
      <c r="U28" s="36" t="str">
        <f aca="false">IF($A28="","",$L28+$S28)</f>
        <v/>
      </c>
      <c r="V28" s="32"/>
      <c r="W28" s="32"/>
    </row>
    <row r="29" customFormat="false" ht="15" hidden="false" customHeight="false" outlineLevel="0" collapsed="false">
      <c r="A29" s="30" t="str">
        <f aca="false">IF($B29="","","CAR-"&amp;TEXT(ROW()-4,"000000"))</f>
        <v/>
      </c>
      <c r="B29" s="32"/>
      <c r="C29" s="32"/>
      <c r="D29" s="35" t="str">
        <f aca="false">IF($C29="","",IFERROR(INDEX(INS_ID,MATCH($C29,INS_NOME,0)),"?"))</f>
        <v/>
      </c>
      <c r="E29" s="33"/>
      <c r="F29" s="33"/>
      <c r="G29" s="31"/>
      <c r="H29" s="37"/>
      <c r="I29" s="37"/>
      <c r="J29" s="36" t="n">
        <f aca="false">IF($A29="",0,SUMIFS(L_Valor,L_OrigTipo,"CARTAO",L_OrigID,$A29,L_Status,"REALIZADO"))</f>
        <v>0</v>
      </c>
      <c r="K29" s="36" t="n">
        <f aca="false">IF($A29="",0,SUMIFS(L_Valor,L_DestTipo,"CARTAO",L_DestID,$A29,L_Status,"REALIZADO"))</f>
        <v>0</v>
      </c>
      <c r="L29" s="36" t="str">
        <f aca="false">IF($A29="","",$F29+$J29-$K29)</f>
        <v/>
      </c>
      <c r="M29" s="39" t="n">
        <f aca="false">IF(OR($A29="",$E29=0),0,$L29/$E29)</f>
        <v>0</v>
      </c>
      <c r="N29" s="36" t="str">
        <f aca="false">IF($A29="","",$E29-$L29)</f>
        <v/>
      </c>
      <c r="O29" s="38" t="str">
        <f aca="false">IF($A29="","",MIN(EOMONTH(DATE(YEAR(CFG_HOJE),MONTH(CFG_HOJE)+IF(DAY(CFG_HOJE)&gt;$H29,1,0),1),0),DATE(YEAR(CFG_HOJE),MONTH(CFG_HOJE)+IF(DAY(CFG_HOJE)&gt;$H29,1,0),1)+$H29-1))</f>
        <v/>
      </c>
      <c r="P29" s="38" t="str">
        <f aca="false">IF($A29="","",EDATE($O29,-1)+1)</f>
        <v/>
      </c>
      <c r="Q29" s="38" t="str">
        <f aca="false">IF($A29="","",MIN(EOMONTH(DATE(YEAR($O29),MONTH($O29)+IF($I29&gt;$H29,0,1),1),0),DATE(YEAR($O29),MONTH($O29)+IF($I29&gt;$H29,0,1),1)+$I29-1))</f>
        <v/>
      </c>
      <c r="R29" s="36" t="n">
        <f aca="false">IF($A29="",0,SUMIFS(L_Valor,L_OrigTipo,"CARTAO",L_OrigID,$A29,L_Data,"&gt;="&amp;$P29,L_Data,"&lt;="&amp;$O29,L_Status,"REALIZADO")+SUMIFS(L_Valor,L_OrigTipo,"CARTAO",L_OrigID,$A29,L_Data,"&gt;="&amp;$P29,L_Data,"&lt;="&amp;$O29,L_Status,"PROJETADO"))</f>
        <v>0</v>
      </c>
      <c r="S29" s="36" t="n">
        <f aca="false">IF($A29="",0,SUMIFS(L_Valor,L_OrigTipo,"CARTAO",L_OrigID,$A29,L_Data,"&gt;"&amp;$O29,L_Status,"PROJETADO"))</f>
        <v>0</v>
      </c>
      <c r="T29" s="36" t="n">
        <f aca="false">IF($A29="",0,SUMIFS(L_Valor,L_OrigTipo,"CARTAO",L_OrigID,$A29,L_Status,"PROJETADO",L_ParcID,"&lt;&gt;"))</f>
        <v>0</v>
      </c>
      <c r="U29" s="36" t="str">
        <f aca="false">IF($A29="","",$L29+$S29)</f>
        <v/>
      </c>
      <c r="V29" s="32"/>
      <c r="W29" s="32"/>
    </row>
    <row r="30" customFormat="false" ht="15" hidden="false" customHeight="false" outlineLevel="0" collapsed="false">
      <c r="A30" s="30" t="str">
        <f aca="false">IF($B30="","","CAR-"&amp;TEXT(ROW()-4,"000000"))</f>
        <v/>
      </c>
      <c r="B30" s="32"/>
      <c r="C30" s="32"/>
      <c r="D30" s="35" t="str">
        <f aca="false">IF($C30="","",IFERROR(INDEX(INS_ID,MATCH($C30,INS_NOME,0)),"?"))</f>
        <v/>
      </c>
      <c r="E30" s="33"/>
      <c r="F30" s="33"/>
      <c r="G30" s="31"/>
      <c r="H30" s="37"/>
      <c r="I30" s="37"/>
      <c r="J30" s="36" t="n">
        <f aca="false">IF($A30="",0,SUMIFS(L_Valor,L_OrigTipo,"CARTAO",L_OrigID,$A30,L_Status,"REALIZADO"))</f>
        <v>0</v>
      </c>
      <c r="K30" s="36" t="n">
        <f aca="false">IF($A30="",0,SUMIFS(L_Valor,L_DestTipo,"CARTAO",L_DestID,$A30,L_Status,"REALIZADO"))</f>
        <v>0</v>
      </c>
      <c r="L30" s="36" t="str">
        <f aca="false">IF($A30="","",$F30+$J30-$K30)</f>
        <v/>
      </c>
      <c r="M30" s="39" t="n">
        <f aca="false">IF(OR($A30="",$E30=0),0,$L30/$E30)</f>
        <v>0</v>
      </c>
      <c r="N30" s="36" t="str">
        <f aca="false">IF($A30="","",$E30-$L30)</f>
        <v/>
      </c>
      <c r="O30" s="38" t="str">
        <f aca="false">IF($A30="","",MIN(EOMONTH(DATE(YEAR(CFG_HOJE),MONTH(CFG_HOJE)+IF(DAY(CFG_HOJE)&gt;$H30,1,0),1),0),DATE(YEAR(CFG_HOJE),MONTH(CFG_HOJE)+IF(DAY(CFG_HOJE)&gt;$H30,1,0),1)+$H30-1))</f>
        <v/>
      </c>
      <c r="P30" s="38" t="str">
        <f aca="false">IF($A30="","",EDATE($O30,-1)+1)</f>
        <v/>
      </c>
      <c r="Q30" s="38" t="str">
        <f aca="false">IF($A30="","",MIN(EOMONTH(DATE(YEAR($O30),MONTH($O30)+IF($I30&gt;$H30,0,1),1),0),DATE(YEAR($O30),MONTH($O30)+IF($I30&gt;$H30,0,1),1)+$I30-1))</f>
        <v/>
      </c>
      <c r="R30" s="36" t="n">
        <f aca="false">IF($A30="",0,SUMIFS(L_Valor,L_OrigTipo,"CARTAO",L_OrigID,$A30,L_Data,"&gt;="&amp;$P30,L_Data,"&lt;="&amp;$O30,L_Status,"REALIZADO")+SUMIFS(L_Valor,L_OrigTipo,"CARTAO",L_OrigID,$A30,L_Data,"&gt;="&amp;$P30,L_Data,"&lt;="&amp;$O30,L_Status,"PROJETADO"))</f>
        <v>0</v>
      </c>
      <c r="S30" s="36" t="n">
        <f aca="false">IF($A30="",0,SUMIFS(L_Valor,L_OrigTipo,"CARTAO",L_OrigID,$A30,L_Data,"&gt;"&amp;$O30,L_Status,"PROJETADO"))</f>
        <v>0</v>
      </c>
      <c r="T30" s="36" t="n">
        <f aca="false">IF($A30="",0,SUMIFS(L_Valor,L_OrigTipo,"CARTAO",L_OrigID,$A30,L_Status,"PROJETADO",L_ParcID,"&lt;&gt;"))</f>
        <v>0</v>
      </c>
      <c r="U30" s="36" t="str">
        <f aca="false">IF($A30="","",$L30+$S30)</f>
        <v/>
      </c>
      <c r="V30" s="32"/>
      <c r="W30" s="32"/>
    </row>
    <row r="31" customFormat="false" ht="15" hidden="false" customHeight="false" outlineLevel="0" collapsed="false">
      <c r="A31" s="30" t="str">
        <f aca="false">IF($B31="","","CAR-"&amp;TEXT(ROW()-4,"000000"))</f>
        <v/>
      </c>
      <c r="B31" s="32"/>
      <c r="C31" s="32"/>
      <c r="D31" s="35" t="str">
        <f aca="false">IF($C31="","",IFERROR(INDEX(INS_ID,MATCH($C31,INS_NOME,0)),"?"))</f>
        <v/>
      </c>
      <c r="E31" s="33"/>
      <c r="F31" s="33"/>
      <c r="G31" s="31"/>
      <c r="H31" s="37"/>
      <c r="I31" s="37"/>
      <c r="J31" s="36" t="n">
        <f aca="false">IF($A31="",0,SUMIFS(L_Valor,L_OrigTipo,"CARTAO",L_OrigID,$A31,L_Status,"REALIZADO"))</f>
        <v>0</v>
      </c>
      <c r="K31" s="36" t="n">
        <f aca="false">IF($A31="",0,SUMIFS(L_Valor,L_DestTipo,"CARTAO",L_DestID,$A31,L_Status,"REALIZADO"))</f>
        <v>0</v>
      </c>
      <c r="L31" s="36" t="str">
        <f aca="false">IF($A31="","",$F31+$J31-$K31)</f>
        <v/>
      </c>
      <c r="M31" s="39" t="n">
        <f aca="false">IF(OR($A31="",$E31=0),0,$L31/$E31)</f>
        <v>0</v>
      </c>
      <c r="N31" s="36" t="str">
        <f aca="false">IF($A31="","",$E31-$L31)</f>
        <v/>
      </c>
      <c r="O31" s="38" t="str">
        <f aca="false">IF($A31="","",MIN(EOMONTH(DATE(YEAR(CFG_HOJE),MONTH(CFG_HOJE)+IF(DAY(CFG_HOJE)&gt;$H31,1,0),1),0),DATE(YEAR(CFG_HOJE),MONTH(CFG_HOJE)+IF(DAY(CFG_HOJE)&gt;$H31,1,0),1)+$H31-1))</f>
        <v/>
      </c>
      <c r="P31" s="38" t="str">
        <f aca="false">IF($A31="","",EDATE($O31,-1)+1)</f>
        <v/>
      </c>
      <c r="Q31" s="38" t="str">
        <f aca="false">IF($A31="","",MIN(EOMONTH(DATE(YEAR($O31),MONTH($O31)+IF($I31&gt;$H31,0,1),1),0),DATE(YEAR($O31),MONTH($O31)+IF($I31&gt;$H31,0,1),1)+$I31-1))</f>
        <v/>
      </c>
      <c r="R31" s="36" t="n">
        <f aca="false">IF($A31="",0,SUMIFS(L_Valor,L_OrigTipo,"CARTAO",L_OrigID,$A31,L_Data,"&gt;="&amp;$P31,L_Data,"&lt;="&amp;$O31,L_Status,"REALIZADO")+SUMIFS(L_Valor,L_OrigTipo,"CARTAO",L_OrigID,$A31,L_Data,"&gt;="&amp;$P31,L_Data,"&lt;="&amp;$O31,L_Status,"PROJETADO"))</f>
        <v>0</v>
      </c>
      <c r="S31" s="36" t="n">
        <f aca="false">IF($A31="",0,SUMIFS(L_Valor,L_OrigTipo,"CARTAO",L_OrigID,$A31,L_Data,"&gt;"&amp;$O31,L_Status,"PROJETADO"))</f>
        <v>0</v>
      </c>
      <c r="T31" s="36" t="n">
        <f aca="false">IF($A31="",0,SUMIFS(L_Valor,L_OrigTipo,"CARTAO",L_OrigID,$A31,L_Status,"PROJETADO",L_ParcID,"&lt;&gt;"))</f>
        <v>0</v>
      </c>
      <c r="U31" s="36" t="str">
        <f aca="false">IF($A31="","",$L31+$S31)</f>
        <v/>
      </c>
      <c r="V31" s="32"/>
      <c r="W31" s="32"/>
    </row>
    <row r="32" customFormat="false" ht="15" hidden="false" customHeight="false" outlineLevel="0" collapsed="false">
      <c r="A32" s="30" t="str">
        <f aca="false">IF($B32="","","CAR-"&amp;TEXT(ROW()-4,"000000"))</f>
        <v/>
      </c>
      <c r="B32" s="32"/>
      <c r="C32" s="32"/>
      <c r="D32" s="35" t="str">
        <f aca="false">IF($C32="","",IFERROR(INDEX(INS_ID,MATCH($C32,INS_NOME,0)),"?"))</f>
        <v/>
      </c>
      <c r="E32" s="33"/>
      <c r="F32" s="33"/>
      <c r="G32" s="31"/>
      <c r="H32" s="37"/>
      <c r="I32" s="37"/>
      <c r="J32" s="36" t="n">
        <f aca="false">IF($A32="",0,SUMIFS(L_Valor,L_OrigTipo,"CARTAO",L_OrigID,$A32,L_Status,"REALIZADO"))</f>
        <v>0</v>
      </c>
      <c r="K32" s="36" t="n">
        <f aca="false">IF($A32="",0,SUMIFS(L_Valor,L_DestTipo,"CARTAO",L_DestID,$A32,L_Status,"REALIZADO"))</f>
        <v>0</v>
      </c>
      <c r="L32" s="36" t="str">
        <f aca="false">IF($A32="","",$F32+$J32-$K32)</f>
        <v/>
      </c>
      <c r="M32" s="39" t="n">
        <f aca="false">IF(OR($A32="",$E32=0),0,$L32/$E32)</f>
        <v>0</v>
      </c>
      <c r="N32" s="36" t="str">
        <f aca="false">IF($A32="","",$E32-$L32)</f>
        <v/>
      </c>
      <c r="O32" s="38" t="str">
        <f aca="false">IF($A32="","",MIN(EOMONTH(DATE(YEAR(CFG_HOJE),MONTH(CFG_HOJE)+IF(DAY(CFG_HOJE)&gt;$H32,1,0),1),0),DATE(YEAR(CFG_HOJE),MONTH(CFG_HOJE)+IF(DAY(CFG_HOJE)&gt;$H32,1,0),1)+$H32-1))</f>
        <v/>
      </c>
      <c r="P32" s="38" t="str">
        <f aca="false">IF($A32="","",EDATE($O32,-1)+1)</f>
        <v/>
      </c>
      <c r="Q32" s="38" t="str">
        <f aca="false">IF($A32="","",MIN(EOMONTH(DATE(YEAR($O32),MONTH($O32)+IF($I32&gt;$H32,0,1),1),0),DATE(YEAR($O32),MONTH($O32)+IF($I32&gt;$H32,0,1),1)+$I32-1))</f>
        <v/>
      </c>
      <c r="R32" s="36" t="n">
        <f aca="false">IF($A32="",0,SUMIFS(L_Valor,L_OrigTipo,"CARTAO",L_OrigID,$A32,L_Data,"&gt;="&amp;$P32,L_Data,"&lt;="&amp;$O32,L_Status,"REALIZADO")+SUMIFS(L_Valor,L_OrigTipo,"CARTAO",L_OrigID,$A32,L_Data,"&gt;="&amp;$P32,L_Data,"&lt;="&amp;$O32,L_Status,"PROJETADO"))</f>
        <v>0</v>
      </c>
      <c r="S32" s="36" t="n">
        <f aca="false">IF($A32="",0,SUMIFS(L_Valor,L_OrigTipo,"CARTAO",L_OrigID,$A32,L_Data,"&gt;"&amp;$O32,L_Status,"PROJETADO"))</f>
        <v>0</v>
      </c>
      <c r="T32" s="36" t="n">
        <f aca="false">IF($A32="",0,SUMIFS(L_Valor,L_OrigTipo,"CARTAO",L_OrigID,$A32,L_Status,"PROJETADO",L_ParcID,"&lt;&gt;"))</f>
        <v>0</v>
      </c>
      <c r="U32" s="36" t="str">
        <f aca="false">IF($A32="","",$L32+$S32)</f>
        <v/>
      </c>
      <c r="V32" s="32"/>
      <c r="W32" s="32"/>
    </row>
    <row r="33" customFormat="false" ht="15" hidden="false" customHeight="false" outlineLevel="0" collapsed="false">
      <c r="A33" s="30" t="str">
        <f aca="false">IF($B33="","","CAR-"&amp;TEXT(ROW()-4,"000000"))</f>
        <v/>
      </c>
      <c r="B33" s="32"/>
      <c r="C33" s="32"/>
      <c r="D33" s="35" t="str">
        <f aca="false">IF($C33="","",IFERROR(INDEX(INS_ID,MATCH($C33,INS_NOME,0)),"?"))</f>
        <v/>
      </c>
      <c r="E33" s="33"/>
      <c r="F33" s="33"/>
      <c r="G33" s="31"/>
      <c r="H33" s="37"/>
      <c r="I33" s="37"/>
      <c r="J33" s="36" t="n">
        <f aca="false">IF($A33="",0,SUMIFS(L_Valor,L_OrigTipo,"CARTAO",L_OrigID,$A33,L_Status,"REALIZADO"))</f>
        <v>0</v>
      </c>
      <c r="K33" s="36" t="n">
        <f aca="false">IF($A33="",0,SUMIFS(L_Valor,L_DestTipo,"CARTAO",L_DestID,$A33,L_Status,"REALIZADO"))</f>
        <v>0</v>
      </c>
      <c r="L33" s="36" t="str">
        <f aca="false">IF($A33="","",$F33+$J33-$K33)</f>
        <v/>
      </c>
      <c r="M33" s="39" t="n">
        <f aca="false">IF(OR($A33="",$E33=0),0,$L33/$E33)</f>
        <v>0</v>
      </c>
      <c r="N33" s="36" t="str">
        <f aca="false">IF($A33="","",$E33-$L33)</f>
        <v/>
      </c>
      <c r="O33" s="38" t="str">
        <f aca="false">IF($A33="","",MIN(EOMONTH(DATE(YEAR(CFG_HOJE),MONTH(CFG_HOJE)+IF(DAY(CFG_HOJE)&gt;$H33,1,0),1),0),DATE(YEAR(CFG_HOJE),MONTH(CFG_HOJE)+IF(DAY(CFG_HOJE)&gt;$H33,1,0),1)+$H33-1))</f>
        <v/>
      </c>
      <c r="P33" s="38" t="str">
        <f aca="false">IF($A33="","",EDATE($O33,-1)+1)</f>
        <v/>
      </c>
      <c r="Q33" s="38" t="str">
        <f aca="false">IF($A33="","",MIN(EOMONTH(DATE(YEAR($O33),MONTH($O33)+IF($I33&gt;$H33,0,1),1),0),DATE(YEAR($O33),MONTH($O33)+IF($I33&gt;$H33,0,1),1)+$I33-1))</f>
        <v/>
      </c>
      <c r="R33" s="36" t="n">
        <f aca="false">IF($A33="",0,SUMIFS(L_Valor,L_OrigTipo,"CARTAO",L_OrigID,$A33,L_Data,"&gt;="&amp;$P33,L_Data,"&lt;="&amp;$O33,L_Status,"REALIZADO")+SUMIFS(L_Valor,L_OrigTipo,"CARTAO",L_OrigID,$A33,L_Data,"&gt;="&amp;$P33,L_Data,"&lt;="&amp;$O33,L_Status,"PROJETADO"))</f>
        <v>0</v>
      </c>
      <c r="S33" s="36" t="n">
        <f aca="false">IF($A33="",0,SUMIFS(L_Valor,L_OrigTipo,"CARTAO",L_OrigID,$A33,L_Data,"&gt;"&amp;$O33,L_Status,"PROJETADO"))</f>
        <v>0</v>
      </c>
      <c r="T33" s="36" t="n">
        <f aca="false">IF($A33="",0,SUMIFS(L_Valor,L_OrigTipo,"CARTAO",L_OrigID,$A33,L_Status,"PROJETADO",L_ParcID,"&lt;&gt;"))</f>
        <v>0</v>
      </c>
      <c r="U33" s="36" t="str">
        <f aca="false">IF($A33="","",$L33+$S33)</f>
        <v/>
      </c>
      <c r="V33" s="32"/>
      <c r="W33" s="32"/>
    </row>
    <row r="34" customFormat="false" ht="15" hidden="false" customHeight="false" outlineLevel="0" collapsed="false">
      <c r="A34" s="30" t="str">
        <f aca="false">IF($B34="","","CAR-"&amp;TEXT(ROW()-4,"000000"))</f>
        <v/>
      </c>
      <c r="B34" s="32"/>
      <c r="C34" s="32"/>
      <c r="D34" s="35" t="str">
        <f aca="false">IF($C34="","",IFERROR(INDEX(INS_ID,MATCH($C34,INS_NOME,0)),"?"))</f>
        <v/>
      </c>
      <c r="E34" s="33"/>
      <c r="F34" s="33"/>
      <c r="G34" s="31"/>
      <c r="H34" s="37"/>
      <c r="I34" s="37"/>
      <c r="J34" s="36" t="n">
        <f aca="false">IF($A34="",0,SUMIFS(L_Valor,L_OrigTipo,"CARTAO",L_OrigID,$A34,L_Status,"REALIZADO"))</f>
        <v>0</v>
      </c>
      <c r="K34" s="36" t="n">
        <f aca="false">IF($A34="",0,SUMIFS(L_Valor,L_DestTipo,"CARTAO",L_DestID,$A34,L_Status,"REALIZADO"))</f>
        <v>0</v>
      </c>
      <c r="L34" s="36" t="str">
        <f aca="false">IF($A34="","",$F34+$J34-$K34)</f>
        <v/>
      </c>
      <c r="M34" s="39" t="n">
        <f aca="false">IF(OR($A34="",$E34=0),0,$L34/$E34)</f>
        <v>0</v>
      </c>
      <c r="N34" s="36" t="str">
        <f aca="false">IF($A34="","",$E34-$L34)</f>
        <v/>
      </c>
      <c r="O34" s="38" t="str">
        <f aca="false">IF($A34="","",MIN(EOMONTH(DATE(YEAR(CFG_HOJE),MONTH(CFG_HOJE)+IF(DAY(CFG_HOJE)&gt;$H34,1,0),1),0),DATE(YEAR(CFG_HOJE),MONTH(CFG_HOJE)+IF(DAY(CFG_HOJE)&gt;$H34,1,0),1)+$H34-1))</f>
        <v/>
      </c>
      <c r="P34" s="38" t="str">
        <f aca="false">IF($A34="","",EDATE($O34,-1)+1)</f>
        <v/>
      </c>
      <c r="Q34" s="38" t="str">
        <f aca="false">IF($A34="","",MIN(EOMONTH(DATE(YEAR($O34),MONTH($O34)+IF($I34&gt;$H34,0,1),1),0),DATE(YEAR($O34),MONTH($O34)+IF($I34&gt;$H34,0,1),1)+$I34-1))</f>
        <v/>
      </c>
      <c r="R34" s="36" t="n">
        <f aca="false">IF($A34="",0,SUMIFS(L_Valor,L_OrigTipo,"CARTAO",L_OrigID,$A34,L_Data,"&gt;="&amp;$P34,L_Data,"&lt;="&amp;$O34,L_Status,"REALIZADO")+SUMIFS(L_Valor,L_OrigTipo,"CARTAO",L_OrigID,$A34,L_Data,"&gt;="&amp;$P34,L_Data,"&lt;="&amp;$O34,L_Status,"PROJETADO"))</f>
        <v>0</v>
      </c>
      <c r="S34" s="36" t="n">
        <f aca="false">IF($A34="",0,SUMIFS(L_Valor,L_OrigTipo,"CARTAO",L_OrigID,$A34,L_Data,"&gt;"&amp;$O34,L_Status,"PROJETADO"))</f>
        <v>0</v>
      </c>
      <c r="T34" s="36" t="n">
        <f aca="false">IF($A34="",0,SUMIFS(L_Valor,L_OrigTipo,"CARTAO",L_OrigID,$A34,L_Status,"PROJETADO",L_ParcID,"&lt;&gt;"))</f>
        <v>0</v>
      </c>
      <c r="U34" s="36" t="str">
        <f aca="false">IF($A34="","",$L34+$S34)</f>
        <v/>
      </c>
      <c r="V34" s="32"/>
      <c r="W34" s="32"/>
    </row>
    <row r="35" customFormat="false" ht="15" hidden="false" customHeight="false" outlineLevel="0" collapsed="false">
      <c r="A35" s="30" t="str">
        <f aca="false">IF($B35="","","CAR-"&amp;TEXT(ROW()-4,"000000"))</f>
        <v/>
      </c>
      <c r="B35" s="32"/>
      <c r="C35" s="32"/>
      <c r="D35" s="35" t="str">
        <f aca="false">IF($C35="","",IFERROR(INDEX(INS_ID,MATCH($C35,INS_NOME,0)),"?"))</f>
        <v/>
      </c>
      <c r="E35" s="33"/>
      <c r="F35" s="33"/>
      <c r="G35" s="31"/>
      <c r="H35" s="37"/>
      <c r="I35" s="37"/>
      <c r="J35" s="36" t="n">
        <f aca="false">IF($A35="",0,SUMIFS(L_Valor,L_OrigTipo,"CARTAO",L_OrigID,$A35,L_Status,"REALIZADO"))</f>
        <v>0</v>
      </c>
      <c r="K35" s="36" t="n">
        <f aca="false">IF($A35="",0,SUMIFS(L_Valor,L_DestTipo,"CARTAO",L_DestID,$A35,L_Status,"REALIZADO"))</f>
        <v>0</v>
      </c>
      <c r="L35" s="36" t="str">
        <f aca="false">IF($A35="","",$F35+$J35-$K35)</f>
        <v/>
      </c>
      <c r="M35" s="39" t="n">
        <f aca="false">IF(OR($A35="",$E35=0),0,$L35/$E35)</f>
        <v>0</v>
      </c>
      <c r="N35" s="36" t="str">
        <f aca="false">IF($A35="","",$E35-$L35)</f>
        <v/>
      </c>
      <c r="O35" s="38" t="str">
        <f aca="false">IF($A35="","",MIN(EOMONTH(DATE(YEAR(CFG_HOJE),MONTH(CFG_HOJE)+IF(DAY(CFG_HOJE)&gt;$H35,1,0),1),0),DATE(YEAR(CFG_HOJE),MONTH(CFG_HOJE)+IF(DAY(CFG_HOJE)&gt;$H35,1,0),1)+$H35-1))</f>
        <v/>
      </c>
      <c r="P35" s="38" t="str">
        <f aca="false">IF($A35="","",EDATE($O35,-1)+1)</f>
        <v/>
      </c>
      <c r="Q35" s="38" t="str">
        <f aca="false">IF($A35="","",MIN(EOMONTH(DATE(YEAR($O35),MONTH($O35)+IF($I35&gt;$H35,0,1),1),0),DATE(YEAR($O35),MONTH($O35)+IF($I35&gt;$H35,0,1),1)+$I35-1))</f>
        <v/>
      </c>
      <c r="R35" s="36" t="n">
        <f aca="false">IF($A35="",0,SUMIFS(L_Valor,L_OrigTipo,"CARTAO",L_OrigID,$A35,L_Data,"&gt;="&amp;$P35,L_Data,"&lt;="&amp;$O35,L_Status,"REALIZADO")+SUMIFS(L_Valor,L_OrigTipo,"CARTAO",L_OrigID,$A35,L_Data,"&gt;="&amp;$P35,L_Data,"&lt;="&amp;$O35,L_Status,"PROJETADO"))</f>
        <v>0</v>
      </c>
      <c r="S35" s="36" t="n">
        <f aca="false">IF($A35="",0,SUMIFS(L_Valor,L_OrigTipo,"CARTAO",L_OrigID,$A35,L_Data,"&gt;"&amp;$O35,L_Status,"PROJETADO"))</f>
        <v>0</v>
      </c>
      <c r="T35" s="36" t="n">
        <f aca="false">IF($A35="",0,SUMIFS(L_Valor,L_OrigTipo,"CARTAO",L_OrigID,$A35,L_Status,"PROJETADO",L_ParcID,"&lt;&gt;"))</f>
        <v>0</v>
      </c>
      <c r="U35" s="36" t="str">
        <f aca="false">IF($A35="","",$L35+$S35)</f>
        <v/>
      </c>
      <c r="V35" s="32"/>
      <c r="W35" s="32"/>
    </row>
    <row r="36" customFormat="false" ht="15" hidden="false" customHeight="false" outlineLevel="0" collapsed="false">
      <c r="A36" s="30" t="str">
        <f aca="false">IF($B36="","","CAR-"&amp;TEXT(ROW()-4,"000000"))</f>
        <v/>
      </c>
      <c r="B36" s="32"/>
      <c r="C36" s="32"/>
      <c r="D36" s="35" t="str">
        <f aca="false">IF($C36="","",IFERROR(INDEX(INS_ID,MATCH($C36,INS_NOME,0)),"?"))</f>
        <v/>
      </c>
      <c r="E36" s="33"/>
      <c r="F36" s="33"/>
      <c r="G36" s="31"/>
      <c r="H36" s="37"/>
      <c r="I36" s="37"/>
      <c r="J36" s="36" t="n">
        <f aca="false">IF($A36="",0,SUMIFS(L_Valor,L_OrigTipo,"CARTAO",L_OrigID,$A36,L_Status,"REALIZADO"))</f>
        <v>0</v>
      </c>
      <c r="K36" s="36" t="n">
        <f aca="false">IF($A36="",0,SUMIFS(L_Valor,L_DestTipo,"CARTAO",L_DestID,$A36,L_Status,"REALIZADO"))</f>
        <v>0</v>
      </c>
      <c r="L36" s="36" t="str">
        <f aca="false">IF($A36="","",$F36+$J36-$K36)</f>
        <v/>
      </c>
      <c r="M36" s="39" t="n">
        <f aca="false">IF(OR($A36="",$E36=0),0,$L36/$E36)</f>
        <v>0</v>
      </c>
      <c r="N36" s="36" t="str">
        <f aca="false">IF($A36="","",$E36-$L36)</f>
        <v/>
      </c>
      <c r="O36" s="38" t="str">
        <f aca="false">IF($A36="","",MIN(EOMONTH(DATE(YEAR(CFG_HOJE),MONTH(CFG_HOJE)+IF(DAY(CFG_HOJE)&gt;$H36,1,0),1),0),DATE(YEAR(CFG_HOJE),MONTH(CFG_HOJE)+IF(DAY(CFG_HOJE)&gt;$H36,1,0),1)+$H36-1))</f>
        <v/>
      </c>
      <c r="P36" s="38" t="str">
        <f aca="false">IF($A36="","",EDATE($O36,-1)+1)</f>
        <v/>
      </c>
      <c r="Q36" s="38" t="str">
        <f aca="false">IF($A36="","",MIN(EOMONTH(DATE(YEAR($O36),MONTH($O36)+IF($I36&gt;$H36,0,1),1),0),DATE(YEAR($O36),MONTH($O36)+IF($I36&gt;$H36,0,1),1)+$I36-1))</f>
        <v/>
      </c>
      <c r="R36" s="36" t="n">
        <f aca="false">IF($A36="",0,SUMIFS(L_Valor,L_OrigTipo,"CARTAO",L_OrigID,$A36,L_Data,"&gt;="&amp;$P36,L_Data,"&lt;="&amp;$O36,L_Status,"REALIZADO")+SUMIFS(L_Valor,L_OrigTipo,"CARTAO",L_OrigID,$A36,L_Data,"&gt;="&amp;$P36,L_Data,"&lt;="&amp;$O36,L_Status,"PROJETADO"))</f>
        <v>0</v>
      </c>
      <c r="S36" s="36" t="n">
        <f aca="false">IF($A36="",0,SUMIFS(L_Valor,L_OrigTipo,"CARTAO",L_OrigID,$A36,L_Data,"&gt;"&amp;$O36,L_Status,"PROJETADO"))</f>
        <v>0</v>
      </c>
      <c r="T36" s="36" t="n">
        <f aca="false">IF($A36="",0,SUMIFS(L_Valor,L_OrigTipo,"CARTAO",L_OrigID,$A36,L_Status,"PROJETADO",L_ParcID,"&lt;&gt;"))</f>
        <v>0</v>
      </c>
      <c r="U36" s="36" t="str">
        <f aca="false">IF($A36="","",$L36+$S36)</f>
        <v/>
      </c>
      <c r="V36" s="32"/>
      <c r="W36" s="32"/>
    </row>
    <row r="37" customFormat="false" ht="15" hidden="false" customHeight="false" outlineLevel="0" collapsed="false">
      <c r="A37" s="30" t="str">
        <f aca="false">IF($B37="","","CAR-"&amp;TEXT(ROW()-4,"000000"))</f>
        <v/>
      </c>
      <c r="B37" s="32"/>
      <c r="C37" s="32"/>
      <c r="D37" s="35" t="str">
        <f aca="false">IF($C37="","",IFERROR(INDEX(INS_ID,MATCH($C37,INS_NOME,0)),"?"))</f>
        <v/>
      </c>
      <c r="E37" s="33"/>
      <c r="F37" s="33"/>
      <c r="G37" s="31"/>
      <c r="H37" s="37"/>
      <c r="I37" s="37"/>
      <c r="J37" s="36" t="n">
        <f aca="false">IF($A37="",0,SUMIFS(L_Valor,L_OrigTipo,"CARTAO",L_OrigID,$A37,L_Status,"REALIZADO"))</f>
        <v>0</v>
      </c>
      <c r="K37" s="36" t="n">
        <f aca="false">IF($A37="",0,SUMIFS(L_Valor,L_DestTipo,"CARTAO",L_DestID,$A37,L_Status,"REALIZADO"))</f>
        <v>0</v>
      </c>
      <c r="L37" s="36" t="str">
        <f aca="false">IF($A37="","",$F37+$J37-$K37)</f>
        <v/>
      </c>
      <c r="M37" s="39" t="n">
        <f aca="false">IF(OR($A37="",$E37=0),0,$L37/$E37)</f>
        <v>0</v>
      </c>
      <c r="N37" s="36" t="str">
        <f aca="false">IF($A37="","",$E37-$L37)</f>
        <v/>
      </c>
      <c r="O37" s="38" t="str">
        <f aca="false">IF($A37="","",MIN(EOMONTH(DATE(YEAR(CFG_HOJE),MONTH(CFG_HOJE)+IF(DAY(CFG_HOJE)&gt;$H37,1,0),1),0),DATE(YEAR(CFG_HOJE),MONTH(CFG_HOJE)+IF(DAY(CFG_HOJE)&gt;$H37,1,0),1)+$H37-1))</f>
        <v/>
      </c>
      <c r="P37" s="38" t="str">
        <f aca="false">IF($A37="","",EDATE($O37,-1)+1)</f>
        <v/>
      </c>
      <c r="Q37" s="38" t="str">
        <f aca="false">IF($A37="","",MIN(EOMONTH(DATE(YEAR($O37),MONTH($O37)+IF($I37&gt;$H37,0,1),1),0),DATE(YEAR($O37),MONTH($O37)+IF($I37&gt;$H37,0,1),1)+$I37-1))</f>
        <v/>
      </c>
      <c r="R37" s="36" t="n">
        <f aca="false">IF($A37="",0,SUMIFS(L_Valor,L_OrigTipo,"CARTAO",L_OrigID,$A37,L_Data,"&gt;="&amp;$P37,L_Data,"&lt;="&amp;$O37,L_Status,"REALIZADO")+SUMIFS(L_Valor,L_OrigTipo,"CARTAO",L_OrigID,$A37,L_Data,"&gt;="&amp;$P37,L_Data,"&lt;="&amp;$O37,L_Status,"PROJETADO"))</f>
        <v>0</v>
      </c>
      <c r="S37" s="36" t="n">
        <f aca="false">IF($A37="",0,SUMIFS(L_Valor,L_OrigTipo,"CARTAO",L_OrigID,$A37,L_Data,"&gt;"&amp;$O37,L_Status,"PROJETADO"))</f>
        <v>0</v>
      </c>
      <c r="T37" s="36" t="n">
        <f aca="false">IF($A37="",0,SUMIFS(L_Valor,L_OrigTipo,"CARTAO",L_OrigID,$A37,L_Status,"PROJETADO",L_ParcID,"&lt;&gt;"))</f>
        <v>0</v>
      </c>
      <c r="U37" s="36" t="str">
        <f aca="false">IF($A37="","",$L37+$S37)</f>
        <v/>
      </c>
      <c r="V37" s="32"/>
      <c r="W37" s="32"/>
    </row>
    <row r="38" customFormat="false" ht="15" hidden="false" customHeight="false" outlineLevel="0" collapsed="false">
      <c r="A38" s="30" t="str">
        <f aca="false">IF($B38="","","CAR-"&amp;TEXT(ROW()-4,"000000"))</f>
        <v/>
      </c>
      <c r="B38" s="32"/>
      <c r="C38" s="32"/>
      <c r="D38" s="35" t="str">
        <f aca="false">IF($C38="","",IFERROR(INDEX(INS_ID,MATCH($C38,INS_NOME,0)),"?"))</f>
        <v/>
      </c>
      <c r="E38" s="33"/>
      <c r="F38" s="33"/>
      <c r="G38" s="31"/>
      <c r="H38" s="37"/>
      <c r="I38" s="37"/>
      <c r="J38" s="36" t="n">
        <f aca="false">IF($A38="",0,SUMIFS(L_Valor,L_OrigTipo,"CARTAO",L_OrigID,$A38,L_Status,"REALIZADO"))</f>
        <v>0</v>
      </c>
      <c r="K38" s="36" t="n">
        <f aca="false">IF($A38="",0,SUMIFS(L_Valor,L_DestTipo,"CARTAO",L_DestID,$A38,L_Status,"REALIZADO"))</f>
        <v>0</v>
      </c>
      <c r="L38" s="36" t="str">
        <f aca="false">IF($A38="","",$F38+$J38-$K38)</f>
        <v/>
      </c>
      <c r="M38" s="39" t="n">
        <f aca="false">IF(OR($A38="",$E38=0),0,$L38/$E38)</f>
        <v>0</v>
      </c>
      <c r="N38" s="36" t="str">
        <f aca="false">IF($A38="","",$E38-$L38)</f>
        <v/>
      </c>
      <c r="O38" s="38" t="str">
        <f aca="false">IF($A38="","",MIN(EOMONTH(DATE(YEAR(CFG_HOJE),MONTH(CFG_HOJE)+IF(DAY(CFG_HOJE)&gt;$H38,1,0),1),0),DATE(YEAR(CFG_HOJE),MONTH(CFG_HOJE)+IF(DAY(CFG_HOJE)&gt;$H38,1,0),1)+$H38-1))</f>
        <v/>
      </c>
      <c r="P38" s="38" t="str">
        <f aca="false">IF($A38="","",EDATE($O38,-1)+1)</f>
        <v/>
      </c>
      <c r="Q38" s="38" t="str">
        <f aca="false">IF($A38="","",MIN(EOMONTH(DATE(YEAR($O38),MONTH($O38)+IF($I38&gt;$H38,0,1),1),0),DATE(YEAR($O38),MONTH($O38)+IF($I38&gt;$H38,0,1),1)+$I38-1))</f>
        <v/>
      </c>
      <c r="R38" s="36" t="n">
        <f aca="false">IF($A38="",0,SUMIFS(L_Valor,L_OrigTipo,"CARTAO",L_OrigID,$A38,L_Data,"&gt;="&amp;$P38,L_Data,"&lt;="&amp;$O38,L_Status,"REALIZADO")+SUMIFS(L_Valor,L_OrigTipo,"CARTAO",L_OrigID,$A38,L_Data,"&gt;="&amp;$P38,L_Data,"&lt;="&amp;$O38,L_Status,"PROJETADO"))</f>
        <v>0</v>
      </c>
      <c r="S38" s="36" t="n">
        <f aca="false">IF($A38="",0,SUMIFS(L_Valor,L_OrigTipo,"CARTAO",L_OrigID,$A38,L_Data,"&gt;"&amp;$O38,L_Status,"PROJETADO"))</f>
        <v>0</v>
      </c>
      <c r="T38" s="36" t="n">
        <f aca="false">IF($A38="",0,SUMIFS(L_Valor,L_OrigTipo,"CARTAO",L_OrigID,$A38,L_Status,"PROJETADO",L_ParcID,"&lt;&gt;"))</f>
        <v>0</v>
      </c>
      <c r="U38" s="36" t="str">
        <f aca="false">IF($A38="","",$L38+$S38)</f>
        <v/>
      </c>
      <c r="V38" s="32"/>
      <c r="W38" s="32"/>
    </row>
    <row r="39" customFormat="false" ht="15" hidden="false" customHeight="false" outlineLevel="0" collapsed="false">
      <c r="A39" s="30" t="str">
        <f aca="false">IF($B39="","","CAR-"&amp;TEXT(ROW()-4,"000000"))</f>
        <v/>
      </c>
      <c r="B39" s="32"/>
      <c r="C39" s="32"/>
      <c r="D39" s="35" t="str">
        <f aca="false">IF($C39="","",IFERROR(INDEX(INS_ID,MATCH($C39,INS_NOME,0)),"?"))</f>
        <v/>
      </c>
      <c r="E39" s="33"/>
      <c r="F39" s="33"/>
      <c r="G39" s="31"/>
      <c r="H39" s="37"/>
      <c r="I39" s="37"/>
      <c r="J39" s="36" t="n">
        <f aca="false">IF($A39="",0,SUMIFS(L_Valor,L_OrigTipo,"CARTAO",L_OrigID,$A39,L_Status,"REALIZADO"))</f>
        <v>0</v>
      </c>
      <c r="K39" s="36" t="n">
        <f aca="false">IF($A39="",0,SUMIFS(L_Valor,L_DestTipo,"CARTAO",L_DestID,$A39,L_Status,"REALIZADO"))</f>
        <v>0</v>
      </c>
      <c r="L39" s="36" t="str">
        <f aca="false">IF($A39="","",$F39+$J39-$K39)</f>
        <v/>
      </c>
      <c r="M39" s="39" t="n">
        <f aca="false">IF(OR($A39="",$E39=0),0,$L39/$E39)</f>
        <v>0</v>
      </c>
      <c r="N39" s="36" t="str">
        <f aca="false">IF($A39="","",$E39-$L39)</f>
        <v/>
      </c>
      <c r="O39" s="38" t="str">
        <f aca="false">IF($A39="","",MIN(EOMONTH(DATE(YEAR(CFG_HOJE),MONTH(CFG_HOJE)+IF(DAY(CFG_HOJE)&gt;$H39,1,0),1),0),DATE(YEAR(CFG_HOJE),MONTH(CFG_HOJE)+IF(DAY(CFG_HOJE)&gt;$H39,1,0),1)+$H39-1))</f>
        <v/>
      </c>
      <c r="P39" s="38" t="str">
        <f aca="false">IF($A39="","",EDATE($O39,-1)+1)</f>
        <v/>
      </c>
      <c r="Q39" s="38" t="str">
        <f aca="false">IF($A39="","",MIN(EOMONTH(DATE(YEAR($O39),MONTH($O39)+IF($I39&gt;$H39,0,1),1),0),DATE(YEAR($O39),MONTH($O39)+IF($I39&gt;$H39,0,1),1)+$I39-1))</f>
        <v/>
      </c>
      <c r="R39" s="36" t="n">
        <f aca="false">IF($A39="",0,SUMIFS(L_Valor,L_OrigTipo,"CARTAO",L_OrigID,$A39,L_Data,"&gt;="&amp;$P39,L_Data,"&lt;="&amp;$O39,L_Status,"REALIZADO")+SUMIFS(L_Valor,L_OrigTipo,"CARTAO",L_OrigID,$A39,L_Data,"&gt;="&amp;$P39,L_Data,"&lt;="&amp;$O39,L_Status,"PROJETADO"))</f>
        <v>0</v>
      </c>
      <c r="S39" s="36" t="n">
        <f aca="false">IF($A39="",0,SUMIFS(L_Valor,L_OrigTipo,"CARTAO",L_OrigID,$A39,L_Data,"&gt;"&amp;$O39,L_Status,"PROJETADO"))</f>
        <v>0</v>
      </c>
      <c r="T39" s="36" t="n">
        <f aca="false">IF($A39="",0,SUMIFS(L_Valor,L_OrigTipo,"CARTAO",L_OrigID,$A39,L_Status,"PROJETADO",L_ParcID,"&lt;&gt;"))</f>
        <v>0</v>
      </c>
      <c r="U39" s="36" t="str">
        <f aca="false">IF($A39="","",$L39+$S39)</f>
        <v/>
      </c>
      <c r="V39" s="32"/>
      <c r="W39" s="32"/>
    </row>
    <row r="40" customFormat="false" ht="15" hidden="false" customHeight="false" outlineLevel="0" collapsed="false">
      <c r="A40" s="30" t="str">
        <f aca="false">IF($B40="","","CAR-"&amp;TEXT(ROW()-4,"000000"))</f>
        <v/>
      </c>
      <c r="B40" s="32"/>
      <c r="C40" s="32"/>
      <c r="D40" s="35" t="str">
        <f aca="false">IF($C40="","",IFERROR(INDEX(INS_ID,MATCH($C40,INS_NOME,0)),"?"))</f>
        <v/>
      </c>
      <c r="E40" s="33"/>
      <c r="F40" s="33"/>
      <c r="G40" s="31"/>
      <c r="H40" s="37"/>
      <c r="I40" s="37"/>
      <c r="J40" s="36" t="n">
        <f aca="false">IF($A40="",0,SUMIFS(L_Valor,L_OrigTipo,"CARTAO",L_OrigID,$A40,L_Status,"REALIZADO"))</f>
        <v>0</v>
      </c>
      <c r="K40" s="36" t="n">
        <f aca="false">IF($A40="",0,SUMIFS(L_Valor,L_DestTipo,"CARTAO",L_DestID,$A40,L_Status,"REALIZADO"))</f>
        <v>0</v>
      </c>
      <c r="L40" s="36" t="str">
        <f aca="false">IF($A40="","",$F40+$J40-$K40)</f>
        <v/>
      </c>
      <c r="M40" s="39" t="n">
        <f aca="false">IF(OR($A40="",$E40=0),0,$L40/$E40)</f>
        <v>0</v>
      </c>
      <c r="N40" s="36" t="str">
        <f aca="false">IF($A40="","",$E40-$L40)</f>
        <v/>
      </c>
      <c r="O40" s="38" t="str">
        <f aca="false">IF($A40="","",MIN(EOMONTH(DATE(YEAR(CFG_HOJE),MONTH(CFG_HOJE)+IF(DAY(CFG_HOJE)&gt;$H40,1,0),1),0),DATE(YEAR(CFG_HOJE),MONTH(CFG_HOJE)+IF(DAY(CFG_HOJE)&gt;$H40,1,0),1)+$H40-1))</f>
        <v/>
      </c>
      <c r="P40" s="38" t="str">
        <f aca="false">IF($A40="","",EDATE($O40,-1)+1)</f>
        <v/>
      </c>
      <c r="Q40" s="38" t="str">
        <f aca="false">IF($A40="","",MIN(EOMONTH(DATE(YEAR($O40),MONTH($O40)+IF($I40&gt;$H40,0,1),1),0),DATE(YEAR($O40),MONTH($O40)+IF($I40&gt;$H40,0,1),1)+$I40-1))</f>
        <v/>
      </c>
      <c r="R40" s="36" t="n">
        <f aca="false">IF($A40="",0,SUMIFS(L_Valor,L_OrigTipo,"CARTAO",L_OrigID,$A40,L_Data,"&gt;="&amp;$P40,L_Data,"&lt;="&amp;$O40,L_Status,"REALIZADO")+SUMIFS(L_Valor,L_OrigTipo,"CARTAO",L_OrigID,$A40,L_Data,"&gt;="&amp;$P40,L_Data,"&lt;="&amp;$O40,L_Status,"PROJETADO"))</f>
        <v>0</v>
      </c>
      <c r="S40" s="36" t="n">
        <f aca="false">IF($A40="",0,SUMIFS(L_Valor,L_OrigTipo,"CARTAO",L_OrigID,$A40,L_Data,"&gt;"&amp;$O40,L_Status,"PROJETADO"))</f>
        <v>0</v>
      </c>
      <c r="T40" s="36" t="n">
        <f aca="false">IF($A40="",0,SUMIFS(L_Valor,L_OrigTipo,"CARTAO",L_OrigID,$A40,L_Status,"PROJETADO",L_ParcID,"&lt;&gt;"))</f>
        <v>0</v>
      </c>
      <c r="U40" s="36" t="str">
        <f aca="false">IF($A40="","",$L40+$S40)</f>
        <v/>
      </c>
      <c r="V40" s="32"/>
      <c r="W40" s="32"/>
    </row>
    <row r="41" customFormat="false" ht="15" hidden="false" customHeight="false" outlineLevel="0" collapsed="false">
      <c r="A41" s="30" t="str">
        <f aca="false">IF($B41="","","CAR-"&amp;TEXT(ROW()-4,"000000"))</f>
        <v/>
      </c>
      <c r="B41" s="32"/>
      <c r="C41" s="32"/>
      <c r="D41" s="35" t="str">
        <f aca="false">IF($C41="","",IFERROR(INDEX(INS_ID,MATCH($C41,INS_NOME,0)),"?"))</f>
        <v/>
      </c>
      <c r="E41" s="33"/>
      <c r="F41" s="33"/>
      <c r="G41" s="31"/>
      <c r="H41" s="37"/>
      <c r="I41" s="37"/>
      <c r="J41" s="36" t="n">
        <f aca="false">IF($A41="",0,SUMIFS(L_Valor,L_OrigTipo,"CARTAO",L_OrigID,$A41,L_Status,"REALIZADO"))</f>
        <v>0</v>
      </c>
      <c r="K41" s="36" t="n">
        <f aca="false">IF($A41="",0,SUMIFS(L_Valor,L_DestTipo,"CARTAO",L_DestID,$A41,L_Status,"REALIZADO"))</f>
        <v>0</v>
      </c>
      <c r="L41" s="36" t="str">
        <f aca="false">IF($A41="","",$F41+$J41-$K41)</f>
        <v/>
      </c>
      <c r="M41" s="39" t="n">
        <f aca="false">IF(OR($A41="",$E41=0),0,$L41/$E41)</f>
        <v>0</v>
      </c>
      <c r="N41" s="36" t="str">
        <f aca="false">IF($A41="","",$E41-$L41)</f>
        <v/>
      </c>
      <c r="O41" s="38" t="str">
        <f aca="false">IF($A41="","",MIN(EOMONTH(DATE(YEAR(CFG_HOJE),MONTH(CFG_HOJE)+IF(DAY(CFG_HOJE)&gt;$H41,1,0),1),0),DATE(YEAR(CFG_HOJE),MONTH(CFG_HOJE)+IF(DAY(CFG_HOJE)&gt;$H41,1,0),1)+$H41-1))</f>
        <v/>
      </c>
      <c r="P41" s="38" t="str">
        <f aca="false">IF($A41="","",EDATE($O41,-1)+1)</f>
        <v/>
      </c>
      <c r="Q41" s="38" t="str">
        <f aca="false">IF($A41="","",MIN(EOMONTH(DATE(YEAR($O41),MONTH($O41)+IF($I41&gt;$H41,0,1),1),0),DATE(YEAR($O41),MONTH($O41)+IF($I41&gt;$H41,0,1),1)+$I41-1))</f>
        <v/>
      </c>
      <c r="R41" s="36" t="n">
        <f aca="false">IF($A41="",0,SUMIFS(L_Valor,L_OrigTipo,"CARTAO",L_OrigID,$A41,L_Data,"&gt;="&amp;$P41,L_Data,"&lt;="&amp;$O41,L_Status,"REALIZADO")+SUMIFS(L_Valor,L_OrigTipo,"CARTAO",L_OrigID,$A41,L_Data,"&gt;="&amp;$P41,L_Data,"&lt;="&amp;$O41,L_Status,"PROJETADO"))</f>
        <v>0</v>
      </c>
      <c r="S41" s="36" t="n">
        <f aca="false">IF($A41="",0,SUMIFS(L_Valor,L_OrigTipo,"CARTAO",L_OrigID,$A41,L_Data,"&gt;"&amp;$O41,L_Status,"PROJETADO"))</f>
        <v>0</v>
      </c>
      <c r="T41" s="36" t="n">
        <f aca="false">IF($A41="",0,SUMIFS(L_Valor,L_OrigTipo,"CARTAO",L_OrigID,$A41,L_Status,"PROJETADO",L_ParcID,"&lt;&gt;"))</f>
        <v>0</v>
      </c>
      <c r="U41" s="36" t="str">
        <f aca="false">IF($A41="","",$L41+$S41)</f>
        <v/>
      </c>
      <c r="V41" s="32"/>
      <c r="W41" s="32"/>
    </row>
    <row r="42" customFormat="false" ht="15" hidden="false" customHeight="false" outlineLevel="0" collapsed="false">
      <c r="A42" s="30" t="str">
        <f aca="false">IF($B42="","","CAR-"&amp;TEXT(ROW()-4,"000000"))</f>
        <v/>
      </c>
      <c r="B42" s="32"/>
      <c r="C42" s="32"/>
      <c r="D42" s="35" t="str">
        <f aca="false">IF($C42="","",IFERROR(INDEX(INS_ID,MATCH($C42,INS_NOME,0)),"?"))</f>
        <v/>
      </c>
      <c r="E42" s="33"/>
      <c r="F42" s="33"/>
      <c r="G42" s="31"/>
      <c r="H42" s="37"/>
      <c r="I42" s="37"/>
      <c r="J42" s="36" t="n">
        <f aca="false">IF($A42="",0,SUMIFS(L_Valor,L_OrigTipo,"CARTAO",L_OrigID,$A42,L_Status,"REALIZADO"))</f>
        <v>0</v>
      </c>
      <c r="K42" s="36" t="n">
        <f aca="false">IF($A42="",0,SUMIFS(L_Valor,L_DestTipo,"CARTAO",L_DestID,$A42,L_Status,"REALIZADO"))</f>
        <v>0</v>
      </c>
      <c r="L42" s="36" t="str">
        <f aca="false">IF($A42="","",$F42+$J42-$K42)</f>
        <v/>
      </c>
      <c r="M42" s="39" t="n">
        <f aca="false">IF(OR($A42="",$E42=0),0,$L42/$E42)</f>
        <v>0</v>
      </c>
      <c r="N42" s="36" t="str">
        <f aca="false">IF($A42="","",$E42-$L42)</f>
        <v/>
      </c>
      <c r="O42" s="38" t="str">
        <f aca="false">IF($A42="","",MIN(EOMONTH(DATE(YEAR(CFG_HOJE),MONTH(CFG_HOJE)+IF(DAY(CFG_HOJE)&gt;$H42,1,0),1),0),DATE(YEAR(CFG_HOJE),MONTH(CFG_HOJE)+IF(DAY(CFG_HOJE)&gt;$H42,1,0),1)+$H42-1))</f>
        <v/>
      </c>
      <c r="P42" s="38" t="str">
        <f aca="false">IF($A42="","",EDATE($O42,-1)+1)</f>
        <v/>
      </c>
      <c r="Q42" s="38" t="str">
        <f aca="false">IF($A42="","",MIN(EOMONTH(DATE(YEAR($O42),MONTH($O42)+IF($I42&gt;$H42,0,1),1),0),DATE(YEAR($O42),MONTH($O42)+IF($I42&gt;$H42,0,1),1)+$I42-1))</f>
        <v/>
      </c>
      <c r="R42" s="36" t="n">
        <f aca="false">IF($A42="",0,SUMIFS(L_Valor,L_OrigTipo,"CARTAO",L_OrigID,$A42,L_Data,"&gt;="&amp;$P42,L_Data,"&lt;="&amp;$O42,L_Status,"REALIZADO")+SUMIFS(L_Valor,L_OrigTipo,"CARTAO",L_OrigID,$A42,L_Data,"&gt;="&amp;$P42,L_Data,"&lt;="&amp;$O42,L_Status,"PROJETADO"))</f>
        <v>0</v>
      </c>
      <c r="S42" s="36" t="n">
        <f aca="false">IF($A42="",0,SUMIFS(L_Valor,L_OrigTipo,"CARTAO",L_OrigID,$A42,L_Data,"&gt;"&amp;$O42,L_Status,"PROJETADO"))</f>
        <v>0</v>
      </c>
      <c r="T42" s="36" t="n">
        <f aca="false">IF($A42="",0,SUMIFS(L_Valor,L_OrigTipo,"CARTAO",L_OrigID,$A42,L_Status,"PROJETADO",L_ParcID,"&lt;&gt;"))</f>
        <v>0</v>
      </c>
      <c r="U42" s="36" t="str">
        <f aca="false">IF($A42="","",$L42+$S42)</f>
        <v/>
      </c>
      <c r="V42" s="32"/>
      <c r="W42" s="32"/>
    </row>
    <row r="43" customFormat="false" ht="15" hidden="false" customHeight="false" outlineLevel="0" collapsed="false">
      <c r="A43" s="30" t="str">
        <f aca="false">IF($B43="","","CAR-"&amp;TEXT(ROW()-4,"000000"))</f>
        <v/>
      </c>
      <c r="B43" s="32"/>
      <c r="C43" s="32"/>
      <c r="D43" s="35" t="str">
        <f aca="false">IF($C43="","",IFERROR(INDEX(INS_ID,MATCH($C43,INS_NOME,0)),"?"))</f>
        <v/>
      </c>
      <c r="E43" s="33"/>
      <c r="F43" s="33"/>
      <c r="G43" s="31"/>
      <c r="H43" s="37"/>
      <c r="I43" s="37"/>
      <c r="J43" s="36" t="n">
        <f aca="false">IF($A43="",0,SUMIFS(L_Valor,L_OrigTipo,"CARTAO",L_OrigID,$A43,L_Status,"REALIZADO"))</f>
        <v>0</v>
      </c>
      <c r="K43" s="36" t="n">
        <f aca="false">IF($A43="",0,SUMIFS(L_Valor,L_DestTipo,"CARTAO",L_DestID,$A43,L_Status,"REALIZADO"))</f>
        <v>0</v>
      </c>
      <c r="L43" s="36" t="str">
        <f aca="false">IF($A43="","",$F43+$J43-$K43)</f>
        <v/>
      </c>
      <c r="M43" s="39" t="n">
        <f aca="false">IF(OR($A43="",$E43=0),0,$L43/$E43)</f>
        <v>0</v>
      </c>
      <c r="N43" s="36" t="str">
        <f aca="false">IF($A43="","",$E43-$L43)</f>
        <v/>
      </c>
      <c r="O43" s="38" t="str">
        <f aca="false">IF($A43="","",MIN(EOMONTH(DATE(YEAR(CFG_HOJE),MONTH(CFG_HOJE)+IF(DAY(CFG_HOJE)&gt;$H43,1,0),1),0),DATE(YEAR(CFG_HOJE),MONTH(CFG_HOJE)+IF(DAY(CFG_HOJE)&gt;$H43,1,0),1)+$H43-1))</f>
        <v/>
      </c>
      <c r="P43" s="38" t="str">
        <f aca="false">IF($A43="","",EDATE($O43,-1)+1)</f>
        <v/>
      </c>
      <c r="Q43" s="38" t="str">
        <f aca="false">IF($A43="","",MIN(EOMONTH(DATE(YEAR($O43),MONTH($O43)+IF($I43&gt;$H43,0,1),1),0),DATE(YEAR($O43),MONTH($O43)+IF($I43&gt;$H43,0,1),1)+$I43-1))</f>
        <v/>
      </c>
      <c r="R43" s="36" t="n">
        <f aca="false">IF($A43="",0,SUMIFS(L_Valor,L_OrigTipo,"CARTAO",L_OrigID,$A43,L_Data,"&gt;="&amp;$P43,L_Data,"&lt;="&amp;$O43,L_Status,"REALIZADO")+SUMIFS(L_Valor,L_OrigTipo,"CARTAO",L_OrigID,$A43,L_Data,"&gt;="&amp;$P43,L_Data,"&lt;="&amp;$O43,L_Status,"PROJETADO"))</f>
        <v>0</v>
      </c>
      <c r="S43" s="36" t="n">
        <f aca="false">IF($A43="",0,SUMIFS(L_Valor,L_OrigTipo,"CARTAO",L_OrigID,$A43,L_Data,"&gt;"&amp;$O43,L_Status,"PROJETADO"))</f>
        <v>0</v>
      </c>
      <c r="T43" s="36" t="n">
        <f aca="false">IF($A43="",0,SUMIFS(L_Valor,L_OrigTipo,"CARTAO",L_OrigID,$A43,L_Status,"PROJETADO",L_ParcID,"&lt;&gt;"))</f>
        <v>0</v>
      </c>
      <c r="U43" s="36" t="str">
        <f aca="false">IF($A43="","",$L43+$S43)</f>
        <v/>
      </c>
      <c r="V43" s="32"/>
      <c r="W43" s="32"/>
    </row>
    <row r="44" customFormat="false" ht="15" hidden="false" customHeight="false" outlineLevel="0" collapsed="false">
      <c r="A44" s="30" t="str">
        <f aca="false">IF($B44="","","CAR-"&amp;TEXT(ROW()-4,"000000"))</f>
        <v/>
      </c>
      <c r="B44" s="32"/>
      <c r="C44" s="32"/>
      <c r="D44" s="35" t="str">
        <f aca="false">IF($C44="","",IFERROR(INDEX(INS_ID,MATCH($C44,INS_NOME,0)),"?"))</f>
        <v/>
      </c>
      <c r="E44" s="33"/>
      <c r="F44" s="33"/>
      <c r="G44" s="31"/>
      <c r="H44" s="37"/>
      <c r="I44" s="37"/>
      <c r="J44" s="36" t="n">
        <f aca="false">IF($A44="",0,SUMIFS(L_Valor,L_OrigTipo,"CARTAO",L_OrigID,$A44,L_Status,"REALIZADO"))</f>
        <v>0</v>
      </c>
      <c r="K44" s="36" t="n">
        <f aca="false">IF($A44="",0,SUMIFS(L_Valor,L_DestTipo,"CARTAO",L_DestID,$A44,L_Status,"REALIZADO"))</f>
        <v>0</v>
      </c>
      <c r="L44" s="36" t="str">
        <f aca="false">IF($A44="","",$F44+$J44-$K44)</f>
        <v/>
      </c>
      <c r="M44" s="39" t="n">
        <f aca="false">IF(OR($A44="",$E44=0),0,$L44/$E44)</f>
        <v>0</v>
      </c>
      <c r="N44" s="36" t="str">
        <f aca="false">IF($A44="","",$E44-$L44)</f>
        <v/>
      </c>
      <c r="O44" s="38" t="str">
        <f aca="false">IF($A44="","",MIN(EOMONTH(DATE(YEAR(CFG_HOJE),MONTH(CFG_HOJE)+IF(DAY(CFG_HOJE)&gt;$H44,1,0),1),0),DATE(YEAR(CFG_HOJE),MONTH(CFG_HOJE)+IF(DAY(CFG_HOJE)&gt;$H44,1,0),1)+$H44-1))</f>
        <v/>
      </c>
      <c r="P44" s="38" t="str">
        <f aca="false">IF($A44="","",EDATE($O44,-1)+1)</f>
        <v/>
      </c>
      <c r="Q44" s="38" t="str">
        <f aca="false">IF($A44="","",MIN(EOMONTH(DATE(YEAR($O44),MONTH($O44)+IF($I44&gt;$H44,0,1),1),0),DATE(YEAR($O44),MONTH($O44)+IF($I44&gt;$H44,0,1),1)+$I44-1))</f>
        <v/>
      </c>
      <c r="R44" s="36" t="n">
        <f aca="false">IF($A44="",0,SUMIFS(L_Valor,L_OrigTipo,"CARTAO",L_OrigID,$A44,L_Data,"&gt;="&amp;$P44,L_Data,"&lt;="&amp;$O44,L_Status,"REALIZADO")+SUMIFS(L_Valor,L_OrigTipo,"CARTAO",L_OrigID,$A44,L_Data,"&gt;="&amp;$P44,L_Data,"&lt;="&amp;$O44,L_Status,"PROJETADO"))</f>
        <v>0</v>
      </c>
      <c r="S44" s="36" t="n">
        <f aca="false">IF($A44="",0,SUMIFS(L_Valor,L_OrigTipo,"CARTAO",L_OrigID,$A44,L_Data,"&gt;"&amp;$O44,L_Status,"PROJETADO"))</f>
        <v>0</v>
      </c>
      <c r="T44" s="36" t="n">
        <f aca="false">IF($A44="",0,SUMIFS(L_Valor,L_OrigTipo,"CARTAO",L_OrigID,$A44,L_Status,"PROJETADO",L_ParcID,"&lt;&gt;"))</f>
        <v>0</v>
      </c>
      <c r="U44" s="36" t="str">
        <f aca="false">IF($A44="","",$L44+$S44)</f>
        <v/>
      </c>
      <c r="V44" s="32"/>
      <c r="W44" s="32"/>
    </row>
  </sheetData>
  <autoFilter ref="A4:W44"/>
  <mergeCells count="2">
    <mergeCell ref="A1:W1"/>
    <mergeCell ref="A2:W2"/>
  </mergeCells>
  <dataValidations count="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Informe um numero inteiro entre 1 e 31." errorStyle="stop" errorTitle="Valor invalido" operator="between" showDropDown="false" showErrorMessage="false" showInputMessage="false" sqref="H5:I44" type="whole">
      <formula1>1</formula1>
      <formula2>31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V5:V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3" min="12" style="0" width="17"/>
    <col collapsed="false" customWidth="true" hidden="false" outlineLevel="0" max="14" min="14" style="0" width="18"/>
    <col collapsed="false" customWidth="true" hidden="false" outlineLevel="0" max="16" min="15" style="0" width="17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9"/>
    <col collapsed="false" customWidth="true" hidden="false" outlineLevel="0" max="23" min="22" style="0" width="17"/>
    <col collapsed="false" customWidth="true" hidden="false" outlineLevel="0" max="24" min="24" style="0" width="12"/>
    <col collapsed="false" customWidth="true" hidden="false" outlineLevel="0" max="25" min="25" style="0" width="46"/>
  </cols>
  <sheetData>
    <row r="1" customFormat="false" ht="25.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4" customFormat="false" ht="30" hidden="false" customHeight="true" outlineLevel="0" collapsed="false">
      <c r="A4" s="8" t="s">
        <v>197</v>
      </c>
      <c r="B4" s="8" t="s">
        <v>161</v>
      </c>
      <c r="C4" s="8" t="s">
        <v>168</v>
      </c>
      <c r="D4" s="8" t="s">
        <v>160</v>
      </c>
      <c r="E4" s="8" t="s">
        <v>162</v>
      </c>
      <c r="F4" s="8" t="s">
        <v>198</v>
      </c>
      <c r="G4" s="8" t="s">
        <v>199</v>
      </c>
      <c r="H4" s="8" t="s">
        <v>200</v>
      </c>
      <c r="I4" s="8" t="s">
        <v>201</v>
      </c>
      <c r="J4" s="8" t="s">
        <v>202</v>
      </c>
      <c r="K4" s="8" t="s">
        <v>138</v>
      </c>
      <c r="L4" s="8" t="s">
        <v>203</v>
      </c>
      <c r="M4" s="8" t="s">
        <v>204</v>
      </c>
      <c r="N4" s="8" t="s">
        <v>205</v>
      </c>
      <c r="O4" s="8" t="s">
        <v>206</v>
      </c>
      <c r="P4" s="8" t="s">
        <v>207</v>
      </c>
      <c r="Q4" s="8" t="s">
        <v>208</v>
      </c>
      <c r="R4" s="8" t="s">
        <v>209</v>
      </c>
      <c r="S4" s="8" t="s">
        <v>210</v>
      </c>
      <c r="T4" s="8" t="s">
        <v>211</v>
      </c>
      <c r="U4" s="8" t="s">
        <v>212</v>
      </c>
      <c r="V4" s="8" t="s">
        <v>213</v>
      </c>
      <c r="W4" s="8" t="s">
        <v>214</v>
      </c>
      <c r="X4" s="8" t="s">
        <v>52</v>
      </c>
      <c r="Y4" s="8" t="s">
        <v>76</v>
      </c>
    </row>
    <row r="5" customFormat="false" ht="15" hidden="false" customHeight="false" outlineLevel="0" collapsed="false">
      <c r="A5" s="30" t="str">
        <f aca="false">IF($B5="","","INV-"&amp;TEXT(ROW()-4,"000000"))</f>
        <v/>
      </c>
      <c r="B5" s="32"/>
      <c r="C5" s="32"/>
      <c r="D5" s="35" t="str">
        <f aca="false">IF($C5="","",IFERROR(INDEX(INS_ID,MATCH($C5,INS_NOME,0)),"?"))</f>
        <v/>
      </c>
      <c r="E5" s="32"/>
      <c r="F5" s="33"/>
      <c r="G5" s="31"/>
      <c r="H5" s="32"/>
      <c r="I5" s="40"/>
      <c r="J5" s="37"/>
      <c r="K5" s="38" t="str">
        <f aca="false">IF($A5="","",IF($J5&gt;0,EDATE($G5,$J5),""))</f>
        <v/>
      </c>
      <c r="L5" s="36" t="n">
        <f aca="false">IF($A5="",0,SUMIFS(L_Valor,L_DestTipo,"INVESTIMENTO",L_DestID,$A5,L_Tipo,"APORTE",L_Status,"REALIZADO"))</f>
        <v>0</v>
      </c>
      <c r="M5" s="36" t="n">
        <f aca="false">IF($A5="",0,SUMIFS(L_Valor,L_OrigTipo,"INVESTIMENTO",L_OrigID,$A5,L_Status,"REALIZADO"))</f>
        <v>0</v>
      </c>
      <c r="N5" s="36" t="n">
        <f aca="false">IF($A5="",0,SUMIFS(L_Valor,L_DestTipo,"INVESTIMENTO",L_DestID,$A5,L_Tipo,"RENDIMENTO",L_Status,"REALIZADO"))</f>
        <v>0</v>
      </c>
      <c r="O5" s="36" t="str">
        <f aca="false">IF($A5="","",$F5+$L5+$N5-$M5)</f>
        <v/>
      </c>
      <c r="P5" s="36" t="str">
        <f aca="false">IF($A5="","",MAX(0,$F5+$L5-$M5))</f>
        <v/>
      </c>
      <c r="Q5" s="36" t="str">
        <f aca="false">IF($A5="","",$O5-$P5)</f>
        <v/>
      </c>
      <c r="R5" s="34" t="str">
        <f aca="false">IF($A5="","",IF($K5="",12,MAX(0,(YEAR($K5)-YEAR(CFG_HOJE))*12+MONTH($K5)-MONTH(CFG_HOJE))))</f>
        <v/>
      </c>
      <c r="S5" s="36" t="n">
        <f aca="false">IF($A5="",0,SUMIFS(L_Valor,L_DestTipo,"INVESTIMENTO",L_DestID,$A5,L_Tipo,"RENDIMENTO",L_Status,"PROJETADO"))</f>
        <v>0</v>
      </c>
      <c r="T5" s="36" t="n">
        <f aca="false">IF($A5="",0,IF($H5="Taxa anual",ROUND($O5*((1+$I5)^($R5/12)-1),0),IF($H5="Taxa mensal",ROUND($O5*((1+$I5)^$R5-1),0),IF($H5="Valor fixo",$I5,0))))</f>
        <v>0</v>
      </c>
      <c r="U5" s="36" t="str">
        <f aca="false">IF($A5="","",$O5+$S5+$V5-$W5)</f>
        <v/>
      </c>
      <c r="V5" s="36" t="n">
        <f aca="false">IF($A5="",0,SUMIFS(L_Valor,L_DestTipo,"INVESTIMENTO",L_DestID,$A5,L_Tipo,"APORTE",L_Status,"PROJETADO"))</f>
        <v>0</v>
      </c>
      <c r="W5" s="36" t="n">
        <f aca="false">IF($A5="",0,SUMIFS(L_Valor,L_OrigTipo,"INVESTIMENTO",L_OrigID,$A5,L_Status,"PROJETADO"))</f>
        <v>0</v>
      </c>
      <c r="X5" s="32"/>
      <c r="Y5" s="32"/>
    </row>
    <row r="6" customFormat="false" ht="15" hidden="false" customHeight="false" outlineLevel="0" collapsed="false">
      <c r="A6" s="30" t="str">
        <f aca="false">IF($B6="","","INV-"&amp;TEXT(ROW()-4,"000000"))</f>
        <v/>
      </c>
      <c r="B6" s="32"/>
      <c r="C6" s="32"/>
      <c r="D6" s="35" t="str">
        <f aca="false">IF($C6="","",IFERROR(INDEX(INS_ID,MATCH($C6,INS_NOME,0)),"?"))</f>
        <v/>
      </c>
      <c r="E6" s="32"/>
      <c r="F6" s="33"/>
      <c r="G6" s="31"/>
      <c r="H6" s="32"/>
      <c r="I6" s="40"/>
      <c r="J6" s="37"/>
      <c r="K6" s="38" t="str">
        <f aca="false">IF($A6="","",IF($J6&gt;0,EDATE($G6,$J6),""))</f>
        <v/>
      </c>
      <c r="L6" s="36" t="n">
        <f aca="false">IF($A6="",0,SUMIFS(L_Valor,L_DestTipo,"INVESTIMENTO",L_DestID,$A6,L_Tipo,"APORTE",L_Status,"REALIZADO"))</f>
        <v>0</v>
      </c>
      <c r="M6" s="36" t="n">
        <f aca="false">IF($A6="",0,SUMIFS(L_Valor,L_OrigTipo,"INVESTIMENTO",L_OrigID,$A6,L_Status,"REALIZADO"))</f>
        <v>0</v>
      </c>
      <c r="N6" s="36" t="n">
        <f aca="false">IF($A6="",0,SUMIFS(L_Valor,L_DestTipo,"INVESTIMENTO",L_DestID,$A6,L_Tipo,"RENDIMENTO",L_Status,"REALIZADO"))</f>
        <v>0</v>
      </c>
      <c r="O6" s="36" t="str">
        <f aca="false">IF($A6="","",$F6+$L6+$N6-$M6)</f>
        <v/>
      </c>
      <c r="P6" s="36" t="str">
        <f aca="false">IF($A6="","",MAX(0,$F6+$L6-$M6))</f>
        <v/>
      </c>
      <c r="Q6" s="36" t="str">
        <f aca="false">IF($A6="","",$O6-$P6)</f>
        <v/>
      </c>
      <c r="R6" s="34" t="str">
        <f aca="false">IF($A6="","",IF($K6="",12,MAX(0,(YEAR($K6)-YEAR(CFG_HOJE))*12+MONTH($K6)-MONTH(CFG_HOJE))))</f>
        <v/>
      </c>
      <c r="S6" s="36" t="n">
        <f aca="false">IF($A6="",0,SUMIFS(L_Valor,L_DestTipo,"INVESTIMENTO",L_DestID,$A6,L_Tipo,"RENDIMENTO",L_Status,"PROJETADO"))</f>
        <v>0</v>
      </c>
      <c r="T6" s="36" t="n">
        <f aca="false">IF($A6="",0,IF($H6="Taxa anual",ROUND($O6*((1+$I6)^($R6/12)-1),0),IF($H6="Taxa mensal",ROUND($O6*((1+$I6)^$R6-1),0),IF($H6="Valor fixo",$I6,0))))</f>
        <v>0</v>
      </c>
      <c r="U6" s="36" t="str">
        <f aca="false">IF($A6="","",$O6+$S6+$V6-$W6)</f>
        <v/>
      </c>
      <c r="V6" s="36" t="n">
        <f aca="false">IF($A6="",0,SUMIFS(L_Valor,L_DestTipo,"INVESTIMENTO",L_DestID,$A6,L_Tipo,"APORTE",L_Status,"PROJETADO"))</f>
        <v>0</v>
      </c>
      <c r="W6" s="36" t="n">
        <f aca="false">IF($A6="",0,SUMIFS(L_Valor,L_OrigTipo,"INVESTIMENTO",L_OrigID,$A6,L_Status,"PROJETADO"))</f>
        <v>0</v>
      </c>
      <c r="X6" s="32"/>
      <c r="Y6" s="32"/>
    </row>
    <row r="7" customFormat="false" ht="15" hidden="false" customHeight="false" outlineLevel="0" collapsed="false">
      <c r="A7" s="30" t="str">
        <f aca="false">IF($B7="","","INV-"&amp;TEXT(ROW()-4,"000000"))</f>
        <v/>
      </c>
      <c r="B7" s="32"/>
      <c r="C7" s="32"/>
      <c r="D7" s="35" t="str">
        <f aca="false">IF($C7="","",IFERROR(INDEX(INS_ID,MATCH($C7,INS_NOME,0)),"?"))</f>
        <v/>
      </c>
      <c r="E7" s="32"/>
      <c r="F7" s="33"/>
      <c r="G7" s="31"/>
      <c r="H7" s="32"/>
      <c r="I7" s="40"/>
      <c r="J7" s="37"/>
      <c r="K7" s="38" t="str">
        <f aca="false">IF($A7="","",IF($J7&gt;0,EDATE($G7,$J7),""))</f>
        <v/>
      </c>
      <c r="L7" s="36" t="n">
        <f aca="false">IF($A7="",0,SUMIFS(L_Valor,L_DestTipo,"INVESTIMENTO",L_DestID,$A7,L_Tipo,"APORTE",L_Status,"REALIZADO"))</f>
        <v>0</v>
      </c>
      <c r="M7" s="36" t="n">
        <f aca="false">IF($A7="",0,SUMIFS(L_Valor,L_OrigTipo,"INVESTIMENTO",L_OrigID,$A7,L_Status,"REALIZADO"))</f>
        <v>0</v>
      </c>
      <c r="N7" s="36" t="n">
        <f aca="false">IF($A7="",0,SUMIFS(L_Valor,L_DestTipo,"INVESTIMENTO",L_DestID,$A7,L_Tipo,"RENDIMENTO",L_Status,"REALIZADO"))</f>
        <v>0</v>
      </c>
      <c r="O7" s="36" t="str">
        <f aca="false">IF($A7="","",$F7+$L7+$N7-$M7)</f>
        <v/>
      </c>
      <c r="P7" s="36" t="str">
        <f aca="false">IF($A7="","",MAX(0,$F7+$L7-$M7))</f>
        <v/>
      </c>
      <c r="Q7" s="36" t="str">
        <f aca="false">IF($A7="","",$O7-$P7)</f>
        <v/>
      </c>
      <c r="R7" s="34" t="str">
        <f aca="false">IF($A7="","",IF($K7="",12,MAX(0,(YEAR($K7)-YEAR(CFG_HOJE))*12+MONTH($K7)-MONTH(CFG_HOJE))))</f>
        <v/>
      </c>
      <c r="S7" s="36" t="n">
        <f aca="false">IF($A7="",0,SUMIFS(L_Valor,L_DestTipo,"INVESTIMENTO",L_DestID,$A7,L_Tipo,"RENDIMENTO",L_Status,"PROJETADO"))</f>
        <v>0</v>
      </c>
      <c r="T7" s="36" t="n">
        <f aca="false">IF($A7="",0,IF($H7="Taxa anual",ROUND($O7*((1+$I7)^($R7/12)-1),0),IF($H7="Taxa mensal",ROUND($O7*((1+$I7)^$R7-1),0),IF($H7="Valor fixo",$I7,0))))</f>
        <v>0</v>
      </c>
      <c r="U7" s="36" t="str">
        <f aca="false">IF($A7="","",$O7+$S7+$V7-$W7)</f>
        <v/>
      </c>
      <c r="V7" s="36" t="n">
        <f aca="false">IF($A7="",0,SUMIFS(L_Valor,L_DestTipo,"INVESTIMENTO",L_DestID,$A7,L_Tipo,"APORTE",L_Status,"PROJETADO"))</f>
        <v>0</v>
      </c>
      <c r="W7" s="36" t="n">
        <f aca="false">IF($A7="",0,SUMIFS(L_Valor,L_OrigTipo,"INVESTIMENTO",L_OrigID,$A7,L_Status,"PROJETADO"))</f>
        <v>0</v>
      </c>
      <c r="X7" s="32"/>
      <c r="Y7" s="32"/>
    </row>
    <row r="8" customFormat="false" ht="15" hidden="false" customHeight="false" outlineLevel="0" collapsed="false">
      <c r="A8" s="30" t="str">
        <f aca="false">IF($B8="","","INV-"&amp;TEXT(ROW()-4,"000000"))</f>
        <v/>
      </c>
      <c r="B8" s="32"/>
      <c r="C8" s="32"/>
      <c r="D8" s="35" t="str">
        <f aca="false">IF($C8="","",IFERROR(INDEX(INS_ID,MATCH($C8,INS_NOME,0)),"?"))</f>
        <v/>
      </c>
      <c r="E8" s="32"/>
      <c r="F8" s="33"/>
      <c r="G8" s="31"/>
      <c r="H8" s="32"/>
      <c r="I8" s="40"/>
      <c r="J8" s="37"/>
      <c r="K8" s="38" t="str">
        <f aca="false">IF($A8="","",IF($J8&gt;0,EDATE($G8,$J8),""))</f>
        <v/>
      </c>
      <c r="L8" s="36" t="n">
        <f aca="false">IF($A8="",0,SUMIFS(L_Valor,L_DestTipo,"INVESTIMENTO",L_DestID,$A8,L_Tipo,"APORTE",L_Status,"REALIZADO"))</f>
        <v>0</v>
      </c>
      <c r="M8" s="36" t="n">
        <f aca="false">IF($A8="",0,SUMIFS(L_Valor,L_OrigTipo,"INVESTIMENTO",L_OrigID,$A8,L_Status,"REALIZADO"))</f>
        <v>0</v>
      </c>
      <c r="N8" s="36" t="n">
        <f aca="false">IF($A8="",0,SUMIFS(L_Valor,L_DestTipo,"INVESTIMENTO",L_DestID,$A8,L_Tipo,"RENDIMENTO",L_Status,"REALIZADO"))</f>
        <v>0</v>
      </c>
      <c r="O8" s="36" t="str">
        <f aca="false">IF($A8="","",$F8+$L8+$N8-$M8)</f>
        <v/>
      </c>
      <c r="P8" s="36" t="str">
        <f aca="false">IF($A8="","",MAX(0,$F8+$L8-$M8))</f>
        <v/>
      </c>
      <c r="Q8" s="36" t="str">
        <f aca="false">IF($A8="","",$O8-$P8)</f>
        <v/>
      </c>
      <c r="R8" s="34" t="str">
        <f aca="false">IF($A8="","",IF($K8="",12,MAX(0,(YEAR($K8)-YEAR(CFG_HOJE))*12+MONTH($K8)-MONTH(CFG_HOJE))))</f>
        <v/>
      </c>
      <c r="S8" s="36" t="n">
        <f aca="false">IF($A8="",0,SUMIFS(L_Valor,L_DestTipo,"INVESTIMENTO",L_DestID,$A8,L_Tipo,"RENDIMENTO",L_Status,"PROJETADO"))</f>
        <v>0</v>
      </c>
      <c r="T8" s="36" t="n">
        <f aca="false">IF($A8="",0,IF($H8="Taxa anual",ROUND($O8*((1+$I8)^($R8/12)-1),0),IF($H8="Taxa mensal",ROUND($O8*((1+$I8)^$R8-1),0),IF($H8="Valor fixo",$I8,0))))</f>
        <v>0</v>
      </c>
      <c r="U8" s="36" t="str">
        <f aca="false">IF($A8="","",$O8+$S8+$V8-$W8)</f>
        <v/>
      </c>
      <c r="V8" s="36" t="n">
        <f aca="false">IF($A8="",0,SUMIFS(L_Valor,L_DestTipo,"INVESTIMENTO",L_DestID,$A8,L_Tipo,"APORTE",L_Status,"PROJETADO"))</f>
        <v>0</v>
      </c>
      <c r="W8" s="36" t="n">
        <f aca="false">IF($A8="",0,SUMIFS(L_Valor,L_OrigTipo,"INVESTIMENTO",L_OrigID,$A8,L_Status,"PROJETADO"))</f>
        <v>0</v>
      </c>
      <c r="X8" s="32"/>
      <c r="Y8" s="32"/>
    </row>
    <row r="9" customFormat="false" ht="15" hidden="false" customHeight="false" outlineLevel="0" collapsed="false">
      <c r="A9" s="30" t="str">
        <f aca="false">IF($B9="","","INV-"&amp;TEXT(ROW()-4,"000000"))</f>
        <v/>
      </c>
      <c r="B9" s="32"/>
      <c r="C9" s="32"/>
      <c r="D9" s="35" t="str">
        <f aca="false">IF($C9="","",IFERROR(INDEX(INS_ID,MATCH($C9,INS_NOME,0)),"?"))</f>
        <v/>
      </c>
      <c r="E9" s="32"/>
      <c r="F9" s="33"/>
      <c r="G9" s="31"/>
      <c r="H9" s="32"/>
      <c r="I9" s="40"/>
      <c r="J9" s="37"/>
      <c r="K9" s="38" t="str">
        <f aca="false">IF($A9="","",IF($J9&gt;0,EDATE($G9,$J9),""))</f>
        <v/>
      </c>
      <c r="L9" s="36" t="n">
        <f aca="false">IF($A9="",0,SUMIFS(L_Valor,L_DestTipo,"INVESTIMENTO",L_DestID,$A9,L_Tipo,"APORTE",L_Status,"REALIZADO"))</f>
        <v>0</v>
      </c>
      <c r="M9" s="36" t="n">
        <f aca="false">IF($A9="",0,SUMIFS(L_Valor,L_OrigTipo,"INVESTIMENTO",L_OrigID,$A9,L_Status,"REALIZADO"))</f>
        <v>0</v>
      </c>
      <c r="N9" s="36" t="n">
        <f aca="false">IF($A9="",0,SUMIFS(L_Valor,L_DestTipo,"INVESTIMENTO",L_DestID,$A9,L_Tipo,"RENDIMENTO",L_Status,"REALIZADO"))</f>
        <v>0</v>
      </c>
      <c r="O9" s="36" t="str">
        <f aca="false">IF($A9="","",$F9+$L9+$N9-$M9)</f>
        <v/>
      </c>
      <c r="P9" s="36" t="str">
        <f aca="false">IF($A9="","",MAX(0,$F9+$L9-$M9))</f>
        <v/>
      </c>
      <c r="Q9" s="36" t="str">
        <f aca="false">IF($A9="","",$O9-$P9)</f>
        <v/>
      </c>
      <c r="R9" s="34" t="str">
        <f aca="false">IF($A9="","",IF($K9="",12,MAX(0,(YEAR($K9)-YEAR(CFG_HOJE))*12+MONTH($K9)-MONTH(CFG_HOJE))))</f>
        <v/>
      </c>
      <c r="S9" s="36" t="n">
        <f aca="false">IF($A9="",0,SUMIFS(L_Valor,L_DestTipo,"INVESTIMENTO",L_DestID,$A9,L_Tipo,"RENDIMENTO",L_Status,"PROJETADO"))</f>
        <v>0</v>
      </c>
      <c r="T9" s="36" t="n">
        <f aca="false">IF($A9="",0,IF($H9="Taxa anual",ROUND($O9*((1+$I9)^($R9/12)-1),0),IF($H9="Taxa mensal",ROUND($O9*((1+$I9)^$R9-1),0),IF($H9="Valor fixo",$I9,0))))</f>
        <v>0</v>
      </c>
      <c r="U9" s="36" t="str">
        <f aca="false">IF($A9="","",$O9+$S9+$V9-$W9)</f>
        <v/>
      </c>
      <c r="V9" s="36" t="n">
        <f aca="false">IF($A9="",0,SUMIFS(L_Valor,L_DestTipo,"INVESTIMENTO",L_DestID,$A9,L_Tipo,"APORTE",L_Status,"PROJETADO"))</f>
        <v>0</v>
      </c>
      <c r="W9" s="36" t="n">
        <f aca="false">IF($A9="",0,SUMIFS(L_Valor,L_OrigTipo,"INVESTIMENTO",L_OrigID,$A9,L_Status,"PROJETADO"))</f>
        <v>0</v>
      </c>
      <c r="X9" s="32"/>
      <c r="Y9" s="32"/>
    </row>
    <row r="10" customFormat="false" ht="15" hidden="false" customHeight="false" outlineLevel="0" collapsed="false">
      <c r="A10" s="30" t="str">
        <f aca="false">IF($B10="","","INV-"&amp;TEXT(ROW()-4,"000000"))</f>
        <v/>
      </c>
      <c r="B10" s="32"/>
      <c r="C10" s="32"/>
      <c r="D10" s="35" t="str">
        <f aca="false">IF($C10="","",IFERROR(INDEX(INS_ID,MATCH($C10,INS_NOME,0)),"?"))</f>
        <v/>
      </c>
      <c r="E10" s="32"/>
      <c r="F10" s="33"/>
      <c r="G10" s="31"/>
      <c r="H10" s="32"/>
      <c r="I10" s="40"/>
      <c r="J10" s="37"/>
      <c r="K10" s="38" t="str">
        <f aca="false">IF($A10="","",IF($J10&gt;0,EDATE($G10,$J10),""))</f>
        <v/>
      </c>
      <c r="L10" s="36" t="n">
        <f aca="false">IF($A10="",0,SUMIFS(L_Valor,L_DestTipo,"INVESTIMENTO",L_DestID,$A10,L_Tipo,"APORTE",L_Status,"REALIZADO"))</f>
        <v>0</v>
      </c>
      <c r="M10" s="36" t="n">
        <f aca="false">IF($A10="",0,SUMIFS(L_Valor,L_OrigTipo,"INVESTIMENTO",L_OrigID,$A10,L_Status,"REALIZADO"))</f>
        <v>0</v>
      </c>
      <c r="N10" s="36" t="n">
        <f aca="false">IF($A10="",0,SUMIFS(L_Valor,L_DestTipo,"INVESTIMENTO",L_DestID,$A10,L_Tipo,"RENDIMENTO",L_Status,"REALIZADO"))</f>
        <v>0</v>
      </c>
      <c r="O10" s="36" t="str">
        <f aca="false">IF($A10="","",$F10+$L10+$N10-$M10)</f>
        <v/>
      </c>
      <c r="P10" s="36" t="str">
        <f aca="false">IF($A10="","",MAX(0,$F10+$L10-$M10))</f>
        <v/>
      </c>
      <c r="Q10" s="36" t="str">
        <f aca="false">IF($A10="","",$O10-$P10)</f>
        <v/>
      </c>
      <c r="R10" s="34" t="str">
        <f aca="false">IF($A10="","",IF($K10="",12,MAX(0,(YEAR($K10)-YEAR(CFG_HOJE))*12+MONTH($K10)-MONTH(CFG_HOJE))))</f>
        <v/>
      </c>
      <c r="S10" s="36" t="n">
        <f aca="false">IF($A10="",0,SUMIFS(L_Valor,L_DestTipo,"INVESTIMENTO",L_DestID,$A10,L_Tipo,"RENDIMENTO",L_Status,"PROJETADO"))</f>
        <v>0</v>
      </c>
      <c r="T10" s="36" t="n">
        <f aca="false">IF($A10="",0,IF($H10="Taxa anual",ROUND($O10*((1+$I10)^($R10/12)-1),0),IF($H10="Taxa mensal",ROUND($O10*((1+$I10)^$R10-1),0),IF($H10="Valor fixo",$I10,0))))</f>
        <v>0</v>
      </c>
      <c r="U10" s="36" t="str">
        <f aca="false">IF($A10="","",$O10+$S10+$V10-$W10)</f>
        <v/>
      </c>
      <c r="V10" s="36" t="n">
        <f aca="false">IF($A10="",0,SUMIFS(L_Valor,L_DestTipo,"INVESTIMENTO",L_DestID,$A10,L_Tipo,"APORTE",L_Status,"PROJETADO"))</f>
        <v>0</v>
      </c>
      <c r="W10" s="36" t="n">
        <f aca="false">IF($A10="",0,SUMIFS(L_Valor,L_OrigTipo,"INVESTIMENTO",L_OrigID,$A10,L_Status,"PROJETADO"))</f>
        <v>0</v>
      </c>
      <c r="X10" s="32"/>
      <c r="Y10" s="32"/>
    </row>
    <row r="11" customFormat="false" ht="15" hidden="false" customHeight="false" outlineLevel="0" collapsed="false">
      <c r="A11" s="30" t="str">
        <f aca="false">IF($B11="","","INV-"&amp;TEXT(ROW()-4,"000000"))</f>
        <v/>
      </c>
      <c r="B11" s="32"/>
      <c r="C11" s="32"/>
      <c r="D11" s="35" t="str">
        <f aca="false">IF($C11="","",IFERROR(INDEX(INS_ID,MATCH($C11,INS_NOME,0)),"?"))</f>
        <v/>
      </c>
      <c r="E11" s="32"/>
      <c r="F11" s="33"/>
      <c r="G11" s="31"/>
      <c r="H11" s="32"/>
      <c r="I11" s="40"/>
      <c r="J11" s="37"/>
      <c r="K11" s="38" t="str">
        <f aca="false">IF($A11="","",IF($J11&gt;0,EDATE($G11,$J11),""))</f>
        <v/>
      </c>
      <c r="L11" s="36" t="n">
        <f aca="false">IF($A11="",0,SUMIFS(L_Valor,L_DestTipo,"INVESTIMENTO",L_DestID,$A11,L_Tipo,"APORTE",L_Status,"REALIZADO"))</f>
        <v>0</v>
      </c>
      <c r="M11" s="36" t="n">
        <f aca="false">IF($A11="",0,SUMIFS(L_Valor,L_OrigTipo,"INVESTIMENTO",L_OrigID,$A11,L_Status,"REALIZADO"))</f>
        <v>0</v>
      </c>
      <c r="N11" s="36" t="n">
        <f aca="false">IF($A11="",0,SUMIFS(L_Valor,L_DestTipo,"INVESTIMENTO",L_DestID,$A11,L_Tipo,"RENDIMENTO",L_Status,"REALIZADO"))</f>
        <v>0</v>
      </c>
      <c r="O11" s="36" t="str">
        <f aca="false">IF($A11="","",$F11+$L11+$N11-$M11)</f>
        <v/>
      </c>
      <c r="P11" s="36" t="str">
        <f aca="false">IF($A11="","",MAX(0,$F11+$L11-$M11))</f>
        <v/>
      </c>
      <c r="Q11" s="36" t="str">
        <f aca="false">IF($A11="","",$O11-$P11)</f>
        <v/>
      </c>
      <c r="R11" s="34" t="str">
        <f aca="false">IF($A11="","",IF($K11="",12,MAX(0,(YEAR($K11)-YEAR(CFG_HOJE))*12+MONTH($K11)-MONTH(CFG_HOJE))))</f>
        <v/>
      </c>
      <c r="S11" s="36" t="n">
        <f aca="false">IF($A11="",0,SUMIFS(L_Valor,L_DestTipo,"INVESTIMENTO",L_DestID,$A11,L_Tipo,"RENDIMENTO",L_Status,"PROJETADO"))</f>
        <v>0</v>
      </c>
      <c r="T11" s="36" t="n">
        <f aca="false">IF($A11="",0,IF($H11="Taxa anual",ROUND($O11*((1+$I11)^($R11/12)-1),0),IF($H11="Taxa mensal",ROUND($O11*((1+$I11)^$R11-1),0),IF($H11="Valor fixo",$I11,0))))</f>
        <v>0</v>
      </c>
      <c r="U11" s="36" t="str">
        <f aca="false">IF($A11="","",$O11+$S11+$V11-$W11)</f>
        <v/>
      </c>
      <c r="V11" s="36" t="n">
        <f aca="false">IF($A11="",0,SUMIFS(L_Valor,L_DestTipo,"INVESTIMENTO",L_DestID,$A11,L_Tipo,"APORTE",L_Status,"PROJETADO"))</f>
        <v>0</v>
      </c>
      <c r="W11" s="36" t="n">
        <f aca="false">IF($A11="",0,SUMIFS(L_Valor,L_OrigTipo,"INVESTIMENTO",L_OrigID,$A11,L_Status,"PROJETADO"))</f>
        <v>0</v>
      </c>
      <c r="X11" s="32"/>
      <c r="Y11" s="32"/>
    </row>
    <row r="12" customFormat="false" ht="15" hidden="false" customHeight="false" outlineLevel="0" collapsed="false">
      <c r="A12" s="30" t="str">
        <f aca="false">IF($B12="","","INV-"&amp;TEXT(ROW()-4,"000000"))</f>
        <v/>
      </c>
      <c r="B12" s="32"/>
      <c r="C12" s="32"/>
      <c r="D12" s="35" t="str">
        <f aca="false">IF($C12="","",IFERROR(INDEX(INS_ID,MATCH($C12,INS_NOME,0)),"?"))</f>
        <v/>
      </c>
      <c r="E12" s="32"/>
      <c r="F12" s="33"/>
      <c r="G12" s="31"/>
      <c r="H12" s="32"/>
      <c r="I12" s="40"/>
      <c r="J12" s="37"/>
      <c r="K12" s="38" t="str">
        <f aca="false">IF($A12="","",IF($J12&gt;0,EDATE($G12,$J12),""))</f>
        <v/>
      </c>
      <c r="L12" s="36" t="n">
        <f aca="false">IF($A12="",0,SUMIFS(L_Valor,L_DestTipo,"INVESTIMENTO",L_DestID,$A12,L_Tipo,"APORTE",L_Status,"REALIZADO"))</f>
        <v>0</v>
      </c>
      <c r="M12" s="36" t="n">
        <f aca="false">IF($A12="",0,SUMIFS(L_Valor,L_OrigTipo,"INVESTIMENTO",L_OrigID,$A12,L_Status,"REALIZADO"))</f>
        <v>0</v>
      </c>
      <c r="N12" s="36" t="n">
        <f aca="false">IF($A12="",0,SUMIFS(L_Valor,L_DestTipo,"INVESTIMENTO",L_DestID,$A12,L_Tipo,"RENDIMENTO",L_Status,"REALIZADO"))</f>
        <v>0</v>
      </c>
      <c r="O12" s="36" t="str">
        <f aca="false">IF($A12="","",$F12+$L12+$N12-$M12)</f>
        <v/>
      </c>
      <c r="P12" s="36" t="str">
        <f aca="false">IF($A12="","",MAX(0,$F12+$L12-$M12))</f>
        <v/>
      </c>
      <c r="Q12" s="36" t="str">
        <f aca="false">IF($A12="","",$O12-$P12)</f>
        <v/>
      </c>
      <c r="R12" s="34" t="str">
        <f aca="false">IF($A12="","",IF($K12="",12,MAX(0,(YEAR($K12)-YEAR(CFG_HOJE))*12+MONTH($K12)-MONTH(CFG_HOJE))))</f>
        <v/>
      </c>
      <c r="S12" s="36" t="n">
        <f aca="false">IF($A12="",0,SUMIFS(L_Valor,L_DestTipo,"INVESTIMENTO",L_DestID,$A12,L_Tipo,"RENDIMENTO",L_Status,"PROJETADO"))</f>
        <v>0</v>
      </c>
      <c r="T12" s="36" t="n">
        <f aca="false">IF($A12="",0,IF($H12="Taxa anual",ROUND($O12*((1+$I12)^($R12/12)-1),0),IF($H12="Taxa mensal",ROUND($O12*((1+$I12)^$R12-1),0),IF($H12="Valor fixo",$I12,0))))</f>
        <v>0</v>
      </c>
      <c r="U12" s="36" t="str">
        <f aca="false">IF($A12="","",$O12+$S12+$V12-$W12)</f>
        <v/>
      </c>
      <c r="V12" s="36" t="n">
        <f aca="false">IF($A12="",0,SUMIFS(L_Valor,L_DestTipo,"INVESTIMENTO",L_DestID,$A12,L_Tipo,"APORTE",L_Status,"PROJETADO"))</f>
        <v>0</v>
      </c>
      <c r="W12" s="36" t="n">
        <f aca="false">IF($A12="",0,SUMIFS(L_Valor,L_OrigTipo,"INVESTIMENTO",L_OrigID,$A12,L_Status,"PROJETADO"))</f>
        <v>0</v>
      </c>
      <c r="X12" s="32"/>
      <c r="Y12" s="32"/>
    </row>
    <row r="13" customFormat="false" ht="15" hidden="false" customHeight="false" outlineLevel="0" collapsed="false">
      <c r="A13" s="30" t="str">
        <f aca="false">IF($B13="","","INV-"&amp;TEXT(ROW()-4,"000000"))</f>
        <v/>
      </c>
      <c r="B13" s="32"/>
      <c r="C13" s="32"/>
      <c r="D13" s="35" t="str">
        <f aca="false">IF($C13="","",IFERROR(INDEX(INS_ID,MATCH($C13,INS_NOME,0)),"?"))</f>
        <v/>
      </c>
      <c r="E13" s="32"/>
      <c r="F13" s="33"/>
      <c r="G13" s="31"/>
      <c r="H13" s="32"/>
      <c r="I13" s="40"/>
      <c r="J13" s="37"/>
      <c r="K13" s="38" t="str">
        <f aca="false">IF($A13="","",IF($J13&gt;0,EDATE($G13,$J13),""))</f>
        <v/>
      </c>
      <c r="L13" s="36" t="n">
        <f aca="false">IF($A13="",0,SUMIFS(L_Valor,L_DestTipo,"INVESTIMENTO",L_DestID,$A13,L_Tipo,"APORTE",L_Status,"REALIZADO"))</f>
        <v>0</v>
      </c>
      <c r="M13" s="36" t="n">
        <f aca="false">IF($A13="",0,SUMIFS(L_Valor,L_OrigTipo,"INVESTIMENTO",L_OrigID,$A13,L_Status,"REALIZADO"))</f>
        <v>0</v>
      </c>
      <c r="N13" s="36" t="n">
        <f aca="false">IF($A13="",0,SUMIFS(L_Valor,L_DestTipo,"INVESTIMENTO",L_DestID,$A13,L_Tipo,"RENDIMENTO",L_Status,"REALIZADO"))</f>
        <v>0</v>
      </c>
      <c r="O13" s="36" t="str">
        <f aca="false">IF($A13="","",$F13+$L13+$N13-$M13)</f>
        <v/>
      </c>
      <c r="P13" s="36" t="str">
        <f aca="false">IF($A13="","",MAX(0,$F13+$L13-$M13))</f>
        <v/>
      </c>
      <c r="Q13" s="36" t="str">
        <f aca="false">IF($A13="","",$O13-$P13)</f>
        <v/>
      </c>
      <c r="R13" s="34" t="str">
        <f aca="false">IF($A13="","",IF($K13="",12,MAX(0,(YEAR($K13)-YEAR(CFG_HOJE))*12+MONTH($K13)-MONTH(CFG_HOJE))))</f>
        <v/>
      </c>
      <c r="S13" s="36" t="n">
        <f aca="false">IF($A13="",0,SUMIFS(L_Valor,L_DestTipo,"INVESTIMENTO",L_DestID,$A13,L_Tipo,"RENDIMENTO",L_Status,"PROJETADO"))</f>
        <v>0</v>
      </c>
      <c r="T13" s="36" t="n">
        <f aca="false">IF($A13="",0,IF($H13="Taxa anual",ROUND($O13*((1+$I13)^($R13/12)-1),0),IF($H13="Taxa mensal",ROUND($O13*((1+$I13)^$R13-1),0),IF($H13="Valor fixo",$I13,0))))</f>
        <v>0</v>
      </c>
      <c r="U13" s="36" t="str">
        <f aca="false">IF($A13="","",$O13+$S13+$V13-$W13)</f>
        <v/>
      </c>
      <c r="V13" s="36" t="n">
        <f aca="false">IF($A13="",0,SUMIFS(L_Valor,L_DestTipo,"INVESTIMENTO",L_DestID,$A13,L_Tipo,"APORTE",L_Status,"PROJETADO"))</f>
        <v>0</v>
      </c>
      <c r="W13" s="36" t="n">
        <f aca="false">IF($A13="",0,SUMIFS(L_Valor,L_OrigTipo,"INVESTIMENTO",L_OrigID,$A13,L_Status,"PROJETADO"))</f>
        <v>0</v>
      </c>
      <c r="X13" s="32"/>
      <c r="Y13" s="32"/>
    </row>
    <row r="14" customFormat="false" ht="15" hidden="false" customHeight="false" outlineLevel="0" collapsed="false">
      <c r="A14" s="30" t="str">
        <f aca="false">IF($B14="","","INV-"&amp;TEXT(ROW()-4,"000000"))</f>
        <v/>
      </c>
      <c r="B14" s="32"/>
      <c r="C14" s="32"/>
      <c r="D14" s="35" t="str">
        <f aca="false">IF($C14="","",IFERROR(INDEX(INS_ID,MATCH($C14,INS_NOME,0)),"?"))</f>
        <v/>
      </c>
      <c r="E14" s="32"/>
      <c r="F14" s="33"/>
      <c r="G14" s="31"/>
      <c r="H14" s="32"/>
      <c r="I14" s="40"/>
      <c r="J14" s="37"/>
      <c r="K14" s="38" t="str">
        <f aca="false">IF($A14="","",IF($J14&gt;0,EDATE($G14,$J14),""))</f>
        <v/>
      </c>
      <c r="L14" s="36" t="n">
        <f aca="false">IF($A14="",0,SUMIFS(L_Valor,L_DestTipo,"INVESTIMENTO",L_DestID,$A14,L_Tipo,"APORTE",L_Status,"REALIZADO"))</f>
        <v>0</v>
      </c>
      <c r="M14" s="36" t="n">
        <f aca="false">IF($A14="",0,SUMIFS(L_Valor,L_OrigTipo,"INVESTIMENTO",L_OrigID,$A14,L_Status,"REALIZADO"))</f>
        <v>0</v>
      </c>
      <c r="N14" s="36" t="n">
        <f aca="false">IF($A14="",0,SUMIFS(L_Valor,L_DestTipo,"INVESTIMENTO",L_DestID,$A14,L_Tipo,"RENDIMENTO",L_Status,"REALIZADO"))</f>
        <v>0</v>
      </c>
      <c r="O14" s="36" t="str">
        <f aca="false">IF($A14="","",$F14+$L14+$N14-$M14)</f>
        <v/>
      </c>
      <c r="P14" s="36" t="str">
        <f aca="false">IF($A14="","",MAX(0,$F14+$L14-$M14))</f>
        <v/>
      </c>
      <c r="Q14" s="36" t="str">
        <f aca="false">IF($A14="","",$O14-$P14)</f>
        <v/>
      </c>
      <c r="R14" s="34" t="str">
        <f aca="false">IF($A14="","",IF($K14="",12,MAX(0,(YEAR($K14)-YEAR(CFG_HOJE))*12+MONTH($K14)-MONTH(CFG_HOJE))))</f>
        <v/>
      </c>
      <c r="S14" s="36" t="n">
        <f aca="false">IF($A14="",0,SUMIFS(L_Valor,L_DestTipo,"INVESTIMENTO",L_DestID,$A14,L_Tipo,"RENDIMENTO",L_Status,"PROJETADO"))</f>
        <v>0</v>
      </c>
      <c r="T14" s="36" t="n">
        <f aca="false">IF($A14="",0,IF($H14="Taxa anual",ROUND($O14*((1+$I14)^($R14/12)-1),0),IF($H14="Taxa mensal",ROUND($O14*((1+$I14)^$R14-1),0),IF($H14="Valor fixo",$I14,0))))</f>
        <v>0</v>
      </c>
      <c r="U14" s="36" t="str">
        <f aca="false">IF($A14="","",$O14+$S14+$V14-$W14)</f>
        <v/>
      </c>
      <c r="V14" s="36" t="n">
        <f aca="false">IF($A14="",0,SUMIFS(L_Valor,L_DestTipo,"INVESTIMENTO",L_DestID,$A14,L_Tipo,"APORTE",L_Status,"PROJETADO"))</f>
        <v>0</v>
      </c>
      <c r="W14" s="36" t="n">
        <f aca="false">IF($A14="",0,SUMIFS(L_Valor,L_OrigTipo,"INVESTIMENTO",L_OrigID,$A14,L_Status,"PROJETADO"))</f>
        <v>0</v>
      </c>
      <c r="X14" s="32"/>
      <c r="Y14" s="32"/>
    </row>
    <row r="15" customFormat="false" ht="15" hidden="false" customHeight="false" outlineLevel="0" collapsed="false">
      <c r="A15" s="30" t="str">
        <f aca="false">IF($B15="","","INV-"&amp;TEXT(ROW()-4,"000000"))</f>
        <v/>
      </c>
      <c r="B15" s="32"/>
      <c r="C15" s="32"/>
      <c r="D15" s="35" t="str">
        <f aca="false">IF($C15="","",IFERROR(INDEX(INS_ID,MATCH($C15,INS_NOME,0)),"?"))</f>
        <v/>
      </c>
      <c r="E15" s="32"/>
      <c r="F15" s="33"/>
      <c r="G15" s="31"/>
      <c r="H15" s="32"/>
      <c r="I15" s="40"/>
      <c r="J15" s="37"/>
      <c r="K15" s="38" t="str">
        <f aca="false">IF($A15="","",IF($J15&gt;0,EDATE($G15,$J15),""))</f>
        <v/>
      </c>
      <c r="L15" s="36" t="n">
        <f aca="false">IF($A15="",0,SUMIFS(L_Valor,L_DestTipo,"INVESTIMENTO",L_DestID,$A15,L_Tipo,"APORTE",L_Status,"REALIZADO"))</f>
        <v>0</v>
      </c>
      <c r="M15" s="36" t="n">
        <f aca="false">IF($A15="",0,SUMIFS(L_Valor,L_OrigTipo,"INVESTIMENTO",L_OrigID,$A15,L_Status,"REALIZADO"))</f>
        <v>0</v>
      </c>
      <c r="N15" s="36" t="n">
        <f aca="false">IF($A15="",0,SUMIFS(L_Valor,L_DestTipo,"INVESTIMENTO",L_DestID,$A15,L_Tipo,"RENDIMENTO",L_Status,"REALIZADO"))</f>
        <v>0</v>
      </c>
      <c r="O15" s="36" t="str">
        <f aca="false">IF($A15="","",$F15+$L15+$N15-$M15)</f>
        <v/>
      </c>
      <c r="P15" s="36" t="str">
        <f aca="false">IF($A15="","",MAX(0,$F15+$L15-$M15))</f>
        <v/>
      </c>
      <c r="Q15" s="36" t="str">
        <f aca="false">IF($A15="","",$O15-$P15)</f>
        <v/>
      </c>
      <c r="R15" s="34" t="str">
        <f aca="false">IF($A15="","",IF($K15="",12,MAX(0,(YEAR($K15)-YEAR(CFG_HOJE))*12+MONTH($K15)-MONTH(CFG_HOJE))))</f>
        <v/>
      </c>
      <c r="S15" s="36" t="n">
        <f aca="false">IF($A15="",0,SUMIFS(L_Valor,L_DestTipo,"INVESTIMENTO",L_DestID,$A15,L_Tipo,"RENDIMENTO",L_Status,"PROJETADO"))</f>
        <v>0</v>
      </c>
      <c r="T15" s="36" t="n">
        <f aca="false">IF($A15="",0,IF($H15="Taxa anual",ROUND($O15*((1+$I15)^($R15/12)-1),0),IF($H15="Taxa mensal",ROUND($O15*((1+$I15)^$R15-1),0),IF($H15="Valor fixo",$I15,0))))</f>
        <v>0</v>
      </c>
      <c r="U15" s="36" t="str">
        <f aca="false">IF($A15="","",$O15+$S15+$V15-$W15)</f>
        <v/>
      </c>
      <c r="V15" s="36" t="n">
        <f aca="false">IF($A15="",0,SUMIFS(L_Valor,L_DestTipo,"INVESTIMENTO",L_DestID,$A15,L_Tipo,"APORTE",L_Status,"PROJETADO"))</f>
        <v>0</v>
      </c>
      <c r="W15" s="36" t="n">
        <f aca="false">IF($A15="",0,SUMIFS(L_Valor,L_OrigTipo,"INVESTIMENTO",L_OrigID,$A15,L_Status,"PROJETADO"))</f>
        <v>0</v>
      </c>
      <c r="X15" s="32"/>
      <c r="Y15" s="32"/>
    </row>
    <row r="16" customFormat="false" ht="15" hidden="false" customHeight="false" outlineLevel="0" collapsed="false">
      <c r="A16" s="30" t="str">
        <f aca="false">IF($B16="","","INV-"&amp;TEXT(ROW()-4,"000000"))</f>
        <v/>
      </c>
      <c r="B16" s="32"/>
      <c r="C16" s="32"/>
      <c r="D16" s="35" t="str">
        <f aca="false">IF($C16="","",IFERROR(INDEX(INS_ID,MATCH($C16,INS_NOME,0)),"?"))</f>
        <v/>
      </c>
      <c r="E16" s="32"/>
      <c r="F16" s="33"/>
      <c r="G16" s="31"/>
      <c r="H16" s="32"/>
      <c r="I16" s="40"/>
      <c r="J16" s="37"/>
      <c r="K16" s="38" t="str">
        <f aca="false">IF($A16="","",IF($J16&gt;0,EDATE($G16,$J16),""))</f>
        <v/>
      </c>
      <c r="L16" s="36" t="n">
        <f aca="false">IF($A16="",0,SUMIFS(L_Valor,L_DestTipo,"INVESTIMENTO",L_DestID,$A16,L_Tipo,"APORTE",L_Status,"REALIZADO"))</f>
        <v>0</v>
      </c>
      <c r="M16" s="36" t="n">
        <f aca="false">IF($A16="",0,SUMIFS(L_Valor,L_OrigTipo,"INVESTIMENTO",L_OrigID,$A16,L_Status,"REALIZADO"))</f>
        <v>0</v>
      </c>
      <c r="N16" s="36" t="n">
        <f aca="false">IF($A16="",0,SUMIFS(L_Valor,L_DestTipo,"INVESTIMENTO",L_DestID,$A16,L_Tipo,"RENDIMENTO",L_Status,"REALIZADO"))</f>
        <v>0</v>
      </c>
      <c r="O16" s="36" t="str">
        <f aca="false">IF($A16="","",$F16+$L16+$N16-$M16)</f>
        <v/>
      </c>
      <c r="P16" s="36" t="str">
        <f aca="false">IF($A16="","",MAX(0,$F16+$L16-$M16))</f>
        <v/>
      </c>
      <c r="Q16" s="36" t="str">
        <f aca="false">IF($A16="","",$O16-$P16)</f>
        <v/>
      </c>
      <c r="R16" s="34" t="str">
        <f aca="false">IF($A16="","",IF($K16="",12,MAX(0,(YEAR($K16)-YEAR(CFG_HOJE))*12+MONTH($K16)-MONTH(CFG_HOJE))))</f>
        <v/>
      </c>
      <c r="S16" s="36" t="n">
        <f aca="false">IF($A16="",0,SUMIFS(L_Valor,L_DestTipo,"INVESTIMENTO",L_DestID,$A16,L_Tipo,"RENDIMENTO",L_Status,"PROJETADO"))</f>
        <v>0</v>
      </c>
      <c r="T16" s="36" t="n">
        <f aca="false">IF($A16="",0,IF($H16="Taxa anual",ROUND($O16*((1+$I16)^($R16/12)-1),0),IF($H16="Taxa mensal",ROUND($O16*((1+$I16)^$R16-1),0),IF($H16="Valor fixo",$I16,0))))</f>
        <v>0</v>
      </c>
      <c r="U16" s="36" t="str">
        <f aca="false">IF($A16="","",$O16+$S16+$V16-$W16)</f>
        <v/>
      </c>
      <c r="V16" s="36" t="n">
        <f aca="false">IF($A16="",0,SUMIFS(L_Valor,L_DestTipo,"INVESTIMENTO",L_DestID,$A16,L_Tipo,"APORTE",L_Status,"PROJETADO"))</f>
        <v>0</v>
      </c>
      <c r="W16" s="36" t="n">
        <f aca="false">IF($A16="",0,SUMIFS(L_Valor,L_OrigTipo,"INVESTIMENTO",L_OrigID,$A16,L_Status,"PROJETADO"))</f>
        <v>0</v>
      </c>
      <c r="X16" s="32"/>
      <c r="Y16" s="32"/>
    </row>
    <row r="17" customFormat="false" ht="15" hidden="false" customHeight="false" outlineLevel="0" collapsed="false">
      <c r="A17" s="30" t="str">
        <f aca="false">IF($B17="","","INV-"&amp;TEXT(ROW()-4,"000000"))</f>
        <v/>
      </c>
      <c r="B17" s="32"/>
      <c r="C17" s="32"/>
      <c r="D17" s="35" t="str">
        <f aca="false">IF($C17="","",IFERROR(INDEX(INS_ID,MATCH($C17,INS_NOME,0)),"?"))</f>
        <v/>
      </c>
      <c r="E17" s="32"/>
      <c r="F17" s="33"/>
      <c r="G17" s="31"/>
      <c r="H17" s="32"/>
      <c r="I17" s="40"/>
      <c r="J17" s="37"/>
      <c r="K17" s="38" t="str">
        <f aca="false">IF($A17="","",IF($J17&gt;0,EDATE($G17,$J17),""))</f>
        <v/>
      </c>
      <c r="L17" s="36" t="n">
        <f aca="false">IF($A17="",0,SUMIFS(L_Valor,L_DestTipo,"INVESTIMENTO",L_DestID,$A17,L_Tipo,"APORTE",L_Status,"REALIZADO"))</f>
        <v>0</v>
      </c>
      <c r="M17" s="36" t="n">
        <f aca="false">IF($A17="",0,SUMIFS(L_Valor,L_OrigTipo,"INVESTIMENTO",L_OrigID,$A17,L_Status,"REALIZADO"))</f>
        <v>0</v>
      </c>
      <c r="N17" s="36" t="n">
        <f aca="false">IF($A17="",0,SUMIFS(L_Valor,L_DestTipo,"INVESTIMENTO",L_DestID,$A17,L_Tipo,"RENDIMENTO",L_Status,"REALIZADO"))</f>
        <v>0</v>
      </c>
      <c r="O17" s="36" t="str">
        <f aca="false">IF($A17="","",$F17+$L17+$N17-$M17)</f>
        <v/>
      </c>
      <c r="P17" s="36" t="str">
        <f aca="false">IF($A17="","",MAX(0,$F17+$L17-$M17))</f>
        <v/>
      </c>
      <c r="Q17" s="36" t="str">
        <f aca="false">IF($A17="","",$O17-$P17)</f>
        <v/>
      </c>
      <c r="R17" s="34" t="str">
        <f aca="false">IF($A17="","",IF($K17="",12,MAX(0,(YEAR($K17)-YEAR(CFG_HOJE))*12+MONTH($K17)-MONTH(CFG_HOJE))))</f>
        <v/>
      </c>
      <c r="S17" s="36" t="n">
        <f aca="false">IF($A17="",0,SUMIFS(L_Valor,L_DestTipo,"INVESTIMENTO",L_DestID,$A17,L_Tipo,"RENDIMENTO",L_Status,"PROJETADO"))</f>
        <v>0</v>
      </c>
      <c r="T17" s="36" t="n">
        <f aca="false">IF($A17="",0,IF($H17="Taxa anual",ROUND($O17*((1+$I17)^($R17/12)-1),0),IF($H17="Taxa mensal",ROUND($O17*((1+$I17)^$R17-1),0),IF($H17="Valor fixo",$I17,0))))</f>
        <v>0</v>
      </c>
      <c r="U17" s="36" t="str">
        <f aca="false">IF($A17="","",$O17+$S17+$V17-$W17)</f>
        <v/>
      </c>
      <c r="V17" s="36" t="n">
        <f aca="false">IF($A17="",0,SUMIFS(L_Valor,L_DestTipo,"INVESTIMENTO",L_DestID,$A17,L_Tipo,"APORTE",L_Status,"PROJETADO"))</f>
        <v>0</v>
      </c>
      <c r="W17" s="36" t="n">
        <f aca="false">IF($A17="",0,SUMIFS(L_Valor,L_OrigTipo,"INVESTIMENTO",L_OrigID,$A17,L_Status,"PROJETADO"))</f>
        <v>0</v>
      </c>
      <c r="X17" s="32"/>
      <c r="Y17" s="32"/>
    </row>
    <row r="18" customFormat="false" ht="15" hidden="false" customHeight="false" outlineLevel="0" collapsed="false">
      <c r="A18" s="30" t="str">
        <f aca="false">IF($B18="","","INV-"&amp;TEXT(ROW()-4,"000000"))</f>
        <v/>
      </c>
      <c r="B18" s="32"/>
      <c r="C18" s="32"/>
      <c r="D18" s="35" t="str">
        <f aca="false">IF($C18="","",IFERROR(INDEX(INS_ID,MATCH($C18,INS_NOME,0)),"?"))</f>
        <v/>
      </c>
      <c r="E18" s="32"/>
      <c r="F18" s="33"/>
      <c r="G18" s="31"/>
      <c r="H18" s="32"/>
      <c r="I18" s="40"/>
      <c r="J18" s="37"/>
      <c r="K18" s="38" t="str">
        <f aca="false">IF($A18="","",IF($J18&gt;0,EDATE($G18,$J18),""))</f>
        <v/>
      </c>
      <c r="L18" s="36" t="n">
        <f aca="false">IF($A18="",0,SUMIFS(L_Valor,L_DestTipo,"INVESTIMENTO",L_DestID,$A18,L_Tipo,"APORTE",L_Status,"REALIZADO"))</f>
        <v>0</v>
      </c>
      <c r="M18" s="36" t="n">
        <f aca="false">IF($A18="",0,SUMIFS(L_Valor,L_OrigTipo,"INVESTIMENTO",L_OrigID,$A18,L_Status,"REALIZADO"))</f>
        <v>0</v>
      </c>
      <c r="N18" s="36" t="n">
        <f aca="false">IF($A18="",0,SUMIFS(L_Valor,L_DestTipo,"INVESTIMENTO",L_DestID,$A18,L_Tipo,"RENDIMENTO",L_Status,"REALIZADO"))</f>
        <v>0</v>
      </c>
      <c r="O18" s="36" t="str">
        <f aca="false">IF($A18="","",$F18+$L18+$N18-$M18)</f>
        <v/>
      </c>
      <c r="P18" s="36" t="str">
        <f aca="false">IF($A18="","",MAX(0,$F18+$L18-$M18))</f>
        <v/>
      </c>
      <c r="Q18" s="36" t="str">
        <f aca="false">IF($A18="","",$O18-$P18)</f>
        <v/>
      </c>
      <c r="R18" s="34" t="str">
        <f aca="false">IF($A18="","",IF($K18="",12,MAX(0,(YEAR($K18)-YEAR(CFG_HOJE))*12+MONTH($K18)-MONTH(CFG_HOJE))))</f>
        <v/>
      </c>
      <c r="S18" s="36" t="n">
        <f aca="false">IF($A18="",0,SUMIFS(L_Valor,L_DestTipo,"INVESTIMENTO",L_DestID,$A18,L_Tipo,"RENDIMENTO",L_Status,"PROJETADO"))</f>
        <v>0</v>
      </c>
      <c r="T18" s="36" t="n">
        <f aca="false">IF($A18="",0,IF($H18="Taxa anual",ROUND($O18*((1+$I18)^($R18/12)-1),0),IF($H18="Taxa mensal",ROUND($O18*((1+$I18)^$R18-1),0),IF($H18="Valor fixo",$I18,0))))</f>
        <v>0</v>
      </c>
      <c r="U18" s="36" t="str">
        <f aca="false">IF($A18="","",$O18+$S18+$V18-$W18)</f>
        <v/>
      </c>
      <c r="V18" s="36" t="n">
        <f aca="false">IF($A18="",0,SUMIFS(L_Valor,L_DestTipo,"INVESTIMENTO",L_DestID,$A18,L_Tipo,"APORTE",L_Status,"PROJETADO"))</f>
        <v>0</v>
      </c>
      <c r="W18" s="36" t="n">
        <f aca="false">IF($A18="",0,SUMIFS(L_Valor,L_OrigTipo,"INVESTIMENTO",L_OrigID,$A18,L_Status,"PROJETADO"))</f>
        <v>0</v>
      </c>
      <c r="X18" s="32"/>
      <c r="Y18" s="32"/>
    </row>
    <row r="19" customFormat="false" ht="15" hidden="false" customHeight="false" outlineLevel="0" collapsed="false">
      <c r="A19" s="30" t="str">
        <f aca="false">IF($B19="","","INV-"&amp;TEXT(ROW()-4,"000000"))</f>
        <v/>
      </c>
      <c r="B19" s="32"/>
      <c r="C19" s="32"/>
      <c r="D19" s="35" t="str">
        <f aca="false">IF($C19="","",IFERROR(INDEX(INS_ID,MATCH($C19,INS_NOME,0)),"?"))</f>
        <v/>
      </c>
      <c r="E19" s="32"/>
      <c r="F19" s="33"/>
      <c r="G19" s="31"/>
      <c r="H19" s="32"/>
      <c r="I19" s="40"/>
      <c r="J19" s="37"/>
      <c r="K19" s="38" t="str">
        <f aca="false">IF($A19="","",IF($J19&gt;0,EDATE($G19,$J19),""))</f>
        <v/>
      </c>
      <c r="L19" s="36" t="n">
        <f aca="false">IF($A19="",0,SUMIFS(L_Valor,L_DestTipo,"INVESTIMENTO",L_DestID,$A19,L_Tipo,"APORTE",L_Status,"REALIZADO"))</f>
        <v>0</v>
      </c>
      <c r="M19" s="36" t="n">
        <f aca="false">IF($A19="",0,SUMIFS(L_Valor,L_OrigTipo,"INVESTIMENTO",L_OrigID,$A19,L_Status,"REALIZADO"))</f>
        <v>0</v>
      </c>
      <c r="N19" s="36" t="n">
        <f aca="false">IF($A19="",0,SUMIFS(L_Valor,L_DestTipo,"INVESTIMENTO",L_DestID,$A19,L_Tipo,"RENDIMENTO",L_Status,"REALIZADO"))</f>
        <v>0</v>
      </c>
      <c r="O19" s="36" t="str">
        <f aca="false">IF($A19="","",$F19+$L19+$N19-$M19)</f>
        <v/>
      </c>
      <c r="P19" s="36" t="str">
        <f aca="false">IF($A19="","",MAX(0,$F19+$L19-$M19))</f>
        <v/>
      </c>
      <c r="Q19" s="36" t="str">
        <f aca="false">IF($A19="","",$O19-$P19)</f>
        <v/>
      </c>
      <c r="R19" s="34" t="str">
        <f aca="false">IF($A19="","",IF($K19="",12,MAX(0,(YEAR($K19)-YEAR(CFG_HOJE))*12+MONTH($K19)-MONTH(CFG_HOJE))))</f>
        <v/>
      </c>
      <c r="S19" s="36" t="n">
        <f aca="false">IF($A19="",0,SUMIFS(L_Valor,L_DestTipo,"INVESTIMENTO",L_DestID,$A19,L_Tipo,"RENDIMENTO",L_Status,"PROJETADO"))</f>
        <v>0</v>
      </c>
      <c r="T19" s="36" t="n">
        <f aca="false">IF($A19="",0,IF($H19="Taxa anual",ROUND($O19*((1+$I19)^($R19/12)-1),0),IF($H19="Taxa mensal",ROUND($O19*((1+$I19)^$R19-1),0),IF($H19="Valor fixo",$I19,0))))</f>
        <v>0</v>
      </c>
      <c r="U19" s="36" t="str">
        <f aca="false">IF($A19="","",$O19+$S19+$V19-$W19)</f>
        <v/>
      </c>
      <c r="V19" s="36" t="n">
        <f aca="false">IF($A19="",0,SUMIFS(L_Valor,L_DestTipo,"INVESTIMENTO",L_DestID,$A19,L_Tipo,"APORTE",L_Status,"PROJETADO"))</f>
        <v>0</v>
      </c>
      <c r="W19" s="36" t="n">
        <f aca="false">IF($A19="",0,SUMIFS(L_Valor,L_OrigTipo,"INVESTIMENTO",L_OrigID,$A19,L_Status,"PROJETADO"))</f>
        <v>0</v>
      </c>
      <c r="X19" s="32"/>
      <c r="Y19" s="32"/>
    </row>
    <row r="20" customFormat="false" ht="15" hidden="false" customHeight="false" outlineLevel="0" collapsed="false">
      <c r="A20" s="30" t="str">
        <f aca="false">IF($B20="","","INV-"&amp;TEXT(ROW()-4,"000000"))</f>
        <v/>
      </c>
      <c r="B20" s="32"/>
      <c r="C20" s="32"/>
      <c r="D20" s="35" t="str">
        <f aca="false">IF($C20="","",IFERROR(INDEX(INS_ID,MATCH($C20,INS_NOME,0)),"?"))</f>
        <v/>
      </c>
      <c r="E20" s="32"/>
      <c r="F20" s="33"/>
      <c r="G20" s="31"/>
      <c r="H20" s="32"/>
      <c r="I20" s="40"/>
      <c r="J20" s="37"/>
      <c r="K20" s="38" t="str">
        <f aca="false">IF($A20="","",IF($J20&gt;0,EDATE($G20,$J20),""))</f>
        <v/>
      </c>
      <c r="L20" s="36" t="n">
        <f aca="false">IF($A20="",0,SUMIFS(L_Valor,L_DestTipo,"INVESTIMENTO",L_DestID,$A20,L_Tipo,"APORTE",L_Status,"REALIZADO"))</f>
        <v>0</v>
      </c>
      <c r="M20" s="36" t="n">
        <f aca="false">IF($A20="",0,SUMIFS(L_Valor,L_OrigTipo,"INVESTIMENTO",L_OrigID,$A20,L_Status,"REALIZADO"))</f>
        <v>0</v>
      </c>
      <c r="N20" s="36" t="n">
        <f aca="false">IF($A20="",0,SUMIFS(L_Valor,L_DestTipo,"INVESTIMENTO",L_DestID,$A20,L_Tipo,"RENDIMENTO",L_Status,"REALIZADO"))</f>
        <v>0</v>
      </c>
      <c r="O20" s="36" t="str">
        <f aca="false">IF($A20="","",$F20+$L20+$N20-$M20)</f>
        <v/>
      </c>
      <c r="P20" s="36" t="str">
        <f aca="false">IF($A20="","",MAX(0,$F20+$L20-$M20))</f>
        <v/>
      </c>
      <c r="Q20" s="36" t="str">
        <f aca="false">IF($A20="","",$O20-$P20)</f>
        <v/>
      </c>
      <c r="R20" s="34" t="str">
        <f aca="false">IF($A20="","",IF($K20="",12,MAX(0,(YEAR($K20)-YEAR(CFG_HOJE))*12+MONTH($K20)-MONTH(CFG_HOJE))))</f>
        <v/>
      </c>
      <c r="S20" s="36" t="n">
        <f aca="false">IF($A20="",0,SUMIFS(L_Valor,L_DestTipo,"INVESTIMENTO",L_DestID,$A20,L_Tipo,"RENDIMENTO",L_Status,"PROJETADO"))</f>
        <v>0</v>
      </c>
      <c r="T20" s="36" t="n">
        <f aca="false">IF($A20="",0,IF($H20="Taxa anual",ROUND($O20*((1+$I20)^($R20/12)-1),0),IF($H20="Taxa mensal",ROUND($O20*((1+$I20)^$R20-1),0),IF($H20="Valor fixo",$I20,0))))</f>
        <v>0</v>
      </c>
      <c r="U20" s="36" t="str">
        <f aca="false">IF($A20="","",$O20+$S20+$V20-$W20)</f>
        <v/>
      </c>
      <c r="V20" s="36" t="n">
        <f aca="false">IF($A20="",0,SUMIFS(L_Valor,L_DestTipo,"INVESTIMENTO",L_DestID,$A20,L_Tipo,"APORTE",L_Status,"PROJETADO"))</f>
        <v>0</v>
      </c>
      <c r="W20" s="36" t="n">
        <f aca="false">IF($A20="",0,SUMIFS(L_Valor,L_OrigTipo,"INVESTIMENTO",L_OrigID,$A20,L_Status,"PROJETADO"))</f>
        <v>0</v>
      </c>
      <c r="X20" s="32"/>
      <c r="Y20" s="32"/>
    </row>
    <row r="21" customFormat="false" ht="15" hidden="false" customHeight="false" outlineLevel="0" collapsed="false">
      <c r="A21" s="30" t="str">
        <f aca="false">IF($B21="","","INV-"&amp;TEXT(ROW()-4,"000000"))</f>
        <v/>
      </c>
      <c r="B21" s="32"/>
      <c r="C21" s="32"/>
      <c r="D21" s="35" t="str">
        <f aca="false">IF($C21="","",IFERROR(INDEX(INS_ID,MATCH($C21,INS_NOME,0)),"?"))</f>
        <v/>
      </c>
      <c r="E21" s="32"/>
      <c r="F21" s="33"/>
      <c r="G21" s="31"/>
      <c r="H21" s="32"/>
      <c r="I21" s="40"/>
      <c r="J21" s="37"/>
      <c r="K21" s="38" t="str">
        <f aca="false">IF($A21="","",IF($J21&gt;0,EDATE($G21,$J21),""))</f>
        <v/>
      </c>
      <c r="L21" s="36" t="n">
        <f aca="false">IF($A21="",0,SUMIFS(L_Valor,L_DestTipo,"INVESTIMENTO",L_DestID,$A21,L_Tipo,"APORTE",L_Status,"REALIZADO"))</f>
        <v>0</v>
      </c>
      <c r="M21" s="36" t="n">
        <f aca="false">IF($A21="",0,SUMIFS(L_Valor,L_OrigTipo,"INVESTIMENTO",L_OrigID,$A21,L_Status,"REALIZADO"))</f>
        <v>0</v>
      </c>
      <c r="N21" s="36" t="n">
        <f aca="false">IF($A21="",0,SUMIFS(L_Valor,L_DestTipo,"INVESTIMENTO",L_DestID,$A21,L_Tipo,"RENDIMENTO",L_Status,"REALIZADO"))</f>
        <v>0</v>
      </c>
      <c r="O21" s="36" t="str">
        <f aca="false">IF($A21="","",$F21+$L21+$N21-$M21)</f>
        <v/>
      </c>
      <c r="P21" s="36" t="str">
        <f aca="false">IF($A21="","",MAX(0,$F21+$L21-$M21))</f>
        <v/>
      </c>
      <c r="Q21" s="36" t="str">
        <f aca="false">IF($A21="","",$O21-$P21)</f>
        <v/>
      </c>
      <c r="R21" s="34" t="str">
        <f aca="false">IF($A21="","",IF($K21="",12,MAX(0,(YEAR($K21)-YEAR(CFG_HOJE))*12+MONTH($K21)-MONTH(CFG_HOJE))))</f>
        <v/>
      </c>
      <c r="S21" s="36" t="n">
        <f aca="false">IF($A21="",0,SUMIFS(L_Valor,L_DestTipo,"INVESTIMENTO",L_DestID,$A21,L_Tipo,"RENDIMENTO",L_Status,"PROJETADO"))</f>
        <v>0</v>
      </c>
      <c r="T21" s="36" t="n">
        <f aca="false">IF($A21="",0,IF($H21="Taxa anual",ROUND($O21*((1+$I21)^($R21/12)-1),0),IF($H21="Taxa mensal",ROUND($O21*((1+$I21)^$R21-1),0),IF($H21="Valor fixo",$I21,0))))</f>
        <v>0</v>
      </c>
      <c r="U21" s="36" t="str">
        <f aca="false">IF($A21="","",$O21+$S21+$V21-$W21)</f>
        <v/>
      </c>
      <c r="V21" s="36" t="n">
        <f aca="false">IF($A21="",0,SUMIFS(L_Valor,L_DestTipo,"INVESTIMENTO",L_DestID,$A21,L_Tipo,"APORTE",L_Status,"PROJETADO"))</f>
        <v>0</v>
      </c>
      <c r="W21" s="36" t="n">
        <f aca="false">IF($A21="",0,SUMIFS(L_Valor,L_OrigTipo,"INVESTIMENTO",L_OrigID,$A21,L_Status,"PROJETADO"))</f>
        <v>0</v>
      </c>
      <c r="X21" s="32"/>
      <c r="Y21" s="32"/>
    </row>
    <row r="22" customFormat="false" ht="15" hidden="false" customHeight="false" outlineLevel="0" collapsed="false">
      <c r="A22" s="30" t="str">
        <f aca="false">IF($B22="","","INV-"&amp;TEXT(ROW()-4,"000000"))</f>
        <v/>
      </c>
      <c r="B22" s="32"/>
      <c r="C22" s="32"/>
      <c r="D22" s="35" t="str">
        <f aca="false">IF($C22="","",IFERROR(INDEX(INS_ID,MATCH($C22,INS_NOME,0)),"?"))</f>
        <v/>
      </c>
      <c r="E22" s="32"/>
      <c r="F22" s="33"/>
      <c r="G22" s="31"/>
      <c r="H22" s="32"/>
      <c r="I22" s="40"/>
      <c r="J22" s="37"/>
      <c r="K22" s="38" t="str">
        <f aca="false">IF($A22="","",IF($J22&gt;0,EDATE($G22,$J22),""))</f>
        <v/>
      </c>
      <c r="L22" s="36" t="n">
        <f aca="false">IF($A22="",0,SUMIFS(L_Valor,L_DestTipo,"INVESTIMENTO",L_DestID,$A22,L_Tipo,"APORTE",L_Status,"REALIZADO"))</f>
        <v>0</v>
      </c>
      <c r="M22" s="36" t="n">
        <f aca="false">IF($A22="",0,SUMIFS(L_Valor,L_OrigTipo,"INVESTIMENTO",L_OrigID,$A22,L_Status,"REALIZADO"))</f>
        <v>0</v>
      </c>
      <c r="N22" s="36" t="n">
        <f aca="false">IF($A22="",0,SUMIFS(L_Valor,L_DestTipo,"INVESTIMENTO",L_DestID,$A22,L_Tipo,"RENDIMENTO",L_Status,"REALIZADO"))</f>
        <v>0</v>
      </c>
      <c r="O22" s="36" t="str">
        <f aca="false">IF($A22="","",$F22+$L22+$N22-$M22)</f>
        <v/>
      </c>
      <c r="P22" s="36" t="str">
        <f aca="false">IF($A22="","",MAX(0,$F22+$L22-$M22))</f>
        <v/>
      </c>
      <c r="Q22" s="36" t="str">
        <f aca="false">IF($A22="","",$O22-$P22)</f>
        <v/>
      </c>
      <c r="R22" s="34" t="str">
        <f aca="false">IF($A22="","",IF($K22="",12,MAX(0,(YEAR($K22)-YEAR(CFG_HOJE))*12+MONTH($K22)-MONTH(CFG_HOJE))))</f>
        <v/>
      </c>
      <c r="S22" s="36" t="n">
        <f aca="false">IF($A22="",0,SUMIFS(L_Valor,L_DestTipo,"INVESTIMENTO",L_DestID,$A22,L_Tipo,"RENDIMENTO",L_Status,"PROJETADO"))</f>
        <v>0</v>
      </c>
      <c r="T22" s="36" t="n">
        <f aca="false">IF($A22="",0,IF($H22="Taxa anual",ROUND($O22*((1+$I22)^($R22/12)-1),0),IF($H22="Taxa mensal",ROUND($O22*((1+$I22)^$R22-1),0),IF($H22="Valor fixo",$I22,0))))</f>
        <v>0</v>
      </c>
      <c r="U22" s="36" t="str">
        <f aca="false">IF($A22="","",$O22+$S22+$V22-$W22)</f>
        <v/>
      </c>
      <c r="V22" s="36" t="n">
        <f aca="false">IF($A22="",0,SUMIFS(L_Valor,L_DestTipo,"INVESTIMENTO",L_DestID,$A22,L_Tipo,"APORTE",L_Status,"PROJETADO"))</f>
        <v>0</v>
      </c>
      <c r="W22" s="36" t="n">
        <f aca="false">IF($A22="",0,SUMIFS(L_Valor,L_OrigTipo,"INVESTIMENTO",L_OrigID,$A22,L_Status,"PROJETADO"))</f>
        <v>0</v>
      </c>
      <c r="X22" s="32"/>
      <c r="Y22" s="32"/>
    </row>
    <row r="23" customFormat="false" ht="15" hidden="false" customHeight="false" outlineLevel="0" collapsed="false">
      <c r="A23" s="30" t="str">
        <f aca="false">IF($B23="","","INV-"&amp;TEXT(ROW()-4,"000000"))</f>
        <v/>
      </c>
      <c r="B23" s="32"/>
      <c r="C23" s="32"/>
      <c r="D23" s="35" t="str">
        <f aca="false">IF($C23="","",IFERROR(INDEX(INS_ID,MATCH($C23,INS_NOME,0)),"?"))</f>
        <v/>
      </c>
      <c r="E23" s="32"/>
      <c r="F23" s="33"/>
      <c r="G23" s="31"/>
      <c r="H23" s="32"/>
      <c r="I23" s="40"/>
      <c r="J23" s="37"/>
      <c r="K23" s="38" t="str">
        <f aca="false">IF($A23="","",IF($J23&gt;0,EDATE($G23,$J23),""))</f>
        <v/>
      </c>
      <c r="L23" s="36" t="n">
        <f aca="false">IF($A23="",0,SUMIFS(L_Valor,L_DestTipo,"INVESTIMENTO",L_DestID,$A23,L_Tipo,"APORTE",L_Status,"REALIZADO"))</f>
        <v>0</v>
      </c>
      <c r="M23" s="36" t="n">
        <f aca="false">IF($A23="",0,SUMIFS(L_Valor,L_OrigTipo,"INVESTIMENTO",L_OrigID,$A23,L_Status,"REALIZADO"))</f>
        <v>0</v>
      </c>
      <c r="N23" s="36" t="n">
        <f aca="false">IF($A23="",0,SUMIFS(L_Valor,L_DestTipo,"INVESTIMENTO",L_DestID,$A23,L_Tipo,"RENDIMENTO",L_Status,"REALIZADO"))</f>
        <v>0</v>
      </c>
      <c r="O23" s="36" t="str">
        <f aca="false">IF($A23="","",$F23+$L23+$N23-$M23)</f>
        <v/>
      </c>
      <c r="P23" s="36" t="str">
        <f aca="false">IF($A23="","",MAX(0,$F23+$L23-$M23))</f>
        <v/>
      </c>
      <c r="Q23" s="36" t="str">
        <f aca="false">IF($A23="","",$O23-$P23)</f>
        <v/>
      </c>
      <c r="R23" s="34" t="str">
        <f aca="false">IF($A23="","",IF($K23="",12,MAX(0,(YEAR($K23)-YEAR(CFG_HOJE))*12+MONTH($K23)-MONTH(CFG_HOJE))))</f>
        <v/>
      </c>
      <c r="S23" s="36" t="n">
        <f aca="false">IF($A23="",0,SUMIFS(L_Valor,L_DestTipo,"INVESTIMENTO",L_DestID,$A23,L_Tipo,"RENDIMENTO",L_Status,"PROJETADO"))</f>
        <v>0</v>
      </c>
      <c r="T23" s="36" t="n">
        <f aca="false">IF($A23="",0,IF($H23="Taxa anual",ROUND($O23*((1+$I23)^($R23/12)-1),0),IF($H23="Taxa mensal",ROUND($O23*((1+$I23)^$R23-1),0),IF($H23="Valor fixo",$I23,0))))</f>
        <v>0</v>
      </c>
      <c r="U23" s="36" t="str">
        <f aca="false">IF($A23="","",$O23+$S23+$V23-$W23)</f>
        <v/>
      </c>
      <c r="V23" s="36" t="n">
        <f aca="false">IF($A23="",0,SUMIFS(L_Valor,L_DestTipo,"INVESTIMENTO",L_DestID,$A23,L_Tipo,"APORTE",L_Status,"PROJETADO"))</f>
        <v>0</v>
      </c>
      <c r="W23" s="36" t="n">
        <f aca="false">IF($A23="",0,SUMIFS(L_Valor,L_OrigTipo,"INVESTIMENTO",L_OrigID,$A23,L_Status,"PROJETADO"))</f>
        <v>0</v>
      </c>
      <c r="X23" s="32"/>
      <c r="Y23" s="32"/>
    </row>
    <row r="24" customFormat="false" ht="15" hidden="false" customHeight="false" outlineLevel="0" collapsed="false">
      <c r="A24" s="30" t="str">
        <f aca="false">IF($B24="","","INV-"&amp;TEXT(ROW()-4,"000000"))</f>
        <v/>
      </c>
      <c r="B24" s="32"/>
      <c r="C24" s="32"/>
      <c r="D24" s="35" t="str">
        <f aca="false">IF($C24="","",IFERROR(INDEX(INS_ID,MATCH($C24,INS_NOME,0)),"?"))</f>
        <v/>
      </c>
      <c r="E24" s="32"/>
      <c r="F24" s="33"/>
      <c r="G24" s="31"/>
      <c r="H24" s="32"/>
      <c r="I24" s="40"/>
      <c r="J24" s="37"/>
      <c r="K24" s="38" t="str">
        <f aca="false">IF($A24="","",IF($J24&gt;0,EDATE($G24,$J24),""))</f>
        <v/>
      </c>
      <c r="L24" s="36" t="n">
        <f aca="false">IF($A24="",0,SUMIFS(L_Valor,L_DestTipo,"INVESTIMENTO",L_DestID,$A24,L_Tipo,"APORTE",L_Status,"REALIZADO"))</f>
        <v>0</v>
      </c>
      <c r="M24" s="36" t="n">
        <f aca="false">IF($A24="",0,SUMIFS(L_Valor,L_OrigTipo,"INVESTIMENTO",L_OrigID,$A24,L_Status,"REALIZADO"))</f>
        <v>0</v>
      </c>
      <c r="N24" s="36" t="n">
        <f aca="false">IF($A24="",0,SUMIFS(L_Valor,L_DestTipo,"INVESTIMENTO",L_DestID,$A24,L_Tipo,"RENDIMENTO",L_Status,"REALIZADO"))</f>
        <v>0</v>
      </c>
      <c r="O24" s="36" t="str">
        <f aca="false">IF($A24="","",$F24+$L24+$N24-$M24)</f>
        <v/>
      </c>
      <c r="P24" s="36" t="str">
        <f aca="false">IF($A24="","",MAX(0,$F24+$L24-$M24))</f>
        <v/>
      </c>
      <c r="Q24" s="36" t="str">
        <f aca="false">IF($A24="","",$O24-$P24)</f>
        <v/>
      </c>
      <c r="R24" s="34" t="str">
        <f aca="false">IF($A24="","",IF($K24="",12,MAX(0,(YEAR($K24)-YEAR(CFG_HOJE))*12+MONTH($K24)-MONTH(CFG_HOJE))))</f>
        <v/>
      </c>
      <c r="S24" s="36" t="n">
        <f aca="false">IF($A24="",0,SUMIFS(L_Valor,L_DestTipo,"INVESTIMENTO",L_DestID,$A24,L_Tipo,"RENDIMENTO",L_Status,"PROJETADO"))</f>
        <v>0</v>
      </c>
      <c r="T24" s="36" t="n">
        <f aca="false">IF($A24="",0,IF($H24="Taxa anual",ROUND($O24*((1+$I24)^($R24/12)-1),0),IF($H24="Taxa mensal",ROUND($O24*((1+$I24)^$R24-1),0),IF($H24="Valor fixo",$I24,0))))</f>
        <v>0</v>
      </c>
      <c r="U24" s="36" t="str">
        <f aca="false">IF($A24="","",$O24+$S24+$V24-$W24)</f>
        <v/>
      </c>
      <c r="V24" s="36" t="n">
        <f aca="false">IF($A24="",0,SUMIFS(L_Valor,L_DestTipo,"INVESTIMENTO",L_DestID,$A24,L_Tipo,"APORTE",L_Status,"PROJETADO"))</f>
        <v>0</v>
      </c>
      <c r="W24" s="36" t="n">
        <f aca="false">IF($A24="",0,SUMIFS(L_Valor,L_OrigTipo,"INVESTIMENTO",L_OrigID,$A24,L_Status,"PROJETADO"))</f>
        <v>0</v>
      </c>
      <c r="X24" s="32"/>
      <c r="Y24" s="32"/>
    </row>
    <row r="25" customFormat="false" ht="15" hidden="false" customHeight="false" outlineLevel="0" collapsed="false">
      <c r="A25" s="30" t="str">
        <f aca="false">IF($B25="","","INV-"&amp;TEXT(ROW()-4,"000000"))</f>
        <v/>
      </c>
      <c r="B25" s="32"/>
      <c r="C25" s="32"/>
      <c r="D25" s="35" t="str">
        <f aca="false">IF($C25="","",IFERROR(INDEX(INS_ID,MATCH($C25,INS_NOME,0)),"?"))</f>
        <v/>
      </c>
      <c r="E25" s="32"/>
      <c r="F25" s="33"/>
      <c r="G25" s="31"/>
      <c r="H25" s="32"/>
      <c r="I25" s="40"/>
      <c r="J25" s="37"/>
      <c r="K25" s="38" t="str">
        <f aca="false">IF($A25="","",IF($J25&gt;0,EDATE($G25,$J25),""))</f>
        <v/>
      </c>
      <c r="L25" s="36" t="n">
        <f aca="false">IF($A25="",0,SUMIFS(L_Valor,L_DestTipo,"INVESTIMENTO",L_DestID,$A25,L_Tipo,"APORTE",L_Status,"REALIZADO"))</f>
        <v>0</v>
      </c>
      <c r="M25" s="36" t="n">
        <f aca="false">IF($A25="",0,SUMIFS(L_Valor,L_OrigTipo,"INVESTIMENTO",L_OrigID,$A25,L_Status,"REALIZADO"))</f>
        <v>0</v>
      </c>
      <c r="N25" s="36" t="n">
        <f aca="false">IF($A25="",0,SUMIFS(L_Valor,L_DestTipo,"INVESTIMENTO",L_DestID,$A25,L_Tipo,"RENDIMENTO",L_Status,"REALIZADO"))</f>
        <v>0</v>
      </c>
      <c r="O25" s="36" t="str">
        <f aca="false">IF($A25="","",$F25+$L25+$N25-$M25)</f>
        <v/>
      </c>
      <c r="P25" s="36" t="str">
        <f aca="false">IF($A25="","",MAX(0,$F25+$L25-$M25))</f>
        <v/>
      </c>
      <c r="Q25" s="36" t="str">
        <f aca="false">IF($A25="","",$O25-$P25)</f>
        <v/>
      </c>
      <c r="R25" s="34" t="str">
        <f aca="false">IF($A25="","",IF($K25="",12,MAX(0,(YEAR($K25)-YEAR(CFG_HOJE))*12+MONTH($K25)-MONTH(CFG_HOJE))))</f>
        <v/>
      </c>
      <c r="S25" s="36" t="n">
        <f aca="false">IF($A25="",0,SUMIFS(L_Valor,L_DestTipo,"INVESTIMENTO",L_DestID,$A25,L_Tipo,"RENDIMENTO",L_Status,"PROJETADO"))</f>
        <v>0</v>
      </c>
      <c r="T25" s="36" t="n">
        <f aca="false">IF($A25="",0,IF($H25="Taxa anual",ROUND($O25*((1+$I25)^($R25/12)-1),0),IF($H25="Taxa mensal",ROUND($O25*((1+$I25)^$R25-1),0),IF($H25="Valor fixo",$I25,0))))</f>
        <v>0</v>
      </c>
      <c r="U25" s="36" t="str">
        <f aca="false">IF($A25="","",$O25+$S25+$V25-$W25)</f>
        <v/>
      </c>
      <c r="V25" s="36" t="n">
        <f aca="false">IF($A25="",0,SUMIFS(L_Valor,L_DestTipo,"INVESTIMENTO",L_DestID,$A25,L_Tipo,"APORTE",L_Status,"PROJETADO"))</f>
        <v>0</v>
      </c>
      <c r="W25" s="36" t="n">
        <f aca="false">IF($A25="",0,SUMIFS(L_Valor,L_OrigTipo,"INVESTIMENTO",L_OrigID,$A25,L_Status,"PROJETADO"))</f>
        <v>0</v>
      </c>
      <c r="X25" s="32"/>
      <c r="Y25" s="32"/>
    </row>
    <row r="26" customFormat="false" ht="15" hidden="false" customHeight="false" outlineLevel="0" collapsed="false">
      <c r="A26" s="30" t="str">
        <f aca="false">IF($B26="","","INV-"&amp;TEXT(ROW()-4,"000000"))</f>
        <v/>
      </c>
      <c r="B26" s="32"/>
      <c r="C26" s="32"/>
      <c r="D26" s="35" t="str">
        <f aca="false">IF($C26="","",IFERROR(INDEX(INS_ID,MATCH($C26,INS_NOME,0)),"?"))</f>
        <v/>
      </c>
      <c r="E26" s="32"/>
      <c r="F26" s="33"/>
      <c r="G26" s="31"/>
      <c r="H26" s="32"/>
      <c r="I26" s="40"/>
      <c r="J26" s="37"/>
      <c r="K26" s="38" t="str">
        <f aca="false">IF($A26="","",IF($J26&gt;0,EDATE($G26,$J26),""))</f>
        <v/>
      </c>
      <c r="L26" s="36" t="n">
        <f aca="false">IF($A26="",0,SUMIFS(L_Valor,L_DestTipo,"INVESTIMENTO",L_DestID,$A26,L_Tipo,"APORTE",L_Status,"REALIZADO"))</f>
        <v>0</v>
      </c>
      <c r="M26" s="36" t="n">
        <f aca="false">IF($A26="",0,SUMIFS(L_Valor,L_OrigTipo,"INVESTIMENTO",L_OrigID,$A26,L_Status,"REALIZADO"))</f>
        <v>0</v>
      </c>
      <c r="N26" s="36" t="n">
        <f aca="false">IF($A26="",0,SUMIFS(L_Valor,L_DestTipo,"INVESTIMENTO",L_DestID,$A26,L_Tipo,"RENDIMENTO",L_Status,"REALIZADO"))</f>
        <v>0</v>
      </c>
      <c r="O26" s="36" t="str">
        <f aca="false">IF($A26="","",$F26+$L26+$N26-$M26)</f>
        <v/>
      </c>
      <c r="P26" s="36" t="str">
        <f aca="false">IF($A26="","",MAX(0,$F26+$L26-$M26))</f>
        <v/>
      </c>
      <c r="Q26" s="36" t="str">
        <f aca="false">IF($A26="","",$O26-$P26)</f>
        <v/>
      </c>
      <c r="R26" s="34" t="str">
        <f aca="false">IF($A26="","",IF($K26="",12,MAX(0,(YEAR($K26)-YEAR(CFG_HOJE))*12+MONTH($K26)-MONTH(CFG_HOJE))))</f>
        <v/>
      </c>
      <c r="S26" s="36" t="n">
        <f aca="false">IF($A26="",0,SUMIFS(L_Valor,L_DestTipo,"INVESTIMENTO",L_DestID,$A26,L_Tipo,"RENDIMENTO",L_Status,"PROJETADO"))</f>
        <v>0</v>
      </c>
      <c r="T26" s="36" t="n">
        <f aca="false">IF($A26="",0,IF($H26="Taxa anual",ROUND($O26*((1+$I26)^($R26/12)-1),0),IF($H26="Taxa mensal",ROUND($O26*((1+$I26)^$R26-1),0),IF($H26="Valor fixo",$I26,0))))</f>
        <v>0</v>
      </c>
      <c r="U26" s="36" t="str">
        <f aca="false">IF($A26="","",$O26+$S26+$V26-$W26)</f>
        <v/>
      </c>
      <c r="V26" s="36" t="n">
        <f aca="false">IF($A26="",0,SUMIFS(L_Valor,L_DestTipo,"INVESTIMENTO",L_DestID,$A26,L_Tipo,"APORTE",L_Status,"PROJETADO"))</f>
        <v>0</v>
      </c>
      <c r="W26" s="36" t="n">
        <f aca="false">IF($A26="",0,SUMIFS(L_Valor,L_OrigTipo,"INVESTIMENTO",L_OrigID,$A26,L_Status,"PROJETADO"))</f>
        <v>0</v>
      </c>
      <c r="X26" s="32"/>
      <c r="Y26" s="32"/>
    </row>
    <row r="27" customFormat="false" ht="15" hidden="false" customHeight="false" outlineLevel="0" collapsed="false">
      <c r="A27" s="30" t="str">
        <f aca="false">IF($B27="","","INV-"&amp;TEXT(ROW()-4,"000000"))</f>
        <v/>
      </c>
      <c r="B27" s="32"/>
      <c r="C27" s="32"/>
      <c r="D27" s="35" t="str">
        <f aca="false">IF($C27="","",IFERROR(INDEX(INS_ID,MATCH($C27,INS_NOME,0)),"?"))</f>
        <v/>
      </c>
      <c r="E27" s="32"/>
      <c r="F27" s="33"/>
      <c r="G27" s="31"/>
      <c r="H27" s="32"/>
      <c r="I27" s="40"/>
      <c r="J27" s="37"/>
      <c r="K27" s="38" t="str">
        <f aca="false">IF($A27="","",IF($J27&gt;0,EDATE($G27,$J27),""))</f>
        <v/>
      </c>
      <c r="L27" s="36" t="n">
        <f aca="false">IF($A27="",0,SUMIFS(L_Valor,L_DestTipo,"INVESTIMENTO",L_DestID,$A27,L_Tipo,"APORTE",L_Status,"REALIZADO"))</f>
        <v>0</v>
      </c>
      <c r="M27" s="36" t="n">
        <f aca="false">IF($A27="",0,SUMIFS(L_Valor,L_OrigTipo,"INVESTIMENTO",L_OrigID,$A27,L_Status,"REALIZADO"))</f>
        <v>0</v>
      </c>
      <c r="N27" s="36" t="n">
        <f aca="false">IF($A27="",0,SUMIFS(L_Valor,L_DestTipo,"INVESTIMENTO",L_DestID,$A27,L_Tipo,"RENDIMENTO",L_Status,"REALIZADO"))</f>
        <v>0</v>
      </c>
      <c r="O27" s="36" t="str">
        <f aca="false">IF($A27="","",$F27+$L27+$N27-$M27)</f>
        <v/>
      </c>
      <c r="P27" s="36" t="str">
        <f aca="false">IF($A27="","",MAX(0,$F27+$L27-$M27))</f>
        <v/>
      </c>
      <c r="Q27" s="36" t="str">
        <f aca="false">IF($A27="","",$O27-$P27)</f>
        <v/>
      </c>
      <c r="R27" s="34" t="str">
        <f aca="false">IF($A27="","",IF($K27="",12,MAX(0,(YEAR($K27)-YEAR(CFG_HOJE))*12+MONTH($K27)-MONTH(CFG_HOJE))))</f>
        <v/>
      </c>
      <c r="S27" s="36" t="n">
        <f aca="false">IF($A27="",0,SUMIFS(L_Valor,L_DestTipo,"INVESTIMENTO",L_DestID,$A27,L_Tipo,"RENDIMENTO",L_Status,"PROJETADO"))</f>
        <v>0</v>
      </c>
      <c r="T27" s="36" t="n">
        <f aca="false">IF($A27="",0,IF($H27="Taxa anual",ROUND($O27*((1+$I27)^($R27/12)-1),0),IF($H27="Taxa mensal",ROUND($O27*((1+$I27)^$R27-1),0),IF($H27="Valor fixo",$I27,0))))</f>
        <v>0</v>
      </c>
      <c r="U27" s="36" t="str">
        <f aca="false">IF($A27="","",$O27+$S27+$V27-$W27)</f>
        <v/>
      </c>
      <c r="V27" s="36" t="n">
        <f aca="false">IF($A27="",0,SUMIFS(L_Valor,L_DestTipo,"INVESTIMENTO",L_DestID,$A27,L_Tipo,"APORTE",L_Status,"PROJETADO"))</f>
        <v>0</v>
      </c>
      <c r="W27" s="36" t="n">
        <f aca="false">IF($A27="",0,SUMIFS(L_Valor,L_OrigTipo,"INVESTIMENTO",L_OrigID,$A27,L_Status,"PROJETADO"))</f>
        <v>0</v>
      </c>
      <c r="X27" s="32"/>
      <c r="Y27" s="32"/>
    </row>
    <row r="28" customFormat="false" ht="15" hidden="false" customHeight="false" outlineLevel="0" collapsed="false">
      <c r="A28" s="30" t="str">
        <f aca="false">IF($B28="","","INV-"&amp;TEXT(ROW()-4,"000000"))</f>
        <v/>
      </c>
      <c r="B28" s="32"/>
      <c r="C28" s="32"/>
      <c r="D28" s="35" t="str">
        <f aca="false">IF($C28="","",IFERROR(INDEX(INS_ID,MATCH($C28,INS_NOME,0)),"?"))</f>
        <v/>
      </c>
      <c r="E28" s="32"/>
      <c r="F28" s="33"/>
      <c r="G28" s="31"/>
      <c r="H28" s="32"/>
      <c r="I28" s="40"/>
      <c r="J28" s="37"/>
      <c r="K28" s="38" t="str">
        <f aca="false">IF($A28="","",IF($J28&gt;0,EDATE($G28,$J28),""))</f>
        <v/>
      </c>
      <c r="L28" s="36" t="n">
        <f aca="false">IF($A28="",0,SUMIFS(L_Valor,L_DestTipo,"INVESTIMENTO",L_DestID,$A28,L_Tipo,"APORTE",L_Status,"REALIZADO"))</f>
        <v>0</v>
      </c>
      <c r="M28" s="36" t="n">
        <f aca="false">IF($A28="",0,SUMIFS(L_Valor,L_OrigTipo,"INVESTIMENTO",L_OrigID,$A28,L_Status,"REALIZADO"))</f>
        <v>0</v>
      </c>
      <c r="N28" s="36" t="n">
        <f aca="false">IF($A28="",0,SUMIFS(L_Valor,L_DestTipo,"INVESTIMENTO",L_DestID,$A28,L_Tipo,"RENDIMENTO",L_Status,"REALIZADO"))</f>
        <v>0</v>
      </c>
      <c r="O28" s="36" t="str">
        <f aca="false">IF($A28="","",$F28+$L28+$N28-$M28)</f>
        <v/>
      </c>
      <c r="P28" s="36" t="str">
        <f aca="false">IF($A28="","",MAX(0,$F28+$L28-$M28))</f>
        <v/>
      </c>
      <c r="Q28" s="36" t="str">
        <f aca="false">IF($A28="","",$O28-$P28)</f>
        <v/>
      </c>
      <c r="R28" s="34" t="str">
        <f aca="false">IF($A28="","",IF($K28="",12,MAX(0,(YEAR($K28)-YEAR(CFG_HOJE))*12+MONTH($K28)-MONTH(CFG_HOJE))))</f>
        <v/>
      </c>
      <c r="S28" s="36" t="n">
        <f aca="false">IF($A28="",0,SUMIFS(L_Valor,L_DestTipo,"INVESTIMENTO",L_DestID,$A28,L_Tipo,"RENDIMENTO",L_Status,"PROJETADO"))</f>
        <v>0</v>
      </c>
      <c r="T28" s="36" t="n">
        <f aca="false">IF($A28="",0,IF($H28="Taxa anual",ROUND($O28*((1+$I28)^($R28/12)-1),0),IF($H28="Taxa mensal",ROUND($O28*((1+$I28)^$R28-1),0),IF($H28="Valor fixo",$I28,0))))</f>
        <v>0</v>
      </c>
      <c r="U28" s="36" t="str">
        <f aca="false">IF($A28="","",$O28+$S28+$V28-$W28)</f>
        <v/>
      </c>
      <c r="V28" s="36" t="n">
        <f aca="false">IF($A28="",0,SUMIFS(L_Valor,L_DestTipo,"INVESTIMENTO",L_DestID,$A28,L_Tipo,"APORTE",L_Status,"PROJETADO"))</f>
        <v>0</v>
      </c>
      <c r="W28" s="36" t="n">
        <f aca="false">IF($A28="",0,SUMIFS(L_Valor,L_OrigTipo,"INVESTIMENTO",L_OrigID,$A28,L_Status,"PROJETADO"))</f>
        <v>0</v>
      </c>
      <c r="X28" s="32"/>
      <c r="Y28" s="32"/>
    </row>
    <row r="29" customFormat="false" ht="15" hidden="false" customHeight="false" outlineLevel="0" collapsed="false">
      <c r="A29" s="30" t="str">
        <f aca="false">IF($B29="","","INV-"&amp;TEXT(ROW()-4,"000000"))</f>
        <v/>
      </c>
      <c r="B29" s="32"/>
      <c r="C29" s="32"/>
      <c r="D29" s="35" t="str">
        <f aca="false">IF($C29="","",IFERROR(INDEX(INS_ID,MATCH($C29,INS_NOME,0)),"?"))</f>
        <v/>
      </c>
      <c r="E29" s="32"/>
      <c r="F29" s="33"/>
      <c r="G29" s="31"/>
      <c r="H29" s="32"/>
      <c r="I29" s="40"/>
      <c r="J29" s="37"/>
      <c r="K29" s="38" t="str">
        <f aca="false">IF($A29="","",IF($J29&gt;0,EDATE($G29,$J29),""))</f>
        <v/>
      </c>
      <c r="L29" s="36" t="n">
        <f aca="false">IF($A29="",0,SUMIFS(L_Valor,L_DestTipo,"INVESTIMENTO",L_DestID,$A29,L_Tipo,"APORTE",L_Status,"REALIZADO"))</f>
        <v>0</v>
      </c>
      <c r="M29" s="36" t="n">
        <f aca="false">IF($A29="",0,SUMIFS(L_Valor,L_OrigTipo,"INVESTIMENTO",L_OrigID,$A29,L_Status,"REALIZADO"))</f>
        <v>0</v>
      </c>
      <c r="N29" s="36" t="n">
        <f aca="false">IF($A29="",0,SUMIFS(L_Valor,L_DestTipo,"INVESTIMENTO",L_DestID,$A29,L_Tipo,"RENDIMENTO",L_Status,"REALIZADO"))</f>
        <v>0</v>
      </c>
      <c r="O29" s="36" t="str">
        <f aca="false">IF($A29="","",$F29+$L29+$N29-$M29)</f>
        <v/>
      </c>
      <c r="P29" s="36" t="str">
        <f aca="false">IF($A29="","",MAX(0,$F29+$L29-$M29))</f>
        <v/>
      </c>
      <c r="Q29" s="36" t="str">
        <f aca="false">IF($A29="","",$O29-$P29)</f>
        <v/>
      </c>
      <c r="R29" s="34" t="str">
        <f aca="false">IF($A29="","",IF($K29="",12,MAX(0,(YEAR($K29)-YEAR(CFG_HOJE))*12+MONTH($K29)-MONTH(CFG_HOJE))))</f>
        <v/>
      </c>
      <c r="S29" s="36" t="n">
        <f aca="false">IF($A29="",0,SUMIFS(L_Valor,L_DestTipo,"INVESTIMENTO",L_DestID,$A29,L_Tipo,"RENDIMENTO",L_Status,"PROJETADO"))</f>
        <v>0</v>
      </c>
      <c r="T29" s="36" t="n">
        <f aca="false">IF($A29="",0,IF($H29="Taxa anual",ROUND($O29*((1+$I29)^($R29/12)-1),0),IF($H29="Taxa mensal",ROUND($O29*((1+$I29)^$R29-1),0),IF($H29="Valor fixo",$I29,0))))</f>
        <v>0</v>
      </c>
      <c r="U29" s="36" t="str">
        <f aca="false">IF($A29="","",$O29+$S29+$V29-$W29)</f>
        <v/>
      </c>
      <c r="V29" s="36" t="n">
        <f aca="false">IF($A29="",0,SUMIFS(L_Valor,L_DestTipo,"INVESTIMENTO",L_DestID,$A29,L_Tipo,"APORTE",L_Status,"PROJETADO"))</f>
        <v>0</v>
      </c>
      <c r="W29" s="36" t="n">
        <f aca="false">IF($A29="",0,SUMIFS(L_Valor,L_OrigTipo,"INVESTIMENTO",L_OrigID,$A29,L_Status,"PROJETADO"))</f>
        <v>0</v>
      </c>
      <c r="X29" s="32"/>
      <c r="Y29" s="32"/>
    </row>
    <row r="30" customFormat="false" ht="15" hidden="false" customHeight="false" outlineLevel="0" collapsed="false">
      <c r="A30" s="30" t="str">
        <f aca="false">IF($B30="","","INV-"&amp;TEXT(ROW()-4,"000000"))</f>
        <v/>
      </c>
      <c r="B30" s="32"/>
      <c r="C30" s="32"/>
      <c r="D30" s="35" t="str">
        <f aca="false">IF($C30="","",IFERROR(INDEX(INS_ID,MATCH($C30,INS_NOME,0)),"?"))</f>
        <v/>
      </c>
      <c r="E30" s="32"/>
      <c r="F30" s="33"/>
      <c r="G30" s="31"/>
      <c r="H30" s="32"/>
      <c r="I30" s="40"/>
      <c r="J30" s="37"/>
      <c r="K30" s="38" t="str">
        <f aca="false">IF($A30="","",IF($J30&gt;0,EDATE($G30,$J30),""))</f>
        <v/>
      </c>
      <c r="L30" s="36" t="n">
        <f aca="false">IF($A30="",0,SUMIFS(L_Valor,L_DestTipo,"INVESTIMENTO",L_DestID,$A30,L_Tipo,"APORTE",L_Status,"REALIZADO"))</f>
        <v>0</v>
      </c>
      <c r="M30" s="36" t="n">
        <f aca="false">IF($A30="",0,SUMIFS(L_Valor,L_OrigTipo,"INVESTIMENTO",L_OrigID,$A30,L_Status,"REALIZADO"))</f>
        <v>0</v>
      </c>
      <c r="N30" s="36" t="n">
        <f aca="false">IF($A30="",0,SUMIFS(L_Valor,L_DestTipo,"INVESTIMENTO",L_DestID,$A30,L_Tipo,"RENDIMENTO",L_Status,"REALIZADO"))</f>
        <v>0</v>
      </c>
      <c r="O30" s="36" t="str">
        <f aca="false">IF($A30="","",$F30+$L30+$N30-$M30)</f>
        <v/>
      </c>
      <c r="P30" s="36" t="str">
        <f aca="false">IF($A30="","",MAX(0,$F30+$L30-$M30))</f>
        <v/>
      </c>
      <c r="Q30" s="36" t="str">
        <f aca="false">IF($A30="","",$O30-$P30)</f>
        <v/>
      </c>
      <c r="R30" s="34" t="str">
        <f aca="false">IF($A30="","",IF($K30="",12,MAX(0,(YEAR($K30)-YEAR(CFG_HOJE))*12+MONTH($K30)-MONTH(CFG_HOJE))))</f>
        <v/>
      </c>
      <c r="S30" s="36" t="n">
        <f aca="false">IF($A30="",0,SUMIFS(L_Valor,L_DestTipo,"INVESTIMENTO",L_DestID,$A30,L_Tipo,"RENDIMENTO",L_Status,"PROJETADO"))</f>
        <v>0</v>
      </c>
      <c r="T30" s="36" t="n">
        <f aca="false">IF($A30="",0,IF($H30="Taxa anual",ROUND($O30*((1+$I30)^($R30/12)-1),0),IF($H30="Taxa mensal",ROUND($O30*((1+$I30)^$R30-1),0),IF($H30="Valor fixo",$I30,0))))</f>
        <v>0</v>
      </c>
      <c r="U30" s="36" t="str">
        <f aca="false">IF($A30="","",$O30+$S30+$V30-$W30)</f>
        <v/>
      </c>
      <c r="V30" s="36" t="n">
        <f aca="false">IF($A30="",0,SUMIFS(L_Valor,L_DestTipo,"INVESTIMENTO",L_DestID,$A30,L_Tipo,"APORTE",L_Status,"PROJETADO"))</f>
        <v>0</v>
      </c>
      <c r="W30" s="36" t="n">
        <f aca="false">IF($A30="",0,SUMIFS(L_Valor,L_OrigTipo,"INVESTIMENTO",L_OrigID,$A30,L_Status,"PROJETADO"))</f>
        <v>0</v>
      </c>
      <c r="X30" s="32"/>
      <c r="Y30" s="32"/>
    </row>
    <row r="31" customFormat="false" ht="15" hidden="false" customHeight="false" outlineLevel="0" collapsed="false">
      <c r="A31" s="30" t="str">
        <f aca="false">IF($B31="","","INV-"&amp;TEXT(ROW()-4,"000000"))</f>
        <v/>
      </c>
      <c r="B31" s="32"/>
      <c r="C31" s="32"/>
      <c r="D31" s="35" t="str">
        <f aca="false">IF($C31="","",IFERROR(INDEX(INS_ID,MATCH($C31,INS_NOME,0)),"?"))</f>
        <v/>
      </c>
      <c r="E31" s="32"/>
      <c r="F31" s="33"/>
      <c r="G31" s="31"/>
      <c r="H31" s="32"/>
      <c r="I31" s="40"/>
      <c r="J31" s="37"/>
      <c r="K31" s="38" t="str">
        <f aca="false">IF($A31="","",IF($J31&gt;0,EDATE($G31,$J31),""))</f>
        <v/>
      </c>
      <c r="L31" s="36" t="n">
        <f aca="false">IF($A31="",0,SUMIFS(L_Valor,L_DestTipo,"INVESTIMENTO",L_DestID,$A31,L_Tipo,"APORTE",L_Status,"REALIZADO"))</f>
        <v>0</v>
      </c>
      <c r="M31" s="36" t="n">
        <f aca="false">IF($A31="",0,SUMIFS(L_Valor,L_OrigTipo,"INVESTIMENTO",L_OrigID,$A31,L_Status,"REALIZADO"))</f>
        <v>0</v>
      </c>
      <c r="N31" s="36" t="n">
        <f aca="false">IF($A31="",0,SUMIFS(L_Valor,L_DestTipo,"INVESTIMENTO",L_DestID,$A31,L_Tipo,"RENDIMENTO",L_Status,"REALIZADO"))</f>
        <v>0</v>
      </c>
      <c r="O31" s="36" t="str">
        <f aca="false">IF($A31="","",$F31+$L31+$N31-$M31)</f>
        <v/>
      </c>
      <c r="P31" s="36" t="str">
        <f aca="false">IF($A31="","",MAX(0,$F31+$L31-$M31))</f>
        <v/>
      </c>
      <c r="Q31" s="36" t="str">
        <f aca="false">IF($A31="","",$O31-$P31)</f>
        <v/>
      </c>
      <c r="R31" s="34" t="str">
        <f aca="false">IF($A31="","",IF($K31="",12,MAX(0,(YEAR($K31)-YEAR(CFG_HOJE))*12+MONTH($K31)-MONTH(CFG_HOJE))))</f>
        <v/>
      </c>
      <c r="S31" s="36" t="n">
        <f aca="false">IF($A31="",0,SUMIFS(L_Valor,L_DestTipo,"INVESTIMENTO",L_DestID,$A31,L_Tipo,"RENDIMENTO",L_Status,"PROJETADO"))</f>
        <v>0</v>
      </c>
      <c r="T31" s="36" t="n">
        <f aca="false">IF($A31="",0,IF($H31="Taxa anual",ROUND($O31*((1+$I31)^($R31/12)-1),0),IF($H31="Taxa mensal",ROUND($O31*((1+$I31)^$R31-1),0),IF($H31="Valor fixo",$I31,0))))</f>
        <v>0</v>
      </c>
      <c r="U31" s="36" t="str">
        <f aca="false">IF($A31="","",$O31+$S31+$V31-$W31)</f>
        <v/>
      </c>
      <c r="V31" s="36" t="n">
        <f aca="false">IF($A31="",0,SUMIFS(L_Valor,L_DestTipo,"INVESTIMENTO",L_DestID,$A31,L_Tipo,"APORTE",L_Status,"PROJETADO"))</f>
        <v>0</v>
      </c>
      <c r="W31" s="36" t="n">
        <f aca="false">IF($A31="",0,SUMIFS(L_Valor,L_OrigTipo,"INVESTIMENTO",L_OrigID,$A31,L_Status,"PROJETADO"))</f>
        <v>0</v>
      </c>
      <c r="X31" s="32"/>
      <c r="Y31" s="32"/>
    </row>
    <row r="32" customFormat="false" ht="15" hidden="false" customHeight="false" outlineLevel="0" collapsed="false">
      <c r="A32" s="30" t="str">
        <f aca="false">IF($B32="","","INV-"&amp;TEXT(ROW()-4,"000000"))</f>
        <v/>
      </c>
      <c r="B32" s="32"/>
      <c r="C32" s="32"/>
      <c r="D32" s="35" t="str">
        <f aca="false">IF($C32="","",IFERROR(INDEX(INS_ID,MATCH($C32,INS_NOME,0)),"?"))</f>
        <v/>
      </c>
      <c r="E32" s="32"/>
      <c r="F32" s="33"/>
      <c r="G32" s="31"/>
      <c r="H32" s="32"/>
      <c r="I32" s="40"/>
      <c r="J32" s="37"/>
      <c r="K32" s="38" t="str">
        <f aca="false">IF($A32="","",IF($J32&gt;0,EDATE($G32,$J32),""))</f>
        <v/>
      </c>
      <c r="L32" s="36" t="n">
        <f aca="false">IF($A32="",0,SUMIFS(L_Valor,L_DestTipo,"INVESTIMENTO",L_DestID,$A32,L_Tipo,"APORTE",L_Status,"REALIZADO"))</f>
        <v>0</v>
      </c>
      <c r="M32" s="36" t="n">
        <f aca="false">IF($A32="",0,SUMIFS(L_Valor,L_OrigTipo,"INVESTIMENTO",L_OrigID,$A32,L_Status,"REALIZADO"))</f>
        <v>0</v>
      </c>
      <c r="N32" s="36" t="n">
        <f aca="false">IF($A32="",0,SUMIFS(L_Valor,L_DestTipo,"INVESTIMENTO",L_DestID,$A32,L_Tipo,"RENDIMENTO",L_Status,"REALIZADO"))</f>
        <v>0</v>
      </c>
      <c r="O32" s="36" t="str">
        <f aca="false">IF($A32="","",$F32+$L32+$N32-$M32)</f>
        <v/>
      </c>
      <c r="P32" s="36" t="str">
        <f aca="false">IF($A32="","",MAX(0,$F32+$L32-$M32))</f>
        <v/>
      </c>
      <c r="Q32" s="36" t="str">
        <f aca="false">IF($A32="","",$O32-$P32)</f>
        <v/>
      </c>
      <c r="R32" s="34" t="str">
        <f aca="false">IF($A32="","",IF($K32="",12,MAX(0,(YEAR($K32)-YEAR(CFG_HOJE))*12+MONTH($K32)-MONTH(CFG_HOJE))))</f>
        <v/>
      </c>
      <c r="S32" s="36" t="n">
        <f aca="false">IF($A32="",0,SUMIFS(L_Valor,L_DestTipo,"INVESTIMENTO",L_DestID,$A32,L_Tipo,"RENDIMENTO",L_Status,"PROJETADO"))</f>
        <v>0</v>
      </c>
      <c r="T32" s="36" t="n">
        <f aca="false">IF($A32="",0,IF($H32="Taxa anual",ROUND($O32*((1+$I32)^($R32/12)-1),0),IF($H32="Taxa mensal",ROUND($O32*((1+$I32)^$R32-1),0),IF($H32="Valor fixo",$I32,0))))</f>
        <v>0</v>
      </c>
      <c r="U32" s="36" t="str">
        <f aca="false">IF($A32="","",$O32+$S32+$V32-$W32)</f>
        <v/>
      </c>
      <c r="V32" s="36" t="n">
        <f aca="false">IF($A32="",0,SUMIFS(L_Valor,L_DestTipo,"INVESTIMENTO",L_DestID,$A32,L_Tipo,"APORTE",L_Status,"PROJETADO"))</f>
        <v>0</v>
      </c>
      <c r="W32" s="36" t="n">
        <f aca="false">IF($A32="",0,SUMIFS(L_Valor,L_OrigTipo,"INVESTIMENTO",L_OrigID,$A32,L_Status,"PROJETADO"))</f>
        <v>0</v>
      </c>
      <c r="X32" s="32"/>
      <c r="Y32" s="32"/>
    </row>
    <row r="33" customFormat="false" ht="15" hidden="false" customHeight="false" outlineLevel="0" collapsed="false">
      <c r="A33" s="30" t="str">
        <f aca="false">IF($B33="","","INV-"&amp;TEXT(ROW()-4,"000000"))</f>
        <v/>
      </c>
      <c r="B33" s="32"/>
      <c r="C33" s="32"/>
      <c r="D33" s="35" t="str">
        <f aca="false">IF($C33="","",IFERROR(INDEX(INS_ID,MATCH($C33,INS_NOME,0)),"?"))</f>
        <v/>
      </c>
      <c r="E33" s="32"/>
      <c r="F33" s="33"/>
      <c r="G33" s="31"/>
      <c r="H33" s="32"/>
      <c r="I33" s="40"/>
      <c r="J33" s="37"/>
      <c r="K33" s="38" t="str">
        <f aca="false">IF($A33="","",IF($J33&gt;0,EDATE($G33,$J33),""))</f>
        <v/>
      </c>
      <c r="L33" s="36" t="n">
        <f aca="false">IF($A33="",0,SUMIFS(L_Valor,L_DestTipo,"INVESTIMENTO",L_DestID,$A33,L_Tipo,"APORTE",L_Status,"REALIZADO"))</f>
        <v>0</v>
      </c>
      <c r="M33" s="36" t="n">
        <f aca="false">IF($A33="",0,SUMIFS(L_Valor,L_OrigTipo,"INVESTIMENTO",L_OrigID,$A33,L_Status,"REALIZADO"))</f>
        <v>0</v>
      </c>
      <c r="N33" s="36" t="n">
        <f aca="false">IF($A33="",0,SUMIFS(L_Valor,L_DestTipo,"INVESTIMENTO",L_DestID,$A33,L_Tipo,"RENDIMENTO",L_Status,"REALIZADO"))</f>
        <v>0</v>
      </c>
      <c r="O33" s="36" t="str">
        <f aca="false">IF($A33="","",$F33+$L33+$N33-$M33)</f>
        <v/>
      </c>
      <c r="P33" s="36" t="str">
        <f aca="false">IF($A33="","",MAX(0,$F33+$L33-$M33))</f>
        <v/>
      </c>
      <c r="Q33" s="36" t="str">
        <f aca="false">IF($A33="","",$O33-$P33)</f>
        <v/>
      </c>
      <c r="R33" s="34" t="str">
        <f aca="false">IF($A33="","",IF($K33="",12,MAX(0,(YEAR($K33)-YEAR(CFG_HOJE))*12+MONTH($K33)-MONTH(CFG_HOJE))))</f>
        <v/>
      </c>
      <c r="S33" s="36" t="n">
        <f aca="false">IF($A33="",0,SUMIFS(L_Valor,L_DestTipo,"INVESTIMENTO",L_DestID,$A33,L_Tipo,"RENDIMENTO",L_Status,"PROJETADO"))</f>
        <v>0</v>
      </c>
      <c r="T33" s="36" t="n">
        <f aca="false">IF($A33="",0,IF($H33="Taxa anual",ROUND($O33*((1+$I33)^($R33/12)-1),0),IF($H33="Taxa mensal",ROUND($O33*((1+$I33)^$R33-1),0),IF($H33="Valor fixo",$I33,0))))</f>
        <v>0</v>
      </c>
      <c r="U33" s="36" t="str">
        <f aca="false">IF($A33="","",$O33+$S33+$V33-$W33)</f>
        <v/>
      </c>
      <c r="V33" s="36" t="n">
        <f aca="false">IF($A33="",0,SUMIFS(L_Valor,L_DestTipo,"INVESTIMENTO",L_DestID,$A33,L_Tipo,"APORTE",L_Status,"PROJETADO"))</f>
        <v>0</v>
      </c>
      <c r="W33" s="36" t="n">
        <f aca="false">IF($A33="",0,SUMIFS(L_Valor,L_OrigTipo,"INVESTIMENTO",L_OrigID,$A33,L_Status,"PROJETADO"))</f>
        <v>0</v>
      </c>
      <c r="X33" s="32"/>
      <c r="Y33" s="32"/>
    </row>
    <row r="34" customFormat="false" ht="15" hidden="false" customHeight="false" outlineLevel="0" collapsed="false">
      <c r="A34" s="30" t="str">
        <f aca="false">IF($B34="","","INV-"&amp;TEXT(ROW()-4,"000000"))</f>
        <v/>
      </c>
      <c r="B34" s="32"/>
      <c r="C34" s="32"/>
      <c r="D34" s="35" t="str">
        <f aca="false">IF($C34="","",IFERROR(INDEX(INS_ID,MATCH($C34,INS_NOME,0)),"?"))</f>
        <v/>
      </c>
      <c r="E34" s="32"/>
      <c r="F34" s="33"/>
      <c r="G34" s="31"/>
      <c r="H34" s="32"/>
      <c r="I34" s="40"/>
      <c r="J34" s="37"/>
      <c r="K34" s="38" t="str">
        <f aca="false">IF($A34="","",IF($J34&gt;0,EDATE($G34,$J34),""))</f>
        <v/>
      </c>
      <c r="L34" s="36" t="n">
        <f aca="false">IF($A34="",0,SUMIFS(L_Valor,L_DestTipo,"INVESTIMENTO",L_DestID,$A34,L_Tipo,"APORTE",L_Status,"REALIZADO"))</f>
        <v>0</v>
      </c>
      <c r="M34" s="36" t="n">
        <f aca="false">IF($A34="",0,SUMIFS(L_Valor,L_OrigTipo,"INVESTIMENTO",L_OrigID,$A34,L_Status,"REALIZADO"))</f>
        <v>0</v>
      </c>
      <c r="N34" s="36" t="n">
        <f aca="false">IF($A34="",0,SUMIFS(L_Valor,L_DestTipo,"INVESTIMENTO",L_DestID,$A34,L_Tipo,"RENDIMENTO",L_Status,"REALIZADO"))</f>
        <v>0</v>
      </c>
      <c r="O34" s="36" t="str">
        <f aca="false">IF($A34="","",$F34+$L34+$N34-$M34)</f>
        <v/>
      </c>
      <c r="P34" s="36" t="str">
        <f aca="false">IF($A34="","",MAX(0,$F34+$L34-$M34))</f>
        <v/>
      </c>
      <c r="Q34" s="36" t="str">
        <f aca="false">IF($A34="","",$O34-$P34)</f>
        <v/>
      </c>
      <c r="R34" s="34" t="str">
        <f aca="false">IF($A34="","",IF($K34="",12,MAX(0,(YEAR($K34)-YEAR(CFG_HOJE))*12+MONTH($K34)-MONTH(CFG_HOJE))))</f>
        <v/>
      </c>
      <c r="S34" s="36" t="n">
        <f aca="false">IF($A34="",0,SUMIFS(L_Valor,L_DestTipo,"INVESTIMENTO",L_DestID,$A34,L_Tipo,"RENDIMENTO",L_Status,"PROJETADO"))</f>
        <v>0</v>
      </c>
      <c r="T34" s="36" t="n">
        <f aca="false">IF($A34="",0,IF($H34="Taxa anual",ROUND($O34*((1+$I34)^($R34/12)-1),0),IF($H34="Taxa mensal",ROUND($O34*((1+$I34)^$R34-1),0),IF($H34="Valor fixo",$I34,0))))</f>
        <v>0</v>
      </c>
      <c r="U34" s="36" t="str">
        <f aca="false">IF($A34="","",$O34+$S34+$V34-$W34)</f>
        <v/>
      </c>
      <c r="V34" s="36" t="n">
        <f aca="false">IF($A34="",0,SUMIFS(L_Valor,L_DestTipo,"INVESTIMENTO",L_DestID,$A34,L_Tipo,"APORTE",L_Status,"PROJETADO"))</f>
        <v>0</v>
      </c>
      <c r="W34" s="36" t="n">
        <f aca="false">IF($A34="",0,SUMIFS(L_Valor,L_OrigTipo,"INVESTIMENTO",L_OrigID,$A34,L_Status,"PROJETADO"))</f>
        <v>0</v>
      </c>
      <c r="X34" s="32"/>
      <c r="Y34" s="32"/>
    </row>
    <row r="35" customFormat="false" ht="15" hidden="false" customHeight="false" outlineLevel="0" collapsed="false">
      <c r="A35" s="30" t="str">
        <f aca="false">IF($B35="","","INV-"&amp;TEXT(ROW()-4,"000000"))</f>
        <v/>
      </c>
      <c r="B35" s="32"/>
      <c r="C35" s="32"/>
      <c r="D35" s="35" t="str">
        <f aca="false">IF($C35="","",IFERROR(INDEX(INS_ID,MATCH($C35,INS_NOME,0)),"?"))</f>
        <v/>
      </c>
      <c r="E35" s="32"/>
      <c r="F35" s="33"/>
      <c r="G35" s="31"/>
      <c r="H35" s="32"/>
      <c r="I35" s="40"/>
      <c r="J35" s="37"/>
      <c r="K35" s="38" t="str">
        <f aca="false">IF($A35="","",IF($J35&gt;0,EDATE($G35,$J35),""))</f>
        <v/>
      </c>
      <c r="L35" s="36" t="n">
        <f aca="false">IF($A35="",0,SUMIFS(L_Valor,L_DestTipo,"INVESTIMENTO",L_DestID,$A35,L_Tipo,"APORTE",L_Status,"REALIZADO"))</f>
        <v>0</v>
      </c>
      <c r="M35" s="36" t="n">
        <f aca="false">IF($A35="",0,SUMIFS(L_Valor,L_OrigTipo,"INVESTIMENTO",L_OrigID,$A35,L_Status,"REALIZADO"))</f>
        <v>0</v>
      </c>
      <c r="N35" s="36" t="n">
        <f aca="false">IF($A35="",0,SUMIFS(L_Valor,L_DestTipo,"INVESTIMENTO",L_DestID,$A35,L_Tipo,"RENDIMENTO",L_Status,"REALIZADO"))</f>
        <v>0</v>
      </c>
      <c r="O35" s="36" t="str">
        <f aca="false">IF($A35="","",$F35+$L35+$N35-$M35)</f>
        <v/>
      </c>
      <c r="P35" s="36" t="str">
        <f aca="false">IF($A35="","",MAX(0,$F35+$L35-$M35))</f>
        <v/>
      </c>
      <c r="Q35" s="36" t="str">
        <f aca="false">IF($A35="","",$O35-$P35)</f>
        <v/>
      </c>
      <c r="R35" s="34" t="str">
        <f aca="false">IF($A35="","",IF($K35="",12,MAX(0,(YEAR($K35)-YEAR(CFG_HOJE))*12+MONTH($K35)-MONTH(CFG_HOJE))))</f>
        <v/>
      </c>
      <c r="S35" s="36" t="n">
        <f aca="false">IF($A35="",0,SUMIFS(L_Valor,L_DestTipo,"INVESTIMENTO",L_DestID,$A35,L_Tipo,"RENDIMENTO",L_Status,"PROJETADO"))</f>
        <v>0</v>
      </c>
      <c r="T35" s="36" t="n">
        <f aca="false">IF($A35="",0,IF($H35="Taxa anual",ROUND($O35*((1+$I35)^($R35/12)-1),0),IF($H35="Taxa mensal",ROUND($O35*((1+$I35)^$R35-1),0),IF($H35="Valor fixo",$I35,0))))</f>
        <v>0</v>
      </c>
      <c r="U35" s="36" t="str">
        <f aca="false">IF($A35="","",$O35+$S35+$V35-$W35)</f>
        <v/>
      </c>
      <c r="V35" s="36" t="n">
        <f aca="false">IF($A35="",0,SUMIFS(L_Valor,L_DestTipo,"INVESTIMENTO",L_DestID,$A35,L_Tipo,"APORTE",L_Status,"PROJETADO"))</f>
        <v>0</v>
      </c>
      <c r="W35" s="36" t="n">
        <f aca="false">IF($A35="",0,SUMIFS(L_Valor,L_OrigTipo,"INVESTIMENTO",L_OrigID,$A35,L_Status,"PROJETADO"))</f>
        <v>0</v>
      </c>
      <c r="X35" s="32"/>
      <c r="Y35" s="32"/>
    </row>
    <row r="36" customFormat="false" ht="15" hidden="false" customHeight="false" outlineLevel="0" collapsed="false">
      <c r="A36" s="30" t="str">
        <f aca="false">IF($B36="","","INV-"&amp;TEXT(ROW()-4,"000000"))</f>
        <v/>
      </c>
      <c r="B36" s="32"/>
      <c r="C36" s="32"/>
      <c r="D36" s="35" t="str">
        <f aca="false">IF($C36="","",IFERROR(INDEX(INS_ID,MATCH($C36,INS_NOME,0)),"?"))</f>
        <v/>
      </c>
      <c r="E36" s="32"/>
      <c r="F36" s="33"/>
      <c r="G36" s="31"/>
      <c r="H36" s="32"/>
      <c r="I36" s="40"/>
      <c r="J36" s="37"/>
      <c r="K36" s="38" t="str">
        <f aca="false">IF($A36="","",IF($J36&gt;0,EDATE($G36,$J36),""))</f>
        <v/>
      </c>
      <c r="L36" s="36" t="n">
        <f aca="false">IF($A36="",0,SUMIFS(L_Valor,L_DestTipo,"INVESTIMENTO",L_DestID,$A36,L_Tipo,"APORTE",L_Status,"REALIZADO"))</f>
        <v>0</v>
      </c>
      <c r="M36" s="36" t="n">
        <f aca="false">IF($A36="",0,SUMIFS(L_Valor,L_OrigTipo,"INVESTIMENTO",L_OrigID,$A36,L_Status,"REALIZADO"))</f>
        <v>0</v>
      </c>
      <c r="N36" s="36" t="n">
        <f aca="false">IF($A36="",0,SUMIFS(L_Valor,L_DestTipo,"INVESTIMENTO",L_DestID,$A36,L_Tipo,"RENDIMENTO",L_Status,"REALIZADO"))</f>
        <v>0</v>
      </c>
      <c r="O36" s="36" t="str">
        <f aca="false">IF($A36="","",$F36+$L36+$N36-$M36)</f>
        <v/>
      </c>
      <c r="P36" s="36" t="str">
        <f aca="false">IF($A36="","",MAX(0,$F36+$L36-$M36))</f>
        <v/>
      </c>
      <c r="Q36" s="36" t="str">
        <f aca="false">IF($A36="","",$O36-$P36)</f>
        <v/>
      </c>
      <c r="R36" s="34" t="str">
        <f aca="false">IF($A36="","",IF($K36="",12,MAX(0,(YEAR($K36)-YEAR(CFG_HOJE))*12+MONTH($K36)-MONTH(CFG_HOJE))))</f>
        <v/>
      </c>
      <c r="S36" s="36" t="n">
        <f aca="false">IF($A36="",0,SUMIFS(L_Valor,L_DestTipo,"INVESTIMENTO",L_DestID,$A36,L_Tipo,"RENDIMENTO",L_Status,"PROJETADO"))</f>
        <v>0</v>
      </c>
      <c r="T36" s="36" t="n">
        <f aca="false">IF($A36="",0,IF($H36="Taxa anual",ROUND($O36*((1+$I36)^($R36/12)-1),0),IF($H36="Taxa mensal",ROUND($O36*((1+$I36)^$R36-1),0),IF($H36="Valor fixo",$I36,0))))</f>
        <v>0</v>
      </c>
      <c r="U36" s="36" t="str">
        <f aca="false">IF($A36="","",$O36+$S36+$V36-$W36)</f>
        <v/>
      </c>
      <c r="V36" s="36" t="n">
        <f aca="false">IF($A36="",0,SUMIFS(L_Valor,L_DestTipo,"INVESTIMENTO",L_DestID,$A36,L_Tipo,"APORTE",L_Status,"PROJETADO"))</f>
        <v>0</v>
      </c>
      <c r="W36" s="36" t="n">
        <f aca="false">IF($A36="",0,SUMIFS(L_Valor,L_OrigTipo,"INVESTIMENTO",L_OrigID,$A36,L_Status,"PROJETADO"))</f>
        <v>0</v>
      </c>
      <c r="X36" s="32"/>
      <c r="Y36" s="32"/>
    </row>
    <row r="37" customFormat="false" ht="15" hidden="false" customHeight="false" outlineLevel="0" collapsed="false">
      <c r="A37" s="30" t="str">
        <f aca="false">IF($B37="","","INV-"&amp;TEXT(ROW()-4,"000000"))</f>
        <v/>
      </c>
      <c r="B37" s="32"/>
      <c r="C37" s="32"/>
      <c r="D37" s="35" t="str">
        <f aca="false">IF($C37="","",IFERROR(INDEX(INS_ID,MATCH($C37,INS_NOME,0)),"?"))</f>
        <v/>
      </c>
      <c r="E37" s="32"/>
      <c r="F37" s="33"/>
      <c r="G37" s="31"/>
      <c r="H37" s="32"/>
      <c r="I37" s="40"/>
      <c r="J37" s="37"/>
      <c r="K37" s="38" t="str">
        <f aca="false">IF($A37="","",IF($J37&gt;0,EDATE($G37,$J37),""))</f>
        <v/>
      </c>
      <c r="L37" s="36" t="n">
        <f aca="false">IF($A37="",0,SUMIFS(L_Valor,L_DestTipo,"INVESTIMENTO",L_DestID,$A37,L_Tipo,"APORTE",L_Status,"REALIZADO"))</f>
        <v>0</v>
      </c>
      <c r="M37" s="36" t="n">
        <f aca="false">IF($A37="",0,SUMIFS(L_Valor,L_OrigTipo,"INVESTIMENTO",L_OrigID,$A37,L_Status,"REALIZADO"))</f>
        <v>0</v>
      </c>
      <c r="N37" s="36" t="n">
        <f aca="false">IF($A37="",0,SUMIFS(L_Valor,L_DestTipo,"INVESTIMENTO",L_DestID,$A37,L_Tipo,"RENDIMENTO",L_Status,"REALIZADO"))</f>
        <v>0</v>
      </c>
      <c r="O37" s="36" t="str">
        <f aca="false">IF($A37="","",$F37+$L37+$N37-$M37)</f>
        <v/>
      </c>
      <c r="P37" s="36" t="str">
        <f aca="false">IF($A37="","",MAX(0,$F37+$L37-$M37))</f>
        <v/>
      </c>
      <c r="Q37" s="36" t="str">
        <f aca="false">IF($A37="","",$O37-$P37)</f>
        <v/>
      </c>
      <c r="R37" s="34" t="str">
        <f aca="false">IF($A37="","",IF($K37="",12,MAX(0,(YEAR($K37)-YEAR(CFG_HOJE))*12+MONTH($K37)-MONTH(CFG_HOJE))))</f>
        <v/>
      </c>
      <c r="S37" s="36" t="n">
        <f aca="false">IF($A37="",0,SUMIFS(L_Valor,L_DestTipo,"INVESTIMENTO",L_DestID,$A37,L_Tipo,"RENDIMENTO",L_Status,"PROJETADO"))</f>
        <v>0</v>
      </c>
      <c r="T37" s="36" t="n">
        <f aca="false">IF($A37="",0,IF($H37="Taxa anual",ROUND($O37*((1+$I37)^($R37/12)-1),0),IF($H37="Taxa mensal",ROUND($O37*((1+$I37)^$R37-1),0),IF($H37="Valor fixo",$I37,0))))</f>
        <v>0</v>
      </c>
      <c r="U37" s="36" t="str">
        <f aca="false">IF($A37="","",$O37+$S37+$V37-$W37)</f>
        <v/>
      </c>
      <c r="V37" s="36" t="n">
        <f aca="false">IF($A37="",0,SUMIFS(L_Valor,L_DestTipo,"INVESTIMENTO",L_DestID,$A37,L_Tipo,"APORTE",L_Status,"PROJETADO"))</f>
        <v>0</v>
      </c>
      <c r="W37" s="36" t="n">
        <f aca="false">IF($A37="",0,SUMIFS(L_Valor,L_OrigTipo,"INVESTIMENTO",L_OrigID,$A37,L_Status,"PROJETADO"))</f>
        <v>0</v>
      </c>
      <c r="X37" s="32"/>
      <c r="Y37" s="32"/>
    </row>
    <row r="38" customFormat="false" ht="15" hidden="false" customHeight="false" outlineLevel="0" collapsed="false">
      <c r="A38" s="30" t="str">
        <f aca="false">IF($B38="","","INV-"&amp;TEXT(ROW()-4,"000000"))</f>
        <v/>
      </c>
      <c r="B38" s="32"/>
      <c r="C38" s="32"/>
      <c r="D38" s="35" t="str">
        <f aca="false">IF($C38="","",IFERROR(INDEX(INS_ID,MATCH($C38,INS_NOME,0)),"?"))</f>
        <v/>
      </c>
      <c r="E38" s="32"/>
      <c r="F38" s="33"/>
      <c r="G38" s="31"/>
      <c r="H38" s="32"/>
      <c r="I38" s="40"/>
      <c r="J38" s="37"/>
      <c r="K38" s="38" t="str">
        <f aca="false">IF($A38="","",IF($J38&gt;0,EDATE($G38,$J38),""))</f>
        <v/>
      </c>
      <c r="L38" s="36" t="n">
        <f aca="false">IF($A38="",0,SUMIFS(L_Valor,L_DestTipo,"INVESTIMENTO",L_DestID,$A38,L_Tipo,"APORTE",L_Status,"REALIZADO"))</f>
        <v>0</v>
      </c>
      <c r="M38" s="36" t="n">
        <f aca="false">IF($A38="",0,SUMIFS(L_Valor,L_OrigTipo,"INVESTIMENTO",L_OrigID,$A38,L_Status,"REALIZADO"))</f>
        <v>0</v>
      </c>
      <c r="N38" s="36" t="n">
        <f aca="false">IF($A38="",0,SUMIFS(L_Valor,L_DestTipo,"INVESTIMENTO",L_DestID,$A38,L_Tipo,"RENDIMENTO",L_Status,"REALIZADO"))</f>
        <v>0</v>
      </c>
      <c r="O38" s="36" t="str">
        <f aca="false">IF($A38="","",$F38+$L38+$N38-$M38)</f>
        <v/>
      </c>
      <c r="P38" s="36" t="str">
        <f aca="false">IF($A38="","",MAX(0,$F38+$L38-$M38))</f>
        <v/>
      </c>
      <c r="Q38" s="36" t="str">
        <f aca="false">IF($A38="","",$O38-$P38)</f>
        <v/>
      </c>
      <c r="R38" s="34" t="str">
        <f aca="false">IF($A38="","",IF($K38="",12,MAX(0,(YEAR($K38)-YEAR(CFG_HOJE))*12+MONTH($K38)-MONTH(CFG_HOJE))))</f>
        <v/>
      </c>
      <c r="S38" s="36" t="n">
        <f aca="false">IF($A38="",0,SUMIFS(L_Valor,L_DestTipo,"INVESTIMENTO",L_DestID,$A38,L_Tipo,"RENDIMENTO",L_Status,"PROJETADO"))</f>
        <v>0</v>
      </c>
      <c r="T38" s="36" t="n">
        <f aca="false">IF($A38="",0,IF($H38="Taxa anual",ROUND($O38*((1+$I38)^($R38/12)-1),0),IF($H38="Taxa mensal",ROUND($O38*((1+$I38)^$R38-1),0),IF($H38="Valor fixo",$I38,0))))</f>
        <v>0</v>
      </c>
      <c r="U38" s="36" t="str">
        <f aca="false">IF($A38="","",$O38+$S38+$V38-$W38)</f>
        <v/>
      </c>
      <c r="V38" s="36" t="n">
        <f aca="false">IF($A38="",0,SUMIFS(L_Valor,L_DestTipo,"INVESTIMENTO",L_DestID,$A38,L_Tipo,"APORTE",L_Status,"PROJETADO"))</f>
        <v>0</v>
      </c>
      <c r="W38" s="36" t="n">
        <f aca="false">IF($A38="",0,SUMIFS(L_Valor,L_OrigTipo,"INVESTIMENTO",L_OrigID,$A38,L_Status,"PROJETADO"))</f>
        <v>0</v>
      </c>
      <c r="X38" s="32"/>
      <c r="Y38" s="32"/>
    </row>
    <row r="39" customFormat="false" ht="15" hidden="false" customHeight="false" outlineLevel="0" collapsed="false">
      <c r="A39" s="30" t="str">
        <f aca="false">IF($B39="","","INV-"&amp;TEXT(ROW()-4,"000000"))</f>
        <v/>
      </c>
      <c r="B39" s="32"/>
      <c r="C39" s="32"/>
      <c r="D39" s="35" t="str">
        <f aca="false">IF($C39="","",IFERROR(INDEX(INS_ID,MATCH($C39,INS_NOME,0)),"?"))</f>
        <v/>
      </c>
      <c r="E39" s="32"/>
      <c r="F39" s="33"/>
      <c r="G39" s="31"/>
      <c r="H39" s="32"/>
      <c r="I39" s="40"/>
      <c r="J39" s="37"/>
      <c r="K39" s="38" t="str">
        <f aca="false">IF($A39="","",IF($J39&gt;0,EDATE($G39,$J39),""))</f>
        <v/>
      </c>
      <c r="L39" s="36" t="n">
        <f aca="false">IF($A39="",0,SUMIFS(L_Valor,L_DestTipo,"INVESTIMENTO",L_DestID,$A39,L_Tipo,"APORTE",L_Status,"REALIZADO"))</f>
        <v>0</v>
      </c>
      <c r="M39" s="36" t="n">
        <f aca="false">IF($A39="",0,SUMIFS(L_Valor,L_OrigTipo,"INVESTIMENTO",L_OrigID,$A39,L_Status,"REALIZADO"))</f>
        <v>0</v>
      </c>
      <c r="N39" s="36" t="n">
        <f aca="false">IF($A39="",0,SUMIFS(L_Valor,L_DestTipo,"INVESTIMENTO",L_DestID,$A39,L_Tipo,"RENDIMENTO",L_Status,"REALIZADO"))</f>
        <v>0</v>
      </c>
      <c r="O39" s="36" t="str">
        <f aca="false">IF($A39="","",$F39+$L39+$N39-$M39)</f>
        <v/>
      </c>
      <c r="P39" s="36" t="str">
        <f aca="false">IF($A39="","",MAX(0,$F39+$L39-$M39))</f>
        <v/>
      </c>
      <c r="Q39" s="36" t="str">
        <f aca="false">IF($A39="","",$O39-$P39)</f>
        <v/>
      </c>
      <c r="R39" s="34" t="str">
        <f aca="false">IF($A39="","",IF($K39="",12,MAX(0,(YEAR($K39)-YEAR(CFG_HOJE))*12+MONTH($K39)-MONTH(CFG_HOJE))))</f>
        <v/>
      </c>
      <c r="S39" s="36" t="n">
        <f aca="false">IF($A39="",0,SUMIFS(L_Valor,L_DestTipo,"INVESTIMENTO",L_DestID,$A39,L_Tipo,"RENDIMENTO",L_Status,"PROJETADO"))</f>
        <v>0</v>
      </c>
      <c r="T39" s="36" t="n">
        <f aca="false">IF($A39="",0,IF($H39="Taxa anual",ROUND($O39*((1+$I39)^($R39/12)-1),0),IF($H39="Taxa mensal",ROUND($O39*((1+$I39)^$R39-1),0),IF($H39="Valor fixo",$I39,0))))</f>
        <v>0</v>
      </c>
      <c r="U39" s="36" t="str">
        <f aca="false">IF($A39="","",$O39+$S39+$V39-$W39)</f>
        <v/>
      </c>
      <c r="V39" s="36" t="n">
        <f aca="false">IF($A39="",0,SUMIFS(L_Valor,L_DestTipo,"INVESTIMENTO",L_DestID,$A39,L_Tipo,"APORTE",L_Status,"PROJETADO"))</f>
        <v>0</v>
      </c>
      <c r="W39" s="36" t="n">
        <f aca="false">IF($A39="",0,SUMIFS(L_Valor,L_OrigTipo,"INVESTIMENTO",L_OrigID,$A39,L_Status,"PROJETADO"))</f>
        <v>0</v>
      </c>
      <c r="X39" s="32"/>
      <c r="Y39" s="32"/>
    </row>
    <row r="40" customFormat="false" ht="15" hidden="false" customHeight="false" outlineLevel="0" collapsed="false">
      <c r="A40" s="30" t="str">
        <f aca="false">IF($B40="","","INV-"&amp;TEXT(ROW()-4,"000000"))</f>
        <v/>
      </c>
      <c r="B40" s="32"/>
      <c r="C40" s="32"/>
      <c r="D40" s="35" t="str">
        <f aca="false">IF($C40="","",IFERROR(INDEX(INS_ID,MATCH($C40,INS_NOME,0)),"?"))</f>
        <v/>
      </c>
      <c r="E40" s="32"/>
      <c r="F40" s="33"/>
      <c r="G40" s="31"/>
      <c r="H40" s="32"/>
      <c r="I40" s="40"/>
      <c r="J40" s="37"/>
      <c r="K40" s="38" t="str">
        <f aca="false">IF($A40="","",IF($J40&gt;0,EDATE($G40,$J40),""))</f>
        <v/>
      </c>
      <c r="L40" s="36" t="n">
        <f aca="false">IF($A40="",0,SUMIFS(L_Valor,L_DestTipo,"INVESTIMENTO",L_DestID,$A40,L_Tipo,"APORTE",L_Status,"REALIZADO"))</f>
        <v>0</v>
      </c>
      <c r="M40" s="36" t="n">
        <f aca="false">IF($A40="",0,SUMIFS(L_Valor,L_OrigTipo,"INVESTIMENTO",L_OrigID,$A40,L_Status,"REALIZADO"))</f>
        <v>0</v>
      </c>
      <c r="N40" s="36" t="n">
        <f aca="false">IF($A40="",0,SUMIFS(L_Valor,L_DestTipo,"INVESTIMENTO",L_DestID,$A40,L_Tipo,"RENDIMENTO",L_Status,"REALIZADO"))</f>
        <v>0</v>
      </c>
      <c r="O40" s="36" t="str">
        <f aca="false">IF($A40="","",$F40+$L40+$N40-$M40)</f>
        <v/>
      </c>
      <c r="P40" s="36" t="str">
        <f aca="false">IF($A40="","",MAX(0,$F40+$L40-$M40))</f>
        <v/>
      </c>
      <c r="Q40" s="36" t="str">
        <f aca="false">IF($A40="","",$O40-$P40)</f>
        <v/>
      </c>
      <c r="R40" s="34" t="str">
        <f aca="false">IF($A40="","",IF($K40="",12,MAX(0,(YEAR($K40)-YEAR(CFG_HOJE))*12+MONTH($K40)-MONTH(CFG_HOJE))))</f>
        <v/>
      </c>
      <c r="S40" s="36" t="n">
        <f aca="false">IF($A40="",0,SUMIFS(L_Valor,L_DestTipo,"INVESTIMENTO",L_DestID,$A40,L_Tipo,"RENDIMENTO",L_Status,"PROJETADO"))</f>
        <v>0</v>
      </c>
      <c r="T40" s="36" t="n">
        <f aca="false">IF($A40="",0,IF($H40="Taxa anual",ROUND($O40*((1+$I40)^($R40/12)-1),0),IF($H40="Taxa mensal",ROUND($O40*((1+$I40)^$R40-1),0),IF($H40="Valor fixo",$I40,0))))</f>
        <v>0</v>
      </c>
      <c r="U40" s="36" t="str">
        <f aca="false">IF($A40="","",$O40+$S40+$V40-$W40)</f>
        <v/>
      </c>
      <c r="V40" s="36" t="n">
        <f aca="false">IF($A40="",0,SUMIFS(L_Valor,L_DestTipo,"INVESTIMENTO",L_DestID,$A40,L_Tipo,"APORTE",L_Status,"PROJETADO"))</f>
        <v>0</v>
      </c>
      <c r="W40" s="36" t="n">
        <f aca="false">IF($A40="",0,SUMIFS(L_Valor,L_OrigTipo,"INVESTIMENTO",L_OrigID,$A40,L_Status,"PROJETADO"))</f>
        <v>0</v>
      </c>
      <c r="X40" s="32"/>
      <c r="Y40" s="32"/>
    </row>
    <row r="41" customFormat="false" ht="15" hidden="false" customHeight="false" outlineLevel="0" collapsed="false">
      <c r="A41" s="30" t="str">
        <f aca="false">IF($B41="","","INV-"&amp;TEXT(ROW()-4,"000000"))</f>
        <v/>
      </c>
      <c r="B41" s="32"/>
      <c r="C41" s="32"/>
      <c r="D41" s="35" t="str">
        <f aca="false">IF($C41="","",IFERROR(INDEX(INS_ID,MATCH($C41,INS_NOME,0)),"?"))</f>
        <v/>
      </c>
      <c r="E41" s="32"/>
      <c r="F41" s="33"/>
      <c r="G41" s="31"/>
      <c r="H41" s="32"/>
      <c r="I41" s="40"/>
      <c r="J41" s="37"/>
      <c r="K41" s="38" t="str">
        <f aca="false">IF($A41="","",IF($J41&gt;0,EDATE($G41,$J41),""))</f>
        <v/>
      </c>
      <c r="L41" s="36" t="n">
        <f aca="false">IF($A41="",0,SUMIFS(L_Valor,L_DestTipo,"INVESTIMENTO",L_DestID,$A41,L_Tipo,"APORTE",L_Status,"REALIZADO"))</f>
        <v>0</v>
      </c>
      <c r="M41" s="36" t="n">
        <f aca="false">IF($A41="",0,SUMIFS(L_Valor,L_OrigTipo,"INVESTIMENTO",L_OrigID,$A41,L_Status,"REALIZADO"))</f>
        <v>0</v>
      </c>
      <c r="N41" s="36" t="n">
        <f aca="false">IF($A41="",0,SUMIFS(L_Valor,L_DestTipo,"INVESTIMENTO",L_DestID,$A41,L_Tipo,"RENDIMENTO",L_Status,"REALIZADO"))</f>
        <v>0</v>
      </c>
      <c r="O41" s="36" t="str">
        <f aca="false">IF($A41="","",$F41+$L41+$N41-$M41)</f>
        <v/>
      </c>
      <c r="P41" s="36" t="str">
        <f aca="false">IF($A41="","",MAX(0,$F41+$L41-$M41))</f>
        <v/>
      </c>
      <c r="Q41" s="36" t="str">
        <f aca="false">IF($A41="","",$O41-$P41)</f>
        <v/>
      </c>
      <c r="R41" s="34" t="str">
        <f aca="false">IF($A41="","",IF($K41="",12,MAX(0,(YEAR($K41)-YEAR(CFG_HOJE))*12+MONTH($K41)-MONTH(CFG_HOJE))))</f>
        <v/>
      </c>
      <c r="S41" s="36" t="n">
        <f aca="false">IF($A41="",0,SUMIFS(L_Valor,L_DestTipo,"INVESTIMENTO",L_DestID,$A41,L_Tipo,"RENDIMENTO",L_Status,"PROJETADO"))</f>
        <v>0</v>
      </c>
      <c r="T41" s="36" t="n">
        <f aca="false">IF($A41="",0,IF($H41="Taxa anual",ROUND($O41*((1+$I41)^($R41/12)-1),0),IF($H41="Taxa mensal",ROUND($O41*((1+$I41)^$R41-1),0),IF($H41="Valor fixo",$I41,0))))</f>
        <v>0</v>
      </c>
      <c r="U41" s="36" t="str">
        <f aca="false">IF($A41="","",$O41+$S41+$V41-$W41)</f>
        <v/>
      </c>
      <c r="V41" s="36" t="n">
        <f aca="false">IF($A41="",0,SUMIFS(L_Valor,L_DestTipo,"INVESTIMENTO",L_DestID,$A41,L_Tipo,"APORTE",L_Status,"PROJETADO"))</f>
        <v>0</v>
      </c>
      <c r="W41" s="36" t="n">
        <f aca="false">IF($A41="",0,SUMIFS(L_Valor,L_OrigTipo,"INVESTIMENTO",L_OrigID,$A41,L_Status,"PROJETADO"))</f>
        <v>0</v>
      </c>
      <c r="X41" s="32"/>
      <c r="Y41" s="32"/>
    </row>
    <row r="42" customFormat="false" ht="15" hidden="false" customHeight="false" outlineLevel="0" collapsed="false">
      <c r="A42" s="30" t="str">
        <f aca="false">IF($B42="","","INV-"&amp;TEXT(ROW()-4,"000000"))</f>
        <v/>
      </c>
      <c r="B42" s="32"/>
      <c r="C42" s="32"/>
      <c r="D42" s="35" t="str">
        <f aca="false">IF($C42="","",IFERROR(INDEX(INS_ID,MATCH($C42,INS_NOME,0)),"?"))</f>
        <v/>
      </c>
      <c r="E42" s="32"/>
      <c r="F42" s="33"/>
      <c r="G42" s="31"/>
      <c r="H42" s="32"/>
      <c r="I42" s="40"/>
      <c r="J42" s="37"/>
      <c r="K42" s="38" t="str">
        <f aca="false">IF($A42="","",IF($J42&gt;0,EDATE($G42,$J42),""))</f>
        <v/>
      </c>
      <c r="L42" s="36" t="n">
        <f aca="false">IF($A42="",0,SUMIFS(L_Valor,L_DestTipo,"INVESTIMENTO",L_DestID,$A42,L_Tipo,"APORTE",L_Status,"REALIZADO"))</f>
        <v>0</v>
      </c>
      <c r="M42" s="36" t="n">
        <f aca="false">IF($A42="",0,SUMIFS(L_Valor,L_OrigTipo,"INVESTIMENTO",L_OrigID,$A42,L_Status,"REALIZADO"))</f>
        <v>0</v>
      </c>
      <c r="N42" s="36" t="n">
        <f aca="false">IF($A42="",0,SUMIFS(L_Valor,L_DestTipo,"INVESTIMENTO",L_DestID,$A42,L_Tipo,"RENDIMENTO",L_Status,"REALIZADO"))</f>
        <v>0</v>
      </c>
      <c r="O42" s="36" t="str">
        <f aca="false">IF($A42="","",$F42+$L42+$N42-$M42)</f>
        <v/>
      </c>
      <c r="P42" s="36" t="str">
        <f aca="false">IF($A42="","",MAX(0,$F42+$L42-$M42))</f>
        <v/>
      </c>
      <c r="Q42" s="36" t="str">
        <f aca="false">IF($A42="","",$O42-$P42)</f>
        <v/>
      </c>
      <c r="R42" s="34" t="str">
        <f aca="false">IF($A42="","",IF($K42="",12,MAX(0,(YEAR($K42)-YEAR(CFG_HOJE))*12+MONTH($K42)-MONTH(CFG_HOJE))))</f>
        <v/>
      </c>
      <c r="S42" s="36" t="n">
        <f aca="false">IF($A42="",0,SUMIFS(L_Valor,L_DestTipo,"INVESTIMENTO",L_DestID,$A42,L_Tipo,"RENDIMENTO",L_Status,"PROJETADO"))</f>
        <v>0</v>
      </c>
      <c r="T42" s="36" t="n">
        <f aca="false">IF($A42="",0,IF($H42="Taxa anual",ROUND($O42*((1+$I42)^($R42/12)-1),0),IF($H42="Taxa mensal",ROUND($O42*((1+$I42)^$R42-1),0),IF($H42="Valor fixo",$I42,0))))</f>
        <v>0</v>
      </c>
      <c r="U42" s="36" t="str">
        <f aca="false">IF($A42="","",$O42+$S42+$V42-$W42)</f>
        <v/>
      </c>
      <c r="V42" s="36" t="n">
        <f aca="false">IF($A42="",0,SUMIFS(L_Valor,L_DestTipo,"INVESTIMENTO",L_DestID,$A42,L_Tipo,"APORTE",L_Status,"PROJETADO"))</f>
        <v>0</v>
      </c>
      <c r="W42" s="36" t="n">
        <f aca="false">IF($A42="",0,SUMIFS(L_Valor,L_OrigTipo,"INVESTIMENTO",L_OrigID,$A42,L_Status,"PROJETADO"))</f>
        <v>0</v>
      </c>
      <c r="X42" s="32"/>
      <c r="Y42" s="32"/>
    </row>
    <row r="43" customFormat="false" ht="15" hidden="false" customHeight="false" outlineLevel="0" collapsed="false">
      <c r="A43" s="30" t="str">
        <f aca="false">IF($B43="","","INV-"&amp;TEXT(ROW()-4,"000000"))</f>
        <v/>
      </c>
      <c r="B43" s="32"/>
      <c r="C43" s="32"/>
      <c r="D43" s="35" t="str">
        <f aca="false">IF($C43="","",IFERROR(INDEX(INS_ID,MATCH($C43,INS_NOME,0)),"?"))</f>
        <v/>
      </c>
      <c r="E43" s="32"/>
      <c r="F43" s="33"/>
      <c r="G43" s="31"/>
      <c r="H43" s="32"/>
      <c r="I43" s="40"/>
      <c r="J43" s="37"/>
      <c r="K43" s="38" t="str">
        <f aca="false">IF($A43="","",IF($J43&gt;0,EDATE($G43,$J43),""))</f>
        <v/>
      </c>
      <c r="L43" s="36" t="n">
        <f aca="false">IF($A43="",0,SUMIFS(L_Valor,L_DestTipo,"INVESTIMENTO",L_DestID,$A43,L_Tipo,"APORTE",L_Status,"REALIZADO"))</f>
        <v>0</v>
      </c>
      <c r="M43" s="36" t="n">
        <f aca="false">IF($A43="",0,SUMIFS(L_Valor,L_OrigTipo,"INVESTIMENTO",L_OrigID,$A43,L_Status,"REALIZADO"))</f>
        <v>0</v>
      </c>
      <c r="N43" s="36" t="n">
        <f aca="false">IF($A43="",0,SUMIFS(L_Valor,L_DestTipo,"INVESTIMENTO",L_DestID,$A43,L_Tipo,"RENDIMENTO",L_Status,"REALIZADO"))</f>
        <v>0</v>
      </c>
      <c r="O43" s="36" t="str">
        <f aca="false">IF($A43="","",$F43+$L43+$N43-$M43)</f>
        <v/>
      </c>
      <c r="P43" s="36" t="str">
        <f aca="false">IF($A43="","",MAX(0,$F43+$L43-$M43))</f>
        <v/>
      </c>
      <c r="Q43" s="36" t="str">
        <f aca="false">IF($A43="","",$O43-$P43)</f>
        <v/>
      </c>
      <c r="R43" s="34" t="str">
        <f aca="false">IF($A43="","",IF($K43="",12,MAX(0,(YEAR($K43)-YEAR(CFG_HOJE))*12+MONTH($K43)-MONTH(CFG_HOJE))))</f>
        <v/>
      </c>
      <c r="S43" s="36" t="n">
        <f aca="false">IF($A43="",0,SUMIFS(L_Valor,L_DestTipo,"INVESTIMENTO",L_DestID,$A43,L_Tipo,"RENDIMENTO",L_Status,"PROJETADO"))</f>
        <v>0</v>
      </c>
      <c r="T43" s="36" t="n">
        <f aca="false">IF($A43="",0,IF($H43="Taxa anual",ROUND($O43*((1+$I43)^($R43/12)-1),0),IF($H43="Taxa mensal",ROUND($O43*((1+$I43)^$R43-1),0),IF($H43="Valor fixo",$I43,0))))</f>
        <v>0</v>
      </c>
      <c r="U43" s="36" t="str">
        <f aca="false">IF($A43="","",$O43+$S43+$V43-$W43)</f>
        <v/>
      </c>
      <c r="V43" s="36" t="n">
        <f aca="false">IF($A43="",0,SUMIFS(L_Valor,L_DestTipo,"INVESTIMENTO",L_DestID,$A43,L_Tipo,"APORTE",L_Status,"PROJETADO"))</f>
        <v>0</v>
      </c>
      <c r="W43" s="36" t="n">
        <f aca="false">IF($A43="",0,SUMIFS(L_Valor,L_OrigTipo,"INVESTIMENTO",L_OrigID,$A43,L_Status,"PROJETADO"))</f>
        <v>0</v>
      </c>
      <c r="X43" s="32"/>
      <c r="Y43" s="32"/>
    </row>
    <row r="44" customFormat="false" ht="15" hidden="false" customHeight="false" outlineLevel="0" collapsed="false">
      <c r="A44" s="30" t="str">
        <f aca="false">IF($B44="","","INV-"&amp;TEXT(ROW()-4,"000000"))</f>
        <v/>
      </c>
      <c r="B44" s="32"/>
      <c r="C44" s="32"/>
      <c r="D44" s="35" t="str">
        <f aca="false">IF($C44="","",IFERROR(INDEX(INS_ID,MATCH($C44,INS_NOME,0)),"?"))</f>
        <v/>
      </c>
      <c r="E44" s="32"/>
      <c r="F44" s="33"/>
      <c r="G44" s="31"/>
      <c r="H44" s="32"/>
      <c r="I44" s="40"/>
      <c r="J44" s="37"/>
      <c r="K44" s="38" t="str">
        <f aca="false">IF($A44="","",IF($J44&gt;0,EDATE($G44,$J44),""))</f>
        <v/>
      </c>
      <c r="L44" s="36" t="n">
        <f aca="false">IF($A44="",0,SUMIFS(L_Valor,L_DestTipo,"INVESTIMENTO",L_DestID,$A44,L_Tipo,"APORTE",L_Status,"REALIZADO"))</f>
        <v>0</v>
      </c>
      <c r="M44" s="36" t="n">
        <f aca="false">IF($A44="",0,SUMIFS(L_Valor,L_OrigTipo,"INVESTIMENTO",L_OrigID,$A44,L_Status,"REALIZADO"))</f>
        <v>0</v>
      </c>
      <c r="N44" s="36" t="n">
        <f aca="false">IF($A44="",0,SUMIFS(L_Valor,L_DestTipo,"INVESTIMENTO",L_DestID,$A44,L_Tipo,"RENDIMENTO",L_Status,"REALIZADO"))</f>
        <v>0</v>
      </c>
      <c r="O44" s="36" t="str">
        <f aca="false">IF($A44="","",$F44+$L44+$N44-$M44)</f>
        <v/>
      </c>
      <c r="P44" s="36" t="str">
        <f aca="false">IF($A44="","",MAX(0,$F44+$L44-$M44))</f>
        <v/>
      </c>
      <c r="Q44" s="36" t="str">
        <f aca="false">IF($A44="","",$O44-$P44)</f>
        <v/>
      </c>
      <c r="R44" s="34" t="str">
        <f aca="false">IF($A44="","",IF($K44="",12,MAX(0,(YEAR($K44)-YEAR(CFG_HOJE))*12+MONTH($K44)-MONTH(CFG_HOJE))))</f>
        <v/>
      </c>
      <c r="S44" s="36" t="n">
        <f aca="false">IF($A44="",0,SUMIFS(L_Valor,L_DestTipo,"INVESTIMENTO",L_DestID,$A44,L_Tipo,"RENDIMENTO",L_Status,"PROJETADO"))</f>
        <v>0</v>
      </c>
      <c r="T44" s="36" t="n">
        <f aca="false">IF($A44="",0,IF($H44="Taxa anual",ROUND($O44*((1+$I44)^($R44/12)-1),0),IF($H44="Taxa mensal",ROUND($O44*((1+$I44)^$R44-1),0),IF($H44="Valor fixo",$I44,0))))</f>
        <v>0</v>
      </c>
      <c r="U44" s="36" t="str">
        <f aca="false">IF($A44="","",$O44+$S44+$V44-$W44)</f>
        <v/>
      </c>
      <c r="V44" s="36" t="n">
        <f aca="false">IF($A44="",0,SUMIFS(L_Valor,L_DestTipo,"INVESTIMENTO",L_DestID,$A44,L_Tipo,"APORTE",L_Status,"PROJETADO"))</f>
        <v>0</v>
      </c>
      <c r="W44" s="36" t="n">
        <f aca="false">IF($A44="",0,SUMIFS(L_Valor,L_OrigTipo,"INVESTIMENTO",L_OrigID,$A44,L_Status,"PROJETADO"))</f>
        <v>0</v>
      </c>
      <c r="X44" s="32"/>
      <c r="Y44" s="32"/>
    </row>
  </sheetData>
  <autoFilter ref="A4:Y44"/>
  <mergeCells count="2">
    <mergeCell ref="A1:Y1"/>
    <mergeCell ref="A2:Y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LST_TIPOINV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44" type="list">
      <formula1>LST_BASEREND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X5:X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</row>
    <row r="4" customFormat="false" ht="30" hidden="false" customHeight="true" outlineLevel="0" collapsed="false">
      <c r="A4" s="8" t="s">
        <v>216</v>
      </c>
      <c r="B4" s="8" t="s">
        <v>161</v>
      </c>
      <c r="C4" s="8" t="s">
        <v>217</v>
      </c>
      <c r="D4" s="8" t="s">
        <v>218</v>
      </c>
      <c r="E4" s="8" t="s">
        <v>219</v>
      </c>
      <c r="F4" s="8" t="s">
        <v>220</v>
      </c>
      <c r="G4" s="8" t="s">
        <v>52</v>
      </c>
      <c r="H4" s="8" t="s">
        <v>76</v>
      </c>
    </row>
    <row r="5" customFormat="false" ht="15" hidden="false" customHeight="false" outlineLevel="0" collapsed="false">
      <c r="A5" s="30" t="str">
        <f aca="false">IF($B5="","","CAT-"&amp;TEXT(ROW()-4,"000000"))</f>
        <v>CAT-000001</v>
      </c>
      <c r="B5" s="14" t="s">
        <v>64</v>
      </c>
      <c r="C5" s="14" t="s">
        <v>51</v>
      </c>
      <c r="D5" s="34" t="n">
        <f aca="false">IF($A5="","",COUNTIF(SUB_CATID,$A5))</f>
        <v>5</v>
      </c>
      <c r="E5" s="36" t="n">
        <f aca="false">IF($A5="",0,SUMIFS(L_VDesp,L_CatID,$A5,L_Ano,CFG_ANO,L_Status,"REALIZADO")+SUMIFS(L_VRec,L_CatID,$A5,L_Ano,CFG_ANO,L_Status,"REALIZADO")+SUMIFS(L_VRend,L_CatID,$A5,L_Ano,CFG_ANO,L_Status,"REALIZADO"))</f>
        <v>0</v>
      </c>
      <c r="F5" s="36" t="n">
        <f aca="false">IF($A5="",0,SUMIFS(L_VDesp,L_CatID,$A5,L_Ano,CFG_ANO,L_Status,"PROJETADO")+SUMIFS(L_VRec,L_CatID,$A5,L_Ano,CFG_ANO,L_Status,"PROJETADO")+SUMIFS(L_VRend,L_CatID,$A5,L_Ano,CFG_ANO,L_Status,"PROJETADO"))</f>
        <v>0</v>
      </c>
      <c r="G5" s="14" t="s">
        <v>221</v>
      </c>
      <c r="H5" s="32"/>
    </row>
    <row r="6" customFormat="false" ht="15" hidden="false" customHeight="false" outlineLevel="0" collapsed="false">
      <c r="A6" s="30" t="str">
        <f aca="false">IF($B6="","","CAT-"&amp;TEXT(ROW()-4,"000000"))</f>
        <v>CAT-000002</v>
      </c>
      <c r="B6" s="14" t="s">
        <v>222</v>
      </c>
      <c r="C6" s="14" t="s">
        <v>51</v>
      </c>
      <c r="D6" s="34" t="n">
        <f aca="false">IF($A6="","",COUNTIF(SUB_CATID,$A6))</f>
        <v>5</v>
      </c>
      <c r="E6" s="36" t="n">
        <f aca="false">IF($A6="",0,SUMIFS(L_VDesp,L_CatID,$A6,L_Ano,CFG_ANO,L_Status,"REALIZADO")+SUMIFS(L_VRec,L_CatID,$A6,L_Ano,CFG_ANO,L_Status,"REALIZADO")+SUMIFS(L_VRend,L_CatID,$A6,L_Ano,CFG_ANO,L_Status,"REALIZADO"))</f>
        <v>0</v>
      </c>
      <c r="F6" s="36" t="n">
        <f aca="false">IF($A6="",0,SUMIFS(L_VDesp,L_CatID,$A6,L_Ano,CFG_ANO,L_Status,"PROJETADO")+SUMIFS(L_VRec,L_CatID,$A6,L_Ano,CFG_ANO,L_Status,"PROJETADO")+SUMIFS(L_VRend,L_CatID,$A6,L_Ano,CFG_ANO,L_Status,"PROJETADO"))</f>
        <v>0</v>
      </c>
      <c r="G6" s="14" t="s">
        <v>221</v>
      </c>
      <c r="H6" s="32"/>
    </row>
    <row r="7" customFormat="false" ht="15" hidden="false" customHeight="false" outlineLevel="0" collapsed="false">
      <c r="A7" s="30" t="str">
        <f aca="false">IF($B7="","","CAT-"&amp;TEXT(ROW()-4,"000000"))</f>
        <v>CAT-000003</v>
      </c>
      <c r="B7" s="14" t="s">
        <v>223</v>
      </c>
      <c r="C7" s="14" t="s">
        <v>51</v>
      </c>
      <c r="D7" s="34" t="n">
        <f aca="false">IF($A7="","",COUNTIF(SUB_CATID,$A7))</f>
        <v>6</v>
      </c>
      <c r="E7" s="36" t="n">
        <f aca="false">IF($A7="",0,SUMIFS(L_VDesp,L_CatID,$A7,L_Ano,CFG_ANO,L_Status,"REALIZADO")+SUMIFS(L_VRec,L_CatID,$A7,L_Ano,CFG_ANO,L_Status,"REALIZADO")+SUMIFS(L_VRend,L_CatID,$A7,L_Ano,CFG_ANO,L_Status,"REALIZADO"))</f>
        <v>0</v>
      </c>
      <c r="F7" s="36" t="n">
        <f aca="false">IF($A7="",0,SUMIFS(L_VDesp,L_CatID,$A7,L_Ano,CFG_ANO,L_Status,"PROJETADO")+SUMIFS(L_VRec,L_CatID,$A7,L_Ano,CFG_ANO,L_Status,"PROJETADO")+SUMIFS(L_VRend,L_CatID,$A7,L_Ano,CFG_ANO,L_Status,"PROJETADO"))</f>
        <v>0</v>
      </c>
      <c r="G7" s="14" t="s">
        <v>221</v>
      </c>
      <c r="H7" s="32"/>
    </row>
    <row r="8" customFormat="false" ht="15" hidden="false" customHeight="false" outlineLevel="0" collapsed="false">
      <c r="A8" s="30" t="str">
        <f aca="false">IF($B8="","","CAT-"&amp;TEXT(ROW()-4,"000000"))</f>
        <v>CAT-000004</v>
      </c>
      <c r="B8" s="14" t="s">
        <v>224</v>
      </c>
      <c r="C8" s="14" t="s">
        <v>51</v>
      </c>
      <c r="D8" s="34" t="n">
        <f aca="false">IF($A8="","",COUNTIF(SUB_CATID,$A8))</f>
        <v>5</v>
      </c>
      <c r="E8" s="36" t="n">
        <f aca="false">IF($A8="",0,SUMIFS(L_VDesp,L_CatID,$A8,L_Ano,CFG_ANO,L_Status,"REALIZADO")+SUMIFS(L_VRec,L_CatID,$A8,L_Ano,CFG_ANO,L_Status,"REALIZADO")+SUMIFS(L_VRend,L_CatID,$A8,L_Ano,CFG_ANO,L_Status,"REALIZADO"))</f>
        <v>0</v>
      </c>
      <c r="F8" s="36" t="n">
        <f aca="false">IF($A8="",0,SUMIFS(L_VDesp,L_CatID,$A8,L_Ano,CFG_ANO,L_Status,"PROJETADO")+SUMIFS(L_VRec,L_CatID,$A8,L_Ano,CFG_ANO,L_Status,"PROJETADO")+SUMIFS(L_VRend,L_CatID,$A8,L_Ano,CFG_ANO,L_Status,"PROJETADO"))</f>
        <v>0</v>
      </c>
      <c r="G8" s="14" t="s">
        <v>221</v>
      </c>
      <c r="H8" s="32"/>
    </row>
    <row r="9" customFormat="false" ht="15" hidden="false" customHeight="false" outlineLevel="0" collapsed="false">
      <c r="A9" s="30" t="str">
        <f aca="false">IF($B9="","","CAT-"&amp;TEXT(ROW()-4,"000000"))</f>
        <v>CAT-000005</v>
      </c>
      <c r="B9" s="14" t="s">
        <v>225</v>
      </c>
      <c r="C9" s="14" t="s">
        <v>51</v>
      </c>
      <c r="D9" s="34" t="n">
        <f aca="false">IF($A9="","",COUNTIF(SUB_CATID,$A9))</f>
        <v>4</v>
      </c>
      <c r="E9" s="36" t="n">
        <f aca="false">IF($A9="",0,SUMIFS(L_VDesp,L_CatID,$A9,L_Ano,CFG_ANO,L_Status,"REALIZADO")+SUMIFS(L_VRec,L_CatID,$A9,L_Ano,CFG_ANO,L_Status,"REALIZADO")+SUMIFS(L_VRend,L_CatID,$A9,L_Ano,CFG_ANO,L_Status,"REALIZADO"))</f>
        <v>0</v>
      </c>
      <c r="F9" s="36" t="n">
        <f aca="false">IF($A9="",0,SUMIFS(L_VDesp,L_CatID,$A9,L_Ano,CFG_ANO,L_Status,"PROJETADO")+SUMIFS(L_VRec,L_CatID,$A9,L_Ano,CFG_ANO,L_Status,"PROJETADO")+SUMIFS(L_VRend,L_CatID,$A9,L_Ano,CFG_ANO,L_Status,"PROJETADO"))</f>
        <v>0</v>
      </c>
      <c r="G9" s="14" t="s">
        <v>221</v>
      </c>
      <c r="H9" s="32"/>
    </row>
    <row r="10" customFormat="false" ht="15" hidden="false" customHeight="false" outlineLevel="0" collapsed="false">
      <c r="A10" s="30" t="str">
        <f aca="false">IF($B10="","","CAT-"&amp;TEXT(ROW()-4,"000000"))</f>
        <v>CAT-000006</v>
      </c>
      <c r="B10" s="14" t="s">
        <v>226</v>
      </c>
      <c r="C10" s="14" t="s">
        <v>51</v>
      </c>
      <c r="D10" s="34" t="n">
        <f aca="false">IF($A10="","",COUNTIF(SUB_CATID,$A10))</f>
        <v>4</v>
      </c>
      <c r="E10" s="36" t="n">
        <f aca="false">IF($A10="",0,SUMIFS(L_VDesp,L_CatID,$A10,L_Ano,CFG_ANO,L_Status,"REALIZADO")+SUMIFS(L_VRec,L_CatID,$A10,L_Ano,CFG_ANO,L_Status,"REALIZADO")+SUMIFS(L_VRend,L_CatID,$A10,L_Ano,CFG_ANO,L_Status,"REALIZADO"))</f>
        <v>0</v>
      </c>
      <c r="F10" s="36" t="n">
        <f aca="false">IF($A10="",0,SUMIFS(L_VDesp,L_CatID,$A10,L_Ano,CFG_ANO,L_Status,"PROJETADO")+SUMIFS(L_VRec,L_CatID,$A10,L_Ano,CFG_ANO,L_Status,"PROJETADO")+SUMIFS(L_VRend,L_CatID,$A10,L_Ano,CFG_ANO,L_Status,"PROJETADO"))</f>
        <v>0</v>
      </c>
      <c r="G10" s="14" t="s">
        <v>221</v>
      </c>
      <c r="H10" s="32"/>
    </row>
    <row r="11" customFormat="false" ht="15" hidden="false" customHeight="false" outlineLevel="0" collapsed="false">
      <c r="A11" s="30" t="str">
        <f aca="false">IF($B11="","","CAT-"&amp;TEXT(ROW()-4,"000000"))</f>
        <v>CAT-000007</v>
      </c>
      <c r="B11" s="14" t="s">
        <v>227</v>
      </c>
      <c r="C11" s="14" t="s">
        <v>51</v>
      </c>
      <c r="D11" s="34" t="n">
        <f aca="false">IF($A11="","",COUNTIF(SUB_CATID,$A11))</f>
        <v>4</v>
      </c>
      <c r="E11" s="36" t="n">
        <f aca="false">IF($A11="",0,SUMIFS(L_VDesp,L_CatID,$A11,L_Ano,CFG_ANO,L_Status,"REALIZADO")+SUMIFS(L_VRec,L_CatID,$A11,L_Ano,CFG_ANO,L_Status,"REALIZADO")+SUMIFS(L_VRend,L_CatID,$A11,L_Ano,CFG_ANO,L_Status,"REALIZADO"))</f>
        <v>0</v>
      </c>
      <c r="F11" s="36" t="n">
        <f aca="false">IF($A11="",0,SUMIFS(L_VDesp,L_CatID,$A11,L_Ano,CFG_ANO,L_Status,"PROJETADO")+SUMIFS(L_VRec,L_CatID,$A11,L_Ano,CFG_ANO,L_Status,"PROJETADO")+SUMIFS(L_VRend,L_CatID,$A11,L_Ano,CFG_ANO,L_Status,"PROJETADO"))</f>
        <v>0</v>
      </c>
      <c r="G11" s="14" t="s">
        <v>221</v>
      </c>
      <c r="H11" s="32"/>
    </row>
    <row r="12" customFormat="false" ht="15" hidden="false" customHeight="false" outlineLevel="0" collapsed="false">
      <c r="A12" s="30" t="str">
        <f aca="false">IF($B12="","","CAT-"&amp;TEXT(ROW()-4,"000000"))</f>
        <v>CAT-000008</v>
      </c>
      <c r="B12" s="14" t="s">
        <v>228</v>
      </c>
      <c r="C12" s="14" t="s">
        <v>51</v>
      </c>
      <c r="D12" s="34" t="n">
        <f aca="false">IF($A12="","",COUNTIF(SUB_CATID,$A12))</f>
        <v>4</v>
      </c>
      <c r="E12" s="36" t="n">
        <f aca="false">IF($A12="",0,SUMIFS(L_VDesp,L_CatID,$A12,L_Ano,CFG_ANO,L_Status,"REALIZADO")+SUMIFS(L_VRec,L_CatID,$A12,L_Ano,CFG_ANO,L_Status,"REALIZADO")+SUMIFS(L_VRend,L_CatID,$A12,L_Ano,CFG_ANO,L_Status,"REALIZADO"))</f>
        <v>0</v>
      </c>
      <c r="F12" s="36" t="n">
        <f aca="false">IF($A12="",0,SUMIFS(L_VDesp,L_CatID,$A12,L_Ano,CFG_ANO,L_Status,"PROJETADO")+SUMIFS(L_VRec,L_CatID,$A12,L_Ano,CFG_ANO,L_Status,"PROJETADO")+SUMIFS(L_VRend,L_CatID,$A12,L_Ano,CFG_ANO,L_Status,"PROJETADO"))</f>
        <v>0</v>
      </c>
      <c r="G12" s="14" t="s">
        <v>221</v>
      </c>
      <c r="H12" s="32"/>
    </row>
    <row r="13" customFormat="false" ht="15" hidden="false" customHeight="false" outlineLevel="0" collapsed="false">
      <c r="A13" s="30" t="str">
        <f aca="false">IF($B13="","","CAT-"&amp;TEXT(ROW()-4,"000000"))</f>
        <v>CAT-000009</v>
      </c>
      <c r="B13" s="14" t="s">
        <v>229</v>
      </c>
      <c r="C13" s="14" t="s">
        <v>230</v>
      </c>
      <c r="D13" s="34" t="n">
        <f aca="false">IF($A13="","",COUNTIF(SUB_CATID,$A13))</f>
        <v>3</v>
      </c>
      <c r="E13" s="36" t="n">
        <f aca="false">IF($A13="",0,SUMIFS(L_VDesp,L_CatID,$A13,L_Ano,CFG_ANO,L_Status,"REALIZADO")+SUMIFS(L_VRec,L_CatID,$A13,L_Ano,CFG_ANO,L_Status,"REALIZADO")+SUMIFS(L_VRend,L_CatID,$A13,L_Ano,CFG_ANO,L_Status,"REALIZADO"))</f>
        <v>0</v>
      </c>
      <c r="F13" s="36" t="n">
        <f aca="false">IF($A13="",0,SUMIFS(L_VDesp,L_CatID,$A13,L_Ano,CFG_ANO,L_Status,"PROJETADO")+SUMIFS(L_VRec,L_CatID,$A13,L_Ano,CFG_ANO,L_Status,"PROJETADO")+SUMIFS(L_VRend,L_CatID,$A13,L_Ano,CFG_ANO,L_Status,"PROJETADO"))</f>
        <v>0</v>
      </c>
      <c r="G13" s="14" t="s">
        <v>221</v>
      </c>
      <c r="H13" s="32"/>
    </row>
    <row r="14" customFormat="false" ht="15" hidden="false" customHeight="false" outlineLevel="0" collapsed="false">
      <c r="A14" s="30" t="str">
        <f aca="false">IF($B14="","","CAT-"&amp;TEXT(ROW()-4,"000000"))</f>
        <v>CAT-000010</v>
      </c>
      <c r="B14" s="14" t="s">
        <v>231</v>
      </c>
      <c r="C14" s="14" t="s">
        <v>232</v>
      </c>
      <c r="D14" s="34" t="n">
        <f aca="false">IF($A14="","",COUNTIF(SUB_CATID,$A14))</f>
        <v>6</v>
      </c>
      <c r="E14" s="36" t="n">
        <f aca="false">IF($A14="",0,SUMIFS(L_VDesp,L_CatID,$A14,L_Ano,CFG_ANO,L_Status,"REALIZADO")+SUMIFS(L_VRec,L_CatID,$A14,L_Ano,CFG_ANO,L_Status,"REALIZADO")+SUMIFS(L_VRend,L_CatID,$A14,L_Ano,CFG_ANO,L_Status,"REALIZADO"))</f>
        <v>0</v>
      </c>
      <c r="F14" s="36" t="n">
        <f aca="false">IF($A14="",0,SUMIFS(L_VDesp,L_CatID,$A14,L_Ano,CFG_ANO,L_Status,"PROJETADO")+SUMIFS(L_VRec,L_CatID,$A14,L_Ano,CFG_ANO,L_Status,"PROJETADO")+SUMIFS(L_VRend,L_CatID,$A14,L_Ano,CFG_ANO,L_Status,"PROJETADO"))</f>
        <v>0</v>
      </c>
      <c r="G14" s="14" t="s">
        <v>221</v>
      </c>
      <c r="H14" s="32"/>
    </row>
    <row r="15" customFormat="false" ht="15" hidden="false" customHeight="false" outlineLevel="0" collapsed="false">
      <c r="A15" s="30" t="str">
        <f aca="false">IF($B15="","","CAT-"&amp;TEXT(ROW()-4,"000000"))</f>
        <v>CAT-000011</v>
      </c>
      <c r="B15" s="14" t="s">
        <v>233</v>
      </c>
      <c r="C15" s="14" t="s">
        <v>51</v>
      </c>
      <c r="D15" s="34" t="n">
        <f aca="false">IF($A15="","",COUNTIF(SUB_CATID,$A15))</f>
        <v>4</v>
      </c>
      <c r="E15" s="36" t="n">
        <f aca="false">IF($A15="",0,SUMIFS(L_VDesp,L_CatID,$A15,L_Ano,CFG_ANO,L_Status,"REALIZADO")+SUMIFS(L_VRec,L_CatID,$A15,L_Ano,CFG_ANO,L_Status,"REALIZADO")+SUMIFS(L_VRend,L_CatID,$A15,L_Ano,CFG_ANO,L_Status,"REALIZADO"))</f>
        <v>0</v>
      </c>
      <c r="F15" s="36" t="n">
        <f aca="false">IF($A15="",0,SUMIFS(L_VDesp,L_CatID,$A15,L_Ano,CFG_ANO,L_Status,"PROJETADO")+SUMIFS(L_VRec,L_CatID,$A15,L_Ano,CFG_ANO,L_Status,"PROJETADO")+SUMIFS(L_VRend,L_CatID,$A15,L_Ano,CFG_ANO,L_Status,"PROJETADO"))</f>
        <v>0</v>
      </c>
      <c r="G15" s="14" t="s">
        <v>221</v>
      </c>
      <c r="H15" s="32"/>
    </row>
    <row r="16" customFormat="false" ht="15" hidden="false" customHeight="false" outlineLevel="0" collapsed="false">
      <c r="A16" s="30" t="str">
        <f aca="false">IF($B16="","","CAT-"&amp;TEXT(ROW()-4,"000000"))</f>
        <v>CAT-000012</v>
      </c>
      <c r="B16" s="14" t="s">
        <v>234</v>
      </c>
      <c r="C16" s="14" t="s">
        <v>51</v>
      </c>
      <c r="D16" s="34" t="n">
        <f aca="false">IF($A16="","",COUNTIF(SUB_CATID,$A16))</f>
        <v>2</v>
      </c>
      <c r="E16" s="36" t="n">
        <f aca="false">IF($A16="",0,SUMIFS(L_VDesp,L_CatID,$A16,L_Ano,CFG_ANO,L_Status,"REALIZADO")+SUMIFS(L_VRec,L_CatID,$A16,L_Ano,CFG_ANO,L_Status,"REALIZADO")+SUMIFS(L_VRend,L_CatID,$A16,L_Ano,CFG_ANO,L_Status,"REALIZADO"))</f>
        <v>0</v>
      </c>
      <c r="F16" s="36" t="n">
        <f aca="false">IF($A16="",0,SUMIFS(L_VDesp,L_CatID,$A16,L_Ano,CFG_ANO,L_Status,"PROJETADO")+SUMIFS(L_VRec,L_CatID,$A16,L_Ano,CFG_ANO,L_Status,"PROJETADO")+SUMIFS(L_VRend,L_CatID,$A16,L_Ano,CFG_ANO,L_Status,"PROJETADO"))</f>
        <v>0</v>
      </c>
      <c r="G16" s="14" t="s">
        <v>221</v>
      </c>
      <c r="H16" s="32"/>
    </row>
    <row r="17" customFormat="false" ht="15" hidden="false" customHeight="false" outlineLevel="0" collapsed="false">
      <c r="A17" s="30" t="str">
        <f aca="false">IF($B17="","","CAT-"&amp;TEXT(ROW()-4,"000000"))</f>
        <v>CAT-000013</v>
      </c>
      <c r="B17" s="14" t="s">
        <v>235</v>
      </c>
      <c r="C17" s="14" t="s">
        <v>230</v>
      </c>
      <c r="D17" s="34" t="n">
        <f aca="false">IF($A17="","",COUNTIF(SUB_CATID,$A17))</f>
        <v>2</v>
      </c>
      <c r="E17" s="36" t="n">
        <f aca="false">IF($A17="",0,SUMIFS(L_VDesp,L_CatID,$A17,L_Ano,CFG_ANO,L_Status,"REALIZADO")+SUMIFS(L_VRec,L_CatID,$A17,L_Ano,CFG_ANO,L_Status,"REALIZADO")+SUMIFS(L_VRend,L_CatID,$A17,L_Ano,CFG_ANO,L_Status,"REALIZADO"))</f>
        <v>0</v>
      </c>
      <c r="F17" s="36" t="n">
        <f aca="false">IF($A17="",0,SUMIFS(L_VDesp,L_CatID,$A17,L_Ano,CFG_ANO,L_Status,"PROJETADO")+SUMIFS(L_VRec,L_CatID,$A17,L_Ano,CFG_ANO,L_Status,"PROJETADO")+SUMIFS(L_VRend,L_CatID,$A17,L_Ano,CFG_ANO,L_Status,"PROJETADO"))</f>
        <v>0</v>
      </c>
      <c r="G17" s="14" t="s">
        <v>221</v>
      </c>
      <c r="H17" s="32"/>
    </row>
    <row r="18" customFormat="false" ht="15" hidden="false" customHeight="false" outlineLevel="0" collapsed="false">
      <c r="A18" s="30" t="str">
        <f aca="false">IF($B18="","","CAT-"&amp;TEXT(ROW()-4,"000000"))</f>
        <v/>
      </c>
      <c r="B18" s="32"/>
      <c r="C18" s="32"/>
      <c r="D18" s="34" t="str">
        <f aca="false">IF($A18="","",COUNTIF(SUB_CATID,$A18))</f>
        <v/>
      </c>
      <c r="E18" s="36" t="n">
        <f aca="false">IF($A18="",0,SUMIFS(L_VDesp,L_CatID,$A18,L_Ano,CFG_ANO,L_Status,"REALIZADO")+SUMIFS(L_VRec,L_CatID,$A18,L_Ano,CFG_ANO,L_Status,"REALIZADO")+SUMIFS(L_VRend,L_CatID,$A18,L_Ano,CFG_ANO,L_Status,"REALIZADO"))</f>
        <v>0</v>
      </c>
      <c r="F18" s="36" t="n">
        <f aca="false">IF($A18="",0,SUMIFS(L_VDesp,L_CatID,$A18,L_Ano,CFG_ANO,L_Status,"PROJETADO")+SUMIFS(L_VRec,L_CatID,$A18,L_Ano,CFG_ANO,L_Status,"PROJETADO")+SUMIFS(L_VRend,L_CatID,$A18,L_Ano,CFG_ANO,L_Status,"PROJETADO"))</f>
        <v>0</v>
      </c>
      <c r="G18" s="32"/>
      <c r="H18" s="32"/>
    </row>
    <row r="19" customFormat="false" ht="15" hidden="false" customHeight="false" outlineLevel="0" collapsed="false">
      <c r="A19" s="30" t="str">
        <f aca="false">IF($B19="","","CAT-"&amp;TEXT(ROW()-4,"000000"))</f>
        <v/>
      </c>
      <c r="B19" s="32"/>
      <c r="C19" s="32"/>
      <c r="D19" s="34" t="str">
        <f aca="false">IF($A19="","",COUNTIF(SUB_CATID,$A19))</f>
        <v/>
      </c>
      <c r="E19" s="36" t="n">
        <f aca="false">IF($A19="",0,SUMIFS(L_VDesp,L_CatID,$A19,L_Ano,CFG_ANO,L_Status,"REALIZADO")+SUMIFS(L_VRec,L_CatID,$A19,L_Ano,CFG_ANO,L_Status,"REALIZADO")+SUMIFS(L_VRend,L_CatID,$A19,L_Ano,CFG_ANO,L_Status,"REALIZADO"))</f>
        <v>0</v>
      </c>
      <c r="F19" s="36" t="n">
        <f aca="false">IF($A19="",0,SUMIFS(L_VDesp,L_CatID,$A19,L_Ano,CFG_ANO,L_Status,"PROJETADO")+SUMIFS(L_VRec,L_CatID,$A19,L_Ano,CFG_ANO,L_Status,"PROJETADO")+SUMIFS(L_VRend,L_CatID,$A19,L_Ano,CFG_ANO,L_Status,"PROJETADO"))</f>
        <v>0</v>
      </c>
      <c r="G19" s="32"/>
      <c r="H19" s="32"/>
    </row>
    <row r="20" customFormat="false" ht="15" hidden="false" customHeight="false" outlineLevel="0" collapsed="false">
      <c r="A20" s="30" t="str">
        <f aca="false">IF($B20="","","CAT-"&amp;TEXT(ROW()-4,"000000"))</f>
        <v/>
      </c>
      <c r="B20" s="32"/>
      <c r="C20" s="32"/>
      <c r="D20" s="34" t="str">
        <f aca="false">IF($A20="","",COUNTIF(SUB_CATID,$A20))</f>
        <v/>
      </c>
      <c r="E20" s="36" t="n">
        <f aca="false">IF($A20="",0,SUMIFS(L_VDesp,L_CatID,$A20,L_Ano,CFG_ANO,L_Status,"REALIZADO")+SUMIFS(L_VRec,L_CatID,$A20,L_Ano,CFG_ANO,L_Status,"REALIZADO")+SUMIFS(L_VRend,L_CatID,$A20,L_Ano,CFG_ANO,L_Status,"REALIZADO"))</f>
        <v>0</v>
      </c>
      <c r="F20" s="36" t="n">
        <f aca="false">IF($A20="",0,SUMIFS(L_VDesp,L_CatID,$A20,L_Ano,CFG_ANO,L_Status,"PROJETADO")+SUMIFS(L_VRec,L_CatID,$A20,L_Ano,CFG_ANO,L_Status,"PROJETADO")+SUMIFS(L_VRend,L_CatID,$A20,L_Ano,CFG_ANO,L_Status,"PROJETADO"))</f>
        <v>0</v>
      </c>
      <c r="G20" s="32"/>
      <c r="H20" s="32"/>
    </row>
    <row r="21" customFormat="false" ht="15" hidden="false" customHeight="false" outlineLevel="0" collapsed="false">
      <c r="A21" s="30" t="str">
        <f aca="false">IF($B21="","","CAT-"&amp;TEXT(ROW()-4,"000000"))</f>
        <v/>
      </c>
      <c r="B21" s="32"/>
      <c r="C21" s="32"/>
      <c r="D21" s="34" t="str">
        <f aca="false">IF($A21="","",COUNTIF(SUB_CATID,$A21))</f>
        <v/>
      </c>
      <c r="E21" s="36" t="n">
        <f aca="false">IF($A21="",0,SUMIFS(L_VDesp,L_CatID,$A21,L_Ano,CFG_ANO,L_Status,"REALIZADO")+SUMIFS(L_VRec,L_CatID,$A21,L_Ano,CFG_ANO,L_Status,"REALIZADO")+SUMIFS(L_VRend,L_CatID,$A21,L_Ano,CFG_ANO,L_Status,"REALIZADO"))</f>
        <v>0</v>
      </c>
      <c r="F21" s="36" t="n">
        <f aca="false">IF($A21="",0,SUMIFS(L_VDesp,L_CatID,$A21,L_Ano,CFG_ANO,L_Status,"PROJETADO")+SUMIFS(L_VRec,L_CatID,$A21,L_Ano,CFG_ANO,L_Status,"PROJETADO")+SUMIFS(L_VRend,L_CatID,$A21,L_Ano,CFG_ANO,L_Status,"PROJETADO"))</f>
        <v>0</v>
      </c>
      <c r="G21" s="32"/>
      <c r="H21" s="32"/>
    </row>
    <row r="22" customFormat="false" ht="15" hidden="false" customHeight="false" outlineLevel="0" collapsed="false">
      <c r="A22" s="30" t="str">
        <f aca="false">IF($B22="","","CAT-"&amp;TEXT(ROW()-4,"000000"))</f>
        <v/>
      </c>
      <c r="B22" s="32"/>
      <c r="C22" s="32"/>
      <c r="D22" s="34" t="str">
        <f aca="false">IF($A22="","",COUNTIF(SUB_CATID,$A22))</f>
        <v/>
      </c>
      <c r="E22" s="36" t="n">
        <f aca="false">IF($A22="",0,SUMIFS(L_VDesp,L_CatID,$A22,L_Ano,CFG_ANO,L_Status,"REALIZADO")+SUMIFS(L_VRec,L_CatID,$A22,L_Ano,CFG_ANO,L_Status,"REALIZADO")+SUMIFS(L_VRend,L_CatID,$A22,L_Ano,CFG_ANO,L_Status,"REALIZADO"))</f>
        <v>0</v>
      </c>
      <c r="F22" s="36" t="n">
        <f aca="false">IF($A22="",0,SUMIFS(L_VDesp,L_CatID,$A22,L_Ano,CFG_ANO,L_Status,"PROJETADO")+SUMIFS(L_VRec,L_CatID,$A22,L_Ano,CFG_ANO,L_Status,"PROJETADO")+SUMIFS(L_VRend,L_CatID,$A22,L_Ano,CFG_ANO,L_Status,"PROJETADO"))</f>
        <v>0</v>
      </c>
      <c r="G22" s="32"/>
      <c r="H22" s="32"/>
    </row>
    <row r="23" customFormat="false" ht="15" hidden="false" customHeight="false" outlineLevel="0" collapsed="false">
      <c r="A23" s="30" t="str">
        <f aca="false">IF($B23="","","CAT-"&amp;TEXT(ROW()-4,"000000"))</f>
        <v/>
      </c>
      <c r="B23" s="32"/>
      <c r="C23" s="32"/>
      <c r="D23" s="34" t="str">
        <f aca="false">IF($A23="","",COUNTIF(SUB_CATID,$A23))</f>
        <v/>
      </c>
      <c r="E23" s="36" t="n">
        <f aca="false">IF($A23="",0,SUMIFS(L_VDesp,L_CatID,$A23,L_Ano,CFG_ANO,L_Status,"REALIZADO")+SUMIFS(L_VRec,L_CatID,$A23,L_Ano,CFG_ANO,L_Status,"REALIZADO")+SUMIFS(L_VRend,L_CatID,$A23,L_Ano,CFG_ANO,L_Status,"REALIZADO"))</f>
        <v>0</v>
      </c>
      <c r="F23" s="36" t="n">
        <f aca="false">IF($A23="",0,SUMIFS(L_VDesp,L_CatID,$A23,L_Ano,CFG_ANO,L_Status,"PROJETADO")+SUMIFS(L_VRec,L_CatID,$A23,L_Ano,CFG_ANO,L_Status,"PROJETADO")+SUMIFS(L_VRend,L_CatID,$A23,L_Ano,CFG_ANO,L_Status,"PROJETADO"))</f>
        <v>0</v>
      </c>
      <c r="G23" s="32"/>
      <c r="H23" s="32"/>
    </row>
    <row r="24" customFormat="false" ht="15" hidden="false" customHeight="false" outlineLevel="0" collapsed="false">
      <c r="A24" s="30" t="str">
        <f aca="false">IF($B24="","","CAT-"&amp;TEXT(ROW()-4,"000000"))</f>
        <v/>
      </c>
      <c r="B24" s="32"/>
      <c r="C24" s="32"/>
      <c r="D24" s="34" t="str">
        <f aca="false">IF($A24="","",COUNTIF(SUB_CATID,$A24))</f>
        <v/>
      </c>
      <c r="E24" s="36" t="n">
        <f aca="false">IF($A24="",0,SUMIFS(L_VDesp,L_CatID,$A24,L_Ano,CFG_ANO,L_Status,"REALIZADO")+SUMIFS(L_VRec,L_CatID,$A24,L_Ano,CFG_ANO,L_Status,"REALIZADO")+SUMIFS(L_VRend,L_CatID,$A24,L_Ano,CFG_ANO,L_Status,"REALIZADO"))</f>
        <v>0</v>
      </c>
      <c r="F24" s="36" t="n">
        <f aca="false">IF($A24="",0,SUMIFS(L_VDesp,L_CatID,$A24,L_Ano,CFG_ANO,L_Status,"PROJETADO")+SUMIFS(L_VRec,L_CatID,$A24,L_Ano,CFG_ANO,L_Status,"PROJETADO")+SUMIFS(L_VRend,L_CatID,$A24,L_Ano,CFG_ANO,L_Status,"PROJETADO"))</f>
        <v>0</v>
      </c>
      <c r="G24" s="32"/>
      <c r="H24" s="32"/>
    </row>
    <row r="25" customFormat="false" ht="15" hidden="false" customHeight="false" outlineLevel="0" collapsed="false">
      <c r="A25" s="30" t="str">
        <f aca="false">IF($B25="","","CAT-"&amp;TEXT(ROW()-4,"000000"))</f>
        <v/>
      </c>
      <c r="B25" s="32"/>
      <c r="C25" s="32"/>
      <c r="D25" s="34" t="str">
        <f aca="false">IF($A25="","",COUNTIF(SUB_CATID,$A25))</f>
        <v/>
      </c>
      <c r="E25" s="36" t="n">
        <f aca="false">IF($A25="",0,SUMIFS(L_VDesp,L_CatID,$A25,L_Ano,CFG_ANO,L_Status,"REALIZADO")+SUMIFS(L_VRec,L_CatID,$A25,L_Ano,CFG_ANO,L_Status,"REALIZADO")+SUMIFS(L_VRend,L_CatID,$A25,L_Ano,CFG_ANO,L_Status,"REALIZADO"))</f>
        <v>0</v>
      </c>
      <c r="F25" s="36" t="n">
        <f aca="false">IF($A25="",0,SUMIFS(L_VDesp,L_CatID,$A25,L_Ano,CFG_ANO,L_Status,"PROJETADO")+SUMIFS(L_VRec,L_CatID,$A25,L_Ano,CFG_ANO,L_Status,"PROJETADO")+SUMIFS(L_VRend,L_CatID,$A25,L_Ano,CFG_ANO,L_Status,"PROJETADO"))</f>
        <v>0</v>
      </c>
      <c r="G25" s="32"/>
      <c r="H25" s="32"/>
    </row>
    <row r="26" customFormat="false" ht="15" hidden="false" customHeight="false" outlineLevel="0" collapsed="false">
      <c r="A26" s="30" t="str">
        <f aca="false">IF($B26="","","CAT-"&amp;TEXT(ROW()-4,"000000"))</f>
        <v/>
      </c>
      <c r="B26" s="32"/>
      <c r="C26" s="32"/>
      <c r="D26" s="34" t="str">
        <f aca="false">IF($A26="","",COUNTIF(SUB_CATID,$A26))</f>
        <v/>
      </c>
      <c r="E26" s="36" t="n">
        <f aca="false">IF($A26="",0,SUMIFS(L_VDesp,L_CatID,$A26,L_Ano,CFG_ANO,L_Status,"REALIZADO")+SUMIFS(L_VRec,L_CatID,$A26,L_Ano,CFG_ANO,L_Status,"REALIZADO")+SUMIFS(L_VRend,L_CatID,$A26,L_Ano,CFG_ANO,L_Status,"REALIZADO"))</f>
        <v>0</v>
      </c>
      <c r="F26" s="36" t="n">
        <f aca="false">IF($A26="",0,SUMIFS(L_VDesp,L_CatID,$A26,L_Ano,CFG_ANO,L_Status,"PROJETADO")+SUMIFS(L_VRec,L_CatID,$A26,L_Ano,CFG_ANO,L_Status,"PROJETADO")+SUMIFS(L_VRend,L_CatID,$A26,L_Ano,CFG_ANO,L_Status,"PROJETADO"))</f>
        <v>0</v>
      </c>
      <c r="G26" s="32"/>
      <c r="H26" s="32"/>
    </row>
    <row r="27" customFormat="false" ht="15" hidden="false" customHeight="false" outlineLevel="0" collapsed="false">
      <c r="A27" s="30" t="str">
        <f aca="false">IF($B27="","","CAT-"&amp;TEXT(ROW()-4,"000000"))</f>
        <v/>
      </c>
      <c r="B27" s="32"/>
      <c r="C27" s="32"/>
      <c r="D27" s="34" t="str">
        <f aca="false">IF($A27="","",COUNTIF(SUB_CATID,$A27))</f>
        <v/>
      </c>
      <c r="E27" s="36" t="n">
        <f aca="false">IF($A27="",0,SUMIFS(L_VDesp,L_CatID,$A27,L_Ano,CFG_ANO,L_Status,"REALIZADO")+SUMIFS(L_VRec,L_CatID,$A27,L_Ano,CFG_ANO,L_Status,"REALIZADO")+SUMIFS(L_VRend,L_CatID,$A27,L_Ano,CFG_ANO,L_Status,"REALIZADO"))</f>
        <v>0</v>
      </c>
      <c r="F27" s="36" t="n">
        <f aca="false">IF($A27="",0,SUMIFS(L_VDesp,L_CatID,$A27,L_Ano,CFG_ANO,L_Status,"PROJETADO")+SUMIFS(L_VRec,L_CatID,$A27,L_Ano,CFG_ANO,L_Status,"PROJETADO")+SUMIFS(L_VRend,L_CatID,$A27,L_Ano,CFG_ANO,L_Status,"PROJETADO"))</f>
        <v>0</v>
      </c>
      <c r="G27" s="32"/>
      <c r="H27" s="32"/>
    </row>
    <row r="28" customFormat="false" ht="15" hidden="false" customHeight="false" outlineLevel="0" collapsed="false">
      <c r="A28" s="30" t="str">
        <f aca="false">IF($B28="","","CAT-"&amp;TEXT(ROW()-4,"000000"))</f>
        <v/>
      </c>
      <c r="B28" s="32"/>
      <c r="C28" s="32"/>
      <c r="D28" s="34" t="str">
        <f aca="false">IF($A28="","",COUNTIF(SUB_CATID,$A28))</f>
        <v/>
      </c>
      <c r="E28" s="36" t="n">
        <f aca="false">IF($A28="",0,SUMIFS(L_VDesp,L_CatID,$A28,L_Ano,CFG_ANO,L_Status,"REALIZADO")+SUMIFS(L_VRec,L_CatID,$A28,L_Ano,CFG_ANO,L_Status,"REALIZADO")+SUMIFS(L_VRend,L_CatID,$A28,L_Ano,CFG_ANO,L_Status,"REALIZADO"))</f>
        <v>0</v>
      </c>
      <c r="F28" s="36" t="n">
        <f aca="false">IF($A28="",0,SUMIFS(L_VDesp,L_CatID,$A28,L_Ano,CFG_ANO,L_Status,"PROJETADO")+SUMIFS(L_VRec,L_CatID,$A28,L_Ano,CFG_ANO,L_Status,"PROJETADO")+SUMIFS(L_VRend,L_CatID,$A28,L_Ano,CFG_ANO,L_Status,"PROJETADO"))</f>
        <v>0</v>
      </c>
      <c r="G28" s="32"/>
      <c r="H28" s="32"/>
    </row>
    <row r="29" customFormat="false" ht="15" hidden="false" customHeight="false" outlineLevel="0" collapsed="false">
      <c r="A29" s="30" t="str">
        <f aca="false">IF($B29="","","CAT-"&amp;TEXT(ROW()-4,"000000"))</f>
        <v/>
      </c>
      <c r="B29" s="32"/>
      <c r="C29" s="32"/>
      <c r="D29" s="34" t="str">
        <f aca="false">IF($A29="","",COUNTIF(SUB_CATID,$A29))</f>
        <v/>
      </c>
      <c r="E29" s="36" t="n">
        <f aca="false">IF($A29="",0,SUMIFS(L_VDesp,L_CatID,$A29,L_Ano,CFG_ANO,L_Status,"REALIZADO")+SUMIFS(L_VRec,L_CatID,$A29,L_Ano,CFG_ANO,L_Status,"REALIZADO")+SUMIFS(L_VRend,L_CatID,$A29,L_Ano,CFG_ANO,L_Status,"REALIZADO"))</f>
        <v>0</v>
      </c>
      <c r="F29" s="36" t="n">
        <f aca="false">IF($A29="",0,SUMIFS(L_VDesp,L_CatID,$A29,L_Ano,CFG_ANO,L_Status,"PROJETADO")+SUMIFS(L_VRec,L_CatID,$A29,L_Ano,CFG_ANO,L_Status,"PROJETADO")+SUMIFS(L_VRend,L_CatID,$A29,L_Ano,CFG_ANO,L_Status,"PROJETADO"))</f>
        <v>0</v>
      </c>
      <c r="G29" s="32"/>
      <c r="H29" s="32"/>
    </row>
    <row r="30" customFormat="false" ht="15" hidden="false" customHeight="false" outlineLevel="0" collapsed="false">
      <c r="A30" s="30" t="str">
        <f aca="false">IF($B30="","","CAT-"&amp;TEXT(ROW()-4,"000000"))</f>
        <v/>
      </c>
      <c r="B30" s="32"/>
      <c r="C30" s="32"/>
      <c r="D30" s="34" t="str">
        <f aca="false">IF($A30="","",COUNTIF(SUB_CATID,$A30))</f>
        <v/>
      </c>
      <c r="E30" s="36" t="n">
        <f aca="false">IF($A30="",0,SUMIFS(L_VDesp,L_CatID,$A30,L_Ano,CFG_ANO,L_Status,"REALIZADO")+SUMIFS(L_VRec,L_CatID,$A30,L_Ano,CFG_ANO,L_Status,"REALIZADO")+SUMIFS(L_VRend,L_CatID,$A30,L_Ano,CFG_ANO,L_Status,"REALIZADO"))</f>
        <v>0</v>
      </c>
      <c r="F30" s="36" t="n">
        <f aca="false">IF($A30="",0,SUMIFS(L_VDesp,L_CatID,$A30,L_Ano,CFG_ANO,L_Status,"PROJETADO")+SUMIFS(L_VRec,L_CatID,$A30,L_Ano,CFG_ANO,L_Status,"PROJETADO")+SUMIFS(L_VRend,L_CatID,$A30,L_Ano,CFG_ANO,L_Status,"PROJETADO"))</f>
        <v>0</v>
      </c>
      <c r="G30" s="32"/>
      <c r="H30" s="32"/>
    </row>
    <row r="31" customFormat="false" ht="15" hidden="false" customHeight="false" outlineLevel="0" collapsed="false">
      <c r="A31" s="30" t="str">
        <f aca="false">IF($B31="","","CAT-"&amp;TEXT(ROW()-4,"000000"))</f>
        <v/>
      </c>
      <c r="B31" s="32"/>
      <c r="C31" s="32"/>
      <c r="D31" s="34" t="str">
        <f aca="false">IF($A31="","",COUNTIF(SUB_CATID,$A31))</f>
        <v/>
      </c>
      <c r="E31" s="36" t="n">
        <f aca="false">IF($A31="",0,SUMIFS(L_VDesp,L_CatID,$A31,L_Ano,CFG_ANO,L_Status,"REALIZADO")+SUMIFS(L_VRec,L_CatID,$A31,L_Ano,CFG_ANO,L_Status,"REALIZADO")+SUMIFS(L_VRend,L_CatID,$A31,L_Ano,CFG_ANO,L_Status,"REALIZADO"))</f>
        <v>0</v>
      </c>
      <c r="F31" s="36" t="n">
        <f aca="false">IF($A31="",0,SUMIFS(L_VDesp,L_CatID,$A31,L_Ano,CFG_ANO,L_Status,"PROJETADO")+SUMIFS(L_VRec,L_CatID,$A31,L_Ano,CFG_ANO,L_Status,"PROJETADO")+SUMIFS(L_VRend,L_CatID,$A31,L_Ano,CFG_ANO,L_Status,"PROJETADO"))</f>
        <v>0</v>
      </c>
      <c r="G31" s="32"/>
      <c r="H31" s="32"/>
    </row>
    <row r="32" customFormat="false" ht="15" hidden="false" customHeight="false" outlineLevel="0" collapsed="false">
      <c r="A32" s="30" t="str">
        <f aca="false">IF($B32="","","CAT-"&amp;TEXT(ROW()-4,"000000"))</f>
        <v/>
      </c>
      <c r="B32" s="32"/>
      <c r="C32" s="32"/>
      <c r="D32" s="34" t="str">
        <f aca="false">IF($A32="","",COUNTIF(SUB_CATID,$A32))</f>
        <v/>
      </c>
      <c r="E32" s="36" t="n">
        <f aca="false">IF($A32="",0,SUMIFS(L_VDesp,L_CatID,$A32,L_Ano,CFG_ANO,L_Status,"REALIZADO")+SUMIFS(L_VRec,L_CatID,$A32,L_Ano,CFG_ANO,L_Status,"REALIZADO")+SUMIFS(L_VRend,L_CatID,$A32,L_Ano,CFG_ANO,L_Status,"REALIZADO"))</f>
        <v>0</v>
      </c>
      <c r="F32" s="36" t="n">
        <f aca="false">IF($A32="",0,SUMIFS(L_VDesp,L_CatID,$A32,L_Ano,CFG_ANO,L_Status,"PROJETADO")+SUMIFS(L_VRec,L_CatID,$A32,L_Ano,CFG_ANO,L_Status,"PROJETADO")+SUMIFS(L_VRend,L_CatID,$A32,L_Ano,CFG_ANO,L_Status,"PROJETADO"))</f>
        <v>0</v>
      </c>
      <c r="G32" s="32"/>
      <c r="H32" s="32"/>
    </row>
    <row r="33" customFormat="false" ht="15" hidden="false" customHeight="false" outlineLevel="0" collapsed="false">
      <c r="A33" s="30" t="str">
        <f aca="false">IF($B33="","","CAT-"&amp;TEXT(ROW()-4,"000000"))</f>
        <v/>
      </c>
      <c r="B33" s="32"/>
      <c r="C33" s="32"/>
      <c r="D33" s="34" t="str">
        <f aca="false">IF($A33="","",COUNTIF(SUB_CATID,$A33))</f>
        <v/>
      </c>
      <c r="E33" s="36" t="n">
        <f aca="false">IF($A33="",0,SUMIFS(L_VDesp,L_CatID,$A33,L_Ano,CFG_ANO,L_Status,"REALIZADO")+SUMIFS(L_VRec,L_CatID,$A33,L_Ano,CFG_ANO,L_Status,"REALIZADO")+SUMIFS(L_VRend,L_CatID,$A33,L_Ano,CFG_ANO,L_Status,"REALIZADO"))</f>
        <v>0</v>
      </c>
      <c r="F33" s="36" t="n">
        <f aca="false">IF($A33="",0,SUMIFS(L_VDesp,L_CatID,$A33,L_Ano,CFG_ANO,L_Status,"PROJETADO")+SUMIFS(L_VRec,L_CatID,$A33,L_Ano,CFG_ANO,L_Status,"PROJETADO")+SUMIFS(L_VRend,L_CatID,$A33,L_Ano,CFG_ANO,L_Status,"PROJETADO"))</f>
        <v>0</v>
      </c>
      <c r="G33" s="32"/>
      <c r="H33" s="32"/>
    </row>
    <row r="34" customFormat="false" ht="15" hidden="false" customHeight="false" outlineLevel="0" collapsed="false">
      <c r="A34" s="30" t="str">
        <f aca="false">IF($B34="","","CAT-"&amp;TEXT(ROW()-4,"000000"))</f>
        <v/>
      </c>
      <c r="B34" s="32"/>
      <c r="C34" s="32"/>
      <c r="D34" s="34" t="str">
        <f aca="false">IF($A34="","",COUNTIF(SUB_CATID,$A34))</f>
        <v/>
      </c>
      <c r="E34" s="36" t="n">
        <f aca="false">IF($A34="",0,SUMIFS(L_VDesp,L_CatID,$A34,L_Ano,CFG_ANO,L_Status,"REALIZADO")+SUMIFS(L_VRec,L_CatID,$A34,L_Ano,CFG_ANO,L_Status,"REALIZADO")+SUMIFS(L_VRend,L_CatID,$A34,L_Ano,CFG_ANO,L_Status,"REALIZADO"))</f>
        <v>0</v>
      </c>
      <c r="F34" s="36" t="n">
        <f aca="false">IF($A34="",0,SUMIFS(L_VDesp,L_CatID,$A34,L_Ano,CFG_ANO,L_Status,"PROJETADO")+SUMIFS(L_VRec,L_CatID,$A34,L_Ano,CFG_ANO,L_Status,"PROJETADO")+SUMIFS(L_VRend,L_CatID,$A34,L_Ano,CFG_ANO,L_Status,"PROJETADO"))</f>
        <v>0</v>
      </c>
      <c r="G34" s="32"/>
      <c r="H34" s="32"/>
    </row>
    <row r="35" customFormat="false" ht="15" hidden="false" customHeight="false" outlineLevel="0" collapsed="false">
      <c r="A35" s="30" t="str">
        <f aca="false">IF($B35="","","CAT-"&amp;TEXT(ROW()-4,"000000"))</f>
        <v/>
      </c>
      <c r="B35" s="32"/>
      <c r="C35" s="32"/>
      <c r="D35" s="34" t="str">
        <f aca="false">IF($A35="","",COUNTIF(SUB_CATID,$A35))</f>
        <v/>
      </c>
      <c r="E35" s="36" t="n">
        <f aca="false">IF($A35="",0,SUMIFS(L_VDesp,L_CatID,$A35,L_Ano,CFG_ANO,L_Status,"REALIZADO")+SUMIFS(L_VRec,L_CatID,$A35,L_Ano,CFG_ANO,L_Status,"REALIZADO")+SUMIFS(L_VRend,L_CatID,$A35,L_Ano,CFG_ANO,L_Status,"REALIZADO"))</f>
        <v>0</v>
      </c>
      <c r="F35" s="36" t="n">
        <f aca="false">IF($A35="",0,SUMIFS(L_VDesp,L_CatID,$A35,L_Ano,CFG_ANO,L_Status,"PROJETADO")+SUMIFS(L_VRec,L_CatID,$A35,L_Ano,CFG_ANO,L_Status,"PROJETADO")+SUMIFS(L_VRend,L_CatID,$A35,L_Ano,CFG_ANO,L_Status,"PROJETADO"))</f>
        <v>0</v>
      </c>
      <c r="G35" s="32"/>
      <c r="H35" s="32"/>
    </row>
    <row r="36" customFormat="false" ht="15" hidden="false" customHeight="false" outlineLevel="0" collapsed="false">
      <c r="A36" s="30" t="str">
        <f aca="false">IF($B36="","","CAT-"&amp;TEXT(ROW()-4,"000000"))</f>
        <v/>
      </c>
      <c r="B36" s="32"/>
      <c r="C36" s="32"/>
      <c r="D36" s="34" t="str">
        <f aca="false">IF($A36="","",COUNTIF(SUB_CATID,$A36))</f>
        <v/>
      </c>
      <c r="E36" s="36" t="n">
        <f aca="false">IF($A36="",0,SUMIFS(L_VDesp,L_CatID,$A36,L_Ano,CFG_ANO,L_Status,"REALIZADO")+SUMIFS(L_VRec,L_CatID,$A36,L_Ano,CFG_ANO,L_Status,"REALIZADO")+SUMIFS(L_VRend,L_CatID,$A36,L_Ano,CFG_ANO,L_Status,"REALIZADO"))</f>
        <v>0</v>
      </c>
      <c r="F36" s="36" t="n">
        <f aca="false">IF($A36="",0,SUMIFS(L_VDesp,L_CatID,$A36,L_Ano,CFG_ANO,L_Status,"PROJETADO")+SUMIFS(L_VRec,L_CatID,$A36,L_Ano,CFG_ANO,L_Status,"PROJETADO")+SUMIFS(L_VRend,L_CatID,$A36,L_Ano,CFG_ANO,L_Status,"PROJETADO"))</f>
        <v>0</v>
      </c>
      <c r="G36" s="32"/>
      <c r="H36" s="32"/>
    </row>
    <row r="37" customFormat="false" ht="15" hidden="false" customHeight="false" outlineLevel="0" collapsed="false">
      <c r="A37" s="30" t="str">
        <f aca="false">IF($B37="","","CAT-"&amp;TEXT(ROW()-4,"000000"))</f>
        <v/>
      </c>
      <c r="B37" s="32"/>
      <c r="C37" s="32"/>
      <c r="D37" s="34" t="str">
        <f aca="false">IF($A37="","",COUNTIF(SUB_CATID,$A37))</f>
        <v/>
      </c>
      <c r="E37" s="36" t="n">
        <f aca="false">IF($A37="",0,SUMIFS(L_VDesp,L_CatID,$A37,L_Ano,CFG_ANO,L_Status,"REALIZADO")+SUMIFS(L_VRec,L_CatID,$A37,L_Ano,CFG_ANO,L_Status,"REALIZADO")+SUMIFS(L_VRend,L_CatID,$A37,L_Ano,CFG_ANO,L_Status,"REALIZADO"))</f>
        <v>0</v>
      </c>
      <c r="F37" s="36" t="n">
        <f aca="false">IF($A37="",0,SUMIFS(L_VDesp,L_CatID,$A37,L_Ano,CFG_ANO,L_Status,"PROJETADO")+SUMIFS(L_VRec,L_CatID,$A37,L_Ano,CFG_ANO,L_Status,"PROJETADO")+SUMIFS(L_VRend,L_CatID,$A37,L_Ano,CFG_ANO,L_Status,"PROJETADO"))</f>
        <v>0</v>
      </c>
      <c r="G37" s="32"/>
      <c r="H37" s="32"/>
    </row>
    <row r="38" customFormat="false" ht="15" hidden="false" customHeight="false" outlineLevel="0" collapsed="false">
      <c r="A38" s="30" t="str">
        <f aca="false">IF($B38="","","CAT-"&amp;TEXT(ROW()-4,"000000"))</f>
        <v/>
      </c>
      <c r="B38" s="32"/>
      <c r="C38" s="32"/>
      <c r="D38" s="34" t="str">
        <f aca="false">IF($A38="","",COUNTIF(SUB_CATID,$A38))</f>
        <v/>
      </c>
      <c r="E38" s="36" t="n">
        <f aca="false">IF($A38="",0,SUMIFS(L_VDesp,L_CatID,$A38,L_Ano,CFG_ANO,L_Status,"REALIZADO")+SUMIFS(L_VRec,L_CatID,$A38,L_Ano,CFG_ANO,L_Status,"REALIZADO")+SUMIFS(L_VRend,L_CatID,$A38,L_Ano,CFG_ANO,L_Status,"REALIZADO"))</f>
        <v>0</v>
      </c>
      <c r="F38" s="36" t="n">
        <f aca="false">IF($A38="",0,SUMIFS(L_VDesp,L_CatID,$A38,L_Ano,CFG_ANO,L_Status,"PROJETADO")+SUMIFS(L_VRec,L_CatID,$A38,L_Ano,CFG_ANO,L_Status,"PROJETADO")+SUMIFS(L_VRend,L_CatID,$A38,L_Ano,CFG_ANO,L_Status,"PROJETADO"))</f>
        <v>0</v>
      </c>
      <c r="G38" s="32"/>
      <c r="H38" s="32"/>
    </row>
    <row r="39" customFormat="false" ht="15" hidden="false" customHeight="false" outlineLevel="0" collapsed="false">
      <c r="A39" s="30" t="str">
        <f aca="false">IF($B39="","","CAT-"&amp;TEXT(ROW()-4,"000000"))</f>
        <v/>
      </c>
      <c r="B39" s="32"/>
      <c r="C39" s="32"/>
      <c r="D39" s="34" t="str">
        <f aca="false">IF($A39="","",COUNTIF(SUB_CATID,$A39))</f>
        <v/>
      </c>
      <c r="E39" s="36" t="n">
        <f aca="false">IF($A39="",0,SUMIFS(L_VDesp,L_CatID,$A39,L_Ano,CFG_ANO,L_Status,"REALIZADO")+SUMIFS(L_VRec,L_CatID,$A39,L_Ano,CFG_ANO,L_Status,"REALIZADO")+SUMIFS(L_VRend,L_CatID,$A39,L_Ano,CFG_ANO,L_Status,"REALIZADO"))</f>
        <v>0</v>
      </c>
      <c r="F39" s="36" t="n">
        <f aca="false">IF($A39="",0,SUMIFS(L_VDesp,L_CatID,$A39,L_Ano,CFG_ANO,L_Status,"PROJETADO")+SUMIFS(L_VRec,L_CatID,$A39,L_Ano,CFG_ANO,L_Status,"PROJETADO")+SUMIFS(L_VRend,L_CatID,$A39,L_Ano,CFG_ANO,L_Status,"PROJETADO"))</f>
        <v>0</v>
      </c>
      <c r="G39" s="32"/>
      <c r="H39" s="32"/>
    </row>
    <row r="40" customFormat="false" ht="15" hidden="false" customHeight="false" outlineLevel="0" collapsed="false">
      <c r="A40" s="30" t="str">
        <f aca="false">IF($B40="","","CAT-"&amp;TEXT(ROW()-4,"000000"))</f>
        <v/>
      </c>
      <c r="B40" s="32"/>
      <c r="C40" s="32"/>
      <c r="D40" s="34" t="str">
        <f aca="false">IF($A40="","",COUNTIF(SUB_CATID,$A40))</f>
        <v/>
      </c>
      <c r="E40" s="36" t="n">
        <f aca="false">IF($A40="",0,SUMIFS(L_VDesp,L_CatID,$A40,L_Ano,CFG_ANO,L_Status,"REALIZADO")+SUMIFS(L_VRec,L_CatID,$A40,L_Ano,CFG_ANO,L_Status,"REALIZADO")+SUMIFS(L_VRend,L_CatID,$A40,L_Ano,CFG_ANO,L_Status,"REALIZADO"))</f>
        <v>0</v>
      </c>
      <c r="F40" s="36" t="n">
        <f aca="false">IF($A40="",0,SUMIFS(L_VDesp,L_CatID,$A40,L_Ano,CFG_ANO,L_Status,"PROJETADO")+SUMIFS(L_VRec,L_CatID,$A40,L_Ano,CFG_ANO,L_Status,"PROJETADO")+SUMIFS(L_VRend,L_CatID,$A40,L_Ano,CFG_ANO,L_Status,"PROJETADO"))</f>
        <v>0</v>
      </c>
      <c r="G40" s="32"/>
      <c r="H40" s="32"/>
    </row>
    <row r="41" customFormat="false" ht="15" hidden="false" customHeight="false" outlineLevel="0" collapsed="false">
      <c r="A41" s="30" t="str">
        <f aca="false">IF($B41="","","CAT-"&amp;TEXT(ROW()-4,"000000"))</f>
        <v/>
      </c>
      <c r="B41" s="32"/>
      <c r="C41" s="32"/>
      <c r="D41" s="34" t="str">
        <f aca="false">IF($A41="","",COUNTIF(SUB_CATID,$A41))</f>
        <v/>
      </c>
      <c r="E41" s="36" t="n">
        <f aca="false">IF($A41="",0,SUMIFS(L_VDesp,L_CatID,$A41,L_Ano,CFG_ANO,L_Status,"REALIZADO")+SUMIFS(L_VRec,L_CatID,$A41,L_Ano,CFG_ANO,L_Status,"REALIZADO")+SUMIFS(L_VRend,L_CatID,$A41,L_Ano,CFG_ANO,L_Status,"REALIZADO"))</f>
        <v>0</v>
      </c>
      <c r="F41" s="36" t="n">
        <f aca="false">IF($A41="",0,SUMIFS(L_VDesp,L_CatID,$A41,L_Ano,CFG_ANO,L_Status,"PROJETADO")+SUMIFS(L_VRec,L_CatID,$A41,L_Ano,CFG_ANO,L_Status,"PROJETADO")+SUMIFS(L_VRend,L_CatID,$A41,L_Ano,CFG_ANO,L_Status,"PROJETADO"))</f>
        <v>0</v>
      </c>
      <c r="G41" s="32"/>
      <c r="H41" s="32"/>
    </row>
    <row r="42" customFormat="false" ht="15" hidden="false" customHeight="false" outlineLevel="0" collapsed="false">
      <c r="A42" s="30" t="str">
        <f aca="false">IF($B42="","","CAT-"&amp;TEXT(ROW()-4,"000000"))</f>
        <v/>
      </c>
      <c r="B42" s="32"/>
      <c r="C42" s="32"/>
      <c r="D42" s="34" t="str">
        <f aca="false">IF($A42="","",COUNTIF(SUB_CATID,$A42))</f>
        <v/>
      </c>
      <c r="E42" s="36" t="n">
        <f aca="false">IF($A42="",0,SUMIFS(L_VDesp,L_CatID,$A42,L_Ano,CFG_ANO,L_Status,"REALIZADO")+SUMIFS(L_VRec,L_CatID,$A42,L_Ano,CFG_ANO,L_Status,"REALIZADO")+SUMIFS(L_VRend,L_CatID,$A42,L_Ano,CFG_ANO,L_Status,"REALIZADO"))</f>
        <v>0</v>
      </c>
      <c r="F42" s="36" t="n">
        <f aca="false">IF($A42="",0,SUMIFS(L_VDesp,L_CatID,$A42,L_Ano,CFG_ANO,L_Status,"PROJETADO")+SUMIFS(L_VRec,L_CatID,$A42,L_Ano,CFG_ANO,L_Status,"PROJETADO")+SUMIFS(L_VRend,L_CatID,$A42,L_Ano,CFG_ANO,L_Status,"PROJETADO"))</f>
        <v>0</v>
      </c>
      <c r="G42" s="32"/>
      <c r="H42" s="32"/>
    </row>
    <row r="43" customFormat="false" ht="15" hidden="false" customHeight="false" outlineLevel="0" collapsed="false">
      <c r="A43" s="30" t="str">
        <f aca="false">IF($B43="","","CAT-"&amp;TEXT(ROW()-4,"000000"))</f>
        <v/>
      </c>
      <c r="B43" s="32"/>
      <c r="C43" s="32"/>
      <c r="D43" s="34" t="str">
        <f aca="false">IF($A43="","",COUNTIF(SUB_CATID,$A43))</f>
        <v/>
      </c>
      <c r="E43" s="36" t="n">
        <f aca="false">IF($A43="",0,SUMIFS(L_VDesp,L_CatID,$A43,L_Ano,CFG_ANO,L_Status,"REALIZADO")+SUMIFS(L_VRec,L_CatID,$A43,L_Ano,CFG_ANO,L_Status,"REALIZADO")+SUMIFS(L_VRend,L_CatID,$A43,L_Ano,CFG_ANO,L_Status,"REALIZADO"))</f>
        <v>0</v>
      </c>
      <c r="F43" s="36" t="n">
        <f aca="false">IF($A43="",0,SUMIFS(L_VDesp,L_CatID,$A43,L_Ano,CFG_ANO,L_Status,"PROJETADO")+SUMIFS(L_VRec,L_CatID,$A43,L_Ano,CFG_ANO,L_Status,"PROJETADO")+SUMIFS(L_VRend,L_CatID,$A43,L_Ano,CFG_ANO,L_Status,"PROJETADO"))</f>
        <v>0</v>
      </c>
      <c r="G43" s="32"/>
      <c r="H43" s="32"/>
    </row>
    <row r="44" customFormat="false" ht="15" hidden="false" customHeight="false" outlineLevel="0" collapsed="false">
      <c r="A44" s="30" t="str">
        <f aca="false">IF($B44="","","CAT-"&amp;TEXT(ROW()-4,"000000"))</f>
        <v/>
      </c>
      <c r="B44" s="32"/>
      <c r="C44" s="32"/>
      <c r="D44" s="34" t="str">
        <f aca="false">IF($A44="","",COUNTIF(SUB_CATID,$A44))</f>
        <v/>
      </c>
      <c r="E44" s="36" t="n">
        <f aca="false">IF($A44="",0,SUMIFS(L_VDesp,L_CatID,$A44,L_Ano,CFG_ANO,L_Status,"REALIZADO")+SUMIFS(L_VRec,L_CatID,$A44,L_Ano,CFG_ANO,L_Status,"REALIZADO")+SUMIFS(L_VRend,L_CatID,$A44,L_Ano,CFG_ANO,L_Status,"REALIZADO"))</f>
        <v>0</v>
      </c>
      <c r="F44" s="36" t="n">
        <f aca="false">IF($A44="",0,SUMIFS(L_VDesp,L_CatID,$A44,L_Ano,CFG_ANO,L_Status,"PROJETADO")+SUMIFS(L_VRec,L_CatID,$A44,L_Ano,CFG_ANO,L_Status,"PROJETADO")+SUMIFS(L_VRend,L_CatID,$A44,L_Ano,CFG_ANO,L_Status,"PROJETADO"))</f>
        <v>0</v>
      </c>
      <c r="G44" s="32"/>
      <c r="H44" s="32"/>
    </row>
  </sheetData>
  <autoFilter ref="A4:H44"/>
  <mergeCells count="2">
    <mergeCell ref="A1:H1"/>
    <mergeCell ref="A2:H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LST_TIPOCAT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</row>
    <row r="4" customFormat="false" ht="30" hidden="false" customHeight="true" outlineLevel="0" collapsed="false">
      <c r="A4" s="8" t="s">
        <v>237</v>
      </c>
      <c r="B4" s="8" t="s">
        <v>63</v>
      </c>
      <c r="C4" s="8" t="s">
        <v>216</v>
      </c>
      <c r="D4" s="8" t="s">
        <v>161</v>
      </c>
      <c r="E4" s="8" t="s">
        <v>219</v>
      </c>
      <c r="F4" s="8" t="s">
        <v>220</v>
      </c>
      <c r="G4" s="8" t="s">
        <v>238</v>
      </c>
      <c r="H4" s="8" t="s">
        <v>52</v>
      </c>
      <c r="I4" s="8" t="s">
        <v>76</v>
      </c>
    </row>
    <row r="5" customFormat="false" ht="15" hidden="false" customHeight="false" outlineLevel="0" collapsed="false">
      <c r="A5" s="30" t="str">
        <f aca="false">IF($B5="","","SUB-"&amp;TEXT(ROW()-4,"000000"))</f>
        <v>SUB-000001</v>
      </c>
      <c r="B5" s="14" t="s">
        <v>64</v>
      </c>
      <c r="C5" s="35" t="str">
        <f aca="false">IF($B5="","",IFERROR(INDEX(CAT_ID,MATCH($B5,CAT_NOME,0)),"?"))</f>
        <v>CAT-000001</v>
      </c>
      <c r="D5" s="14" t="s">
        <v>66</v>
      </c>
      <c r="E5" s="36" t="n">
        <f aca="false">IF($A5="",0,SUMIFS(L_VDesp,L_SubID,$A5,L_Ano,CFG_ANO,L_Status,"REALIZADO")+SUMIFS(L_VRec,L_SubID,$A5,L_Ano,CFG_ANO,L_Status,"REALIZADO")+SUMIFS(L_VRend,L_SubID,$A5,L_Ano,CFG_ANO,L_Status,"REALIZADO"))</f>
        <v>0</v>
      </c>
      <c r="F5" s="36" t="n">
        <f aca="false">IF($A5="",0,SUMIFS(L_VDesp,L_SubID,$A5,L_Ano,CFG_ANO,L_Status,"PROJETADO")+SUMIFS(L_VRec,L_SubID,$A5,L_Ano,CFG_ANO,L_Status,"PROJETADO")+SUMIFS(L_VRend,L_SubID,$A5,L_Ano,CFG_ANO,L_Status,"PROJETADO"))</f>
        <v>0</v>
      </c>
      <c r="G5" s="34" t="n">
        <f aca="false">IF($A5="","",COUNTIFS($C$5:$C5,$C5))</f>
        <v>1</v>
      </c>
      <c r="H5" s="14" t="s">
        <v>221</v>
      </c>
      <c r="I5" s="32"/>
    </row>
    <row r="6" customFormat="false" ht="15" hidden="false" customHeight="false" outlineLevel="0" collapsed="false">
      <c r="A6" s="30" t="str">
        <f aca="false">IF($B6="","","SUB-"&amp;TEXT(ROW()-4,"000000"))</f>
        <v>SUB-000002</v>
      </c>
      <c r="B6" s="14" t="s">
        <v>64</v>
      </c>
      <c r="C6" s="35" t="str">
        <f aca="false">IF($B6="","",IFERROR(INDEX(CAT_ID,MATCH($B6,CAT_NOME,0)),"?"))</f>
        <v>CAT-000001</v>
      </c>
      <c r="D6" s="14" t="s">
        <v>239</v>
      </c>
      <c r="E6" s="36" t="n">
        <f aca="false">IF($A6="",0,SUMIFS(L_VDesp,L_SubID,$A6,L_Ano,CFG_ANO,L_Status,"REALIZADO")+SUMIFS(L_VRec,L_SubID,$A6,L_Ano,CFG_ANO,L_Status,"REALIZADO")+SUMIFS(L_VRend,L_SubID,$A6,L_Ano,CFG_ANO,L_Status,"REALIZADO"))</f>
        <v>0</v>
      </c>
      <c r="F6" s="36" t="n">
        <f aca="false">IF($A6="",0,SUMIFS(L_VDesp,L_SubID,$A6,L_Ano,CFG_ANO,L_Status,"PROJETADO")+SUMIFS(L_VRec,L_SubID,$A6,L_Ano,CFG_ANO,L_Status,"PROJETADO")+SUMIFS(L_VRend,L_SubID,$A6,L_Ano,CFG_ANO,L_Status,"PROJETADO"))</f>
        <v>0</v>
      </c>
      <c r="G6" s="34" t="n">
        <f aca="false">IF($A6="","",COUNTIFS($C$5:$C6,$C6))</f>
        <v>2</v>
      </c>
      <c r="H6" s="14" t="s">
        <v>221</v>
      </c>
      <c r="I6" s="32"/>
    </row>
    <row r="7" customFormat="false" ht="15" hidden="false" customHeight="false" outlineLevel="0" collapsed="false">
      <c r="A7" s="30" t="str">
        <f aca="false">IF($B7="","","SUB-"&amp;TEXT(ROW()-4,"000000"))</f>
        <v>SUB-000003</v>
      </c>
      <c r="B7" s="14" t="s">
        <v>64</v>
      </c>
      <c r="C7" s="35" t="str">
        <f aca="false">IF($B7="","",IFERROR(INDEX(CAT_ID,MATCH($B7,CAT_NOME,0)),"?"))</f>
        <v>CAT-000001</v>
      </c>
      <c r="D7" s="14" t="s">
        <v>240</v>
      </c>
      <c r="E7" s="36" t="n">
        <f aca="false">IF($A7="",0,SUMIFS(L_VDesp,L_SubID,$A7,L_Ano,CFG_ANO,L_Status,"REALIZADO")+SUMIFS(L_VRec,L_SubID,$A7,L_Ano,CFG_ANO,L_Status,"REALIZADO")+SUMIFS(L_VRend,L_SubID,$A7,L_Ano,CFG_ANO,L_Status,"REALIZADO"))</f>
        <v>0</v>
      </c>
      <c r="F7" s="36" t="n">
        <f aca="false">IF($A7="",0,SUMIFS(L_VDesp,L_SubID,$A7,L_Ano,CFG_ANO,L_Status,"PROJETADO")+SUMIFS(L_VRec,L_SubID,$A7,L_Ano,CFG_ANO,L_Status,"PROJETADO")+SUMIFS(L_VRend,L_SubID,$A7,L_Ano,CFG_ANO,L_Status,"PROJETADO"))</f>
        <v>0</v>
      </c>
      <c r="G7" s="34" t="n">
        <f aca="false">IF($A7="","",COUNTIFS($C$5:$C7,$C7))</f>
        <v>3</v>
      </c>
      <c r="H7" s="14" t="s">
        <v>221</v>
      </c>
      <c r="I7" s="32"/>
    </row>
    <row r="8" customFormat="false" ht="15" hidden="false" customHeight="false" outlineLevel="0" collapsed="false">
      <c r="A8" s="30" t="str">
        <f aca="false">IF($B8="","","SUB-"&amp;TEXT(ROW()-4,"000000"))</f>
        <v>SUB-000004</v>
      </c>
      <c r="B8" s="14" t="s">
        <v>64</v>
      </c>
      <c r="C8" s="35" t="str">
        <f aca="false">IF($B8="","",IFERROR(INDEX(CAT_ID,MATCH($B8,CAT_NOME,0)),"?"))</f>
        <v>CAT-000001</v>
      </c>
      <c r="D8" s="14" t="s">
        <v>241</v>
      </c>
      <c r="E8" s="36" t="n">
        <f aca="false">IF($A8="",0,SUMIFS(L_VDesp,L_SubID,$A8,L_Ano,CFG_ANO,L_Status,"REALIZADO")+SUMIFS(L_VRec,L_SubID,$A8,L_Ano,CFG_ANO,L_Status,"REALIZADO")+SUMIFS(L_VRend,L_SubID,$A8,L_Ano,CFG_ANO,L_Status,"REALIZADO"))</f>
        <v>0</v>
      </c>
      <c r="F8" s="36" t="n">
        <f aca="false">IF($A8="",0,SUMIFS(L_VDesp,L_SubID,$A8,L_Ano,CFG_ANO,L_Status,"PROJETADO")+SUMIFS(L_VRec,L_SubID,$A8,L_Ano,CFG_ANO,L_Status,"PROJETADO")+SUMIFS(L_VRend,L_SubID,$A8,L_Ano,CFG_ANO,L_Status,"PROJETADO"))</f>
        <v>0</v>
      </c>
      <c r="G8" s="34" t="n">
        <f aca="false">IF($A8="","",COUNTIFS($C$5:$C8,$C8))</f>
        <v>4</v>
      </c>
      <c r="H8" s="14" t="s">
        <v>221</v>
      </c>
      <c r="I8" s="32"/>
    </row>
    <row r="9" customFormat="false" ht="15" hidden="false" customHeight="false" outlineLevel="0" collapsed="false">
      <c r="A9" s="30" t="str">
        <f aca="false">IF($B9="","","SUB-"&amp;TEXT(ROW()-4,"000000"))</f>
        <v>SUB-000005</v>
      </c>
      <c r="B9" s="14" t="s">
        <v>64</v>
      </c>
      <c r="C9" s="35" t="str">
        <f aca="false">IF($B9="","",IFERROR(INDEX(CAT_ID,MATCH($B9,CAT_NOME,0)),"?"))</f>
        <v>CAT-000001</v>
      </c>
      <c r="D9" s="14" t="s">
        <v>242</v>
      </c>
      <c r="E9" s="36" t="n">
        <f aca="false">IF($A9="",0,SUMIFS(L_VDesp,L_SubID,$A9,L_Ano,CFG_ANO,L_Status,"REALIZADO")+SUMIFS(L_VRec,L_SubID,$A9,L_Ano,CFG_ANO,L_Status,"REALIZADO")+SUMIFS(L_VRend,L_SubID,$A9,L_Ano,CFG_ANO,L_Status,"REALIZADO"))</f>
        <v>0</v>
      </c>
      <c r="F9" s="36" t="n">
        <f aca="false">IF($A9="",0,SUMIFS(L_VDesp,L_SubID,$A9,L_Ano,CFG_ANO,L_Status,"PROJETADO")+SUMIFS(L_VRec,L_SubID,$A9,L_Ano,CFG_ANO,L_Status,"PROJETADO")+SUMIFS(L_VRend,L_SubID,$A9,L_Ano,CFG_ANO,L_Status,"PROJETADO"))</f>
        <v>0</v>
      </c>
      <c r="G9" s="34" t="n">
        <f aca="false">IF($A9="","",COUNTIFS($C$5:$C9,$C9))</f>
        <v>5</v>
      </c>
      <c r="H9" s="14" t="s">
        <v>221</v>
      </c>
      <c r="I9" s="32"/>
    </row>
    <row r="10" customFormat="false" ht="15" hidden="false" customHeight="false" outlineLevel="0" collapsed="false">
      <c r="A10" s="30" t="str">
        <f aca="false">IF($B10="","","SUB-"&amp;TEXT(ROW()-4,"000000"))</f>
        <v>SUB-000006</v>
      </c>
      <c r="B10" s="14" t="s">
        <v>222</v>
      </c>
      <c r="C10" s="35" t="str">
        <f aca="false">IF($B10="","",IFERROR(INDEX(CAT_ID,MATCH($B10,CAT_NOME,0)),"?"))</f>
        <v>CAT-000002</v>
      </c>
      <c r="D10" s="14" t="s">
        <v>243</v>
      </c>
      <c r="E10" s="36" t="n">
        <f aca="false">IF($A10="",0,SUMIFS(L_VDesp,L_SubID,$A10,L_Ano,CFG_ANO,L_Status,"REALIZADO")+SUMIFS(L_VRec,L_SubID,$A10,L_Ano,CFG_ANO,L_Status,"REALIZADO")+SUMIFS(L_VRend,L_SubID,$A10,L_Ano,CFG_ANO,L_Status,"REALIZADO"))</f>
        <v>0</v>
      </c>
      <c r="F10" s="36" t="n">
        <f aca="false">IF($A10="",0,SUMIFS(L_VDesp,L_SubID,$A10,L_Ano,CFG_ANO,L_Status,"PROJETADO")+SUMIFS(L_VRec,L_SubID,$A10,L_Ano,CFG_ANO,L_Status,"PROJETADO")+SUMIFS(L_VRend,L_SubID,$A10,L_Ano,CFG_ANO,L_Status,"PROJETADO"))</f>
        <v>0</v>
      </c>
      <c r="G10" s="34" t="n">
        <f aca="false">IF($A10="","",COUNTIFS($C$5:$C10,$C10))</f>
        <v>1</v>
      </c>
      <c r="H10" s="14" t="s">
        <v>221</v>
      </c>
      <c r="I10" s="32"/>
    </row>
    <row r="11" customFormat="false" ht="15" hidden="false" customHeight="false" outlineLevel="0" collapsed="false">
      <c r="A11" s="30" t="str">
        <f aca="false">IF($B11="","","SUB-"&amp;TEXT(ROW()-4,"000000"))</f>
        <v>SUB-000007</v>
      </c>
      <c r="B11" s="14" t="s">
        <v>222</v>
      </c>
      <c r="C11" s="35" t="str">
        <f aca="false">IF($B11="","",IFERROR(INDEX(CAT_ID,MATCH($B11,CAT_NOME,0)),"?"))</f>
        <v>CAT-000002</v>
      </c>
      <c r="D11" s="14" t="s">
        <v>244</v>
      </c>
      <c r="E11" s="36" t="n">
        <f aca="false">IF($A11="",0,SUMIFS(L_VDesp,L_SubID,$A11,L_Ano,CFG_ANO,L_Status,"REALIZADO")+SUMIFS(L_VRec,L_SubID,$A11,L_Ano,CFG_ANO,L_Status,"REALIZADO")+SUMIFS(L_VRend,L_SubID,$A11,L_Ano,CFG_ANO,L_Status,"REALIZADO"))</f>
        <v>0</v>
      </c>
      <c r="F11" s="36" t="n">
        <f aca="false">IF($A11="",0,SUMIFS(L_VDesp,L_SubID,$A11,L_Ano,CFG_ANO,L_Status,"PROJETADO")+SUMIFS(L_VRec,L_SubID,$A11,L_Ano,CFG_ANO,L_Status,"PROJETADO")+SUMIFS(L_VRend,L_SubID,$A11,L_Ano,CFG_ANO,L_Status,"PROJETADO"))</f>
        <v>0</v>
      </c>
      <c r="G11" s="34" t="n">
        <f aca="false">IF($A11="","",COUNTIFS($C$5:$C11,$C11))</f>
        <v>2</v>
      </c>
      <c r="H11" s="14" t="s">
        <v>221</v>
      </c>
      <c r="I11" s="32"/>
    </row>
    <row r="12" customFormat="false" ht="15" hidden="false" customHeight="false" outlineLevel="0" collapsed="false">
      <c r="A12" s="30" t="str">
        <f aca="false">IF($B12="","","SUB-"&amp;TEXT(ROW()-4,"000000"))</f>
        <v>SUB-000008</v>
      </c>
      <c r="B12" s="14" t="s">
        <v>222</v>
      </c>
      <c r="C12" s="35" t="str">
        <f aca="false">IF($B12="","",IFERROR(INDEX(CAT_ID,MATCH($B12,CAT_NOME,0)),"?"))</f>
        <v>CAT-000002</v>
      </c>
      <c r="D12" s="14" t="s">
        <v>245</v>
      </c>
      <c r="E12" s="36" t="n">
        <f aca="false">IF($A12="",0,SUMIFS(L_VDesp,L_SubID,$A12,L_Ano,CFG_ANO,L_Status,"REALIZADO")+SUMIFS(L_VRec,L_SubID,$A12,L_Ano,CFG_ANO,L_Status,"REALIZADO")+SUMIFS(L_VRend,L_SubID,$A12,L_Ano,CFG_ANO,L_Status,"REALIZADO"))</f>
        <v>0</v>
      </c>
      <c r="F12" s="36" t="n">
        <f aca="false">IF($A12="",0,SUMIFS(L_VDesp,L_SubID,$A12,L_Ano,CFG_ANO,L_Status,"PROJETADO")+SUMIFS(L_VRec,L_SubID,$A12,L_Ano,CFG_ANO,L_Status,"PROJETADO")+SUMIFS(L_VRend,L_SubID,$A12,L_Ano,CFG_ANO,L_Status,"PROJETADO"))</f>
        <v>0</v>
      </c>
      <c r="G12" s="34" t="n">
        <f aca="false">IF($A12="","",COUNTIFS($C$5:$C12,$C12))</f>
        <v>3</v>
      </c>
      <c r="H12" s="14" t="s">
        <v>221</v>
      </c>
      <c r="I12" s="32"/>
    </row>
    <row r="13" customFormat="false" ht="15" hidden="false" customHeight="false" outlineLevel="0" collapsed="false">
      <c r="A13" s="30" t="str">
        <f aca="false">IF($B13="","","SUB-"&amp;TEXT(ROW()-4,"000000"))</f>
        <v>SUB-000009</v>
      </c>
      <c r="B13" s="14" t="s">
        <v>222</v>
      </c>
      <c r="C13" s="35" t="str">
        <f aca="false">IF($B13="","",IFERROR(INDEX(CAT_ID,MATCH($B13,CAT_NOME,0)),"?"))</f>
        <v>CAT-000002</v>
      </c>
      <c r="D13" s="14" t="s">
        <v>246</v>
      </c>
      <c r="E13" s="36" t="n">
        <f aca="false">IF($A13="",0,SUMIFS(L_VDesp,L_SubID,$A13,L_Ano,CFG_ANO,L_Status,"REALIZADO")+SUMIFS(L_VRec,L_SubID,$A13,L_Ano,CFG_ANO,L_Status,"REALIZADO")+SUMIFS(L_VRend,L_SubID,$A13,L_Ano,CFG_ANO,L_Status,"REALIZADO"))</f>
        <v>0</v>
      </c>
      <c r="F13" s="36" t="n">
        <f aca="false">IF($A13="",0,SUMIFS(L_VDesp,L_SubID,$A13,L_Ano,CFG_ANO,L_Status,"PROJETADO")+SUMIFS(L_VRec,L_SubID,$A13,L_Ano,CFG_ANO,L_Status,"PROJETADO")+SUMIFS(L_VRend,L_SubID,$A13,L_Ano,CFG_ANO,L_Status,"PROJETADO"))</f>
        <v>0</v>
      </c>
      <c r="G13" s="34" t="n">
        <f aca="false">IF($A13="","",COUNTIFS($C$5:$C13,$C13))</f>
        <v>4</v>
      </c>
      <c r="H13" s="14" t="s">
        <v>221</v>
      </c>
      <c r="I13" s="32"/>
    </row>
    <row r="14" customFormat="false" ht="15" hidden="false" customHeight="false" outlineLevel="0" collapsed="false">
      <c r="A14" s="30" t="str">
        <f aca="false">IF($B14="","","SUB-"&amp;TEXT(ROW()-4,"000000"))</f>
        <v>SUB-000010</v>
      </c>
      <c r="B14" s="14" t="s">
        <v>222</v>
      </c>
      <c r="C14" s="35" t="str">
        <f aca="false">IF($B14="","",IFERROR(INDEX(CAT_ID,MATCH($B14,CAT_NOME,0)),"?"))</f>
        <v>CAT-000002</v>
      </c>
      <c r="D14" s="14" t="s">
        <v>247</v>
      </c>
      <c r="E14" s="36" t="n">
        <f aca="false">IF($A14="",0,SUMIFS(L_VDesp,L_SubID,$A14,L_Ano,CFG_ANO,L_Status,"REALIZADO")+SUMIFS(L_VRec,L_SubID,$A14,L_Ano,CFG_ANO,L_Status,"REALIZADO")+SUMIFS(L_VRend,L_SubID,$A14,L_Ano,CFG_ANO,L_Status,"REALIZADO"))</f>
        <v>0</v>
      </c>
      <c r="F14" s="36" t="n">
        <f aca="false">IF($A14="",0,SUMIFS(L_VDesp,L_SubID,$A14,L_Ano,CFG_ANO,L_Status,"PROJETADO")+SUMIFS(L_VRec,L_SubID,$A14,L_Ano,CFG_ANO,L_Status,"PROJETADO")+SUMIFS(L_VRend,L_SubID,$A14,L_Ano,CFG_ANO,L_Status,"PROJETADO"))</f>
        <v>0</v>
      </c>
      <c r="G14" s="34" t="n">
        <f aca="false">IF($A14="","",COUNTIFS($C$5:$C14,$C14))</f>
        <v>5</v>
      </c>
      <c r="H14" s="14" t="s">
        <v>221</v>
      </c>
      <c r="I14" s="32"/>
    </row>
    <row r="15" customFormat="false" ht="15" hidden="false" customHeight="false" outlineLevel="0" collapsed="false">
      <c r="A15" s="30" t="str">
        <f aca="false">IF($B15="","","SUB-"&amp;TEXT(ROW()-4,"000000"))</f>
        <v>SUB-000011</v>
      </c>
      <c r="B15" s="14" t="s">
        <v>223</v>
      </c>
      <c r="C15" s="35" t="str">
        <f aca="false">IF($B15="","",IFERROR(INDEX(CAT_ID,MATCH($B15,CAT_NOME,0)),"?"))</f>
        <v>CAT-000003</v>
      </c>
      <c r="D15" s="14" t="s">
        <v>248</v>
      </c>
      <c r="E15" s="36" t="n">
        <f aca="false">IF($A15="",0,SUMIFS(L_VDesp,L_SubID,$A15,L_Ano,CFG_ANO,L_Status,"REALIZADO")+SUMIFS(L_VRec,L_SubID,$A15,L_Ano,CFG_ANO,L_Status,"REALIZADO")+SUMIFS(L_VRend,L_SubID,$A15,L_Ano,CFG_ANO,L_Status,"REALIZADO"))</f>
        <v>0</v>
      </c>
      <c r="F15" s="36" t="n">
        <f aca="false">IF($A15="",0,SUMIFS(L_VDesp,L_SubID,$A15,L_Ano,CFG_ANO,L_Status,"PROJETADO")+SUMIFS(L_VRec,L_SubID,$A15,L_Ano,CFG_ANO,L_Status,"PROJETADO")+SUMIFS(L_VRend,L_SubID,$A15,L_Ano,CFG_ANO,L_Status,"PROJETADO"))</f>
        <v>0</v>
      </c>
      <c r="G15" s="34" t="n">
        <f aca="false">IF($A15="","",COUNTIFS($C$5:$C15,$C15))</f>
        <v>1</v>
      </c>
      <c r="H15" s="14" t="s">
        <v>221</v>
      </c>
      <c r="I15" s="32"/>
    </row>
    <row r="16" customFormat="false" ht="15" hidden="false" customHeight="false" outlineLevel="0" collapsed="false">
      <c r="A16" s="30" t="str">
        <f aca="false">IF($B16="","","SUB-"&amp;TEXT(ROW()-4,"000000"))</f>
        <v>SUB-000012</v>
      </c>
      <c r="B16" s="14" t="s">
        <v>223</v>
      </c>
      <c r="C16" s="35" t="str">
        <f aca="false">IF($B16="","",IFERROR(INDEX(CAT_ID,MATCH($B16,CAT_NOME,0)),"?"))</f>
        <v>CAT-000003</v>
      </c>
      <c r="D16" s="14" t="s">
        <v>249</v>
      </c>
      <c r="E16" s="36" t="n">
        <f aca="false">IF($A16="",0,SUMIFS(L_VDesp,L_SubID,$A16,L_Ano,CFG_ANO,L_Status,"REALIZADO")+SUMIFS(L_VRec,L_SubID,$A16,L_Ano,CFG_ANO,L_Status,"REALIZADO")+SUMIFS(L_VRend,L_SubID,$A16,L_Ano,CFG_ANO,L_Status,"REALIZADO"))</f>
        <v>0</v>
      </c>
      <c r="F16" s="36" t="n">
        <f aca="false">IF($A16="",0,SUMIFS(L_VDesp,L_SubID,$A16,L_Ano,CFG_ANO,L_Status,"PROJETADO")+SUMIFS(L_VRec,L_SubID,$A16,L_Ano,CFG_ANO,L_Status,"PROJETADO")+SUMIFS(L_VRend,L_SubID,$A16,L_Ano,CFG_ANO,L_Status,"PROJETADO"))</f>
        <v>0</v>
      </c>
      <c r="G16" s="34" t="n">
        <f aca="false">IF($A16="","",COUNTIFS($C$5:$C16,$C16))</f>
        <v>2</v>
      </c>
      <c r="H16" s="14" t="s">
        <v>221</v>
      </c>
      <c r="I16" s="32"/>
    </row>
    <row r="17" customFormat="false" ht="15" hidden="false" customHeight="false" outlineLevel="0" collapsed="false">
      <c r="A17" s="30" t="str">
        <f aca="false">IF($B17="","","SUB-"&amp;TEXT(ROW()-4,"000000"))</f>
        <v>SUB-000013</v>
      </c>
      <c r="B17" s="14" t="s">
        <v>223</v>
      </c>
      <c r="C17" s="35" t="str">
        <f aca="false">IF($B17="","",IFERROR(INDEX(CAT_ID,MATCH($B17,CAT_NOME,0)),"?"))</f>
        <v>CAT-000003</v>
      </c>
      <c r="D17" s="14" t="s">
        <v>250</v>
      </c>
      <c r="E17" s="36" t="n">
        <f aca="false">IF($A17="",0,SUMIFS(L_VDesp,L_SubID,$A17,L_Ano,CFG_ANO,L_Status,"REALIZADO")+SUMIFS(L_VRec,L_SubID,$A17,L_Ano,CFG_ANO,L_Status,"REALIZADO")+SUMIFS(L_VRend,L_SubID,$A17,L_Ano,CFG_ANO,L_Status,"REALIZADO"))</f>
        <v>0</v>
      </c>
      <c r="F17" s="36" t="n">
        <f aca="false">IF($A17="",0,SUMIFS(L_VDesp,L_SubID,$A17,L_Ano,CFG_ANO,L_Status,"PROJETADO")+SUMIFS(L_VRec,L_SubID,$A17,L_Ano,CFG_ANO,L_Status,"PROJETADO")+SUMIFS(L_VRend,L_SubID,$A17,L_Ano,CFG_ANO,L_Status,"PROJETADO"))</f>
        <v>0</v>
      </c>
      <c r="G17" s="34" t="n">
        <f aca="false">IF($A17="","",COUNTIFS($C$5:$C17,$C17))</f>
        <v>3</v>
      </c>
      <c r="H17" s="14" t="s">
        <v>221</v>
      </c>
      <c r="I17" s="32"/>
    </row>
    <row r="18" customFormat="false" ht="15" hidden="false" customHeight="false" outlineLevel="0" collapsed="false">
      <c r="A18" s="30" t="str">
        <f aca="false">IF($B18="","","SUB-"&amp;TEXT(ROW()-4,"000000"))</f>
        <v>SUB-000014</v>
      </c>
      <c r="B18" s="14" t="s">
        <v>223</v>
      </c>
      <c r="C18" s="35" t="str">
        <f aca="false">IF($B18="","",IFERROR(INDEX(CAT_ID,MATCH($B18,CAT_NOME,0)),"?"))</f>
        <v>CAT-000003</v>
      </c>
      <c r="D18" s="14" t="s">
        <v>251</v>
      </c>
      <c r="E18" s="36" t="n">
        <f aca="false">IF($A18="",0,SUMIFS(L_VDesp,L_SubID,$A18,L_Ano,CFG_ANO,L_Status,"REALIZADO")+SUMIFS(L_VRec,L_SubID,$A18,L_Ano,CFG_ANO,L_Status,"REALIZADO")+SUMIFS(L_VRend,L_SubID,$A18,L_Ano,CFG_ANO,L_Status,"REALIZADO"))</f>
        <v>0</v>
      </c>
      <c r="F18" s="36" t="n">
        <f aca="false">IF($A18="",0,SUMIFS(L_VDesp,L_SubID,$A18,L_Ano,CFG_ANO,L_Status,"PROJETADO")+SUMIFS(L_VRec,L_SubID,$A18,L_Ano,CFG_ANO,L_Status,"PROJETADO")+SUMIFS(L_VRend,L_SubID,$A18,L_Ano,CFG_ANO,L_Status,"PROJETADO"))</f>
        <v>0</v>
      </c>
      <c r="G18" s="34" t="n">
        <f aca="false">IF($A18="","",COUNTIFS($C$5:$C18,$C18))</f>
        <v>4</v>
      </c>
      <c r="H18" s="14" t="s">
        <v>221</v>
      </c>
      <c r="I18" s="32"/>
    </row>
    <row r="19" customFormat="false" ht="15" hidden="false" customHeight="false" outlineLevel="0" collapsed="false">
      <c r="A19" s="30" t="str">
        <f aca="false">IF($B19="","","SUB-"&amp;TEXT(ROW()-4,"000000"))</f>
        <v>SUB-000015</v>
      </c>
      <c r="B19" s="14" t="s">
        <v>223</v>
      </c>
      <c r="C19" s="35" t="str">
        <f aca="false">IF($B19="","",IFERROR(INDEX(CAT_ID,MATCH($B19,CAT_NOME,0)),"?"))</f>
        <v>CAT-000003</v>
      </c>
      <c r="D19" s="14" t="s">
        <v>252</v>
      </c>
      <c r="E19" s="36" t="n">
        <f aca="false">IF($A19="",0,SUMIFS(L_VDesp,L_SubID,$A19,L_Ano,CFG_ANO,L_Status,"REALIZADO")+SUMIFS(L_VRec,L_SubID,$A19,L_Ano,CFG_ANO,L_Status,"REALIZADO")+SUMIFS(L_VRend,L_SubID,$A19,L_Ano,CFG_ANO,L_Status,"REALIZADO"))</f>
        <v>0</v>
      </c>
      <c r="F19" s="36" t="n">
        <f aca="false">IF($A19="",0,SUMIFS(L_VDesp,L_SubID,$A19,L_Ano,CFG_ANO,L_Status,"PROJETADO")+SUMIFS(L_VRec,L_SubID,$A19,L_Ano,CFG_ANO,L_Status,"PROJETADO")+SUMIFS(L_VRend,L_SubID,$A19,L_Ano,CFG_ANO,L_Status,"PROJETADO"))</f>
        <v>0</v>
      </c>
      <c r="G19" s="34" t="n">
        <f aca="false">IF($A19="","",COUNTIFS($C$5:$C19,$C19))</f>
        <v>5</v>
      </c>
      <c r="H19" s="14" t="s">
        <v>221</v>
      </c>
      <c r="I19" s="32"/>
    </row>
    <row r="20" customFormat="false" ht="15" hidden="false" customHeight="false" outlineLevel="0" collapsed="false">
      <c r="A20" s="30" t="str">
        <f aca="false">IF($B20="","","SUB-"&amp;TEXT(ROW()-4,"000000"))</f>
        <v>SUB-000016</v>
      </c>
      <c r="B20" s="14" t="s">
        <v>223</v>
      </c>
      <c r="C20" s="35" t="str">
        <f aca="false">IF($B20="","",IFERROR(INDEX(CAT_ID,MATCH($B20,CAT_NOME,0)),"?"))</f>
        <v>CAT-000003</v>
      </c>
      <c r="D20" s="14" t="s">
        <v>253</v>
      </c>
      <c r="E20" s="36" t="n">
        <f aca="false">IF($A20="",0,SUMIFS(L_VDesp,L_SubID,$A20,L_Ano,CFG_ANO,L_Status,"REALIZADO")+SUMIFS(L_VRec,L_SubID,$A20,L_Ano,CFG_ANO,L_Status,"REALIZADO")+SUMIFS(L_VRend,L_SubID,$A20,L_Ano,CFG_ANO,L_Status,"REALIZADO"))</f>
        <v>0</v>
      </c>
      <c r="F20" s="36" t="n">
        <f aca="false">IF($A20="",0,SUMIFS(L_VDesp,L_SubID,$A20,L_Ano,CFG_ANO,L_Status,"PROJETADO")+SUMIFS(L_VRec,L_SubID,$A20,L_Ano,CFG_ANO,L_Status,"PROJETADO")+SUMIFS(L_VRend,L_SubID,$A20,L_Ano,CFG_ANO,L_Status,"PROJETADO"))</f>
        <v>0</v>
      </c>
      <c r="G20" s="34" t="n">
        <f aca="false">IF($A20="","",COUNTIFS($C$5:$C20,$C20))</f>
        <v>6</v>
      </c>
      <c r="H20" s="14" t="s">
        <v>221</v>
      </c>
      <c r="I20" s="32"/>
    </row>
    <row r="21" customFormat="false" ht="15" hidden="false" customHeight="false" outlineLevel="0" collapsed="false">
      <c r="A21" s="30" t="str">
        <f aca="false">IF($B21="","","SUB-"&amp;TEXT(ROW()-4,"000000"))</f>
        <v>SUB-000017</v>
      </c>
      <c r="B21" s="14" t="s">
        <v>224</v>
      </c>
      <c r="C21" s="35" t="str">
        <f aca="false">IF($B21="","",IFERROR(INDEX(CAT_ID,MATCH($B21,CAT_NOME,0)),"?"))</f>
        <v>CAT-000004</v>
      </c>
      <c r="D21" s="14" t="s">
        <v>254</v>
      </c>
      <c r="E21" s="36" t="n">
        <f aca="false">IF($A21="",0,SUMIFS(L_VDesp,L_SubID,$A21,L_Ano,CFG_ANO,L_Status,"REALIZADO")+SUMIFS(L_VRec,L_SubID,$A21,L_Ano,CFG_ANO,L_Status,"REALIZADO")+SUMIFS(L_VRend,L_SubID,$A21,L_Ano,CFG_ANO,L_Status,"REALIZADO"))</f>
        <v>0</v>
      </c>
      <c r="F21" s="36" t="n">
        <f aca="false">IF($A21="",0,SUMIFS(L_VDesp,L_SubID,$A21,L_Ano,CFG_ANO,L_Status,"PROJETADO")+SUMIFS(L_VRec,L_SubID,$A21,L_Ano,CFG_ANO,L_Status,"PROJETADO")+SUMIFS(L_VRend,L_SubID,$A21,L_Ano,CFG_ANO,L_Status,"PROJETADO"))</f>
        <v>0</v>
      </c>
      <c r="G21" s="34" t="n">
        <f aca="false">IF($A21="","",COUNTIFS($C$5:$C21,$C21))</f>
        <v>1</v>
      </c>
      <c r="H21" s="14" t="s">
        <v>221</v>
      </c>
      <c r="I21" s="32"/>
    </row>
    <row r="22" customFormat="false" ht="15" hidden="false" customHeight="false" outlineLevel="0" collapsed="false">
      <c r="A22" s="30" t="str">
        <f aca="false">IF($B22="","","SUB-"&amp;TEXT(ROW()-4,"000000"))</f>
        <v>SUB-000018</v>
      </c>
      <c r="B22" s="14" t="s">
        <v>224</v>
      </c>
      <c r="C22" s="35" t="str">
        <f aca="false">IF($B22="","",IFERROR(INDEX(CAT_ID,MATCH($B22,CAT_NOME,0)),"?"))</f>
        <v>CAT-000004</v>
      </c>
      <c r="D22" s="14" t="s">
        <v>255</v>
      </c>
      <c r="E22" s="36" t="n">
        <f aca="false">IF($A22="",0,SUMIFS(L_VDesp,L_SubID,$A22,L_Ano,CFG_ANO,L_Status,"REALIZADO")+SUMIFS(L_VRec,L_SubID,$A22,L_Ano,CFG_ANO,L_Status,"REALIZADO")+SUMIFS(L_VRend,L_SubID,$A22,L_Ano,CFG_ANO,L_Status,"REALIZADO"))</f>
        <v>0</v>
      </c>
      <c r="F22" s="36" t="n">
        <f aca="false">IF($A22="",0,SUMIFS(L_VDesp,L_SubID,$A22,L_Ano,CFG_ANO,L_Status,"PROJETADO")+SUMIFS(L_VRec,L_SubID,$A22,L_Ano,CFG_ANO,L_Status,"PROJETADO")+SUMIFS(L_VRend,L_SubID,$A22,L_Ano,CFG_ANO,L_Status,"PROJETADO"))</f>
        <v>0</v>
      </c>
      <c r="G22" s="34" t="n">
        <f aca="false">IF($A22="","",COUNTIFS($C$5:$C22,$C22))</f>
        <v>2</v>
      </c>
      <c r="H22" s="14" t="s">
        <v>221</v>
      </c>
      <c r="I22" s="32"/>
    </row>
    <row r="23" customFormat="false" ht="15" hidden="false" customHeight="false" outlineLevel="0" collapsed="false">
      <c r="A23" s="30" t="str">
        <f aca="false">IF($B23="","","SUB-"&amp;TEXT(ROW()-4,"000000"))</f>
        <v>SUB-000019</v>
      </c>
      <c r="B23" s="14" t="s">
        <v>224</v>
      </c>
      <c r="C23" s="35" t="str">
        <f aca="false">IF($B23="","",IFERROR(INDEX(CAT_ID,MATCH($B23,CAT_NOME,0)),"?"))</f>
        <v>CAT-000004</v>
      </c>
      <c r="D23" s="14" t="s">
        <v>256</v>
      </c>
      <c r="E23" s="36" t="n">
        <f aca="false">IF($A23="",0,SUMIFS(L_VDesp,L_SubID,$A23,L_Ano,CFG_ANO,L_Status,"REALIZADO")+SUMIFS(L_VRec,L_SubID,$A23,L_Ano,CFG_ANO,L_Status,"REALIZADO")+SUMIFS(L_VRend,L_SubID,$A23,L_Ano,CFG_ANO,L_Status,"REALIZADO"))</f>
        <v>0</v>
      </c>
      <c r="F23" s="36" t="n">
        <f aca="false">IF($A23="",0,SUMIFS(L_VDesp,L_SubID,$A23,L_Ano,CFG_ANO,L_Status,"PROJETADO")+SUMIFS(L_VRec,L_SubID,$A23,L_Ano,CFG_ANO,L_Status,"PROJETADO")+SUMIFS(L_VRend,L_SubID,$A23,L_Ano,CFG_ANO,L_Status,"PROJETADO"))</f>
        <v>0</v>
      </c>
      <c r="G23" s="34" t="n">
        <f aca="false">IF($A23="","",COUNTIFS($C$5:$C23,$C23))</f>
        <v>3</v>
      </c>
      <c r="H23" s="14" t="s">
        <v>221</v>
      </c>
      <c r="I23" s="32"/>
    </row>
    <row r="24" customFormat="false" ht="15" hidden="false" customHeight="false" outlineLevel="0" collapsed="false">
      <c r="A24" s="30" t="str">
        <f aca="false">IF($B24="","","SUB-"&amp;TEXT(ROW()-4,"000000"))</f>
        <v>SUB-000020</v>
      </c>
      <c r="B24" s="14" t="s">
        <v>224</v>
      </c>
      <c r="C24" s="35" t="str">
        <f aca="false">IF($B24="","",IFERROR(INDEX(CAT_ID,MATCH($B24,CAT_NOME,0)),"?"))</f>
        <v>CAT-000004</v>
      </c>
      <c r="D24" s="14" t="s">
        <v>257</v>
      </c>
      <c r="E24" s="36" t="n">
        <f aca="false">IF($A24="",0,SUMIFS(L_VDesp,L_SubID,$A24,L_Ano,CFG_ANO,L_Status,"REALIZADO")+SUMIFS(L_VRec,L_SubID,$A24,L_Ano,CFG_ANO,L_Status,"REALIZADO")+SUMIFS(L_VRend,L_SubID,$A24,L_Ano,CFG_ANO,L_Status,"REALIZADO"))</f>
        <v>0</v>
      </c>
      <c r="F24" s="36" t="n">
        <f aca="false">IF($A24="",0,SUMIFS(L_VDesp,L_SubID,$A24,L_Ano,CFG_ANO,L_Status,"PROJETADO")+SUMIFS(L_VRec,L_SubID,$A24,L_Ano,CFG_ANO,L_Status,"PROJETADO")+SUMIFS(L_VRend,L_SubID,$A24,L_Ano,CFG_ANO,L_Status,"PROJETADO"))</f>
        <v>0</v>
      </c>
      <c r="G24" s="34" t="n">
        <f aca="false">IF($A24="","",COUNTIFS($C$5:$C24,$C24))</f>
        <v>4</v>
      </c>
      <c r="H24" s="14" t="s">
        <v>221</v>
      </c>
      <c r="I24" s="32"/>
    </row>
    <row r="25" customFormat="false" ht="15" hidden="false" customHeight="false" outlineLevel="0" collapsed="false">
      <c r="A25" s="30" t="str">
        <f aca="false">IF($B25="","","SUB-"&amp;TEXT(ROW()-4,"000000"))</f>
        <v>SUB-000021</v>
      </c>
      <c r="B25" s="14" t="s">
        <v>224</v>
      </c>
      <c r="C25" s="35" t="str">
        <f aca="false">IF($B25="","",IFERROR(INDEX(CAT_ID,MATCH($B25,CAT_NOME,0)),"?"))</f>
        <v>CAT-000004</v>
      </c>
      <c r="D25" s="14" t="s">
        <v>258</v>
      </c>
      <c r="E25" s="36" t="n">
        <f aca="false">IF($A25="",0,SUMIFS(L_VDesp,L_SubID,$A25,L_Ano,CFG_ANO,L_Status,"REALIZADO")+SUMIFS(L_VRec,L_SubID,$A25,L_Ano,CFG_ANO,L_Status,"REALIZADO")+SUMIFS(L_VRend,L_SubID,$A25,L_Ano,CFG_ANO,L_Status,"REALIZADO"))</f>
        <v>0</v>
      </c>
      <c r="F25" s="36" t="n">
        <f aca="false">IF($A25="",0,SUMIFS(L_VDesp,L_SubID,$A25,L_Ano,CFG_ANO,L_Status,"PROJETADO")+SUMIFS(L_VRec,L_SubID,$A25,L_Ano,CFG_ANO,L_Status,"PROJETADO")+SUMIFS(L_VRend,L_SubID,$A25,L_Ano,CFG_ANO,L_Status,"PROJETADO"))</f>
        <v>0</v>
      </c>
      <c r="G25" s="34" t="n">
        <f aca="false">IF($A25="","",COUNTIFS($C$5:$C25,$C25))</f>
        <v>5</v>
      </c>
      <c r="H25" s="14" t="s">
        <v>221</v>
      </c>
      <c r="I25" s="32"/>
    </row>
    <row r="26" customFormat="false" ht="15" hidden="false" customHeight="false" outlineLevel="0" collapsed="false">
      <c r="A26" s="30" t="str">
        <f aca="false">IF($B26="","","SUB-"&amp;TEXT(ROW()-4,"000000"))</f>
        <v>SUB-000022</v>
      </c>
      <c r="B26" s="14" t="s">
        <v>225</v>
      </c>
      <c r="C26" s="35" t="str">
        <f aca="false">IF($B26="","",IFERROR(INDEX(CAT_ID,MATCH($B26,CAT_NOME,0)),"?"))</f>
        <v>CAT-000005</v>
      </c>
      <c r="D26" s="14" t="s">
        <v>259</v>
      </c>
      <c r="E26" s="36" t="n">
        <f aca="false">IF($A26="",0,SUMIFS(L_VDesp,L_SubID,$A26,L_Ano,CFG_ANO,L_Status,"REALIZADO")+SUMIFS(L_VRec,L_SubID,$A26,L_Ano,CFG_ANO,L_Status,"REALIZADO")+SUMIFS(L_VRend,L_SubID,$A26,L_Ano,CFG_ANO,L_Status,"REALIZADO"))</f>
        <v>0</v>
      </c>
      <c r="F26" s="36" t="n">
        <f aca="false">IF($A26="",0,SUMIFS(L_VDesp,L_SubID,$A26,L_Ano,CFG_ANO,L_Status,"PROJETADO")+SUMIFS(L_VRec,L_SubID,$A26,L_Ano,CFG_ANO,L_Status,"PROJETADO")+SUMIFS(L_VRend,L_SubID,$A26,L_Ano,CFG_ANO,L_Status,"PROJETADO"))</f>
        <v>0</v>
      </c>
      <c r="G26" s="34" t="n">
        <f aca="false">IF($A26="","",COUNTIFS($C$5:$C26,$C26))</f>
        <v>1</v>
      </c>
      <c r="H26" s="14" t="s">
        <v>221</v>
      </c>
      <c r="I26" s="32"/>
    </row>
    <row r="27" customFormat="false" ht="15" hidden="false" customHeight="false" outlineLevel="0" collapsed="false">
      <c r="A27" s="30" t="str">
        <f aca="false">IF($B27="","","SUB-"&amp;TEXT(ROW()-4,"000000"))</f>
        <v>SUB-000023</v>
      </c>
      <c r="B27" s="14" t="s">
        <v>225</v>
      </c>
      <c r="C27" s="35" t="str">
        <f aca="false">IF($B27="","",IFERROR(INDEX(CAT_ID,MATCH($B27,CAT_NOME,0)),"?"))</f>
        <v>CAT-000005</v>
      </c>
      <c r="D27" s="14" t="s">
        <v>260</v>
      </c>
      <c r="E27" s="36" t="n">
        <f aca="false">IF($A27="",0,SUMIFS(L_VDesp,L_SubID,$A27,L_Ano,CFG_ANO,L_Status,"REALIZADO")+SUMIFS(L_VRec,L_SubID,$A27,L_Ano,CFG_ANO,L_Status,"REALIZADO")+SUMIFS(L_VRend,L_SubID,$A27,L_Ano,CFG_ANO,L_Status,"REALIZADO"))</f>
        <v>0</v>
      </c>
      <c r="F27" s="36" t="n">
        <f aca="false">IF($A27="",0,SUMIFS(L_VDesp,L_SubID,$A27,L_Ano,CFG_ANO,L_Status,"PROJETADO")+SUMIFS(L_VRec,L_SubID,$A27,L_Ano,CFG_ANO,L_Status,"PROJETADO")+SUMIFS(L_VRend,L_SubID,$A27,L_Ano,CFG_ANO,L_Status,"PROJETADO"))</f>
        <v>0</v>
      </c>
      <c r="G27" s="34" t="n">
        <f aca="false">IF($A27="","",COUNTIFS($C$5:$C27,$C27))</f>
        <v>2</v>
      </c>
      <c r="H27" s="14" t="s">
        <v>221</v>
      </c>
      <c r="I27" s="32"/>
    </row>
    <row r="28" customFormat="false" ht="15" hidden="false" customHeight="false" outlineLevel="0" collapsed="false">
      <c r="A28" s="30" t="str">
        <f aca="false">IF($B28="","","SUB-"&amp;TEXT(ROW()-4,"000000"))</f>
        <v>SUB-000024</v>
      </c>
      <c r="B28" s="14" t="s">
        <v>225</v>
      </c>
      <c r="C28" s="35" t="str">
        <f aca="false">IF($B28="","",IFERROR(INDEX(CAT_ID,MATCH($B28,CAT_NOME,0)),"?"))</f>
        <v>CAT-000005</v>
      </c>
      <c r="D28" s="14" t="s">
        <v>261</v>
      </c>
      <c r="E28" s="36" t="n">
        <f aca="false">IF($A28="",0,SUMIFS(L_VDesp,L_SubID,$A28,L_Ano,CFG_ANO,L_Status,"REALIZADO")+SUMIFS(L_VRec,L_SubID,$A28,L_Ano,CFG_ANO,L_Status,"REALIZADO")+SUMIFS(L_VRend,L_SubID,$A28,L_Ano,CFG_ANO,L_Status,"REALIZADO"))</f>
        <v>0</v>
      </c>
      <c r="F28" s="36" t="n">
        <f aca="false">IF($A28="",0,SUMIFS(L_VDesp,L_SubID,$A28,L_Ano,CFG_ANO,L_Status,"PROJETADO")+SUMIFS(L_VRec,L_SubID,$A28,L_Ano,CFG_ANO,L_Status,"PROJETADO")+SUMIFS(L_VRend,L_SubID,$A28,L_Ano,CFG_ANO,L_Status,"PROJETADO"))</f>
        <v>0</v>
      </c>
      <c r="G28" s="34" t="n">
        <f aca="false">IF($A28="","",COUNTIFS($C$5:$C28,$C28))</f>
        <v>3</v>
      </c>
      <c r="H28" s="14" t="s">
        <v>221</v>
      </c>
      <c r="I28" s="32"/>
    </row>
    <row r="29" customFormat="false" ht="15" hidden="false" customHeight="false" outlineLevel="0" collapsed="false">
      <c r="A29" s="30" t="str">
        <f aca="false">IF($B29="","","SUB-"&amp;TEXT(ROW()-4,"000000"))</f>
        <v>SUB-000025</v>
      </c>
      <c r="B29" s="14" t="s">
        <v>225</v>
      </c>
      <c r="C29" s="35" t="str">
        <f aca="false">IF($B29="","",IFERROR(INDEX(CAT_ID,MATCH($B29,CAT_NOME,0)),"?"))</f>
        <v>CAT-000005</v>
      </c>
      <c r="D29" s="14" t="s">
        <v>262</v>
      </c>
      <c r="E29" s="36" t="n">
        <f aca="false">IF($A29="",0,SUMIFS(L_VDesp,L_SubID,$A29,L_Ano,CFG_ANO,L_Status,"REALIZADO")+SUMIFS(L_VRec,L_SubID,$A29,L_Ano,CFG_ANO,L_Status,"REALIZADO")+SUMIFS(L_VRend,L_SubID,$A29,L_Ano,CFG_ANO,L_Status,"REALIZADO"))</f>
        <v>0</v>
      </c>
      <c r="F29" s="36" t="n">
        <f aca="false">IF($A29="",0,SUMIFS(L_VDesp,L_SubID,$A29,L_Ano,CFG_ANO,L_Status,"PROJETADO")+SUMIFS(L_VRec,L_SubID,$A29,L_Ano,CFG_ANO,L_Status,"PROJETADO")+SUMIFS(L_VRend,L_SubID,$A29,L_Ano,CFG_ANO,L_Status,"PROJETADO"))</f>
        <v>0</v>
      </c>
      <c r="G29" s="34" t="n">
        <f aca="false">IF($A29="","",COUNTIFS($C$5:$C29,$C29))</f>
        <v>4</v>
      </c>
      <c r="H29" s="14" t="s">
        <v>221</v>
      </c>
      <c r="I29" s="32"/>
    </row>
    <row r="30" customFormat="false" ht="15" hidden="false" customHeight="false" outlineLevel="0" collapsed="false">
      <c r="A30" s="30" t="str">
        <f aca="false">IF($B30="","","SUB-"&amp;TEXT(ROW()-4,"000000"))</f>
        <v>SUB-000026</v>
      </c>
      <c r="B30" s="14" t="s">
        <v>226</v>
      </c>
      <c r="C30" s="35" t="str">
        <f aca="false">IF($B30="","",IFERROR(INDEX(CAT_ID,MATCH($B30,CAT_NOME,0)),"?"))</f>
        <v>CAT-000006</v>
      </c>
      <c r="D30" s="14" t="s">
        <v>263</v>
      </c>
      <c r="E30" s="36" t="n">
        <f aca="false">IF($A30="",0,SUMIFS(L_VDesp,L_SubID,$A30,L_Ano,CFG_ANO,L_Status,"REALIZADO")+SUMIFS(L_VRec,L_SubID,$A30,L_Ano,CFG_ANO,L_Status,"REALIZADO")+SUMIFS(L_VRend,L_SubID,$A30,L_Ano,CFG_ANO,L_Status,"REALIZADO"))</f>
        <v>0</v>
      </c>
      <c r="F30" s="36" t="n">
        <f aca="false">IF($A30="",0,SUMIFS(L_VDesp,L_SubID,$A30,L_Ano,CFG_ANO,L_Status,"PROJETADO")+SUMIFS(L_VRec,L_SubID,$A30,L_Ano,CFG_ANO,L_Status,"PROJETADO")+SUMIFS(L_VRend,L_SubID,$A30,L_Ano,CFG_ANO,L_Status,"PROJETADO"))</f>
        <v>0</v>
      </c>
      <c r="G30" s="34" t="n">
        <f aca="false">IF($A30="","",COUNTIFS($C$5:$C30,$C30))</f>
        <v>1</v>
      </c>
      <c r="H30" s="14" t="s">
        <v>221</v>
      </c>
      <c r="I30" s="32"/>
    </row>
    <row r="31" customFormat="false" ht="15" hidden="false" customHeight="false" outlineLevel="0" collapsed="false">
      <c r="A31" s="30" t="str">
        <f aca="false">IF($B31="","","SUB-"&amp;TEXT(ROW()-4,"000000"))</f>
        <v>SUB-000027</v>
      </c>
      <c r="B31" s="14" t="s">
        <v>226</v>
      </c>
      <c r="C31" s="35" t="str">
        <f aca="false">IF($B31="","",IFERROR(INDEX(CAT_ID,MATCH($B31,CAT_NOME,0)),"?"))</f>
        <v>CAT-000006</v>
      </c>
      <c r="D31" s="14" t="s">
        <v>264</v>
      </c>
      <c r="E31" s="36" t="n">
        <f aca="false">IF($A31="",0,SUMIFS(L_VDesp,L_SubID,$A31,L_Ano,CFG_ANO,L_Status,"REALIZADO")+SUMIFS(L_VRec,L_SubID,$A31,L_Ano,CFG_ANO,L_Status,"REALIZADO")+SUMIFS(L_VRend,L_SubID,$A31,L_Ano,CFG_ANO,L_Status,"REALIZADO"))</f>
        <v>0</v>
      </c>
      <c r="F31" s="36" t="n">
        <f aca="false">IF($A31="",0,SUMIFS(L_VDesp,L_SubID,$A31,L_Ano,CFG_ANO,L_Status,"PROJETADO")+SUMIFS(L_VRec,L_SubID,$A31,L_Ano,CFG_ANO,L_Status,"PROJETADO")+SUMIFS(L_VRend,L_SubID,$A31,L_Ano,CFG_ANO,L_Status,"PROJETADO"))</f>
        <v>0</v>
      </c>
      <c r="G31" s="34" t="n">
        <f aca="false">IF($A31="","",COUNTIFS($C$5:$C31,$C31))</f>
        <v>2</v>
      </c>
      <c r="H31" s="14" t="s">
        <v>221</v>
      </c>
      <c r="I31" s="32"/>
    </row>
    <row r="32" customFormat="false" ht="15" hidden="false" customHeight="false" outlineLevel="0" collapsed="false">
      <c r="A32" s="30" t="str">
        <f aca="false">IF($B32="","","SUB-"&amp;TEXT(ROW()-4,"000000"))</f>
        <v>SUB-000028</v>
      </c>
      <c r="B32" s="14" t="s">
        <v>226</v>
      </c>
      <c r="C32" s="35" t="str">
        <f aca="false">IF($B32="","",IFERROR(INDEX(CAT_ID,MATCH($B32,CAT_NOME,0)),"?"))</f>
        <v>CAT-000006</v>
      </c>
      <c r="D32" s="14" t="s">
        <v>265</v>
      </c>
      <c r="E32" s="36" t="n">
        <f aca="false">IF($A32="",0,SUMIFS(L_VDesp,L_SubID,$A32,L_Ano,CFG_ANO,L_Status,"REALIZADO")+SUMIFS(L_VRec,L_SubID,$A32,L_Ano,CFG_ANO,L_Status,"REALIZADO")+SUMIFS(L_VRend,L_SubID,$A32,L_Ano,CFG_ANO,L_Status,"REALIZADO"))</f>
        <v>0</v>
      </c>
      <c r="F32" s="36" t="n">
        <f aca="false">IF($A32="",0,SUMIFS(L_VDesp,L_SubID,$A32,L_Ano,CFG_ANO,L_Status,"PROJETADO")+SUMIFS(L_VRec,L_SubID,$A32,L_Ano,CFG_ANO,L_Status,"PROJETADO")+SUMIFS(L_VRend,L_SubID,$A32,L_Ano,CFG_ANO,L_Status,"PROJETADO"))</f>
        <v>0</v>
      </c>
      <c r="G32" s="34" t="n">
        <f aca="false">IF($A32="","",COUNTIFS($C$5:$C32,$C32))</f>
        <v>3</v>
      </c>
      <c r="H32" s="14" t="s">
        <v>221</v>
      </c>
      <c r="I32" s="32"/>
    </row>
    <row r="33" customFormat="false" ht="15" hidden="false" customHeight="false" outlineLevel="0" collapsed="false">
      <c r="A33" s="30" t="str">
        <f aca="false">IF($B33="","","SUB-"&amp;TEXT(ROW()-4,"000000"))</f>
        <v>SUB-000029</v>
      </c>
      <c r="B33" s="14" t="s">
        <v>226</v>
      </c>
      <c r="C33" s="35" t="str">
        <f aca="false">IF($B33="","",IFERROR(INDEX(CAT_ID,MATCH($B33,CAT_NOME,0)),"?"))</f>
        <v>CAT-000006</v>
      </c>
      <c r="D33" s="14" t="s">
        <v>266</v>
      </c>
      <c r="E33" s="36" t="n">
        <f aca="false">IF($A33="",0,SUMIFS(L_VDesp,L_SubID,$A33,L_Ano,CFG_ANO,L_Status,"REALIZADO")+SUMIFS(L_VRec,L_SubID,$A33,L_Ano,CFG_ANO,L_Status,"REALIZADO")+SUMIFS(L_VRend,L_SubID,$A33,L_Ano,CFG_ANO,L_Status,"REALIZADO"))</f>
        <v>0</v>
      </c>
      <c r="F33" s="36" t="n">
        <f aca="false">IF($A33="",0,SUMIFS(L_VDesp,L_SubID,$A33,L_Ano,CFG_ANO,L_Status,"PROJETADO")+SUMIFS(L_VRec,L_SubID,$A33,L_Ano,CFG_ANO,L_Status,"PROJETADO")+SUMIFS(L_VRend,L_SubID,$A33,L_Ano,CFG_ANO,L_Status,"PROJETADO"))</f>
        <v>0</v>
      </c>
      <c r="G33" s="34" t="n">
        <f aca="false">IF($A33="","",COUNTIFS($C$5:$C33,$C33))</f>
        <v>4</v>
      </c>
      <c r="H33" s="14" t="s">
        <v>221</v>
      </c>
      <c r="I33" s="32"/>
    </row>
    <row r="34" customFormat="false" ht="15" hidden="false" customHeight="false" outlineLevel="0" collapsed="false">
      <c r="A34" s="30" t="str">
        <f aca="false">IF($B34="","","SUB-"&amp;TEXT(ROW()-4,"000000"))</f>
        <v>SUB-000030</v>
      </c>
      <c r="B34" s="14" t="s">
        <v>227</v>
      </c>
      <c r="C34" s="35" t="str">
        <f aca="false">IF($B34="","",IFERROR(INDEX(CAT_ID,MATCH($B34,CAT_NOME,0)),"?"))</f>
        <v>CAT-000007</v>
      </c>
      <c r="D34" s="14" t="s">
        <v>267</v>
      </c>
      <c r="E34" s="36" t="n">
        <f aca="false">IF($A34="",0,SUMIFS(L_VDesp,L_SubID,$A34,L_Ano,CFG_ANO,L_Status,"REALIZADO")+SUMIFS(L_VRec,L_SubID,$A34,L_Ano,CFG_ANO,L_Status,"REALIZADO")+SUMIFS(L_VRend,L_SubID,$A34,L_Ano,CFG_ANO,L_Status,"REALIZADO"))</f>
        <v>0</v>
      </c>
      <c r="F34" s="36" t="n">
        <f aca="false">IF($A34="",0,SUMIFS(L_VDesp,L_SubID,$A34,L_Ano,CFG_ANO,L_Status,"PROJETADO")+SUMIFS(L_VRec,L_SubID,$A34,L_Ano,CFG_ANO,L_Status,"PROJETADO")+SUMIFS(L_VRend,L_SubID,$A34,L_Ano,CFG_ANO,L_Status,"PROJETADO"))</f>
        <v>0</v>
      </c>
      <c r="G34" s="34" t="n">
        <f aca="false">IF($A34="","",COUNTIFS($C$5:$C34,$C34))</f>
        <v>1</v>
      </c>
      <c r="H34" s="14" t="s">
        <v>221</v>
      </c>
      <c r="I34" s="32"/>
    </row>
    <row r="35" customFormat="false" ht="15" hidden="false" customHeight="false" outlineLevel="0" collapsed="false">
      <c r="A35" s="30" t="str">
        <f aca="false">IF($B35="","","SUB-"&amp;TEXT(ROW()-4,"000000"))</f>
        <v>SUB-000031</v>
      </c>
      <c r="B35" s="14" t="s">
        <v>227</v>
      </c>
      <c r="C35" s="35" t="str">
        <f aca="false">IF($B35="","",IFERROR(INDEX(CAT_ID,MATCH($B35,CAT_NOME,0)),"?"))</f>
        <v>CAT-000007</v>
      </c>
      <c r="D35" s="14" t="s">
        <v>268</v>
      </c>
      <c r="E35" s="36" t="n">
        <f aca="false">IF($A35="",0,SUMIFS(L_VDesp,L_SubID,$A35,L_Ano,CFG_ANO,L_Status,"REALIZADO")+SUMIFS(L_VRec,L_SubID,$A35,L_Ano,CFG_ANO,L_Status,"REALIZADO")+SUMIFS(L_VRend,L_SubID,$A35,L_Ano,CFG_ANO,L_Status,"REALIZADO"))</f>
        <v>0</v>
      </c>
      <c r="F35" s="36" t="n">
        <f aca="false">IF($A35="",0,SUMIFS(L_VDesp,L_SubID,$A35,L_Ano,CFG_ANO,L_Status,"PROJETADO")+SUMIFS(L_VRec,L_SubID,$A35,L_Ano,CFG_ANO,L_Status,"PROJETADO")+SUMIFS(L_VRend,L_SubID,$A35,L_Ano,CFG_ANO,L_Status,"PROJETADO"))</f>
        <v>0</v>
      </c>
      <c r="G35" s="34" t="n">
        <f aca="false">IF($A35="","",COUNTIFS($C$5:$C35,$C35))</f>
        <v>2</v>
      </c>
      <c r="H35" s="14" t="s">
        <v>221</v>
      </c>
      <c r="I35" s="32"/>
    </row>
    <row r="36" customFormat="false" ht="15" hidden="false" customHeight="false" outlineLevel="0" collapsed="false">
      <c r="A36" s="30" t="str">
        <f aca="false">IF($B36="","","SUB-"&amp;TEXT(ROW()-4,"000000"))</f>
        <v>SUB-000032</v>
      </c>
      <c r="B36" s="14" t="s">
        <v>227</v>
      </c>
      <c r="C36" s="35" t="str">
        <f aca="false">IF($B36="","",IFERROR(INDEX(CAT_ID,MATCH($B36,CAT_NOME,0)),"?"))</f>
        <v>CAT-000007</v>
      </c>
      <c r="D36" s="14" t="s">
        <v>269</v>
      </c>
      <c r="E36" s="36" t="n">
        <f aca="false">IF($A36="",0,SUMIFS(L_VDesp,L_SubID,$A36,L_Ano,CFG_ANO,L_Status,"REALIZADO")+SUMIFS(L_VRec,L_SubID,$A36,L_Ano,CFG_ANO,L_Status,"REALIZADO")+SUMIFS(L_VRend,L_SubID,$A36,L_Ano,CFG_ANO,L_Status,"REALIZADO"))</f>
        <v>0</v>
      </c>
      <c r="F36" s="36" t="n">
        <f aca="false">IF($A36="",0,SUMIFS(L_VDesp,L_SubID,$A36,L_Ano,CFG_ANO,L_Status,"PROJETADO")+SUMIFS(L_VRec,L_SubID,$A36,L_Ano,CFG_ANO,L_Status,"PROJETADO")+SUMIFS(L_VRend,L_SubID,$A36,L_Ano,CFG_ANO,L_Status,"PROJETADO"))</f>
        <v>0</v>
      </c>
      <c r="G36" s="34" t="n">
        <f aca="false">IF($A36="","",COUNTIFS($C$5:$C36,$C36))</f>
        <v>3</v>
      </c>
      <c r="H36" s="14" t="s">
        <v>221</v>
      </c>
      <c r="I36" s="32"/>
    </row>
    <row r="37" customFormat="false" ht="15" hidden="false" customHeight="false" outlineLevel="0" collapsed="false">
      <c r="A37" s="30" t="str">
        <f aca="false">IF($B37="","","SUB-"&amp;TEXT(ROW()-4,"000000"))</f>
        <v>SUB-000033</v>
      </c>
      <c r="B37" s="14" t="s">
        <v>227</v>
      </c>
      <c r="C37" s="35" t="str">
        <f aca="false">IF($B37="","",IFERROR(INDEX(CAT_ID,MATCH($B37,CAT_NOME,0)),"?"))</f>
        <v>CAT-000007</v>
      </c>
      <c r="D37" s="14" t="s">
        <v>270</v>
      </c>
      <c r="E37" s="36" t="n">
        <f aca="false">IF($A37="",0,SUMIFS(L_VDesp,L_SubID,$A37,L_Ano,CFG_ANO,L_Status,"REALIZADO")+SUMIFS(L_VRec,L_SubID,$A37,L_Ano,CFG_ANO,L_Status,"REALIZADO")+SUMIFS(L_VRend,L_SubID,$A37,L_Ano,CFG_ANO,L_Status,"REALIZADO"))</f>
        <v>0</v>
      </c>
      <c r="F37" s="36" t="n">
        <f aca="false">IF($A37="",0,SUMIFS(L_VDesp,L_SubID,$A37,L_Ano,CFG_ANO,L_Status,"PROJETADO")+SUMIFS(L_VRec,L_SubID,$A37,L_Ano,CFG_ANO,L_Status,"PROJETADO")+SUMIFS(L_VRend,L_SubID,$A37,L_Ano,CFG_ANO,L_Status,"PROJETADO"))</f>
        <v>0</v>
      </c>
      <c r="G37" s="34" t="n">
        <f aca="false">IF($A37="","",COUNTIFS($C$5:$C37,$C37))</f>
        <v>4</v>
      </c>
      <c r="H37" s="14" t="s">
        <v>221</v>
      </c>
      <c r="I37" s="32"/>
    </row>
    <row r="38" customFormat="false" ht="15" hidden="false" customHeight="false" outlineLevel="0" collapsed="false">
      <c r="A38" s="30" t="str">
        <f aca="false">IF($B38="","","SUB-"&amp;TEXT(ROW()-4,"000000"))</f>
        <v>SUB-000034</v>
      </c>
      <c r="B38" s="14" t="s">
        <v>228</v>
      </c>
      <c r="C38" s="35" t="str">
        <f aca="false">IF($B38="","",IFERROR(INDEX(CAT_ID,MATCH($B38,CAT_NOME,0)),"?"))</f>
        <v>CAT-000008</v>
      </c>
      <c r="D38" s="14" t="s">
        <v>271</v>
      </c>
      <c r="E38" s="36" t="n">
        <f aca="false">IF($A38="",0,SUMIFS(L_VDesp,L_SubID,$A38,L_Ano,CFG_ANO,L_Status,"REALIZADO")+SUMIFS(L_VRec,L_SubID,$A38,L_Ano,CFG_ANO,L_Status,"REALIZADO")+SUMIFS(L_VRend,L_SubID,$A38,L_Ano,CFG_ANO,L_Status,"REALIZADO"))</f>
        <v>0</v>
      </c>
      <c r="F38" s="36" t="n">
        <f aca="false">IF($A38="",0,SUMIFS(L_VDesp,L_SubID,$A38,L_Ano,CFG_ANO,L_Status,"PROJETADO")+SUMIFS(L_VRec,L_SubID,$A38,L_Ano,CFG_ANO,L_Status,"PROJETADO")+SUMIFS(L_VRend,L_SubID,$A38,L_Ano,CFG_ANO,L_Status,"PROJETADO"))</f>
        <v>0</v>
      </c>
      <c r="G38" s="34" t="n">
        <f aca="false">IF($A38="","",COUNTIFS($C$5:$C38,$C38))</f>
        <v>1</v>
      </c>
      <c r="H38" s="14" t="s">
        <v>221</v>
      </c>
      <c r="I38" s="32"/>
    </row>
    <row r="39" customFormat="false" ht="15" hidden="false" customHeight="false" outlineLevel="0" collapsed="false">
      <c r="A39" s="30" t="str">
        <f aca="false">IF($B39="","","SUB-"&amp;TEXT(ROW()-4,"000000"))</f>
        <v>SUB-000035</v>
      </c>
      <c r="B39" s="14" t="s">
        <v>228</v>
      </c>
      <c r="C39" s="35" t="str">
        <f aca="false">IF($B39="","",IFERROR(INDEX(CAT_ID,MATCH($B39,CAT_NOME,0)),"?"))</f>
        <v>CAT-000008</v>
      </c>
      <c r="D39" s="14" t="s">
        <v>272</v>
      </c>
      <c r="E39" s="36" t="n">
        <f aca="false">IF($A39="",0,SUMIFS(L_VDesp,L_SubID,$A39,L_Ano,CFG_ANO,L_Status,"REALIZADO")+SUMIFS(L_VRec,L_SubID,$A39,L_Ano,CFG_ANO,L_Status,"REALIZADO")+SUMIFS(L_VRend,L_SubID,$A39,L_Ano,CFG_ANO,L_Status,"REALIZADO"))</f>
        <v>0</v>
      </c>
      <c r="F39" s="36" t="n">
        <f aca="false">IF($A39="",0,SUMIFS(L_VDesp,L_SubID,$A39,L_Ano,CFG_ANO,L_Status,"PROJETADO")+SUMIFS(L_VRec,L_SubID,$A39,L_Ano,CFG_ANO,L_Status,"PROJETADO")+SUMIFS(L_VRend,L_SubID,$A39,L_Ano,CFG_ANO,L_Status,"PROJETADO"))</f>
        <v>0</v>
      </c>
      <c r="G39" s="34" t="n">
        <f aca="false">IF($A39="","",COUNTIFS($C$5:$C39,$C39))</f>
        <v>2</v>
      </c>
      <c r="H39" s="14" t="s">
        <v>221</v>
      </c>
      <c r="I39" s="32"/>
    </row>
    <row r="40" customFormat="false" ht="15" hidden="false" customHeight="false" outlineLevel="0" collapsed="false">
      <c r="A40" s="30" t="str">
        <f aca="false">IF($B40="","","SUB-"&amp;TEXT(ROW()-4,"000000"))</f>
        <v>SUB-000036</v>
      </c>
      <c r="B40" s="14" t="s">
        <v>228</v>
      </c>
      <c r="C40" s="35" t="str">
        <f aca="false">IF($B40="","",IFERROR(INDEX(CAT_ID,MATCH($B40,CAT_NOME,0)),"?"))</f>
        <v>CAT-000008</v>
      </c>
      <c r="D40" s="14" t="s">
        <v>273</v>
      </c>
      <c r="E40" s="36" t="n">
        <f aca="false">IF($A40="",0,SUMIFS(L_VDesp,L_SubID,$A40,L_Ano,CFG_ANO,L_Status,"REALIZADO")+SUMIFS(L_VRec,L_SubID,$A40,L_Ano,CFG_ANO,L_Status,"REALIZADO")+SUMIFS(L_VRend,L_SubID,$A40,L_Ano,CFG_ANO,L_Status,"REALIZADO"))</f>
        <v>0</v>
      </c>
      <c r="F40" s="36" t="n">
        <f aca="false">IF($A40="",0,SUMIFS(L_VDesp,L_SubID,$A40,L_Ano,CFG_ANO,L_Status,"PROJETADO")+SUMIFS(L_VRec,L_SubID,$A40,L_Ano,CFG_ANO,L_Status,"PROJETADO")+SUMIFS(L_VRend,L_SubID,$A40,L_Ano,CFG_ANO,L_Status,"PROJETADO"))</f>
        <v>0</v>
      </c>
      <c r="G40" s="34" t="n">
        <f aca="false">IF($A40="","",COUNTIFS($C$5:$C40,$C40))</f>
        <v>3</v>
      </c>
      <c r="H40" s="14" t="s">
        <v>221</v>
      </c>
      <c r="I40" s="32"/>
    </row>
    <row r="41" customFormat="false" ht="15" hidden="false" customHeight="false" outlineLevel="0" collapsed="false">
      <c r="A41" s="30" t="str">
        <f aca="false">IF($B41="","","SUB-"&amp;TEXT(ROW()-4,"000000"))</f>
        <v>SUB-000037</v>
      </c>
      <c r="B41" s="14" t="s">
        <v>228</v>
      </c>
      <c r="C41" s="35" t="str">
        <f aca="false">IF($B41="","",IFERROR(INDEX(CAT_ID,MATCH($B41,CAT_NOME,0)),"?"))</f>
        <v>CAT-000008</v>
      </c>
      <c r="D41" s="14" t="s">
        <v>274</v>
      </c>
      <c r="E41" s="36" t="n">
        <f aca="false">IF($A41="",0,SUMIFS(L_VDesp,L_SubID,$A41,L_Ano,CFG_ANO,L_Status,"REALIZADO")+SUMIFS(L_VRec,L_SubID,$A41,L_Ano,CFG_ANO,L_Status,"REALIZADO")+SUMIFS(L_VRend,L_SubID,$A41,L_Ano,CFG_ANO,L_Status,"REALIZADO"))</f>
        <v>0</v>
      </c>
      <c r="F41" s="36" t="n">
        <f aca="false">IF($A41="",0,SUMIFS(L_VDesp,L_SubID,$A41,L_Ano,CFG_ANO,L_Status,"PROJETADO")+SUMIFS(L_VRec,L_SubID,$A41,L_Ano,CFG_ANO,L_Status,"PROJETADO")+SUMIFS(L_VRend,L_SubID,$A41,L_Ano,CFG_ANO,L_Status,"PROJETADO"))</f>
        <v>0</v>
      </c>
      <c r="G41" s="34" t="n">
        <f aca="false">IF($A41="","",COUNTIFS($C$5:$C41,$C41))</f>
        <v>4</v>
      </c>
      <c r="H41" s="14" t="s">
        <v>221</v>
      </c>
      <c r="I41" s="32"/>
    </row>
    <row r="42" customFormat="false" ht="15" hidden="false" customHeight="false" outlineLevel="0" collapsed="false">
      <c r="A42" s="30" t="str">
        <f aca="false">IF($B42="","","SUB-"&amp;TEXT(ROW()-4,"000000"))</f>
        <v>SUB-000038</v>
      </c>
      <c r="B42" s="14" t="s">
        <v>229</v>
      </c>
      <c r="C42" s="35" t="str">
        <f aca="false">IF($B42="","",IFERROR(INDEX(CAT_ID,MATCH($B42,CAT_NOME,0)),"?"))</f>
        <v>CAT-000009</v>
      </c>
      <c r="D42" s="14" t="s">
        <v>275</v>
      </c>
      <c r="E42" s="36" t="n">
        <f aca="false">IF($A42="",0,SUMIFS(L_VDesp,L_SubID,$A42,L_Ano,CFG_ANO,L_Status,"REALIZADO")+SUMIFS(L_VRec,L_SubID,$A42,L_Ano,CFG_ANO,L_Status,"REALIZADO")+SUMIFS(L_VRend,L_SubID,$A42,L_Ano,CFG_ANO,L_Status,"REALIZADO"))</f>
        <v>0</v>
      </c>
      <c r="F42" s="36" t="n">
        <f aca="false">IF($A42="",0,SUMIFS(L_VDesp,L_SubID,$A42,L_Ano,CFG_ANO,L_Status,"PROJETADO")+SUMIFS(L_VRec,L_SubID,$A42,L_Ano,CFG_ANO,L_Status,"PROJETADO")+SUMIFS(L_VRend,L_SubID,$A42,L_Ano,CFG_ANO,L_Status,"PROJETADO"))</f>
        <v>0</v>
      </c>
      <c r="G42" s="34" t="n">
        <f aca="false">IF($A42="","",COUNTIFS($C$5:$C42,$C42))</f>
        <v>1</v>
      </c>
      <c r="H42" s="14" t="s">
        <v>221</v>
      </c>
      <c r="I42" s="32"/>
    </row>
    <row r="43" customFormat="false" ht="15" hidden="false" customHeight="false" outlineLevel="0" collapsed="false">
      <c r="A43" s="30" t="str">
        <f aca="false">IF($B43="","","SUB-"&amp;TEXT(ROW()-4,"000000"))</f>
        <v>SUB-000039</v>
      </c>
      <c r="B43" s="14" t="s">
        <v>229</v>
      </c>
      <c r="C43" s="35" t="str">
        <f aca="false">IF($B43="","",IFERROR(INDEX(CAT_ID,MATCH($B43,CAT_NOME,0)),"?"))</f>
        <v>CAT-000009</v>
      </c>
      <c r="D43" s="14" t="s">
        <v>276</v>
      </c>
      <c r="E43" s="36" t="n">
        <f aca="false">IF($A43="",0,SUMIFS(L_VDesp,L_SubID,$A43,L_Ano,CFG_ANO,L_Status,"REALIZADO")+SUMIFS(L_VRec,L_SubID,$A43,L_Ano,CFG_ANO,L_Status,"REALIZADO")+SUMIFS(L_VRend,L_SubID,$A43,L_Ano,CFG_ANO,L_Status,"REALIZADO"))</f>
        <v>0</v>
      </c>
      <c r="F43" s="36" t="n">
        <f aca="false">IF($A43="",0,SUMIFS(L_VDesp,L_SubID,$A43,L_Ano,CFG_ANO,L_Status,"PROJETADO")+SUMIFS(L_VRec,L_SubID,$A43,L_Ano,CFG_ANO,L_Status,"PROJETADO")+SUMIFS(L_VRend,L_SubID,$A43,L_Ano,CFG_ANO,L_Status,"PROJETADO"))</f>
        <v>0</v>
      </c>
      <c r="G43" s="34" t="n">
        <f aca="false">IF($A43="","",COUNTIFS($C$5:$C43,$C43))</f>
        <v>2</v>
      </c>
      <c r="H43" s="14" t="s">
        <v>221</v>
      </c>
      <c r="I43" s="32"/>
    </row>
    <row r="44" customFormat="false" ht="15" hidden="false" customHeight="false" outlineLevel="0" collapsed="false">
      <c r="A44" s="30" t="str">
        <f aca="false">IF($B44="","","SUB-"&amp;TEXT(ROW()-4,"000000"))</f>
        <v>SUB-000040</v>
      </c>
      <c r="B44" s="14" t="s">
        <v>229</v>
      </c>
      <c r="C44" s="35" t="str">
        <f aca="false">IF($B44="","",IFERROR(INDEX(CAT_ID,MATCH($B44,CAT_NOME,0)),"?"))</f>
        <v>CAT-000009</v>
      </c>
      <c r="D44" s="14" t="s">
        <v>277</v>
      </c>
      <c r="E44" s="36" t="n">
        <f aca="false">IF($A44="",0,SUMIFS(L_VDesp,L_SubID,$A44,L_Ano,CFG_ANO,L_Status,"REALIZADO")+SUMIFS(L_VRec,L_SubID,$A44,L_Ano,CFG_ANO,L_Status,"REALIZADO")+SUMIFS(L_VRend,L_SubID,$A44,L_Ano,CFG_ANO,L_Status,"REALIZADO"))</f>
        <v>0</v>
      </c>
      <c r="F44" s="36" t="n">
        <f aca="false">IF($A44="",0,SUMIFS(L_VDesp,L_SubID,$A44,L_Ano,CFG_ANO,L_Status,"PROJETADO")+SUMIFS(L_VRec,L_SubID,$A44,L_Ano,CFG_ANO,L_Status,"PROJETADO")+SUMIFS(L_VRend,L_SubID,$A44,L_Ano,CFG_ANO,L_Status,"PROJETADO"))</f>
        <v>0</v>
      </c>
      <c r="G44" s="34" t="n">
        <f aca="false">IF($A44="","",COUNTIFS($C$5:$C44,$C44))</f>
        <v>3</v>
      </c>
      <c r="H44" s="14" t="s">
        <v>221</v>
      </c>
      <c r="I44" s="32"/>
    </row>
    <row r="45" customFormat="false" ht="15" hidden="false" customHeight="false" outlineLevel="0" collapsed="false">
      <c r="A45" s="30" t="str">
        <f aca="false">IF($B45="","","SUB-"&amp;TEXT(ROW()-4,"000000"))</f>
        <v>SUB-000041</v>
      </c>
      <c r="B45" s="14" t="s">
        <v>231</v>
      </c>
      <c r="C45" s="35" t="str">
        <f aca="false">IF($B45="","",IFERROR(INDEX(CAT_ID,MATCH($B45,CAT_NOME,0)),"?"))</f>
        <v>CAT-000010</v>
      </c>
      <c r="D45" s="14" t="s">
        <v>278</v>
      </c>
      <c r="E45" s="36" t="n">
        <f aca="false">IF($A45="",0,SUMIFS(L_VDesp,L_SubID,$A45,L_Ano,CFG_ANO,L_Status,"REALIZADO")+SUMIFS(L_VRec,L_SubID,$A45,L_Ano,CFG_ANO,L_Status,"REALIZADO")+SUMIFS(L_VRend,L_SubID,$A45,L_Ano,CFG_ANO,L_Status,"REALIZADO"))</f>
        <v>0</v>
      </c>
      <c r="F45" s="36" t="n">
        <f aca="false">IF($A45="",0,SUMIFS(L_VDesp,L_SubID,$A45,L_Ano,CFG_ANO,L_Status,"PROJETADO")+SUMIFS(L_VRec,L_SubID,$A45,L_Ano,CFG_ANO,L_Status,"PROJETADO")+SUMIFS(L_VRend,L_SubID,$A45,L_Ano,CFG_ANO,L_Status,"PROJETADO"))</f>
        <v>0</v>
      </c>
      <c r="G45" s="34" t="n">
        <f aca="false">IF($A45="","",COUNTIFS($C$5:$C45,$C45))</f>
        <v>1</v>
      </c>
      <c r="H45" s="14" t="s">
        <v>221</v>
      </c>
      <c r="I45" s="32"/>
    </row>
    <row r="46" customFormat="false" ht="15" hidden="false" customHeight="false" outlineLevel="0" collapsed="false">
      <c r="A46" s="30" t="str">
        <f aca="false">IF($B46="","","SUB-"&amp;TEXT(ROW()-4,"000000"))</f>
        <v>SUB-000042</v>
      </c>
      <c r="B46" s="14" t="s">
        <v>231</v>
      </c>
      <c r="C46" s="35" t="str">
        <f aca="false">IF($B46="","",IFERROR(INDEX(CAT_ID,MATCH($B46,CAT_NOME,0)),"?"))</f>
        <v>CAT-000010</v>
      </c>
      <c r="D46" s="14" t="s">
        <v>279</v>
      </c>
      <c r="E46" s="36" t="n">
        <f aca="false">IF($A46="",0,SUMIFS(L_VDesp,L_SubID,$A46,L_Ano,CFG_ANO,L_Status,"REALIZADO")+SUMIFS(L_VRec,L_SubID,$A46,L_Ano,CFG_ANO,L_Status,"REALIZADO")+SUMIFS(L_VRend,L_SubID,$A46,L_Ano,CFG_ANO,L_Status,"REALIZADO"))</f>
        <v>0</v>
      </c>
      <c r="F46" s="36" t="n">
        <f aca="false">IF($A46="",0,SUMIFS(L_VDesp,L_SubID,$A46,L_Ano,CFG_ANO,L_Status,"PROJETADO")+SUMIFS(L_VRec,L_SubID,$A46,L_Ano,CFG_ANO,L_Status,"PROJETADO")+SUMIFS(L_VRend,L_SubID,$A46,L_Ano,CFG_ANO,L_Status,"PROJETADO"))</f>
        <v>0</v>
      </c>
      <c r="G46" s="34" t="n">
        <f aca="false">IF($A46="","",COUNTIFS($C$5:$C46,$C46))</f>
        <v>2</v>
      </c>
      <c r="H46" s="14" t="s">
        <v>221</v>
      </c>
      <c r="I46" s="32"/>
    </row>
    <row r="47" customFormat="false" ht="15" hidden="false" customHeight="false" outlineLevel="0" collapsed="false">
      <c r="A47" s="30" t="str">
        <f aca="false">IF($B47="","","SUB-"&amp;TEXT(ROW()-4,"000000"))</f>
        <v>SUB-000043</v>
      </c>
      <c r="B47" s="14" t="s">
        <v>231</v>
      </c>
      <c r="C47" s="35" t="str">
        <f aca="false">IF($B47="","",IFERROR(INDEX(CAT_ID,MATCH($B47,CAT_NOME,0)),"?"))</f>
        <v>CAT-000010</v>
      </c>
      <c r="D47" s="14" t="s">
        <v>280</v>
      </c>
      <c r="E47" s="36" t="n">
        <f aca="false">IF($A47="",0,SUMIFS(L_VDesp,L_SubID,$A47,L_Ano,CFG_ANO,L_Status,"REALIZADO")+SUMIFS(L_VRec,L_SubID,$A47,L_Ano,CFG_ANO,L_Status,"REALIZADO")+SUMIFS(L_VRend,L_SubID,$A47,L_Ano,CFG_ANO,L_Status,"REALIZADO"))</f>
        <v>0</v>
      </c>
      <c r="F47" s="36" t="n">
        <f aca="false">IF($A47="",0,SUMIFS(L_VDesp,L_SubID,$A47,L_Ano,CFG_ANO,L_Status,"PROJETADO")+SUMIFS(L_VRec,L_SubID,$A47,L_Ano,CFG_ANO,L_Status,"PROJETADO")+SUMIFS(L_VRend,L_SubID,$A47,L_Ano,CFG_ANO,L_Status,"PROJETADO"))</f>
        <v>0</v>
      </c>
      <c r="G47" s="34" t="n">
        <f aca="false">IF($A47="","",COUNTIFS($C$5:$C47,$C47))</f>
        <v>3</v>
      </c>
      <c r="H47" s="14" t="s">
        <v>221</v>
      </c>
      <c r="I47" s="32"/>
    </row>
    <row r="48" customFormat="false" ht="15" hidden="false" customHeight="false" outlineLevel="0" collapsed="false">
      <c r="A48" s="30" t="str">
        <f aca="false">IF($B48="","","SUB-"&amp;TEXT(ROW()-4,"000000"))</f>
        <v>SUB-000044</v>
      </c>
      <c r="B48" s="14" t="s">
        <v>231</v>
      </c>
      <c r="C48" s="35" t="str">
        <f aca="false">IF($B48="","",IFERROR(INDEX(CAT_ID,MATCH($B48,CAT_NOME,0)),"?"))</f>
        <v>CAT-000010</v>
      </c>
      <c r="D48" s="14" t="s">
        <v>281</v>
      </c>
      <c r="E48" s="36" t="n">
        <f aca="false">IF($A48="",0,SUMIFS(L_VDesp,L_SubID,$A48,L_Ano,CFG_ANO,L_Status,"REALIZADO")+SUMIFS(L_VRec,L_SubID,$A48,L_Ano,CFG_ANO,L_Status,"REALIZADO")+SUMIFS(L_VRend,L_SubID,$A48,L_Ano,CFG_ANO,L_Status,"REALIZADO"))</f>
        <v>0</v>
      </c>
      <c r="F48" s="36" t="n">
        <f aca="false">IF($A48="",0,SUMIFS(L_VDesp,L_SubID,$A48,L_Ano,CFG_ANO,L_Status,"PROJETADO")+SUMIFS(L_VRec,L_SubID,$A48,L_Ano,CFG_ANO,L_Status,"PROJETADO")+SUMIFS(L_VRend,L_SubID,$A48,L_Ano,CFG_ANO,L_Status,"PROJETADO"))</f>
        <v>0</v>
      </c>
      <c r="G48" s="34" t="n">
        <f aca="false">IF($A48="","",COUNTIFS($C$5:$C48,$C48))</f>
        <v>4</v>
      </c>
      <c r="H48" s="14" t="s">
        <v>221</v>
      </c>
      <c r="I48" s="32"/>
    </row>
    <row r="49" customFormat="false" ht="15" hidden="false" customHeight="false" outlineLevel="0" collapsed="false">
      <c r="A49" s="30" t="str">
        <f aca="false">IF($B49="","","SUB-"&amp;TEXT(ROW()-4,"000000"))</f>
        <v>SUB-000045</v>
      </c>
      <c r="B49" s="14" t="s">
        <v>231</v>
      </c>
      <c r="C49" s="35" t="str">
        <f aca="false">IF($B49="","",IFERROR(INDEX(CAT_ID,MATCH($B49,CAT_NOME,0)),"?"))</f>
        <v>CAT-000010</v>
      </c>
      <c r="D49" s="14" t="s">
        <v>282</v>
      </c>
      <c r="E49" s="36" t="n">
        <f aca="false">IF($A49="",0,SUMIFS(L_VDesp,L_SubID,$A49,L_Ano,CFG_ANO,L_Status,"REALIZADO")+SUMIFS(L_VRec,L_SubID,$A49,L_Ano,CFG_ANO,L_Status,"REALIZADO")+SUMIFS(L_VRend,L_SubID,$A49,L_Ano,CFG_ANO,L_Status,"REALIZADO"))</f>
        <v>0</v>
      </c>
      <c r="F49" s="36" t="n">
        <f aca="false">IF($A49="",0,SUMIFS(L_VDesp,L_SubID,$A49,L_Ano,CFG_ANO,L_Status,"PROJETADO")+SUMIFS(L_VRec,L_SubID,$A49,L_Ano,CFG_ANO,L_Status,"PROJETADO")+SUMIFS(L_VRend,L_SubID,$A49,L_Ano,CFG_ANO,L_Status,"PROJETADO"))</f>
        <v>0</v>
      </c>
      <c r="G49" s="34" t="n">
        <f aca="false">IF($A49="","",COUNTIFS($C$5:$C49,$C49))</f>
        <v>5</v>
      </c>
      <c r="H49" s="14" t="s">
        <v>221</v>
      </c>
      <c r="I49" s="32"/>
    </row>
    <row r="50" customFormat="false" ht="15" hidden="false" customHeight="false" outlineLevel="0" collapsed="false">
      <c r="A50" s="30" t="str">
        <f aca="false">IF($B50="","","SUB-"&amp;TEXT(ROW()-4,"000000"))</f>
        <v>SUB-000046</v>
      </c>
      <c r="B50" s="14" t="s">
        <v>231</v>
      </c>
      <c r="C50" s="35" t="str">
        <f aca="false">IF($B50="","",IFERROR(INDEX(CAT_ID,MATCH($B50,CAT_NOME,0)),"?"))</f>
        <v>CAT-000010</v>
      </c>
      <c r="D50" s="14" t="s">
        <v>283</v>
      </c>
      <c r="E50" s="36" t="n">
        <f aca="false">IF($A50="",0,SUMIFS(L_VDesp,L_SubID,$A50,L_Ano,CFG_ANO,L_Status,"REALIZADO")+SUMIFS(L_VRec,L_SubID,$A50,L_Ano,CFG_ANO,L_Status,"REALIZADO")+SUMIFS(L_VRend,L_SubID,$A50,L_Ano,CFG_ANO,L_Status,"REALIZADO"))</f>
        <v>0</v>
      </c>
      <c r="F50" s="36" t="n">
        <f aca="false">IF($A50="",0,SUMIFS(L_VDesp,L_SubID,$A50,L_Ano,CFG_ANO,L_Status,"PROJETADO")+SUMIFS(L_VRec,L_SubID,$A50,L_Ano,CFG_ANO,L_Status,"PROJETADO")+SUMIFS(L_VRend,L_SubID,$A50,L_Ano,CFG_ANO,L_Status,"PROJETADO"))</f>
        <v>0</v>
      </c>
      <c r="G50" s="34" t="n">
        <f aca="false">IF($A50="","",COUNTIFS($C$5:$C50,$C50))</f>
        <v>6</v>
      </c>
      <c r="H50" s="14" t="s">
        <v>221</v>
      </c>
      <c r="I50" s="32"/>
    </row>
    <row r="51" customFormat="false" ht="15" hidden="false" customHeight="false" outlineLevel="0" collapsed="false">
      <c r="A51" s="30" t="str">
        <f aca="false">IF($B51="","","SUB-"&amp;TEXT(ROW()-4,"000000"))</f>
        <v>SUB-000047</v>
      </c>
      <c r="B51" s="14" t="s">
        <v>233</v>
      </c>
      <c r="C51" s="35" t="str">
        <f aca="false">IF($B51="","",IFERROR(INDEX(CAT_ID,MATCH($B51,CAT_NOME,0)),"?"))</f>
        <v>CAT-000011</v>
      </c>
      <c r="D51" s="14" t="s">
        <v>284</v>
      </c>
      <c r="E51" s="36" t="n">
        <f aca="false">IF($A51="",0,SUMIFS(L_VDesp,L_SubID,$A51,L_Ano,CFG_ANO,L_Status,"REALIZADO")+SUMIFS(L_VRec,L_SubID,$A51,L_Ano,CFG_ANO,L_Status,"REALIZADO")+SUMIFS(L_VRend,L_SubID,$A51,L_Ano,CFG_ANO,L_Status,"REALIZADO"))</f>
        <v>0</v>
      </c>
      <c r="F51" s="36" t="n">
        <f aca="false">IF($A51="",0,SUMIFS(L_VDesp,L_SubID,$A51,L_Ano,CFG_ANO,L_Status,"PROJETADO")+SUMIFS(L_VRec,L_SubID,$A51,L_Ano,CFG_ANO,L_Status,"PROJETADO")+SUMIFS(L_VRend,L_SubID,$A51,L_Ano,CFG_ANO,L_Status,"PROJETADO"))</f>
        <v>0</v>
      </c>
      <c r="G51" s="34" t="n">
        <f aca="false">IF($A51="","",COUNTIFS($C$5:$C51,$C51))</f>
        <v>1</v>
      </c>
      <c r="H51" s="14" t="s">
        <v>221</v>
      </c>
      <c r="I51" s="32"/>
    </row>
    <row r="52" customFormat="false" ht="15" hidden="false" customHeight="false" outlineLevel="0" collapsed="false">
      <c r="A52" s="30" t="str">
        <f aca="false">IF($B52="","","SUB-"&amp;TEXT(ROW()-4,"000000"))</f>
        <v>SUB-000048</v>
      </c>
      <c r="B52" s="14" t="s">
        <v>233</v>
      </c>
      <c r="C52" s="35" t="str">
        <f aca="false">IF($B52="","",IFERROR(INDEX(CAT_ID,MATCH($B52,CAT_NOME,0)),"?"))</f>
        <v>CAT-000011</v>
      </c>
      <c r="D52" s="14" t="s">
        <v>285</v>
      </c>
      <c r="E52" s="36" t="n">
        <f aca="false">IF($A52="",0,SUMIFS(L_VDesp,L_SubID,$A52,L_Ano,CFG_ANO,L_Status,"REALIZADO")+SUMIFS(L_VRec,L_SubID,$A52,L_Ano,CFG_ANO,L_Status,"REALIZADO")+SUMIFS(L_VRend,L_SubID,$A52,L_Ano,CFG_ANO,L_Status,"REALIZADO"))</f>
        <v>0</v>
      </c>
      <c r="F52" s="36" t="n">
        <f aca="false">IF($A52="",0,SUMIFS(L_VDesp,L_SubID,$A52,L_Ano,CFG_ANO,L_Status,"PROJETADO")+SUMIFS(L_VRec,L_SubID,$A52,L_Ano,CFG_ANO,L_Status,"PROJETADO")+SUMIFS(L_VRend,L_SubID,$A52,L_Ano,CFG_ANO,L_Status,"PROJETADO"))</f>
        <v>0</v>
      </c>
      <c r="G52" s="34" t="n">
        <f aca="false">IF($A52="","",COUNTIFS($C$5:$C52,$C52))</f>
        <v>2</v>
      </c>
      <c r="H52" s="14" t="s">
        <v>221</v>
      </c>
      <c r="I52" s="32"/>
    </row>
    <row r="53" customFormat="false" ht="15" hidden="false" customHeight="false" outlineLevel="0" collapsed="false">
      <c r="A53" s="30" t="str">
        <f aca="false">IF($B53="","","SUB-"&amp;TEXT(ROW()-4,"000000"))</f>
        <v>SUB-000049</v>
      </c>
      <c r="B53" s="14" t="s">
        <v>233</v>
      </c>
      <c r="C53" s="35" t="str">
        <f aca="false">IF($B53="","",IFERROR(INDEX(CAT_ID,MATCH($B53,CAT_NOME,0)),"?"))</f>
        <v>CAT-000011</v>
      </c>
      <c r="D53" s="14" t="s">
        <v>286</v>
      </c>
      <c r="E53" s="36" t="n">
        <f aca="false">IF($A53="",0,SUMIFS(L_VDesp,L_SubID,$A53,L_Ano,CFG_ANO,L_Status,"REALIZADO")+SUMIFS(L_VRec,L_SubID,$A53,L_Ano,CFG_ANO,L_Status,"REALIZADO")+SUMIFS(L_VRend,L_SubID,$A53,L_Ano,CFG_ANO,L_Status,"REALIZADO"))</f>
        <v>0</v>
      </c>
      <c r="F53" s="36" t="n">
        <f aca="false">IF($A53="",0,SUMIFS(L_VDesp,L_SubID,$A53,L_Ano,CFG_ANO,L_Status,"PROJETADO")+SUMIFS(L_VRec,L_SubID,$A53,L_Ano,CFG_ANO,L_Status,"PROJETADO")+SUMIFS(L_VRend,L_SubID,$A53,L_Ano,CFG_ANO,L_Status,"PROJETADO"))</f>
        <v>0</v>
      </c>
      <c r="G53" s="34" t="n">
        <f aca="false">IF($A53="","",COUNTIFS($C$5:$C53,$C53))</f>
        <v>3</v>
      </c>
      <c r="H53" s="14" t="s">
        <v>221</v>
      </c>
      <c r="I53" s="32"/>
    </row>
    <row r="54" customFormat="false" ht="15" hidden="false" customHeight="false" outlineLevel="0" collapsed="false">
      <c r="A54" s="30" t="str">
        <f aca="false">IF($B54="","","SUB-"&amp;TEXT(ROW()-4,"000000"))</f>
        <v>SUB-000050</v>
      </c>
      <c r="B54" s="14" t="s">
        <v>233</v>
      </c>
      <c r="C54" s="35" t="str">
        <f aca="false">IF($B54="","",IFERROR(INDEX(CAT_ID,MATCH($B54,CAT_NOME,0)),"?"))</f>
        <v>CAT-000011</v>
      </c>
      <c r="D54" s="14" t="s">
        <v>287</v>
      </c>
      <c r="E54" s="36" t="n">
        <f aca="false">IF($A54="",0,SUMIFS(L_VDesp,L_SubID,$A54,L_Ano,CFG_ANO,L_Status,"REALIZADO")+SUMIFS(L_VRec,L_SubID,$A54,L_Ano,CFG_ANO,L_Status,"REALIZADO")+SUMIFS(L_VRend,L_SubID,$A54,L_Ano,CFG_ANO,L_Status,"REALIZADO"))</f>
        <v>0</v>
      </c>
      <c r="F54" s="36" t="n">
        <f aca="false">IF($A54="",0,SUMIFS(L_VDesp,L_SubID,$A54,L_Ano,CFG_ANO,L_Status,"PROJETADO")+SUMIFS(L_VRec,L_SubID,$A54,L_Ano,CFG_ANO,L_Status,"PROJETADO")+SUMIFS(L_VRend,L_SubID,$A54,L_Ano,CFG_ANO,L_Status,"PROJETADO"))</f>
        <v>0</v>
      </c>
      <c r="G54" s="34" t="n">
        <f aca="false">IF($A54="","",COUNTIFS($C$5:$C54,$C54))</f>
        <v>4</v>
      </c>
      <c r="H54" s="14" t="s">
        <v>221</v>
      </c>
      <c r="I54" s="32"/>
    </row>
    <row r="55" customFormat="false" ht="15" hidden="false" customHeight="false" outlineLevel="0" collapsed="false">
      <c r="A55" s="30" t="str">
        <f aca="false">IF($B55="","","SUB-"&amp;TEXT(ROW()-4,"000000"))</f>
        <v>SUB-000051</v>
      </c>
      <c r="B55" s="14" t="s">
        <v>234</v>
      </c>
      <c r="C55" s="35" t="str">
        <f aca="false">IF($B55="","",IFERROR(INDEX(CAT_ID,MATCH($B55,CAT_NOME,0)),"?"))</f>
        <v>CAT-000012</v>
      </c>
      <c r="D55" s="14" t="s">
        <v>288</v>
      </c>
      <c r="E55" s="36" t="n">
        <f aca="false">IF($A55="",0,SUMIFS(L_VDesp,L_SubID,$A55,L_Ano,CFG_ANO,L_Status,"REALIZADO")+SUMIFS(L_VRec,L_SubID,$A55,L_Ano,CFG_ANO,L_Status,"REALIZADO")+SUMIFS(L_VRend,L_SubID,$A55,L_Ano,CFG_ANO,L_Status,"REALIZADO"))</f>
        <v>0</v>
      </c>
      <c r="F55" s="36" t="n">
        <f aca="false">IF($A55="",0,SUMIFS(L_VDesp,L_SubID,$A55,L_Ano,CFG_ANO,L_Status,"PROJETADO")+SUMIFS(L_VRec,L_SubID,$A55,L_Ano,CFG_ANO,L_Status,"PROJETADO")+SUMIFS(L_VRend,L_SubID,$A55,L_Ano,CFG_ANO,L_Status,"PROJETADO"))</f>
        <v>0</v>
      </c>
      <c r="G55" s="34" t="n">
        <f aca="false">IF($A55="","",COUNTIFS($C$5:$C55,$C55))</f>
        <v>1</v>
      </c>
      <c r="H55" s="14" t="s">
        <v>221</v>
      </c>
      <c r="I55" s="32"/>
    </row>
    <row r="56" customFormat="false" ht="15" hidden="false" customHeight="false" outlineLevel="0" collapsed="false">
      <c r="A56" s="30" t="str">
        <f aca="false">IF($B56="","","SUB-"&amp;TEXT(ROW()-4,"000000"))</f>
        <v>SUB-000052</v>
      </c>
      <c r="B56" s="14" t="s">
        <v>234</v>
      </c>
      <c r="C56" s="35" t="str">
        <f aca="false">IF($B56="","",IFERROR(INDEX(CAT_ID,MATCH($B56,CAT_NOME,0)),"?"))</f>
        <v>CAT-000012</v>
      </c>
      <c r="D56" s="14" t="s">
        <v>289</v>
      </c>
      <c r="E56" s="36" t="n">
        <f aca="false">IF($A56="",0,SUMIFS(L_VDesp,L_SubID,$A56,L_Ano,CFG_ANO,L_Status,"REALIZADO")+SUMIFS(L_VRec,L_SubID,$A56,L_Ano,CFG_ANO,L_Status,"REALIZADO")+SUMIFS(L_VRend,L_SubID,$A56,L_Ano,CFG_ANO,L_Status,"REALIZADO"))</f>
        <v>0</v>
      </c>
      <c r="F56" s="36" t="n">
        <f aca="false">IF($A56="",0,SUMIFS(L_VDesp,L_SubID,$A56,L_Ano,CFG_ANO,L_Status,"PROJETADO")+SUMIFS(L_VRec,L_SubID,$A56,L_Ano,CFG_ANO,L_Status,"PROJETADO")+SUMIFS(L_VRend,L_SubID,$A56,L_Ano,CFG_ANO,L_Status,"PROJETADO"))</f>
        <v>0</v>
      </c>
      <c r="G56" s="34" t="n">
        <f aca="false">IF($A56="","",COUNTIFS($C$5:$C56,$C56))</f>
        <v>2</v>
      </c>
      <c r="H56" s="14" t="s">
        <v>221</v>
      </c>
      <c r="I56" s="32"/>
    </row>
    <row r="57" customFormat="false" ht="15" hidden="false" customHeight="false" outlineLevel="0" collapsed="false">
      <c r="A57" s="30" t="str">
        <f aca="false">IF($B57="","","SUB-"&amp;TEXT(ROW()-4,"000000"))</f>
        <v>SUB-000053</v>
      </c>
      <c r="B57" s="14" t="s">
        <v>235</v>
      </c>
      <c r="C57" s="35" t="str">
        <f aca="false">IF($B57="","",IFERROR(INDEX(CAT_ID,MATCH($B57,CAT_NOME,0)),"?"))</f>
        <v>CAT-000013</v>
      </c>
      <c r="D57" s="14" t="s">
        <v>290</v>
      </c>
      <c r="E57" s="36" t="n">
        <f aca="false">IF($A57="",0,SUMIFS(L_VDesp,L_SubID,$A57,L_Ano,CFG_ANO,L_Status,"REALIZADO")+SUMIFS(L_VRec,L_SubID,$A57,L_Ano,CFG_ANO,L_Status,"REALIZADO")+SUMIFS(L_VRend,L_SubID,$A57,L_Ano,CFG_ANO,L_Status,"REALIZADO"))</f>
        <v>0</v>
      </c>
      <c r="F57" s="36" t="n">
        <f aca="false">IF($A57="",0,SUMIFS(L_VDesp,L_SubID,$A57,L_Ano,CFG_ANO,L_Status,"PROJETADO")+SUMIFS(L_VRec,L_SubID,$A57,L_Ano,CFG_ANO,L_Status,"PROJETADO")+SUMIFS(L_VRend,L_SubID,$A57,L_Ano,CFG_ANO,L_Status,"PROJETADO"))</f>
        <v>0</v>
      </c>
      <c r="G57" s="34" t="n">
        <f aca="false">IF($A57="","",COUNTIFS($C$5:$C57,$C57))</f>
        <v>1</v>
      </c>
      <c r="H57" s="14" t="s">
        <v>221</v>
      </c>
      <c r="I57" s="32"/>
    </row>
    <row r="58" customFormat="false" ht="15" hidden="false" customHeight="false" outlineLevel="0" collapsed="false">
      <c r="A58" s="30" t="str">
        <f aca="false">IF($B58="","","SUB-"&amp;TEXT(ROW()-4,"000000"))</f>
        <v>SUB-000054</v>
      </c>
      <c r="B58" s="14" t="s">
        <v>235</v>
      </c>
      <c r="C58" s="35" t="str">
        <f aca="false">IF($B58="","",IFERROR(INDEX(CAT_ID,MATCH($B58,CAT_NOME,0)),"?"))</f>
        <v>CAT-000013</v>
      </c>
      <c r="D58" s="14" t="s">
        <v>291</v>
      </c>
      <c r="E58" s="36" t="n">
        <f aca="false">IF($A58="",0,SUMIFS(L_VDesp,L_SubID,$A58,L_Ano,CFG_ANO,L_Status,"REALIZADO")+SUMIFS(L_VRec,L_SubID,$A58,L_Ano,CFG_ANO,L_Status,"REALIZADO")+SUMIFS(L_VRend,L_SubID,$A58,L_Ano,CFG_ANO,L_Status,"REALIZADO"))</f>
        <v>0</v>
      </c>
      <c r="F58" s="36" t="n">
        <f aca="false">IF($A58="",0,SUMIFS(L_VDesp,L_SubID,$A58,L_Ano,CFG_ANO,L_Status,"PROJETADO")+SUMIFS(L_VRec,L_SubID,$A58,L_Ano,CFG_ANO,L_Status,"PROJETADO")+SUMIFS(L_VRend,L_SubID,$A58,L_Ano,CFG_ANO,L_Status,"PROJETADO"))</f>
        <v>0</v>
      </c>
      <c r="G58" s="34" t="n">
        <f aca="false">IF($A58="","",COUNTIFS($C$5:$C58,$C58))</f>
        <v>2</v>
      </c>
      <c r="H58" s="14" t="s">
        <v>221</v>
      </c>
      <c r="I58" s="32"/>
    </row>
    <row r="59" customFormat="false" ht="15" hidden="false" customHeight="false" outlineLevel="0" collapsed="false">
      <c r="A59" s="30" t="str">
        <f aca="false">IF($B59="","","SUB-"&amp;TEXT(ROW()-4,"000000"))</f>
        <v/>
      </c>
      <c r="B59" s="32"/>
      <c r="C59" s="35" t="str">
        <f aca="false">IF($B59="","",IFERROR(INDEX(CAT_ID,MATCH($B59,CAT_NOME,0)),"?"))</f>
        <v/>
      </c>
      <c r="D59" s="32"/>
      <c r="E59" s="36" t="n">
        <f aca="false">IF($A59="",0,SUMIFS(L_VDesp,L_SubID,$A59,L_Ano,CFG_ANO,L_Status,"REALIZADO")+SUMIFS(L_VRec,L_SubID,$A59,L_Ano,CFG_ANO,L_Status,"REALIZADO")+SUMIFS(L_VRend,L_SubID,$A59,L_Ano,CFG_ANO,L_Status,"REALIZADO"))</f>
        <v>0</v>
      </c>
      <c r="F59" s="36" t="n">
        <f aca="false">IF($A59="",0,SUMIFS(L_VDesp,L_SubID,$A59,L_Ano,CFG_ANO,L_Status,"PROJETADO")+SUMIFS(L_VRec,L_SubID,$A59,L_Ano,CFG_ANO,L_Status,"PROJETADO")+SUMIFS(L_VRend,L_SubID,$A59,L_Ano,CFG_ANO,L_Status,"PROJETADO"))</f>
        <v>0</v>
      </c>
      <c r="G59" s="34" t="str">
        <f aca="false">IF($A59="","",COUNTIFS($C$5:$C59,$C59))</f>
        <v/>
      </c>
      <c r="H59" s="32"/>
      <c r="I59" s="32"/>
    </row>
    <row r="60" customFormat="false" ht="15" hidden="false" customHeight="false" outlineLevel="0" collapsed="false">
      <c r="A60" s="30" t="str">
        <f aca="false">IF($B60="","","SUB-"&amp;TEXT(ROW()-4,"000000"))</f>
        <v/>
      </c>
      <c r="B60" s="32"/>
      <c r="C60" s="35" t="str">
        <f aca="false">IF($B60="","",IFERROR(INDEX(CAT_ID,MATCH($B60,CAT_NOME,0)),"?"))</f>
        <v/>
      </c>
      <c r="D60" s="32"/>
      <c r="E60" s="36" t="n">
        <f aca="false">IF($A60="",0,SUMIFS(L_VDesp,L_SubID,$A60,L_Ano,CFG_ANO,L_Status,"REALIZADO")+SUMIFS(L_VRec,L_SubID,$A60,L_Ano,CFG_ANO,L_Status,"REALIZADO")+SUMIFS(L_VRend,L_SubID,$A60,L_Ano,CFG_ANO,L_Status,"REALIZADO"))</f>
        <v>0</v>
      </c>
      <c r="F60" s="36" t="n">
        <f aca="false">IF($A60="",0,SUMIFS(L_VDesp,L_SubID,$A60,L_Ano,CFG_ANO,L_Status,"PROJETADO")+SUMIFS(L_VRec,L_SubID,$A60,L_Ano,CFG_ANO,L_Status,"PROJETADO")+SUMIFS(L_VRend,L_SubID,$A60,L_Ano,CFG_ANO,L_Status,"PROJETADO"))</f>
        <v>0</v>
      </c>
      <c r="G60" s="34" t="str">
        <f aca="false">IF($A60="","",COUNTIFS($C$5:$C60,$C60))</f>
        <v/>
      </c>
      <c r="H60" s="32"/>
      <c r="I60" s="32"/>
    </row>
    <row r="61" customFormat="false" ht="15" hidden="false" customHeight="false" outlineLevel="0" collapsed="false">
      <c r="A61" s="30" t="str">
        <f aca="false">IF($B61="","","SUB-"&amp;TEXT(ROW()-4,"000000"))</f>
        <v/>
      </c>
      <c r="B61" s="32"/>
      <c r="C61" s="35" t="str">
        <f aca="false">IF($B61="","",IFERROR(INDEX(CAT_ID,MATCH($B61,CAT_NOME,0)),"?"))</f>
        <v/>
      </c>
      <c r="D61" s="32"/>
      <c r="E61" s="36" t="n">
        <f aca="false">IF($A61="",0,SUMIFS(L_VDesp,L_SubID,$A61,L_Ano,CFG_ANO,L_Status,"REALIZADO")+SUMIFS(L_VRec,L_SubID,$A61,L_Ano,CFG_ANO,L_Status,"REALIZADO")+SUMIFS(L_VRend,L_SubID,$A61,L_Ano,CFG_ANO,L_Status,"REALIZADO"))</f>
        <v>0</v>
      </c>
      <c r="F61" s="36" t="n">
        <f aca="false">IF($A61="",0,SUMIFS(L_VDesp,L_SubID,$A61,L_Ano,CFG_ANO,L_Status,"PROJETADO")+SUMIFS(L_VRec,L_SubID,$A61,L_Ano,CFG_ANO,L_Status,"PROJETADO")+SUMIFS(L_VRend,L_SubID,$A61,L_Ano,CFG_ANO,L_Status,"PROJETADO"))</f>
        <v>0</v>
      </c>
      <c r="G61" s="34" t="str">
        <f aca="false">IF($A61="","",COUNTIFS($C$5:$C61,$C61))</f>
        <v/>
      </c>
      <c r="H61" s="32"/>
      <c r="I61" s="32"/>
    </row>
    <row r="62" customFormat="false" ht="15" hidden="false" customHeight="false" outlineLevel="0" collapsed="false">
      <c r="A62" s="30" t="str">
        <f aca="false">IF($B62="","","SUB-"&amp;TEXT(ROW()-4,"000000"))</f>
        <v/>
      </c>
      <c r="B62" s="32"/>
      <c r="C62" s="35" t="str">
        <f aca="false">IF($B62="","",IFERROR(INDEX(CAT_ID,MATCH($B62,CAT_NOME,0)),"?"))</f>
        <v/>
      </c>
      <c r="D62" s="32"/>
      <c r="E62" s="36" t="n">
        <f aca="false">IF($A62="",0,SUMIFS(L_VDesp,L_SubID,$A62,L_Ano,CFG_ANO,L_Status,"REALIZADO")+SUMIFS(L_VRec,L_SubID,$A62,L_Ano,CFG_ANO,L_Status,"REALIZADO")+SUMIFS(L_VRend,L_SubID,$A62,L_Ano,CFG_ANO,L_Status,"REALIZADO"))</f>
        <v>0</v>
      </c>
      <c r="F62" s="36" t="n">
        <f aca="false">IF($A62="",0,SUMIFS(L_VDesp,L_SubID,$A62,L_Ano,CFG_ANO,L_Status,"PROJETADO")+SUMIFS(L_VRec,L_SubID,$A62,L_Ano,CFG_ANO,L_Status,"PROJETADO")+SUMIFS(L_VRend,L_SubID,$A62,L_Ano,CFG_ANO,L_Status,"PROJETADO"))</f>
        <v>0</v>
      </c>
      <c r="G62" s="34" t="str">
        <f aca="false">IF($A62="","",COUNTIFS($C$5:$C62,$C62))</f>
        <v/>
      </c>
      <c r="H62" s="32"/>
      <c r="I62" s="32"/>
    </row>
    <row r="63" customFormat="false" ht="15" hidden="false" customHeight="false" outlineLevel="0" collapsed="false">
      <c r="A63" s="30" t="str">
        <f aca="false">IF($B63="","","SUB-"&amp;TEXT(ROW()-4,"000000"))</f>
        <v/>
      </c>
      <c r="B63" s="32"/>
      <c r="C63" s="35" t="str">
        <f aca="false">IF($B63="","",IFERROR(INDEX(CAT_ID,MATCH($B63,CAT_NOME,0)),"?"))</f>
        <v/>
      </c>
      <c r="D63" s="32"/>
      <c r="E63" s="36" t="n">
        <f aca="false">IF($A63="",0,SUMIFS(L_VDesp,L_SubID,$A63,L_Ano,CFG_ANO,L_Status,"REALIZADO")+SUMIFS(L_VRec,L_SubID,$A63,L_Ano,CFG_ANO,L_Status,"REALIZADO")+SUMIFS(L_VRend,L_SubID,$A63,L_Ano,CFG_ANO,L_Status,"REALIZADO"))</f>
        <v>0</v>
      </c>
      <c r="F63" s="36" t="n">
        <f aca="false">IF($A63="",0,SUMIFS(L_VDesp,L_SubID,$A63,L_Ano,CFG_ANO,L_Status,"PROJETADO")+SUMIFS(L_VRec,L_SubID,$A63,L_Ano,CFG_ANO,L_Status,"PROJETADO")+SUMIFS(L_VRend,L_SubID,$A63,L_Ano,CFG_ANO,L_Status,"PROJETADO"))</f>
        <v>0</v>
      </c>
      <c r="G63" s="34" t="str">
        <f aca="false">IF($A63="","",COUNTIFS($C$5:$C63,$C63))</f>
        <v/>
      </c>
      <c r="H63" s="32"/>
      <c r="I63" s="32"/>
    </row>
    <row r="64" customFormat="false" ht="15" hidden="false" customHeight="false" outlineLevel="0" collapsed="false">
      <c r="A64" s="30" t="str">
        <f aca="false">IF($B64="","","SUB-"&amp;TEXT(ROW()-4,"000000"))</f>
        <v/>
      </c>
      <c r="B64" s="32"/>
      <c r="C64" s="35" t="str">
        <f aca="false">IF($B64="","",IFERROR(INDEX(CAT_ID,MATCH($B64,CAT_NOME,0)),"?"))</f>
        <v/>
      </c>
      <c r="D64" s="32"/>
      <c r="E64" s="36" t="n">
        <f aca="false">IF($A64="",0,SUMIFS(L_VDesp,L_SubID,$A64,L_Ano,CFG_ANO,L_Status,"REALIZADO")+SUMIFS(L_VRec,L_SubID,$A64,L_Ano,CFG_ANO,L_Status,"REALIZADO")+SUMIFS(L_VRend,L_SubID,$A64,L_Ano,CFG_ANO,L_Status,"REALIZADO"))</f>
        <v>0</v>
      </c>
      <c r="F64" s="36" t="n">
        <f aca="false">IF($A64="",0,SUMIFS(L_VDesp,L_SubID,$A64,L_Ano,CFG_ANO,L_Status,"PROJETADO")+SUMIFS(L_VRec,L_SubID,$A64,L_Ano,CFG_ANO,L_Status,"PROJETADO")+SUMIFS(L_VRend,L_SubID,$A64,L_Ano,CFG_ANO,L_Status,"PROJETADO"))</f>
        <v>0</v>
      </c>
      <c r="G64" s="34" t="str">
        <f aca="false">IF($A64="","",COUNTIFS($C$5:$C64,$C64))</f>
        <v/>
      </c>
      <c r="H64" s="32"/>
      <c r="I64" s="32"/>
    </row>
    <row r="65" customFormat="false" ht="15" hidden="false" customHeight="false" outlineLevel="0" collapsed="false">
      <c r="A65" s="30" t="str">
        <f aca="false">IF($B65="","","SUB-"&amp;TEXT(ROW()-4,"000000"))</f>
        <v/>
      </c>
      <c r="B65" s="32"/>
      <c r="C65" s="35" t="str">
        <f aca="false">IF($B65="","",IFERROR(INDEX(CAT_ID,MATCH($B65,CAT_NOME,0)),"?"))</f>
        <v/>
      </c>
      <c r="D65" s="32"/>
      <c r="E65" s="36" t="n">
        <f aca="false">IF($A65="",0,SUMIFS(L_VDesp,L_SubID,$A65,L_Ano,CFG_ANO,L_Status,"REALIZADO")+SUMIFS(L_VRec,L_SubID,$A65,L_Ano,CFG_ANO,L_Status,"REALIZADO")+SUMIFS(L_VRend,L_SubID,$A65,L_Ano,CFG_ANO,L_Status,"REALIZADO"))</f>
        <v>0</v>
      </c>
      <c r="F65" s="36" t="n">
        <f aca="false">IF($A65="",0,SUMIFS(L_VDesp,L_SubID,$A65,L_Ano,CFG_ANO,L_Status,"PROJETADO")+SUMIFS(L_VRec,L_SubID,$A65,L_Ano,CFG_ANO,L_Status,"PROJETADO")+SUMIFS(L_VRend,L_SubID,$A65,L_Ano,CFG_ANO,L_Status,"PROJETADO"))</f>
        <v>0</v>
      </c>
      <c r="G65" s="34" t="str">
        <f aca="false">IF($A65="","",COUNTIFS($C$5:$C65,$C65))</f>
        <v/>
      </c>
      <c r="H65" s="32"/>
      <c r="I65" s="32"/>
    </row>
    <row r="66" customFormat="false" ht="15" hidden="false" customHeight="false" outlineLevel="0" collapsed="false">
      <c r="A66" s="30" t="str">
        <f aca="false">IF($B66="","","SUB-"&amp;TEXT(ROW()-4,"000000"))</f>
        <v/>
      </c>
      <c r="B66" s="32"/>
      <c r="C66" s="35" t="str">
        <f aca="false">IF($B66="","",IFERROR(INDEX(CAT_ID,MATCH($B66,CAT_NOME,0)),"?"))</f>
        <v/>
      </c>
      <c r="D66" s="32"/>
      <c r="E66" s="36" t="n">
        <f aca="false">IF($A66="",0,SUMIFS(L_VDesp,L_SubID,$A66,L_Ano,CFG_ANO,L_Status,"REALIZADO")+SUMIFS(L_VRec,L_SubID,$A66,L_Ano,CFG_ANO,L_Status,"REALIZADO")+SUMIFS(L_VRend,L_SubID,$A66,L_Ano,CFG_ANO,L_Status,"REALIZADO"))</f>
        <v>0</v>
      </c>
      <c r="F66" s="36" t="n">
        <f aca="false">IF($A66="",0,SUMIFS(L_VDesp,L_SubID,$A66,L_Ano,CFG_ANO,L_Status,"PROJETADO")+SUMIFS(L_VRec,L_SubID,$A66,L_Ano,CFG_ANO,L_Status,"PROJETADO")+SUMIFS(L_VRend,L_SubID,$A66,L_Ano,CFG_ANO,L_Status,"PROJETADO"))</f>
        <v>0</v>
      </c>
      <c r="G66" s="34" t="str">
        <f aca="false">IF($A66="","",COUNTIFS($C$5:$C66,$C66))</f>
        <v/>
      </c>
      <c r="H66" s="32"/>
      <c r="I66" s="32"/>
    </row>
    <row r="67" customFormat="false" ht="15" hidden="false" customHeight="false" outlineLevel="0" collapsed="false">
      <c r="A67" s="30" t="str">
        <f aca="false">IF($B67="","","SUB-"&amp;TEXT(ROW()-4,"000000"))</f>
        <v/>
      </c>
      <c r="B67" s="32"/>
      <c r="C67" s="35" t="str">
        <f aca="false">IF($B67="","",IFERROR(INDEX(CAT_ID,MATCH($B67,CAT_NOME,0)),"?"))</f>
        <v/>
      </c>
      <c r="D67" s="32"/>
      <c r="E67" s="36" t="n">
        <f aca="false">IF($A67="",0,SUMIFS(L_VDesp,L_SubID,$A67,L_Ano,CFG_ANO,L_Status,"REALIZADO")+SUMIFS(L_VRec,L_SubID,$A67,L_Ano,CFG_ANO,L_Status,"REALIZADO")+SUMIFS(L_VRend,L_SubID,$A67,L_Ano,CFG_ANO,L_Status,"REALIZADO"))</f>
        <v>0</v>
      </c>
      <c r="F67" s="36" t="n">
        <f aca="false">IF($A67="",0,SUMIFS(L_VDesp,L_SubID,$A67,L_Ano,CFG_ANO,L_Status,"PROJETADO")+SUMIFS(L_VRec,L_SubID,$A67,L_Ano,CFG_ANO,L_Status,"PROJETADO")+SUMIFS(L_VRend,L_SubID,$A67,L_Ano,CFG_ANO,L_Status,"PROJETADO"))</f>
        <v>0</v>
      </c>
      <c r="G67" s="34" t="str">
        <f aca="false">IF($A67="","",COUNTIFS($C$5:$C67,$C67))</f>
        <v/>
      </c>
      <c r="H67" s="32"/>
      <c r="I67" s="32"/>
    </row>
    <row r="68" customFormat="false" ht="15" hidden="false" customHeight="false" outlineLevel="0" collapsed="false">
      <c r="A68" s="30" t="str">
        <f aca="false">IF($B68="","","SUB-"&amp;TEXT(ROW()-4,"000000"))</f>
        <v/>
      </c>
      <c r="B68" s="32"/>
      <c r="C68" s="35" t="str">
        <f aca="false">IF($B68="","",IFERROR(INDEX(CAT_ID,MATCH($B68,CAT_NOME,0)),"?"))</f>
        <v/>
      </c>
      <c r="D68" s="32"/>
      <c r="E68" s="36" t="n">
        <f aca="false">IF($A68="",0,SUMIFS(L_VDesp,L_SubID,$A68,L_Ano,CFG_ANO,L_Status,"REALIZADO")+SUMIFS(L_VRec,L_SubID,$A68,L_Ano,CFG_ANO,L_Status,"REALIZADO")+SUMIFS(L_VRend,L_SubID,$A68,L_Ano,CFG_ANO,L_Status,"REALIZADO"))</f>
        <v>0</v>
      </c>
      <c r="F68" s="36" t="n">
        <f aca="false">IF($A68="",0,SUMIFS(L_VDesp,L_SubID,$A68,L_Ano,CFG_ANO,L_Status,"PROJETADO")+SUMIFS(L_VRec,L_SubID,$A68,L_Ano,CFG_ANO,L_Status,"PROJETADO")+SUMIFS(L_VRend,L_SubID,$A68,L_Ano,CFG_ANO,L_Status,"PROJETADO"))</f>
        <v>0</v>
      </c>
      <c r="G68" s="34" t="str">
        <f aca="false">IF($A68="","",COUNTIFS($C$5:$C68,$C68))</f>
        <v/>
      </c>
      <c r="H68" s="32"/>
      <c r="I68" s="32"/>
    </row>
    <row r="69" customFormat="false" ht="15" hidden="false" customHeight="false" outlineLevel="0" collapsed="false">
      <c r="A69" s="30" t="str">
        <f aca="false">IF($B69="","","SUB-"&amp;TEXT(ROW()-4,"000000"))</f>
        <v/>
      </c>
      <c r="B69" s="32"/>
      <c r="C69" s="35" t="str">
        <f aca="false">IF($B69="","",IFERROR(INDEX(CAT_ID,MATCH($B69,CAT_NOME,0)),"?"))</f>
        <v/>
      </c>
      <c r="D69" s="32"/>
      <c r="E69" s="36" t="n">
        <f aca="false">IF($A69="",0,SUMIFS(L_VDesp,L_SubID,$A69,L_Ano,CFG_ANO,L_Status,"REALIZADO")+SUMIFS(L_VRec,L_SubID,$A69,L_Ano,CFG_ANO,L_Status,"REALIZADO")+SUMIFS(L_VRend,L_SubID,$A69,L_Ano,CFG_ANO,L_Status,"REALIZADO"))</f>
        <v>0</v>
      </c>
      <c r="F69" s="36" t="n">
        <f aca="false">IF($A69="",0,SUMIFS(L_VDesp,L_SubID,$A69,L_Ano,CFG_ANO,L_Status,"PROJETADO")+SUMIFS(L_VRec,L_SubID,$A69,L_Ano,CFG_ANO,L_Status,"PROJETADO")+SUMIFS(L_VRend,L_SubID,$A69,L_Ano,CFG_ANO,L_Status,"PROJETADO"))</f>
        <v>0</v>
      </c>
      <c r="G69" s="34" t="str">
        <f aca="false">IF($A69="","",COUNTIFS($C$5:$C69,$C69))</f>
        <v/>
      </c>
      <c r="H69" s="32"/>
      <c r="I69" s="32"/>
    </row>
    <row r="70" customFormat="false" ht="15" hidden="false" customHeight="false" outlineLevel="0" collapsed="false">
      <c r="A70" s="30" t="str">
        <f aca="false">IF($B70="","","SUB-"&amp;TEXT(ROW()-4,"000000"))</f>
        <v/>
      </c>
      <c r="B70" s="32"/>
      <c r="C70" s="35" t="str">
        <f aca="false">IF($B70="","",IFERROR(INDEX(CAT_ID,MATCH($B70,CAT_NOME,0)),"?"))</f>
        <v/>
      </c>
      <c r="D70" s="32"/>
      <c r="E70" s="36" t="n">
        <f aca="false">IF($A70="",0,SUMIFS(L_VDesp,L_SubID,$A70,L_Ano,CFG_ANO,L_Status,"REALIZADO")+SUMIFS(L_VRec,L_SubID,$A70,L_Ano,CFG_ANO,L_Status,"REALIZADO")+SUMIFS(L_VRend,L_SubID,$A70,L_Ano,CFG_ANO,L_Status,"REALIZADO"))</f>
        <v>0</v>
      </c>
      <c r="F70" s="36" t="n">
        <f aca="false">IF($A70="",0,SUMIFS(L_VDesp,L_SubID,$A70,L_Ano,CFG_ANO,L_Status,"PROJETADO")+SUMIFS(L_VRec,L_SubID,$A70,L_Ano,CFG_ANO,L_Status,"PROJETADO")+SUMIFS(L_VRend,L_SubID,$A70,L_Ano,CFG_ANO,L_Status,"PROJETADO"))</f>
        <v>0</v>
      </c>
      <c r="G70" s="34" t="str">
        <f aca="false">IF($A70="","",COUNTIFS($C$5:$C70,$C70))</f>
        <v/>
      </c>
      <c r="H70" s="32"/>
      <c r="I70" s="32"/>
    </row>
    <row r="71" customFormat="false" ht="15" hidden="false" customHeight="false" outlineLevel="0" collapsed="false">
      <c r="A71" s="30" t="str">
        <f aca="false">IF($B71="","","SUB-"&amp;TEXT(ROW()-4,"000000"))</f>
        <v/>
      </c>
      <c r="B71" s="32"/>
      <c r="C71" s="35" t="str">
        <f aca="false">IF($B71="","",IFERROR(INDEX(CAT_ID,MATCH($B71,CAT_NOME,0)),"?"))</f>
        <v/>
      </c>
      <c r="D71" s="32"/>
      <c r="E71" s="36" t="n">
        <f aca="false">IF($A71="",0,SUMIFS(L_VDesp,L_SubID,$A71,L_Ano,CFG_ANO,L_Status,"REALIZADO")+SUMIFS(L_VRec,L_SubID,$A71,L_Ano,CFG_ANO,L_Status,"REALIZADO")+SUMIFS(L_VRend,L_SubID,$A71,L_Ano,CFG_ANO,L_Status,"REALIZADO"))</f>
        <v>0</v>
      </c>
      <c r="F71" s="36" t="n">
        <f aca="false">IF($A71="",0,SUMIFS(L_VDesp,L_SubID,$A71,L_Ano,CFG_ANO,L_Status,"PROJETADO")+SUMIFS(L_VRec,L_SubID,$A71,L_Ano,CFG_ANO,L_Status,"PROJETADO")+SUMIFS(L_VRend,L_SubID,$A71,L_Ano,CFG_ANO,L_Status,"PROJETADO"))</f>
        <v>0</v>
      </c>
      <c r="G71" s="34" t="str">
        <f aca="false">IF($A71="","",COUNTIFS($C$5:$C71,$C71))</f>
        <v/>
      </c>
      <c r="H71" s="32"/>
      <c r="I71" s="32"/>
    </row>
    <row r="72" customFormat="false" ht="15" hidden="false" customHeight="false" outlineLevel="0" collapsed="false">
      <c r="A72" s="30" t="str">
        <f aca="false">IF($B72="","","SUB-"&amp;TEXT(ROW()-4,"000000"))</f>
        <v/>
      </c>
      <c r="B72" s="32"/>
      <c r="C72" s="35" t="str">
        <f aca="false">IF($B72="","",IFERROR(INDEX(CAT_ID,MATCH($B72,CAT_NOME,0)),"?"))</f>
        <v/>
      </c>
      <c r="D72" s="32"/>
      <c r="E72" s="36" t="n">
        <f aca="false">IF($A72="",0,SUMIFS(L_VDesp,L_SubID,$A72,L_Ano,CFG_ANO,L_Status,"REALIZADO")+SUMIFS(L_VRec,L_SubID,$A72,L_Ano,CFG_ANO,L_Status,"REALIZADO")+SUMIFS(L_VRend,L_SubID,$A72,L_Ano,CFG_ANO,L_Status,"REALIZADO"))</f>
        <v>0</v>
      </c>
      <c r="F72" s="36" t="n">
        <f aca="false">IF($A72="",0,SUMIFS(L_VDesp,L_SubID,$A72,L_Ano,CFG_ANO,L_Status,"PROJETADO")+SUMIFS(L_VRec,L_SubID,$A72,L_Ano,CFG_ANO,L_Status,"PROJETADO")+SUMIFS(L_VRend,L_SubID,$A72,L_Ano,CFG_ANO,L_Status,"PROJETADO"))</f>
        <v>0</v>
      </c>
      <c r="G72" s="34" t="str">
        <f aca="false">IF($A72="","",COUNTIFS($C$5:$C72,$C72))</f>
        <v/>
      </c>
      <c r="H72" s="32"/>
      <c r="I72" s="32"/>
    </row>
    <row r="73" customFormat="false" ht="15" hidden="false" customHeight="false" outlineLevel="0" collapsed="false">
      <c r="A73" s="30" t="str">
        <f aca="false">IF($B73="","","SUB-"&amp;TEXT(ROW()-4,"000000"))</f>
        <v/>
      </c>
      <c r="B73" s="32"/>
      <c r="C73" s="35" t="str">
        <f aca="false">IF($B73="","",IFERROR(INDEX(CAT_ID,MATCH($B73,CAT_NOME,0)),"?"))</f>
        <v/>
      </c>
      <c r="D73" s="32"/>
      <c r="E73" s="36" t="n">
        <f aca="false">IF($A73="",0,SUMIFS(L_VDesp,L_SubID,$A73,L_Ano,CFG_ANO,L_Status,"REALIZADO")+SUMIFS(L_VRec,L_SubID,$A73,L_Ano,CFG_ANO,L_Status,"REALIZADO")+SUMIFS(L_VRend,L_SubID,$A73,L_Ano,CFG_ANO,L_Status,"REALIZADO"))</f>
        <v>0</v>
      </c>
      <c r="F73" s="36" t="n">
        <f aca="false">IF($A73="",0,SUMIFS(L_VDesp,L_SubID,$A73,L_Ano,CFG_ANO,L_Status,"PROJETADO")+SUMIFS(L_VRec,L_SubID,$A73,L_Ano,CFG_ANO,L_Status,"PROJETADO")+SUMIFS(L_VRend,L_SubID,$A73,L_Ano,CFG_ANO,L_Status,"PROJETADO"))</f>
        <v>0</v>
      </c>
      <c r="G73" s="34" t="str">
        <f aca="false">IF($A73="","",COUNTIFS($C$5:$C73,$C73))</f>
        <v/>
      </c>
      <c r="H73" s="32"/>
      <c r="I73" s="32"/>
    </row>
    <row r="74" customFormat="false" ht="15" hidden="false" customHeight="false" outlineLevel="0" collapsed="false">
      <c r="A74" s="30" t="str">
        <f aca="false">IF($B74="","","SUB-"&amp;TEXT(ROW()-4,"000000"))</f>
        <v/>
      </c>
      <c r="B74" s="32"/>
      <c r="C74" s="35" t="str">
        <f aca="false">IF($B74="","",IFERROR(INDEX(CAT_ID,MATCH($B74,CAT_NOME,0)),"?"))</f>
        <v/>
      </c>
      <c r="D74" s="32"/>
      <c r="E74" s="36" t="n">
        <f aca="false">IF($A74="",0,SUMIFS(L_VDesp,L_SubID,$A74,L_Ano,CFG_ANO,L_Status,"REALIZADO")+SUMIFS(L_VRec,L_SubID,$A74,L_Ano,CFG_ANO,L_Status,"REALIZADO")+SUMIFS(L_VRend,L_SubID,$A74,L_Ano,CFG_ANO,L_Status,"REALIZADO"))</f>
        <v>0</v>
      </c>
      <c r="F74" s="36" t="n">
        <f aca="false">IF($A74="",0,SUMIFS(L_VDesp,L_SubID,$A74,L_Ano,CFG_ANO,L_Status,"PROJETADO")+SUMIFS(L_VRec,L_SubID,$A74,L_Ano,CFG_ANO,L_Status,"PROJETADO")+SUMIFS(L_VRend,L_SubID,$A74,L_Ano,CFG_ANO,L_Status,"PROJETADO"))</f>
        <v>0</v>
      </c>
      <c r="G74" s="34" t="str">
        <f aca="false">IF($A74="","",COUNTIFS($C$5:$C74,$C74))</f>
        <v/>
      </c>
      <c r="H74" s="32"/>
      <c r="I74" s="32"/>
    </row>
    <row r="75" customFormat="false" ht="15" hidden="false" customHeight="false" outlineLevel="0" collapsed="false">
      <c r="A75" s="30" t="str">
        <f aca="false">IF($B75="","","SUB-"&amp;TEXT(ROW()-4,"000000"))</f>
        <v/>
      </c>
      <c r="B75" s="32"/>
      <c r="C75" s="35" t="str">
        <f aca="false">IF($B75="","",IFERROR(INDEX(CAT_ID,MATCH($B75,CAT_NOME,0)),"?"))</f>
        <v/>
      </c>
      <c r="D75" s="32"/>
      <c r="E75" s="36" t="n">
        <f aca="false">IF($A75="",0,SUMIFS(L_VDesp,L_SubID,$A75,L_Ano,CFG_ANO,L_Status,"REALIZADO")+SUMIFS(L_VRec,L_SubID,$A75,L_Ano,CFG_ANO,L_Status,"REALIZADO")+SUMIFS(L_VRend,L_SubID,$A75,L_Ano,CFG_ANO,L_Status,"REALIZADO"))</f>
        <v>0</v>
      </c>
      <c r="F75" s="36" t="n">
        <f aca="false">IF($A75="",0,SUMIFS(L_VDesp,L_SubID,$A75,L_Ano,CFG_ANO,L_Status,"PROJETADO")+SUMIFS(L_VRec,L_SubID,$A75,L_Ano,CFG_ANO,L_Status,"PROJETADO")+SUMIFS(L_VRend,L_SubID,$A75,L_Ano,CFG_ANO,L_Status,"PROJETADO"))</f>
        <v>0</v>
      </c>
      <c r="G75" s="34" t="str">
        <f aca="false">IF($A75="","",COUNTIFS($C$5:$C75,$C75))</f>
        <v/>
      </c>
      <c r="H75" s="32"/>
      <c r="I75" s="32"/>
    </row>
    <row r="76" customFormat="false" ht="15" hidden="false" customHeight="false" outlineLevel="0" collapsed="false">
      <c r="A76" s="30" t="str">
        <f aca="false">IF($B76="","","SUB-"&amp;TEXT(ROW()-4,"000000"))</f>
        <v/>
      </c>
      <c r="B76" s="32"/>
      <c r="C76" s="35" t="str">
        <f aca="false">IF($B76="","",IFERROR(INDEX(CAT_ID,MATCH($B76,CAT_NOME,0)),"?"))</f>
        <v/>
      </c>
      <c r="D76" s="32"/>
      <c r="E76" s="36" t="n">
        <f aca="false">IF($A76="",0,SUMIFS(L_VDesp,L_SubID,$A76,L_Ano,CFG_ANO,L_Status,"REALIZADO")+SUMIFS(L_VRec,L_SubID,$A76,L_Ano,CFG_ANO,L_Status,"REALIZADO")+SUMIFS(L_VRend,L_SubID,$A76,L_Ano,CFG_ANO,L_Status,"REALIZADO"))</f>
        <v>0</v>
      </c>
      <c r="F76" s="36" t="n">
        <f aca="false">IF($A76="",0,SUMIFS(L_VDesp,L_SubID,$A76,L_Ano,CFG_ANO,L_Status,"PROJETADO")+SUMIFS(L_VRec,L_SubID,$A76,L_Ano,CFG_ANO,L_Status,"PROJETADO")+SUMIFS(L_VRend,L_SubID,$A76,L_Ano,CFG_ANO,L_Status,"PROJETADO"))</f>
        <v>0</v>
      </c>
      <c r="G76" s="34" t="str">
        <f aca="false">IF($A76="","",COUNTIFS($C$5:$C76,$C76))</f>
        <v/>
      </c>
      <c r="H76" s="32"/>
      <c r="I76" s="32"/>
    </row>
    <row r="77" customFormat="false" ht="15" hidden="false" customHeight="false" outlineLevel="0" collapsed="false">
      <c r="A77" s="30" t="str">
        <f aca="false">IF($B77="","","SUB-"&amp;TEXT(ROW()-4,"000000"))</f>
        <v/>
      </c>
      <c r="B77" s="32"/>
      <c r="C77" s="35" t="str">
        <f aca="false">IF($B77="","",IFERROR(INDEX(CAT_ID,MATCH($B77,CAT_NOME,0)),"?"))</f>
        <v/>
      </c>
      <c r="D77" s="32"/>
      <c r="E77" s="36" t="n">
        <f aca="false">IF($A77="",0,SUMIFS(L_VDesp,L_SubID,$A77,L_Ano,CFG_ANO,L_Status,"REALIZADO")+SUMIFS(L_VRec,L_SubID,$A77,L_Ano,CFG_ANO,L_Status,"REALIZADO")+SUMIFS(L_VRend,L_SubID,$A77,L_Ano,CFG_ANO,L_Status,"REALIZADO"))</f>
        <v>0</v>
      </c>
      <c r="F77" s="36" t="n">
        <f aca="false">IF($A77="",0,SUMIFS(L_VDesp,L_SubID,$A77,L_Ano,CFG_ANO,L_Status,"PROJETADO")+SUMIFS(L_VRec,L_SubID,$A77,L_Ano,CFG_ANO,L_Status,"PROJETADO")+SUMIFS(L_VRend,L_SubID,$A77,L_Ano,CFG_ANO,L_Status,"PROJETADO"))</f>
        <v>0</v>
      </c>
      <c r="G77" s="34" t="str">
        <f aca="false">IF($A77="","",COUNTIFS($C$5:$C77,$C77))</f>
        <v/>
      </c>
      <c r="H77" s="32"/>
      <c r="I77" s="32"/>
    </row>
    <row r="78" customFormat="false" ht="15" hidden="false" customHeight="false" outlineLevel="0" collapsed="false">
      <c r="A78" s="30" t="str">
        <f aca="false">IF($B78="","","SUB-"&amp;TEXT(ROW()-4,"000000"))</f>
        <v/>
      </c>
      <c r="B78" s="32"/>
      <c r="C78" s="35" t="str">
        <f aca="false">IF($B78="","",IFERROR(INDEX(CAT_ID,MATCH($B78,CAT_NOME,0)),"?"))</f>
        <v/>
      </c>
      <c r="D78" s="32"/>
      <c r="E78" s="36" t="n">
        <f aca="false">IF($A78="",0,SUMIFS(L_VDesp,L_SubID,$A78,L_Ano,CFG_ANO,L_Status,"REALIZADO")+SUMIFS(L_VRec,L_SubID,$A78,L_Ano,CFG_ANO,L_Status,"REALIZADO")+SUMIFS(L_VRend,L_SubID,$A78,L_Ano,CFG_ANO,L_Status,"REALIZADO"))</f>
        <v>0</v>
      </c>
      <c r="F78" s="36" t="n">
        <f aca="false">IF($A78="",0,SUMIFS(L_VDesp,L_SubID,$A78,L_Ano,CFG_ANO,L_Status,"PROJETADO")+SUMIFS(L_VRec,L_SubID,$A78,L_Ano,CFG_ANO,L_Status,"PROJETADO")+SUMIFS(L_VRend,L_SubID,$A78,L_Ano,CFG_ANO,L_Status,"PROJETADO"))</f>
        <v>0</v>
      </c>
      <c r="G78" s="34" t="str">
        <f aca="false">IF($A78="","",COUNTIFS($C$5:$C78,$C78))</f>
        <v/>
      </c>
      <c r="H78" s="32"/>
      <c r="I78" s="32"/>
    </row>
    <row r="79" customFormat="false" ht="15" hidden="false" customHeight="false" outlineLevel="0" collapsed="false">
      <c r="A79" s="30" t="str">
        <f aca="false">IF($B79="","","SUB-"&amp;TEXT(ROW()-4,"000000"))</f>
        <v/>
      </c>
      <c r="B79" s="32"/>
      <c r="C79" s="35" t="str">
        <f aca="false">IF($B79="","",IFERROR(INDEX(CAT_ID,MATCH($B79,CAT_NOME,0)),"?"))</f>
        <v/>
      </c>
      <c r="D79" s="32"/>
      <c r="E79" s="36" t="n">
        <f aca="false">IF($A79="",0,SUMIFS(L_VDesp,L_SubID,$A79,L_Ano,CFG_ANO,L_Status,"REALIZADO")+SUMIFS(L_VRec,L_SubID,$A79,L_Ano,CFG_ANO,L_Status,"REALIZADO")+SUMIFS(L_VRend,L_SubID,$A79,L_Ano,CFG_ANO,L_Status,"REALIZADO"))</f>
        <v>0</v>
      </c>
      <c r="F79" s="36" t="n">
        <f aca="false">IF($A79="",0,SUMIFS(L_VDesp,L_SubID,$A79,L_Ano,CFG_ANO,L_Status,"PROJETADO")+SUMIFS(L_VRec,L_SubID,$A79,L_Ano,CFG_ANO,L_Status,"PROJETADO")+SUMIFS(L_VRend,L_SubID,$A79,L_Ano,CFG_ANO,L_Status,"PROJETADO"))</f>
        <v>0</v>
      </c>
      <c r="G79" s="34" t="str">
        <f aca="false">IF($A79="","",COUNTIFS($C$5:$C79,$C79))</f>
        <v/>
      </c>
      <c r="H79" s="32"/>
      <c r="I79" s="32"/>
    </row>
    <row r="80" customFormat="false" ht="15" hidden="false" customHeight="false" outlineLevel="0" collapsed="false">
      <c r="A80" s="30" t="str">
        <f aca="false">IF($B80="","","SUB-"&amp;TEXT(ROW()-4,"000000"))</f>
        <v/>
      </c>
      <c r="B80" s="32"/>
      <c r="C80" s="35" t="str">
        <f aca="false">IF($B80="","",IFERROR(INDEX(CAT_ID,MATCH($B80,CAT_NOME,0)),"?"))</f>
        <v/>
      </c>
      <c r="D80" s="32"/>
      <c r="E80" s="36" t="n">
        <f aca="false">IF($A80="",0,SUMIFS(L_VDesp,L_SubID,$A80,L_Ano,CFG_ANO,L_Status,"REALIZADO")+SUMIFS(L_VRec,L_SubID,$A80,L_Ano,CFG_ANO,L_Status,"REALIZADO")+SUMIFS(L_VRend,L_SubID,$A80,L_Ano,CFG_ANO,L_Status,"REALIZADO"))</f>
        <v>0</v>
      </c>
      <c r="F80" s="36" t="n">
        <f aca="false">IF($A80="",0,SUMIFS(L_VDesp,L_SubID,$A80,L_Ano,CFG_ANO,L_Status,"PROJETADO")+SUMIFS(L_VRec,L_SubID,$A80,L_Ano,CFG_ANO,L_Status,"PROJETADO")+SUMIFS(L_VRend,L_SubID,$A80,L_Ano,CFG_ANO,L_Status,"PROJETADO"))</f>
        <v>0</v>
      </c>
      <c r="G80" s="34" t="str">
        <f aca="false">IF($A80="","",COUNTIFS($C$5:$C80,$C80))</f>
        <v/>
      </c>
      <c r="H80" s="32"/>
      <c r="I80" s="32"/>
    </row>
    <row r="81" customFormat="false" ht="15" hidden="false" customHeight="false" outlineLevel="0" collapsed="false">
      <c r="A81" s="30" t="str">
        <f aca="false">IF($B81="","","SUB-"&amp;TEXT(ROW()-4,"000000"))</f>
        <v/>
      </c>
      <c r="B81" s="32"/>
      <c r="C81" s="35" t="str">
        <f aca="false">IF($B81="","",IFERROR(INDEX(CAT_ID,MATCH($B81,CAT_NOME,0)),"?"))</f>
        <v/>
      </c>
      <c r="D81" s="32"/>
      <c r="E81" s="36" t="n">
        <f aca="false">IF($A81="",0,SUMIFS(L_VDesp,L_SubID,$A81,L_Ano,CFG_ANO,L_Status,"REALIZADO")+SUMIFS(L_VRec,L_SubID,$A81,L_Ano,CFG_ANO,L_Status,"REALIZADO")+SUMIFS(L_VRend,L_SubID,$A81,L_Ano,CFG_ANO,L_Status,"REALIZADO"))</f>
        <v>0</v>
      </c>
      <c r="F81" s="36" t="n">
        <f aca="false">IF($A81="",0,SUMIFS(L_VDesp,L_SubID,$A81,L_Ano,CFG_ANO,L_Status,"PROJETADO")+SUMIFS(L_VRec,L_SubID,$A81,L_Ano,CFG_ANO,L_Status,"PROJETADO")+SUMIFS(L_VRend,L_SubID,$A81,L_Ano,CFG_ANO,L_Status,"PROJETADO"))</f>
        <v>0</v>
      </c>
      <c r="G81" s="34" t="str">
        <f aca="false">IF($A81="","",COUNTIFS($C$5:$C81,$C81))</f>
        <v/>
      </c>
      <c r="H81" s="32"/>
      <c r="I81" s="32"/>
    </row>
    <row r="82" customFormat="false" ht="15" hidden="false" customHeight="false" outlineLevel="0" collapsed="false">
      <c r="A82" s="30" t="str">
        <f aca="false">IF($B82="","","SUB-"&amp;TEXT(ROW()-4,"000000"))</f>
        <v/>
      </c>
      <c r="B82" s="32"/>
      <c r="C82" s="35" t="str">
        <f aca="false">IF($B82="","",IFERROR(INDEX(CAT_ID,MATCH($B82,CAT_NOME,0)),"?"))</f>
        <v/>
      </c>
      <c r="D82" s="32"/>
      <c r="E82" s="36" t="n">
        <f aca="false">IF($A82="",0,SUMIFS(L_VDesp,L_SubID,$A82,L_Ano,CFG_ANO,L_Status,"REALIZADO")+SUMIFS(L_VRec,L_SubID,$A82,L_Ano,CFG_ANO,L_Status,"REALIZADO")+SUMIFS(L_VRend,L_SubID,$A82,L_Ano,CFG_ANO,L_Status,"REALIZADO"))</f>
        <v>0</v>
      </c>
      <c r="F82" s="36" t="n">
        <f aca="false">IF($A82="",0,SUMIFS(L_VDesp,L_SubID,$A82,L_Ano,CFG_ANO,L_Status,"PROJETADO")+SUMIFS(L_VRec,L_SubID,$A82,L_Ano,CFG_ANO,L_Status,"PROJETADO")+SUMIFS(L_VRend,L_SubID,$A82,L_Ano,CFG_ANO,L_Status,"PROJETADO"))</f>
        <v>0</v>
      </c>
      <c r="G82" s="34" t="str">
        <f aca="false">IF($A82="","",COUNTIFS($C$5:$C82,$C82))</f>
        <v/>
      </c>
      <c r="H82" s="32"/>
      <c r="I82" s="32"/>
    </row>
    <row r="83" customFormat="false" ht="15" hidden="false" customHeight="false" outlineLevel="0" collapsed="false">
      <c r="A83" s="30" t="str">
        <f aca="false">IF($B83="","","SUB-"&amp;TEXT(ROW()-4,"000000"))</f>
        <v/>
      </c>
      <c r="B83" s="32"/>
      <c r="C83" s="35" t="str">
        <f aca="false">IF($B83="","",IFERROR(INDEX(CAT_ID,MATCH($B83,CAT_NOME,0)),"?"))</f>
        <v/>
      </c>
      <c r="D83" s="32"/>
      <c r="E83" s="36" t="n">
        <f aca="false">IF($A83="",0,SUMIFS(L_VDesp,L_SubID,$A83,L_Ano,CFG_ANO,L_Status,"REALIZADO")+SUMIFS(L_VRec,L_SubID,$A83,L_Ano,CFG_ANO,L_Status,"REALIZADO")+SUMIFS(L_VRend,L_SubID,$A83,L_Ano,CFG_ANO,L_Status,"REALIZADO"))</f>
        <v>0</v>
      </c>
      <c r="F83" s="36" t="n">
        <f aca="false">IF($A83="",0,SUMIFS(L_VDesp,L_SubID,$A83,L_Ano,CFG_ANO,L_Status,"PROJETADO")+SUMIFS(L_VRec,L_SubID,$A83,L_Ano,CFG_ANO,L_Status,"PROJETADO")+SUMIFS(L_VRend,L_SubID,$A83,L_Ano,CFG_ANO,L_Status,"PROJETADO"))</f>
        <v>0</v>
      </c>
      <c r="G83" s="34" t="str">
        <f aca="false">IF($A83="","",COUNTIFS($C$5:$C83,$C83))</f>
        <v/>
      </c>
      <c r="H83" s="32"/>
      <c r="I83" s="32"/>
    </row>
    <row r="84" customFormat="false" ht="15" hidden="false" customHeight="false" outlineLevel="0" collapsed="false">
      <c r="A84" s="30" t="str">
        <f aca="false">IF($B84="","","SUB-"&amp;TEXT(ROW()-4,"000000"))</f>
        <v/>
      </c>
      <c r="B84" s="32"/>
      <c r="C84" s="35" t="str">
        <f aca="false">IF($B84="","",IFERROR(INDEX(CAT_ID,MATCH($B84,CAT_NOME,0)),"?"))</f>
        <v/>
      </c>
      <c r="D84" s="32"/>
      <c r="E84" s="36" t="n">
        <f aca="false">IF($A84="",0,SUMIFS(L_VDesp,L_SubID,$A84,L_Ano,CFG_ANO,L_Status,"REALIZADO")+SUMIFS(L_VRec,L_SubID,$A84,L_Ano,CFG_ANO,L_Status,"REALIZADO")+SUMIFS(L_VRend,L_SubID,$A84,L_Ano,CFG_ANO,L_Status,"REALIZADO"))</f>
        <v>0</v>
      </c>
      <c r="F84" s="36" t="n">
        <f aca="false">IF($A84="",0,SUMIFS(L_VDesp,L_SubID,$A84,L_Ano,CFG_ANO,L_Status,"PROJETADO")+SUMIFS(L_VRec,L_SubID,$A84,L_Ano,CFG_ANO,L_Status,"PROJETADO")+SUMIFS(L_VRend,L_SubID,$A84,L_Ano,CFG_ANO,L_Status,"PROJETADO"))</f>
        <v>0</v>
      </c>
      <c r="G84" s="34" t="str">
        <f aca="false">IF($A84="","",COUNTIFS($C$5:$C84,$C84))</f>
        <v/>
      </c>
      <c r="H84" s="32"/>
      <c r="I84" s="32"/>
    </row>
    <row r="85" customFormat="false" ht="15" hidden="false" customHeight="false" outlineLevel="0" collapsed="false">
      <c r="A85" s="30" t="str">
        <f aca="false">IF($B85="","","SUB-"&amp;TEXT(ROW()-4,"000000"))</f>
        <v/>
      </c>
      <c r="B85" s="32"/>
      <c r="C85" s="35" t="str">
        <f aca="false">IF($B85="","",IFERROR(INDEX(CAT_ID,MATCH($B85,CAT_NOME,0)),"?"))</f>
        <v/>
      </c>
      <c r="D85" s="32"/>
      <c r="E85" s="36" t="n">
        <f aca="false">IF($A85="",0,SUMIFS(L_VDesp,L_SubID,$A85,L_Ano,CFG_ANO,L_Status,"REALIZADO")+SUMIFS(L_VRec,L_SubID,$A85,L_Ano,CFG_ANO,L_Status,"REALIZADO")+SUMIFS(L_VRend,L_SubID,$A85,L_Ano,CFG_ANO,L_Status,"REALIZADO"))</f>
        <v>0</v>
      </c>
      <c r="F85" s="36" t="n">
        <f aca="false">IF($A85="",0,SUMIFS(L_VDesp,L_SubID,$A85,L_Ano,CFG_ANO,L_Status,"PROJETADO")+SUMIFS(L_VRec,L_SubID,$A85,L_Ano,CFG_ANO,L_Status,"PROJETADO")+SUMIFS(L_VRend,L_SubID,$A85,L_Ano,CFG_ANO,L_Status,"PROJETADO"))</f>
        <v>0</v>
      </c>
      <c r="G85" s="34" t="str">
        <f aca="false">IF($A85="","",COUNTIFS($C$5:$C85,$C85))</f>
        <v/>
      </c>
      <c r="H85" s="32"/>
      <c r="I85" s="32"/>
    </row>
    <row r="86" customFormat="false" ht="15" hidden="false" customHeight="false" outlineLevel="0" collapsed="false">
      <c r="A86" s="30" t="str">
        <f aca="false">IF($B86="","","SUB-"&amp;TEXT(ROW()-4,"000000"))</f>
        <v/>
      </c>
      <c r="B86" s="32"/>
      <c r="C86" s="35" t="str">
        <f aca="false">IF($B86="","",IFERROR(INDEX(CAT_ID,MATCH($B86,CAT_NOME,0)),"?"))</f>
        <v/>
      </c>
      <c r="D86" s="32"/>
      <c r="E86" s="36" t="n">
        <f aca="false">IF($A86="",0,SUMIFS(L_VDesp,L_SubID,$A86,L_Ano,CFG_ANO,L_Status,"REALIZADO")+SUMIFS(L_VRec,L_SubID,$A86,L_Ano,CFG_ANO,L_Status,"REALIZADO")+SUMIFS(L_VRend,L_SubID,$A86,L_Ano,CFG_ANO,L_Status,"REALIZADO"))</f>
        <v>0</v>
      </c>
      <c r="F86" s="36" t="n">
        <f aca="false">IF($A86="",0,SUMIFS(L_VDesp,L_SubID,$A86,L_Ano,CFG_ANO,L_Status,"PROJETADO")+SUMIFS(L_VRec,L_SubID,$A86,L_Ano,CFG_ANO,L_Status,"PROJETADO")+SUMIFS(L_VRend,L_SubID,$A86,L_Ano,CFG_ANO,L_Status,"PROJETADO"))</f>
        <v>0</v>
      </c>
      <c r="G86" s="34" t="str">
        <f aca="false">IF($A86="","",COUNTIFS($C$5:$C86,$C86))</f>
        <v/>
      </c>
      <c r="H86" s="32"/>
      <c r="I86" s="32"/>
    </row>
    <row r="87" customFormat="false" ht="15" hidden="false" customHeight="false" outlineLevel="0" collapsed="false">
      <c r="A87" s="30" t="str">
        <f aca="false">IF($B87="","","SUB-"&amp;TEXT(ROW()-4,"000000"))</f>
        <v/>
      </c>
      <c r="B87" s="32"/>
      <c r="C87" s="35" t="str">
        <f aca="false">IF($B87="","",IFERROR(INDEX(CAT_ID,MATCH($B87,CAT_NOME,0)),"?"))</f>
        <v/>
      </c>
      <c r="D87" s="32"/>
      <c r="E87" s="36" t="n">
        <f aca="false">IF($A87="",0,SUMIFS(L_VDesp,L_SubID,$A87,L_Ano,CFG_ANO,L_Status,"REALIZADO")+SUMIFS(L_VRec,L_SubID,$A87,L_Ano,CFG_ANO,L_Status,"REALIZADO")+SUMIFS(L_VRend,L_SubID,$A87,L_Ano,CFG_ANO,L_Status,"REALIZADO"))</f>
        <v>0</v>
      </c>
      <c r="F87" s="36" t="n">
        <f aca="false">IF($A87="",0,SUMIFS(L_VDesp,L_SubID,$A87,L_Ano,CFG_ANO,L_Status,"PROJETADO")+SUMIFS(L_VRec,L_SubID,$A87,L_Ano,CFG_ANO,L_Status,"PROJETADO")+SUMIFS(L_VRend,L_SubID,$A87,L_Ano,CFG_ANO,L_Status,"PROJETADO"))</f>
        <v>0</v>
      </c>
      <c r="G87" s="34" t="str">
        <f aca="false">IF($A87="","",COUNTIFS($C$5:$C87,$C87))</f>
        <v/>
      </c>
      <c r="H87" s="32"/>
      <c r="I87" s="32"/>
    </row>
    <row r="88" customFormat="false" ht="15" hidden="false" customHeight="false" outlineLevel="0" collapsed="false">
      <c r="A88" s="30" t="str">
        <f aca="false">IF($B88="","","SUB-"&amp;TEXT(ROW()-4,"000000"))</f>
        <v/>
      </c>
      <c r="B88" s="32"/>
      <c r="C88" s="35" t="str">
        <f aca="false">IF($B88="","",IFERROR(INDEX(CAT_ID,MATCH($B88,CAT_NOME,0)),"?"))</f>
        <v/>
      </c>
      <c r="D88" s="32"/>
      <c r="E88" s="36" t="n">
        <f aca="false">IF($A88="",0,SUMIFS(L_VDesp,L_SubID,$A88,L_Ano,CFG_ANO,L_Status,"REALIZADO")+SUMIFS(L_VRec,L_SubID,$A88,L_Ano,CFG_ANO,L_Status,"REALIZADO")+SUMIFS(L_VRend,L_SubID,$A88,L_Ano,CFG_ANO,L_Status,"REALIZADO"))</f>
        <v>0</v>
      </c>
      <c r="F88" s="36" t="n">
        <f aca="false">IF($A88="",0,SUMIFS(L_VDesp,L_SubID,$A88,L_Ano,CFG_ANO,L_Status,"PROJETADO")+SUMIFS(L_VRec,L_SubID,$A88,L_Ano,CFG_ANO,L_Status,"PROJETADO")+SUMIFS(L_VRend,L_SubID,$A88,L_Ano,CFG_ANO,L_Status,"PROJETADO"))</f>
        <v>0</v>
      </c>
      <c r="G88" s="34" t="str">
        <f aca="false">IF($A88="","",COUNTIFS($C$5:$C88,$C88))</f>
        <v/>
      </c>
      <c r="H88" s="32"/>
      <c r="I88" s="32"/>
    </row>
    <row r="89" customFormat="false" ht="15" hidden="false" customHeight="false" outlineLevel="0" collapsed="false">
      <c r="A89" s="30" t="str">
        <f aca="false">IF($B89="","","SUB-"&amp;TEXT(ROW()-4,"000000"))</f>
        <v/>
      </c>
      <c r="B89" s="32"/>
      <c r="C89" s="35" t="str">
        <f aca="false">IF($B89="","",IFERROR(INDEX(CAT_ID,MATCH($B89,CAT_NOME,0)),"?"))</f>
        <v/>
      </c>
      <c r="D89" s="32"/>
      <c r="E89" s="36" t="n">
        <f aca="false">IF($A89="",0,SUMIFS(L_VDesp,L_SubID,$A89,L_Ano,CFG_ANO,L_Status,"REALIZADO")+SUMIFS(L_VRec,L_SubID,$A89,L_Ano,CFG_ANO,L_Status,"REALIZADO")+SUMIFS(L_VRend,L_SubID,$A89,L_Ano,CFG_ANO,L_Status,"REALIZADO"))</f>
        <v>0</v>
      </c>
      <c r="F89" s="36" t="n">
        <f aca="false">IF($A89="",0,SUMIFS(L_VDesp,L_SubID,$A89,L_Ano,CFG_ANO,L_Status,"PROJETADO")+SUMIFS(L_VRec,L_SubID,$A89,L_Ano,CFG_ANO,L_Status,"PROJETADO")+SUMIFS(L_VRend,L_SubID,$A89,L_Ano,CFG_ANO,L_Status,"PROJETADO"))</f>
        <v>0</v>
      </c>
      <c r="G89" s="34" t="str">
        <f aca="false">IF($A89="","",COUNTIFS($C$5:$C89,$C89))</f>
        <v/>
      </c>
      <c r="H89" s="32"/>
      <c r="I89" s="32"/>
    </row>
    <row r="90" customFormat="false" ht="15" hidden="false" customHeight="false" outlineLevel="0" collapsed="false">
      <c r="A90" s="30" t="str">
        <f aca="false">IF($B90="","","SUB-"&amp;TEXT(ROW()-4,"000000"))</f>
        <v/>
      </c>
      <c r="B90" s="32"/>
      <c r="C90" s="35" t="str">
        <f aca="false">IF($B90="","",IFERROR(INDEX(CAT_ID,MATCH($B90,CAT_NOME,0)),"?"))</f>
        <v/>
      </c>
      <c r="D90" s="32"/>
      <c r="E90" s="36" t="n">
        <f aca="false">IF($A90="",0,SUMIFS(L_VDesp,L_SubID,$A90,L_Ano,CFG_ANO,L_Status,"REALIZADO")+SUMIFS(L_VRec,L_SubID,$A90,L_Ano,CFG_ANO,L_Status,"REALIZADO")+SUMIFS(L_VRend,L_SubID,$A90,L_Ano,CFG_ANO,L_Status,"REALIZADO"))</f>
        <v>0</v>
      </c>
      <c r="F90" s="36" t="n">
        <f aca="false">IF($A90="",0,SUMIFS(L_VDesp,L_SubID,$A90,L_Ano,CFG_ANO,L_Status,"PROJETADO")+SUMIFS(L_VRec,L_SubID,$A90,L_Ano,CFG_ANO,L_Status,"PROJETADO")+SUMIFS(L_VRend,L_SubID,$A90,L_Ano,CFG_ANO,L_Status,"PROJETADO"))</f>
        <v>0</v>
      </c>
      <c r="G90" s="34" t="str">
        <f aca="false">IF($A90="","",COUNTIFS($C$5:$C90,$C90))</f>
        <v/>
      </c>
      <c r="H90" s="32"/>
      <c r="I90" s="32"/>
    </row>
    <row r="91" customFormat="false" ht="15" hidden="false" customHeight="false" outlineLevel="0" collapsed="false">
      <c r="A91" s="30" t="str">
        <f aca="false">IF($B91="","","SUB-"&amp;TEXT(ROW()-4,"000000"))</f>
        <v/>
      </c>
      <c r="B91" s="32"/>
      <c r="C91" s="35" t="str">
        <f aca="false">IF($B91="","",IFERROR(INDEX(CAT_ID,MATCH($B91,CAT_NOME,0)),"?"))</f>
        <v/>
      </c>
      <c r="D91" s="32"/>
      <c r="E91" s="36" t="n">
        <f aca="false">IF($A91="",0,SUMIFS(L_VDesp,L_SubID,$A91,L_Ano,CFG_ANO,L_Status,"REALIZADO")+SUMIFS(L_VRec,L_SubID,$A91,L_Ano,CFG_ANO,L_Status,"REALIZADO")+SUMIFS(L_VRend,L_SubID,$A91,L_Ano,CFG_ANO,L_Status,"REALIZADO"))</f>
        <v>0</v>
      </c>
      <c r="F91" s="36" t="n">
        <f aca="false">IF($A91="",0,SUMIFS(L_VDesp,L_SubID,$A91,L_Ano,CFG_ANO,L_Status,"PROJETADO")+SUMIFS(L_VRec,L_SubID,$A91,L_Ano,CFG_ANO,L_Status,"PROJETADO")+SUMIFS(L_VRend,L_SubID,$A91,L_Ano,CFG_ANO,L_Status,"PROJETADO"))</f>
        <v>0</v>
      </c>
      <c r="G91" s="34" t="str">
        <f aca="false">IF($A91="","",COUNTIFS($C$5:$C91,$C91))</f>
        <v/>
      </c>
      <c r="H91" s="32"/>
      <c r="I91" s="32"/>
    </row>
    <row r="92" customFormat="false" ht="15" hidden="false" customHeight="false" outlineLevel="0" collapsed="false">
      <c r="A92" s="30" t="str">
        <f aca="false">IF($B92="","","SUB-"&amp;TEXT(ROW()-4,"000000"))</f>
        <v/>
      </c>
      <c r="B92" s="32"/>
      <c r="C92" s="35" t="str">
        <f aca="false">IF($B92="","",IFERROR(INDEX(CAT_ID,MATCH($B92,CAT_NOME,0)),"?"))</f>
        <v/>
      </c>
      <c r="D92" s="32"/>
      <c r="E92" s="36" t="n">
        <f aca="false">IF($A92="",0,SUMIFS(L_VDesp,L_SubID,$A92,L_Ano,CFG_ANO,L_Status,"REALIZADO")+SUMIFS(L_VRec,L_SubID,$A92,L_Ano,CFG_ANO,L_Status,"REALIZADO")+SUMIFS(L_VRend,L_SubID,$A92,L_Ano,CFG_ANO,L_Status,"REALIZADO"))</f>
        <v>0</v>
      </c>
      <c r="F92" s="36" t="n">
        <f aca="false">IF($A92="",0,SUMIFS(L_VDesp,L_SubID,$A92,L_Ano,CFG_ANO,L_Status,"PROJETADO")+SUMIFS(L_VRec,L_SubID,$A92,L_Ano,CFG_ANO,L_Status,"PROJETADO")+SUMIFS(L_VRend,L_SubID,$A92,L_Ano,CFG_ANO,L_Status,"PROJETADO"))</f>
        <v>0</v>
      </c>
      <c r="G92" s="34" t="str">
        <f aca="false">IF($A92="","",COUNTIFS($C$5:$C92,$C92))</f>
        <v/>
      </c>
      <c r="H92" s="32"/>
      <c r="I92" s="32"/>
    </row>
    <row r="93" customFormat="false" ht="15" hidden="false" customHeight="false" outlineLevel="0" collapsed="false">
      <c r="A93" s="30" t="str">
        <f aca="false">IF($B93="","","SUB-"&amp;TEXT(ROW()-4,"000000"))</f>
        <v/>
      </c>
      <c r="B93" s="32"/>
      <c r="C93" s="35" t="str">
        <f aca="false">IF($B93="","",IFERROR(INDEX(CAT_ID,MATCH($B93,CAT_NOME,0)),"?"))</f>
        <v/>
      </c>
      <c r="D93" s="32"/>
      <c r="E93" s="36" t="n">
        <f aca="false">IF($A93="",0,SUMIFS(L_VDesp,L_SubID,$A93,L_Ano,CFG_ANO,L_Status,"REALIZADO")+SUMIFS(L_VRec,L_SubID,$A93,L_Ano,CFG_ANO,L_Status,"REALIZADO")+SUMIFS(L_VRend,L_SubID,$A93,L_Ano,CFG_ANO,L_Status,"REALIZADO"))</f>
        <v>0</v>
      </c>
      <c r="F93" s="36" t="n">
        <f aca="false">IF($A93="",0,SUMIFS(L_VDesp,L_SubID,$A93,L_Ano,CFG_ANO,L_Status,"PROJETADO")+SUMIFS(L_VRec,L_SubID,$A93,L_Ano,CFG_ANO,L_Status,"PROJETADO")+SUMIFS(L_VRend,L_SubID,$A93,L_Ano,CFG_ANO,L_Status,"PROJETADO"))</f>
        <v>0</v>
      </c>
      <c r="G93" s="34" t="str">
        <f aca="false">IF($A93="","",COUNTIFS($C$5:$C93,$C93))</f>
        <v/>
      </c>
      <c r="H93" s="32"/>
      <c r="I93" s="32"/>
    </row>
    <row r="94" customFormat="false" ht="15" hidden="false" customHeight="false" outlineLevel="0" collapsed="false">
      <c r="A94" s="30" t="str">
        <f aca="false">IF($B94="","","SUB-"&amp;TEXT(ROW()-4,"000000"))</f>
        <v/>
      </c>
      <c r="B94" s="32"/>
      <c r="C94" s="35" t="str">
        <f aca="false">IF($B94="","",IFERROR(INDEX(CAT_ID,MATCH($B94,CAT_NOME,0)),"?"))</f>
        <v/>
      </c>
      <c r="D94" s="32"/>
      <c r="E94" s="36" t="n">
        <f aca="false">IF($A94="",0,SUMIFS(L_VDesp,L_SubID,$A94,L_Ano,CFG_ANO,L_Status,"REALIZADO")+SUMIFS(L_VRec,L_SubID,$A94,L_Ano,CFG_ANO,L_Status,"REALIZADO")+SUMIFS(L_VRend,L_SubID,$A94,L_Ano,CFG_ANO,L_Status,"REALIZADO"))</f>
        <v>0</v>
      </c>
      <c r="F94" s="36" t="n">
        <f aca="false">IF($A94="",0,SUMIFS(L_VDesp,L_SubID,$A94,L_Ano,CFG_ANO,L_Status,"PROJETADO")+SUMIFS(L_VRec,L_SubID,$A94,L_Ano,CFG_ANO,L_Status,"PROJETADO")+SUMIFS(L_VRend,L_SubID,$A94,L_Ano,CFG_ANO,L_Status,"PROJETADO"))</f>
        <v>0</v>
      </c>
      <c r="G94" s="34" t="str">
        <f aca="false">IF($A94="","",COUNTIFS($C$5:$C94,$C94))</f>
        <v/>
      </c>
      <c r="H94" s="32"/>
      <c r="I94" s="32"/>
    </row>
    <row r="95" customFormat="false" ht="15" hidden="false" customHeight="false" outlineLevel="0" collapsed="false">
      <c r="A95" s="30" t="str">
        <f aca="false">IF($B95="","","SUB-"&amp;TEXT(ROW()-4,"000000"))</f>
        <v/>
      </c>
      <c r="B95" s="32"/>
      <c r="C95" s="35" t="str">
        <f aca="false">IF($B95="","",IFERROR(INDEX(CAT_ID,MATCH($B95,CAT_NOME,0)),"?"))</f>
        <v/>
      </c>
      <c r="D95" s="32"/>
      <c r="E95" s="36" t="n">
        <f aca="false">IF($A95="",0,SUMIFS(L_VDesp,L_SubID,$A95,L_Ano,CFG_ANO,L_Status,"REALIZADO")+SUMIFS(L_VRec,L_SubID,$A95,L_Ano,CFG_ANO,L_Status,"REALIZADO")+SUMIFS(L_VRend,L_SubID,$A95,L_Ano,CFG_ANO,L_Status,"REALIZADO"))</f>
        <v>0</v>
      </c>
      <c r="F95" s="36" t="n">
        <f aca="false">IF($A95="",0,SUMIFS(L_VDesp,L_SubID,$A95,L_Ano,CFG_ANO,L_Status,"PROJETADO")+SUMIFS(L_VRec,L_SubID,$A95,L_Ano,CFG_ANO,L_Status,"PROJETADO")+SUMIFS(L_VRend,L_SubID,$A95,L_Ano,CFG_ANO,L_Status,"PROJETADO"))</f>
        <v>0</v>
      </c>
      <c r="G95" s="34" t="str">
        <f aca="false">IF($A95="","",COUNTIFS($C$5:$C95,$C95))</f>
        <v/>
      </c>
      <c r="H95" s="32"/>
      <c r="I95" s="32"/>
    </row>
    <row r="96" customFormat="false" ht="15" hidden="false" customHeight="false" outlineLevel="0" collapsed="false">
      <c r="A96" s="30" t="str">
        <f aca="false">IF($B96="","","SUB-"&amp;TEXT(ROW()-4,"000000"))</f>
        <v/>
      </c>
      <c r="B96" s="32"/>
      <c r="C96" s="35" t="str">
        <f aca="false">IF($B96="","",IFERROR(INDEX(CAT_ID,MATCH($B96,CAT_NOME,0)),"?"))</f>
        <v/>
      </c>
      <c r="D96" s="32"/>
      <c r="E96" s="36" t="n">
        <f aca="false">IF($A96="",0,SUMIFS(L_VDesp,L_SubID,$A96,L_Ano,CFG_ANO,L_Status,"REALIZADO")+SUMIFS(L_VRec,L_SubID,$A96,L_Ano,CFG_ANO,L_Status,"REALIZADO")+SUMIFS(L_VRend,L_SubID,$A96,L_Ano,CFG_ANO,L_Status,"REALIZADO"))</f>
        <v>0</v>
      </c>
      <c r="F96" s="36" t="n">
        <f aca="false">IF($A96="",0,SUMIFS(L_VDesp,L_SubID,$A96,L_Ano,CFG_ANO,L_Status,"PROJETADO")+SUMIFS(L_VRec,L_SubID,$A96,L_Ano,CFG_ANO,L_Status,"PROJETADO")+SUMIFS(L_VRend,L_SubID,$A96,L_Ano,CFG_ANO,L_Status,"PROJETADO"))</f>
        <v>0</v>
      </c>
      <c r="G96" s="34" t="str">
        <f aca="false">IF($A96="","",COUNTIFS($C$5:$C96,$C96))</f>
        <v/>
      </c>
      <c r="H96" s="32"/>
      <c r="I96" s="32"/>
    </row>
    <row r="97" customFormat="false" ht="15" hidden="false" customHeight="false" outlineLevel="0" collapsed="false">
      <c r="A97" s="30" t="str">
        <f aca="false">IF($B97="","","SUB-"&amp;TEXT(ROW()-4,"000000"))</f>
        <v/>
      </c>
      <c r="B97" s="32"/>
      <c r="C97" s="35" t="str">
        <f aca="false">IF($B97="","",IFERROR(INDEX(CAT_ID,MATCH($B97,CAT_NOME,0)),"?"))</f>
        <v/>
      </c>
      <c r="D97" s="32"/>
      <c r="E97" s="36" t="n">
        <f aca="false">IF($A97="",0,SUMIFS(L_VDesp,L_SubID,$A97,L_Ano,CFG_ANO,L_Status,"REALIZADO")+SUMIFS(L_VRec,L_SubID,$A97,L_Ano,CFG_ANO,L_Status,"REALIZADO")+SUMIFS(L_VRend,L_SubID,$A97,L_Ano,CFG_ANO,L_Status,"REALIZADO"))</f>
        <v>0</v>
      </c>
      <c r="F97" s="36" t="n">
        <f aca="false">IF($A97="",0,SUMIFS(L_VDesp,L_SubID,$A97,L_Ano,CFG_ANO,L_Status,"PROJETADO")+SUMIFS(L_VRec,L_SubID,$A97,L_Ano,CFG_ANO,L_Status,"PROJETADO")+SUMIFS(L_VRend,L_SubID,$A97,L_Ano,CFG_ANO,L_Status,"PROJETADO"))</f>
        <v>0</v>
      </c>
      <c r="G97" s="34" t="str">
        <f aca="false">IF($A97="","",COUNTIFS($C$5:$C97,$C97))</f>
        <v/>
      </c>
      <c r="H97" s="32"/>
      <c r="I97" s="32"/>
    </row>
    <row r="98" customFormat="false" ht="15" hidden="false" customHeight="false" outlineLevel="0" collapsed="false">
      <c r="A98" s="30" t="str">
        <f aca="false">IF($B98="","","SUB-"&amp;TEXT(ROW()-4,"000000"))</f>
        <v/>
      </c>
      <c r="B98" s="32"/>
      <c r="C98" s="35" t="str">
        <f aca="false">IF($B98="","",IFERROR(INDEX(CAT_ID,MATCH($B98,CAT_NOME,0)),"?"))</f>
        <v/>
      </c>
      <c r="D98" s="32"/>
      <c r="E98" s="36" t="n">
        <f aca="false">IF($A98="",0,SUMIFS(L_VDesp,L_SubID,$A98,L_Ano,CFG_ANO,L_Status,"REALIZADO")+SUMIFS(L_VRec,L_SubID,$A98,L_Ano,CFG_ANO,L_Status,"REALIZADO")+SUMIFS(L_VRend,L_SubID,$A98,L_Ano,CFG_ANO,L_Status,"REALIZADO"))</f>
        <v>0</v>
      </c>
      <c r="F98" s="36" t="n">
        <f aca="false">IF($A98="",0,SUMIFS(L_VDesp,L_SubID,$A98,L_Ano,CFG_ANO,L_Status,"PROJETADO")+SUMIFS(L_VRec,L_SubID,$A98,L_Ano,CFG_ANO,L_Status,"PROJETADO")+SUMIFS(L_VRend,L_SubID,$A98,L_Ano,CFG_ANO,L_Status,"PROJETADO"))</f>
        <v>0</v>
      </c>
      <c r="G98" s="34" t="str">
        <f aca="false">IF($A98="","",COUNTIFS($C$5:$C98,$C98))</f>
        <v/>
      </c>
      <c r="H98" s="32"/>
      <c r="I98" s="32"/>
    </row>
    <row r="99" customFormat="false" ht="15" hidden="false" customHeight="false" outlineLevel="0" collapsed="false">
      <c r="A99" s="30" t="str">
        <f aca="false">IF($B99="","","SUB-"&amp;TEXT(ROW()-4,"000000"))</f>
        <v/>
      </c>
      <c r="B99" s="32"/>
      <c r="C99" s="35" t="str">
        <f aca="false">IF($B99="","",IFERROR(INDEX(CAT_ID,MATCH($B99,CAT_NOME,0)),"?"))</f>
        <v/>
      </c>
      <c r="D99" s="32"/>
      <c r="E99" s="36" t="n">
        <f aca="false">IF($A99="",0,SUMIFS(L_VDesp,L_SubID,$A99,L_Ano,CFG_ANO,L_Status,"REALIZADO")+SUMIFS(L_VRec,L_SubID,$A99,L_Ano,CFG_ANO,L_Status,"REALIZADO")+SUMIFS(L_VRend,L_SubID,$A99,L_Ano,CFG_ANO,L_Status,"REALIZADO"))</f>
        <v>0</v>
      </c>
      <c r="F99" s="36" t="n">
        <f aca="false">IF($A99="",0,SUMIFS(L_VDesp,L_SubID,$A99,L_Ano,CFG_ANO,L_Status,"PROJETADO")+SUMIFS(L_VRec,L_SubID,$A99,L_Ano,CFG_ANO,L_Status,"PROJETADO")+SUMIFS(L_VRend,L_SubID,$A99,L_Ano,CFG_ANO,L_Status,"PROJETADO"))</f>
        <v>0</v>
      </c>
      <c r="G99" s="34" t="str">
        <f aca="false">IF($A99="","",COUNTIFS($C$5:$C99,$C99))</f>
        <v/>
      </c>
      <c r="H99" s="32"/>
      <c r="I99" s="32"/>
    </row>
    <row r="100" customFormat="false" ht="15" hidden="false" customHeight="false" outlineLevel="0" collapsed="false">
      <c r="A100" s="30" t="str">
        <f aca="false">IF($B100="","","SUB-"&amp;TEXT(ROW()-4,"000000"))</f>
        <v/>
      </c>
      <c r="B100" s="32"/>
      <c r="C100" s="35" t="str">
        <f aca="false">IF($B100="","",IFERROR(INDEX(CAT_ID,MATCH($B100,CAT_NOME,0)),"?"))</f>
        <v/>
      </c>
      <c r="D100" s="32"/>
      <c r="E100" s="36" t="n">
        <f aca="false">IF($A100="",0,SUMIFS(L_VDesp,L_SubID,$A100,L_Ano,CFG_ANO,L_Status,"REALIZADO")+SUMIFS(L_VRec,L_SubID,$A100,L_Ano,CFG_ANO,L_Status,"REALIZADO")+SUMIFS(L_VRend,L_SubID,$A100,L_Ano,CFG_ANO,L_Status,"REALIZADO"))</f>
        <v>0</v>
      </c>
      <c r="F100" s="36" t="n">
        <f aca="false">IF($A100="",0,SUMIFS(L_VDesp,L_SubID,$A100,L_Ano,CFG_ANO,L_Status,"PROJETADO")+SUMIFS(L_VRec,L_SubID,$A100,L_Ano,CFG_ANO,L_Status,"PROJETADO")+SUMIFS(L_VRend,L_SubID,$A100,L_Ano,CFG_ANO,L_Status,"PROJETADO"))</f>
        <v>0</v>
      </c>
      <c r="G100" s="34" t="str">
        <f aca="false">IF($A100="","",COUNTIFS($C$5:$C100,$C100))</f>
        <v/>
      </c>
      <c r="H100" s="32"/>
      <c r="I100" s="32"/>
    </row>
    <row r="101" customFormat="false" ht="15" hidden="false" customHeight="false" outlineLevel="0" collapsed="false">
      <c r="A101" s="30" t="str">
        <f aca="false">IF($B101="","","SUB-"&amp;TEXT(ROW()-4,"000000"))</f>
        <v/>
      </c>
      <c r="B101" s="32"/>
      <c r="C101" s="35" t="str">
        <f aca="false">IF($B101="","",IFERROR(INDEX(CAT_ID,MATCH($B101,CAT_NOME,0)),"?"))</f>
        <v/>
      </c>
      <c r="D101" s="32"/>
      <c r="E101" s="36" t="n">
        <f aca="false">IF($A101="",0,SUMIFS(L_VDesp,L_SubID,$A101,L_Ano,CFG_ANO,L_Status,"REALIZADO")+SUMIFS(L_VRec,L_SubID,$A101,L_Ano,CFG_ANO,L_Status,"REALIZADO")+SUMIFS(L_VRend,L_SubID,$A101,L_Ano,CFG_ANO,L_Status,"REALIZADO"))</f>
        <v>0</v>
      </c>
      <c r="F101" s="36" t="n">
        <f aca="false">IF($A101="",0,SUMIFS(L_VDesp,L_SubID,$A101,L_Ano,CFG_ANO,L_Status,"PROJETADO")+SUMIFS(L_VRec,L_SubID,$A101,L_Ano,CFG_ANO,L_Status,"PROJETADO")+SUMIFS(L_VRend,L_SubID,$A101,L_Ano,CFG_ANO,L_Status,"PROJETADO"))</f>
        <v>0</v>
      </c>
      <c r="G101" s="34" t="str">
        <f aca="false">IF($A101="","",COUNTIFS($C$5:$C101,$C101))</f>
        <v/>
      </c>
      <c r="H101" s="32"/>
      <c r="I101" s="32"/>
    </row>
    <row r="102" customFormat="false" ht="15" hidden="false" customHeight="false" outlineLevel="0" collapsed="false">
      <c r="A102" s="30" t="str">
        <f aca="false">IF($B102="","","SUB-"&amp;TEXT(ROW()-4,"000000"))</f>
        <v/>
      </c>
      <c r="B102" s="32"/>
      <c r="C102" s="35" t="str">
        <f aca="false">IF($B102="","",IFERROR(INDEX(CAT_ID,MATCH($B102,CAT_NOME,0)),"?"))</f>
        <v/>
      </c>
      <c r="D102" s="32"/>
      <c r="E102" s="36" t="n">
        <f aca="false">IF($A102="",0,SUMIFS(L_VDesp,L_SubID,$A102,L_Ano,CFG_ANO,L_Status,"REALIZADO")+SUMIFS(L_VRec,L_SubID,$A102,L_Ano,CFG_ANO,L_Status,"REALIZADO")+SUMIFS(L_VRend,L_SubID,$A102,L_Ano,CFG_ANO,L_Status,"REALIZADO"))</f>
        <v>0</v>
      </c>
      <c r="F102" s="36" t="n">
        <f aca="false">IF($A102="",0,SUMIFS(L_VDesp,L_SubID,$A102,L_Ano,CFG_ANO,L_Status,"PROJETADO")+SUMIFS(L_VRec,L_SubID,$A102,L_Ano,CFG_ANO,L_Status,"PROJETADO")+SUMIFS(L_VRend,L_SubID,$A102,L_Ano,CFG_ANO,L_Status,"PROJETADO"))</f>
        <v>0</v>
      </c>
      <c r="G102" s="34" t="str">
        <f aca="false">IF($A102="","",COUNTIFS($C$5:$C102,$C102))</f>
        <v/>
      </c>
      <c r="H102" s="32"/>
      <c r="I102" s="32"/>
    </row>
    <row r="103" customFormat="false" ht="15" hidden="false" customHeight="false" outlineLevel="0" collapsed="false">
      <c r="A103" s="30" t="str">
        <f aca="false">IF($B103="","","SUB-"&amp;TEXT(ROW()-4,"000000"))</f>
        <v/>
      </c>
      <c r="B103" s="32"/>
      <c r="C103" s="35" t="str">
        <f aca="false">IF($B103="","",IFERROR(INDEX(CAT_ID,MATCH($B103,CAT_NOME,0)),"?"))</f>
        <v/>
      </c>
      <c r="D103" s="32"/>
      <c r="E103" s="36" t="n">
        <f aca="false">IF($A103="",0,SUMIFS(L_VDesp,L_SubID,$A103,L_Ano,CFG_ANO,L_Status,"REALIZADO")+SUMIFS(L_VRec,L_SubID,$A103,L_Ano,CFG_ANO,L_Status,"REALIZADO")+SUMIFS(L_VRend,L_SubID,$A103,L_Ano,CFG_ANO,L_Status,"REALIZADO"))</f>
        <v>0</v>
      </c>
      <c r="F103" s="36" t="n">
        <f aca="false">IF($A103="",0,SUMIFS(L_VDesp,L_SubID,$A103,L_Ano,CFG_ANO,L_Status,"PROJETADO")+SUMIFS(L_VRec,L_SubID,$A103,L_Ano,CFG_ANO,L_Status,"PROJETADO")+SUMIFS(L_VRend,L_SubID,$A103,L_Ano,CFG_ANO,L_Status,"PROJETADO"))</f>
        <v>0</v>
      </c>
      <c r="G103" s="34" t="str">
        <f aca="false">IF($A103="","",COUNTIFS($C$5:$C103,$C103))</f>
        <v/>
      </c>
      <c r="H103" s="32"/>
      <c r="I103" s="32"/>
    </row>
    <row r="104" customFormat="false" ht="15" hidden="false" customHeight="false" outlineLevel="0" collapsed="false">
      <c r="A104" s="30" t="str">
        <f aca="false">IF($B104="","","SUB-"&amp;TEXT(ROW()-4,"000000"))</f>
        <v/>
      </c>
      <c r="B104" s="32"/>
      <c r="C104" s="35" t="str">
        <f aca="false">IF($B104="","",IFERROR(INDEX(CAT_ID,MATCH($B104,CAT_NOME,0)),"?"))</f>
        <v/>
      </c>
      <c r="D104" s="32"/>
      <c r="E104" s="36" t="n">
        <f aca="false">IF($A104="",0,SUMIFS(L_VDesp,L_SubID,$A104,L_Ano,CFG_ANO,L_Status,"REALIZADO")+SUMIFS(L_VRec,L_SubID,$A104,L_Ano,CFG_ANO,L_Status,"REALIZADO")+SUMIFS(L_VRend,L_SubID,$A104,L_Ano,CFG_ANO,L_Status,"REALIZADO"))</f>
        <v>0</v>
      </c>
      <c r="F104" s="36" t="n">
        <f aca="false">IF($A104="",0,SUMIFS(L_VDesp,L_SubID,$A104,L_Ano,CFG_ANO,L_Status,"PROJETADO")+SUMIFS(L_VRec,L_SubID,$A104,L_Ano,CFG_ANO,L_Status,"PROJETADO")+SUMIFS(L_VRend,L_SubID,$A104,L_Ano,CFG_ANO,L_Status,"PROJETADO"))</f>
        <v>0</v>
      </c>
      <c r="G104" s="34" t="str">
        <f aca="false">IF($A104="","",COUNTIFS($C$5:$C104,$C104))</f>
        <v/>
      </c>
      <c r="H104" s="32"/>
      <c r="I104" s="32"/>
    </row>
    <row r="105" customFormat="false" ht="15" hidden="false" customHeight="false" outlineLevel="0" collapsed="false">
      <c r="A105" s="30" t="str">
        <f aca="false">IF($B105="","","SUB-"&amp;TEXT(ROW()-4,"000000"))</f>
        <v/>
      </c>
      <c r="B105" s="32"/>
      <c r="C105" s="35" t="str">
        <f aca="false">IF($B105="","",IFERROR(INDEX(CAT_ID,MATCH($B105,CAT_NOME,0)),"?"))</f>
        <v/>
      </c>
      <c r="D105" s="32"/>
      <c r="E105" s="36" t="n">
        <f aca="false">IF($A105="",0,SUMIFS(L_VDesp,L_SubID,$A105,L_Ano,CFG_ANO,L_Status,"REALIZADO")+SUMIFS(L_VRec,L_SubID,$A105,L_Ano,CFG_ANO,L_Status,"REALIZADO")+SUMIFS(L_VRend,L_SubID,$A105,L_Ano,CFG_ANO,L_Status,"REALIZADO"))</f>
        <v>0</v>
      </c>
      <c r="F105" s="36" t="n">
        <f aca="false">IF($A105="",0,SUMIFS(L_VDesp,L_SubID,$A105,L_Ano,CFG_ANO,L_Status,"PROJETADO")+SUMIFS(L_VRec,L_SubID,$A105,L_Ano,CFG_ANO,L_Status,"PROJETADO")+SUMIFS(L_VRend,L_SubID,$A105,L_Ano,CFG_ANO,L_Status,"PROJETADO"))</f>
        <v>0</v>
      </c>
      <c r="G105" s="34" t="str">
        <f aca="false">IF($A105="","",COUNTIFS($C$5:$C105,$C105))</f>
        <v/>
      </c>
      <c r="H105" s="32"/>
      <c r="I105" s="32"/>
    </row>
    <row r="106" customFormat="false" ht="15" hidden="false" customHeight="false" outlineLevel="0" collapsed="false">
      <c r="A106" s="30" t="str">
        <f aca="false">IF($B106="","","SUB-"&amp;TEXT(ROW()-4,"000000"))</f>
        <v/>
      </c>
      <c r="B106" s="32"/>
      <c r="C106" s="35" t="str">
        <f aca="false">IF($B106="","",IFERROR(INDEX(CAT_ID,MATCH($B106,CAT_NOME,0)),"?"))</f>
        <v/>
      </c>
      <c r="D106" s="32"/>
      <c r="E106" s="36" t="n">
        <f aca="false">IF($A106="",0,SUMIFS(L_VDesp,L_SubID,$A106,L_Ano,CFG_ANO,L_Status,"REALIZADO")+SUMIFS(L_VRec,L_SubID,$A106,L_Ano,CFG_ANO,L_Status,"REALIZADO")+SUMIFS(L_VRend,L_SubID,$A106,L_Ano,CFG_ANO,L_Status,"REALIZADO"))</f>
        <v>0</v>
      </c>
      <c r="F106" s="36" t="n">
        <f aca="false">IF($A106="",0,SUMIFS(L_VDesp,L_SubID,$A106,L_Ano,CFG_ANO,L_Status,"PROJETADO")+SUMIFS(L_VRec,L_SubID,$A106,L_Ano,CFG_ANO,L_Status,"PROJETADO")+SUMIFS(L_VRend,L_SubID,$A106,L_Ano,CFG_ANO,L_Status,"PROJETADO"))</f>
        <v>0</v>
      </c>
      <c r="G106" s="34" t="str">
        <f aca="false">IF($A106="","",COUNTIFS($C$5:$C106,$C106))</f>
        <v/>
      </c>
      <c r="H106" s="32"/>
      <c r="I106" s="32"/>
    </row>
    <row r="107" customFormat="false" ht="15" hidden="false" customHeight="false" outlineLevel="0" collapsed="false">
      <c r="A107" s="30" t="str">
        <f aca="false">IF($B107="","","SUB-"&amp;TEXT(ROW()-4,"000000"))</f>
        <v/>
      </c>
      <c r="B107" s="32"/>
      <c r="C107" s="35" t="str">
        <f aca="false">IF($B107="","",IFERROR(INDEX(CAT_ID,MATCH($B107,CAT_NOME,0)),"?"))</f>
        <v/>
      </c>
      <c r="D107" s="32"/>
      <c r="E107" s="36" t="n">
        <f aca="false">IF($A107="",0,SUMIFS(L_VDesp,L_SubID,$A107,L_Ano,CFG_ANO,L_Status,"REALIZADO")+SUMIFS(L_VRec,L_SubID,$A107,L_Ano,CFG_ANO,L_Status,"REALIZADO")+SUMIFS(L_VRend,L_SubID,$A107,L_Ano,CFG_ANO,L_Status,"REALIZADO"))</f>
        <v>0</v>
      </c>
      <c r="F107" s="36" t="n">
        <f aca="false">IF($A107="",0,SUMIFS(L_VDesp,L_SubID,$A107,L_Ano,CFG_ANO,L_Status,"PROJETADO")+SUMIFS(L_VRec,L_SubID,$A107,L_Ano,CFG_ANO,L_Status,"PROJETADO")+SUMIFS(L_VRend,L_SubID,$A107,L_Ano,CFG_ANO,L_Status,"PROJETADO"))</f>
        <v>0</v>
      </c>
      <c r="G107" s="34" t="str">
        <f aca="false">IF($A107="","",COUNTIFS($C$5:$C107,$C107))</f>
        <v/>
      </c>
      <c r="H107" s="32"/>
      <c r="I107" s="32"/>
    </row>
    <row r="108" customFormat="false" ht="15" hidden="false" customHeight="false" outlineLevel="0" collapsed="false">
      <c r="A108" s="30" t="str">
        <f aca="false">IF($B108="","","SUB-"&amp;TEXT(ROW()-4,"000000"))</f>
        <v/>
      </c>
      <c r="B108" s="32"/>
      <c r="C108" s="35" t="str">
        <f aca="false">IF($B108="","",IFERROR(INDEX(CAT_ID,MATCH($B108,CAT_NOME,0)),"?"))</f>
        <v/>
      </c>
      <c r="D108" s="32"/>
      <c r="E108" s="36" t="n">
        <f aca="false">IF($A108="",0,SUMIFS(L_VDesp,L_SubID,$A108,L_Ano,CFG_ANO,L_Status,"REALIZADO")+SUMIFS(L_VRec,L_SubID,$A108,L_Ano,CFG_ANO,L_Status,"REALIZADO")+SUMIFS(L_VRend,L_SubID,$A108,L_Ano,CFG_ANO,L_Status,"REALIZADO"))</f>
        <v>0</v>
      </c>
      <c r="F108" s="36" t="n">
        <f aca="false">IF($A108="",0,SUMIFS(L_VDesp,L_SubID,$A108,L_Ano,CFG_ANO,L_Status,"PROJETADO")+SUMIFS(L_VRec,L_SubID,$A108,L_Ano,CFG_ANO,L_Status,"PROJETADO")+SUMIFS(L_VRend,L_SubID,$A108,L_Ano,CFG_ANO,L_Status,"PROJETADO"))</f>
        <v>0</v>
      </c>
      <c r="G108" s="34" t="str">
        <f aca="false">IF($A108="","",COUNTIFS($C$5:$C108,$C108))</f>
        <v/>
      </c>
      <c r="H108" s="32"/>
      <c r="I108" s="32"/>
    </row>
    <row r="109" customFormat="false" ht="15" hidden="false" customHeight="false" outlineLevel="0" collapsed="false">
      <c r="A109" s="30" t="str">
        <f aca="false">IF($B109="","","SUB-"&amp;TEXT(ROW()-4,"000000"))</f>
        <v/>
      </c>
      <c r="B109" s="32"/>
      <c r="C109" s="35" t="str">
        <f aca="false">IF($B109="","",IFERROR(INDEX(CAT_ID,MATCH($B109,CAT_NOME,0)),"?"))</f>
        <v/>
      </c>
      <c r="D109" s="32"/>
      <c r="E109" s="36" t="n">
        <f aca="false">IF($A109="",0,SUMIFS(L_VDesp,L_SubID,$A109,L_Ano,CFG_ANO,L_Status,"REALIZADO")+SUMIFS(L_VRec,L_SubID,$A109,L_Ano,CFG_ANO,L_Status,"REALIZADO")+SUMIFS(L_VRend,L_SubID,$A109,L_Ano,CFG_ANO,L_Status,"REALIZADO"))</f>
        <v>0</v>
      </c>
      <c r="F109" s="36" t="n">
        <f aca="false">IF($A109="",0,SUMIFS(L_VDesp,L_SubID,$A109,L_Ano,CFG_ANO,L_Status,"PROJETADO")+SUMIFS(L_VRec,L_SubID,$A109,L_Ano,CFG_ANO,L_Status,"PROJETADO")+SUMIFS(L_VRend,L_SubID,$A109,L_Ano,CFG_ANO,L_Status,"PROJETADO"))</f>
        <v>0</v>
      </c>
      <c r="G109" s="34" t="str">
        <f aca="false">IF($A109="","",COUNTIFS($C$5:$C109,$C109))</f>
        <v/>
      </c>
      <c r="H109" s="32"/>
      <c r="I109" s="32"/>
    </row>
    <row r="110" customFormat="false" ht="15" hidden="false" customHeight="false" outlineLevel="0" collapsed="false">
      <c r="A110" s="30" t="str">
        <f aca="false">IF($B110="","","SUB-"&amp;TEXT(ROW()-4,"000000"))</f>
        <v/>
      </c>
      <c r="B110" s="32"/>
      <c r="C110" s="35" t="str">
        <f aca="false">IF($B110="","",IFERROR(INDEX(CAT_ID,MATCH($B110,CAT_NOME,0)),"?"))</f>
        <v/>
      </c>
      <c r="D110" s="32"/>
      <c r="E110" s="36" t="n">
        <f aca="false">IF($A110="",0,SUMIFS(L_VDesp,L_SubID,$A110,L_Ano,CFG_ANO,L_Status,"REALIZADO")+SUMIFS(L_VRec,L_SubID,$A110,L_Ano,CFG_ANO,L_Status,"REALIZADO")+SUMIFS(L_VRend,L_SubID,$A110,L_Ano,CFG_ANO,L_Status,"REALIZADO"))</f>
        <v>0</v>
      </c>
      <c r="F110" s="36" t="n">
        <f aca="false">IF($A110="",0,SUMIFS(L_VDesp,L_SubID,$A110,L_Ano,CFG_ANO,L_Status,"PROJETADO")+SUMIFS(L_VRec,L_SubID,$A110,L_Ano,CFG_ANO,L_Status,"PROJETADO")+SUMIFS(L_VRend,L_SubID,$A110,L_Ano,CFG_ANO,L_Status,"PROJETADO"))</f>
        <v>0</v>
      </c>
      <c r="G110" s="34" t="str">
        <f aca="false">IF($A110="","",COUNTIFS($C$5:$C110,$C110))</f>
        <v/>
      </c>
      <c r="H110" s="32"/>
      <c r="I110" s="32"/>
    </row>
    <row r="111" customFormat="false" ht="15" hidden="false" customHeight="false" outlineLevel="0" collapsed="false">
      <c r="A111" s="30" t="str">
        <f aca="false">IF($B111="","","SUB-"&amp;TEXT(ROW()-4,"000000"))</f>
        <v/>
      </c>
      <c r="B111" s="32"/>
      <c r="C111" s="35" t="str">
        <f aca="false">IF($B111="","",IFERROR(INDEX(CAT_ID,MATCH($B111,CAT_NOME,0)),"?"))</f>
        <v/>
      </c>
      <c r="D111" s="32"/>
      <c r="E111" s="36" t="n">
        <f aca="false">IF($A111="",0,SUMIFS(L_VDesp,L_SubID,$A111,L_Ano,CFG_ANO,L_Status,"REALIZADO")+SUMIFS(L_VRec,L_SubID,$A111,L_Ano,CFG_ANO,L_Status,"REALIZADO")+SUMIFS(L_VRend,L_SubID,$A111,L_Ano,CFG_ANO,L_Status,"REALIZADO"))</f>
        <v>0</v>
      </c>
      <c r="F111" s="36" t="n">
        <f aca="false">IF($A111="",0,SUMIFS(L_VDesp,L_SubID,$A111,L_Ano,CFG_ANO,L_Status,"PROJETADO")+SUMIFS(L_VRec,L_SubID,$A111,L_Ano,CFG_ANO,L_Status,"PROJETADO")+SUMIFS(L_VRend,L_SubID,$A111,L_Ano,CFG_ANO,L_Status,"PROJETADO"))</f>
        <v>0</v>
      </c>
      <c r="G111" s="34" t="str">
        <f aca="false">IF($A111="","",COUNTIFS($C$5:$C111,$C111))</f>
        <v/>
      </c>
      <c r="H111" s="32"/>
      <c r="I111" s="32"/>
    </row>
    <row r="112" customFormat="false" ht="15" hidden="false" customHeight="false" outlineLevel="0" collapsed="false">
      <c r="A112" s="30" t="str">
        <f aca="false">IF($B112="","","SUB-"&amp;TEXT(ROW()-4,"000000"))</f>
        <v/>
      </c>
      <c r="B112" s="32"/>
      <c r="C112" s="35" t="str">
        <f aca="false">IF($B112="","",IFERROR(INDEX(CAT_ID,MATCH($B112,CAT_NOME,0)),"?"))</f>
        <v/>
      </c>
      <c r="D112" s="32"/>
      <c r="E112" s="36" t="n">
        <f aca="false">IF($A112="",0,SUMIFS(L_VDesp,L_SubID,$A112,L_Ano,CFG_ANO,L_Status,"REALIZADO")+SUMIFS(L_VRec,L_SubID,$A112,L_Ano,CFG_ANO,L_Status,"REALIZADO")+SUMIFS(L_VRend,L_SubID,$A112,L_Ano,CFG_ANO,L_Status,"REALIZADO"))</f>
        <v>0</v>
      </c>
      <c r="F112" s="36" t="n">
        <f aca="false">IF($A112="",0,SUMIFS(L_VDesp,L_SubID,$A112,L_Ano,CFG_ANO,L_Status,"PROJETADO")+SUMIFS(L_VRec,L_SubID,$A112,L_Ano,CFG_ANO,L_Status,"PROJETADO")+SUMIFS(L_VRend,L_SubID,$A112,L_Ano,CFG_ANO,L_Status,"PROJETADO"))</f>
        <v>0</v>
      </c>
      <c r="G112" s="34" t="str">
        <f aca="false">IF($A112="","",COUNTIFS($C$5:$C112,$C112))</f>
        <v/>
      </c>
      <c r="H112" s="32"/>
      <c r="I112" s="32"/>
    </row>
    <row r="113" customFormat="false" ht="15" hidden="false" customHeight="false" outlineLevel="0" collapsed="false">
      <c r="A113" s="30" t="str">
        <f aca="false">IF($B113="","","SUB-"&amp;TEXT(ROW()-4,"000000"))</f>
        <v/>
      </c>
      <c r="B113" s="32"/>
      <c r="C113" s="35" t="str">
        <f aca="false">IF($B113="","",IFERROR(INDEX(CAT_ID,MATCH($B113,CAT_NOME,0)),"?"))</f>
        <v/>
      </c>
      <c r="D113" s="32"/>
      <c r="E113" s="36" t="n">
        <f aca="false">IF($A113="",0,SUMIFS(L_VDesp,L_SubID,$A113,L_Ano,CFG_ANO,L_Status,"REALIZADO")+SUMIFS(L_VRec,L_SubID,$A113,L_Ano,CFG_ANO,L_Status,"REALIZADO")+SUMIFS(L_VRend,L_SubID,$A113,L_Ano,CFG_ANO,L_Status,"REALIZADO"))</f>
        <v>0</v>
      </c>
      <c r="F113" s="36" t="n">
        <f aca="false">IF($A113="",0,SUMIFS(L_VDesp,L_SubID,$A113,L_Ano,CFG_ANO,L_Status,"PROJETADO")+SUMIFS(L_VRec,L_SubID,$A113,L_Ano,CFG_ANO,L_Status,"PROJETADO")+SUMIFS(L_VRend,L_SubID,$A113,L_Ano,CFG_ANO,L_Status,"PROJETADO"))</f>
        <v>0</v>
      </c>
      <c r="G113" s="34" t="str">
        <f aca="false">IF($A113="","",COUNTIFS($C$5:$C113,$C113))</f>
        <v/>
      </c>
      <c r="H113" s="32"/>
      <c r="I113" s="32"/>
    </row>
    <row r="114" customFormat="false" ht="15" hidden="false" customHeight="false" outlineLevel="0" collapsed="false">
      <c r="A114" s="30" t="str">
        <f aca="false">IF($B114="","","SUB-"&amp;TEXT(ROW()-4,"000000"))</f>
        <v/>
      </c>
      <c r="B114" s="32"/>
      <c r="C114" s="35" t="str">
        <f aca="false">IF($B114="","",IFERROR(INDEX(CAT_ID,MATCH($B114,CAT_NOME,0)),"?"))</f>
        <v/>
      </c>
      <c r="D114" s="32"/>
      <c r="E114" s="36" t="n">
        <f aca="false">IF($A114="",0,SUMIFS(L_VDesp,L_SubID,$A114,L_Ano,CFG_ANO,L_Status,"REALIZADO")+SUMIFS(L_VRec,L_SubID,$A114,L_Ano,CFG_ANO,L_Status,"REALIZADO")+SUMIFS(L_VRend,L_SubID,$A114,L_Ano,CFG_ANO,L_Status,"REALIZADO"))</f>
        <v>0</v>
      </c>
      <c r="F114" s="36" t="n">
        <f aca="false">IF($A114="",0,SUMIFS(L_VDesp,L_SubID,$A114,L_Ano,CFG_ANO,L_Status,"PROJETADO")+SUMIFS(L_VRec,L_SubID,$A114,L_Ano,CFG_ANO,L_Status,"PROJETADO")+SUMIFS(L_VRend,L_SubID,$A114,L_Ano,CFG_ANO,L_Status,"PROJETADO"))</f>
        <v>0</v>
      </c>
      <c r="G114" s="34" t="str">
        <f aca="false">IF($A114="","",COUNTIFS($C$5:$C114,$C114))</f>
        <v/>
      </c>
      <c r="H114" s="32"/>
      <c r="I114" s="32"/>
    </row>
    <row r="115" customFormat="false" ht="15" hidden="false" customHeight="false" outlineLevel="0" collapsed="false">
      <c r="A115" s="30" t="str">
        <f aca="false">IF($B115="","","SUB-"&amp;TEXT(ROW()-4,"000000"))</f>
        <v/>
      </c>
      <c r="B115" s="32"/>
      <c r="C115" s="35" t="str">
        <f aca="false">IF($B115="","",IFERROR(INDEX(CAT_ID,MATCH($B115,CAT_NOME,0)),"?"))</f>
        <v/>
      </c>
      <c r="D115" s="32"/>
      <c r="E115" s="36" t="n">
        <f aca="false">IF($A115="",0,SUMIFS(L_VDesp,L_SubID,$A115,L_Ano,CFG_ANO,L_Status,"REALIZADO")+SUMIFS(L_VRec,L_SubID,$A115,L_Ano,CFG_ANO,L_Status,"REALIZADO")+SUMIFS(L_VRend,L_SubID,$A115,L_Ano,CFG_ANO,L_Status,"REALIZADO"))</f>
        <v>0</v>
      </c>
      <c r="F115" s="36" t="n">
        <f aca="false">IF($A115="",0,SUMIFS(L_VDesp,L_SubID,$A115,L_Ano,CFG_ANO,L_Status,"PROJETADO")+SUMIFS(L_VRec,L_SubID,$A115,L_Ano,CFG_ANO,L_Status,"PROJETADO")+SUMIFS(L_VRend,L_SubID,$A115,L_Ano,CFG_ANO,L_Status,"PROJETADO"))</f>
        <v>0</v>
      </c>
      <c r="G115" s="34" t="str">
        <f aca="false">IF($A115="","",COUNTIFS($C$5:$C115,$C115))</f>
        <v/>
      </c>
      <c r="H115" s="32"/>
      <c r="I115" s="32"/>
    </row>
    <row r="116" customFormat="false" ht="15" hidden="false" customHeight="false" outlineLevel="0" collapsed="false">
      <c r="A116" s="30" t="str">
        <f aca="false">IF($B116="","","SUB-"&amp;TEXT(ROW()-4,"000000"))</f>
        <v/>
      </c>
      <c r="B116" s="32"/>
      <c r="C116" s="35" t="str">
        <f aca="false">IF($B116="","",IFERROR(INDEX(CAT_ID,MATCH($B116,CAT_NOME,0)),"?"))</f>
        <v/>
      </c>
      <c r="D116" s="32"/>
      <c r="E116" s="36" t="n">
        <f aca="false">IF($A116="",0,SUMIFS(L_VDesp,L_SubID,$A116,L_Ano,CFG_ANO,L_Status,"REALIZADO")+SUMIFS(L_VRec,L_SubID,$A116,L_Ano,CFG_ANO,L_Status,"REALIZADO")+SUMIFS(L_VRend,L_SubID,$A116,L_Ano,CFG_ANO,L_Status,"REALIZADO"))</f>
        <v>0</v>
      </c>
      <c r="F116" s="36" t="n">
        <f aca="false">IF($A116="",0,SUMIFS(L_VDesp,L_SubID,$A116,L_Ano,CFG_ANO,L_Status,"PROJETADO")+SUMIFS(L_VRec,L_SubID,$A116,L_Ano,CFG_ANO,L_Status,"PROJETADO")+SUMIFS(L_VRend,L_SubID,$A116,L_Ano,CFG_ANO,L_Status,"PROJETADO"))</f>
        <v>0</v>
      </c>
      <c r="G116" s="34" t="str">
        <f aca="false">IF($A116="","",COUNTIFS($C$5:$C116,$C116))</f>
        <v/>
      </c>
      <c r="H116" s="32"/>
      <c r="I116" s="32"/>
    </row>
    <row r="117" customFormat="false" ht="15" hidden="false" customHeight="false" outlineLevel="0" collapsed="false">
      <c r="A117" s="30" t="str">
        <f aca="false">IF($B117="","","SUB-"&amp;TEXT(ROW()-4,"000000"))</f>
        <v/>
      </c>
      <c r="B117" s="32"/>
      <c r="C117" s="35" t="str">
        <f aca="false">IF($B117="","",IFERROR(INDEX(CAT_ID,MATCH($B117,CAT_NOME,0)),"?"))</f>
        <v/>
      </c>
      <c r="D117" s="32"/>
      <c r="E117" s="36" t="n">
        <f aca="false">IF($A117="",0,SUMIFS(L_VDesp,L_SubID,$A117,L_Ano,CFG_ANO,L_Status,"REALIZADO")+SUMIFS(L_VRec,L_SubID,$A117,L_Ano,CFG_ANO,L_Status,"REALIZADO")+SUMIFS(L_VRend,L_SubID,$A117,L_Ano,CFG_ANO,L_Status,"REALIZADO"))</f>
        <v>0</v>
      </c>
      <c r="F117" s="36" t="n">
        <f aca="false">IF($A117="",0,SUMIFS(L_VDesp,L_SubID,$A117,L_Ano,CFG_ANO,L_Status,"PROJETADO")+SUMIFS(L_VRec,L_SubID,$A117,L_Ano,CFG_ANO,L_Status,"PROJETADO")+SUMIFS(L_VRend,L_SubID,$A117,L_Ano,CFG_ANO,L_Status,"PROJETADO"))</f>
        <v>0</v>
      </c>
      <c r="G117" s="34" t="str">
        <f aca="false">IF($A117="","",COUNTIFS($C$5:$C117,$C117))</f>
        <v/>
      </c>
      <c r="H117" s="32"/>
      <c r="I117" s="32"/>
    </row>
    <row r="118" customFormat="false" ht="15" hidden="false" customHeight="false" outlineLevel="0" collapsed="false">
      <c r="A118" s="30" t="str">
        <f aca="false">IF($B118="","","SUB-"&amp;TEXT(ROW()-4,"000000"))</f>
        <v/>
      </c>
      <c r="B118" s="32"/>
      <c r="C118" s="35" t="str">
        <f aca="false">IF($B118="","",IFERROR(INDEX(CAT_ID,MATCH($B118,CAT_NOME,0)),"?"))</f>
        <v/>
      </c>
      <c r="D118" s="32"/>
      <c r="E118" s="36" t="n">
        <f aca="false">IF($A118="",0,SUMIFS(L_VDesp,L_SubID,$A118,L_Ano,CFG_ANO,L_Status,"REALIZADO")+SUMIFS(L_VRec,L_SubID,$A118,L_Ano,CFG_ANO,L_Status,"REALIZADO")+SUMIFS(L_VRend,L_SubID,$A118,L_Ano,CFG_ANO,L_Status,"REALIZADO"))</f>
        <v>0</v>
      </c>
      <c r="F118" s="36" t="n">
        <f aca="false">IF($A118="",0,SUMIFS(L_VDesp,L_SubID,$A118,L_Ano,CFG_ANO,L_Status,"PROJETADO")+SUMIFS(L_VRec,L_SubID,$A118,L_Ano,CFG_ANO,L_Status,"PROJETADO")+SUMIFS(L_VRend,L_SubID,$A118,L_Ano,CFG_ANO,L_Status,"PROJETADO"))</f>
        <v>0</v>
      </c>
      <c r="G118" s="34" t="str">
        <f aca="false">IF($A118="","",COUNTIFS($C$5:$C118,$C118))</f>
        <v/>
      </c>
      <c r="H118" s="32"/>
      <c r="I118" s="32"/>
    </row>
    <row r="119" customFormat="false" ht="15" hidden="false" customHeight="false" outlineLevel="0" collapsed="false">
      <c r="A119" s="30" t="str">
        <f aca="false">IF($B119="","","SUB-"&amp;TEXT(ROW()-4,"000000"))</f>
        <v/>
      </c>
      <c r="B119" s="32"/>
      <c r="C119" s="35" t="str">
        <f aca="false">IF($B119="","",IFERROR(INDEX(CAT_ID,MATCH($B119,CAT_NOME,0)),"?"))</f>
        <v/>
      </c>
      <c r="D119" s="32"/>
      <c r="E119" s="36" t="n">
        <f aca="false">IF($A119="",0,SUMIFS(L_VDesp,L_SubID,$A119,L_Ano,CFG_ANO,L_Status,"REALIZADO")+SUMIFS(L_VRec,L_SubID,$A119,L_Ano,CFG_ANO,L_Status,"REALIZADO")+SUMIFS(L_VRend,L_SubID,$A119,L_Ano,CFG_ANO,L_Status,"REALIZADO"))</f>
        <v>0</v>
      </c>
      <c r="F119" s="36" t="n">
        <f aca="false">IF($A119="",0,SUMIFS(L_VDesp,L_SubID,$A119,L_Ano,CFG_ANO,L_Status,"PROJETADO")+SUMIFS(L_VRec,L_SubID,$A119,L_Ano,CFG_ANO,L_Status,"PROJETADO")+SUMIFS(L_VRend,L_SubID,$A119,L_Ano,CFG_ANO,L_Status,"PROJETADO"))</f>
        <v>0</v>
      </c>
      <c r="G119" s="34" t="str">
        <f aca="false">IF($A119="","",COUNTIFS($C$5:$C119,$C119))</f>
        <v/>
      </c>
      <c r="H119" s="32"/>
      <c r="I119" s="32"/>
    </row>
    <row r="120" customFormat="false" ht="15" hidden="false" customHeight="false" outlineLevel="0" collapsed="false">
      <c r="A120" s="30" t="str">
        <f aca="false">IF($B120="","","SUB-"&amp;TEXT(ROW()-4,"000000"))</f>
        <v/>
      </c>
      <c r="B120" s="32"/>
      <c r="C120" s="35" t="str">
        <f aca="false">IF($B120="","",IFERROR(INDEX(CAT_ID,MATCH($B120,CAT_NOME,0)),"?"))</f>
        <v/>
      </c>
      <c r="D120" s="32"/>
      <c r="E120" s="36" t="n">
        <f aca="false">IF($A120="",0,SUMIFS(L_VDesp,L_SubID,$A120,L_Ano,CFG_ANO,L_Status,"REALIZADO")+SUMIFS(L_VRec,L_SubID,$A120,L_Ano,CFG_ANO,L_Status,"REALIZADO")+SUMIFS(L_VRend,L_SubID,$A120,L_Ano,CFG_ANO,L_Status,"REALIZADO"))</f>
        <v>0</v>
      </c>
      <c r="F120" s="36" t="n">
        <f aca="false">IF($A120="",0,SUMIFS(L_VDesp,L_SubID,$A120,L_Ano,CFG_ANO,L_Status,"PROJETADO")+SUMIFS(L_VRec,L_SubID,$A120,L_Ano,CFG_ANO,L_Status,"PROJETADO")+SUMIFS(L_VRend,L_SubID,$A120,L_Ano,CFG_ANO,L_Status,"PROJETADO"))</f>
        <v>0</v>
      </c>
      <c r="G120" s="34" t="str">
        <f aca="false">IF($A120="","",COUNTIFS($C$5:$C120,$C120))</f>
        <v/>
      </c>
      <c r="H120" s="32"/>
      <c r="I120" s="32"/>
    </row>
    <row r="121" customFormat="false" ht="15" hidden="false" customHeight="false" outlineLevel="0" collapsed="false">
      <c r="A121" s="30" t="str">
        <f aca="false">IF($B121="","","SUB-"&amp;TEXT(ROW()-4,"000000"))</f>
        <v/>
      </c>
      <c r="B121" s="32"/>
      <c r="C121" s="35" t="str">
        <f aca="false">IF($B121="","",IFERROR(INDEX(CAT_ID,MATCH($B121,CAT_NOME,0)),"?"))</f>
        <v/>
      </c>
      <c r="D121" s="32"/>
      <c r="E121" s="36" t="n">
        <f aca="false">IF($A121="",0,SUMIFS(L_VDesp,L_SubID,$A121,L_Ano,CFG_ANO,L_Status,"REALIZADO")+SUMIFS(L_VRec,L_SubID,$A121,L_Ano,CFG_ANO,L_Status,"REALIZADO")+SUMIFS(L_VRend,L_SubID,$A121,L_Ano,CFG_ANO,L_Status,"REALIZADO"))</f>
        <v>0</v>
      </c>
      <c r="F121" s="36" t="n">
        <f aca="false">IF($A121="",0,SUMIFS(L_VDesp,L_SubID,$A121,L_Ano,CFG_ANO,L_Status,"PROJETADO")+SUMIFS(L_VRec,L_SubID,$A121,L_Ano,CFG_ANO,L_Status,"PROJETADO")+SUMIFS(L_VRend,L_SubID,$A121,L_Ano,CFG_ANO,L_Status,"PROJETADO"))</f>
        <v>0</v>
      </c>
      <c r="G121" s="34" t="str">
        <f aca="false">IF($A121="","",COUNTIFS($C$5:$C121,$C121))</f>
        <v/>
      </c>
      <c r="H121" s="32"/>
      <c r="I121" s="32"/>
    </row>
    <row r="122" customFormat="false" ht="15" hidden="false" customHeight="false" outlineLevel="0" collapsed="false">
      <c r="A122" s="30" t="str">
        <f aca="false">IF($B122="","","SUB-"&amp;TEXT(ROW()-4,"000000"))</f>
        <v/>
      </c>
      <c r="B122" s="32"/>
      <c r="C122" s="35" t="str">
        <f aca="false">IF($B122="","",IFERROR(INDEX(CAT_ID,MATCH($B122,CAT_NOME,0)),"?"))</f>
        <v/>
      </c>
      <c r="D122" s="32"/>
      <c r="E122" s="36" t="n">
        <f aca="false">IF($A122="",0,SUMIFS(L_VDesp,L_SubID,$A122,L_Ano,CFG_ANO,L_Status,"REALIZADO")+SUMIFS(L_VRec,L_SubID,$A122,L_Ano,CFG_ANO,L_Status,"REALIZADO")+SUMIFS(L_VRend,L_SubID,$A122,L_Ano,CFG_ANO,L_Status,"REALIZADO"))</f>
        <v>0</v>
      </c>
      <c r="F122" s="36" t="n">
        <f aca="false">IF($A122="",0,SUMIFS(L_VDesp,L_SubID,$A122,L_Ano,CFG_ANO,L_Status,"PROJETADO")+SUMIFS(L_VRec,L_SubID,$A122,L_Ano,CFG_ANO,L_Status,"PROJETADO")+SUMIFS(L_VRend,L_SubID,$A122,L_Ano,CFG_ANO,L_Status,"PROJETADO"))</f>
        <v>0</v>
      </c>
      <c r="G122" s="34" t="str">
        <f aca="false">IF($A122="","",COUNTIFS($C$5:$C122,$C122))</f>
        <v/>
      </c>
      <c r="H122" s="32"/>
      <c r="I122" s="32"/>
    </row>
    <row r="123" customFormat="false" ht="15" hidden="false" customHeight="false" outlineLevel="0" collapsed="false">
      <c r="A123" s="30" t="str">
        <f aca="false">IF($B123="","","SUB-"&amp;TEXT(ROW()-4,"000000"))</f>
        <v/>
      </c>
      <c r="B123" s="32"/>
      <c r="C123" s="35" t="str">
        <f aca="false">IF($B123="","",IFERROR(INDEX(CAT_ID,MATCH($B123,CAT_NOME,0)),"?"))</f>
        <v/>
      </c>
      <c r="D123" s="32"/>
      <c r="E123" s="36" t="n">
        <f aca="false">IF($A123="",0,SUMIFS(L_VDesp,L_SubID,$A123,L_Ano,CFG_ANO,L_Status,"REALIZADO")+SUMIFS(L_VRec,L_SubID,$A123,L_Ano,CFG_ANO,L_Status,"REALIZADO")+SUMIFS(L_VRend,L_SubID,$A123,L_Ano,CFG_ANO,L_Status,"REALIZADO"))</f>
        <v>0</v>
      </c>
      <c r="F123" s="36" t="n">
        <f aca="false">IF($A123="",0,SUMIFS(L_VDesp,L_SubID,$A123,L_Ano,CFG_ANO,L_Status,"PROJETADO")+SUMIFS(L_VRec,L_SubID,$A123,L_Ano,CFG_ANO,L_Status,"PROJETADO")+SUMIFS(L_VRend,L_SubID,$A123,L_Ano,CFG_ANO,L_Status,"PROJETADO"))</f>
        <v>0</v>
      </c>
      <c r="G123" s="34" t="str">
        <f aca="false">IF($A123="","",COUNTIFS($C$5:$C123,$C123))</f>
        <v/>
      </c>
      <c r="H123" s="32"/>
      <c r="I123" s="32"/>
    </row>
    <row r="124" customFormat="false" ht="15" hidden="false" customHeight="false" outlineLevel="0" collapsed="false">
      <c r="A124" s="30" t="str">
        <f aca="false">IF($B124="","","SUB-"&amp;TEXT(ROW()-4,"000000"))</f>
        <v/>
      </c>
      <c r="B124" s="32"/>
      <c r="C124" s="35" t="str">
        <f aca="false">IF($B124="","",IFERROR(INDEX(CAT_ID,MATCH($B124,CAT_NOME,0)),"?"))</f>
        <v/>
      </c>
      <c r="D124" s="32"/>
      <c r="E124" s="36" t="n">
        <f aca="false">IF($A124="",0,SUMIFS(L_VDesp,L_SubID,$A124,L_Ano,CFG_ANO,L_Status,"REALIZADO")+SUMIFS(L_VRec,L_SubID,$A124,L_Ano,CFG_ANO,L_Status,"REALIZADO")+SUMIFS(L_VRend,L_SubID,$A124,L_Ano,CFG_ANO,L_Status,"REALIZADO"))</f>
        <v>0</v>
      </c>
      <c r="F124" s="36" t="n">
        <f aca="false">IF($A124="",0,SUMIFS(L_VDesp,L_SubID,$A124,L_Ano,CFG_ANO,L_Status,"PROJETADO")+SUMIFS(L_VRec,L_SubID,$A124,L_Ano,CFG_ANO,L_Status,"PROJETADO")+SUMIFS(L_VRend,L_SubID,$A124,L_Ano,CFG_ANO,L_Status,"PROJETADO"))</f>
        <v>0</v>
      </c>
      <c r="G124" s="34" t="str">
        <f aca="false">IF($A124="","",COUNTIFS($C$5:$C124,$C124))</f>
        <v/>
      </c>
      <c r="H124" s="32"/>
      <c r="I124" s="32"/>
    </row>
  </sheetData>
  <autoFilter ref="A4:I124"/>
  <mergeCells count="2">
    <mergeCell ref="A1:I1"/>
    <mergeCell ref="A2:I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124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12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Z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7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22" min="18" style="0" width="16"/>
    <col collapsed="false" customWidth="true" hidden="false" outlineLevel="0" max="23" min="23" style="0" width="13"/>
    <col collapsed="false" customWidth="true" hidden="false" outlineLevel="0" max="24" min="24" style="0" width="16"/>
    <col collapsed="false" customWidth="true" hidden="false" outlineLevel="0" max="25" min="25" style="0" width="12"/>
    <col collapsed="false" customWidth="true" hidden="false" outlineLevel="0" max="26" min="26" style="0" width="56"/>
  </cols>
  <sheetData>
    <row r="1" customFormat="false" ht="25.5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customFormat="false" ht="30" hidden="false" customHeight="true" outlineLevel="0" collapsed="false">
      <c r="A4" s="8" t="s">
        <v>92</v>
      </c>
      <c r="B4" s="8" t="s">
        <v>161</v>
      </c>
      <c r="C4" s="8" t="s">
        <v>63</v>
      </c>
      <c r="D4" s="8" t="s">
        <v>216</v>
      </c>
      <c r="E4" s="8" t="s">
        <v>65</v>
      </c>
      <c r="F4" s="8" t="s">
        <v>237</v>
      </c>
      <c r="G4" s="8" t="s">
        <v>293</v>
      </c>
      <c r="H4" s="8" t="s">
        <v>139</v>
      </c>
      <c r="I4" s="8" t="s">
        <v>294</v>
      </c>
      <c r="J4" s="8" t="s">
        <v>295</v>
      </c>
      <c r="K4" s="8" t="s">
        <v>183</v>
      </c>
      <c r="L4" s="8" t="s">
        <v>296</v>
      </c>
      <c r="M4" s="8" t="s">
        <v>297</v>
      </c>
      <c r="N4" s="8" t="s">
        <v>298</v>
      </c>
      <c r="O4" s="8" t="s">
        <v>299</v>
      </c>
      <c r="P4" s="8" t="s">
        <v>300</v>
      </c>
      <c r="Q4" s="8" t="s">
        <v>301</v>
      </c>
      <c r="R4" s="8" t="s">
        <v>302</v>
      </c>
      <c r="S4" s="8" t="s">
        <v>303</v>
      </c>
      <c r="T4" s="8" t="s">
        <v>304</v>
      </c>
      <c r="U4" s="8" t="s">
        <v>305</v>
      </c>
      <c r="V4" s="8" t="s">
        <v>306</v>
      </c>
      <c r="W4" s="8" t="s">
        <v>307</v>
      </c>
      <c r="X4" s="8" t="s">
        <v>308</v>
      </c>
      <c r="Y4" s="8" t="s">
        <v>52</v>
      </c>
      <c r="Z4" s="8" t="s">
        <v>76</v>
      </c>
    </row>
    <row r="5" customFormat="false" ht="15" hidden="false" customHeight="false" outlineLevel="0" collapsed="false">
      <c r="A5" s="30" t="str">
        <f aca="false">IF($B5="","","CMP-"&amp;TEXT(ROW()-4,"000000"))</f>
        <v/>
      </c>
      <c r="B5" s="32"/>
      <c r="C5" s="32"/>
      <c r="D5" s="35" t="str">
        <f aca="false">IF($B5="","",IFERROR(INDEX(CAT_ID,MATCH($C5,CAT_NOME,0)),"?"))</f>
        <v/>
      </c>
      <c r="E5" s="32"/>
      <c r="F5" s="35" t="str">
        <f aca="false">IF($E5="","",IFERROR(INDEX(SUB_ID,MATCH(1,INDEX((SUB_NOME=$E5)*(SUB_CATID=$D5),0),0)),"?"))</f>
        <v/>
      </c>
      <c r="G5" s="37"/>
      <c r="H5" s="33"/>
      <c r="I5" s="36" t="str">
        <f aca="false">IF($A5="","",$G5*$H5)</f>
        <v/>
      </c>
      <c r="J5" s="31"/>
      <c r="K5" s="37"/>
      <c r="L5" s="32"/>
      <c r="M5" s="37"/>
      <c r="N5" s="32"/>
      <c r="O5" s="32"/>
      <c r="P5" s="34" t="n">
        <f aca="false">IF($A5="",0,COUNTIFS(P_CMP,$A5,P_STATUS,"PAGA"))</f>
        <v>0</v>
      </c>
      <c r="Q5" s="34" t="n">
        <f aca="false">IF($A5="",0,COUNTIFS(P_CMP,$A5,P_STATUS,"ABERTA"))</f>
        <v>0</v>
      </c>
      <c r="R5" s="34" t="n">
        <f aca="false">IF($A5="",0,COUNTIFS(P_CMP,$A5,P_STATUS,"ATRASADA"))</f>
        <v>0</v>
      </c>
      <c r="S5" s="34" t="n">
        <f aca="false">IF($A5="",0,COUNTIFS(P_CMP,$A5,P_STATUS,"PROJETADA"))</f>
        <v>0</v>
      </c>
      <c r="T5" s="34" t="str">
        <f aca="false">IF($A5="","",$G5-$P5)</f>
        <v/>
      </c>
      <c r="U5" s="36" t="n">
        <f aca="false">IF($A5="",0,SUMIFS(P_VALOR,P_CMP,$A5,P_STATUS,"PAGA"))</f>
        <v>0</v>
      </c>
      <c r="V5" s="36" t="str">
        <f aca="false">IF($A5="","",$I5-$U5)</f>
        <v/>
      </c>
      <c r="W5" s="35" t="str">
        <f aca="false">IF($A5="","",MIN($G5,$P5+1)&amp;"/"&amp;$G5)</f>
        <v/>
      </c>
      <c r="X5" s="38" t="str">
        <f aca="false">IF($A5="","",IFERROR(INDEX(P_VENC,MATCH(1,INDEX((P_CMP=$A5)*(P_STATUS&lt;&gt;"PAGA")*(P_STATUS&lt;&gt;"CANCELADA"),0),0)),""))</f>
        <v/>
      </c>
      <c r="Y5" s="32"/>
      <c r="Z5" s="32"/>
    </row>
    <row r="6" customFormat="false" ht="15" hidden="false" customHeight="false" outlineLevel="0" collapsed="false">
      <c r="A6" s="30" t="str">
        <f aca="false">IF($B6="","","CMP-"&amp;TEXT(ROW()-4,"000000"))</f>
        <v/>
      </c>
      <c r="B6" s="32"/>
      <c r="C6" s="32"/>
      <c r="D6" s="35" t="str">
        <f aca="false">IF($B6="","",IFERROR(INDEX(CAT_ID,MATCH($C6,CAT_NOME,0)),"?"))</f>
        <v/>
      </c>
      <c r="E6" s="32"/>
      <c r="F6" s="35" t="str">
        <f aca="false">IF($E6="","",IFERROR(INDEX(SUB_ID,MATCH(1,INDEX((SUB_NOME=$E6)*(SUB_CATID=$D6),0),0)),"?"))</f>
        <v/>
      </c>
      <c r="G6" s="37"/>
      <c r="H6" s="33"/>
      <c r="I6" s="36" t="str">
        <f aca="false">IF($A6="","",$G6*$H6)</f>
        <v/>
      </c>
      <c r="J6" s="31"/>
      <c r="K6" s="37"/>
      <c r="L6" s="32"/>
      <c r="M6" s="37"/>
      <c r="N6" s="32"/>
      <c r="O6" s="32"/>
      <c r="P6" s="34" t="n">
        <f aca="false">IF($A6="",0,COUNTIFS(P_CMP,$A6,P_STATUS,"PAGA"))</f>
        <v>0</v>
      </c>
      <c r="Q6" s="34" t="n">
        <f aca="false">IF($A6="",0,COUNTIFS(P_CMP,$A6,P_STATUS,"ABERTA"))</f>
        <v>0</v>
      </c>
      <c r="R6" s="34" t="n">
        <f aca="false">IF($A6="",0,COUNTIFS(P_CMP,$A6,P_STATUS,"ATRASADA"))</f>
        <v>0</v>
      </c>
      <c r="S6" s="34" t="n">
        <f aca="false">IF($A6="",0,COUNTIFS(P_CMP,$A6,P_STATUS,"PROJETADA"))</f>
        <v>0</v>
      </c>
      <c r="T6" s="34" t="str">
        <f aca="false">IF($A6="","",$G6-$P6)</f>
        <v/>
      </c>
      <c r="U6" s="36" t="n">
        <f aca="false">IF($A6="",0,SUMIFS(P_VALOR,P_CMP,$A6,P_STATUS,"PAGA"))</f>
        <v>0</v>
      </c>
      <c r="V6" s="36" t="str">
        <f aca="false">IF($A6="","",$I6-$U6)</f>
        <v/>
      </c>
      <c r="W6" s="35" t="str">
        <f aca="false">IF($A6="","",MIN($G6,$P6+1)&amp;"/"&amp;$G6)</f>
        <v/>
      </c>
      <c r="X6" s="38" t="str">
        <f aca="false">IF($A6="","",IFERROR(INDEX(P_VENC,MATCH(1,INDEX((P_CMP=$A6)*(P_STATUS&lt;&gt;"PAGA")*(P_STATUS&lt;&gt;"CANCELADA"),0),0)),""))</f>
        <v/>
      </c>
      <c r="Y6" s="32"/>
      <c r="Z6" s="32"/>
    </row>
    <row r="7" customFormat="false" ht="15" hidden="false" customHeight="false" outlineLevel="0" collapsed="false">
      <c r="A7" s="30" t="str">
        <f aca="false">IF($B7="","","CMP-"&amp;TEXT(ROW()-4,"000000"))</f>
        <v/>
      </c>
      <c r="B7" s="32"/>
      <c r="C7" s="32"/>
      <c r="D7" s="35" t="str">
        <f aca="false">IF($B7="","",IFERROR(INDEX(CAT_ID,MATCH($C7,CAT_NOME,0)),"?"))</f>
        <v/>
      </c>
      <c r="E7" s="32"/>
      <c r="F7" s="35" t="str">
        <f aca="false">IF($E7="","",IFERROR(INDEX(SUB_ID,MATCH(1,INDEX((SUB_NOME=$E7)*(SUB_CATID=$D7),0),0)),"?"))</f>
        <v/>
      </c>
      <c r="G7" s="37"/>
      <c r="H7" s="33"/>
      <c r="I7" s="36" t="str">
        <f aca="false">IF($A7="","",$G7*$H7)</f>
        <v/>
      </c>
      <c r="J7" s="31"/>
      <c r="K7" s="37"/>
      <c r="L7" s="32"/>
      <c r="M7" s="37"/>
      <c r="N7" s="32"/>
      <c r="O7" s="32"/>
      <c r="P7" s="34" t="n">
        <f aca="false">IF($A7="",0,COUNTIFS(P_CMP,$A7,P_STATUS,"PAGA"))</f>
        <v>0</v>
      </c>
      <c r="Q7" s="34" t="n">
        <f aca="false">IF($A7="",0,COUNTIFS(P_CMP,$A7,P_STATUS,"ABERTA"))</f>
        <v>0</v>
      </c>
      <c r="R7" s="34" t="n">
        <f aca="false">IF($A7="",0,COUNTIFS(P_CMP,$A7,P_STATUS,"ATRASADA"))</f>
        <v>0</v>
      </c>
      <c r="S7" s="34" t="n">
        <f aca="false">IF($A7="",0,COUNTIFS(P_CMP,$A7,P_STATUS,"PROJETADA"))</f>
        <v>0</v>
      </c>
      <c r="T7" s="34" t="str">
        <f aca="false">IF($A7="","",$G7-$P7)</f>
        <v/>
      </c>
      <c r="U7" s="36" t="n">
        <f aca="false">IF($A7="",0,SUMIFS(P_VALOR,P_CMP,$A7,P_STATUS,"PAGA"))</f>
        <v>0</v>
      </c>
      <c r="V7" s="36" t="str">
        <f aca="false">IF($A7="","",$I7-$U7)</f>
        <v/>
      </c>
      <c r="W7" s="35" t="str">
        <f aca="false">IF($A7="","",MIN($G7,$P7+1)&amp;"/"&amp;$G7)</f>
        <v/>
      </c>
      <c r="X7" s="38" t="str">
        <f aca="false">IF($A7="","",IFERROR(INDEX(P_VENC,MATCH(1,INDEX((P_CMP=$A7)*(P_STATUS&lt;&gt;"PAGA")*(P_STATUS&lt;&gt;"CANCELADA"),0),0)),""))</f>
        <v/>
      </c>
      <c r="Y7" s="32"/>
      <c r="Z7" s="32"/>
    </row>
    <row r="8" customFormat="false" ht="15" hidden="false" customHeight="false" outlineLevel="0" collapsed="false">
      <c r="A8" s="30" t="str">
        <f aca="false">IF($B8="","","CMP-"&amp;TEXT(ROW()-4,"000000"))</f>
        <v/>
      </c>
      <c r="B8" s="32"/>
      <c r="C8" s="32"/>
      <c r="D8" s="35" t="str">
        <f aca="false">IF($B8="","",IFERROR(INDEX(CAT_ID,MATCH($C8,CAT_NOME,0)),"?"))</f>
        <v/>
      </c>
      <c r="E8" s="32"/>
      <c r="F8" s="35" t="str">
        <f aca="false">IF($E8="","",IFERROR(INDEX(SUB_ID,MATCH(1,INDEX((SUB_NOME=$E8)*(SUB_CATID=$D8),0),0)),"?"))</f>
        <v/>
      </c>
      <c r="G8" s="37"/>
      <c r="H8" s="33"/>
      <c r="I8" s="36" t="str">
        <f aca="false">IF($A8="","",$G8*$H8)</f>
        <v/>
      </c>
      <c r="J8" s="31"/>
      <c r="K8" s="37"/>
      <c r="L8" s="32"/>
      <c r="M8" s="37"/>
      <c r="N8" s="32"/>
      <c r="O8" s="32"/>
      <c r="P8" s="34" t="n">
        <f aca="false">IF($A8="",0,COUNTIFS(P_CMP,$A8,P_STATUS,"PAGA"))</f>
        <v>0</v>
      </c>
      <c r="Q8" s="34" t="n">
        <f aca="false">IF($A8="",0,COUNTIFS(P_CMP,$A8,P_STATUS,"ABERTA"))</f>
        <v>0</v>
      </c>
      <c r="R8" s="34" t="n">
        <f aca="false">IF($A8="",0,COUNTIFS(P_CMP,$A8,P_STATUS,"ATRASADA"))</f>
        <v>0</v>
      </c>
      <c r="S8" s="34" t="n">
        <f aca="false">IF($A8="",0,COUNTIFS(P_CMP,$A8,P_STATUS,"PROJETADA"))</f>
        <v>0</v>
      </c>
      <c r="T8" s="34" t="str">
        <f aca="false">IF($A8="","",$G8-$P8)</f>
        <v/>
      </c>
      <c r="U8" s="36" t="n">
        <f aca="false">IF($A8="",0,SUMIFS(P_VALOR,P_CMP,$A8,P_STATUS,"PAGA"))</f>
        <v>0</v>
      </c>
      <c r="V8" s="36" t="str">
        <f aca="false">IF($A8="","",$I8-$U8)</f>
        <v/>
      </c>
      <c r="W8" s="35" t="str">
        <f aca="false">IF($A8="","",MIN($G8,$P8+1)&amp;"/"&amp;$G8)</f>
        <v/>
      </c>
      <c r="X8" s="38" t="str">
        <f aca="false">IF($A8="","",IFERROR(INDEX(P_VENC,MATCH(1,INDEX((P_CMP=$A8)*(P_STATUS&lt;&gt;"PAGA")*(P_STATUS&lt;&gt;"CANCELADA"),0),0)),""))</f>
        <v/>
      </c>
      <c r="Y8" s="32"/>
      <c r="Z8" s="32"/>
    </row>
    <row r="9" customFormat="false" ht="15" hidden="false" customHeight="false" outlineLevel="0" collapsed="false">
      <c r="A9" s="30" t="str">
        <f aca="false">IF($B9="","","CMP-"&amp;TEXT(ROW()-4,"000000"))</f>
        <v/>
      </c>
      <c r="B9" s="32"/>
      <c r="C9" s="32"/>
      <c r="D9" s="35" t="str">
        <f aca="false">IF($B9="","",IFERROR(INDEX(CAT_ID,MATCH($C9,CAT_NOME,0)),"?"))</f>
        <v/>
      </c>
      <c r="E9" s="32"/>
      <c r="F9" s="35" t="str">
        <f aca="false">IF($E9="","",IFERROR(INDEX(SUB_ID,MATCH(1,INDEX((SUB_NOME=$E9)*(SUB_CATID=$D9),0),0)),"?"))</f>
        <v/>
      </c>
      <c r="G9" s="37"/>
      <c r="H9" s="33"/>
      <c r="I9" s="36" t="str">
        <f aca="false">IF($A9="","",$G9*$H9)</f>
        <v/>
      </c>
      <c r="J9" s="31"/>
      <c r="K9" s="37"/>
      <c r="L9" s="32"/>
      <c r="M9" s="37"/>
      <c r="N9" s="32"/>
      <c r="O9" s="32"/>
      <c r="P9" s="34" t="n">
        <f aca="false">IF($A9="",0,COUNTIFS(P_CMP,$A9,P_STATUS,"PAGA"))</f>
        <v>0</v>
      </c>
      <c r="Q9" s="34" t="n">
        <f aca="false">IF($A9="",0,COUNTIFS(P_CMP,$A9,P_STATUS,"ABERTA"))</f>
        <v>0</v>
      </c>
      <c r="R9" s="34" t="n">
        <f aca="false">IF($A9="",0,COUNTIFS(P_CMP,$A9,P_STATUS,"ATRASADA"))</f>
        <v>0</v>
      </c>
      <c r="S9" s="34" t="n">
        <f aca="false">IF($A9="",0,COUNTIFS(P_CMP,$A9,P_STATUS,"PROJETADA"))</f>
        <v>0</v>
      </c>
      <c r="T9" s="34" t="str">
        <f aca="false">IF($A9="","",$G9-$P9)</f>
        <v/>
      </c>
      <c r="U9" s="36" t="n">
        <f aca="false">IF($A9="",0,SUMIFS(P_VALOR,P_CMP,$A9,P_STATUS,"PAGA"))</f>
        <v>0</v>
      </c>
      <c r="V9" s="36" t="str">
        <f aca="false">IF($A9="","",$I9-$U9)</f>
        <v/>
      </c>
      <c r="W9" s="35" t="str">
        <f aca="false">IF($A9="","",MIN($G9,$P9+1)&amp;"/"&amp;$G9)</f>
        <v/>
      </c>
      <c r="X9" s="38" t="str">
        <f aca="false">IF($A9="","",IFERROR(INDEX(P_VENC,MATCH(1,INDEX((P_CMP=$A9)*(P_STATUS&lt;&gt;"PAGA")*(P_STATUS&lt;&gt;"CANCELADA"),0),0)),""))</f>
        <v/>
      </c>
      <c r="Y9" s="32"/>
      <c r="Z9" s="32"/>
    </row>
    <row r="10" customFormat="false" ht="15" hidden="false" customHeight="false" outlineLevel="0" collapsed="false">
      <c r="A10" s="30" t="str">
        <f aca="false">IF($B10="","","CMP-"&amp;TEXT(ROW()-4,"000000"))</f>
        <v/>
      </c>
      <c r="B10" s="32"/>
      <c r="C10" s="32"/>
      <c r="D10" s="35" t="str">
        <f aca="false">IF($B10="","",IFERROR(INDEX(CAT_ID,MATCH($C10,CAT_NOME,0)),"?"))</f>
        <v/>
      </c>
      <c r="E10" s="32"/>
      <c r="F10" s="35" t="str">
        <f aca="false">IF($E10="","",IFERROR(INDEX(SUB_ID,MATCH(1,INDEX((SUB_NOME=$E10)*(SUB_CATID=$D10),0),0)),"?"))</f>
        <v/>
      </c>
      <c r="G10" s="37"/>
      <c r="H10" s="33"/>
      <c r="I10" s="36" t="str">
        <f aca="false">IF($A10="","",$G10*$H10)</f>
        <v/>
      </c>
      <c r="J10" s="31"/>
      <c r="K10" s="37"/>
      <c r="L10" s="32"/>
      <c r="M10" s="37"/>
      <c r="N10" s="32"/>
      <c r="O10" s="32"/>
      <c r="P10" s="34" t="n">
        <f aca="false">IF($A10="",0,COUNTIFS(P_CMP,$A10,P_STATUS,"PAGA"))</f>
        <v>0</v>
      </c>
      <c r="Q10" s="34" t="n">
        <f aca="false">IF($A10="",0,COUNTIFS(P_CMP,$A10,P_STATUS,"ABERTA"))</f>
        <v>0</v>
      </c>
      <c r="R10" s="34" t="n">
        <f aca="false">IF($A10="",0,COUNTIFS(P_CMP,$A10,P_STATUS,"ATRASADA"))</f>
        <v>0</v>
      </c>
      <c r="S10" s="34" t="n">
        <f aca="false">IF($A10="",0,COUNTIFS(P_CMP,$A10,P_STATUS,"PROJETADA"))</f>
        <v>0</v>
      </c>
      <c r="T10" s="34" t="str">
        <f aca="false">IF($A10="","",$G10-$P10)</f>
        <v/>
      </c>
      <c r="U10" s="36" t="n">
        <f aca="false">IF($A10="",0,SUMIFS(P_VALOR,P_CMP,$A10,P_STATUS,"PAGA"))</f>
        <v>0</v>
      </c>
      <c r="V10" s="36" t="str">
        <f aca="false">IF($A10="","",$I10-$U10)</f>
        <v/>
      </c>
      <c r="W10" s="35" t="str">
        <f aca="false">IF($A10="","",MIN($G10,$P10+1)&amp;"/"&amp;$G10)</f>
        <v/>
      </c>
      <c r="X10" s="38" t="str">
        <f aca="false">IF($A10="","",IFERROR(INDEX(P_VENC,MATCH(1,INDEX((P_CMP=$A10)*(P_STATUS&lt;&gt;"PAGA")*(P_STATUS&lt;&gt;"CANCELADA"),0),0)),""))</f>
        <v/>
      </c>
      <c r="Y10" s="32"/>
      <c r="Z10" s="32"/>
    </row>
    <row r="11" customFormat="false" ht="15" hidden="false" customHeight="false" outlineLevel="0" collapsed="false">
      <c r="A11" s="30" t="str">
        <f aca="false">IF($B11="","","CMP-"&amp;TEXT(ROW()-4,"000000"))</f>
        <v/>
      </c>
      <c r="B11" s="32"/>
      <c r="C11" s="32"/>
      <c r="D11" s="35" t="str">
        <f aca="false">IF($B11="","",IFERROR(INDEX(CAT_ID,MATCH($C11,CAT_NOME,0)),"?"))</f>
        <v/>
      </c>
      <c r="E11" s="32"/>
      <c r="F11" s="35" t="str">
        <f aca="false">IF($E11="","",IFERROR(INDEX(SUB_ID,MATCH(1,INDEX((SUB_NOME=$E11)*(SUB_CATID=$D11),0),0)),"?"))</f>
        <v/>
      </c>
      <c r="G11" s="37"/>
      <c r="H11" s="33"/>
      <c r="I11" s="36" t="str">
        <f aca="false">IF($A11="","",$G11*$H11)</f>
        <v/>
      </c>
      <c r="J11" s="31"/>
      <c r="K11" s="37"/>
      <c r="L11" s="32"/>
      <c r="M11" s="37"/>
      <c r="N11" s="32"/>
      <c r="O11" s="32"/>
      <c r="P11" s="34" t="n">
        <f aca="false">IF($A11="",0,COUNTIFS(P_CMP,$A11,P_STATUS,"PAGA"))</f>
        <v>0</v>
      </c>
      <c r="Q11" s="34" t="n">
        <f aca="false">IF($A11="",0,COUNTIFS(P_CMP,$A11,P_STATUS,"ABERTA"))</f>
        <v>0</v>
      </c>
      <c r="R11" s="34" t="n">
        <f aca="false">IF($A11="",0,COUNTIFS(P_CMP,$A11,P_STATUS,"ATRASADA"))</f>
        <v>0</v>
      </c>
      <c r="S11" s="34" t="n">
        <f aca="false">IF($A11="",0,COUNTIFS(P_CMP,$A11,P_STATUS,"PROJETADA"))</f>
        <v>0</v>
      </c>
      <c r="T11" s="34" t="str">
        <f aca="false">IF($A11="","",$G11-$P11)</f>
        <v/>
      </c>
      <c r="U11" s="36" t="n">
        <f aca="false">IF($A11="",0,SUMIFS(P_VALOR,P_CMP,$A11,P_STATUS,"PAGA"))</f>
        <v>0</v>
      </c>
      <c r="V11" s="36" t="str">
        <f aca="false">IF($A11="","",$I11-$U11)</f>
        <v/>
      </c>
      <c r="W11" s="35" t="str">
        <f aca="false">IF($A11="","",MIN($G11,$P11+1)&amp;"/"&amp;$G11)</f>
        <v/>
      </c>
      <c r="X11" s="38" t="str">
        <f aca="false">IF($A11="","",IFERROR(INDEX(P_VENC,MATCH(1,INDEX((P_CMP=$A11)*(P_STATUS&lt;&gt;"PAGA")*(P_STATUS&lt;&gt;"CANCELADA"),0),0)),""))</f>
        <v/>
      </c>
      <c r="Y11" s="32"/>
      <c r="Z11" s="32"/>
    </row>
    <row r="12" customFormat="false" ht="15" hidden="false" customHeight="false" outlineLevel="0" collapsed="false">
      <c r="A12" s="30" t="str">
        <f aca="false">IF($B12="","","CMP-"&amp;TEXT(ROW()-4,"000000"))</f>
        <v/>
      </c>
      <c r="B12" s="32"/>
      <c r="C12" s="32"/>
      <c r="D12" s="35" t="str">
        <f aca="false">IF($B12="","",IFERROR(INDEX(CAT_ID,MATCH($C12,CAT_NOME,0)),"?"))</f>
        <v/>
      </c>
      <c r="E12" s="32"/>
      <c r="F12" s="35" t="str">
        <f aca="false">IF($E12="","",IFERROR(INDEX(SUB_ID,MATCH(1,INDEX((SUB_NOME=$E12)*(SUB_CATID=$D12),0),0)),"?"))</f>
        <v/>
      </c>
      <c r="G12" s="37"/>
      <c r="H12" s="33"/>
      <c r="I12" s="36" t="str">
        <f aca="false">IF($A12="","",$G12*$H12)</f>
        <v/>
      </c>
      <c r="J12" s="31"/>
      <c r="K12" s="37"/>
      <c r="L12" s="32"/>
      <c r="M12" s="37"/>
      <c r="N12" s="32"/>
      <c r="O12" s="32"/>
      <c r="P12" s="34" t="n">
        <f aca="false">IF($A12="",0,COUNTIFS(P_CMP,$A12,P_STATUS,"PAGA"))</f>
        <v>0</v>
      </c>
      <c r="Q12" s="34" t="n">
        <f aca="false">IF($A12="",0,COUNTIFS(P_CMP,$A12,P_STATUS,"ABERTA"))</f>
        <v>0</v>
      </c>
      <c r="R12" s="34" t="n">
        <f aca="false">IF($A12="",0,COUNTIFS(P_CMP,$A12,P_STATUS,"ATRASADA"))</f>
        <v>0</v>
      </c>
      <c r="S12" s="34" t="n">
        <f aca="false">IF($A12="",0,COUNTIFS(P_CMP,$A12,P_STATUS,"PROJETADA"))</f>
        <v>0</v>
      </c>
      <c r="T12" s="34" t="str">
        <f aca="false">IF($A12="","",$G12-$P12)</f>
        <v/>
      </c>
      <c r="U12" s="36" t="n">
        <f aca="false">IF($A12="",0,SUMIFS(P_VALOR,P_CMP,$A12,P_STATUS,"PAGA"))</f>
        <v>0</v>
      </c>
      <c r="V12" s="36" t="str">
        <f aca="false">IF($A12="","",$I12-$U12)</f>
        <v/>
      </c>
      <c r="W12" s="35" t="str">
        <f aca="false">IF($A12="","",MIN($G12,$P12+1)&amp;"/"&amp;$G12)</f>
        <v/>
      </c>
      <c r="X12" s="38" t="str">
        <f aca="false">IF($A12="","",IFERROR(INDEX(P_VENC,MATCH(1,INDEX((P_CMP=$A12)*(P_STATUS&lt;&gt;"PAGA")*(P_STATUS&lt;&gt;"CANCELADA"),0),0)),""))</f>
        <v/>
      </c>
      <c r="Y12" s="32"/>
      <c r="Z12" s="32"/>
    </row>
    <row r="13" customFormat="false" ht="15" hidden="false" customHeight="false" outlineLevel="0" collapsed="false">
      <c r="A13" s="30" t="str">
        <f aca="false">IF($B13="","","CMP-"&amp;TEXT(ROW()-4,"000000"))</f>
        <v/>
      </c>
      <c r="B13" s="32"/>
      <c r="C13" s="32"/>
      <c r="D13" s="35" t="str">
        <f aca="false">IF($B13="","",IFERROR(INDEX(CAT_ID,MATCH($C13,CAT_NOME,0)),"?"))</f>
        <v/>
      </c>
      <c r="E13" s="32"/>
      <c r="F13" s="35" t="str">
        <f aca="false">IF($E13="","",IFERROR(INDEX(SUB_ID,MATCH(1,INDEX((SUB_NOME=$E13)*(SUB_CATID=$D13),0),0)),"?"))</f>
        <v/>
      </c>
      <c r="G13" s="37"/>
      <c r="H13" s="33"/>
      <c r="I13" s="36" t="str">
        <f aca="false">IF($A13="","",$G13*$H13)</f>
        <v/>
      </c>
      <c r="J13" s="31"/>
      <c r="K13" s="37"/>
      <c r="L13" s="32"/>
      <c r="M13" s="37"/>
      <c r="N13" s="32"/>
      <c r="O13" s="32"/>
      <c r="P13" s="34" t="n">
        <f aca="false">IF($A13="",0,COUNTIFS(P_CMP,$A13,P_STATUS,"PAGA"))</f>
        <v>0</v>
      </c>
      <c r="Q13" s="34" t="n">
        <f aca="false">IF($A13="",0,COUNTIFS(P_CMP,$A13,P_STATUS,"ABERTA"))</f>
        <v>0</v>
      </c>
      <c r="R13" s="34" t="n">
        <f aca="false">IF($A13="",0,COUNTIFS(P_CMP,$A13,P_STATUS,"ATRASADA"))</f>
        <v>0</v>
      </c>
      <c r="S13" s="34" t="n">
        <f aca="false">IF($A13="",0,COUNTIFS(P_CMP,$A13,P_STATUS,"PROJETADA"))</f>
        <v>0</v>
      </c>
      <c r="T13" s="34" t="str">
        <f aca="false">IF($A13="","",$G13-$P13)</f>
        <v/>
      </c>
      <c r="U13" s="36" t="n">
        <f aca="false">IF($A13="",0,SUMIFS(P_VALOR,P_CMP,$A13,P_STATUS,"PAGA"))</f>
        <v>0</v>
      </c>
      <c r="V13" s="36" t="str">
        <f aca="false">IF($A13="","",$I13-$U13)</f>
        <v/>
      </c>
      <c r="W13" s="35" t="str">
        <f aca="false">IF($A13="","",MIN($G13,$P13+1)&amp;"/"&amp;$G13)</f>
        <v/>
      </c>
      <c r="X13" s="38" t="str">
        <f aca="false">IF($A13="","",IFERROR(INDEX(P_VENC,MATCH(1,INDEX((P_CMP=$A13)*(P_STATUS&lt;&gt;"PAGA")*(P_STATUS&lt;&gt;"CANCELADA"),0),0)),""))</f>
        <v/>
      </c>
      <c r="Y13" s="32"/>
      <c r="Z13" s="32"/>
    </row>
    <row r="14" customFormat="false" ht="15" hidden="false" customHeight="false" outlineLevel="0" collapsed="false">
      <c r="A14" s="30" t="str">
        <f aca="false">IF($B14="","","CMP-"&amp;TEXT(ROW()-4,"000000"))</f>
        <v/>
      </c>
      <c r="B14" s="32"/>
      <c r="C14" s="32"/>
      <c r="D14" s="35" t="str">
        <f aca="false">IF($B14="","",IFERROR(INDEX(CAT_ID,MATCH($C14,CAT_NOME,0)),"?"))</f>
        <v/>
      </c>
      <c r="E14" s="32"/>
      <c r="F14" s="35" t="str">
        <f aca="false">IF($E14="","",IFERROR(INDEX(SUB_ID,MATCH(1,INDEX((SUB_NOME=$E14)*(SUB_CATID=$D14),0),0)),"?"))</f>
        <v/>
      </c>
      <c r="G14" s="37"/>
      <c r="H14" s="33"/>
      <c r="I14" s="36" t="str">
        <f aca="false">IF($A14="","",$G14*$H14)</f>
        <v/>
      </c>
      <c r="J14" s="31"/>
      <c r="K14" s="37"/>
      <c r="L14" s="32"/>
      <c r="M14" s="37"/>
      <c r="N14" s="32"/>
      <c r="O14" s="32"/>
      <c r="P14" s="34" t="n">
        <f aca="false">IF($A14="",0,COUNTIFS(P_CMP,$A14,P_STATUS,"PAGA"))</f>
        <v>0</v>
      </c>
      <c r="Q14" s="34" t="n">
        <f aca="false">IF($A14="",0,COUNTIFS(P_CMP,$A14,P_STATUS,"ABERTA"))</f>
        <v>0</v>
      </c>
      <c r="R14" s="34" t="n">
        <f aca="false">IF($A14="",0,COUNTIFS(P_CMP,$A14,P_STATUS,"ATRASADA"))</f>
        <v>0</v>
      </c>
      <c r="S14" s="34" t="n">
        <f aca="false">IF($A14="",0,COUNTIFS(P_CMP,$A14,P_STATUS,"PROJETADA"))</f>
        <v>0</v>
      </c>
      <c r="T14" s="34" t="str">
        <f aca="false">IF($A14="","",$G14-$P14)</f>
        <v/>
      </c>
      <c r="U14" s="36" t="n">
        <f aca="false">IF($A14="",0,SUMIFS(P_VALOR,P_CMP,$A14,P_STATUS,"PAGA"))</f>
        <v>0</v>
      </c>
      <c r="V14" s="36" t="str">
        <f aca="false">IF($A14="","",$I14-$U14)</f>
        <v/>
      </c>
      <c r="W14" s="35" t="str">
        <f aca="false">IF($A14="","",MIN($G14,$P14+1)&amp;"/"&amp;$G14)</f>
        <v/>
      </c>
      <c r="X14" s="38" t="str">
        <f aca="false">IF($A14="","",IFERROR(INDEX(P_VENC,MATCH(1,INDEX((P_CMP=$A14)*(P_STATUS&lt;&gt;"PAGA")*(P_STATUS&lt;&gt;"CANCELADA"),0),0)),""))</f>
        <v/>
      </c>
      <c r="Y14" s="32"/>
      <c r="Z14" s="32"/>
    </row>
    <row r="15" customFormat="false" ht="15" hidden="false" customHeight="false" outlineLevel="0" collapsed="false">
      <c r="A15" s="30" t="str">
        <f aca="false">IF($B15="","","CMP-"&amp;TEXT(ROW()-4,"000000"))</f>
        <v/>
      </c>
      <c r="B15" s="32"/>
      <c r="C15" s="32"/>
      <c r="D15" s="35" t="str">
        <f aca="false">IF($B15="","",IFERROR(INDEX(CAT_ID,MATCH($C15,CAT_NOME,0)),"?"))</f>
        <v/>
      </c>
      <c r="E15" s="32"/>
      <c r="F15" s="35" t="str">
        <f aca="false">IF($E15="","",IFERROR(INDEX(SUB_ID,MATCH(1,INDEX((SUB_NOME=$E15)*(SUB_CATID=$D15),0),0)),"?"))</f>
        <v/>
      </c>
      <c r="G15" s="37"/>
      <c r="H15" s="33"/>
      <c r="I15" s="36" t="str">
        <f aca="false">IF($A15="","",$G15*$H15)</f>
        <v/>
      </c>
      <c r="J15" s="31"/>
      <c r="K15" s="37"/>
      <c r="L15" s="32"/>
      <c r="M15" s="37"/>
      <c r="N15" s="32"/>
      <c r="O15" s="32"/>
      <c r="P15" s="34" t="n">
        <f aca="false">IF($A15="",0,COUNTIFS(P_CMP,$A15,P_STATUS,"PAGA"))</f>
        <v>0</v>
      </c>
      <c r="Q15" s="34" t="n">
        <f aca="false">IF($A15="",0,COUNTIFS(P_CMP,$A15,P_STATUS,"ABERTA"))</f>
        <v>0</v>
      </c>
      <c r="R15" s="34" t="n">
        <f aca="false">IF($A15="",0,COUNTIFS(P_CMP,$A15,P_STATUS,"ATRASADA"))</f>
        <v>0</v>
      </c>
      <c r="S15" s="34" t="n">
        <f aca="false">IF($A15="",0,COUNTIFS(P_CMP,$A15,P_STATUS,"PROJETADA"))</f>
        <v>0</v>
      </c>
      <c r="T15" s="34" t="str">
        <f aca="false">IF($A15="","",$G15-$P15)</f>
        <v/>
      </c>
      <c r="U15" s="36" t="n">
        <f aca="false">IF($A15="",0,SUMIFS(P_VALOR,P_CMP,$A15,P_STATUS,"PAGA"))</f>
        <v>0</v>
      </c>
      <c r="V15" s="36" t="str">
        <f aca="false">IF($A15="","",$I15-$U15)</f>
        <v/>
      </c>
      <c r="W15" s="35" t="str">
        <f aca="false">IF($A15="","",MIN($G15,$P15+1)&amp;"/"&amp;$G15)</f>
        <v/>
      </c>
      <c r="X15" s="38" t="str">
        <f aca="false">IF($A15="","",IFERROR(INDEX(P_VENC,MATCH(1,INDEX((P_CMP=$A15)*(P_STATUS&lt;&gt;"PAGA")*(P_STATUS&lt;&gt;"CANCELADA"),0),0)),""))</f>
        <v/>
      </c>
      <c r="Y15" s="32"/>
      <c r="Z15" s="32"/>
    </row>
    <row r="16" customFormat="false" ht="15" hidden="false" customHeight="false" outlineLevel="0" collapsed="false">
      <c r="A16" s="30" t="str">
        <f aca="false">IF($B16="","","CMP-"&amp;TEXT(ROW()-4,"000000"))</f>
        <v/>
      </c>
      <c r="B16" s="32"/>
      <c r="C16" s="32"/>
      <c r="D16" s="35" t="str">
        <f aca="false">IF($B16="","",IFERROR(INDEX(CAT_ID,MATCH($C16,CAT_NOME,0)),"?"))</f>
        <v/>
      </c>
      <c r="E16" s="32"/>
      <c r="F16" s="35" t="str">
        <f aca="false">IF($E16="","",IFERROR(INDEX(SUB_ID,MATCH(1,INDEX((SUB_NOME=$E16)*(SUB_CATID=$D16),0),0)),"?"))</f>
        <v/>
      </c>
      <c r="G16" s="37"/>
      <c r="H16" s="33"/>
      <c r="I16" s="36" t="str">
        <f aca="false">IF($A16="","",$G16*$H16)</f>
        <v/>
      </c>
      <c r="J16" s="31"/>
      <c r="K16" s="37"/>
      <c r="L16" s="32"/>
      <c r="M16" s="37"/>
      <c r="N16" s="32"/>
      <c r="O16" s="32"/>
      <c r="P16" s="34" t="n">
        <f aca="false">IF($A16="",0,COUNTIFS(P_CMP,$A16,P_STATUS,"PAGA"))</f>
        <v>0</v>
      </c>
      <c r="Q16" s="34" t="n">
        <f aca="false">IF($A16="",0,COUNTIFS(P_CMP,$A16,P_STATUS,"ABERTA"))</f>
        <v>0</v>
      </c>
      <c r="R16" s="34" t="n">
        <f aca="false">IF($A16="",0,COUNTIFS(P_CMP,$A16,P_STATUS,"ATRASADA"))</f>
        <v>0</v>
      </c>
      <c r="S16" s="34" t="n">
        <f aca="false">IF($A16="",0,COUNTIFS(P_CMP,$A16,P_STATUS,"PROJETADA"))</f>
        <v>0</v>
      </c>
      <c r="T16" s="34" t="str">
        <f aca="false">IF($A16="","",$G16-$P16)</f>
        <v/>
      </c>
      <c r="U16" s="36" t="n">
        <f aca="false">IF($A16="",0,SUMIFS(P_VALOR,P_CMP,$A16,P_STATUS,"PAGA"))</f>
        <v>0</v>
      </c>
      <c r="V16" s="36" t="str">
        <f aca="false">IF($A16="","",$I16-$U16)</f>
        <v/>
      </c>
      <c r="W16" s="35" t="str">
        <f aca="false">IF($A16="","",MIN($G16,$P16+1)&amp;"/"&amp;$G16)</f>
        <v/>
      </c>
      <c r="X16" s="38" t="str">
        <f aca="false">IF($A16="","",IFERROR(INDEX(P_VENC,MATCH(1,INDEX((P_CMP=$A16)*(P_STATUS&lt;&gt;"PAGA")*(P_STATUS&lt;&gt;"CANCELADA"),0),0)),""))</f>
        <v/>
      </c>
      <c r="Y16" s="32"/>
      <c r="Z16" s="32"/>
    </row>
    <row r="17" customFormat="false" ht="15" hidden="false" customHeight="false" outlineLevel="0" collapsed="false">
      <c r="A17" s="30" t="str">
        <f aca="false">IF($B17="","","CMP-"&amp;TEXT(ROW()-4,"000000"))</f>
        <v/>
      </c>
      <c r="B17" s="32"/>
      <c r="C17" s="32"/>
      <c r="D17" s="35" t="str">
        <f aca="false">IF($B17="","",IFERROR(INDEX(CAT_ID,MATCH($C17,CAT_NOME,0)),"?"))</f>
        <v/>
      </c>
      <c r="E17" s="32"/>
      <c r="F17" s="35" t="str">
        <f aca="false">IF($E17="","",IFERROR(INDEX(SUB_ID,MATCH(1,INDEX((SUB_NOME=$E17)*(SUB_CATID=$D17),0),0)),"?"))</f>
        <v/>
      </c>
      <c r="G17" s="37"/>
      <c r="H17" s="33"/>
      <c r="I17" s="36" t="str">
        <f aca="false">IF($A17="","",$G17*$H17)</f>
        <v/>
      </c>
      <c r="J17" s="31"/>
      <c r="K17" s="37"/>
      <c r="L17" s="32"/>
      <c r="M17" s="37"/>
      <c r="N17" s="32"/>
      <c r="O17" s="32"/>
      <c r="P17" s="34" t="n">
        <f aca="false">IF($A17="",0,COUNTIFS(P_CMP,$A17,P_STATUS,"PAGA"))</f>
        <v>0</v>
      </c>
      <c r="Q17" s="34" t="n">
        <f aca="false">IF($A17="",0,COUNTIFS(P_CMP,$A17,P_STATUS,"ABERTA"))</f>
        <v>0</v>
      </c>
      <c r="R17" s="34" t="n">
        <f aca="false">IF($A17="",0,COUNTIFS(P_CMP,$A17,P_STATUS,"ATRASADA"))</f>
        <v>0</v>
      </c>
      <c r="S17" s="34" t="n">
        <f aca="false">IF($A17="",0,COUNTIFS(P_CMP,$A17,P_STATUS,"PROJETADA"))</f>
        <v>0</v>
      </c>
      <c r="T17" s="34" t="str">
        <f aca="false">IF($A17="","",$G17-$P17)</f>
        <v/>
      </c>
      <c r="U17" s="36" t="n">
        <f aca="false">IF($A17="",0,SUMIFS(P_VALOR,P_CMP,$A17,P_STATUS,"PAGA"))</f>
        <v>0</v>
      </c>
      <c r="V17" s="36" t="str">
        <f aca="false">IF($A17="","",$I17-$U17)</f>
        <v/>
      </c>
      <c r="W17" s="35" t="str">
        <f aca="false">IF($A17="","",MIN($G17,$P17+1)&amp;"/"&amp;$G17)</f>
        <v/>
      </c>
      <c r="X17" s="38" t="str">
        <f aca="false">IF($A17="","",IFERROR(INDEX(P_VENC,MATCH(1,INDEX((P_CMP=$A17)*(P_STATUS&lt;&gt;"PAGA")*(P_STATUS&lt;&gt;"CANCELADA"),0),0)),""))</f>
        <v/>
      </c>
      <c r="Y17" s="32"/>
      <c r="Z17" s="32"/>
    </row>
    <row r="18" customFormat="false" ht="15" hidden="false" customHeight="false" outlineLevel="0" collapsed="false">
      <c r="A18" s="30" t="str">
        <f aca="false">IF($B18="","","CMP-"&amp;TEXT(ROW()-4,"000000"))</f>
        <v/>
      </c>
      <c r="B18" s="32"/>
      <c r="C18" s="32"/>
      <c r="D18" s="35" t="str">
        <f aca="false">IF($B18="","",IFERROR(INDEX(CAT_ID,MATCH($C18,CAT_NOME,0)),"?"))</f>
        <v/>
      </c>
      <c r="E18" s="32"/>
      <c r="F18" s="35" t="str">
        <f aca="false">IF($E18="","",IFERROR(INDEX(SUB_ID,MATCH(1,INDEX((SUB_NOME=$E18)*(SUB_CATID=$D18),0),0)),"?"))</f>
        <v/>
      </c>
      <c r="G18" s="37"/>
      <c r="H18" s="33"/>
      <c r="I18" s="36" t="str">
        <f aca="false">IF($A18="","",$G18*$H18)</f>
        <v/>
      </c>
      <c r="J18" s="31"/>
      <c r="K18" s="37"/>
      <c r="L18" s="32"/>
      <c r="M18" s="37"/>
      <c r="N18" s="32"/>
      <c r="O18" s="32"/>
      <c r="P18" s="34" t="n">
        <f aca="false">IF($A18="",0,COUNTIFS(P_CMP,$A18,P_STATUS,"PAGA"))</f>
        <v>0</v>
      </c>
      <c r="Q18" s="34" t="n">
        <f aca="false">IF($A18="",0,COUNTIFS(P_CMP,$A18,P_STATUS,"ABERTA"))</f>
        <v>0</v>
      </c>
      <c r="R18" s="34" t="n">
        <f aca="false">IF($A18="",0,COUNTIFS(P_CMP,$A18,P_STATUS,"ATRASADA"))</f>
        <v>0</v>
      </c>
      <c r="S18" s="34" t="n">
        <f aca="false">IF($A18="",0,COUNTIFS(P_CMP,$A18,P_STATUS,"PROJETADA"))</f>
        <v>0</v>
      </c>
      <c r="T18" s="34" t="str">
        <f aca="false">IF($A18="","",$G18-$P18)</f>
        <v/>
      </c>
      <c r="U18" s="36" t="n">
        <f aca="false">IF($A18="",0,SUMIFS(P_VALOR,P_CMP,$A18,P_STATUS,"PAGA"))</f>
        <v>0</v>
      </c>
      <c r="V18" s="36" t="str">
        <f aca="false">IF($A18="","",$I18-$U18)</f>
        <v/>
      </c>
      <c r="W18" s="35" t="str">
        <f aca="false">IF($A18="","",MIN($G18,$P18+1)&amp;"/"&amp;$G18)</f>
        <v/>
      </c>
      <c r="X18" s="38" t="str">
        <f aca="false">IF($A18="","",IFERROR(INDEX(P_VENC,MATCH(1,INDEX((P_CMP=$A18)*(P_STATUS&lt;&gt;"PAGA")*(P_STATUS&lt;&gt;"CANCELADA"),0),0)),""))</f>
        <v/>
      </c>
      <c r="Y18" s="32"/>
      <c r="Z18" s="32"/>
    </row>
    <row r="19" customFormat="false" ht="15" hidden="false" customHeight="false" outlineLevel="0" collapsed="false">
      <c r="A19" s="30" t="str">
        <f aca="false">IF($B19="","","CMP-"&amp;TEXT(ROW()-4,"000000"))</f>
        <v/>
      </c>
      <c r="B19" s="32"/>
      <c r="C19" s="32"/>
      <c r="D19" s="35" t="str">
        <f aca="false">IF($B19="","",IFERROR(INDEX(CAT_ID,MATCH($C19,CAT_NOME,0)),"?"))</f>
        <v/>
      </c>
      <c r="E19" s="32"/>
      <c r="F19" s="35" t="str">
        <f aca="false">IF($E19="","",IFERROR(INDEX(SUB_ID,MATCH(1,INDEX((SUB_NOME=$E19)*(SUB_CATID=$D19),0),0)),"?"))</f>
        <v/>
      </c>
      <c r="G19" s="37"/>
      <c r="H19" s="33"/>
      <c r="I19" s="36" t="str">
        <f aca="false">IF($A19="","",$G19*$H19)</f>
        <v/>
      </c>
      <c r="J19" s="31"/>
      <c r="K19" s="37"/>
      <c r="L19" s="32"/>
      <c r="M19" s="37"/>
      <c r="N19" s="32"/>
      <c r="O19" s="32"/>
      <c r="P19" s="34" t="n">
        <f aca="false">IF($A19="",0,COUNTIFS(P_CMP,$A19,P_STATUS,"PAGA"))</f>
        <v>0</v>
      </c>
      <c r="Q19" s="34" t="n">
        <f aca="false">IF($A19="",0,COUNTIFS(P_CMP,$A19,P_STATUS,"ABERTA"))</f>
        <v>0</v>
      </c>
      <c r="R19" s="34" t="n">
        <f aca="false">IF($A19="",0,COUNTIFS(P_CMP,$A19,P_STATUS,"ATRASADA"))</f>
        <v>0</v>
      </c>
      <c r="S19" s="34" t="n">
        <f aca="false">IF($A19="",0,COUNTIFS(P_CMP,$A19,P_STATUS,"PROJETADA"))</f>
        <v>0</v>
      </c>
      <c r="T19" s="34" t="str">
        <f aca="false">IF($A19="","",$G19-$P19)</f>
        <v/>
      </c>
      <c r="U19" s="36" t="n">
        <f aca="false">IF($A19="",0,SUMIFS(P_VALOR,P_CMP,$A19,P_STATUS,"PAGA"))</f>
        <v>0</v>
      </c>
      <c r="V19" s="36" t="str">
        <f aca="false">IF($A19="","",$I19-$U19)</f>
        <v/>
      </c>
      <c r="W19" s="35" t="str">
        <f aca="false">IF($A19="","",MIN($G19,$P19+1)&amp;"/"&amp;$G19)</f>
        <v/>
      </c>
      <c r="X19" s="38" t="str">
        <f aca="false">IF($A19="","",IFERROR(INDEX(P_VENC,MATCH(1,INDEX((P_CMP=$A19)*(P_STATUS&lt;&gt;"PAGA")*(P_STATUS&lt;&gt;"CANCELADA"),0),0)),""))</f>
        <v/>
      </c>
      <c r="Y19" s="32"/>
      <c r="Z19" s="32"/>
    </row>
    <row r="20" customFormat="false" ht="15" hidden="false" customHeight="false" outlineLevel="0" collapsed="false">
      <c r="A20" s="30" t="str">
        <f aca="false">IF($B20="","","CMP-"&amp;TEXT(ROW()-4,"000000"))</f>
        <v/>
      </c>
      <c r="B20" s="32"/>
      <c r="C20" s="32"/>
      <c r="D20" s="35" t="str">
        <f aca="false">IF($B20="","",IFERROR(INDEX(CAT_ID,MATCH($C20,CAT_NOME,0)),"?"))</f>
        <v/>
      </c>
      <c r="E20" s="32"/>
      <c r="F20" s="35" t="str">
        <f aca="false">IF($E20="","",IFERROR(INDEX(SUB_ID,MATCH(1,INDEX((SUB_NOME=$E20)*(SUB_CATID=$D20),0),0)),"?"))</f>
        <v/>
      </c>
      <c r="G20" s="37"/>
      <c r="H20" s="33"/>
      <c r="I20" s="36" t="str">
        <f aca="false">IF($A20="","",$G20*$H20)</f>
        <v/>
      </c>
      <c r="J20" s="31"/>
      <c r="K20" s="37"/>
      <c r="L20" s="32"/>
      <c r="M20" s="37"/>
      <c r="N20" s="32"/>
      <c r="O20" s="32"/>
      <c r="P20" s="34" t="n">
        <f aca="false">IF($A20="",0,COUNTIFS(P_CMP,$A20,P_STATUS,"PAGA"))</f>
        <v>0</v>
      </c>
      <c r="Q20" s="34" t="n">
        <f aca="false">IF($A20="",0,COUNTIFS(P_CMP,$A20,P_STATUS,"ABERTA"))</f>
        <v>0</v>
      </c>
      <c r="R20" s="34" t="n">
        <f aca="false">IF($A20="",0,COUNTIFS(P_CMP,$A20,P_STATUS,"ATRASADA"))</f>
        <v>0</v>
      </c>
      <c r="S20" s="34" t="n">
        <f aca="false">IF($A20="",0,COUNTIFS(P_CMP,$A20,P_STATUS,"PROJETADA"))</f>
        <v>0</v>
      </c>
      <c r="T20" s="34" t="str">
        <f aca="false">IF($A20="","",$G20-$P20)</f>
        <v/>
      </c>
      <c r="U20" s="36" t="n">
        <f aca="false">IF($A20="",0,SUMIFS(P_VALOR,P_CMP,$A20,P_STATUS,"PAGA"))</f>
        <v>0</v>
      </c>
      <c r="V20" s="36" t="str">
        <f aca="false">IF($A20="","",$I20-$U20)</f>
        <v/>
      </c>
      <c r="W20" s="35" t="str">
        <f aca="false">IF($A20="","",MIN($G20,$P20+1)&amp;"/"&amp;$G20)</f>
        <v/>
      </c>
      <c r="X20" s="38" t="str">
        <f aca="false">IF($A20="","",IFERROR(INDEX(P_VENC,MATCH(1,INDEX((P_CMP=$A20)*(P_STATUS&lt;&gt;"PAGA")*(P_STATUS&lt;&gt;"CANCELADA"),0),0)),""))</f>
        <v/>
      </c>
      <c r="Y20" s="32"/>
      <c r="Z20" s="32"/>
    </row>
    <row r="21" customFormat="false" ht="15" hidden="false" customHeight="false" outlineLevel="0" collapsed="false">
      <c r="A21" s="30" t="str">
        <f aca="false">IF($B21="","","CMP-"&amp;TEXT(ROW()-4,"000000"))</f>
        <v/>
      </c>
      <c r="B21" s="32"/>
      <c r="C21" s="32"/>
      <c r="D21" s="35" t="str">
        <f aca="false">IF($B21="","",IFERROR(INDEX(CAT_ID,MATCH($C21,CAT_NOME,0)),"?"))</f>
        <v/>
      </c>
      <c r="E21" s="32"/>
      <c r="F21" s="35" t="str">
        <f aca="false">IF($E21="","",IFERROR(INDEX(SUB_ID,MATCH(1,INDEX((SUB_NOME=$E21)*(SUB_CATID=$D21),0),0)),"?"))</f>
        <v/>
      </c>
      <c r="G21" s="37"/>
      <c r="H21" s="33"/>
      <c r="I21" s="36" t="str">
        <f aca="false">IF($A21="","",$G21*$H21)</f>
        <v/>
      </c>
      <c r="J21" s="31"/>
      <c r="K21" s="37"/>
      <c r="L21" s="32"/>
      <c r="M21" s="37"/>
      <c r="N21" s="32"/>
      <c r="O21" s="32"/>
      <c r="P21" s="34" t="n">
        <f aca="false">IF($A21="",0,COUNTIFS(P_CMP,$A21,P_STATUS,"PAGA"))</f>
        <v>0</v>
      </c>
      <c r="Q21" s="34" t="n">
        <f aca="false">IF($A21="",0,COUNTIFS(P_CMP,$A21,P_STATUS,"ABERTA"))</f>
        <v>0</v>
      </c>
      <c r="R21" s="34" t="n">
        <f aca="false">IF($A21="",0,COUNTIFS(P_CMP,$A21,P_STATUS,"ATRASADA"))</f>
        <v>0</v>
      </c>
      <c r="S21" s="34" t="n">
        <f aca="false">IF($A21="",0,COUNTIFS(P_CMP,$A21,P_STATUS,"PROJETADA"))</f>
        <v>0</v>
      </c>
      <c r="T21" s="34" t="str">
        <f aca="false">IF($A21="","",$G21-$P21)</f>
        <v/>
      </c>
      <c r="U21" s="36" t="n">
        <f aca="false">IF($A21="",0,SUMIFS(P_VALOR,P_CMP,$A21,P_STATUS,"PAGA"))</f>
        <v>0</v>
      </c>
      <c r="V21" s="36" t="str">
        <f aca="false">IF($A21="","",$I21-$U21)</f>
        <v/>
      </c>
      <c r="W21" s="35" t="str">
        <f aca="false">IF($A21="","",MIN($G21,$P21+1)&amp;"/"&amp;$G21)</f>
        <v/>
      </c>
      <c r="X21" s="38" t="str">
        <f aca="false">IF($A21="","",IFERROR(INDEX(P_VENC,MATCH(1,INDEX((P_CMP=$A21)*(P_STATUS&lt;&gt;"PAGA")*(P_STATUS&lt;&gt;"CANCELADA"),0),0)),""))</f>
        <v/>
      </c>
      <c r="Y21" s="32"/>
      <c r="Z21" s="32"/>
    </row>
    <row r="22" customFormat="false" ht="15" hidden="false" customHeight="false" outlineLevel="0" collapsed="false">
      <c r="A22" s="30" t="str">
        <f aca="false">IF($B22="","","CMP-"&amp;TEXT(ROW()-4,"000000"))</f>
        <v/>
      </c>
      <c r="B22" s="32"/>
      <c r="C22" s="32"/>
      <c r="D22" s="35" t="str">
        <f aca="false">IF($B22="","",IFERROR(INDEX(CAT_ID,MATCH($C22,CAT_NOME,0)),"?"))</f>
        <v/>
      </c>
      <c r="E22" s="32"/>
      <c r="F22" s="35" t="str">
        <f aca="false">IF($E22="","",IFERROR(INDEX(SUB_ID,MATCH(1,INDEX((SUB_NOME=$E22)*(SUB_CATID=$D22),0),0)),"?"))</f>
        <v/>
      </c>
      <c r="G22" s="37"/>
      <c r="H22" s="33"/>
      <c r="I22" s="36" t="str">
        <f aca="false">IF($A22="","",$G22*$H22)</f>
        <v/>
      </c>
      <c r="J22" s="31"/>
      <c r="K22" s="37"/>
      <c r="L22" s="32"/>
      <c r="M22" s="37"/>
      <c r="N22" s="32"/>
      <c r="O22" s="32"/>
      <c r="P22" s="34" t="n">
        <f aca="false">IF($A22="",0,COUNTIFS(P_CMP,$A22,P_STATUS,"PAGA"))</f>
        <v>0</v>
      </c>
      <c r="Q22" s="34" t="n">
        <f aca="false">IF($A22="",0,COUNTIFS(P_CMP,$A22,P_STATUS,"ABERTA"))</f>
        <v>0</v>
      </c>
      <c r="R22" s="34" t="n">
        <f aca="false">IF($A22="",0,COUNTIFS(P_CMP,$A22,P_STATUS,"ATRASADA"))</f>
        <v>0</v>
      </c>
      <c r="S22" s="34" t="n">
        <f aca="false">IF($A22="",0,COUNTIFS(P_CMP,$A22,P_STATUS,"PROJETADA"))</f>
        <v>0</v>
      </c>
      <c r="T22" s="34" t="str">
        <f aca="false">IF($A22="","",$G22-$P22)</f>
        <v/>
      </c>
      <c r="U22" s="36" t="n">
        <f aca="false">IF($A22="",0,SUMIFS(P_VALOR,P_CMP,$A22,P_STATUS,"PAGA"))</f>
        <v>0</v>
      </c>
      <c r="V22" s="36" t="str">
        <f aca="false">IF($A22="","",$I22-$U22)</f>
        <v/>
      </c>
      <c r="W22" s="35" t="str">
        <f aca="false">IF($A22="","",MIN($G22,$P22+1)&amp;"/"&amp;$G22)</f>
        <v/>
      </c>
      <c r="X22" s="38" t="str">
        <f aca="false">IF($A22="","",IFERROR(INDEX(P_VENC,MATCH(1,INDEX((P_CMP=$A22)*(P_STATUS&lt;&gt;"PAGA")*(P_STATUS&lt;&gt;"CANCELADA"),0),0)),""))</f>
        <v/>
      </c>
      <c r="Y22" s="32"/>
      <c r="Z22" s="32"/>
    </row>
    <row r="23" customFormat="false" ht="15" hidden="false" customHeight="false" outlineLevel="0" collapsed="false">
      <c r="A23" s="30" t="str">
        <f aca="false">IF($B23="","","CMP-"&amp;TEXT(ROW()-4,"000000"))</f>
        <v/>
      </c>
      <c r="B23" s="32"/>
      <c r="C23" s="32"/>
      <c r="D23" s="35" t="str">
        <f aca="false">IF($B23="","",IFERROR(INDEX(CAT_ID,MATCH($C23,CAT_NOME,0)),"?"))</f>
        <v/>
      </c>
      <c r="E23" s="32"/>
      <c r="F23" s="35" t="str">
        <f aca="false">IF($E23="","",IFERROR(INDEX(SUB_ID,MATCH(1,INDEX((SUB_NOME=$E23)*(SUB_CATID=$D23),0),0)),"?"))</f>
        <v/>
      </c>
      <c r="G23" s="37"/>
      <c r="H23" s="33"/>
      <c r="I23" s="36" t="str">
        <f aca="false">IF($A23="","",$G23*$H23)</f>
        <v/>
      </c>
      <c r="J23" s="31"/>
      <c r="K23" s="37"/>
      <c r="L23" s="32"/>
      <c r="M23" s="37"/>
      <c r="N23" s="32"/>
      <c r="O23" s="32"/>
      <c r="P23" s="34" t="n">
        <f aca="false">IF($A23="",0,COUNTIFS(P_CMP,$A23,P_STATUS,"PAGA"))</f>
        <v>0</v>
      </c>
      <c r="Q23" s="34" t="n">
        <f aca="false">IF($A23="",0,COUNTIFS(P_CMP,$A23,P_STATUS,"ABERTA"))</f>
        <v>0</v>
      </c>
      <c r="R23" s="34" t="n">
        <f aca="false">IF($A23="",0,COUNTIFS(P_CMP,$A23,P_STATUS,"ATRASADA"))</f>
        <v>0</v>
      </c>
      <c r="S23" s="34" t="n">
        <f aca="false">IF($A23="",0,COUNTIFS(P_CMP,$A23,P_STATUS,"PROJETADA"))</f>
        <v>0</v>
      </c>
      <c r="T23" s="34" t="str">
        <f aca="false">IF($A23="","",$G23-$P23)</f>
        <v/>
      </c>
      <c r="U23" s="36" t="n">
        <f aca="false">IF($A23="",0,SUMIFS(P_VALOR,P_CMP,$A23,P_STATUS,"PAGA"))</f>
        <v>0</v>
      </c>
      <c r="V23" s="36" t="str">
        <f aca="false">IF($A23="","",$I23-$U23)</f>
        <v/>
      </c>
      <c r="W23" s="35" t="str">
        <f aca="false">IF($A23="","",MIN($G23,$P23+1)&amp;"/"&amp;$G23)</f>
        <v/>
      </c>
      <c r="X23" s="38" t="str">
        <f aca="false">IF($A23="","",IFERROR(INDEX(P_VENC,MATCH(1,INDEX((P_CMP=$A23)*(P_STATUS&lt;&gt;"PAGA")*(P_STATUS&lt;&gt;"CANCELADA"),0),0)),""))</f>
        <v/>
      </c>
      <c r="Y23" s="32"/>
      <c r="Z23" s="32"/>
    </row>
    <row r="24" customFormat="false" ht="15" hidden="false" customHeight="false" outlineLevel="0" collapsed="false">
      <c r="A24" s="30" t="str">
        <f aca="false">IF($B24="","","CMP-"&amp;TEXT(ROW()-4,"000000"))</f>
        <v/>
      </c>
      <c r="B24" s="32"/>
      <c r="C24" s="32"/>
      <c r="D24" s="35" t="str">
        <f aca="false">IF($B24="","",IFERROR(INDEX(CAT_ID,MATCH($C24,CAT_NOME,0)),"?"))</f>
        <v/>
      </c>
      <c r="E24" s="32"/>
      <c r="F24" s="35" t="str">
        <f aca="false">IF($E24="","",IFERROR(INDEX(SUB_ID,MATCH(1,INDEX((SUB_NOME=$E24)*(SUB_CATID=$D24),0),0)),"?"))</f>
        <v/>
      </c>
      <c r="G24" s="37"/>
      <c r="H24" s="33"/>
      <c r="I24" s="36" t="str">
        <f aca="false">IF($A24="","",$G24*$H24)</f>
        <v/>
      </c>
      <c r="J24" s="31"/>
      <c r="K24" s="37"/>
      <c r="L24" s="32"/>
      <c r="M24" s="37"/>
      <c r="N24" s="32"/>
      <c r="O24" s="32"/>
      <c r="P24" s="34" t="n">
        <f aca="false">IF($A24="",0,COUNTIFS(P_CMP,$A24,P_STATUS,"PAGA"))</f>
        <v>0</v>
      </c>
      <c r="Q24" s="34" t="n">
        <f aca="false">IF($A24="",0,COUNTIFS(P_CMP,$A24,P_STATUS,"ABERTA"))</f>
        <v>0</v>
      </c>
      <c r="R24" s="34" t="n">
        <f aca="false">IF($A24="",0,COUNTIFS(P_CMP,$A24,P_STATUS,"ATRASADA"))</f>
        <v>0</v>
      </c>
      <c r="S24" s="34" t="n">
        <f aca="false">IF($A24="",0,COUNTIFS(P_CMP,$A24,P_STATUS,"PROJETADA"))</f>
        <v>0</v>
      </c>
      <c r="T24" s="34" t="str">
        <f aca="false">IF($A24="","",$G24-$P24)</f>
        <v/>
      </c>
      <c r="U24" s="36" t="n">
        <f aca="false">IF($A24="",0,SUMIFS(P_VALOR,P_CMP,$A24,P_STATUS,"PAGA"))</f>
        <v>0</v>
      </c>
      <c r="V24" s="36" t="str">
        <f aca="false">IF($A24="","",$I24-$U24)</f>
        <v/>
      </c>
      <c r="W24" s="35" t="str">
        <f aca="false">IF($A24="","",MIN($G24,$P24+1)&amp;"/"&amp;$G24)</f>
        <v/>
      </c>
      <c r="X24" s="38" t="str">
        <f aca="false">IF($A24="","",IFERROR(INDEX(P_VENC,MATCH(1,INDEX((P_CMP=$A24)*(P_STATUS&lt;&gt;"PAGA")*(P_STATUS&lt;&gt;"CANCELADA"),0),0)),""))</f>
        <v/>
      </c>
      <c r="Y24" s="32"/>
      <c r="Z24" s="32"/>
    </row>
    <row r="25" customFormat="false" ht="15" hidden="false" customHeight="false" outlineLevel="0" collapsed="false">
      <c r="A25" s="30" t="str">
        <f aca="false">IF($B25="","","CMP-"&amp;TEXT(ROW()-4,"000000"))</f>
        <v/>
      </c>
      <c r="B25" s="32"/>
      <c r="C25" s="32"/>
      <c r="D25" s="35" t="str">
        <f aca="false">IF($B25="","",IFERROR(INDEX(CAT_ID,MATCH($C25,CAT_NOME,0)),"?"))</f>
        <v/>
      </c>
      <c r="E25" s="32"/>
      <c r="F25" s="35" t="str">
        <f aca="false">IF($E25="","",IFERROR(INDEX(SUB_ID,MATCH(1,INDEX((SUB_NOME=$E25)*(SUB_CATID=$D25),0),0)),"?"))</f>
        <v/>
      </c>
      <c r="G25" s="37"/>
      <c r="H25" s="33"/>
      <c r="I25" s="36" t="str">
        <f aca="false">IF($A25="","",$G25*$H25)</f>
        <v/>
      </c>
      <c r="J25" s="31"/>
      <c r="K25" s="37"/>
      <c r="L25" s="32"/>
      <c r="M25" s="37"/>
      <c r="N25" s="32"/>
      <c r="O25" s="32"/>
      <c r="P25" s="34" t="n">
        <f aca="false">IF($A25="",0,COUNTIFS(P_CMP,$A25,P_STATUS,"PAGA"))</f>
        <v>0</v>
      </c>
      <c r="Q25" s="34" t="n">
        <f aca="false">IF($A25="",0,COUNTIFS(P_CMP,$A25,P_STATUS,"ABERTA"))</f>
        <v>0</v>
      </c>
      <c r="R25" s="34" t="n">
        <f aca="false">IF($A25="",0,COUNTIFS(P_CMP,$A25,P_STATUS,"ATRASADA"))</f>
        <v>0</v>
      </c>
      <c r="S25" s="34" t="n">
        <f aca="false">IF($A25="",0,COUNTIFS(P_CMP,$A25,P_STATUS,"PROJETADA"))</f>
        <v>0</v>
      </c>
      <c r="T25" s="34" t="str">
        <f aca="false">IF($A25="","",$G25-$P25)</f>
        <v/>
      </c>
      <c r="U25" s="36" t="n">
        <f aca="false">IF($A25="",0,SUMIFS(P_VALOR,P_CMP,$A25,P_STATUS,"PAGA"))</f>
        <v>0</v>
      </c>
      <c r="V25" s="36" t="str">
        <f aca="false">IF($A25="","",$I25-$U25)</f>
        <v/>
      </c>
      <c r="W25" s="35" t="str">
        <f aca="false">IF($A25="","",MIN($G25,$P25+1)&amp;"/"&amp;$G25)</f>
        <v/>
      </c>
      <c r="X25" s="38" t="str">
        <f aca="false">IF($A25="","",IFERROR(INDEX(P_VENC,MATCH(1,INDEX((P_CMP=$A25)*(P_STATUS&lt;&gt;"PAGA")*(P_STATUS&lt;&gt;"CANCELADA"),0),0)),""))</f>
        <v/>
      </c>
      <c r="Y25" s="32"/>
      <c r="Z25" s="32"/>
    </row>
    <row r="26" customFormat="false" ht="15" hidden="false" customHeight="false" outlineLevel="0" collapsed="false">
      <c r="A26" s="30" t="str">
        <f aca="false">IF($B26="","","CMP-"&amp;TEXT(ROW()-4,"000000"))</f>
        <v/>
      </c>
      <c r="B26" s="32"/>
      <c r="C26" s="32"/>
      <c r="D26" s="35" t="str">
        <f aca="false">IF($B26="","",IFERROR(INDEX(CAT_ID,MATCH($C26,CAT_NOME,0)),"?"))</f>
        <v/>
      </c>
      <c r="E26" s="32"/>
      <c r="F26" s="35" t="str">
        <f aca="false">IF($E26="","",IFERROR(INDEX(SUB_ID,MATCH(1,INDEX((SUB_NOME=$E26)*(SUB_CATID=$D26),0),0)),"?"))</f>
        <v/>
      </c>
      <c r="G26" s="37"/>
      <c r="H26" s="33"/>
      <c r="I26" s="36" t="str">
        <f aca="false">IF($A26="","",$G26*$H26)</f>
        <v/>
      </c>
      <c r="J26" s="31"/>
      <c r="K26" s="37"/>
      <c r="L26" s="32"/>
      <c r="M26" s="37"/>
      <c r="N26" s="32"/>
      <c r="O26" s="32"/>
      <c r="P26" s="34" t="n">
        <f aca="false">IF($A26="",0,COUNTIFS(P_CMP,$A26,P_STATUS,"PAGA"))</f>
        <v>0</v>
      </c>
      <c r="Q26" s="34" t="n">
        <f aca="false">IF($A26="",0,COUNTIFS(P_CMP,$A26,P_STATUS,"ABERTA"))</f>
        <v>0</v>
      </c>
      <c r="R26" s="34" t="n">
        <f aca="false">IF($A26="",0,COUNTIFS(P_CMP,$A26,P_STATUS,"ATRASADA"))</f>
        <v>0</v>
      </c>
      <c r="S26" s="34" t="n">
        <f aca="false">IF($A26="",0,COUNTIFS(P_CMP,$A26,P_STATUS,"PROJETADA"))</f>
        <v>0</v>
      </c>
      <c r="T26" s="34" t="str">
        <f aca="false">IF($A26="","",$G26-$P26)</f>
        <v/>
      </c>
      <c r="U26" s="36" t="n">
        <f aca="false">IF($A26="",0,SUMIFS(P_VALOR,P_CMP,$A26,P_STATUS,"PAGA"))</f>
        <v>0</v>
      </c>
      <c r="V26" s="36" t="str">
        <f aca="false">IF($A26="","",$I26-$U26)</f>
        <v/>
      </c>
      <c r="W26" s="35" t="str">
        <f aca="false">IF($A26="","",MIN($G26,$P26+1)&amp;"/"&amp;$G26)</f>
        <v/>
      </c>
      <c r="X26" s="38" t="str">
        <f aca="false">IF($A26="","",IFERROR(INDEX(P_VENC,MATCH(1,INDEX((P_CMP=$A26)*(P_STATUS&lt;&gt;"PAGA")*(P_STATUS&lt;&gt;"CANCELADA"),0),0)),""))</f>
        <v/>
      </c>
      <c r="Y26" s="32"/>
      <c r="Z26" s="32"/>
    </row>
    <row r="27" customFormat="false" ht="15" hidden="false" customHeight="false" outlineLevel="0" collapsed="false">
      <c r="A27" s="30" t="str">
        <f aca="false">IF($B27="","","CMP-"&amp;TEXT(ROW()-4,"000000"))</f>
        <v/>
      </c>
      <c r="B27" s="32"/>
      <c r="C27" s="32"/>
      <c r="D27" s="35" t="str">
        <f aca="false">IF($B27="","",IFERROR(INDEX(CAT_ID,MATCH($C27,CAT_NOME,0)),"?"))</f>
        <v/>
      </c>
      <c r="E27" s="32"/>
      <c r="F27" s="35" t="str">
        <f aca="false">IF($E27="","",IFERROR(INDEX(SUB_ID,MATCH(1,INDEX((SUB_NOME=$E27)*(SUB_CATID=$D27),0),0)),"?"))</f>
        <v/>
      </c>
      <c r="G27" s="37"/>
      <c r="H27" s="33"/>
      <c r="I27" s="36" t="str">
        <f aca="false">IF($A27="","",$G27*$H27)</f>
        <v/>
      </c>
      <c r="J27" s="31"/>
      <c r="K27" s="37"/>
      <c r="L27" s="32"/>
      <c r="M27" s="37"/>
      <c r="N27" s="32"/>
      <c r="O27" s="32"/>
      <c r="P27" s="34" t="n">
        <f aca="false">IF($A27="",0,COUNTIFS(P_CMP,$A27,P_STATUS,"PAGA"))</f>
        <v>0</v>
      </c>
      <c r="Q27" s="34" t="n">
        <f aca="false">IF($A27="",0,COUNTIFS(P_CMP,$A27,P_STATUS,"ABERTA"))</f>
        <v>0</v>
      </c>
      <c r="R27" s="34" t="n">
        <f aca="false">IF($A27="",0,COUNTIFS(P_CMP,$A27,P_STATUS,"ATRASADA"))</f>
        <v>0</v>
      </c>
      <c r="S27" s="34" t="n">
        <f aca="false">IF($A27="",0,COUNTIFS(P_CMP,$A27,P_STATUS,"PROJETADA"))</f>
        <v>0</v>
      </c>
      <c r="T27" s="34" t="str">
        <f aca="false">IF($A27="","",$G27-$P27)</f>
        <v/>
      </c>
      <c r="U27" s="36" t="n">
        <f aca="false">IF($A27="",0,SUMIFS(P_VALOR,P_CMP,$A27,P_STATUS,"PAGA"))</f>
        <v>0</v>
      </c>
      <c r="V27" s="36" t="str">
        <f aca="false">IF($A27="","",$I27-$U27)</f>
        <v/>
      </c>
      <c r="W27" s="35" t="str">
        <f aca="false">IF($A27="","",MIN($G27,$P27+1)&amp;"/"&amp;$G27)</f>
        <v/>
      </c>
      <c r="X27" s="38" t="str">
        <f aca="false">IF($A27="","",IFERROR(INDEX(P_VENC,MATCH(1,INDEX((P_CMP=$A27)*(P_STATUS&lt;&gt;"PAGA")*(P_STATUS&lt;&gt;"CANCELADA"),0),0)),""))</f>
        <v/>
      </c>
      <c r="Y27" s="32"/>
      <c r="Z27" s="32"/>
    </row>
    <row r="28" customFormat="false" ht="15" hidden="false" customHeight="false" outlineLevel="0" collapsed="false">
      <c r="A28" s="30" t="str">
        <f aca="false">IF($B28="","","CMP-"&amp;TEXT(ROW()-4,"000000"))</f>
        <v/>
      </c>
      <c r="B28" s="32"/>
      <c r="C28" s="32"/>
      <c r="D28" s="35" t="str">
        <f aca="false">IF($B28="","",IFERROR(INDEX(CAT_ID,MATCH($C28,CAT_NOME,0)),"?"))</f>
        <v/>
      </c>
      <c r="E28" s="32"/>
      <c r="F28" s="35" t="str">
        <f aca="false">IF($E28="","",IFERROR(INDEX(SUB_ID,MATCH(1,INDEX((SUB_NOME=$E28)*(SUB_CATID=$D28),0),0)),"?"))</f>
        <v/>
      </c>
      <c r="G28" s="37"/>
      <c r="H28" s="33"/>
      <c r="I28" s="36" t="str">
        <f aca="false">IF($A28="","",$G28*$H28)</f>
        <v/>
      </c>
      <c r="J28" s="31"/>
      <c r="K28" s="37"/>
      <c r="L28" s="32"/>
      <c r="M28" s="37"/>
      <c r="N28" s="32"/>
      <c r="O28" s="32"/>
      <c r="P28" s="34" t="n">
        <f aca="false">IF($A28="",0,COUNTIFS(P_CMP,$A28,P_STATUS,"PAGA"))</f>
        <v>0</v>
      </c>
      <c r="Q28" s="34" t="n">
        <f aca="false">IF($A28="",0,COUNTIFS(P_CMP,$A28,P_STATUS,"ABERTA"))</f>
        <v>0</v>
      </c>
      <c r="R28" s="34" t="n">
        <f aca="false">IF($A28="",0,COUNTIFS(P_CMP,$A28,P_STATUS,"ATRASADA"))</f>
        <v>0</v>
      </c>
      <c r="S28" s="34" t="n">
        <f aca="false">IF($A28="",0,COUNTIFS(P_CMP,$A28,P_STATUS,"PROJETADA"))</f>
        <v>0</v>
      </c>
      <c r="T28" s="34" t="str">
        <f aca="false">IF($A28="","",$G28-$P28)</f>
        <v/>
      </c>
      <c r="U28" s="36" t="n">
        <f aca="false">IF($A28="",0,SUMIFS(P_VALOR,P_CMP,$A28,P_STATUS,"PAGA"))</f>
        <v>0</v>
      </c>
      <c r="V28" s="36" t="str">
        <f aca="false">IF($A28="","",$I28-$U28)</f>
        <v/>
      </c>
      <c r="W28" s="35" t="str">
        <f aca="false">IF($A28="","",MIN($G28,$P28+1)&amp;"/"&amp;$G28)</f>
        <v/>
      </c>
      <c r="X28" s="38" t="str">
        <f aca="false">IF($A28="","",IFERROR(INDEX(P_VENC,MATCH(1,INDEX((P_CMP=$A28)*(P_STATUS&lt;&gt;"PAGA")*(P_STATUS&lt;&gt;"CANCELADA"),0),0)),""))</f>
        <v/>
      </c>
      <c r="Y28" s="32"/>
      <c r="Z28" s="32"/>
    </row>
    <row r="29" customFormat="false" ht="15" hidden="false" customHeight="false" outlineLevel="0" collapsed="false">
      <c r="A29" s="30" t="str">
        <f aca="false">IF($B29="","","CMP-"&amp;TEXT(ROW()-4,"000000"))</f>
        <v/>
      </c>
      <c r="B29" s="32"/>
      <c r="C29" s="32"/>
      <c r="D29" s="35" t="str">
        <f aca="false">IF($B29="","",IFERROR(INDEX(CAT_ID,MATCH($C29,CAT_NOME,0)),"?"))</f>
        <v/>
      </c>
      <c r="E29" s="32"/>
      <c r="F29" s="35" t="str">
        <f aca="false">IF($E29="","",IFERROR(INDEX(SUB_ID,MATCH(1,INDEX((SUB_NOME=$E29)*(SUB_CATID=$D29),0),0)),"?"))</f>
        <v/>
      </c>
      <c r="G29" s="37"/>
      <c r="H29" s="33"/>
      <c r="I29" s="36" t="str">
        <f aca="false">IF($A29="","",$G29*$H29)</f>
        <v/>
      </c>
      <c r="J29" s="31"/>
      <c r="K29" s="37"/>
      <c r="L29" s="32"/>
      <c r="M29" s="37"/>
      <c r="N29" s="32"/>
      <c r="O29" s="32"/>
      <c r="P29" s="34" t="n">
        <f aca="false">IF($A29="",0,COUNTIFS(P_CMP,$A29,P_STATUS,"PAGA"))</f>
        <v>0</v>
      </c>
      <c r="Q29" s="34" t="n">
        <f aca="false">IF($A29="",0,COUNTIFS(P_CMP,$A29,P_STATUS,"ABERTA"))</f>
        <v>0</v>
      </c>
      <c r="R29" s="34" t="n">
        <f aca="false">IF($A29="",0,COUNTIFS(P_CMP,$A29,P_STATUS,"ATRASADA"))</f>
        <v>0</v>
      </c>
      <c r="S29" s="34" t="n">
        <f aca="false">IF($A29="",0,COUNTIFS(P_CMP,$A29,P_STATUS,"PROJETADA"))</f>
        <v>0</v>
      </c>
      <c r="T29" s="34" t="str">
        <f aca="false">IF($A29="","",$G29-$P29)</f>
        <v/>
      </c>
      <c r="U29" s="36" t="n">
        <f aca="false">IF($A29="",0,SUMIFS(P_VALOR,P_CMP,$A29,P_STATUS,"PAGA"))</f>
        <v>0</v>
      </c>
      <c r="V29" s="36" t="str">
        <f aca="false">IF($A29="","",$I29-$U29)</f>
        <v/>
      </c>
      <c r="W29" s="35" t="str">
        <f aca="false">IF($A29="","",MIN($G29,$P29+1)&amp;"/"&amp;$G29)</f>
        <v/>
      </c>
      <c r="X29" s="38" t="str">
        <f aca="false">IF($A29="","",IFERROR(INDEX(P_VENC,MATCH(1,INDEX((P_CMP=$A29)*(P_STATUS&lt;&gt;"PAGA")*(P_STATUS&lt;&gt;"CANCELADA"),0),0)),""))</f>
        <v/>
      </c>
      <c r="Y29" s="32"/>
      <c r="Z29" s="32"/>
    </row>
    <row r="30" customFormat="false" ht="15" hidden="false" customHeight="false" outlineLevel="0" collapsed="false">
      <c r="A30" s="30" t="str">
        <f aca="false">IF($B30="","","CMP-"&amp;TEXT(ROW()-4,"000000"))</f>
        <v/>
      </c>
      <c r="B30" s="32"/>
      <c r="C30" s="32"/>
      <c r="D30" s="35" t="str">
        <f aca="false">IF($B30="","",IFERROR(INDEX(CAT_ID,MATCH($C30,CAT_NOME,0)),"?"))</f>
        <v/>
      </c>
      <c r="E30" s="32"/>
      <c r="F30" s="35" t="str">
        <f aca="false">IF($E30="","",IFERROR(INDEX(SUB_ID,MATCH(1,INDEX((SUB_NOME=$E30)*(SUB_CATID=$D30),0),0)),"?"))</f>
        <v/>
      </c>
      <c r="G30" s="37"/>
      <c r="H30" s="33"/>
      <c r="I30" s="36" t="str">
        <f aca="false">IF($A30="","",$G30*$H30)</f>
        <v/>
      </c>
      <c r="J30" s="31"/>
      <c r="K30" s="37"/>
      <c r="L30" s="32"/>
      <c r="M30" s="37"/>
      <c r="N30" s="32"/>
      <c r="O30" s="32"/>
      <c r="P30" s="34" t="n">
        <f aca="false">IF($A30="",0,COUNTIFS(P_CMP,$A30,P_STATUS,"PAGA"))</f>
        <v>0</v>
      </c>
      <c r="Q30" s="34" t="n">
        <f aca="false">IF($A30="",0,COUNTIFS(P_CMP,$A30,P_STATUS,"ABERTA"))</f>
        <v>0</v>
      </c>
      <c r="R30" s="34" t="n">
        <f aca="false">IF($A30="",0,COUNTIFS(P_CMP,$A30,P_STATUS,"ATRASADA"))</f>
        <v>0</v>
      </c>
      <c r="S30" s="34" t="n">
        <f aca="false">IF($A30="",0,COUNTIFS(P_CMP,$A30,P_STATUS,"PROJETADA"))</f>
        <v>0</v>
      </c>
      <c r="T30" s="34" t="str">
        <f aca="false">IF($A30="","",$G30-$P30)</f>
        <v/>
      </c>
      <c r="U30" s="36" t="n">
        <f aca="false">IF($A30="",0,SUMIFS(P_VALOR,P_CMP,$A30,P_STATUS,"PAGA"))</f>
        <v>0</v>
      </c>
      <c r="V30" s="36" t="str">
        <f aca="false">IF($A30="","",$I30-$U30)</f>
        <v/>
      </c>
      <c r="W30" s="35" t="str">
        <f aca="false">IF($A30="","",MIN($G30,$P30+1)&amp;"/"&amp;$G30)</f>
        <v/>
      </c>
      <c r="X30" s="38" t="str">
        <f aca="false">IF($A30="","",IFERROR(INDEX(P_VENC,MATCH(1,INDEX((P_CMP=$A30)*(P_STATUS&lt;&gt;"PAGA")*(P_STATUS&lt;&gt;"CANCELADA"),0),0)),""))</f>
        <v/>
      </c>
      <c r="Y30" s="32"/>
      <c r="Z30" s="32"/>
    </row>
    <row r="31" customFormat="false" ht="15" hidden="false" customHeight="false" outlineLevel="0" collapsed="false">
      <c r="A31" s="30" t="str">
        <f aca="false">IF($B31="","","CMP-"&amp;TEXT(ROW()-4,"000000"))</f>
        <v/>
      </c>
      <c r="B31" s="32"/>
      <c r="C31" s="32"/>
      <c r="D31" s="35" t="str">
        <f aca="false">IF($B31="","",IFERROR(INDEX(CAT_ID,MATCH($C31,CAT_NOME,0)),"?"))</f>
        <v/>
      </c>
      <c r="E31" s="32"/>
      <c r="F31" s="35" t="str">
        <f aca="false">IF($E31="","",IFERROR(INDEX(SUB_ID,MATCH(1,INDEX((SUB_NOME=$E31)*(SUB_CATID=$D31),0),0)),"?"))</f>
        <v/>
      </c>
      <c r="G31" s="37"/>
      <c r="H31" s="33"/>
      <c r="I31" s="36" t="str">
        <f aca="false">IF($A31="","",$G31*$H31)</f>
        <v/>
      </c>
      <c r="J31" s="31"/>
      <c r="K31" s="37"/>
      <c r="L31" s="32"/>
      <c r="M31" s="37"/>
      <c r="N31" s="32"/>
      <c r="O31" s="32"/>
      <c r="P31" s="34" t="n">
        <f aca="false">IF($A31="",0,COUNTIFS(P_CMP,$A31,P_STATUS,"PAGA"))</f>
        <v>0</v>
      </c>
      <c r="Q31" s="34" t="n">
        <f aca="false">IF($A31="",0,COUNTIFS(P_CMP,$A31,P_STATUS,"ABERTA"))</f>
        <v>0</v>
      </c>
      <c r="R31" s="34" t="n">
        <f aca="false">IF($A31="",0,COUNTIFS(P_CMP,$A31,P_STATUS,"ATRASADA"))</f>
        <v>0</v>
      </c>
      <c r="S31" s="34" t="n">
        <f aca="false">IF($A31="",0,COUNTIFS(P_CMP,$A31,P_STATUS,"PROJETADA"))</f>
        <v>0</v>
      </c>
      <c r="T31" s="34" t="str">
        <f aca="false">IF($A31="","",$G31-$P31)</f>
        <v/>
      </c>
      <c r="U31" s="36" t="n">
        <f aca="false">IF($A31="",0,SUMIFS(P_VALOR,P_CMP,$A31,P_STATUS,"PAGA"))</f>
        <v>0</v>
      </c>
      <c r="V31" s="36" t="str">
        <f aca="false">IF($A31="","",$I31-$U31)</f>
        <v/>
      </c>
      <c r="W31" s="35" t="str">
        <f aca="false">IF($A31="","",MIN($G31,$P31+1)&amp;"/"&amp;$G31)</f>
        <v/>
      </c>
      <c r="X31" s="38" t="str">
        <f aca="false">IF($A31="","",IFERROR(INDEX(P_VENC,MATCH(1,INDEX((P_CMP=$A31)*(P_STATUS&lt;&gt;"PAGA")*(P_STATUS&lt;&gt;"CANCELADA"),0),0)),""))</f>
        <v/>
      </c>
      <c r="Y31" s="32"/>
      <c r="Z31" s="32"/>
    </row>
    <row r="32" customFormat="false" ht="15" hidden="false" customHeight="false" outlineLevel="0" collapsed="false">
      <c r="A32" s="30" t="str">
        <f aca="false">IF($B32="","","CMP-"&amp;TEXT(ROW()-4,"000000"))</f>
        <v/>
      </c>
      <c r="B32" s="32"/>
      <c r="C32" s="32"/>
      <c r="D32" s="35" t="str">
        <f aca="false">IF($B32="","",IFERROR(INDEX(CAT_ID,MATCH($C32,CAT_NOME,0)),"?"))</f>
        <v/>
      </c>
      <c r="E32" s="32"/>
      <c r="F32" s="35" t="str">
        <f aca="false">IF($E32="","",IFERROR(INDEX(SUB_ID,MATCH(1,INDEX((SUB_NOME=$E32)*(SUB_CATID=$D32),0),0)),"?"))</f>
        <v/>
      </c>
      <c r="G32" s="37"/>
      <c r="H32" s="33"/>
      <c r="I32" s="36" t="str">
        <f aca="false">IF($A32="","",$G32*$H32)</f>
        <v/>
      </c>
      <c r="J32" s="31"/>
      <c r="K32" s="37"/>
      <c r="L32" s="32"/>
      <c r="M32" s="37"/>
      <c r="N32" s="32"/>
      <c r="O32" s="32"/>
      <c r="P32" s="34" t="n">
        <f aca="false">IF($A32="",0,COUNTIFS(P_CMP,$A32,P_STATUS,"PAGA"))</f>
        <v>0</v>
      </c>
      <c r="Q32" s="34" t="n">
        <f aca="false">IF($A32="",0,COUNTIFS(P_CMP,$A32,P_STATUS,"ABERTA"))</f>
        <v>0</v>
      </c>
      <c r="R32" s="34" t="n">
        <f aca="false">IF($A32="",0,COUNTIFS(P_CMP,$A32,P_STATUS,"ATRASADA"))</f>
        <v>0</v>
      </c>
      <c r="S32" s="34" t="n">
        <f aca="false">IF($A32="",0,COUNTIFS(P_CMP,$A32,P_STATUS,"PROJETADA"))</f>
        <v>0</v>
      </c>
      <c r="T32" s="34" t="str">
        <f aca="false">IF($A32="","",$G32-$P32)</f>
        <v/>
      </c>
      <c r="U32" s="36" t="n">
        <f aca="false">IF($A32="",0,SUMIFS(P_VALOR,P_CMP,$A32,P_STATUS,"PAGA"))</f>
        <v>0</v>
      </c>
      <c r="V32" s="36" t="str">
        <f aca="false">IF($A32="","",$I32-$U32)</f>
        <v/>
      </c>
      <c r="W32" s="35" t="str">
        <f aca="false">IF($A32="","",MIN($G32,$P32+1)&amp;"/"&amp;$G32)</f>
        <v/>
      </c>
      <c r="X32" s="38" t="str">
        <f aca="false">IF($A32="","",IFERROR(INDEX(P_VENC,MATCH(1,INDEX((P_CMP=$A32)*(P_STATUS&lt;&gt;"PAGA")*(P_STATUS&lt;&gt;"CANCELADA"),0),0)),""))</f>
        <v/>
      </c>
      <c r="Y32" s="32"/>
      <c r="Z32" s="32"/>
    </row>
    <row r="33" customFormat="false" ht="15" hidden="false" customHeight="false" outlineLevel="0" collapsed="false">
      <c r="A33" s="30" t="str">
        <f aca="false">IF($B33="","","CMP-"&amp;TEXT(ROW()-4,"000000"))</f>
        <v/>
      </c>
      <c r="B33" s="32"/>
      <c r="C33" s="32"/>
      <c r="D33" s="35" t="str">
        <f aca="false">IF($B33="","",IFERROR(INDEX(CAT_ID,MATCH($C33,CAT_NOME,0)),"?"))</f>
        <v/>
      </c>
      <c r="E33" s="32"/>
      <c r="F33" s="35" t="str">
        <f aca="false">IF($E33="","",IFERROR(INDEX(SUB_ID,MATCH(1,INDEX((SUB_NOME=$E33)*(SUB_CATID=$D33),0),0)),"?"))</f>
        <v/>
      </c>
      <c r="G33" s="37"/>
      <c r="H33" s="33"/>
      <c r="I33" s="36" t="str">
        <f aca="false">IF($A33="","",$G33*$H33)</f>
        <v/>
      </c>
      <c r="J33" s="31"/>
      <c r="K33" s="37"/>
      <c r="L33" s="32"/>
      <c r="M33" s="37"/>
      <c r="N33" s="32"/>
      <c r="O33" s="32"/>
      <c r="P33" s="34" t="n">
        <f aca="false">IF($A33="",0,COUNTIFS(P_CMP,$A33,P_STATUS,"PAGA"))</f>
        <v>0</v>
      </c>
      <c r="Q33" s="34" t="n">
        <f aca="false">IF($A33="",0,COUNTIFS(P_CMP,$A33,P_STATUS,"ABERTA"))</f>
        <v>0</v>
      </c>
      <c r="R33" s="34" t="n">
        <f aca="false">IF($A33="",0,COUNTIFS(P_CMP,$A33,P_STATUS,"ATRASADA"))</f>
        <v>0</v>
      </c>
      <c r="S33" s="34" t="n">
        <f aca="false">IF($A33="",0,COUNTIFS(P_CMP,$A33,P_STATUS,"PROJETADA"))</f>
        <v>0</v>
      </c>
      <c r="T33" s="34" t="str">
        <f aca="false">IF($A33="","",$G33-$P33)</f>
        <v/>
      </c>
      <c r="U33" s="36" t="n">
        <f aca="false">IF($A33="",0,SUMIFS(P_VALOR,P_CMP,$A33,P_STATUS,"PAGA"))</f>
        <v>0</v>
      </c>
      <c r="V33" s="36" t="str">
        <f aca="false">IF($A33="","",$I33-$U33)</f>
        <v/>
      </c>
      <c r="W33" s="35" t="str">
        <f aca="false">IF($A33="","",MIN($G33,$P33+1)&amp;"/"&amp;$G33)</f>
        <v/>
      </c>
      <c r="X33" s="38" t="str">
        <f aca="false">IF($A33="","",IFERROR(INDEX(P_VENC,MATCH(1,INDEX((P_CMP=$A33)*(P_STATUS&lt;&gt;"PAGA")*(P_STATUS&lt;&gt;"CANCELADA"),0),0)),""))</f>
        <v/>
      </c>
      <c r="Y33" s="32"/>
      <c r="Z33" s="32"/>
    </row>
    <row r="34" customFormat="false" ht="15" hidden="false" customHeight="false" outlineLevel="0" collapsed="false">
      <c r="A34" s="30" t="str">
        <f aca="false">IF($B34="","","CMP-"&amp;TEXT(ROW()-4,"000000"))</f>
        <v/>
      </c>
      <c r="B34" s="32"/>
      <c r="C34" s="32"/>
      <c r="D34" s="35" t="str">
        <f aca="false">IF($B34="","",IFERROR(INDEX(CAT_ID,MATCH($C34,CAT_NOME,0)),"?"))</f>
        <v/>
      </c>
      <c r="E34" s="32"/>
      <c r="F34" s="35" t="str">
        <f aca="false">IF($E34="","",IFERROR(INDEX(SUB_ID,MATCH(1,INDEX((SUB_NOME=$E34)*(SUB_CATID=$D34),0),0)),"?"))</f>
        <v/>
      </c>
      <c r="G34" s="37"/>
      <c r="H34" s="33"/>
      <c r="I34" s="36" t="str">
        <f aca="false">IF($A34="","",$G34*$H34)</f>
        <v/>
      </c>
      <c r="J34" s="31"/>
      <c r="K34" s="37"/>
      <c r="L34" s="32"/>
      <c r="M34" s="37"/>
      <c r="N34" s="32"/>
      <c r="O34" s="32"/>
      <c r="P34" s="34" t="n">
        <f aca="false">IF($A34="",0,COUNTIFS(P_CMP,$A34,P_STATUS,"PAGA"))</f>
        <v>0</v>
      </c>
      <c r="Q34" s="34" t="n">
        <f aca="false">IF($A34="",0,COUNTIFS(P_CMP,$A34,P_STATUS,"ABERTA"))</f>
        <v>0</v>
      </c>
      <c r="R34" s="34" t="n">
        <f aca="false">IF($A34="",0,COUNTIFS(P_CMP,$A34,P_STATUS,"ATRASADA"))</f>
        <v>0</v>
      </c>
      <c r="S34" s="34" t="n">
        <f aca="false">IF($A34="",0,COUNTIFS(P_CMP,$A34,P_STATUS,"PROJETADA"))</f>
        <v>0</v>
      </c>
      <c r="T34" s="34" t="str">
        <f aca="false">IF($A34="","",$G34-$P34)</f>
        <v/>
      </c>
      <c r="U34" s="36" t="n">
        <f aca="false">IF($A34="",0,SUMIFS(P_VALOR,P_CMP,$A34,P_STATUS,"PAGA"))</f>
        <v>0</v>
      </c>
      <c r="V34" s="36" t="str">
        <f aca="false">IF($A34="","",$I34-$U34)</f>
        <v/>
      </c>
      <c r="W34" s="35" t="str">
        <f aca="false">IF($A34="","",MIN($G34,$P34+1)&amp;"/"&amp;$G34)</f>
        <v/>
      </c>
      <c r="X34" s="38" t="str">
        <f aca="false">IF($A34="","",IFERROR(INDEX(P_VENC,MATCH(1,INDEX((P_CMP=$A34)*(P_STATUS&lt;&gt;"PAGA")*(P_STATUS&lt;&gt;"CANCELADA"),0),0)),""))</f>
        <v/>
      </c>
      <c r="Y34" s="32"/>
      <c r="Z34" s="32"/>
    </row>
    <row r="35" customFormat="false" ht="15" hidden="false" customHeight="false" outlineLevel="0" collapsed="false">
      <c r="A35" s="30" t="str">
        <f aca="false">IF($B35="","","CMP-"&amp;TEXT(ROW()-4,"000000"))</f>
        <v/>
      </c>
      <c r="B35" s="32"/>
      <c r="C35" s="32"/>
      <c r="D35" s="35" t="str">
        <f aca="false">IF($B35="","",IFERROR(INDEX(CAT_ID,MATCH($C35,CAT_NOME,0)),"?"))</f>
        <v/>
      </c>
      <c r="E35" s="32"/>
      <c r="F35" s="35" t="str">
        <f aca="false">IF($E35="","",IFERROR(INDEX(SUB_ID,MATCH(1,INDEX((SUB_NOME=$E35)*(SUB_CATID=$D35),0),0)),"?"))</f>
        <v/>
      </c>
      <c r="G35" s="37"/>
      <c r="H35" s="33"/>
      <c r="I35" s="36" t="str">
        <f aca="false">IF($A35="","",$G35*$H35)</f>
        <v/>
      </c>
      <c r="J35" s="31"/>
      <c r="K35" s="37"/>
      <c r="L35" s="32"/>
      <c r="M35" s="37"/>
      <c r="N35" s="32"/>
      <c r="O35" s="32"/>
      <c r="P35" s="34" t="n">
        <f aca="false">IF($A35="",0,COUNTIFS(P_CMP,$A35,P_STATUS,"PAGA"))</f>
        <v>0</v>
      </c>
      <c r="Q35" s="34" t="n">
        <f aca="false">IF($A35="",0,COUNTIFS(P_CMP,$A35,P_STATUS,"ABERTA"))</f>
        <v>0</v>
      </c>
      <c r="R35" s="34" t="n">
        <f aca="false">IF($A35="",0,COUNTIFS(P_CMP,$A35,P_STATUS,"ATRASADA"))</f>
        <v>0</v>
      </c>
      <c r="S35" s="34" t="n">
        <f aca="false">IF($A35="",0,COUNTIFS(P_CMP,$A35,P_STATUS,"PROJETADA"))</f>
        <v>0</v>
      </c>
      <c r="T35" s="34" t="str">
        <f aca="false">IF($A35="","",$G35-$P35)</f>
        <v/>
      </c>
      <c r="U35" s="36" t="n">
        <f aca="false">IF($A35="",0,SUMIFS(P_VALOR,P_CMP,$A35,P_STATUS,"PAGA"))</f>
        <v>0</v>
      </c>
      <c r="V35" s="36" t="str">
        <f aca="false">IF($A35="","",$I35-$U35)</f>
        <v/>
      </c>
      <c r="W35" s="35" t="str">
        <f aca="false">IF($A35="","",MIN($G35,$P35+1)&amp;"/"&amp;$G35)</f>
        <v/>
      </c>
      <c r="X35" s="38" t="str">
        <f aca="false">IF($A35="","",IFERROR(INDEX(P_VENC,MATCH(1,INDEX((P_CMP=$A35)*(P_STATUS&lt;&gt;"PAGA")*(P_STATUS&lt;&gt;"CANCELADA"),0),0)),""))</f>
        <v/>
      </c>
      <c r="Y35" s="32"/>
      <c r="Z35" s="32"/>
    </row>
    <row r="36" customFormat="false" ht="15" hidden="false" customHeight="false" outlineLevel="0" collapsed="false">
      <c r="A36" s="30" t="str">
        <f aca="false">IF($B36="","","CMP-"&amp;TEXT(ROW()-4,"000000"))</f>
        <v/>
      </c>
      <c r="B36" s="32"/>
      <c r="C36" s="32"/>
      <c r="D36" s="35" t="str">
        <f aca="false">IF($B36="","",IFERROR(INDEX(CAT_ID,MATCH($C36,CAT_NOME,0)),"?"))</f>
        <v/>
      </c>
      <c r="E36" s="32"/>
      <c r="F36" s="35" t="str">
        <f aca="false">IF($E36="","",IFERROR(INDEX(SUB_ID,MATCH(1,INDEX((SUB_NOME=$E36)*(SUB_CATID=$D36),0),0)),"?"))</f>
        <v/>
      </c>
      <c r="G36" s="37"/>
      <c r="H36" s="33"/>
      <c r="I36" s="36" t="str">
        <f aca="false">IF($A36="","",$G36*$H36)</f>
        <v/>
      </c>
      <c r="J36" s="31"/>
      <c r="K36" s="37"/>
      <c r="L36" s="32"/>
      <c r="M36" s="37"/>
      <c r="N36" s="32"/>
      <c r="O36" s="32"/>
      <c r="P36" s="34" t="n">
        <f aca="false">IF($A36="",0,COUNTIFS(P_CMP,$A36,P_STATUS,"PAGA"))</f>
        <v>0</v>
      </c>
      <c r="Q36" s="34" t="n">
        <f aca="false">IF($A36="",0,COUNTIFS(P_CMP,$A36,P_STATUS,"ABERTA"))</f>
        <v>0</v>
      </c>
      <c r="R36" s="34" t="n">
        <f aca="false">IF($A36="",0,COUNTIFS(P_CMP,$A36,P_STATUS,"ATRASADA"))</f>
        <v>0</v>
      </c>
      <c r="S36" s="34" t="n">
        <f aca="false">IF($A36="",0,COUNTIFS(P_CMP,$A36,P_STATUS,"PROJETADA"))</f>
        <v>0</v>
      </c>
      <c r="T36" s="34" t="str">
        <f aca="false">IF($A36="","",$G36-$P36)</f>
        <v/>
      </c>
      <c r="U36" s="36" t="n">
        <f aca="false">IF($A36="",0,SUMIFS(P_VALOR,P_CMP,$A36,P_STATUS,"PAGA"))</f>
        <v>0</v>
      </c>
      <c r="V36" s="36" t="str">
        <f aca="false">IF($A36="","",$I36-$U36)</f>
        <v/>
      </c>
      <c r="W36" s="35" t="str">
        <f aca="false">IF($A36="","",MIN($G36,$P36+1)&amp;"/"&amp;$G36)</f>
        <v/>
      </c>
      <c r="X36" s="38" t="str">
        <f aca="false">IF($A36="","",IFERROR(INDEX(P_VENC,MATCH(1,INDEX((P_CMP=$A36)*(P_STATUS&lt;&gt;"PAGA")*(P_STATUS&lt;&gt;"CANCELADA"),0),0)),""))</f>
        <v/>
      </c>
      <c r="Y36" s="32"/>
      <c r="Z36" s="32"/>
    </row>
    <row r="37" customFormat="false" ht="15" hidden="false" customHeight="false" outlineLevel="0" collapsed="false">
      <c r="A37" s="30" t="str">
        <f aca="false">IF($B37="","","CMP-"&amp;TEXT(ROW()-4,"000000"))</f>
        <v/>
      </c>
      <c r="B37" s="32"/>
      <c r="C37" s="32"/>
      <c r="D37" s="35" t="str">
        <f aca="false">IF($B37="","",IFERROR(INDEX(CAT_ID,MATCH($C37,CAT_NOME,0)),"?"))</f>
        <v/>
      </c>
      <c r="E37" s="32"/>
      <c r="F37" s="35" t="str">
        <f aca="false">IF($E37="","",IFERROR(INDEX(SUB_ID,MATCH(1,INDEX((SUB_NOME=$E37)*(SUB_CATID=$D37),0),0)),"?"))</f>
        <v/>
      </c>
      <c r="G37" s="37"/>
      <c r="H37" s="33"/>
      <c r="I37" s="36" t="str">
        <f aca="false">IF($A37="","",$G37*$H37)</f>
        <v/>
      </c>
      <c r="J37" s="31"/>
      <c r="K37" s="37"/>
      <c r="L37" s="32"/>
      <c r="M37" s="37"/>
      <c r="N37" s="32"/>
      <c r="O37" s="32"/>
      <c r="P37" s="34" t="n">
        <f aca="false">IF($A37="",0,COUNTIFS(P_CMP,$A37,P_STATUS,"PAGA"))</f>
        <v>0</v>
      </c>
      <c r="Q37" s="34" t="n">
        <f aca="false">IF($A37="",0,COUNTIFS(P_CMP,$A37,P_STATUS,"ABERTA"))</f>
        <v>0</v>
      </c>
      <c r="R37" s="34" t="n">
        <f aca="false">IF($A37="",0,COUNTIFS(P_CMP,$A37,P_STATUS,"ATRASADA"))</f>
        <v>0</v>
      </c>
      <c r="S37" s="34" t="n">
        <f aca="false">IF($A37="",0,COUNTIFS(P_CMP,$A37,P_STATUS,"PROJETADA"))</f>
        <v>0</v>
      </c>
      <c r="T37" s="34" t="str">
        <f aca="false">IF($A37="","",$G37-$P37)</f>
        <v/>
      </c>
      <c r="U37" s="36" t="n">
        <f aca="false">IF($A37="",0,SUMIFS(P_VALOR,P_CMP,$A37,P_STATUS,"PAGA"))</f>
        <v>0</v>
      </c>
      <c r="V37" s="36" t="str">
        <f aca="false">IF($A37="","",$I37-$U37)</f>
        <v/>
      </c>
      <c r="W37" s="35" t="str">
        <f aca="false">IF($A37="","",MIN($G37,$P37+1)&amp;"/"&amp;$G37)</f>
        <v/>
      </c>
      <c r="X37" s="38" t="str">
        <f aca="false">IF($A37="","",IFERROR(INDEX(P_VENC,MATCH(1,INDEX((P_CMP=$A37)*(P_STATUS&lt;&gt;"PAGA")*(P_STATUS&lt;&gt;"CANCELADA"),0),0)),""))</f>
        <v/>
      </c>
      <c r="Y37" s="32"/>
      <c r="Z37" s="32"/>
    </row>
    <row r="38" customFormat="false" ht="15" hidden="false" customHeight="false" outlineLevel="0" collapsed="false">
      <c r="A38" s="30" t="str">
        <f aca="false">IF($B38="","","CMP-"&amp;TEXT(ROW()-4,"000000"))</f>
        <v/>
      </c>
      <c r="B38" s="32"/>
      <c r="C38" s="32"/>
      <c r="D38" s="35" t="str">
        <f aca="false">IF($B38="","",IFERROR(INDEX(CAT_ID,MATCH($C38,CAT_NOME,0)),"?"))</f>
        <v/>
      </c>
      <c r="E38" s="32"/>
      <c r="F38" s="35" t="str">
        <f aca="false">IF($E38="","",IFERROR(INDEX(SUB_ID,MATCH(1,INDEX((SUB_NOME=$E38)*(SUB_CATID=$D38),0),0)),"?"))</f>
        <v/>
      </c>
      <c r="G38" s="37"/>
      <c r="H38" s="33"/>
      <c r="I38" s="36" t="str">
        <f aca="false">IF($A38="","",$G38*$H38)</f>
        <v/>
      </c>
      <c r="J38" s="31"/>
      <c r="K38" s="37"/>
      <c r="L38" s="32"/>
      <c r="M38" s="37"/>
      <c r="N38" s="32"/>
      <c r="O38" s="32"/>
      <c r="P38" s="34" t="n">
        <f aca="false">IF($A38="",0,COUNTIFS(P_CMP,$A38,P_STATUS,"PAGA"))</f>
        <v>0</v>
      </c>
      <c r="Q38" s="34" t="n">
        <f aca="false">IF($A38="",0,COUNTIFS(P_CMP,$A38,P_STATUS,"ABERTA"))</f>
        <v>0</v>
      </c>
      <c r="R38" s="34" t="n">
        <f aca="false">IF($A38="",0,COUNTIFS(P_CMP,$A38,P_STATUS,"ATRASADA"))</f>
        <v>0</v>
      </c>
      <c r="S38" s="34" t="n">
        <f aca="false">IF($A38="",0,COUNTIFS(P_CMP,$A38,P_STATUS,"PROJETADA"))</f>
        <v>0</v>
      </c>
      <c r="T38" s="34" t="str">
        <f aca="false">IF($A38="","",$G38-$P38)</f>
        <v/>
      </c>
      <c r="U38" s="36" t="n">
        <f aca="false">IF($A38="",0,SUMIFS(P_VALOR,P_CMP,$A38,P_STATUS,"PAGA"))</f>
        <v>0</v>
      </c>
      <c r="V38" s="36" t="str">
        <f aca="false">IF($A38="","",$I38-$U38)</f>
        <v/>
      </c>
      <c r="W38" s="35" t="str">
        <f aca="false">IF($A38="","",MIN($G38,$P38+1)&amp;"/"&amp;$G38)</f>
        <v/>
      </c>
      <c r="X38" s="38" t="str">
        <f aca="false">IF($A38="","",IFERROR(INDEX(P_VENC,MATCH(1,INDEX((P_CMP=$A38)*(P_STATUS&lt;&gt;"PAGA")*(P_STATUS&lt;&gt;"CANCELADA"),0),0)),""))</f>
        <v/>
      </c>
      <c r="Y38" s="32"/>
      <c r="Z38" s="32"/>
    </row>
    <row r="39" customFormat="false" ht="15" hidden="false" customHeight="false" outlineLevel="0" collapsed="false">
      <c r="A39" s="30" t="str">
        <f aca="false">IF($B39="","","CMP-"&amp;TEXT(ROW()-4,"000000"))</f>
        <v/>
      </c>
      <c r="B39" s="32"/>
      <c r="C39" s="32"/>
      <c r="D39" s="35" t="str">
        <f aca="false">IF($B39="","",IFERROR(INDEX(CAT_ID,MATCH($C39,CAT_NOME,0)),"?"))</f>
        <v/>
      </c>
      <c r="E39" s="32"/>
      <c r="F39" s="35" t="str">
        <f aca="false">IF($E39="","",IFERROR(INDEX(SUB_ID,MATCH(1,INDEX((SUB_NOME=$E39)*(SUB_CATID=$D39),0),0)),"?"))</f>
        <v/>
      </c>
      <c r="G39" s="37"/>
      <c r="H39" s="33"/>
      <c r="I39" s="36" t="str">
        <f aca="false">IF($A39="","",$G39*$H39)</f>
        <v/>
      </c>
      <c r="J39" s="31"/>
      <c r="K39" s="37"/>
      <c r="L39" s="32"/>
      <c r="M39" s="37"/>
      <c r="N39" s="32"/>
      <c r="O39" s="32"/>
      <c r="P39" s="34" t="n">
        <f aca="false">IF($A39="",0,COUNTIFS(P_CMP,$A39,P_STATUS,"PAGA"))</f>
        <v>0</v>
      </c>
      <c r="Q39" s="34" t="n">
        <f aca="false">IF($A39="",0,COUNTIFS(P_CMP,$A39,P_STATUS,"ABERTA"))</f>
        <v>0</v>
      </c>
      <c r="R39" s="34" t="n">
        <f aca="false">IF($A39="",0,COUNTIFS(P_CMP,$A39,P_STATUS,"ATRASADA"))</f>
        <v>0</v>
      </c>
      <c r="S39" s="34" t="n">
        <f aca="false">IF($A39="",0,COUNTIFS(P_CMP,$A39,P_STATUS,"PROJETADA"))</f>
        <v>0</v>
      </c>
      <c r="T39" s="34" t="str">
        <f aca="false">IF($A39="","",$G39-$P39)</f>
        <v/>
      </c>
      <c r="U39" s="36" t="n">
        <f aca="false">IF($A39="",0,SUMIFS(P_VALOR,P_CMP,$A39,P_STATUS,"PAGA"))</f>
        <v>0</v>
      </c>
      <c r="V39" s="36" t="str">
        <f aca="false">IF($A39="","",$I39-$U39)</f>
        <v/>
      </c>
      <c r="W39" s="35" t="str">
        <f aca="false">IF($A39="","",MIN($G39,$P39+1)&amp;"/"&amp;$G39)</f>
        <v/>
      </c>
      <c r="X39" s="38" t="str">
        <f aca="false">IF($A39="","",IFERROR(INDEX(P_VENC,MATCH(1,INDEX((P_CMP=$A39)*(P_STATUS&lt;&gt;"PAGA")*(P_STATUS&lt;&gt;"CANCELADA"),0),0)),""))</f>
        <v/>
      </c>
      <c r="Y39" s="32"/>
      <c r="Z39" s="32"/>
    </row>
    <row r="40" customFormat="false" ht="15" hidden="false" customHeight="false" outlineLevel="0" collapsed="false">
      <c r="A40" s="30" t="str">
        <f aca="false">IF($B40="","","CMP-"&amp;TEXT(ROW()-4,"000000"))</f>
        <v/>
      </c>
      <c r="B40" s="32"/>
      <c r="C40" s="32"/>
      <c r="D40" s="35" t="str">
        <f aca="false">IF($B40="","",IFERROR(INDEX(CAT_ID,MATCH($C40,CAT_NOME,0)),"?"))</f>
        <v/>
      </c>
      <c r="E40" s="32"/>
      <c r="F40" s="35" t="str">
        <f aca="false">IF($E40="","",IFERROR(INDEX(SUB_ID,MATCH(1,INDEX((SUB_NOME=$E40)*(SUB_CATID=$D40),0),0)),"?"))</f>
        <v/>
      </c>
      <c r="G40" s="37"/>
      <c r="H40" s="33"/>
      <c r="I40" s="36" t="str">
        <f aca="false">IF($A40="","",$G40*$H40)</f>
        <v/>
      </c>
      <c r="J40" s="31"/>
      <c r="K40" s="37"/>
      <c r="L40" s="32"/>
      <c r="M40" s="37"/>
      <c r="N40" s="32"/>
      <c r="O40" s="32"/>
      <c r="P40" s="34" t="n">
        <f aca="false">IF($A40="",0,COUNTIFS(P_CMP,$A40,P_STATUS,"PAGA"))</f>
        <v>0</v>
      </c>
      <c r="Q40" s="34" t="n">
        <f aca="false">IF($A40="",0,COUNTIFS(P_CMP,$A40,P_STATUS,"ABERTA"))</f>
        <v>0</v>
      </c>
      <c r="R40" s="34" t="n">
        <f aca="false">IF($A40="",0,COUNTIFS(P_CMP,$A40,P_STATUS,"ATRASADA"))</f>
        <v>0</v>
      </c>
      <c r="S40" s="34" t="n">
        <f aca="false">IF($A40="",0,COUNTIFS(P_CMP,$A40,P_STATUS,"PROJETADA"))</f>
        <v>0</v>
      </c>
      <c r="T40" s="34" t="str">
        <f aca="false">IF($A40="","",$G40-$P40)</f>
        <v/>
      </c>
      <c r="U40" s="36" t="n">
        <f aca="false">IF($A40="",0,SUMIFS(P_VALOR,P_CMP,$A40,P_STATUS,"PAGA"))</f>
        <v>0</v>
      </c>
      <c r="V40" s="36" t="str">
        <f aca="false">IF($A40="","",$I40-$U40)</f>
        <v/>
      </c>
      <c r="W40" s="35" t="str">
        <f aca="false">IF($A40="","",MIN($G40,$P40+1)&amp;"/"&amp;$G40)</f>
        <v/>
      </c>
      <c r="X40" s="38" t="str">
        <f aca="false">IF($A40="","",IFERROR(INDEX(P_VENC,MATCH(1,INDEX((P_CMP=$A40)*(P_STATUS&lt;&gt;"PAGA")*(P_STATUS&lt;&gt;"CANCELADA"),0),0)),""))</f>
        <v/>
      </c>
      <c r="Y40" s="32"/>
      <c r="Z40" s="32"/>
    </row>
    <row r="41" customFormat="false" ht="15" hidden="false" customHeight="false" outlineLevel="0" collapsed="false">
      <c r="A41" s="30" t="str">
        <f aca="false">IF($B41="","","CMP-"&amp;TEXT(ROW()-4,"000000"))</f>
        <v/>
      </c>
      <c r="B41" s="32"/>
      <c r="C41" s="32"/>
      <c r="D41" s="35" t="str">
        <f aca="false">IF($B41="","",IFERROR(INDEX(CAT_ID,MATCH($C41,CAT_NOME,0)),"?"))</f>
        <v/>
      </c>
      <c r="E41" s="32"/>
      <c r="F41" s="35" t="str">
        <f aca="false">IF($E41="","",IFERROR(INDEX(SUB_ID,MATCH(1,INDEX((SUB_NOME=$E41)*(SUB_CATID=$D41),0),0)),"?"))</f>
        <v/>
      </c>
      <c r="G41" s="37"/>
      <c r="H41" s="33"/>
      <c r="I41" s="36" t="str">
        <f aca="false">IF($A41="","",$G41*$H41)</f>
        <v/>
      </c>
      <c r="J41" s="31"/>
      <c r="K41" s="37"/>
      <c r="L41" s="32"/>
      <c r="M41" s="37"/>
      <c r="N41" s="32"/>
      <c r="O41" s="32"/>
      <c r="P41" s="34" t="n">
        <f aca="false">IF($A41="",0,COUNTIFS(P_CMP,$A41,P_STATUS,"PAGA"))</f>
        <v>0</v>
      </c>
      <c r="Q41" s="34" t="n">
        <f aca="false">IF($A41="",0,COUNTIFS(P_CMP,$A41,P_STATUS,"ABERTA"))</f>
        <v>0</v>
      </c>
      <c r="R41" s="34" t="n">
        <f aca="false">IF($A41="",0,COUNTIFS(P_CMP,$A41,P_STATUS,"ATRASADA"))</f>
        <v>0</v>
      </c>
      <c r="S41" s="34" t="n">
        <f aca="false">IF($A41="",0,COUNTIFS(P_CMP,$A41,P_STATUS,"PROJETADA"))</f>
        <v>0</v>
      </c>
      <c r="T41" s="34" t="str">
        <f aca="false">IF($A41="","",$G41-$P41)</f>
        <v/>
      </c>
      <c r="U41" s="36" t="n">
        <f aca="false">IF($A41="",0,SUMIFS(P_VALOR,P_CMP,$A41,P_STATUS,"PAGA"))</f>
        <v>0</v>
      </c>
      <c r="V41" s="36" t="str">
        <f aca="false">IF($A41="","",$I41-$U41)</f>
        <v/>
      </c>
      <c r="W41" s="35" t="str">
        <f aca="false">IF($A41="","",MIN($G41,$P41+1)&amp;"/"&amp;$G41)</f>
        <v/>
      </c>
      <c r="X41" s="38" t="str">
        <f aca="false">IF($A41="","",IFERROR(INDEX(P_VENC,MATCH(1,INDEX((P_CMP=$A41)*(P_STATUS&lt;&gt;"PAGA")*(P_STATUS&lt;&gt;"CANCELADA"),0),0)),""))</f>
        <v/>
      </c>
      <c r="Y41" s="32"/>
      <c r="Z41" s="32"/>
    </row>
    <row r="42" customFormat="false" ht="15" hidden="false" customHeight="false" outlineLevel="0" collapsed="false">
      <c r="A42" s="30" t="str">
        <f aca="false">IF($B42="","","CMP-"&amp;TEXT(ROW()-4,"000000"))</f>
        <v/>
      </c>
      <c r="B42" s="32"/>
      <c r="C42" s="32"/>
      <c r="D42" s="35" t="str">
        <f aca="false">IF($B42="","",IFERROR(INDEX(CAT_ID,MATCH($C42,CAT_NOME,0)),"?"))</f>
        <v/>
      </c>
      <c r="E42" s="32"/>
      <c r="F42" s="35" t="str">
        <f aca="false">IF($E42="","",IFERROR(INDEX(SUB_ID,MATCH(1,INDEX((SUB_NOME=$E42)*(SUB_CATID=$D42),0),0)),"?"))</f>
        <v/>
      </c>
      <c r="G42" s="37"/>
      <c r="H42" s="33"/>
      <c r="I42" s="36" t="str">
        <f aca="false">IF($A42="","",$G42*$H42)</f>
        <v/>
      </c>
      <c r="J42" s="31"/>
      <c r="K42" s="37"/>
      <c r="L42" s="32"/>
      <c r="M42" s="37"/>
      <c r="N42" s="32"/>
      <c r="O42" s="32"/>
      <c r="P42" s="34" t="n">
        <f aca="false">IF($A42="",0,COUNTIFS(P_CMP,$A42,P_STATUS,"PAGA"))</f>
        <v>0</v>
      </c>
      <c r="Q42" s="34" t="n">
        <f aca="false">IF($A42="",0,COUNTIFS(P_CMP,$A42,P_STATUS,"ABERTA"))</f>
        <v>0</v>
      </c>
      <c r="R42" s="34" t="n">
        <f aca="false">IF($A42="",0,COUNTIFS(P_CMP,$A42,P_STATUS,"ATRASADA"))</f>
        <v>0</v>
      </c>
      <c r="S42" s="34" t="n">
        <f aca="false">IF($A42="",0,COUNTIFS(P_CMP,$A42,P_STATUS,"PROJETADA"))</f>
        <v>0</v>
      </c>
      <c r="T42" s="34" t="str">
        <f aca="false">IF($A42="","",$G42-$P42)</f>
        <v/>
      </c>
      <c r="U42" s="36" t="n">
        <f aca="false">IF($A42="",0,SUMIFS(P_VALOR,P_CMP,$A42,P_STATUS,"PAGA"))</f>
        <v>0</v>
      </c>
      <c r="V42" s="36" t="str">
        <f aca="false">IF($A42="","",$I42-$U42)</f>
        <v/>
      </c>
      <c r="W42" s="35" t="str">
        <f aca="false">IF($A42="","",MIN($G42,$P42+1)&amp;"/"&amp;$G42)</f>
        <v/>
      </c>
      <c r="X42" s="38" t="str">
        <f aca="false">IF($A42="","",IFERROR(INDEX(P_VENC,MATCH(1,INDEX((P_CMP=$A42)*(P_STATUS&lt;&gt;"PAGA")*(P_STATUS&lt;&gt;"CANCELADA"),0),0)),""))</f>
        <v/>
      </c>
      <c r="Y42" s="32"/>
      <c r="Z42" s="32"/>
    </row>
    <row r="43" customFormat="false" ht="15" hidden="false" customHeight="false" outlineLevel="0" collapsed="false">
      <c r="A43" s="30" t="str">
        <f aca="false">IF($B43="","","CMP-"&amp;TEXT(ROW()-4,"000000"))</f>
        <v/>
      </c>
      <c r="B43" s="32"/>
      <c r="C43" s="32"/>
      <c r="D43" s="35" t="str">
        <f aca="false">IF($B43="","",IFERROR(INDEX(CAT_ID,MATCH($C43,CAT_NOME,0)),"?"))</f>
        <v/>
      </c>
      <c r="E43" s="32"/>
      <c r="F43" s="35" t="str">
        <f aca="false">IF($E43="","",IFERROR(INDEX(SUB_ID,MATCH(1,INDEX((SUB_NOME=$E43)*(SUB_CATID=$D43),0),0)),"?"))</f>
        <v/>
      </c>
      <c r="G43" s="37"/>
      <c r="H43" s="33"/>
      <c r="I43" s="36" t="str">
        <f aca="false">IF($A43="","",$G43*$H43)</f>
        <v/>
      </c>
      <c r="J43" s="31"/>
      <c r="K43" s="37"/>
      <c r="L43" s="32"/>
      <c r="M43" s="37"/>
      <c r="N43" s="32"/>
      <c r="O43" s="32"/>
      <c r="P43" s="34" t="n">
        <f aca="false">IF($A43="",0,COUNTIFS(P_CMP,$A43,P_STATUS,"PAGA"))</f>
        <v>0</v>
      </c>
      <c r="Q43" s="34" t="n">
        <f aca="false">IF($A43="",0,COUNTIFS(P_CMP,$A43,P_STATUS,"ABERTA"))</f>
        <v>0</v>
      </c>
      <c r="R43" s="34" t="n">
        <f aca="false">IF($A43="",0,COUNTIFS(P_CMP,$A43,P_STATUS,"ATRASADA"))</f>
        <v>0</v>
      </c>
      <c r="S43" s="34" t="n">
        <f aca="false">IF($A43="",0,COUNTIFS(P_CMP,$A43,P_STATUS,"PROJETADA"))</f>
        <v>0</v>
      </c>
      <c r="T43" s="34" t="str">
        <f aca="false">IF($A43="","",$G43-$P43)</f>
        <v/>
      </c>
      <c r="U43" s="36" t="n">
        <f aca="false">IF($A43="",0,SUMIFS(P_VALOR,P_CMP,$A43,P_STATUS,"PAGA"))</f>
        <v>0</v>
      </c>
      <c r="V43" s="36" t="str">
        <f aca="false">IF($A43="","",$I43-$U43)</f>
        <v/>
      </c>
      <c r="W43" s="35" t="str">
        <f aca="false">IF($A43="","",MIN($G43,$P43+1)&amp;"/"&amp;$G43)</f>
        <v/>
      </c>
      <c r="X43" s="38" t="str">
        <f aca="false">IF($A43="","",IFERROR(INDEX(P_VENC,MATCH(1,INDEX((P_CMP=$A43)*(P_STATUS&lt;&gt;"PAGA")*(P_STATUS&lt;&gt;"CANCELADA"),0),0)),""))</f>
        <v/>
      </c>
      <c r="Y43" s="32"/>
      <c r="Z43" s="32"/>
    </row>
    <row r="44" customFormat="false" ht="15" hidden="false" customHeight="false" outlineLevel="0" collapsed="false">
      <c r="A44" s="30" t="str">
        <f aca="false">IF($B44="","","CMP-"&amp;TEXT(ROW()-4,"000000"))</f>
        <v/>
      </c>
      <c r="B44" s="32"/>
      <c r="C44" s="32"/>
      <c r="D44" s="35" t="str">
        <f aca="false">IF($B44="","",IFERROR(INDEX(CAT_ID,MATCH($C44,CAT_NOME,0)),"?"))</f>
        <v/>
      </c>
      <c r="E44" s="32"/>
      <c r="F44" s="35" t="str">
        <f aca="false">IF($E44="","",IFERROR(INDEX(SUB_ID,MATCH(1,INDEX((SUB_NOME=$E44)*(SUB_CATID=$D44),0),0)),"?"))</f>
        <v/>
      </c>
      <c r="G44" s="37"/>
      <c r="H44" s="33"/>
      <c r="I44" s="36" t="str">
        <f aca="false">IF($A44="","",$G44*$H44)</f>
        <v/>
      </c>
      <c r="J44" s="31"/>
      <c r="K44" s="37"/>
      <c r="L44" s="32"/>
      <c r="M44" s="37"/>
      <c r="N44" s="32"/>
      <c r="O44" s="32"/>
      <c r="P44" s="34" t="n">
        <f aca="false">IF($A44="",0,COUNTIFS(P_CMP,$A44,P_STATUS,"PAGA"))</f>
        <v>0</v>
      </c>
      <c r="Q44" s="34" t="n">
        <f aca="false">IF($A44="",0,COUNTIFS(P_CMP,$A44,P_STATUS,"ABERTA"))</f>
        <v>0</v>
      </c>
      <c r="R44" s="34" t="n">
        <f aca="false">IF($A44="",0,COUNTIFS(P_CMP,$A44,P_STATUS,"ATRASADA"))</f>
        <v>0</v>
      </c>
      <c r="S44" s="34" t="n">
        <f aca="false">IF($A44="",0,COUNTIFS(P_CMP,$A44,P_STATUS,"PROJETADA"))</f>
        <v>0</v>
      </c>
      <c r="T44" s="34" t="str">
        <f aca="false">IF($A44="","",$G44-$P44)</f>
        <v/>
      </c>
      <c r="U44" s="36" t="n">
        <f aca="false">IF($A44="",0,SUMIFS(P_VALOR,P_CMP,$A44,P_STATUS,"PAGA"))</f>
        <v>0</v>
      </c>
      <c r="V44" s="36" t="str">
        <f aca="false">IF($A44="","",$I44-$U44)</f>
        <v/>
      </c>
      <c r="W44" s="35" t="str">
        <f aca="false">IF($A44="","",MIN($G44,$P44+1)&amp;"/"&amp;$G44)</f>
        <v/>
      </c>
      <c r="X44" s="38" t="str">
        <f aca="false">IF($A44="","",IFERROR(INDEX(P_VENC,MATCH(1,INDEX((P_CMP=$A44)*(P_STATUS&lt;&gt;"PAGA")*(P_STATUS&lt;&gt;"CANCELADA"),0),0)),""))</f>
        <v/>
      </c>
      <c r="Y44" s="32"/>
      <c r="Z44" s="32"/>
    </row>
  </sheetData>
  <autoFilter ref="A4:Z44"/>
  <mergeCells count="2">
    <mergeCell ref="A1:Z1"/>
    <mergeCell ref="A2:Z2"/>
  </mergeCells>
  <dataValidations count="7">
    <dataValidation allowBlank="true" error="Informe um numero inteiro entre 1 e 31." errorStyle="stop" errorTitle="Valor invalido" operator="between" showDropDown="false" showErrorMessage="false" showInputMessage="false" sqref="K5:K44" type="whole">
      <formula1>1</formula1>
      <formula2>31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LST_CATEGORIAS</formula1>
      <formula2>0</formula2>
    </dataValidation>
    <dataValidation allowBlank="true" error="Valor fora da lista. Escolha primeiro a categoria, ou cadastre a subcategoria em CAD_Subcategorias." errorStyle="warning" errorTitle="Valor nao cadastrado" operator="between" showDropDown="false" showErrorMessage="false" showInputMessage="false" sqref="E5:E44" type="list">
      <formula1>INDIRECT("SUB_"&amp;SUBSTITUTE($D5,"-","_"))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Y5:Y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56"/>
  </cols>
  <sheetData>
    <row r="1" customFormat="false" ht="25.5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94</v>
      </c>
      <c r="B4" s="8" t="s">
        <v>161</v>
      </c>
      <c r="C4" s="8" t="s">
        <v>310</v>
      </c>
      <c r="D4" s="8" t="s">
        <v>311</v>
      </c>
      <c r="E4" s="8" t="s">
        <v>312</v>
      </c>
      <c r="F4" s="8" t="s">
        <v>313</v>
      </c>
      <c r="G4" s="8" t="s">
        <v>314</v>
      </c>
      <c r="H4" s="8" t="s">
        <v>315</v>
      </c>
      <c r="I4" s="8" t="s">
        <v>316</v>
      </c>
      <c r="J4" s="8" t="s">
        <v>317</v>
      </c>
      <c r="K4" s="8" t="s">
        <v>318</v>
      </c>
      <c r="L4" s="8" t="s">
        <v>319</v>
      </c>
      <c r="M4" s="8" t="s">
        <v>52</v>
      </c>
      <c r="N4" s="8" t="s">
        <v>320</v>
      </c>
      <c r="O4" s="8" t="s">
        <v>44</v>
      </c>
      <c r="P4" s="8" t="s">
        <v>321</v>
      </c>
      <c r="Q4" s="8" t="s">
        <v>76</v>
      </c>
    </row>
    <row r="5" customFormat="false" ht="15" hidden="false" customHeight="false" outlineLevel="0" collapsed="false">
      <c r="A5" s="30" t="str">
        <f aca="false">IF($B5="","","MET-"&amp;TEXT(ROW()-4,"000000"))</f>
        <v/>
      </c>
      <c r="B5" s="32"/>
      <c r="C5" s="33"/>
      <c r="D5" s="31"/>
      <c r="E5" s="32"/>
      <c r="F5" s="32"/>
      <c r="G5" s="32"/>
      <c r="H5" s="36" t="n">
        <f aca="false">IF($A5="",0,SUMIFS(MM_VALSINAL,MM_META,$A5))</f>
        <v>0</v>
      </c>
      <c r="I5" s="39" t="n">
        <f aca="false">IF(OR($A5="",$C5=0),0,$H5/$C5)</f>
        <v>0</v>
      </c>
      <c r="J5" s="36" t="str">
        <f aca="false">IF($A5="","",MAX(0,$C5-$H5))</f>
        <v/>
      </c>
      <c r="K5" s="34" t="n">
        <f aca="false">IF(OR($A5="",$D5=""),0,MAX(0,(YEAR($D5)-YEAR(CFG_HOJE))*12+MONTH($D5)-MONTH(CFG_HOJE)))</f>
        <v>0</v>
      </c>
      <c r="L5" s="36" t="str">
        <f aca="false">IF($A5="","",IF($K5&lt;=0,$J5,ROUND($J5/$K5,0)))</f>
        <v/>
      </c>
      <c r="M5" s="32"/>
      <c r="N5" s="31"/>
      <c r="O5" s="35" t="str">
        <f aca="false">IF($A5="","",IF($M5="Cancelada","CANCELADA",IF($M5="Concluida","CONCLUIDA",IF($H5&gt;=$C5,"OBJETIVO ATINGIDO",IF($D5&lt;CFG_HOJE,"PRAZO VENCIDO",IF($K5&lt;=3,"EM RISCO","EM DIA"))))))</f>
        <v/>
      </c>
      <c r="P5" s="35" t="str">
        <f aca="false">IF($E5="","",IFERROR(INDEX(C_NOME,MATCH($E5,C_ID,0)),"?"))</f>
        <v/>
      </c>
      <c r="Q5" s="32"/>
    </row>
    <row r="6" customFormat="false" ht="15" hidden="false" customHeight="false" outlineLevel="0" collapsed="false">
      <c r="A6" s="30" t="str">
        <f aca="false">IF($B6="","","MET-"&amp;TEXT(ROW()-4,"000000"))</f>
        <v/>
      </c>
      <c r="B6" s="32"/>
      <c r="C6" s="33"/>
      <c r="D6" s="31"/>
      <c r="E6" s="32"/>
      <c r="F6" s="32"/>
      <c r="G6" s="32"/>
      <c r="H6" s="36" t="n">
        <f aca="false">IF($A6="",0,SUMIFS(MM_VALSINAL,MM_META,$A6))</f>
        <v>0</v>
      </c>
      <c r="I6" s="39" t="n">
        <f aca="false">IF(OR($A6="",$C6=0),0,$H6/$C6)</f>
        <v>0</v>
      </c>
      <c r="J6" s="36" t="str">
        <f aca="false">IF($A6="","",MAX(0,$C6-$H6))</f>
        <v/>
      </c>
      <c r="K6" s="34" t="n">
        <f aca="false">IF(OR($A6="",$D6=""),0,MAX(0,(YEAR($D6)-YEAR(CFG_HOJE))*12+MONTH($D6)-MONTH(CFG_HOJE)))</f>
        <v>0</v>
      </c>
      <c r="L6" s="36" t="str">
        <f aca="false">IF($A6="","",IF($K6&lt;=0,$J6,ROUND($J6/$K6,0)))</f>
        <v/>
      </c>
      <c r="M6" s="32"/>
      <c r="N6" s="31"/>
      <c r="O6" s="35" t="str">
        <f aca="false">IF($A6="","",IF($M6="Cancelada","CANCELADA",IF($M6="Concluida","CONCLUIDA",IF($H6&gt;=$C6,"OBJETIVO ATINGIDO",IF($D6&lt;CFG_HOJE,"PRAZO VENCIDO",IF($K6&lt;=3,"EM RISCO","EM DIA"))))))</f>
        <v/>
      </c>
      <c r="P6" s="35" t="str">
        <f aca="false">IF($E6="","",IFERROR(INDEX(C_NOME,MATCH($E6,C_ID,0)),"?"))</f>
        <v/>
      </c>
      <c r="Q6" s="32"/>
    </row>
    <row r="7" customFormat="false" ht="15" hidden="false" customHeight="false" outlineLevel="0" collapsed="false">
      <c r="A7" s="30" t="str">
        <f aca="false">IF($B7="","","MET-"&amp;TEXT(ROW()-4,"000000"))</f>
        <v/>
      </c>
      <c r="B7" s="32"/>
      <c r="C7" s="33"/>
      <c r="D7" s="31"/>
      <c r="E7" s="32"/>
      <c r="F7" s="32"/>
      <c r="G7" s="32"/>
      <c r="H7" s="36" t="n">
        <f aca="false">IF($A7="",0,SUMIFS(MM_VALSINAL,MM_META,$A7))</f>
        <v>0</v>
      </c>
      <c r="I7" s="39" t="n">
        <f aca="false">IF(OR($A7="",$C7=0),0,$H7/$C7)</f>
        <v>0</v>
      </c>
      <c r="J7" s="36" t="str">
        <f aca="false">IF($A7="","",MAX(0,$C7-$H7))</f>
        <v/>
      </c>
      <c r="K7" s="34" t="n">
        <f aca="false">IF(OR($A7="",$D7=""),0,MAX(0,(YEAR($D7)-YEAR(CFG_HOJE))*12+MONTH($D7)-MONTH(CFG_HOJE)))</f>
        <v>0</v>
      </c>
      <c r="L7" s="36" t="str">
        <f aca="false">IF($A7="","",IF($K7&lt;=0,$J7,ROUND($J7/$K7,0)))</f>
        <v/>
      </c>
      <c r="M7" s="32"/>
      <c r="N7" s="31"/>
      <c r="O7" s="35" t="str">
        <f aca="false">IF($A7="","",IF($M7="Cancelada","CANCELADA",IF($M7="Concluida","CONCLUIDA",IF($H7&gt;=$C7,"OBJETIVO ATINGIDO",IF($D7&lt;CFG_HOJE,"PRAZO VENCIDO",IF($K7&lt;=3,"EM RISCO","EM DIA"))))))</f>
        <v/>
      </c>
      <c r="P7" s="35" t="str">
        <f aca="false">IF($E7="","",IFERROR(INDEX(C_NOME,MATCH($E7,C_ID,0)),"?"))</f>
        <v/>
      </c>
      <c r="Q7" s="32"/>
    </row>
    <row r="8" customFormat="false" ht="15" hidden="false" customHeight="false" outlineLevel="0" collapsed="false">
      <c r="A8" s="30" t="str">
        <f aca="false">IF($B8="","","MET-"&amp;TEXT(ROW()-4,"000000"))</f>
        <v/>
      </c>
      <c r="B8" s="32"/>
      <c r="C8" s="33"/>
      <c r="D8" s="31"/>
      <c r="E8" s="32"/>
      <c r="F8" s="32"/>
      <c r="G8" s="32"/>
      <c r="H8" s="36" t="n">
        <f aca="false">IF($A8="",0,SUMIFS(MM_VALSINAL,MM_META,$A8))</f>
        <v>0</v>
      </c>
      <c r="I8" s="39" t="n">
        <f aca="false">IF(OR($A8="",$C8=0),0,$H8/$C8)</f>
        <v>0</v>
      </c>
      <c r="J8" s="36" t="str">
        <f aca="false">IF($A8="","",MAX(0,$C8-$H8))</f>
        <v/>
      </c>
      <c r="K8" s="34" t="n">
        <f aca="false">IF(OR($A8="",$D8=""),0,MAX(0,(YEAR($D8)-YEAR(CFG_HOJE))*12+MONTH($D8)-MONTH(CFG_HOJE)))</f>
        <v>0</v>
      </c>
      <c r="L8" s="36" t="str">
        <f aca="false">IF($A8="","",IF($K8&lt;=0,$J8,ROUND($J8/$K8,0)))</f>
        <v/>
      </c>
      <c r="M8" s="32"/>
      <c r="N8" s="31"/>
      <c r="O8" s="35" t="str">
        <f aca="false">IF($A8="","",IF($M8="Cancelada","CANCELADA",IF($M8="Concluida","CONCLUIDA",IF($H8&gt;=$C8,"OBJETIVO ATINGIDO",IF($D8&lt;CFG_HOJE,"PRAZO VENCIDO",IF($K8&lt;=3,"EM RISCO","EM DIA"))))))</f>
        <v/>
      </c>
      <c r="P8" s="35" t="str">
        <f aca="false">IF($E8="","",IFERROR(INDEX(C_NOME,MATCH($E8,C_ID,0)),"?"))</f>
        <v/>
      </c>
      <c r="Q8" s="32"/>
    </row>
    <row r="9" customFormat="false" ht="15" hidden="false" customHeight="false" outlineLevel="0" collapsed="false">
      <c r="A9" s="30" t="str">
        <f aca="false">IF($B9="","","MET-"&amp;TEXT(ROW()-4,"000000"))</f>
        <v/>
      </c>
      <c r="B9" s="32"/>
      <c r="C9" s="33"/>
      <c r="D9" s="31"/>
      <c r="E9" s="32"/>
      <c r="F9" s="32"/>
      <c r="G9" s="32"/>
      <c r="H9" s="36" t="n">
        <f aca="false">IF($A9="",0,SUMIFS(MM_VALSINAL,MM_META,$A9))</f>
        <v>0</v>
      </c>
      <c r="I9" s="39" t="n">
        <f aca="false">IF(OR($A9="",$C9=0),0,$H9/$C9)</f>
        <v>0</v>
      </c>
      <c r="J9" s="36" t="str">
        <f aca="false">IF($A9="","",MAX(0,$C9-$H9))</f>
        <v/>
      </c>
      <c r="K9" s="34" t="n">
        <f aca="false">IF(OR($A9="",$D9=""),0,MAX(0,(YEAR($D9)-YEAR(CFG_HOJE))*12+MONTH($D9)-MONTH(CFG_HOJE)))</f>
        <v>0</v>
      </c>
      <c r="L9" s="36" t="str">
        <f aca="false">IF($A9="","",IF($K9&lt;=0,$J9,ROUND($J9/$K9,0)))</f>
        <v/>
      </c>
      <c r="M9" s="32"/>
      <c r="N9" s="31"/>
      <c r="O9" s="35" t="str">
        <f aca="false">IF($A9="","",IF($M9="Cancelada","CANCELADA",IF($M9="Concluida","CONCLUIDA",IF($H9&gt;=$C9,"OBJETIVO ATINGIDO",IF($D9&lt;CFG_HOJE,"PRAZO VENCIDO",IF($K9&lt;=3,"EM RISCO","EM DIA"))))))</f>
        <v/>
      </c>
      <c r="P9" s="35" t="str">
        <f aca="false">IF($E9="","",IFERROR(INDEX(C_NOME,MATCH($E9,C_ID,0)),"?"))</f>
        <v/>
      </c>
      <c r="Q9" s="32"/>
    </row>
    <row r="10" customFormat="false" ht="15" hidden="false" customHeight="false" outlineLevel="0" collapsed="false">
      <c r="A10" s="30" t="str">
        <f aca="false">IF($B10="","","MET-"&amp;TEXT(ROW()-4,"000000"))</f>
        <v/>
      </c>
      <c r="B10" s="32"/>
      <c r="C10" s="33"/>
      <c r="D10" s="31"/>
      <c r="E10" s="32"/>
      <c r="F10" s="32"/>
      <c r="G10" s="32"/>
      <c r="H10" s="36" t="n">
        <f aca="false">IF($A10="",0,SUMIFS(MM_VALSINAL,MM_META,$A10))</f>
        <v>0</v>
      </c>
      <c r="I10" s="39" t="n">
        <f aca="false">IF(OR($A10="",$C10=0),0,$H10/$C10)</f>
        <v>0</v>
      </c>
      <c r="J10" s="36" t="str">
        <f aca="false">IF($A10="","",MAX(0,$C10-$H10))</f>
        <v/>
      </c>
      <c r="K10" s="34" t="n">
        <f aca="false">IF(OR($A10="",$D10=""),0,MAX(0,(YEAR($D10)-YEAR(CFG_HOJE))*12+MONTH($D10)-MONTH(CFG_HOJE)))</f>
        <v>0</v>
      </c>
      <c r="L10" s="36" t="str">
        <f aca="false">IF($A10="","",IF($K10&lt;=0,$J10,ROUND($J10/$K10,0)))</f>
        <v/>
      </c>
      <c r="M10" s="32"/>
      <c r="N10" s="31"/>
      <c r="O10" s="35" t="str">
        <f aca="false">IF($A10="","",IF($M10="Cancelada","CANCELADA",IF($M10="Concluida","CONCLUIDA",IF($H10&gt;=$C10,"OBJETIVO ATINGIDO",IF($D10&lt;CFG_HOJE,"PRAZO VENCIDO",IF($K10&lt;=3,"EM RISCO","EM DIA"))))))</f>
        <v/>
      </c>
      <c r="P10" s="35" t="str">
        <f aca="false">IF($E10="","",IFERROR(INDEX(C_NOME,MATCH($E10,C_ID,0)),"?"))</f>
        <v/>
      </c>
      <c r="Q10" s="32"/>
    </row>
    <row r="11" customFormat="false" ht="15" hidden="false" customHeight="false" outlineLevel="0" collapsed="false">
      <c r="A11" s="30" t="str">
        <f aca="false">IF($B11="","","MET-"&amp;TEXT(ROW()-4,"000000"))</f>
        <v/>
      </c>
      <c r="B11" s="32"/>
      <c r="C11" s="33"/>
      <c r="D11" s="31"/>
      <c r="E11" s="32"/>
      <c r="F11" s="32"/>
      <c r="G11" s="32"/>
      <c r="H11" s="36" t="n">
        <f aca="false">IF($A11="",0,SUMIFS(MM_VALSINAL,MM_META,$A11))</f>
        <v>0</v>
      </c>
      <c r="I11" s="39" t="n">
        <f aca="false">IF(OR($A11="",$C11=0),0,$H11/$C11)</f>
        <v>0</v>
      </c>
      <c r="J11" s="36" t="str">
        <f aca="false">IF($A11="","",MAX(0,$C11-$H11))</f>
        <v/>
      </c>
      <c r="K11" s="34" t="n">
        <f aca="false">IF(OR($A11="",$D11=""),0,MAX(0,(YEAR($D11)-YEAR(CFG_HOJE))*12+MONTH($D11)-MONTH(CFG_HOJE)))</f>
        <v>0</v>
      </c>
      <c r="L11" s="36" t="str">
        <f aca="false">IF($A11="","",IF($K11&lt;=0,$J11,ROUND($J11/$K11,0)))</f>
        <v/>
      </c>
      <c r="M11" s="32"/>
      <c r="N11" s="31"/>
      <c r="O11" s="35" t="str">
        <f aca="false">IF($A11="","",IF($M11="Cancelada","CANCELADA",IF($M11="Concluida","CONCLUIDA",IF($H11&gt;=$C11,"OBJETIVO ATINGIDO",IF($D11&lt;CFG_HOJE,"PRAZO VENCIDO",IF($K11&lt;=3,"EM RISCO","EM DIA"))))))</f>
        <v/>
      </c>
      <c r="P11" s="35" t="str">
        <f aca="false">IF($E11="","",IFERROR(INDEX(C_NOME,MATCH($E11,C_ID,0)),"?"))</f>
        <v/>
      </c>
      <c r="Q11" s="32"/>
    </row>
    <row r="12" customFormat="false" ht="15" hidden="false" customHeight="false" outlineLevel="0" collapsed="false">
      <c r="A12" s="30" t="str">
        <f aca="false">IF($B12="","","MET-"&amp;TEXT(ROW()-4,"000000"))</f>
        <v/>
      </c>
      <c r="B12" s="32"/>
      <c r="C12" s="33"/>
      <c r="D12" s="31"/>
      <c r="E12" s="32"/>
      <c r="F12" s="32"/>
      <c r="G12" s="32"/>
      <c r="H12" s="36" t="n">
        <f aca="false">IF($A12="",0,SUMIFS(MM_VALSINAL,MM_META,$A12))</f>
        <v>0</v>
      </c>
      <c r="I12" s="39" t="n">
        <f aca="false">IF(OR($A12="",$C12=0),0,$H12/$C12)</f>
        <v>0</v>
      </c>
      <c r="J12" s="36" t="str">
        <f aca="false">IF($A12="","",MAX(0,$C12-$H12))</f>
        <v/>
      </c>
      <c r="K12" s="34" t="n">
        <f aca="false">IF(OR($A12="",$D12=""),0,MAX(0,(YEAR($D12)-YEAR(CFG_HOJE))*12+MONTH($D12)-MONTH(CFG_HOJE)))</f>
        <v>0</v>
      </c>
      <c r="L12" s="36" t="str">
        <f aca="false">IF($A12="","",IF($K12&lt;=0,$J12,ROUND($J12/$K12,0)))</f>
        <v/>
      </c>
      <c r="M12" s="32"/>
      <c r="N12" s="31"/>
      <c r="O12" s="35" t="str">
        <f aca="false">IF($A12="","",IF($M12="Cancelada","CANCELADA",IF($M12="Concluida","CONCLUIDA",IF($H12&gt;=$C12,"OBJETIVO ATINGIDO",IF($D12&lt;CFG_HOJE,"PRAZO VENCIDO",IF($K12&lt;=3,"EM RISCO","EM DIA"))))))</f>
        <v/>
      </c>
      <c r="P12" s="35" t="str">
        <f aca="false">IF($E12="","",IFERROR(INDEX(C_NOME,MATCH($E12,C_ID,0)),"?"))</f>
        <v/>
      </c>
      <c r="Q12" s="32"/>
    </row>
    <row r="13" customFormat="false" ht="15" hidden="false" customHeight="false" outlineLevel="0" collapsed="false">
      <c r="A13" s="30" t="str">
        <f aca="false">IF($B13="","","MET-"&amp;TEXT(ROW()-4,"000000"))</f>
        <v/>
      </c>
      <c r="B13" s="32"/>
      <c r="C13" s="33"/>
      <c r="D13" s="31"/>
      <c r="E13" s="32"/>
      <c r="F13" s="32"/>
      <c r="G13" s="32"/>
      <c r="H13" s="36" t="n">
        <f aca="false">IF($A13="",0,SUMIFS(MM_VALSINAL,MM_META,$A13))</f>
        <v>0</v>
      </c>
      <c r="I13" s="39" t="n">
        <f aca="false">IF(OR($A13="",$C13=0),0,$H13/$C13)</f>
        <v>0</v>
      </c>
      <c r="J13" s="36" t="str">
        <f aca="false">IF($A13="","",MAX(0,$C13-$H13))</f>
        <v/>
      </c>
      <c r="K13" s="34" t="n">
        <f aca="false">IF(OR($A13="",$D13=""),0,MAX(0,(YEAR($D13)-YEAR(CFG_HOJE))*12+MONTH($D13)-MONTH(CFG_HOJE)))</f>
        <v>0</v>
      </c>
      <c r="L13" s="36" t="str">
        <f aca="false">IF($A13="","",IF($K13&lt;=0,$J13,ROUND($J13/$K13,0)))</f>
        <v/>
      </c>
      <c r="M13" s="32"/>
      <c r="N13" s="31"/>
      <c r="O13" s="35" t="str">
        <f aca="false">IF($A13="","",IF($M13="Cancelada","CANCELADA",IF($M13="Concluida","CONCLUIDA",IF($H13&gt;=$C13,"OBJETIVO ATINGIDO",IF($D13&lt;CFG_HOJE,"PRAZO VENCIDO",IF($K13&lt;=3,"EM RISCO","EM DIA"))))))</f>
        <v/>
      </c>
      <c r="P13" s="35" t="str">
        <f aca="false">IF($E13="","",IFERROR(INDEX(C_NOME,MATCH($E13,C_ID,0)),"?"))</f>
        <v/>
      </c>
      <c r="Q13" s="32"/>
    </row>
    <row r="14" customFormat="false" ht="15" hidden="false" customHeight="false" outlineLevel="0" collapsed="false">
      <c r="A14" s="30" t="str">
        <f aca="false">IF($B14="","","MET-"&amp;TEXT(ROW()-4,"000000"))</f>
        <v/>
      </c>
      <c r="B14" s="32"/>
      <c r="C14" s="33"/>
      <c r="D14" s="31"/>
      <c r="E14" s="32"/>
      <c r="F14" s="32"/>
      <c r="G14" s="32"/>
      <c r="H14" s="36" t="n">
        <f aca="false">IF($A14="",0,SUMIFS(MM_VALSINAL,MM_META,$A14))</f>
        <v>0</v>
      </c>
      <c r="I14" s="39" t="n">
        <f aca="false">IF(OR($A14="",$C14=0),0,$H14/$C14)</f>
        <v>0</v>
      </c>
      <c r="J14" s="36" t="str">
        <f aca="false">IF($A14="","",MAX(0,$C14-$H14))</f>
        <v/>
      </c>
      <c r="K14" s="34" t="n">
        <f aca="false">IF(OR($A14="",$D14=""),0,MAX(0,(YEAR($D14)-YEAR(CFG_HOJE))*12+MONTH($D14)-MONTH(CFG_HOJE)))</f>
        <v>0</v>
      </c>
      <c r="L14" s="36" t="str">
        <f aca="false">IF($A14="","",IF($K14&lt;=0,$J14,ROUND($J14/$K14,0)))</f>
        <v/>
      </c>
      <c r="M14" s="32"/>
      <c r="N14" s="31"/>
      <c r="O14" s="35" t="str">
        <f aca="false">IF($A14="","",IF($M14="Cancelada","CANCELADA",IF($M14="Concluida","CONCLUIDA",IF($H14&gt;=$C14,"OBJETIVO ATINGIDO",IF($D14&lt;CFG_HOJE,"PRAZO VENCIDO",IF($K14&lt;=3,"EM RISCO","EM DIA"))))))</f>
        <v/>
      </c>
      <c r="P14" s="35" t="str">
        <f aca="false">IF($E14="","",IFERROR(INDEX(C_NOME,MATCH($E14,C_ID,0)),"?"))</f>
        <v/>
      </c>
      <c r="Q14" s="32"/>
    </row>
    <row r="15" customFormat="false" ht="15" hidden="false" customHeight="false" outlineLevel="0" collapsed="false">
      <c r="A15" s="30" t="str">
        <f aca="false">IF($B15="","","MET-"&amp;TEXT(ROW()-4,"000000"))</f>
        <v/>
      </c>
      <c r="B15" s="32"/>
      <c r="C15" s="33"/>
      <c r="D15" s="31"/>
      <c r="E15" s="32"/>
      <c r="F15" s="32"/>
      <c r="G15" s="32"/>
      <c r="H15" s="36" t="n">
        <f aca="false">IF($A15="",0,SUMIFS(MM_VALSINAL,MM_META,$A15))</f>
        <v>0</v>
      </c>
      <c r="I15" s="39" t="n">
        <f aca="false">IF(OR($A15="",$C15=0),0,$H15/$C15)</f>
        <v>0</v>
      </c>
      <c r="J15" s="36" t="str">
        <f aca="false">IF($A15="","",MAX(0,$C15-$H15))</f>
        <v/>
      </c>
      <c r="K15" s="34" t="n">
        <f aca="false">IF(OR($A15="",$D15=""),0,MAX(0,(YEAR($D15)-YEAR(CFG_HOJE))*12+MONTH($D15)-MONTH(CFG_HOJE)))</f>
        <v>0</v>
      </c>
      <c r="L15" s="36" t="str">
        <f aca="false">IF($A15="","",IF($K15&lt;=0,$J15,ROUND($J15/$K15,0)))</f>
        <v/>
      </c>
      <c r="M15" s="32"/>
      <c r="N15" s="31"/>
      <c r="O15" s="35" t="str">
        <f aca="false">IF($A15="","",IF($M15="Cancelada","CANCELADA",IF($M15="Concluida","CONCLUIDA",IF($H15&gt;=$C15,"OBJETIVO ATINGIDO",IF($D15&lt;CFG_HOJE,"PRAZO VENCIDO",IF($K15&lt;=3,"EM RISCO","EM DIA"))))))</f>
        <v/>
      </c>
      <c r="P15" s="35" t="str">
        <f aca="false">IF($E15="","",IFERROR(INDEX(C_NOME,MATCH($E15,C_ID,0)),"?"))</f>
        <v/>
      </c>
      <c r="Q15" s="32"/>
    </row>
    <row r="16" customFormat="false" ht="15" hidden="false" customHeight="false" outlineLevel="0" collapsed="false">
      <c r="A16" s="30" t="str">
        <f aca="false">IF($B16="","","MET-"&amp;TEXT(ROW()-4,"000000"))</f>
        <v/>
      </c>
      <c r="B16" s="32"/>
      <c r="C16" s="33"/>
      <c r="D16" s="31"/>
      <c r="E16" s="32"/>
      <c r="F16" s="32"/>
      <c r="G16" s="32"/>
      <c r="H16" s="36" t="n">
        <f aca="false">IF($A16="",0,SUMIFS(MM_VALSINAL,MM_META,$A16))</f>
        <v>0</v>
      </c>
      <c r="I16" s="39" t="n">
        <f aca="false">IF(OR($A16="",$C16=0),0,$H16/$C16)</f>
        <v>0</v>
      </c>
      <c r="J16" s="36" t="str">
        <f aca="false">IF($A16="","",MAX(0,$C16-$H16))</f>
        <v/>
      </c>
      <c r="K16" s="34" t="n">
        <f aca="false">IF(OR($A16="",$D16=""),0,MAX(0,(YEAR($D16)-YEAR(CFG_HOJE))*12+MONTH($D16)-MONTH(CFG_HOJE)))</f>
        <v>0</v>
      </c>
      <c r="L16" s="36" t="str">
        <f aca="false">IF($A16="","",IF($K16&lt;=0,$J16,ROUND($J16/$K16,0)))</f>
        <v/>
      </c>
      <c r="M16" s="32"/>
      <c r="N16" s="31"/>
      <c r="O16" s="35" t="str">
        <f aca="false">IF($A16="","",IF($M16="Cancelada","CANCELADA",IF($M16="Concluida","CONCLUIDA",IF($H16&gt;=$C16,"OBJETIVO ATINGIDO",IF($D16&lt;CFG_HOJE,"PRAZO VENCIDO",IF($K16&lt;=3,"EM RISCO","EM DIA"))))))</f>
        <v/>
      </c>
      <c r="P16" s="35" t="str">
        <f aca="false">IF($E16="","",IFERROR(INDEX(C_NOME,MATCH($E16,C_ID,0)),"?"))</f>
        <v/>
      </c>
      <c r="Q16" s="32"/>
    </row>
    <row r="17" customFormat="false" ht="15" hidden="false" customHeight="false" outlineLevel="0" collapsed="false">
      <c r="A17" s="30" t="str">
        <f aca="false">IF($B17="","","MET-"&amp;TEXT(ROW()-4,"000000"))</f>
        <v/>
      </c>
      <c r="B17" s="32"/>
      <c r="C17" s="33"/>
      <c r="D17" s="31"/>
      <c r="E17" s="32"/>
      <c r="F17" s="32"/>
      <c r="G17" s="32"/>
      <c r="H17" s="36" t="n">
        <f aca="false">IF($A17="",0,SUMIFS(MM_VALSINAL,MM_META,$A17))</f>
        <v>0</v>
      </c>
      <c r="I17" s="39" t="n">
        <f aca="false">IF(OR($A17="",$C17=0),0,$H17/$C17)</f>
        <v>0</v>
      </c>
      <c r="J17" s="36" t="str">
        <f aca="false">IF($A17="","",MAX(0,$C17-$H17))</f>
        <v/>
      </c>
      <c r="K17" s="34" t="n">
        <f aca="false">IF(OR($A17="",$D17=""),0,MAX(0,(YEAR($D17)-YEAR(CFG_HOJE))*12+MONTH($D17)-MONTH(CFG_HOJE)))</f>
        <v>0</v>
      </c>
      <c r="L17" s="36" t="str">
        <f aca="false">IF($A17="","",IF($K17&lt;=0,$J17,ROUND($J17/$K17,0)))</f>
        <v/>
      </c>
      <c r="M17" s="32"/>
      <c r="N17" s="31"/>
      <c r="O17" s="35" t="str">
        <f aca="false">IF($A17="","",IF($M17="Cancelada","CANCELADA",IF($M17="Concluida","CONCLUIDA",IF($H17&gt;=$C17,"OBJETIVO ATINGIDO",IF($D17&lt;CFG_HOJE,"PRAZO VENCIDO",IF($K17&lt;=3,"EM RISCO","EM DIA"))))))</f>
        <v/>
      </c>
      <c r="P17" s="35" t="str">
        <f aca="false">IF($E17="","",IFERROR(INDEX(C_NOME,MATCH($E17,C_ID,0)),"?"))</f>
        <v/>
      </c>
      <c r="Q17" s="32"/>
    </row>
    <row r="18" customFormat="false" ht="15" hidden="false" customHeight="false" outlineLevel="0" collapsed="false">
      <c r="A18" s="30" t="str">
        <f aca="false">IF($B18="","","MET-"&amp;TEXT(ROW()-4,"000000"))</f>
        <v/>
      </c>
      <c r="B18" s="32"/>
      <c r="C18" s="33"/>
      <c r="D18" s="31"/>
      <c r="E18" s="32"/>
      <c r="F18" s="32"/>
      <c r="G18" s="32"/>
      <c r="H18" s="36" t="n">
        <f aca="false">IF($A18="",0,SUMIFS(MM_VALSINAL,MM_META,$A18))</f>
        <v>0</v>
      </c>
      <c r="I18" s="39" t="n">
        <f aca="false">IF(OR($A18="",$C18=0),0,$H18/$C18)</f>
        <v>0</v>
      </c>
      <c r="J18" s="36" t="str">
        <f aca="false">IF($A18="","",MAX(0,$C18-$H18))</f>
        <v/>
      </c>
      <c r="K18" s="34" t="n">
        <f aca="false">IF(OR($A18="",$D18=""),0,MAX(0,(YEAR($D18)-YEAR(CFG_HOJE))*12+MONTH($D18)-MONTH(CFG_HOJE)))</f>
        <v>0</v>
      </c>
      <c r="L18" s="36" t="str">
        <f aca="false">IF($A18="","",IF($K18&lt;=0,$J18,ROUND($J18/$K18,0)))</f>
        <v/>
      </c>
      <c r="M18" s="32"/>
      <c r="N18" s="31"/>
      <c r="O18" s="35" t="str">
        <f aca="false">IF($A18="","",IF($M18="Cancelada","CANCELADA",IF($M18="Concluida","CONCLUIDA",IF($H18&gt;=$C18,"OBJETIVO ATINGIDO",IF($D18&lt;CFG_HOJE,"PRAZO VENCIDO",IF($K18&lt;=3,"EM RISCO","EM DIA"))))))</f>
        <v/>
      </c>
      <c r="P18" s="35" t="str">
        <f aca="false">IF($E18="","",IFERROR(INDEX(C_NOME,MATCH($E18,C_ID,0)),"?"))</f>
        <v/>
      </c>
      <c r="Q18" s="32"/>
    </row>
    <row r="19" customFormat="false" ht="15" hidden="false" customHeight="false" outlineLevel="0" collapsed="false">
      <c r="A19" s="30" t="str">
        <f aca="false">IF($B19="","","MET-"&amp;TEXT(ROW()-4,"000000"))</f>
        <v/>
      </c>
      <c r="B19" s="32"/>
      <c r="C19" s="33"/>
      <c r="D19" s="31"/>
      <c r="E19" s="32"/>
      <c r="F19" s="32"/>
      <c r="G19" s="32"/>
      <c r="H19" s="36" t="n">
        <f aca="false">IF($A19="",0,SUMIFS(MM_VALSINAL,MM_META,$A19))</f>
        <v>0</v>
      </c>
      <c r="I19" s="39" t="n">
        <f aca="false">IF(OR($A19="",$C19=0),0,$H19/$C19)</f>
        <v>0</v>
      </c>
      <c r="J19" s="36" t="str">
        <f aca="false">IF($A19="","",MAX(0,$C19-$H19))</f>
        <v/>
      </c>
      <c r="K19" s="34" t="n">
        <f aca="false">IF(OR($A19="",$D19=""),0,MAX(0,(YEAR($D19)-YEAR(CFG_HOJE))*12+MONTH($D19)-MONTH(CFG_HOJE)))</f>
        <v>0</v>
      </c>
      <c r="L19" s="36" t="str">
        <f aca="false">IF($A19="","",IF($K19&lt;=0,$J19,ROUND($J19/$K19,0)))</f>
        <v/>
      </c>
      <c r="M19" s="32"/>
      <c r="N19" s="31"/>
      <c r="O19" s="35" t="str">
        <f aca="false">IF($A19="","",IF($M19="Cancelada","CANCELADA",IF($M19="Concluida","CONCLUIDA",IF($H19&gt;=$C19,"OBJETIVO ATINGIDO",IF($D19&lt;CFG_HOJE,"PRAZO VENCIDO",IF($K19&lt;=3,"EM RISCO","EM DIA"))))))</f>
        <v/>
      </c>
      <c r="P19" s="35" t="str">
        <f aca="false">IF($E19="","",IFERROR(INDEX(C_NOME,MATCH($E19,C_ID,0)),"?"))</f>
        <v/>
      </c>
      <c r="Q19" s="32"/>
    </row>
    <row r="20" customFormat="false" ht="15" hidden="false" customHeight="false" outlineLevel="0" collapsed="false">
      <c r="A20" s="30" t="str">
        <f aca="false">IF($B20="","","MET-"&amp;TEXT(ROW()-4,"000000"))</f>
        <v/>
      </c>
      <c r="B20" s="32"/>
      <c r="C20" s="33"/>
      <c r="D20" s="31"/>
      <c r="E20" s="32"/>
      <c r="F20" s="32"/>
      <c r="G20" s="32"/>
      <c r="H20" s="36" t="n">
        <f aca="false">IF($A20="",0,SUMIFS(MM_VALSINAL,MM_META,$A20))</f>
        <v>0</v>
      </c>
      <c r="I20" s="39" t="n">
        <f aca="false">IF(OR($A20="",$C20=0),0,$H20/$C20)</f>
        <v>0</v>
      </c>
      <c r="J20" s="36" t="str">
        <f aca="false">IF($A20="","",MAX(0,$C20-$H20))</f>
        <v/>
      </c>
      <c r="K20" s="34" t="n">
        <f aca="false">IF(OR($A20="",$D20=""),0,MAX(0,(YEAR($D20)-YEAR(CFG_HOJE))*12+MONTH($D20)-MONTH(CFG_HOJE)))</f>
        <v>0</v>
      </c>
      <c r="L20" s="36" t="str">
        <f aca="false">IF($A20="","",IF($K20&lt;=0,$J20,ROUND($J20/$K20,0)))</f>
        <v/>
      </c>
      <c r="M20" s="32"/>
      <c r="N20" s="31"/>
      <c r="O20" s="35" t="str">
        <f aca="false">IF($A20="","",IF($M20="Cancelada","CANCELADA",IF($M20="Concluida","CONCLUIDA",IF($H20&gt;=$C20,"OBJETIVO ATINGIDO",IF($D20&lt;CFG_HOJE,"PRAZO VENCIDO",IF($K20&lt;=3,"EM RISCO","EM DIA"))))))</f>
        <v/>
      </c>
      <c r="P20" s="35" t="str">
        <f aca="false">IF($E20="","",IFERROR(INDEX(C_NOME,MATCH($E20,C_ID,0)),"?"))</f>
        <v/>
      </c>
      <c r="Q20" s="32"/>
    </row>
    <row r="21" customFormat="false" ht="15" hidden="false" customHeight="false" outlineLevel="0" collapsed="false">
      <c r="A21" s="30" t="str">
        <f aca="false">IF($B21="","","MET-"&amp;TEXT(ROW()-4,"000000"))</f>
        <v/>
      </c>
      <c r="B21" s="32"/>
      <c r="C21" s="33"/>
      <c r="D21" s="31"/>
      <c r="E21" s="32"/>
      <c r="F21" s="32"/>
      <c r="G21" s="32"/>
      <c r="H21" s="36" t="n">
        <f aca="false">IF($A21="",0,SUMIFS(MM_VALSINAL,MM_META,$A21))</f>
        <v>0</v>
      </c>
      <c r="I21" s="39" t="n">
        <f aca="false">IF(OR($A21="",$C21=0),0,$H21/$C21)</f>
        <v>0</v>
      </c>
      <c r="J21" s="36" t="str">
        <f aca="false">IF($A21="","",MAX(0,$C21-$H21))</f>
        <v/>
      </c>
      <c r="K21" s="34" t="n">
        <f aca="false">IF(OR($A21="",$D21=""),0,MAX(0,(YEAR($D21)-YEAR(CFG_HOJE))*12+MONTH($D21)-MONTH(CFG_HOJE)))</f>
        <v>0</v>
      </c>
      <c r="L21" s="36" t="str">
        <f aca="false">IF($A21="","",IF($K21&lt;=0,$J21,ROUND($J21/$K21,0)))</f>
        <v/>
      </c>
      <c r="M21" s="32"/>
      <c r="N21" s="31"/>
      <c r="O21" s="35" t="str">
        <f aca="false">IF($A21="","",IF($M21="Cancelada","CANCELADA",IF($M21="Concluida","CONCLUIDA",IF($H21&gt;=$C21,"OBJETIVO ATINGIDO",IF($D21&lt;CFG_HOJE,"PRAZO VENCIDO",IF($K21&lt;=3,"EM RISCO","EM DIA"))))))</f>
        <v/>
      </c>
      <c r="P21" s="35" t="str">
        <f aca="false">IF($E21="","",IFERROR(INDEX(C_NOME,MATCH($E21,C_ID,0)),"?"))</f>
        <v/>
      </c>
      <c r="Q21" s="32"/>
    </row>
    <row r="22" customFormat="false" ht="15" hidden="false" customHeight="false" outlineLevel="0" collapsed="false">
      <c r="A22" s="30" t="str">
        <f aca="false">IF($B22="","","MET-"&amp;TEXT(ROW()-4,"000000"))</f>
        <v/>
      </c>
      <c r="B22" s="32"/>
      <c r="C22" s="33"/>
      <c r="D22" s="31"/>
      <c r="E22" s="32"/>
      <c r="F22" s="32"/>
      <c r="G22" s="32"/>
      <c r="H22" s="36" t="n">
        <f aca="false">IF($A22="",0,SUMIFS(MM_VALSINAL,MM_META,$A22))</f>
        <v>0</v>
      </c>
      <c r="I22" s="39" t="n">
        <f aca="false">IF(OR($A22="",$C22=0),0,$H22/$C22)</f>
        <v>0</v>
      </c>
      <c r="J22" s="36" t="str">
        <f aca="false">IF($A22="","",MAX(0,$C22-$H22))</f>
        <v/>
      </c>
      <c r="K22" s="34" t="n">
        <f aca="false">IF(OR($A22="",$D22=""),0,MAX(0,(YEAR($D22)-YEAR(CFG_HOJE))*12+MONTH($D22)-MONTH(CFG_HOJE)))</f>
        <v>0</v>
      </c>
      <c r="L22" s="36" t="str">
        <f aca="false">IF($A22="","",IF($K22&lt;=0,$J22,ROUND($J22/$K22,0)))</f>
        <v/>
      </c>
      <c r="M22" s="32"/>
      <c r="N22" s="31"/>
      <c r="O22" s="35" t="str">
        <f aca="false">IF($A22="","",IF($M22="Cancelada","CANCELADA",IF($M22="Concluida","CONCLUIDA",IF($H22&gt;=$C22,"OBJETIVO ATINGIDO",IF($D22&lt;CFG_HOJE,"PRAZO VENCIDO",IF($K22&lt;=3,"EM RISCO","EM DIA"))))))</f>
        <v/>
      </c>
      <c r="P22" s="35" t="str">
        <f aca="false">IF($E22="","",IFERROR(INDEX(C_NOME,MATCH($E22,C_ID,0)),"?"))</f>
        <v/>
      </c>
      <c r="Q22" s="32"/>
    </row>
    <row r="23" customFormat="false" ht="15" hidden="false" customHeight="false" outlineLevel="0" collapsed="false">
      <c r="A23" s="30" t="str">
        <f aca="false">IF($B23="","","MET-"&amp;TEXT(ROW()-4,"000000"))</f>
        <v/>
      </c>
      <c r="B23" s="32"/>
      <c r="C23" s="33"/>
      <c r="D23" s="31"/>
      <c r="E23" s="32"/>
      <c r="F23" s="32"/>
      <c r="G23" s="32"/>
      <c r="H23" s="36" t="n">
        <f aca="false">IF($A23="",0,SUMIFS(MM_VALSINAL,MM_META,$A23))</f>
        <v>0</v>
      </c>
      <c r="I23" s="39" t="n">
        <f aca="false">IF(OR($A23="",$C23=0),0,$H23/$C23)</f>
        <v>0</v>
      </c>
      <c r="J23" s="36" t="str">
        <f aca="false">IF($A23="","",MAX(0,$C23-$H23))</f>
        <v/>
      </c>
      <c r="K23" s="34" t="n">
        <f aca="false">IF(OR($A23="",$D23=""),0,MAX(0,(YEAR($D23)-YEAR(CFG_HOJE))*12+MONTH($D23)-MONTH(CFG_HOJE)))</f>
        <v>0</v>
      </c>
      <c r="L23" s="36" t="str">
        <f aca="false">IF($A23="","",IF($K23&lt;=0,$J23,ROUND($J23/$K23,0)))</f>
        <v/>
      </c>
      <c r="M23" s="32"/>
      <c r="N23" s="31"/>
      <c r="O23" s="35" t="str">
        <f aca="false">IF($A23="","",IF($M23="Cancelada","CANCELADA",IF($M23="Concluida","CONCLUIDA",IF($H23&gt;=$C23,"OBJETIVO ATINGIDO",IF($D23&lt;CFG_HOJE,"PRAZO VENCIDO",IF($K23&lt;=3,"EM RISCO","EM DIA"))))))</f>
        <v/>
      </c>
      <c r="P23" s="35" t="str">
        <f aca="false">IF($E23="","",IFERROR(INDEX(C_NOME,MATCH($E23,C_ID,0)),"?"))</f>
        <v/>
      </c>
      <c r="Q23" s="32"/>
    </row>
    <row r="24" customFormat="false" ht="15" hidden="false" customHeight="false" outlineLevel="0" collapsed="false">
      <c r="A24" s="30" t="str">
        <f aca="false">IF($B24="","","MET-"&amp;TEXT(ROW()-4,"000000"))</f>
        <v/>
      </c>
      <c r="B24" s="32"/>
      <c r="C24" s="33"/>
      <c r="D24" s="31"/>
      <c r="E24" s="32"/>
      <c r="F24" s="32"/>
      <c r="G24" s="32"/>
      <c r="H24" s="36" t="n">
        <f aca="false">IF($A24="",0,SUMIFS(MM_VALSINAL,MM_META,$A24))</f>
        <v>0</v>
      </c>
      <c r="I24" s="39" t="n">
        <f aca="false">IF(OR($A24="",$C24=0),0,$H24/$C24)</f>
        <v>0</v>
      </c>
      <c r="J24" s="36" t="str">
        <f aca="false">IF($A24="","",MAX(0,$C24-$H24))</f>
        <v/>
      </c>
      <c r="K24" s="34" t="n">
        <f aca="false">IF(OR($A24="",$D24=""),0,MAX(0,(YEAR($D24)-YEAR(CFG_HOJE))*12+MONTH($D24)-MONTH(CFG_HOJE)))</f>
        <v>0</v>
      </c>
      <c r="L24" s="36" t="str">
        <f aca="false">IF($A24="","",IF($K24&lt;=0,$J24,ROUND($J24/$K24,0)))</f>
        <v/>
      </c>
      <c r="M24" s="32"/>
      <c r="N24" s="31"/>
      <c r="O24" s="35" t="str">
        <f aca="false">IF($A24="","",IF($M24="Cancelada","CANCELADA",IF($M24="Concluida","CONCLUIDA",IF($H24&gt;=$C24,"OBJETIVO ATINGIDO",IF($D24&lt;CFG_HOJE,"PRAZO VENCIDO",IF($K24&lt;=3,"EM RISCO","EM DIA"))))))</f>
        <v/>
      </c>
      <c r="P24" s="35" t="str">
        <f aca="false">IF($E24="","",IFERROR(INDEX(C_NOME,MATCH($E24,C_ID,0)),"?"))</f>
        <v/>
      </c>
      <c r="Q24" s="32"/>
    </row>
    <row r="25" customFormat="false" ht="15" hidden="false" customHeight="false" outlineLevel="0" collapsed="false">
      <c r="A25" s="30" t="str">
        <f aca="false">IF($B25="","","MET-"&amp;TEXT(ROW()-4,"000000"))</f>
        <v/>
      </c>
      <c r="B25" s="32"/>
      <c r="C25" s="33"/>
      <c r="D25" s="31"/>
      <c r="E25" s="32"/>
      <c r="F25" s="32"/>
      <c r="G25" s="32"/>
      <c r="H25" s="36" t="n">
        <f aca="false">IF($A25="",0,SUMIFS(MM_VALSINAL,MM_META,$A25))</f>
        <v>0</v>
      </c>
      <c r="I25" s="39" t="n">
        <f aca="false">IF(OR($A25="",$C25=0),0,$H25/$C25)</f>
        <v>0</v>
      </c>
      <c r="J25" s="36" t="str">
        <f aca="false">IF($A25="","",MAX(0,$C25-$H25))</f>
        <v/>
      </c>
      <c r="K25" s="34" t="n">
        <f aca="false">IF(OR($A25="",$D25=""),0,MAX(0,(YEAR($D25)-YEAR(CFG_HOJE))*12+MONTH($D25)-MONTH(CFG_HOJE)))</f>
        <v>0</v>
      </c>
      <c r="L25" s="36" t="str">
        <f aca="false">IF($A25="","",IF($K25&lt;=0,$J25,ROUND($J25/$K25,0)))</f>
        <v/>
      </c>
      <c r="M25" s="32"/>
      <c r="N25" s="31"/>
      <c r="O25" s="35" t="str">
        <f aca="false">IF($A25="","",IF($M25="Cancelada","CANCELADA",IF($M25="Concluida","CONCLUIDA",IF($H25&gt;=$C25,"OBJETIVO ATINGIDO",IF($D25&lt;CFG_HOJE,"PRAZO VENCIDO",IF($K25&lt;=3,"EM RISCO","EM DIA"))))))</f>
        <v/>
      </c>
      <c r="P25" s="35" t="str">
        <f aca="false">IF($E25="","",IFERROR(INDEX(C_NOME,MATCH($E25,C_ID,0)),"?"))</f>
        <v/>
      </c>
      <c r="Q25" s="32"/>
    </row>
    <row r="26" customFormat="false" ht="15" hidden="false" customHeight="false" outlineLevel="0" collapsed="false">
      <c r="A26" s="30" t="str">
        <f aca="false">IF($B26="","","MET-"&amp;TEXT(ROW()-4,"000000"))</f>
        <v/>
      </c>
      <c r="B26" s="32"/>
      <c r="C26" s="33"/>
      <c r="D26" s="31"/>
      <c r="E26" s="32"/>
      <c r="F26" s="32"/>
      <c r="G26" s="32"/>
      <c r="H26" s="36" t="n">
        <f aca="false">IF($A26="",0,SUMIFS(MM_VALSINAL,MM_META,$A26))</f>
        <v>0</v>
      </c>
      <c r="I26" s="39" t="n">
        <f aca="false">IF(OR($A26="",$C26=0),0,$H26/$C26)</f>
        <v>0</v>
      </c>
      <c r="J26" s="36" t="str">
        <f aca="false">IF($A26="","",MAX(0,$C26-$H26))</f>
        <v/>
      </c>
      <c r="K26" s="34" t="n">
        <f aca="false">IF(OR($A26="",$D26=""),0,MAX(0,(YEAR($D26)-YEAR(CFG_HOJE))*12+MONTH($D26)-MONTH(CFG_HOJE)))</f>
        <v>0</v>
      </c>
      <c r="L26" s="36" t="str">
        <f aca="false">IF($A26="","",IF($K26&lt;=0,$J26,ROUND($J26/$K26,0)))</f>
        <v/>
      </c>
      <c r="M26" s="32"/>
      <c r="N26" s="31"/>
      <c r="O26" s="35" t="str">
        <f aca="false">IF($A26="","",IF($M26="Cancelada","CANCELADA",IF($M26="Concluida","CONCLUIDA",IF($H26&gt;=$C26,"OBJETIVO ATINGIDO",IF($D26&lt;CFG_HOJE,"PRAZO VENCIDO",IF($K26&lt;=3,"EM RISCO","EM DIA"))))))</f>
        <v/>
      </c>
      <c r="P26" s="35" t="str">
        <f aca="false">IF($E26="","",IFERROR(INDEX(C_NOME,MATCH($E26,C_ID,0)),"?"))</f>
        <v/>
      </c>
      <c r="Q26" s="32"/>
    </row>
    <row r="27" customFormat="false" ht="15" hidden="false" customHeight="false" outlineLevel="0" collapsed="false">
      <c r="A27" s="30" t="str">
        <f aca="false">IF($B27="","","MET-"&amp;TEXT(ROW()-4,"000000"))</f>
        <v/>
      </c>
      <c r="B27" s="32"/>
      <c r="C27" s="33"/>
      <c r="D27" s="31"/>
      <c r="E27" s="32"/>
      <c r="F27" s="32"/>
      <c r="G27" s="32"/>
      <c r="H27" s="36" t="n">
        <f aca="false">IF($A27="",0,SUMIFS(MM_VALSINAL,MM_META,$A27))</f>
        <v>0</v>
      </c>
      <c r="I27" s="39" t="n">
        <f aca="false">IF(OR($A27="",$C27=0),0,$H27/$C27)</f>
        <v>0</v>
      </c>
      <c r="J27" s="36" t="str">
        <f aca="false">IF($A27="","",MAX(0,$C27-$H27))</f>
        <v/>
      </c>
      <c r="K27" s="34" t="n">
        <f aca="false">IF(OR($A27="",$D27=""),0,MAX(0,(YEAR($D27)-YEAR(CFG_HOJE))*12+MONTH($D27)-MONTH(CFG_HOJE)))</f>
        <v>0</v>
      </c>
      <c r="L27" s="36" t="str">
        <f aca="false">IF($A27="","",IF($K27&lt;=0,$J27,ROUND($J27/$K27,0)))</f>
        <v/>
      </c>
      <c r="M27" s="32"/>
      <c r="N27" s="31"/>
      <c r="O27" s="35" t="str">
        <f aca="false">IF($A27="","",IF($M27="Cancelada","CANCELADA",IF($M27="Concluida","CONCLUIDA",IF($H27&gt;=$C27,"OBJETIVO ATINGIDO",IF($D27&lt;CFG_HOJE,"PRAZO VENCIDO",IF($K27&lt;=3,"EM RISCO","EM DIA"))))))</f>
        <v/>
      </c>
      <c r="P27" s="35" t="str">
        <f aca="false">IF($E27="","",IFERROR(INDEX(C_NOME,MATCH($E27,C_ID,0)),"?"))</f>
        <v/>
      </c>
      <c r="Q27" s="32"/>
    </row>
    <row r="28" customFormat="false" ht="15" hidden="false" customHeight="false" outlineLevel="0" collapsed="false">
      <c r="A28" s="30" t="str">
        <f aca="false">IF($B28="","","MET-"&amp;TEXT(ROW()-4,"000000"))</f>
        <v/>
      </c>
      <c r="B28" s="32"/>
      <c r="C28" s="33"/>
      <c r="D28" s="31"/>
      <c r="E28" s="32"/>
      <c r="F28" s="32"/>
      <c r="G28" s="32"/>
      <c r="H28" s="36" t="n">
        <f aca="false">IF($A28="",0,SUMIFS(MM_VALSINAL,MM_META,$A28))</f>
        <v>0</v>
      </c>
      <c r="I28" s="39" t="n">
        <f aca="false">IF(OR($A28="",$C28=0),0,$H28/$C28)</f>
        <v>0</v>
      </c>
      <c r="J28" s="36" t="str">
        <f aca="false">IF($A28="","",MAX(0,$C28-$H28))</f>
        <v/>
      </c>
      <c r="K28" s="34" t="n">
        <f aca="false">IF(OR($A28="",$D28=""),0,MAX(0,(YEAR($D28)-YEAR(CFG_HOJE))*12+MONTH($D28)-MONTH(CFG_HOJE)))</f>
        <v>0</v>
      </c>
      <c r="L28" s="36" t="str">
        <f aca="false">IF($A28="","",IF($K28&lt;=0,$J28,ROUND($J28/$K28,0)))</f>
        <v/>
      </c>
      <c r="M28" s="32"/>
      <c r="N28" s="31"/>
      <c r="O28" s="35" t="str">
        <f aca="false">IF($A28="","",IF($M28="Cancelada","CANCELADA",IF($M28="Concluida","CONCLUIDA",IF($H28&gt;=$C28,"OBJETIVO ATINGIDO",IF($D28&lt;CFG_HOJE,"PRAZO VENCIDO",IF($K28&lt;=3,"EM RISCO","EM DIA"))))))</f>
        <v/>
      </c>
      <c r="P28" s="35" t="str">
        <f aca="false">IF($E28="","",IFERROR(INDEX(C_NOME,MATCH($E28,C_ID,0)),"?"))</f>
        <v/>
      </c>
      <c r="Q28" s="32"/>
    </row>
    <row r="29" customFormat="false" ht="15" hidden="false" customHeight="false" outlineLevel="0" collapsed="false">
      <c r="A29" s="30" t="str">
        <f aca="false">IF($B29="","","MET-"&amp;TEXT(ROW()-4,"000000"))</f>
        <v/>
      </c>
      <c r="B29" s="32"/>
      <c r="C29" s="33"/>
      <c r="D29" s="31"/>
      <c r="E29" s="32"/>
      <c r="F29" s="32"/>
      <c r="G29" s="32"/>
      <c r="H29" s="36" t="n">
        <f aca="false">IF($A29="",0,SUMIFS(MM_VALSINAL,MM_META,$A29))</f>
        <v>0</v>
      </c>
      <c r="I29" s="39" t="n">
        <f aca="false">IF(OR($A29="",$C29=0),0,$H29/$C29)</f>
        <v>0</v>
      </c>
      <c r="J29" s="36" t="str">
        <f aca="false">IF($A29="","",MAX(0,$C29-$H29))</f>
        <v/>
      </c>
      <c r="K29" s="34" t="n">
        <f aca="false">IF(OR($A29="",$D29=""),0,MAX(0,(YEAR($D29)-YEAR(CFG_HOJE))*12+MONTH($D29)-MONTH(CFG_HOJE)))</f>
        <v>0</v>
      </c>
      <c r="L29" s="36" t="str">
        <f aca="false">IF($A29="","",IF($K29&lt;=0,$J29,ROUND($J29/$K29,0)))</f>
        <v/>
      </c>
      <c r="M29" s="32"/>
      <c r="N29" s="31"/>
      <c r="O29" s="35" t="str">
        <f aca="false">IF($A29="","",IF($M29="Cancelada","CANCELADA",IF($M29="Concluida","CONCLUIDA",IF($H29&gt;=$C29,"OBJETIVO ATINGIDO",IF($D29&lt;CFG_HOJE,"PRAZO VENCIDO",IF($K29&lt;=3,"EM RISCO","EM DIA"))))))</f>
        <v/>
      </c>
      <c r="P29" s="35" t="str">
        <f aca="false">IF($E29="","",IFERROR(INDEX(C_NOME,MATCH($E29,C_ID,0)),"?"))</f>
        <v/>
      </c>
      <c r="Q29" s="32"/>
    </row>
    <row r="30" customFormat="false" ht="15" hidden="false" customHeight="false" outlineLevel="0" collapsed="false">
      <c r="A30" s="30" t="str">
        <f aca="false">IF($B30="","","MET-"&amp;TEXT(ROW()-4,"000000"))</f>
        <v/>
      </c>
      <c r="B30" s="32"/>
      <c r="C30" s="33"/>
      <c r="D30" s="31"/>
      <c r="E30" s="32"/>
      <c r="F30" s="32"/>
      <c r="G30" s="32"/>
      <c r="H30" s="36" t="n">
        <f aca="false">IF($A30="",0,SUMIFS(MM_VALSINAL,MM_META,$A30))</f>
        <v>0</v>
      </c>
      <c r="I30" s="39" t="n">
        <f aca="false">IF(OR($A30="",$C30=0),0,$H30/$C30)</f>
        <v>0</v>
      </c>
      <c r="J30" s="36" t="str">
        <f aca="false">IF($A30="","",MAX(0,$C30-$H30))</f>
        <v/>
      </c>
      <c r="K30" s="34" t="n">
        <f aca="false">IF(OR($A30="",$D30=""),0,MAX(0,(YEAR($D30)-YEAR(CFG_HOJE))*12+MONTH($D30)-MONTH(CFG_HOJE)))</f>
        <v>0</v>
      </c>
      <c r="L30" s="36" t="str">
        <f aca="false">IF($A30="","",IF($K30&lt;=0,$J30,ROUND($J30/$K30,0)))</f>
        <v/>
      </c>
      <c r="M30" s="32"/>
      <c r="N30" s="31"/>
      <c r="O30" s="35" t="str">
        <f aca="false">IF($A30="","",IF($M30="Cancelada","CANCELADA",IF($M30="Concluida","CONCLUIDA",IF($H30&gt;=$C30,"OBJETIVO ATINGIDO",IF($D30&lt;CFG_HOJE,"PRAZO VENCIDO",IF($K30&lt;=3,"EM RISCO","EM DIA"))))))</f>
        <v/>
      </c>
      <c r="P30" s="35" t="str">
        <f aca="false">IF($E30="","",IFERROR(INDEX(C_NOME,MATCH($E30,C_ID,0)),"?"))</f>
        <v/>
      </c>
      <c r="Q30" s="32"/>
    </row>
    <row r="31" customFormat="false" ht="15" hidden="false" customHeight="false" outlineLevel="0" collapsed="false">
      <c r="A31" s="30" t="str">
        <f aca="false">IF($B31="","","MET-"&amp;TEXT(ROW()-4,"000000"))</f>
        <v/>
      </c>
      <c r="B31" s="32"/>
      <c r="C31" s="33"/>
      <c r="D31" s="31"/>
      <c r="E31" s="32"/>
      <c r="F31" s="32"/>
      <c r="G31" s="32"/>
      <c r="H31" s="36" t="n">
        <f aca="false">IF($A31="",0,SUMIFS(MM_VALSINAL,MM_META,$A31))</f>
        <v>0</v>
      </c>
      <c r="I31" s="39" t="n">
        <f aca="false">IF(OR($A31="",$C31=0),0,$H31/$C31)</f>
        <v>0</v>
      </c>
      <c r="J31" s="36" t="str">
        <f aca="false">IF($A31="","",MAX(0,$C31-$H31))</f>
        <v/>
      </c>
      <c r="K31" s="34" t="n">
        <f aca="false">IF(OR($A31="",$D31=""),0,MAX(0,(YEAR($D31)-YEAR(CFG_HOJE))*12+MONTH($D31)-MONTH(CFG_HOJE)))</f>
        <v>0</v>
      </c>
      <c r="L31" s="36" t="str">
        <f aca="false">IF($A31="","",IF($K31&lt;=0,$J31,ROUND($J31/$K31,0)))</f>
        <v/>
      </c>
      <c r="M31" s="32"/>
      <c r="N31" s="31"/>
      <c r="O31" s="35" t="str">
        <f aca="false">IF($A31="","",IF($M31="Cancelada","CANCELADA",IF($M31="Concluida","CONCLUIDA",IF($H31&gt;=$C31,"OBJETIVO ATINGIDO",IF($D31&lt;CFG_HOJE,"PRAZO VENCIDO",IF($K31&lt;=3,"EM RISCO","EM DIA"))))))</f>
        <v/>
      </c>
      <c r="P31" s="35" t="str">
        <f aca="false">IF($E31="","",IFERROR(INDEX(C_NOME,MATCH($E31,C_ID,0)),"?"))</f>
        <v/>
      </c>
      <c r="Q31" s="32"/>
    </row>
    <row r="32" customFormat="false" ht="15" hidden="false" customHeight="false" outlineLevel="0" collapsed="false">
      <c r="A32" s="30" t="str">
        <f aca="false">IF($B32="","","MET-"&amp;TEXT(ROW()-4,"000000"))</f>
        <v/>
      </c>
      <c r="B32" s="32"/>
      <c r="C32" s="33"/>
      <c r="D32" s="31"/>
      <c r="E32" s="32"/>
      <c r="F32" s="32"/>
      <c r="G32" s="32"/>
      <c r="H32" s="36" t="n">
        <f aca="false">IF($A32="",0,SUMIFS(MM_VALSINAL,MM_META,$A32))</f>
        <v>0</v>
      </c>
      <c r="I32" s="39" t="n">
        <f aca="false">IF(OR($A32="",$C32=0),0,$H32/$C32)</f>
        <v>0</v>
      </c>
      <c r="J32" s="36" t="str">
        <f aca="false">IF($A32="","",MAX(0,$C32-$H32))</f>
        <v/>
      </c>
      <c r="K32" s="34" t="n">
        <f aca="false">IF(OR($A32="",$D32=""),0,MAX(0,(YEAR($D32)-YEAR(CFG_HOJE))*12+MONTH($D32)-MONTH(CFG_HOJE)))</f>
        <v>0</v>
      </c>
      <c r="L32" s="36" t="str">
        <f aca="false">IF($A32="","",IF($K32&lt;=0,$J32,ROUND($J32/$K32,0)))</f>
        <v/>
      </c>
      <c r="M32" s="32"/>
      <c r="N32" s="31"/>
      <c r="O32" s="35" t="str">
        <f aca="false">IF($A32="","",IF($M32="Cancelada","CANCELADA",IF($M32="Concluida","CONCLUIDA",IF($H32&gt;=$C32,"OBJETIVO ATINGIDO",IF($D32&lt;CFG_HOJE,"PRAZO VENCIDO",IF($K32&lt;=3,"EM RISCO","EM DIA"))))))</f>
        <v/>
      </c>
      <c r="P32" s="35" t="str">
        <f aca="false">IF($E32="","",IFERROR(INDEX(C_NOME,MATCH($E32,C_ID,0)),"?"))</f>
        <v/>
      </c>
      <c r="Q32" s="32"/>
    </row>
    <row r="33" customFormat="false" ht="15" hidden="false" customHeight="false" outlineLevel="0" collapsed="false">
      <c r="A33" s="30" t="str">
        <f aca="false">IF($B33="","","MET-"&amp;TEXT(ROW()-4,"000000"))</f>
        <v/>
      </c>
      <c r="B33" s="32"/>
      <c r="C33" s="33"/>
      <c r="D33" s="31"/>
      <c r="E33" s="32"/>
      <c r="F33" s="32"/>
      <c r="G33" s="32"/>
      <c r="H33" s="36" t="n">
        <f aca="false">IF($A33="",0,SUMIFS(MM_VALSINAL,MM_META,$A33))</f>
        <v>0</v>
      </c>
      <c r="I33" s="39" t="n">
        <f aca="false">IF(OR($A33="",$C33=0),0,$H33/$C33)</f>
        <v>0</v>
      </c>
      <c r="J33" s="36" t="str">
        <f aca="false">IF($A33="","",MAX(0,$C33-$H33))</f>
        <v/>
      </c>
      <c r="K33" s="34" t="n">
        <f aca="false">IF(OR($A33="",$D33=""),0,MAX(0,(YEAR($D33)-YEAR(CFG_HOJE))*12+MONTH($D33)-MONTH(CFG_HOJE)))</f>
        <v>0</v>
      </c>
      <c r="L33" s="36" t="str">
        <f aca="false">IF($A33="","",IF($K33&lt;=0,$J33,ROUND($J33/$K33,0)))</f>
        <v/>
      </c>
      <c r="M33" s="32"/>
      <c r="N33" s="31"/>
      <c r="O33" s="35" t="str">
        <f aca="false">IF($A33="","",IF($M33="Cancelada","CANCELADA",IF($M33="Concluida","CONCLUIDA",IF($H33&gt;=$C33,"OBJETIVO ATINGIDO",IF($D33&lt;CFG_HOJE,"PRAZO VENCIDO",IF($K33&lt;=3,"EM RISCO","EM DIA"))))))</f>
        <v/>
      </c>
      <c r="P33" s="35" t="str">
        <f aca="false">IF($E33="","",IFERROR(INDEX(C_NOME,MATCH($E33,C_ID,0)),"?"))</f>
        <v/>
      </c>
      <c r="Q33" s="32"/>
    </row>
    <row r="34" customFormat="false" ht="15" hidden="false" customHeight="false" outlineLevel="0" collapsed="false">
      <c r="A34" s="30" t="str">
        <f aca="false">IF($B34="","","MET-"&amp;TEXT(ROW()-4,"000000"))</f>
        <v/>
      </c>
      <c r="B34" s="32"/>
      <c r="C34" s="33"/>
      <c r="D34" s="31"/>
      <c r="E34" s="32"/>
      <c r="F34" s="32"/>
      <c r="G34" s="32"/>
      <c r="H34" s="36" t="n">
        <f aca="false">IF($A34="",0,SUMIFS(MM_VALSINAL,MM_META,$A34))</f>
        <v>0</v>
      </c>
      <c r="I34" s="39" t="n">
        <f aca="false">IF(OR($A34="",$C34=0),0,$H34/$C34)</f>
        <v>0</v>
      </c>
      <c r="J34" s="36" t="str">
        <f aca="false">IF($A34="","",MAX(0,$C34-$H34))</f>
        <v/>
      </c>
      <c r="K34" s="34" t="n">
        <f aca="false">IF(OR($A34="",$D34=""),0,MAX(0,(YEAR($D34)-YEAR(CFG_HOJE))*12+MONTH($D34)-MONTH(CFG_HOJE)))</f>
        <v>0</v>
      </c>
      <c r="L34" s="36" t="str">
        <f aca="false">IF($A34="","",IF($K34&lt;=0,$J34,ROUND($J34/$K34,0)))</f>
        <v/>
      </c>
      <c r="M34" s="32"/>
      <c r="N34" s="31"/>
      <c r="O34" s="35" t="str">
        <f aca="false">IF($A34="","",IF($M34="Cancelada","CANCELADA",IF($M34="Concluida","CONCLUIDA",IF($H34&gt;=$C34,"OBJETIVO ATINGIDO",IF($D34&lt;CFG_HOJE,"PRAZO VENCIDO",IF($K34&lt;=3,"EM RISCO","EM DIA"))))))</f>
        <v/>
      </c>
      <c r="P34" s="35" t="str">
        <f aca="false">IF($E34="","",IFERROR(INDEX(C_NOME,MATCH($E34,C_ID,0)),"?"))</f>
        <v/>
      </c>
      <c r="Q34" s="32"/>
    </row>
    <row r="35" customFormat="false" ht="15" hidden="false" customHeight="false" outlineLevel="0" collapsed="false">
      <c r="A35" s="30" t="str">
        <f aca="false">IF($B35="","","MET-"&amp;TEXT(ROW()-4,"000000"))</f>
        <v/>
      </c>
      <c r="B35" s="32"/>
      <c r="C35" s="33"/>
      <c r="D35" s="31"/>
      <c r="E35" s="32"/>
      <c r="F35" s="32"/>
      <c r="G35" s="32"/>
      <c r="H35" s="36" t="n">
        <f aca="false">IF($A35="",0,SUMIFS(MM_VALSINAL,MM_META,$A35))</f>
        <v>0</v>
      </c>
      <c r="I35" s="39" t="n">
        <f aca="false">IF(OR($A35="",$C35=0),0,$H35/$C35)</f>
        <v>0</v>
      </c>
      <c r="J35" s="36" t="str">
        <f aca="false">IF($A35="","",MAX(0,$C35-$H35))</f>
        <v/>
      </c>
      <c r="K35" s="34" t="n">
        <f aca="false">IF(OR($A35="",$D35=""),0,MAX(0,(YEAR($D35)-YEAR(CFG_HOJE))*12+MONTH($D35)-MONTH(CFG_HOJE)))</f>
        <v>0</v>
      </c>
      <c r="L35" s="36" t="str">
        <f aca="false">IF($A35="","",IF($K35&lt;=0,$J35,ROUND($J35/$K35,0)))</f>
        <v/>
      </c>
      <c r="M35" s="32"/>
      <c r="N35" s="31"/>
      <c r="O35" s="35" t="str">
        <f aca="false">IF($A35="","",IF($M35="Cancelada","CANCELADA",IF($M35="Concluida","CONCLUIDA",IF($H35&gt;=$C35,"OBJETIVO ATINGIDO",IF($D35&lt;CFG_HOJE,"PRAZO VENCIDO",IF($K35&lt;=3,"EM RISCO","EM DIA"))))))</f>
        <v/>
      </c>
      <c r="P35" s="35" t="str">
        <f aca="false">IF($E35="","",IFERROR(INDEX(C_NOME,MATCH($E35,C_ID,0)),"?"))</f>
        <v/>
      </c>
      <c r="Q35" s="32"/>
    </row>
    <row r="36" customFormat="false" ht="15" hidden="false" customHeight="false" outlineLevel="0" collapsed="false">
      <c r="A36" s="30" t="str">
        <f aca="false">IF($B36="","","MET-"&amp;TEXT(ROW()-4,"000000"))</f>
        <v/>
      </c>
      <c r="B36" s="32"/>
      <c r="C36" s="33"/>
      <c r="D36" s="31"/>
      <c r="E36" s="32"/>
      <c r="F36" s="32"/>
      <c r="G36" s="32"/>
      <c r="H36" s="36" t="n">
        <f aca="false">IF($A36="",0,SUMIFS(MM_VALSINAL,MM_META,$A36))</f>
        <v>0</v>
      </c>
      <c r="I36" s="39" t="n">
        <f aca="false">IF(OR($A36="",$C36=0),0,$H36/$C36)</f>
        <v>0</v>
      </c>
      <c r="J36" s="36" t="str">
        <f aca="false">IF($A36="","",MAX(0,$C36-$H36))</f>
        <v/>
      </c>
      <c r="K36" s="34" t="n">
        <f aca="false">IF(OR($A36="",$D36=""),0,MAX(0,(YEAR($D36)-YEAR(CFG_HOJE))*12+MONTH($D36)-MONTH(CFG_HOJE)))</f>
        <v>0</v>
      </c>
      <c r="L36" s="36" t="str">
        <f aca="false">IF($A36="","",IF($K36&lt;=0,$J36,ROUND($J36/$K36,0)))</f>
        <v/>
      </c>
      <c r="M36" s="32"/>
      <c r="N36" s="31"/>
      <c r="O36" s="35" t="str">
        <f aca="false">IF($A36="","",IF($M36="Cancelada","CANCELADA",IF($M36="Concluida","CONCLUIDA",IF($H36&gt;=$C36,"OBJETIVO ATINGIDO",IF($D36&lt;CFG_HOJE,"PRAZO VENCIDO",IF($K36&lt;=3,"EM RISCO","EM DIA"))))))</f>
        <v/>
      </c>
      <c r="P36" s="35" t="str">
        <f aca="false">IF($E36="","",IFERROR(INDEX(C_NOME,MATCH($E36,C_ID,0)),"?"))</f>
        <v/>
      </c>
      <c r="Q36" s="32"/>
    </row>
    <row r="37" customFormat="false" ht="15" hidden="false" customHeight="false" outlineLevel="0" collapsed="false">
      <c r="A37" s="30" t="str">
        <f aca="false">IF($B37="","","MET-"&amp;TEXT(ROW()-4,"000000"))</f>
        <v/>
      </c>
      <c r="B37" s="32"/>
      <c r="C37" s="33"/>
      <c r="D37" s="31"/>
      <c r="E37" s="32"/>
      <c r="F37" s="32"/>
      <c r="G37" s="32"/>
      <c r="H37" s="36" t="n">
        <f aca="false">IF($A37="",0,SUMIFS(MM_VALSINAL,MM_META,$A37))</f>
        <v>0</v>
      </c>
      <c r="I37" s="39" t="n">
        <f aca="false">IF(OR($A37="",$C37=0),0,$H37/$C37)</f>
        <v>0</v>
      </c>
      <c r="J37" s="36" t="str">
        <f aca="false">IF($A37="","",MAX(0,$C37-$H37))</f>
        <v/>
      </c>
      <c r="K37" s="34" t="n">
        <f aca="false">IF(OR($A37="",$D37=""),0,MAX(0,(YEAR($D37)-YEAR(CFG_HOJE))*12+MONTH($D37)-MONTH(CFG_HOJE)))</f>
        <v>0</v>
      </c>
      <c r="L37" s="36" t="str">
        <f aca="false">IF($A37="","",IF($K37&lt;=0,$J37,ROUND($J37/$K37,0)))</f>
        <v/>
      </c>
      <c r="M37" s="32"/>
      <c r="N37" s="31"/>
      <c r="O37" s="35" t="str">
        <f aca="false">IF($A37="","",IF($M37="Cancelada","CANCELADA",IF($M37="Concluida","CONCLUIDA",IF($H37&gt;=$C37,"OBJETIVO ATINGIDO",IF($D37&lt;CFG_HOJE,"PRAZO VENCIDO",IF($K37&lt;=3,"EM RISCO","EM DIA"))))))</f>
        <v/>
      </c>
      <c r="P37" s="35" t="str">
        <f aca="false">IF($E37="","",IFERROR(INDEX(C_NOME,MATCH($E37,C_ID,0)),"?"))</f>
        <v/>
      </c>
      <c r="Q37" s="32"/>
    </row>
    <row r="38" customFormat="false" ht="15" hidden="false" customHeight="false" outlineLevel="0" collapsed="false">
      <c r="A38" s="30" t="str">
        <f aca="false">IF($B38="","","MET-"&amp;TEXT(ROW()-4,"000000"))</f>
        <v/>
      </c>
      <c r="B38" s="32"/>
      <c r="C38" s="33"/>
      <c r="D38" s="31"/>
      <c r="E38" s="32"/>
      <c r="F38" s="32"/>
      <c r="G38" s="32"/>
      <c r="H38" s="36" t="n">
        <f aca="false">IF($A38="",0,SUMIFS(MM_VALSINAL,MM_META,$A38))</f>
        <v>0</v>
      </c>
      <c r="I38" s="39" t="n">
        <f aca="false">IF(OR($A38="",$C38=0),0,$H38/$C38)</f>
        <v>0</v>
      </c>
      <c r="J38" s="36" t="str">
        <f aca="false">IF($A38="","",MAX(0,$C38-$H38))</f>
        <v/>
      </c>
      <c r="K38" s="34" t="n">
        <f aca="false">IF(OR($A38="",$D38=""),0,MAX(0,(YEAR($D38)-YEAR(CFG_HOJE))*12+MONTH($D38)-MONTH(CFG_HOJE)))</f>
        <v>0</v>
      </c>
      <c r="L38" s="36" t="str">
        <f aca="false">IF($A38="","",IF($K38&lt;=0,$J38,ROUND($J38/$K38,0)))</f>
        <v/>
      </c>
      <c r="M38" s="32"/>
      <c r="N38" s="31"/>
      <c r="O38" s="35" t="str">
        <f aca="false">IF($A38="","",IF($M38="Cancelada","CANCELADA",IF($M38="Concluida","CONCLUIDA",IF($H38&gt;=$C38,"OBJETIVO ATINGIDO",IF($D38&lt;CFG_HOJE,"PRAZO VENCIDO",IF($K38&lt;=3,"EM RISCO","EM DIA"))))))</f>
        <v/>
      </c>
      <c r="P38" s="35" t="str">
        <f aca="false">IF($E38="","",IFERROR(INDEX(C_NOME,MATCH($E38,C_ID,0)),"?"))</f>
        <v/>
      </c>
      <c r="Q38" s="32"/>
    </row>
    <row r="39" customFormat="false" ht="15" hidden="false" customHeight="false" outlineLevel="0" collapsed="false">
      <c r="A39" s="30" t="str">
        <f aca="false">IF($B39="","","MET-"&amp;TEXT(ROW()-4,"000000"))</f>
        <v/>
      </c>
      <c r="B39" s="32"/>
      <c r="C39" s="33"/>
      <c r="D39" s="31"/>
      <c r="E39" s="32"/>
      <c r="F39" s="32"/>
      <c r="G39" s="32"/>
      <c r="H39" s="36" t="n">
        <f aca="false">IF($A39="",0,SUMIFS(MM_VALSINAL,MM_META,$A39))</f>
        <v>0</v>
      </c>
      <c r="I39" s="39" t="n">
        <f aca="false">IF(OR($A39="",$C39=0),0,$H39/$C39)</f>
        <v>0</v>
      </c>
      <c r="J39" s="36" t="str">
        <f aca="false">IF($A39="","",MAX(0,$C39-$H39))</f>
        <v/>
      </c>
      <c r="K39" s="34" t="n">
        <f aca="false">IF(OR($A39="",$D39=""),0,MAX(0,(YEAR($D39)-YEAR(CFG_HOJE))*12+MONTH($D39)-MONTH(CFG_HOJE)))</f>
        <v>0</v>
      </c>
      <c r="L39" s="36" t="str">
        <f aca="false">IF($A39="","",IF($K39&lt;=0,$J39,ROUND($J39/$K39,0)))</f>
        <v/>
      </c>
      <c r="M39" s="32"/>
      <c r="N39" s="31"/>
      <c r="O39" s="35" t="str">
        <f aca="false">IF($A39="","",IF($M39="Cancelada","CANCELADA",IF($M39="Concluida","CONCLUIDA",IF($H39&gt;=$C39,"OBJETIVO ATINGIDO",IF($D39&lt;CFG_HOJE,"PRAZO VENCIDO",IF($K39&lt;=3,"EM RISCO","EM DIA"))))))</f>
        <v/>
      </c>
      <c r="P39" s="35" t="str">
        <f aca="false">IF($E39="","",IFERROR(INDEX(C_NOME,MATCH($E39,C_ID,0)),"?"))</f>
        <v/>
      </c>
      <c r="Q39" s="32"/>
    </row>
    <row r="40" customFormat="false" ht="15" hidden="false" customHeight="false" outlineLevel="0" collapsed="false">
      <c r="A40" s="30" t="str">
        <f aca="false">IF($B40="","","MET-"&amp;TEXT(ROW()-4,"000000"))</f>
        <v/>
      </c>
      <c r="B40" s="32"/>
      <c r="C40" s="33"/>
      <c r="D40" s="31"/>
      <c r="E40" s="32"/>
      <c r="F40" s="32"/>
      <c r="G40" s="32"/>
      <c r="H40" s="36" t="n">
        <f aca="false">IF($A40="",0,SUMIFS(MM_VALSINAL,MM_META,$A40))</f>
        <v>0</v>
      </c>
      <c r="I40" s="39" t="n">
        <f aca="false">IF(OR($A40="",$C40=0),0,$H40/$C40)</f>
        <v>0</v>
      </c>
      <c r="J40" s="36" t="str">
        <f aca="false">IF($A40="","",MAX(0,$C40-$H40))</f>
        <v/>
      </c>
      <c r="K40" s="34" t="n">
        <f aca="false">IF(OR($A40="",$D40=""),0,MAX(0,(YEAR($D40)-YEAR(CFG_HOJE))*12+MONTH($D40)-MONTH(CFG_HOJE)))</f>
        <v>0</v>
      </c>
      <c r="L40" s="36" t="str">
        <f aca="false">IF($A40="","",IF($K40&lt;=0,$J40,ROUND($J40/$K40,0)))</f>
        <v/>
      </c>
      <c r="M40" s="32"/>
      <c r="N40" s="31"/>
      <c r="O40" s="35" t="str">
        <f aca="false">IF($A40="","",IF($M40="Cancelada","CANCELADA",IF($M40="Concluida","CONCLUIDA",IF($H40&gt;=$C40,"OBJETIVO ATINGIDO",IF($D40&lt;CFG_HOJE,"PRAZO VENCIDO",IF($K40&lt;=3,"EM RISCO","EM DIA"))))))</f>
        <v/>
      </c>
      <c r="P40" s="35" t="str">
        <f aca="false">IF($E40="","",IFERROR(INDEX(C_NOME,MATCH($E40,C_ID,0)),"?"))</f>
        <v/>
      </c>
      <c r="Q40" s="32"/>
    </row>
    <row r="41" customFormat="false" ht="15" hidden="false" customHeight="false" outlineLevel="0" collapsed="false">
      <c r="A41" s="30" t="str">
        <f aca="false">IF($B41="","","MET-"&amp;TEXT(ROW()-4,"000000"))</f>
        <v/>
      </c>
      <c r="B41" s="32"/>
      <c r="C41" s="33"/>
      <c r="D41" s="31"/>
      <c r="E41" s="32"/>
      <c r="F41" s="32"/>
      <c r="G41" s="32"/>
      <c r="H41" s="36" t="n">
        <f aca="false">IF($A41="",0,SUMIFS(MM_VALSINAL,MM_META,$A41))</f>
        <v>0</v>
      </c>
      <c r="I41" s="39" t="n">
        <f aca="false">IF(OR($A41="",$C41=0),0,$H41/$C41)</f>
        <v>0</v>
      </c>
      <c r="J41" s="36" t="str">
        <f aca="false">IF($A41="","",MAX(0,$C41-$H41))</f>
        <v/>
      </c>
      <c r="K41" s="34" t="n">
        <f aca="false">IF(OR($A41="",$D41=""),0,MAX(0,(YEAR($D41)-YEAR(CFG_HOJE))*12+MONTH($D41)-MONTH(CFG_HOJE)))</f>
        <v>0</v>
      </c>
      <c r="L41" s="36" t="str">
        <f aca="false">IF($A41="","",IF($K41&lt;=0,$J41,ROUND($J41/$K41,0)))</f>
        <v/>
      </c>
      <c r="M41" s="32"/>
      <c r="N41" s="31"/>
      <c r="O41" s="35" t="str">
        <f aca="false">IF($A41="","",IF($M41="Cancelada","CANCELADA",IF($M41="Concluida","CONCLUIDA",IF($H41&gt;=$C41,"OBJETIVO ATINGIDO",IF($D41&lt;CFG_HOJE,"PRAZO VENCIDO",IF($K41&lt;=3,"EM RISCO","EM DIA"))))))</f>
        <v/>
      </c>
      <c r="P41" s="35" t="str">
        <f aca="false">IF($E41="","",IFERROR(INDEX(C_NOME,MATCH($E41,C_ID,0)),"?"))</f>
        <v/>
      </c>
      <c r="Q41" s="32"/>
    </row>
    <row r="42" customFormat="false" ht="15" hidden="false" customHeight="false" outlineLevel="0" collapsed="false">
      <c r="A42" s="30" t="str">
        <f aca="false">IF($B42="","","MET-"&amp;TEXT(ROW()-4,"000000"))</f>
        <v/>
      </c>
      <c r="B42" s="32"/>
      <c r="C42" s="33"/>
      <c r="D42" s="31"/>
      <c r="E42" s="32"/>
      <c r="F42" s="32"/>
      <c r="G42" s="32"/>
      <c r="H42" s="36" t="n">
        <f aca="false">IF($A42="",0,SUMIFS(MM_VALSINAL,MM_META,$A42))</f>
        <v>0</v>
      </c>
      <c r="I42" s="39" t="n">
        <f aca="false">IF(OR($A42="",$C42=0),0,$H42/$C42)</f>
        <v>0</v>
      </c>
      <c r="J42" s="36" t="str">
        <f aca="false">IF($A42="","",MAX(0,$C42-$H42))</f>
        <v/>
      </c>
      <c r="K42" s="34" t="n">
        <f aca="false">IF(OR($A42="",$D42=""),0,MAX(0,(YEAR($D42)-YEAR(CFG_HOJE))*12+MONTH($D42)-MONTH(CFG_HOJE)))</f>
        <v>0</v>
      </c>
      <c r="L42" s="36" t="str">
        <f aca="false">IF($A42="","",IF($K42&lt;=0,$J42,ROUND($J42/$K42,0)))</f>
        <v/>
      </c>
      <c r="M42" s="32"/>
      <c r="N42" s="31"/>
      <c r="O42" s="35" t="str">
        <f aca="false">IF($A42="","",IF($M42="Cancelada","CANCELADA",IF($M42="Concluida","CONCLUIDA",IF($H42&gt;=$C42,"OBJETIVO ATINGIDO",IF($D42&lt;CFG_HOJE,"PRAZO VENCIDO",IF($K42&lt;=3,"EM RISCO","EM DIA"))))))</f>
        <v/>
      </c>
      <c r="P42" s="35" t="str">
        <f aca="false">IF($E42="","",IFERROR(INDEX(C_NOME,MATCH($E42,C_ID,0)),"?"))</f>
        <v/>
      </c>
      <c r="Q42" s="32"/>
    </row>
    <row r="43" customFormat="false" ht="15" hidden="false" customHeight="false" outlineLevel="0" collapsed="false">
      <c r="A43" s="30" t="str">
        <f aca="false">IF($B43="","","MET-"&amp;TEXT(ROW()-4,"000000"))</f>
        <v/>
      </c>
      <c r="B43" s="32"/>
      <c r="C43" s="33"/>
      <c r="D43" s="31"/>
      <c r="E43" s="32"/>
      <c r="F43" s="32"/>
      <c r="G43" s="32"/>
      <c r="H43" s="36" t="n">
        <f aca="false">IF($A43="",0,SUMIFS(MM_VALSINAL,MM_META,$A43))</f>
        <v>0</v>
      </c>
      <c r="I43" s="39" t="n">
        <f aca="false">IF(OR($A43="",$C43=0),0,$H43/$C43)</f>
        <v>0</v>
      </c>
      <c r="J43" s="36" t="str">
        <f aca="false">IF($A43="","",MAX(0,$C43-$H43))</f>
        <v/>
      </c>
      <c r="K43" s="34" t="n">
        <f aca="false">IF(OR($A43="",$D43=""),0,MAX(0,(YEAR($D43)-YEAR(CFG_HOJE))*12+MONTH($D43)-MONTH(CFG_HOJE)))</f>
        <v>0</v>
      </c>
      <c r="L43" s="36" t="str">
        <f aca="false">IF($A43="","",IF($K43&lt;=0,$J43,ROUND($J43/$K43,0)))</f>
        <v/>
      </c>
      <c r="M43" s="32"/>
      <c r="N43" s="31"/>
      <c r="O43" s="35" t="str">
        <f aca="false">IF($A43="","",IF($M43="Cancelada","CANCELADA",IF($M43="Concluida","CONCLUIDA",IF($H43&gt;=$C43,"OBJETIVO ATINGIDO",IF($D43&lt;CFG_HOJE,"PRAZO VENCIDO",IF($K43&lt;=3,"EM RISCO","EM DIA"))))))</f>
        <v/>
      </c>
      <c r="P43" s="35" t="str">
        <f aca="false">IF($E43="","",IFERROR(INDEX(C_NOME,MATCH($E43,C_ID,0)),"?"))</f>
        <v/>
      </c>
      <c r="Q43" s="32"/>
    </row>
    <row r="44" customFormat="false" ht="15" hidden="false" customHeight="false" outlineLevel="0" collapsed="false">
      <c r="A44" s="30" t="str">
        <f aca="false">IF($B44="","","MET-"&amp;TEXT(ROW()-4,"000000"))</f>
        <v/>
      </c>
      <c r="B44" s="32"/>
      <c r="C44" s="33"/>
      <c r="D44" s="31"/>
      <c r="E44" s="32"/>
      <c r="F44" s="32"/>
      <c r="G44" s="32"/>
      <c r="H44" s="36" t="n">
        <f aca="false">IF($A44="",0,SUMIFS(MM_VALSINAL,MM_META,$A44))</f>
        <v>0</v>
      </c>
      <c r="I44" s="39" t="n">
        <f aca="false">IF(OR($A44="",$C44=0),0,$H44/$C44)</f>
        <v>0</v>
      </c>
      <c r="J44" s="36" t="str">
        <f aca="false">IF($A44="","",MAX(0,$C44-$H44))</f>
        <v/>
      </c>
      <c r="K44" s="34" t="n">
        <f aca="false">IF(OR($A44="",$D44=""),0,MAX(0,(YEAR($D44)-YEAR(CFG_HOJE))*12+MONTH($D44)-MONTH(CFG_HOJE)))</f>
        <v>0</v>
      </c>
      <c r="L44" s="36" t="str">
        <f aca="false">IF($A44="","",IF($K44&lt;=0,$J44,ROUND($J44/$K44,0)))</f>
        <v/>
      </c>
      <c r="M44" s="32"/>
      <c r="N44" s="31"/>
      <c r="O44" s="35" t="str">
        <f aca="false">IF($A44="","",IF($M44="Cancelada","CANCELADA",IF($M44="Concluida","CONCLUIDA",IF($H44&gt;=$C44,"OBJETIVO ATINGIDO",IF($D44&lt;CFG_HOJE,"PRAZO VENCIDO",IF($K44&lt;=3,"EM RISCO","EM DIA"))))))</f>
        <v/>
      </c>
      <c r="P44" s="35" t="str">
        <f aca="false">IF($E44="","",IFERROR(INDEX(C_NOME,MATCH($E44,C_ID,0)),"?"))</f>
        <v/>
      </c>
      <c r="Q44" s="32"/>
    </row>
  </sheetData>
  <autoFilter ref="A4:Q44"/>
  <mergeCells count="2">
    <mergeCell ref="A1:Q1"/>
    <mergeCell ref="A2:Q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C_ID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I_ID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LST_SIMNAO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LST_STMETA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V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2" min="22" style="0" width="30"/>
  </cols>
  <sheetData>
    <row r="1" customFormat="false" ht="25.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4" customFormat="false" ht="30" hidden="false" customHeight="true" outlineLevel="0" collapsed="false">
      <c r="A4" s="8" t="s">
        <v>95</v>
      </c>
      <c r="B4" s="8" t="s">
        <v>48</v>
      </c>
      <c r="C4" s="8" t="s">
        <v>83</v>
      </c>
      <c r="D4" s="8" t="s">
        <v>84</v>
      </c>
      <c r="E4" s="8" t="s">
        <v>296</v>
      </c>
      <c r="F4" s="8" t="s">
        <v>323</v>
      </c>
      <c r="G4" s="8" t="s">
        <v>324</v>
      </c>
      <c r="H4" s="8" t="s">
        <v>325</v>
      </c>
      <c r="I4" s="8" t="s">
        <v>326</v>
      </c>
      <c r="J4" s="8" t="s">
        <v>89</v>
      </c>
      <c r="K4" s="8" t="s">
        <v>90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91</v>
      </c>
      <c r="Q4" s="8" t="s">
        <v>52</v>
      </c>
      <c r="R4" s="8" t="s">
        <v>327</v>
      </c>
      <c r="S4" s="8" t="s">
        <v>328</v>
      </c>
      <c r="T4" s="8" t="s">
        <v>329</v>
      </c>
      <c r="U4" s="8" t="s">
        <v>330</v>
      </c>
      <c r="V4" s="8" t="s">
        <v>76</v>
      </c>
    </row>
    <row r="5" customFormat="false" ht="15" hidden="false" customHeight="false" outlineLevel="0" collapsed="false">
      <c r="A5" s="30" t="str">
        <f aca="false">IF($B5="","","REC-"&amp;TEXT(ROW()-4,"000000"))</f>
        <v/>
      </c>
      <c r="B5" s="32"/>
      <c r="C5" s="32"/>
      <c r="D5" s="33"/>
      <c r="E5" s="32"/>
      <c r="F5" s="37"/>
      <c r="G5" s="31"/>
      <c r="H5" s="37"/>
      <c r="I5" s="38" t="str">
        <f aca="false">IF(OR($A5="",$H5=0),"",IF(IF($E5="Mensal",1,IF($E5="Bimestral",2,IF($E5="Trimestral",3,IF($E5="Semestral",6,IF($E5="Anual",12,0)))))&gt;0,EDATE($G5,($H5-1)*IF($E5="Mensal",1,IF($E5="Bimestral",2,IF($E5="Trimestral",3,IF($E5="Semestral",6,IF($E5="Anual",12,0)))))),IF(IF($E5="Diario",1,IF($E5="Semanal",7,IF($E5="Quinzenal",15,0)))&gt;0,$G5+($H5-1)*IF($E5="Diario",1,IF($E5="Semanal",7,IF($E5="Quinzenal",15,0))),"")))</f>
        <v/>
      </c>
      <c r="J5" s="32"/>
      <c r="K5" s="32"/>
      <c r="L5" s="32"/>
      <c r="M5" s="32"/>
      <c r="N5" s="32"/>
      <c r="O5" s="32"/>
      <c r="P5" s="32"/>
      <c r="Q5" s="32"/>
      <c r="R5" s="34" t="n">
        <f aca="false">IF($A5="",0,COUNTIFS(L_RecID,$A5))</f>
        <v>0</v>
      </c>
      <c r="S5" s="34" t="n">
        <f aca="false">IF($A5="",0,COUNTIFS(L_RecID,$A5,L_Status,"REALIZADO"))</f>
        <v>0</v>
      </c>
      <c r="T5" s="34" t="n">
        <f aca="false">IF($A5="",0,COUNTIFS(L_RecID,$A5,L_Status,"PROJETADO"))</f>
        <v>0</v>
      </c>
      <c r="U5" s="38" t="str">
        <f aca="false">IF($A5="","",IFERROR(INDEX(L_Data,MATCH(1,INDEX((L_RecID=$A5)*(L_Status="PROJETADO"),0),0)),""))</f>
        <v/>
      </c>
      <c r="V5" s="32"/>
    </row>
    <row r="6" customFormat="false" ht="15" hidden="false" customHeight="false" outlineLevel="0" collapsed="false">
      <c r="A6" s="30" t="str">
        <f aca="false">IF($B6="","","REC-"&amp;TEXT(ROW()-4,"000000"))</f>
        <v/>
      </c>
      <c r="B6" s="32"/>
      <c r="C6" s="32"/>
      <c r="D6" s="33"/>
      <c r="E6" s="32"/>
      <c r="F6" s="37"/>
      <c r="G6" s="31"/>
      <c r="H6" s="37"/>
      <c r="I6" s="38" t="str">
        <f aca="false">IF(OR($A6="",$H6=0),"",IF(IF($E6="Mensal",1,IF($E6="Bimestral",2,IF($E6="Trimestral",3,IF($E6="Semestral",6,IF($E6="Anual",12,0)))))&gt;0,EDATE($G6,($H6-1)*IF($E6="Mensal",1,IF($E6="Bimestral",2,IF($E6="Trimestral",3,IF($E6="Semestral",6,IF($E6="Anual",12,0)))))),IF(IF($E6="Diario",1,IF($E6="Semanal",7,IF($E6="Quinzenal",15,0)))&gt;0,$G6+($H6-1)*IF($E6="Diario",1,IF($E6="Semanal",7,IF($E6="Quinzenal",15,0))),"")))</f>
        <v/>
      </c>
      <c r="J6" s="32"/>
      <c r="K6" s="32"/>
      <c r="L6" s="32"/>
      <c r="M6" s="32"/>
      <c r="N6" s="32"/>
      <c r="O6" s="32"/>
      <c r="P6" s="32"/>
      <c r="Q6" s="32"/>
      <c r="R6" s="34" t="n">
        <f aca="false">IF($A6="",0,COUNTIFS(L_RecID,$A6))</f>
        <v>0</v>
      </c>
      <c r="S6" s="34" t="n">
        <f aca="false">IF($A6="",0,COUNTIFS(L_RecID,$A6,L_Status,"REALIZADO"))</f>
        <v>0</v>
      </c>
      <c r="T6" s="34" t="n">
        <f aca="false">IF($A6="",0,COUNTIFS(L_RecID,$A6,L_Status,"PROJETADO"))</f>
        <v>0</v>
      </c>
      <c r="U6" s="38" t="str">
        <f aca="false">IF($A6="","",IFERROR(INDEX(L_Data,MATCH(1,INDEX((L_RecID=$A6)*(L_Status="PROJETADO"),0),0)),""))</f>
        <v/>
      </c>
      <c r="V6" s="32"/>
    </row>
    <row r="7" customFormat="false" ht="15" hidden="false" customHeight="false" outlineLevel="0" collapsed="false">
      <c r="A7" s="30" t="str">
        <f aca="false">IF($B7="","","REC-"&amp;TEXT(ROW()-4,"000000"))</f>
        <v/>
      </c>
      <c r="B7" s="32"/>
      <c r="C7" s="32"/>
      <c r="D7" s="33"/>
      <c r="E7" s="32"/>
      <c r="F7" s="37"/>
      <c r="G7" s="31"/>
      <c r="H7" s="37"/>
      <c r="I7" s="38" t="str">
        <f aca="false">IF(OR($A7="",$H7=0),"",IF(IF($E7="Mensal",1,IF($E7="Bimestral",2,IF($E7="Trimestral",3,IF($E7="Semestral",6,IF($E7="Anual",12,0)))))&gt;0,EDATE($G7,($H7-1)*IF($E7="Mensal",1,IF($E7="Bimestral",2,IF($E7="Trimestral",3,IF($E7="Semestral",6,IF($E7="Anual",12,0)))))),IF(IF($E7="Diario",1,IF($E7="Semanal",7,IF($E7="Quinzenal",15,0)))&gt;0,$G7+($H7-1)*IF($E7="Diario",1,IF($E7="Semanal",7,IF($E7="Quinzenal",15,0))),"")))</f>
        <v/>
      </c>
      <c r="J7" s="32"/>
      <c r="K7" s="32"/>
      <c r="L7" s="32"/>
      <c r="M7" s="32"/>
      <c r="N7" s="32"/>
      <c r="O7" s="32"/>
      <c r="P7" s="32"/>
      <c r="Q7" s="32"/>
      <c r="R7" s="34" t="n">
        <f aca="false">IF($A7="",0,COUNTIFS(L_RecID,$A7))</f>
        <v>0</v>
      </c>
      <c r="S7" s="34" t="n">
        <f aca="false">IF($A7="",0,COUNTIFS(L_RecID,$A7,L_Status,"REALIZADO"))</f>
        <v>0</v>
      </c>
      <c r="T7" s="34" t="n">
        <f aca="false">IF($A7="",0,COUNTIFS(L_RecID,$A7,L_Status,"PROJETADO"))</f>
        <v>0</v>
      </c>
      <c r="U7" s="38" t="str">
        <f aca="false">IF($A7="","",IFERROR(INDEX(L_Data,MATCH(1,INDEX((L_RecID=$A7)*(L_Status="PROJETADO"),0),0)),""))</f>
        <v/>
      </c>
      <c r="V7" s="32"/>
    </row>
    <row r="8" customFormat="false" ht="15" hidden="false" customHeight="false" outlineLevel="0" collapsed="false">
      <c r="A8" s="30" t="str">
        <f aca="false">IF($B8="","","REC-"&amp;TEXT(ROW()-4,"000000"))</f>
        <v/>
      </c>
      <c r="B8" s="32"/>
      <c r="C8" s="32"/>
      <c r="D8" s="33"/>
      <c r="E8" s="32"/>
      <c r="F8" s="37"/>
      <c r="G8" s="31"/>
      <c r="H8" s="37"/>
      <c r="I8" s="38" t="str">
        <f aca="false">IF(OR($A8="",$H8=0),"",IF(IF($E8="Mensal",1,IF($E8="Bimestral",2,IF($E8="Trimestral",3,IF($E8="Semestral",6,IF($E8="Anual",12,0)))))&gt;0,EDATE($G8,($H8-1)*IF($E8="Mensal",1,IF($E8="Bimestral",2,IF($E8="Trimestral",3,IF($E8="Semestral",6,IF($E8="Anual",12,0)))))),IF(IF($E8="Diario",1,IF($E8="Semanal",7,IF($E8="Quinzenal",15,0)))&gt;0,$G8+($H8-1)*IF($E8="Diario",1,IF($E8="Semanal",7,IF($E8="Quinzenal",15,0))),"")))</f>
        <v/>
      </c>
      <c r="J8" s="32"/>
      <c r="K8" s="32"/>
      <c r="L8" s="32"/>
      <c r="M8" s="32"/>
      <c r="N8" s="32"/>
      <c r="O8" s="32"/>
      <c r="P8" s="32"/>
      <c r="Q8" s="32"/>
      <c r="R8" s="34" t="n">
        <f aca="false">IF($A8="",0,COUNTIFS(L_RecID,$A8))</f>
        <v>0</v>
      </c>
      <c r="S8" s="34" t="n">
        <f aca="false">IF($A8="",0,COUNTIFS(L_RecID,$A8,L_Status,"REALIZADO"))</f>
        <v>0</v>
      </c>
      <c r="T8" s="34" t="n">
        <f aca="false">IF($A8="",0,COUNTIFS(L_RecID,$A8,L_Status,"PROJETADO"))</f>
        <v>0</v>
      </c>
      <c r="U8" s="38" t="str">
        <f aca="false">IF($A8="","",IFERROR(INDEX(L_Data,MATCH(1,INDEX((L_RecID=$A8)*(L_Status="PROJETADO"),0),0)),""))</f>
        <v/>
      </c>
      <c r="V8" s="32"/>
    </row>
    <row r="9" customFormat="false" ht="15" hidden="false" customHeight="false" outlineLevel="0" collapsed="false">
      <c r="A9" s="30" t="str">
        <f aca="false">IF($B9="","","REC-"&amp;TEXT(ROW()-4,"000000"))</f>
        <v/>
      </c>
      <c r="B9" s="32"/>
      <c r="C9" s="32"/>
      <c r="D9" s="33"/>
      <c r="E9" s="32"/>
      <c r="F9" s="37"/>
      <c r="G9" s="31"/>
      <c r="H9" s="37"/>
      <c r="I9" s="38" t="str">
        <f aca="false">IF(OR($A9="",$H9=0),"",IF(IF($E9="Mensal",1,IF($E9="Bimestral",2,IF($E9="Trimestral",3,IF($E9="Semestral",6,IF($E9="Anual",12,0)))))&gt;0,EDATE($G9,($H9-1)*IF($E9="Mensal",1,IF($E9="Bimestral",2,IF($E9="Trimestral",3,IF($E9="Semestral",6,IF($E9="Anual",12,0)))))),IF(IF($E9="Diario",1,IF($E9="Semanal",7,IF($E9="Quinzenal",15,0)))&gt;0,$G9+($H9-1)*IF($E9="Diario",1,IF($E9="Semanal",7,IF($E9="Quinzenal",15,0))),"")))</f>
        <v/>
      </c>
      <c r="J9" s="32"/>
      <c r="K9" s="32"/>
      <c r="L9" s="32"/>
      <c r="M9" s="32"/>
      <c r="N9" s="32"/>
      <c r="O9" s="32"/>
      <c r="P9" s="32"/>
      <c r="Q9" s="32"/>
      <c r="R9" s="34" t="n">
        <f aca="false">IF($A9="",0,COUNTIFS(L_RecID,$A9))</f>
        <v>0</v>
      </c>
      <c r="S9" s="34" t="n">
        <f aca="false">IF($A9="",0,COUNTIFS(L_RecID,$A9,L_Status,"REALIZADO"))</f>
        <v>0</v>
      </c>
      <c r="T9" s="34" t="n">
        <f aca="false">IF($A9="",0,COUNTIFS(L_RecID,$A9,L_Status,"PROJETADO"))</f>
        <v>0</v>
      </c>
      <c r="U9" s="38" t="str">
        <f aca="false">IF($A9="","",IFERROR(INDEX(L_Data,MATCH(1,INDEX((L_RecID=$A9)*(L_Status="PROJETADO"),0),0)),""))</f>
        <v/>
      </c>
      <c r="V9" s="32"/>
    </row>
    <row r="10" customFormat="false" ht="15" hidden="false" customHeight="false" outlineLevel="0" collapsed="false">
      <c r="A10" s="30" t="str">
        <f aca="false">IF($B10="","","REC-"&amp;TEXT(ROW()-4,"000000"))</f>
        <v/>
      </c>
      <c r="B10" s="32"/>
      <c r="C10" s="32"/>
      <c r="D10" s="33"/>
      <c r="E10" s="32"/>
      <c r="F10" s="37"/>
      <c r="G10" s="31"/>
      <c r="H10" s="37"/>
      <c r="I10" s="38" t="str">
        <f aca="false">IF(OR($A10="",$H10=0),"",IF(IF($E10="Mensal",1,IF($E10="Bimestral",2,IF($E10="Trimestral",3,IF($E10="Semestral",6,IF($E10="Anual",12,0)))))&gt;0,EDATE($G10,($H10-1)*IF($E10="Mensal",1,IF($E10="Bimestral",2,IF($E10="Trimestral",3,IF($E10="Semestral",6,IF($E10="Anual",12,0)))))),IF(IF($E10="Diario",1,IF($E10="Semanal",7,IF($E10="Quinzenal",15,0)))&gt;0,$G10+($H10-1)*IF($E10="Diario",1,IF($E10="Semanal",7,IF($E10="Quinzenal",15,0))),"")))</f>
        <v/>
      </c>
      <c r="J10" s="32"/>
      <c r="K10" s="32"/>
      <c r="L10" s="32"/>
      <c r="M10" s="32"/>
      <c r="N10" s="32"/>
      <c r="O10" s="32"/>
      <c r="P10" s="32"/>
      <c r="Q10" s="32"/>
      <c r="R10" s="34" t="n">
        <f aca="false">IF($A10="",0,COUNTIFS(L_RecID,$A10))</f>
        <v>0</v>
      </c>
      <c r="S10" s="34" t="n">
        <f aca="false">IF($A10="",0,COUNTIFS(L_RecID,$A10,L_Status,"REALIZADO"))</f>
        <v>0</v>
      </c>
      <c r="T10" s="34" t="n">
        <f aca="false">IF($A10="",0,COUNTIFS(L_RecID,$A10,L_Status,"PROJETADO"))</f>
        <v>0</v>
      </c>
      <c r="U10" s="38" t="str">
        <f aca="false">IF($A10="","",IFERROR(INDEX(L_Data,MATCH(1,INDEX((L_RecID=$A10)*(L_Status="PROJETADO"),0),0)),""))</f>
        <v/>
      </c>
      <c r="V10" s="32"/>
    </row>
    <row r="11" customFormat="false" ht="15" hidden="false" customHeight="false" outlineLevel="0" collapsed="false">
      <c r="A11" s="30" t="str">
        <f aca="false">IF($B11="","","REC-"&amp;TEXT(ROW()-4,"000000"))</f>
        <v/>
      </c>
      <c r="B11" s="32"/>
      <c r="C11" s="32"/>
      <c r="D11" s="33"/>
      <c r="E11" s="32"/>
      <c r="F11" s="37"/>
      <c r="G11" s="31"/>
      <c r="H11" s="37"/>
      <c r="I11" s="38" t="str">
        <f aca="false">IF(OR($A11="",$H11=0),"",IF(IF($E11="Mensal",1,IF($E11="Bimestral",2,IF($E11="Trimestral",3,IF($E11="Semestral",6,IF($E11="Anual",12,0)))))&gt;0,EDATE($G11,($H11-1)*IF($E11="Mensal",1,IF($E11="Bimestral",2,IF($E11="Trimestral",3,IF($E11="Semestral",6,IF($E11="Anual",12,0)))))),IF(IF($E11="Diario",1,IF($E11="Semanal",7,IF($E11="Quinzenal",15,0)))&gt;0,$G11+($H11-1)*IF($E11="Diario",1,IF($E11="Semanal",7,IF($E11="Quinzenal",15,0))),"")))</f>
        <v/>
      </c>
      <c r="J11" s="32"/>
      <c r="K11" s="32"/>
      <c r="L11" s="32"/>
      <c r="M11" s="32"/>
      <c r="N11" s="32"/>
      <c r="O11" s="32"/>
      <c r="P11" s="32"/>
      <c r="Q11" s="32"/>
      <c r="R11" s="34" t="n">
        <f aca="false">IF($A11="",0,COUNTIFS(L_RecID,$A11))</f>
        <v>0</v>
      </c>
      <c r="S11" s="34" t="n">
        <f aca="false">IF($A11="",0,COUNTIFS(L_RecID,$A11,L_Status,"REALIZADO"))</f>
        <v>0</v>
      </c>
      <c r="T11" s="34" t="n">
        <f aca="false">IF($A11="",0,COUNTIFS(L_RecID,$A11,L_Status,"PROJETADO"))</f>
        <v>0</v>
      </c>
      <c r="U11" s="38" t="str">
        <f aca="false">IF($A11="","",IFERROR(INDEX(L_Data,MATCH(1,INDEX((L_RecID=$A11)*(L_Status="PROJETADO"),0),0)),""))</f>
        <v/>
      </c>
      <c r="V11" s="32"/>
    </row>
    <row r="12" customFormat="false" ht="15" hidden="false" customHeight="false" outlineLevel="0" collapsed="false">
      <c r="A12" s="30" t="str">
        <f aca="false">IF($B12="","","REC-"&amp;TEXT(ROW()-4,"000000"))</f>
        <v/>
      </c>
      <c r="B12" s="32"/>
      <c r="C12" s="32"/>
      <c r="D12" s="33"/>
      <c r="E12" s="32"/>
      <c r="F12" s="37"/>
      <c r="G12" s="31"/>
      <c r="H12" s="37"/>
      <c r="I12" s="38" t="str">
        <f aca="false">IF(OR($A12="",$H12=0),"",IF(IF($E12="Mensal",1,IF($E12="Bimestral",2,IF($E12="Trimestral",3,IF($E12="Semestral",6,IF($E12="Anual",12,0)))))&gt;0,EDATE($G12,($H12-1)*IF($E12="Mensal",1,IF($E12="Bimestral",2,IF($E12="Trimestral",3,IF($E12="Semestral",6,IF($E12="Anual",12,0)))))),IF(IF($E12="Diario",1,IF($E12="Semanal",7,IF($E12="Quinzenal",15,0)))&gt;0,$G12+($H12-1)*IF($E12="Diario",1,IF($E12="Semanal",7,IF($E12="Quinzenal",15,0))),"")))</f>
        <v/>
      </c>
      <c r="J12" s="32"/>
      <c r="K12" s="32"/>
      <c r="L12" s="32"/>
      <c r="M12" s="32"/>
      <c r="N12" s="32"/>
      <c r="O12" s="32"/>
      <c r="P12" s="32"/>
      <c r="Q12" s="32"/>
      <c r="R12" s="34" t="n">
        <f aca="false">IF($A12="",0,COUNTIFS(L_RecID,$A12))</f>
        <v>0</v>
      </c>
      <c r="S12" s="34" t="n">
        <f aca="false">IF($A12="",0,COUNTIFS(L_RecID,$A12,L_Status,"REALIZADO"))</f>
        <v>0</v>
      </c>
      <c r="T12" s="34" t="n">
        <f aca="false">IF($A12="",0,COUNTIFS(L_RecID,$A12,L_Status,"PROJETADO"))</f>
        <v>0</v>
      </c>
      <c r="U12" s="38" t="str">
        <f aca="false">IF($A12="","",IFERROR(INDEX(L_Data,MATCH(1,INDEX((L_RecID=$A12)*(L_Status="PROJETADO"),0),0)),""))</f>
        <v/>
      </c>
      <c r="V12" s="32"/>
    </row>
    <row r="13" customFormat="false" ht="15" hidden="false" customHeight="false" outlineLevel="0" collapsed="false">
      <c r="A13" s="30" t="str">
        <f aca="false">IF($B13="","","REC-"&amp;TEXT(ROW()-4,"000000"))</f>
        <v/>
      </c>
      <c r="B13" s="32"/>
      <c r="C13" s="32"/>
      <c r="D13" s="33"/>
      <c r="E13" s="32"/>
      <c r="F13" s="37"/>
      <c r="G13" s="31"/>
      <c r="H13" s="37"/>
      <c r="I13" s="38" t="str">
        <f aca="false">IF(OR($A13="",$H13=0),"",IF(IF($E13="Mensal",1,IF($E13="Bimestral",2,IF($E13="Trimestral",3,IF($E13="Semestral",6,IF($E13="Anual",12,0)))))&gt;0,EDATE($G13,($H13-1)*IF($E13="Mensal",1,IF($E13="Bimestral",2,IF($E13="Trimestral",3,IF($E13="Semestral",6,IF($E13="Anual",12,0)))))),IF(IF($E13="Diario",1,IF($E13="Semanal",7,IF($E13="Quinzenal",15,0)))&gt;0,$G13+($H13-1)*IF($E13="Diario",1,IF($E13="Semanal",7,IF($E13="Quinzenal",15,0))),"")))</f>
        <v/>
      </c>
      <c r="J13" s="32"/>
      <c r="K13" s="32"/>
      <c r="L13" s="32"/>
      <c r="M13" s="32"/>
      <c r="N13" s="32"/>
      <c r="O13" s="32"/>
      <c r="P13" s="32"/>
      <c r="Q13" s="32"/>
      <c r="R13" s="34" t="n">
        <f aca="false">IF($A13="",0,COUNTIFS(L_RecID,$A13))</f>
        <v>0</v>
      </c>
      <c r="S13" s="34" t="n">
        <f aca="false">IF($A13="",0,COUNTIFS(L_RecID,$A13,L_Status,"REALIZADO"))</f>
        <v>0</v>
      </c>
      <c r="T13" s="34" t="n">
        <f aca="false">IF($A13="",0,COUNTIFS(L_RecID,$A13,L_Status,"PROJETADO"))</f>
        <v>0</v>
      </c>
      <c r="U13" s="38" t="str">
        <f aca="false">IF($A13="","",IFERROR(INDEX(L_Data,MATCH(1,INDEX((L_RecID=$A13)*(L_Status="PROJETADO"),0),0)),""))</f>
        <v/>
      </c>
      <c r="V13" s="32"/>
    </row>
    <row r="14" customFormat="false" ht="15" hidden="false" customHeight="false" outlineLevel="0" collapsed="false">
      <c r="A14" s="30" t="str">
        <f aca="false">IF($B14="","","REC-"&amp;TEXT(ROW()-4,"000000"))</f>
        <v/>
      </c>
      <c r="B14" s="32"/>
      <c r="C14" s="32"/>
      <c r="D14" s="33"/>
      <c r="E14" s="32"/>
      <c r="F14" s="37"/>
      <c r="G14" s="31"/>
      <c r="H14" s="37"/>
      <c r="I14" s="38" t="str">
        <f aca="false">IF(OR($A14="",$H14=0),"",IF(IF($E14="Mensal",1,IF($E14="Bimestral",2,IF($E14="Trimestral",3,IF($E14="Semestral",6,IF($E14="Anual",12,0)))))&gt;0,EDATE($G14,($H14-1)*IF($E14="Mensal",1,IF($E14="Bimestral",2,IF($E14="Trimestral",3,IF($E14="Semestral",6,IF($E14="Anual",12,0)))))),IF(IF($E14="Diario",1,IF($E14="Semanal",7,IF($E14="Quinzenal",15,0)))&gt;0,$G14+($H14-1)*IF($E14="Diario",1,IF($E14="Semanal",7,IF($E14="Quinzenal",15,0))),"")))</f>
        <v/>
      </c>
      <c r="J14" s="32"/>
      <c r="K14" s="32"/>
      <c r="L14" s="32"/>
      <c r="M14" s="32"/>
      <c r="N14" s="32"/>
      <c r="O14" s="32"/>
      <c r="P14" s="32"/>
      <c r="Q14" s="32"/>
      <c r="R14" s="34" t="n">
        <f aca="false">IF($A14="",0,COUNTIFS(L_RecID,$A14))</f>
        <v>0</v>
      </c>
      <c r="S14" s="34" t="n">
        <f aca="false">IF($A14="",0,COUNTIFS(L_RecID,$A14,L_Status,"REALIZADO"))</f>
        <v>0</v>
      </c>
      <c r="T14" s="34" t="n">
        <f aca="false">IF($A14="",0,COUNTIFS(L_RecID,$A14,L_Status,"PROJETADO"))</f>
        <v>0</v>
      </c>
      <c r="U14" s="38" t="str">
        <f aca="false">IF($A14="","",IFERROR(INDEX(L_Data,MATCH(1,INDEX((L_RecID=$A14)*(L_Status="PROJETADO"),0),0)),""))</f>
        <v/>
      </c>
      <c r="V14" s="32"/>
    </row>
    <row r="15" customFormat="false" ht="15" hidden="false" customHeight="false" outlineLevel="0" collapsed="false">
      <c r="A15" s="30" t="str">
        <f aca="false">IF($B15="","","REC-"&amp;TEXT(ROW()-4,"000000"))</f>
        <v/>
      </c>
      <c r="B15" s="32"/>
      <c r="C15" s="32"/>
      <c r="D15" s="33"/>
      <c r="E15" s="32"/>
      <c r="F15" s="37"/>
      <c r="G15" s="31"/>
      <c r="H15" s="37"/>
      <c r="I15" s="38" t="str">
        <f aca="false">IF(OR($A15="",$H15=0),"",IF(IF($E15="Mensal",1,IF($E15="Bimestral",2,IF($E15="Trimestral",3,IF($E15="Semestral",6,IF($E15="Anual",12,0)))))&gt;0,EDATE($G15,($H15-1)*IF($E15="Mensal",1,IF($E15="Bimestral",2,IF($E15="Trimestral",3,IF($E15="Semestral",6,IF($E15="Anual",12,0)))))),IF(IF($E15="Diario",1,IF($E15="Semanal",7,IF($E15="Quinzenal",15,0)))&gt;0,$G15+($H15-1)*IF($E15="Diario",1,IF($E15="Semanal",7,IF($E15="Quinzenal",15,0))),"")))</f>
        <v/>
      </c>
      <c r="J15" s="32"/>
      <c r="K15" s="32"/>
      <c r="L15" s="32"/>
      <c r="M15" s="32"/>
      <c r="N15" s="32"/>
      <c r="O15" s="32"/>
      <c r="P15" s="32"/>
      <c r="Q15" s="32"/>
      <c r="R15" s="34" t="n">
        <f aca="false">IF($A15="",0,COUNTIFS(L_RecID,$A15))</f>
        <v>0</v>
      </c>
      <c r="S15" s="34" t="n">
        <f aca="false">IF($A15="",0,COUNTIFS(L_RecID,$A15,L_Status,"REALIZADO"))</f>
        <v>0</v>
      </c>
      <c r="T15" s="34" t="n">
        <f aca="false">IF($A15="",0,COUNTIFS(L_RecID,$A15,L_Status,"PROJETADO"))</f>
        <v>0</v>
      </c>
      <c r="U15" s="38" t="str">
        <f aca="false">IF($A15="","",IFERROR(INDEX(L_Data,MATCH(1,INDEX((L_RecID=$A15)*(L_Status="PROJETADO"),0),0)),""))</f>
        <v/>
      </c>
      <c r="V15" s="32"/>
    </row>
    <row r="16" customFormat="false" ht="15" hidden="false" customHeight="false" outlineLevel="0" collapsed="false">
      <c r="A16" s="30" t="str">
        <f aca="false">IF($B16="","","REC-"&amp;TEXT(ROW()-4,"000000"))</f>
        <v/>
      </c>
      <c r="B16" s="32"/>
      <c r="C16" s="32"/>
      <c r="D16" s="33"/>
      <c r="E16" s="32"/>
      <c r="F16" s="37"/>
      <c r="G16" s="31"/>
      <c r="H16" s="37"/>
      <c r="I16" s="38" t="str">
        <f aca="false">IF(OR($A16="",$H16=0),"",IF(IF($E16="Mensal",1,IF($E16="Bimestral",2,IF($E16="Trimestral",3,IF($E16="Semestral",6,IF($E16="Anual",12,0)))))&gt;0,EDATE($G16,($H16-1)*IF($E16="Mensal",1,IF($E16="Bimestral",2,IF($E16="Trimestral",3,IF($E16="Semestral",6,IF($E16="Anual",12,0)))))),IF(IF($E16="Diario",1,IF($E16="Semanal",7,IF($E16="Quinzenal",15,0)))&gt;0,$G16+($H16-1)*IF($E16="Diario",1,IF($E16="Semanal",7,IF($E16="Quinzenal",15,0))),"")))</f>
        <v/>
      </c>
      <c r="J16" s="32"/>
      <c r="K16" s="32"/>
      <c r="L16" s="32"/>
      <c r="M16" s="32"/>
      <c r="N16" s="32"/>
      <c r="O16" s="32"/>
      <c r="P16" s="32"/>
      <c r="Q16" s="32"/>
      <c r="R16" s="34" t="n">
        <f aca="false">IF($A16="",0,COUNTIFS(L_RecID,$A16))</f>
        <v>0</v>
      </c>
      <c r="S16" s="34" t="n">
        <f aca="false">IF($A16="",0,COUNTIFS(L_RecID,$A16,L_Status,"REALIZADO"))</f>
        <v>0</v>
      </c>
      <c r="T16" s="34" t="n">
        <f aca="false">IF($A16="",0,COUNTIFS(L_RecID,$A16,L_Status,"PROJETADO"))</f>
        <v>0</v>
      </c>
      <c r="U16" s="38" t="str">
        <f aca="false">IF($A16="","",IFERROR(INDEX(L_Data,MATCH(1,INDEX((L_RecID=$A16)*(L_Status="PROJETADO"),0),0)),""))</f>
        <v/>
      </c>
      <c r="V16" s="32"/>
    </row>
    <row r="17" customFormat="false" ht="15" hidden="false" customHeight="false" outlineLevel="0" collapsed="false">
      <c r="A17" s="30" t="str">
        <f aca="false">IF($B17="","","REC-"&amp;TEXT(ROW()-4,"000000"))</f>
        <v/>
      </c>
      <c r="B17" s="32"/>
      <c r="C17" s="32"/>
      <c r="D17" s="33"/>
      <c r="E17" s="32"/>
      <c r="F17" s="37"/>
      <c r="G17" s="31"/>
      <c r="H17" s="37"/>
      <c r="I17" s="38" t="str">
        <f aca="false">IF(OR($A17="",$H17=0),"",IF(IF($E17="Mensal",1,IF($E17="Bimestral",2,IF($E17="Trimestral",3,IF($E17="Semestral",6,IF($E17="Anual",12,0)))))&gt;0,EDATE($G17,($H17-1)*IF($E17="Mensal",1,IF($E17="Bimestral",2,IF($E17="Trimestral",3,IF($E17="Semestral",6,IF($E17="Anual",12,0)))))),IF(IF($E17="Diario",1,IF($E17="Semanal",7,IF($E17="Quinzenal",15,0)))&gt;0,$G17+($H17-1)*IF($E17="Diario",1,IF($E17="Semanal",7,IF($E17="Quinzenal",15,0))),"")))</f>
        <v/>
      </c>
      <c r="J17" s="32"/>
      <c r="K17" s="32"/>
      <c r="L17" s="32"/>
      <c r="M17" s="32"/>
      <c r="N17" s="32"/>
      <c r="O17" s="32"/>
      <c r="P17" s="32"/>
      <c r="Q17" s="32"/>
      <c r="R17" s="34" t="n">
        <f aca="false">IF($A17="",0,COUNTIFS(L_RecID,$A17))</f>
        <v>0</v>
      </c>
      <c r="S17" s="34" t="n">
        <f aca="false">IF($A17="",0,COUNTIFS(L_RecID,$A17,L_Status,"REALIZADO"))</f>
        <v>0</v>
      </c>
      <c r="T17" s="34" t="n">
        <f aca="false">IF($A17="",0,COUNTIFS(L_RecID,$A17,L_Status,"PROJETADO"))</f>
        <v>0</v>
      </c>
      <c r="U17" s="38" t="str">
        <f aca="false">IF($A17="","",IFERROR(INDEX(L_Data,MATCH(1,INDEX((L_RecID=$A17)*(L_Status="PROJETADO"),0),0)),""))</f>
        <v/>
      </c>
      <c r="V17" s="32"/>
    </row>
    <row r="18" customFormat="false" ht="15" hidden="false" customHeight="false" outlineLevel="0" collapsed="false">
      <c r="A18" s="30" t="str">
        <f aca="false">IF($B18="","","REC-"&amp;TEXT(ROW()-4,"000000"))</f>
        <v/>
      </c>
      <c r="B18" s="32"/>
      <c r="C18" s="32"/>
      <c r="D18" s="33"/>
      <c r="E18" s="32"/>
      <c r="F18" s="37"/>
      <c r="G18" s="31"/>
      <c r="H18" s="37"/>
      <c r="I18" s="38" t="str">
        <f aca="false">IF(OR($A18="",$H18=0),"",IF(IF($E18="Mensal",1,IF($E18="Bimestral",2,IF($E18="Trimestral",3,IF($E18="Semestral",6,IF($E18="Anual",12,0)))))&gt;0,EDATE($G18,($H18-1)*IF($E18="Mensal",1,IF($E18="Bimestral",2,IF($E18="Trimestral",3,IF($E18="Semestral",6,IF($E18="Anual",12,0)))))),IF(IF($E18="Diario",1,IF($E18="Semanal",7,IF($E18="Quinzenal",15,0)))&gt;0,$G18+($H18-1)*IF($E18="Diario",1,IF($E18="Semanal",7,IF($E18="Quinzenal",15,0))),"")))</f>
        <v/>
      </c>
      <c r="J18" s="32"/>
      <c r="K18" s="32"/>
      <c r="L18" s="32"/>
      <c r="M18" s="32"/>
      <c r="N18" s="32"/>
      <c r="O18" s="32"/>
      <c r="P18" s="32"/>
      <c r="Q18" s="32"/>
      <c r="R18" s="34" t="n">
        <f aca="false">IF($A18="",0,COUNTIFS(L_RecID,$A18))</f>
        <v>0</v>
      </c>
      <c r="S18" s="34" t="n">
        <f aca="false">IF($A18="",0,COUNTIFS(L_RecID,$A18,L_Status,"REALIZADO"))</f>
        <v>0</v>
      </c>
      <c r="T18" s="34" t="n">
        <f aca="false">IF($A18="",0,COUNTIFS(L_RecID,$A18,L_Status,"PROJETADO"))</f>
        <v>0</v>
      </c>
      <c r="U18" s="38" t="str">
        <f aca="false">IF($A18="","",IFERROR(INDEX(L_Data,MATCH(1,INDEX((L_RecID=$A18)*(L_Status="PROJETADO"),0),0)),""))</f>
        <v/>
      </c>
      <c r="V18" s="32"/>
    </row>
    <row r="19" customFormat="false" ht="15" hidden="false" customHeight="false" outlineLevel="0" collapsed="false">
      <c r="A19" s="30" t="str">
        <f aca="false">IF($B19="","","REC-"&amp;TEXT(ROW()-4,"000000"))</f>
        <v/>
      </c>
      <c r="B19" s="32"/>
      <c r="C19" s="32"/>
      <c r="D19" s="33"/>
      <c r="E19" s="32"/>
      <c r="F19" s="37"/>
      <c r="G19" s="31"/>
      <c r="H19" s="37"/>
      <c r="I19" s="38" t="str">
        <f aca="false">IF(OR($A19="",$H19=0),"",IF(IF($E19="Mensal",1,IF($E19="Bimestral",2,IF($E19="Trimestral",3,IF($E19="Semestral",6,IF($E19="Anual",12,0)))))&gt;0,EDATE($G19,($H19-1)*IF($E19="Mensal",1,IF($E19="Bimestral",2,IF($E19="Trimestral",3,IF($E19="Semestral",6,IF($E19="Anual",12,0)))))),IF(IF($E19="Diario",1,IF($E19="Semanal",7,IF($E19="Quinzenal",15,0)))&gt;0,$G19+($H19-1)*IF($E19="Diario",1,IF($E19="Semanal",7,IF($E19="Quinzenal",15,0))),"")))</f>
        <v/>
      </c>
      <c r="J19" s="32"/>
      <c r="K19" s="32"/>
      <c r="L19" s="32"/>
      <c r="M19" s="32"/>
      <c r="N19" s="32"/>
      <c r="O19" s="32"/>
      <c r="P19" s="32"/>
      <c r="Q19" s="32"/>
      <c r="R19" s="34" t="n">
        <f aca="false">IF($A19="",0,COUNTIFS(L_RecID,$A19))</f>
        <v>0</v>
      </c>
      <c r="S19" s="34" t="n">
        <f aca="false">IF($A19="",0,COUNTIFS(L_RecID,$A19,L_Status,"REALIZADO"))</f>
        <v>0</v>
      </c>
      <c r="T19" s="34" t="n">
        <f aca="false">IF($A19="",0,COUNTIFS(L_RecID,$A19,L_Status,"PROJETADO"))</f>
        <v>0</v>
      </c>
      <c r="U19" s="38" t="str">
        <f aca="false">IF($A19="","",IFERROR(INDEX(L_Data,MATCH(1,INDEX((L_RecID=$A19)*(L_Status="PROJETADO"),0),0)),""))</f>
        <v/>
      </c>
      <c r="V19" s="32"/>
    </row>
    <row r="20" customFormat="false" ht="15" hidden="false" customHeight="false" outlineLevel="0" collapsed="false">
      <c r="A20" s="30" t="str">
        <f aca="false">IF($B20="","","REC-"&amp;TEXT(ROW()-4,"000000"))</f>
        <v/>
      </c>
      <c r="B20" s="32"/>
      <c r="C20" s="32"/>
      <c r="D20" s="33"/>
      <c r="E20" s="32"/>
      <c r="F20" s="37"/>
      <c r="G20" s="31"/>
      <c r="H20" s="37"/>
      <c r="I20" s="38" t="str">
        <f aca="false">IF(OR($A20="",$H20=0),"",IF(IF($E20="Mensal",1,IF($E20="Bimestral",2,IF($E20="Trimestral",3,IF($E20="Semestral",6,IF($E20="Anual",12,0)))))&gt;0,EDATE($G20,($H20-1)*IF($E20="Mensal",1,IF($E20="Bimestral",2,IF($E20="Trimestral",3,IF($E20="Semestral",6,IF($E20="Anual",12,0)))))),IF(IF($E20="Diario",1,IF($E20="Semanal",7,IF($E20="Quinzenal",15,0)))&gt;0,$G20+($H20-1)*IF($E20="Diario",1,IF($E20="Semanal",7,IF($E20="Quinzenal",15,0))),"")))</f>
        <v/>
      </c>
      <c r="J20" s="32"/>
      <c r="K20" s="32"/>
      <c r="L20" s="32"/>
      <c r="M20" s="32"/>
      <c r="N20" s="32"/>
      <c r="O20" s="32"/>
      <c r="P20" s="32"/>
      <c r="Q20" s="32"/>
      <c r="R20" s="34" t="n">
        <f aca="false">IF($A20="",0,COUNTIFS(L_RecID,$A20))</f>
        <v>0</v>
      </c>
      <c r="S20" s="34" t="n">
        <f aca="false">IF($A20="",0,COUNTIFS(L_RecID,$A20,L_Status,"REALIZADO"))</f>
        <v>0</v>
      </c>
      <c r="T20" s="34" t="n">
        <f aca="false">IF($A20="",0,COUNTIFS(L_RecID,$A20,L_Status,"PROJETADO"))</f>
        <v>0</v>
      </c>
      <c r="U20" s="38" t="str">
        <f aca="false">IF($A20="","",IFERROR(INDEX(L_Data,MATCH(1,INDEX((L_RecID=$A20)*(L_Status="PROJETADO"),0),0)),""))</f>
        <v/>
      </c>
      <c r="V20" s="32"/>
    </row>
    <row r="21" customFormat="false" ht="15" hidden="false" customHeight="false" outlineLevel="0" collapsed="false">
      <c r="A21" s="30" t="str">
        <f aca="false">IF($B21="","","REC-"&amp;TEXT(ROW()-4,"000000"))</f>
        <v/>
      </c>
      <c r="B21" s="32"/>
      <c r="C21" s="32"/>
      <c r="D21" s="33"/>
      <c r="E21" s="32"/>
      <c r="F21" s="37"/>
      <c r="G21" s="31"/>
      <c r="H21" s="37"/>
      <c r="I21" s="38" t="str">
        <f aca="false">IF(OR($A21="",$H21=0),"",IF(IF($E21="Mensal",1,IF($E21="Bimestral",2,IF($E21="Trimestral",3,IF($E21="Semestral",6,IF($E21="Anual",12,0)))))&gt;0,EDATE($G21,($H21-1)*IF($E21="Mensal",1,IF($E21="Bimestral",2,IF($E21="Trimestral",3,IF($E21="Semestral",6,IF($E21="Anual",12,0)))))),IF(IF($E21="Diario",1,IF($E21="Semanal",7,IF($E21="Quinzenal",15,0)))&gt;0,$G21+($H21-1)*IF($E21="Diario",1,IF($E21="Semanal",7,IF($E21="Quinzenal",15,0))),"")))</f>
        <v/>
      </c>
      <c r="J21" s="32"/>
      <c r="K21" s="32"/>
      <c r="L21" s="32"/>
      <c r="M21" s="32"/>
      <c r="N21" s="32"/>
      <c r="O21" s="32"/>
      <c r="P21" s="32"/>
      <c r="Q21" s="32"/>
      <c r="R21" s="34" t="n">
        <f aca="false">IF($A21="",0,COUNTIFS(L_RecID,$A21))</f>
        <v>0</v>
      </c>
      <c r="S21" s="34" t="n">
        <f aca="false">IF($A21="",0,COUNTIFS(L_RecID,$A21,L_Status,"REALIZADO"))</f>
        <v>0</v>
      </c>
      <c r="T21" s="34" t="n">
        <f aca="false">IF($A21="",0,COUNTIFS(L_RecID,$A21,L_Status,"PROJETADO"))</f>
        <v>0</v>
      </c>
      <c r="U21" s="38" t="str">
        <f aca="false">IF($A21="","",IFERROR(INDEX(L_Data,MATCH(1,INDEX((L_RecID=$A21)*(L_Status="PROJETADO"),0),0)),""))</f>
        <v/>
      </c>
      <c r="V21" s="32"/>
    </row>
    <row r="22" customFormat="false" ht="15" hidden="false" customHeight="false" outlineLevel="0" collapsed="false">
      <c r="A22" s="30" t="str">
        <f aca="false">IF($B22="","","REC-"&amp;TEXT(ROW()-4,"000000"))</f>
        <v/>
      </c>
      <c r="B22" s="32"/>
      <c r="C22" s="32"/>
      <c r="D22" s="33"/>
      <c r="E22" s="32"/>
      <c r="F22" s="37"/>
      <c r="G22" s="31"/>
      <c r="H22" s="37"/>
      <c r="I22" s="38" t="str">
        <f aca="false">IF(OR($A22="",$H22=0),"",IF(IF($E22="Mensal",1,IF($E22="Bimestral",2,IF($E22="Trimestral",3,IF($E22="Semestral",6,IF($E22="Anual",12,0)))))&gt;0,EDATE($G22,($H22-1)*IF($E22="Mensal",1,IF($E22="Bimestral",2,IF($E22="Trimestral",3,IF($E22="Semestral",6,IF($E22="Anual",12,0)))))),IF(IF($E22="Diario",1,IF($E22="Semanal",7,IF($E22="Quinzenal",15,0)))&gt;0,$G22+($H22-1)*IF($E22="Diario",1,IF($E22="Semanal",7,IF($E22="Quinzenal",15,0))),"")))</f>
        <v/>
      </c>
      <c r="J22" s="32"/>
      <c r="K22" s="32"/>
      <c r="L22" s="32"/>
      <c r="M22" s="32"/>
      <c r="N22" s="32"/>
      <c r="O22" s="32"/>
      <c r="P22" s="32"/>
      <c r="Q22" s="32"/>
      <c r="R22" s="34" t="n">
        <f aca="false">IF($A22="",0,COUNTIFS(L_RecID,$A22))</f>
        <v>0</v>
      </c>
      <c r="S22" s="34" t="n">
        <f aca="false">IF($A22="",0,COUNTIFS(L_RecID,$A22,L_Status,"REALIZADO"))</f>
        <v>0</v>
      </c>
      <c r="T22" s="34" t="n">
        <f aca="false">IF($A22="",0,COUNTIFS(L_RecID,$A22,L_Status,"PROJETADO"))</f>
        <v>0</v>
      </c>
      <c r="U22" s="38" t="str">
        <f aca="false">IF($A22="","",IFERROR(INDEX(L_Data,MATCH(1,INDEX((L_RecID=$A22)*(L_Status="PROJETADO"),0),0)),""))</f>
        <v/>
      </c>
      <c r="V22" s="32"/>
    </row>
    <row r="23" customFormat="false" ht="15" hidden="false" customHeight="false" outlineLevel="0" collapsed="false">
      <c r="A23" s="30" t="str">
        <f aca="false">IF($B23="","","REC-"&amp;TEXT(ROW()-4,"000000"))</f>
        <v/>
      </c>
      <c r="B23" s="32"/>
      <c r="C23" s="32"/>
      <c r="D23" s="33"/>
      <c r="E23" s="32"/>
      <c r="F23" s="37"/>
      <c r="G23" s="31"/>
      <c r="H23" s="37"/>
      <c r="I23" s="38" t="str">
        <f aca="false">IF(OR($A23="",$H23=0),"",IF(IF($E23="Mensal",1,IF($E23="Bimestral",2,IF($E23="Trimestral",3,IF($E23="Semestral",6,IF($E23="Anual",12,0)))))&gt;0,EDATE($G23,($H23-1)*IF($E23="Mensal",1,IF($E23="Bimestral",2,IF($E23="Trimestral",3,IF($E23="Semestral",6,IF($E23="Anual",12,0)))))),IF(IF($E23="Diario",1,IF($E23="Semanal",7,IF($E23="Quinzenal",15,0)))&gt;0,$G23+($H23-1)*IF($E23="Diario",1,IF($E23="Semanal",7,IF($E23="Quinzenal",15,0))),"")))</f>
        <v/>
      </c>
      <c r="J23" s="32"/>
      <c r="K23" s="32"/>
      <c r="L23" s="32"/>
      <c r="M23" s="32"/>
      <c r="N23" s="32"/>
      <c r="O23" s="32"/>
      <c r="P23" s="32"/>
      <c r="Q23" s="32"/>
      <c r="R23" s="34" t="n">
        <f aca="false">IF($A23="",0,COUNTIFS(L_RecID,$A23))</f>
        <v>0</v>
      </c>
      <c r="S23" s="34" t="n">
        <f aca="false">IF($A23="",0,COUNTIFS(L_RecID,$A23,L_Status,"REALIZADO"))</f>
        <v>0</v>
      </c>
      <c r="T23" s="34" t="n">
        <f aca="false">IF($A23="",0,COUNTIFS(L_RecID,$A23,L_Status,"PROJETADO"))</f>
        <v>0</v>
      </c>
      <c r="U23" s="38" t="str">
        <f aca="false">IF($A23="","",IFERROR(INDEX(L_Data,MATCH(1,INDEX((L_RecID=$A23)*(L_Status="PROJETADO"),0),0)),""))</f>
        <v/>
      </c>
      <c r="V23" s="32"/>
    </row>
    <row r="24" customFormat="false" ht="15" hidden="false" customHeight="false" outlineLevel="0" collapsed="false">
      <c r="A24" s="30" t="str">
        <f aca="false">IF($B24="","","REC-"&amp;TEXT(ROW()-4,"000000"))</f>
        <v/>
      </c>
      <c r="B24" s="32"/>
      <c r="C24" s="32"/>
      <c r="D24" s="33"/>
      <c r="E24" s="32"/>
      <c r="F24" s="37"/>
      <c r="G24" s="31"/>
      <c r="H24" s="37"/>
      <c r="I24" s="38" t="str">
        <f aca="false">IF(OR($A24="",$H24=0),"",IF(IF($E24="Mensal",1,IF($E24="Bimestral",2,IF($E24="Trimestral",3,IF($E24="Semestral",6,IF($E24="Anual",12,0)))))&gt;0,EDATE($G24,($H24-1)*IF($E24="Mensal",1,IF($E24="Bimestral",2,IF($E24="Trimestral",3,IF($E24="Semestral",6,IF($E24="Anual",12,0)))))),IF(IF($E24="Diario",1,IF($E24="Semanal",7,IF($E24="Quinzenal",15,0)))&gt;0,$G24+($H24-1)*IF($E24="Diario",1,IF($E24="Semanal",7,IF($E24="Quinzenal",15,0))),"")))</f>
        <v/>
      </c>
      <c r="J24" s="32"/>
      <c r="K24" s="32"/>
      <c r="L24" s="32"/>
      <c r="M24" s="32"/>
      <c r="N24" s="32"/>
      <c r="O24" s="32"/>
      <c r="P24" s="32"/>
      <c r="Q24" s="32"/>
      <c r="R24" s="34" t="n">
        <f aca="false">IF($A24="",0,COUNTIFS(L_RecID,$A24))</f>
        <v>0</v>
      </c>
      <c r="S24" s="34" t="n">
        <f aca="false">IF($A24="",0,COUNTIFS(L_RecID,$A24,L_Status,"REALIZADO"))</f>
        <v>0</v>
      </c>
      <c r="T24" s="34" t="n">
        <f aca="false">IF($A24="",0,COUNTIFS(L_RecID,$A24,L_Status,"PROJETADO"))</f>
        <v>0</v>
      </c>
      <c r="U24" s="38" t="str">
        <f aca="false">IF($A24="","",IFERROR(INDEX(L_Data,MATCH(1,INDEX((L_RecID=$A24)*(L_Status="PROJETADO"),0),0)),""))</f>
        <v/>
      </c>
      <c r="V24" s="32"/>
    </row>
    <row r="25" customFormat="false" ht="15" hidden="false" customHeight="false" outlineLevel="0" collapsed="false">
      <c r="A25" s="30" t="str">
        <f aca="false">IF($B25="","","REC-"&amp;TEXT(ROW()-4,"000000"))</f>
        <v/>
      </c>
      <c r="B25" s="32"/>
      <c r="C25" s="32"/>
      <c r="D25" s="33"/>
      <c r="E25" s="32"/>
      <c r="F25" s="37"/>
      <c r="G25" s="31"/>
      <c r="H25" s="37"/>
      <c r="I25" s="38" t="str">
        <f aca="false">IF(OR($A25="",$H25=0),"",IF(IF($E25="Mensal",1,IF($E25="Bimestral",2,IF($E25="Trimestral",3,IF($E25="Semestral",6,IF($E25="Anual",12,0)))))&gt;0,EDATE($G25,($H25-1)*IF($E25="Mensal",1,IF($E25="Bimestral",2,IF($E25="Trimestral",3,IF($E25="Semestral",6,IF($E25="Anual",12,0)))))),IF(IF($E25="Diario",1,IF($E25="Semanal",7,IF($E25="Quinzenal",15,0)))&gt;0,$G25+($H25-1)*IF($E25="Diario",1,IF($E25="Semanal",7,IF($E25="Quinzenal",15,0))),"")))</f>
        <v/>
      </c>
      <c r="J25" s="32"/>
      <c r="K25" s="32"/>
      <c r="L25" s="32"/>
      <c r="M25" s="32"/>
      <c r="N25" s="32"/>
      <c r="O25" s="32"/>
      <c r="P25" s="32"/>
      <c r="Q25" s="32"/>
      <c r="R25" s="34" t="n">
        <f aca="false">IF($A25="",0,COUNTIFS(L_RecID,$A25))</f>
        <v>0</v>
      </c>
      <c r="S25" s="34" t="n">
        <f aca="false">IF($A25="",0,COUNTIFS(L_RecID,$A25,L_Status,"REALIZADO"))</f>
        <v>0</v>
      </c>
      <c r="T25" s="34" t="n">
        <f aca="false">IF($A25="",0,COUNTIFS(L_RecID,$A25,L_Status,"PROJETADO"))</f>
        <v>0</v>
      </c>
      <c r="U25" s="38" t="str">
        <f aca="false">IF($A25="","",IFERROR(INDEX(L_Data,MATCH(1,INDEX((L_RecID=$A25)*(L_Status="PROJETADO"),0),0)),""))</f>
        <v/>
      </c>
      <c r="V25" s="32"/>
    </row>
    <row r="26" customFormat="false" ht="15" hidden="false" customHeight="false" outlineLevel="0" collapsed="false">
      <c r="A26" s="30" t="str">
        <f aca="false">IF($B26="","","REC-"&amp;TEXT(ROW()-4,"000000"))</f>
        <v/>
      </c>
      <c r="B26" s="32"/>
      <c r="C26" s="32"/>
      <c r="D26" s="33"/>
      <c r="E26" s="32"/>
      <c r="F26" s="37"/>
      <c r="G26" s="31"/>
      <c r="H26" s="37"/>
      <c r="I26" s="38" t="str">
        <f aca="false">IF(OR($A26="",$H26=0),"",IF(IF($E26="Mensal",1,IF($E26="Bimestral",2,IF($E26="Trimestral",3,IF($E26="Semestral",6,IF($E26="Anual",12,0)))))&gt;0,EDATE($G26,($H26-1)*IF($E26="Mensal",1,IF($E26="Bimestral",2,IF($E26="Trimestral",3,IF($E26="Semestral",6,IF($E26="Anual",12,0)))))),IF(IF($E26="Diario",1,IF($E26="Semanal",7,IF($E26="Quinzenal",15,0)))&gt;0,$G26+($H26-1)*IF($E26="Diario",1,IF($E26="Semanal",7,IF($E26="Quinzenal",15,0))),"")))</f>
        <v/>
      </c>
      <c r="J26" s="32"/>
      <c r="K26" s="32"/>
      <c r="L26" s="32"/>
      <c r="M26" s="32"/>
      <c r="N26" s="32"/>
      <c r="O26" s="32"/>
      <c r="P26" s="32"/>
      <c r="Q26" s="32"/>
      <c r="R26" s="34" t="n">
        <f aca="false">IF($A26="",0,COUNTIFS(L_RecID,$A26))</f>
        <v>0</v>
      </c>
      <c r="S26" s="34" t="n">
        <f aca="false">IF($A26="",0,COUNTIFS(L_RecID,$A26,L_Status,"REALIZADO"))</f>
        <v>0</v>
      </c>
      <c r="T26" s="34" t="n">
        <f aca="false">IF($A26="",0,COUNTIFS(L_RecID,$A26,L_Status,"PROJETADO"))</f>
        <v>0</v>
      </c>
      <c r="U26" s="38" t="str">
        <f aca="false">IF($A26="","",IFERROR(INDEX(L_Data,MATCH(1,INDEX((L_RecID=$A26)*(L_Status="PROJETADO"),0),0)),""))</f>
        <v/>
      </c>
      <c r="V26" s="32"/>
    </row>
    <row r="27" customFormat="false" ht="15" hidden="false" customHeight="false" outlineLevel="0" collapsed="false">
      <c r="A27" s="30" t="str">
        <f aca="false">IF($B27="","","REC-"&amp;TEXT(ROW()-4,"000000"))</f>
        <v/>
      </c>
      <c r="B27" s="32"/>
      <c r="C27" s="32"/>
      <c r="D27" s="33"/>
      <c r="E27" s="32"/>
      <c r="F27" s="37"/>
      <c r="G27" s="31"/>
      <c r="H27" s="37"/>
      <c r="I27" s="38" t="str">
        <f aca="false">IF(OR($A27="",$H27=0),"",IF(IF($E27="Mensal",1,IF($E27="Bimestral",2,IF($E27="Trimestral",3,IF($E27="Semestral",6,IF($E27="Anual",12,0)))))&gt;0,EDATE($G27,($H27-1)*IF($E27="Mensal",1,IF($E27="Bimestral",2,IF($E27="Trimestral",3,IF($E27="Semestral",6,IF($E27="Anual",12,0)))))),IF(IF($E27="Diario",1,IF($E27="Semanal",7,IF($E27="Quinzenal",15,0)))&gt;0,$G27+($H27-1)*IF($E27="Diario",1,IF($E27="Semanal",7,IF($E27="Quinzenal",15,0))),"")))</f>
        <v/>
      </c>
      <c r="J27" s="32"/>
      <c r="K27" s="32"/>
      <c r="L27" s="32"/>
      <c r="M27" s="32"/>
      <c r="N27" s="32"/>
      <c r="O27" s="32"/>
      <c r="P27" s="32"/>
      <c r="Q27" s="32"/>
      <c r="R27" s="34" t="n">
        <f aca="false">IF($A27="",0,COUNTIFS(L_RecID,$A27))</f>
        <v>0</v>
      </c>
      <c r="S27" s="34" t="n">
        <f aca="false">IF($A27="",0,COUNTIFS(L_RecID,$A27,L_Status,"REALIZADO"))</f>
        <v>0</v>
      </c>
      <c r="T27" s="34" t="n">
        <f aca="false">IF($A27="",0,COUNTIFS(L_RecID,$A27,L_Status,"PROJETADO"))</f>
        <v>0</v>
      </c>
      <c r="U27" s="38" t="str">
        <f aca="false">IF($A27="","",IFERROR(INDEX(L_Data,MATCH(1,INDEX((L_RecID=$A27)*(L_Status="PROJETADO"),0),0)),""))</f>
        <v/>
      </c>
      <c r="V27" s="32"/>
    </row>
    <row r="28" customFormat="false" ht="15" hidden="false" customHeight="false" outlineLevel="0" collapsed="false">
      <c r="A28" s="30" t="str">
        <f aca="false">IF($B28="","","REC-"&amp;TEXT(ROW()-4,"000000"))</f>
        <v/>
      </c>
      <c r="B28" s="32"/>
      <c r="C28" s="32"/>
      <c r="D28" s="33"/>
      <c r="E28" s="32"/>
      <c r="F28" s="37"/>
      <c r="G28" s="31"/>
      <c r="H28" s="37"/>
      <c r="I28" s="38" t="str">
        <f aca="false">IF(OR($A28="",$H28=0),"",IF(IF($E28="Mensal",1,IF($E28="Bimestral",2,IF($E28="Trimestral",3,IF($E28="Semestral",6,IF($E28="Anual",12,0)))))&gt;0,EDATE($G28,($H28-1)*IF($E28="Mensal",1,IF($E28="Bimestral",2,IF($E28="Trimestral",3,IF($E28="Semestral",6,IF($E28="Anual",12,0)))))),IF(IF($E28="Diario",1,IF($E28="Semanal",7,IF($E28="Quinzenal",15,0)))&gt;0,$G28+($H28-1)*IF($E28="Diario",1,IF($E28="Semanal",7,IF($E28="Quinzenal",15,0))),"")))</f>
        <v/>
      </c>
      <c r="J28" s="32"/>
      <c r="K28" s="32"/>
      <c r="L28" s="32"/>
      <c r="M28" s="32"/>
      <c r="N28" s="32"/>
      <c r="O28" s="32"/>
      <c r="P28" s="32"/>
      <c r="Q28" s="32"/>
      <c r="R28" s="34" t="n">
        <f aca="false">IF($A28="",0,COUNTIFS(L_RecID,$A28))</f>
        <v>0</v>
      </c>
      <c r="S28" s="34" t="n">
        <f aca="false">IF($A28="",0,COUNTIFS(L_RecID,$A28,L_Status,"REALIZADO"))</f>
        <v>0</v>
      </c>
      <c r="T28" s="34" t="n">
        <f aca="false">IF($A28="",0,COUNTIFS(L_RecID,$A28,L_Status,"PROJETADO"))</f>
        <v>0</v>
      </c>
      <c r="U28" s="38" t="str">
        <f aca="false">IF($A28="","",IFERROR(INDEX(L_Data,MATCH(1,INDEX((L_RecID=$A28)*(L_Status="PROJETADO"),0),0)),""))</f>
        <v/>
      </c>
      <c r="V28" s="32"/>
    </row>
    <row r="29" customFormat="false" ht="15" hidden="false" customHeight="false" outlineLevel="0" collapsed="false">
      <c r="A29" s="30" t="str">
        <f aca="false">IF($B29="","","REC-"&amp;TEXT(ROW()-4,"000000"))</f>
        <v/>
      </c>
      <c r="B29" s="32"/>
      <c r="C29" s="32"/>
      <c r="D29" s="33"/>
      <c r="E29" s="32"/>
      <c r="F29" s="37"/>
      <c r="G29" s="31"/>
      <c r="H29" s="37"/>
      <c r="I29" s="38" t="str">
        <f aca="false">IF(OR($A29="",$H29=0),"",IF(IF($E29="Mensal",1,IF($E29="Bimestral",2,IF($E29="Trimestral",3,IF($E29="Semestral",6,IF($E29="Anual",12,0)))))&gt;0,EDATE($G29,($H29-1)*IF($E29="Mensal",1,IF($E29="Bimestral",2,IF($E29="Trimestral",3,IF($E29="Semestral",6,IF($E29="Anual",12,0)))))),IF(IF($E29="Diario",1,IF($E29="Semanal",7,IF($E29="Quinzenal",15,0)))&gt;0,$G29+($H29-1)*IF($E29="Diario",1,IF($E29="Semanal",7,IF($E29="Quinzenal",15,0))),"")))</f>
        <v/>
      </c>
      <c r="J29" s="32"/>
      <c r="K29" s="32"/>
      <c r="L29" s="32"/>
      <c r="M29" s="32"/>
      <c r="N29" s="32"/>
      <c r="O29" s="32"/>
      <c r="P29" s="32"/>
      <c r="Q29" s="32"/>
      <c r="R29" s="34" t="n">
        <f aca="false">IF($A29="",0,COUNTIFS(L_RecID,$A29))</f>
        <v>0</v>
      </c>
      <c r="S29" s="34" t="n">
        <f aca="false">IF($A29="",0,COUNTIFS(L_RecID,$A29,L_Status,"REALIZADO"))</f>
        <v>0</v>
      </c>
      <c r="T29" s="34" t="n">
        <f aca="false">IF($A29="",0,COUNTIFS(L_RecID,$A29,L_Status,"PROJETADO"))</f>
        <v>0</v>
      </c>
      <c r="U29" s="38" t="str">
        <f aca="false">IF($A29="","",IFERROR(INDEX(L_Data,MATCH(1,INDEX((L_RecID=$A29)*(L_Status="PROJETADO"),0),0)),""))</f>
        <v/>
      </c>
      <c r="V29" s="32"/>
    </row>
    <row r="30" customFormat="false" ht="15" hidden="false" customHeight="false" outlineLevel="0" collapsed="false">
      <c r="A30" s="30" t="str">
        <f aca="false">IF($B30="","","REC-"&amp;TEXT(ROW()-4,"000000"))</f>
        <v/>
      </c>
      <c r="B30" s="32"/>
      <c r="C30" s="32"/>
      <c r="D30" s="33"/>
      <c r="E30" s="32"/>
      <c r="F30" s="37"/>
      <c r="G30" s="31"/>
      <c r="H30" s="37"/>
      <c r="I30" s="38" t="str">
        <f aca="false">IF(OR($A30="",$H30=0),"",IF(IF($E30="Mensal",1,IF($E30="Bimestral",2,IF($E30="Trimestral",3,IF($E30="Semestral",6,IF($E30="Anual",12,0)))))&gt;0,EDATE($G30,($H30-1)*IF($E30="Mensal",1,IF($E30="Bimestral",2,IF($E30="Trimestral",3,IF($E30="Semestral",6,IF($E30="Anual",12,0)))))),IF(IF($E30="Diario",1,IF($E30="Semanal",7,IF($E30="Quinzenal",15,0)))&gt;0,$G30+($H30-1)*IF($E30="Diario",1,IF($E30="Semanal",7,IF($E30="Quinzenal",15,0))),"")))</f>
        <v/>
      </c>
      <c r="J30" s="32"/>
      <c r="K30" s="32"/>
      <c r="L30" s="32"/>
      <c r="M30" s="32"/>
      <c r="N30" s="32"/>
      <c r="O30" s="32"/>
      <c r="P30" s="32"/>
      <c r="Q30" s="32"/>
      <c r="R30" s="34" t="n">
        <f aca="false">IF($A30="",0,COUNTIFS(L_RecID,$A30))</f>
        <v>0</v>
      </c>
      <c r="S30" s="34" t="n">
        <f aca="false">IF($A30="",0,COUNTIFS(L_RecID,$A30,L_Status,"REALIZADO"))</f>
        <v>0</v>
      </c>
      <c r="T30" s="34" t="n">
        <f aca="false">IF($A30="",0,COUNTIFS(L_RecID,$A30,L_Status,"PROJETADO"))</f>
        <v>0</v>
      </c>
      <c r="U30" s="38" t="str">
        <f aca="false">IF($A30="","",IFERROR(INDEX(L_Data,MATCH(1,INDEX((L_RecID=$A30)*(L_Status="PROJETADO"),0),0)),""))</f>
        <v/>
      </c>
      <c r="V30" s="32"/>
    </row>
    <row r="31" customFormat="false" ht="15" hidden="false" customHeight="false" outlineLevel="0" collapsed="false">
      <c r="A31" s="30" t="str">
        <f aca="false">IF($B31="","","REC-"&amp;TEXT(ROW()-4,"000000"))</f>
        <v/>
      </c>
      <c r="B31" s="32"/>
      <c r="C31" s="32"/>
      <c r="D31" s="33"/>
      <c r="E31" s="32"/>
      <c r="F31" s="37"/>
      <c r="G31" s="31"/>
      <c r="H31" s="37"/>
      <c r="I31" s="38" t="str">
        <f aca="false">IF(OR($A31="",$H31=0),"",IF(IF($E31="Mensal",1,IF($E31="Bimestral",2,IF($E31="Trimestral",3,IF($E31="Semestral",6,IF($E31="Anual",12,0)))))&gt;0,EDATE($G31,($H31-1)*IF($E31="Mensal",1,IF($E31="Bimestral",2,IF($E31="Trimestral",3,IF($E31="Semestral",6,IF($E31="Anual",12,0)))))),IF(IF($E31="Diario",1,IF($E31="Semanal",7,IF($E31="Quinzenal",15,0)))&gt;0,$G31+($H31-1)*IF($E31="Diario",1,IF($E31="Semanal",7,IF($E31="Quinzenal",15,0))),"")))</f>
        <v/>
      </c>
      <c r="J31" s="32"/>
      <c r="K31" s="32"/>
      <c r="L31" s="32"/>
      <c r="M31" s="32"/>
      <c r="N31" s="32"/>
      <c r="O31" s="32"/>
      <c r="P31" s="32"/>
      <c r="Q31" s="32"/>
      <c r="R31" s="34" t="n">
        <f aca="false">IF($A31="",0,COUNTIFS(L_RecID,$A31))</f>
        <v>0</v>
      </c>
      <c r="S31" s="34" t="n">
        <f aca="false">IF($A31="",0,COUNTIFS(L_RecID,$A31,L_Status,"REALIZADO"))</f>
        <v>0</v>
      </c>
      <c r="T31" s="34" t="n">
        <f aca="false">IF($A31="",0,COUNTIFS(L_RecID,$A31,L_Status,"PROJETADO"))</f>
        <v>0</v>
      </c>
      <c r="U31" s="38" t="str">
        <f aca="false">IF($A31="","",IFERROR(INDEX(L_Data,MATCH(1,INDEX((L_RecID=$A31)*(L_Status="PROJETADO"),0),0)),""))</f>
        <v/>
      </c>
      <c r="V31" s="32"/>
    </row>
    <row r="32" customFormat="false" ht="15" hidden="false" customHeight="false" outlineLevel="0" collapsed="false">
      <c r="A32" s="30" t="str">
        <f aca="false">IF($B32="","","REC-"&amp;TEXT(ROW()-4,"000000"))</f>
        <v/>
      </c>
      <c r="B32" s="32"/>
      <c r="C32" s="32"/>
      <c r="D32" s="33"/>
      <c r="E32" s="32"/>
      <c r="F32" s="37"/>
      <c r="G32" s="31"/>
      <c r="H32" s="37"/>
      <c r="I32" s="38" t="str">
        <f aca="false">IF(OR($A32="",$H32=0),"",IF(IF($E32="Mensal",1,IF($E32="Bimestral",2,IF($E32="Trimestral",3,IF($E32="Semestral",6,IF($E32="Anual",12,0)))))&gt;0,EDATE($G32,($H32-1)*IF($E32="Mensal",1,IF($E32="Bimestral",2,IF($E32="Trimestral",3,IF($E32="Semestral",6,IF($E32="Anual",12,0)))))),IF(IF($E32="Diario",1,IF($E32="Semanal",7,IF($E32="Quinzenal",15,0)))&gt;0,$G32+($H32-1)*IF($E32="Diario",1,IF($E32="Semanal",7,IF($E32="Quinzenal",15,0))),"")))</f>
        <v/>
      </c>
      <c r="J32" s="32"/>
      <c r="K32" s="32"/>
      <c r="L32" s="32"/>
      <c r="M32" s="32"/>
      <c r="N32" s="32"/>
      <c r="O32" s="32"/>
      <c r="P32" s="32"/>
      <c r="Q32" s="32"/>
      <c r="R32" s="34" t="n">
        <f aca="false">IF($A32="",0,COUNTIFS(L_RecID,$A32))</f>
        <v>0</v>
      </c>
      <c r="S32" s="34" t="n">
        <f aca="false">IF($A32="",0,COUNTIFS(L_RecID,$A32,L_Status,"REALIZADO"))</f>
        <v>0</v>
      </c>
      <c r="T32" s="34" t="n">
        <f aca="false">IF($A32="",0,COUNTIFS(L_RecID,$A32,L_Status,"PROJETADO"))</f>
        <v>0</v>
      </c>
      <c r="U32" s="38" t="str">
        <f aca="false">IF($A32="","",IFERROR(INDEX(L_Data,MATCH(1,INDEX((L_RecID=$A32)*(L_Status="PROJETADO"),0),0)),""))</f>
        <v/>
      </c>
      <c r="V32" s="32"/>
    </row>
    <row r="33" customFormat="false" ht="15" hidden="false" customHeight="false" outlineLevel="0" collapsed="false">
      <c r="A33" s="30" t="str">
        <f aca="false">IF($B33="","","REC-"&amp;TEXT(ROW()-4,"000000"))</f>
        <v/>
      </c>
      <c r="B33" s="32"/>
      <c r="C33" s="32"/>
      <c r="D33" s="33"/>
      <c r="E33" s="32"/>
      <c r="F33" s="37"/>
      <c r="G33" s="31"/>
      <c r="H33" s="37"/>
      <c r="I33" s="38" t="str">
        <f aca="false">IF(OR($A33="",$H33=0),"",IF(IF($E33="Mensal",1,IF($E33="Bimestral",2,IF($E33="Trimestral",3,IF($E33="Semestral",6,IF($E33="Anual",12,0)))))&gt;0,EDATE($G33,($H33-1)*IF($E33="Mensal",1,IF($E33="Bimestral",2,IF($E33="Trimestral",3,IF($E33="Semestral",6,IF($E33="Anual",12,0)))))),IF(IF($E33="Diario",1,IF($E33="Semanal",7,IF($E33="Quinzenal",15,0)))&gt;0,$G33+($H33-1)*IF($E33="Diario",1,IF($E33="Semanal",7,IF($E33="Quinzenal",15,0))),"")))</f>
        <v/>
      </c>
      <c r="J33" s="32"/>
      <c r="K33" s="32"/>
      <c r="L33" s="32"/>
      <c r="M33" s="32"/>
      <c r="N33" s="32"/>
      <c r="O33" s="32"/>
      <c r="P33" s="32"/>
      <c r="Q33" s="32"/>
      <c r="R33" s="34" t="n">
        <f aca="false">IF($A33="",0,COUNTIFS(L_RecID,$A33))</f>
        <v>0</v>
      </c>
      <c r="S33" s="34" t="n">
        <f aca="false">IF($A33="",0,COUNTIFS(L_RecID,$A33,L_Status,"REALIZADO"))</f>
        <v>0</v>
      </c>
      <c r="T33" s="34" t="n">
        <f aca="false">IF($A33="",0,COUNTIFS(L_RecID,$A33,L_Status,"PROJETADO"))</f>
        <v>0</v>
      </c>
      <c r="U33" s="38" t="str">
        <f aca="false">IF($A33="","",IFERROR(INDEX(L_Data,MATCH(1,INDEX((L_RecID=$A33)*(L_Status="PROJETADO"),0),0)),""))</f>
        <v/>
      </c>
      <c r="V33" s="32"/>
    </row>
    <row r="34" customFormat="false" ht="15" hidden="false" customHeight="false" outlineLevel="0" collapsed="false">
      <c r="A34" s="30" t="str">
        <f aca="false">IF($B34="","","REC-"&amp;TEXT(ROW()-4,"000000"))</f>
        <v/>
      </c>
      <c r="B34" s="32"/>
      <c r="C34" s="32"/>
      <c r="D34" s="33"/>
      <c r="E34" s="32"/>
      <c r="F34" s="37"/>
      <c r="G34" s="31"/>
      <c r="H34" s="37"/>
      <c r="I34" s="38" t="str">
        <f aca="false">IF(OR($A34="",$H34=0),"",IF(IF($E34="Mensal",1,IF($E34="Bimestral",2,IF($E34="Trimestral",3,IF($E34="Semestral",6,IF($E34="Anual",12,0)))))&gt;0,EDATE($G34,($H34-1)*IF($E34="Mensal",1,IF($E34="Bimestral",2,IF($E34="Trimestral",3,IF($E34="Semestral",6,IF($E34="Anual",12,0)))))),IF(IF($E34="Diario",1,IF($E34="Semanal",7,IF($E34="Quinzenal",15,0)))&gt;0,$G34+($H34-1)*IF($E34="Diario",1,IF($E34="Semanal",7,IF($E34="Quinzenal",15,0))),"")))</f>
        <v/>
      </c>
      <c r="J34" s="32"/>
      <c r="K34" s="32"/>
      <c r="L34" s="32"/>
      <c r="M34" s="32"/>
      <c r="N34" s="32"/>
      <c r="O34" s="32"/>
      <c r="P34" s="32"/>
      <c r="Q34" s="32"/>
      <c r="R34" s="34" t="n">
        <f aca="false">IF($A34="",0,COUNTIFS(L_RecID,$A34))</f>
        <v>0</v>
      </c>
      <c r="S34" s="34" t="n">
        <f aca="false">IF($A34="",0,COUNTIFS(L_RecID,$A34,L_Status,"REALIZADO"))</f>
        <v>0</v>
      </c>
      <c r="T34" s="34" t="n">
        <f aca="false">IF($A34="",0,COUNTIFS(L_RecID,$A34,L_Status,"PROJETADO"))</f>
        <v>0</v>
      </c>
      <c r="U34" s="38" t="str">
        <f aca="false">IF($A34="","",IFERROR(INDEX(L_Data,MATCH(1,INDEX((L_RecID=$A34)*(L_Status="PROJETADO"),0),0)),""))</f>
        <v/>
      </c>
      <c r="V34" s="32"/>
    </row>
    <row r="35" customFormat="false" ht="15" hidden="false" customHeight="false" outlineLevel="0" collapsed="false">
      <c r="A35" s="30" t="str">
        <f aca="false">IF($B35="","","REC-"&amp;TEXT(ROW()-4,"000000"))</f>
        <v/>
      </c>
      <c r="B35" s="32"/>
      <c r="C35" s="32"/>
      <c r="D35" s="33"/>
      <c r="E35" s="32"/>
      <c r="F35" s="37"/>
      <c r="G35" s="31"/>
      <c r="H35" s="37"/>
      <c r="I35" s="38" t="str">
        <f aca="false">IF(OR($A35="",$H35=0),"",IF(IF($E35="Mensal",1,IF($E35="Bimestral",2,IF($E35="Trimestral",3,IF($E35="Semestral",6,IF($E35="Anual",12,0)))))&gt;0,EDATE($G35,($H35-1)*IF($E35="Mensal",1,IF($E35="Bimestral",2,IF($E35="Trimestral",3,IF($E35="Semestral",6,IF($E35="Anual",12,0)))))),IF(IF($E35="Diario",1,IF($E35="Semanal",7,IF($E35="Quinzenal",15,0)))&gt;0,$G35+($H35-1)*IF($E35="Diario",1,IF($E35="Semanal",7,IF($E35="Quinzenal",15,0))),"")))</f>
        <v/>
      </c>
      <c r="J35" s="32"/>
      <c r="K35" s="32"/>
      <c r="L35" s="32"/>
      <c r="M35" s="32"/>
      <c r="N35" s="32"/>
      <c r="O35" s="32"/>
      <c r="P35" s="32"/>
      <c r="Q35" s="32"/>
      <c r="R35" s="34" t="n">
        <f aca="false">IF($A35="",0,COUNTIFS(L_RecID,$A35))</f>
        <v>0</v>
      </c>
      <c r="S35" s="34" t="n">
        <f aca="false">IF($A35="",0,COUNTIFS(L_RecID,$A35,L_Status,"REALIZADO"))</f>
        <v>0</v>
      </c>
      <c r="T35" s="34" t="n">
        <f aca="false">IF($A35="",0,COUNTIFS(L_RecID,$A35,L_Status,"PROJETADO"))</f>
        <v>0</v>
      </c>
      <c r="U35" s="38" t="str">
        <f aca="false">IF($A35="","",IFERROR(INDEX(L_Data,MATCH(1,INDEX((L_RecID=$A35)*(L_Status="PROJETADO"),0),0)),""))</f>
        <v/>
      </c>
      <c r="V35" s="32"/>
    </row>
    <row r="36" customFormat="false" ht="15" hidden="false" customHeight="false" outlineLevel="0" collapsed="false">
      <c r="A36" s="30" t="str">
        <f aca="false">IF($B36="","","REC-"&amp;TEXT(ROW()-4,"000000"))</f>
        <v/>
      </c>
      <c r="B36" s="32"/>
      <c r="C36" s="32"/>
      <c r="D36" s="33"/>
      <c r="E36" s="32"/>
      <c r="F36" s="37"/>
      <c r="G36" s="31"/>
      <c r="H36" s="37"/>
      <c r="I36" s="38" t="str">
        <f aca="false">IF(OR($A36="",$H36=0),"",IF(IF($E36="Mensal",1,IF($E36="Bimestral",2,IF($E36="Trimestral",3,IF($E36="Semestral",6,IF($E36="Anual",12,0)))))&gt;0,EDATE($G36,($H36-1)*IF($E36="Mensal",1,IF($E36="Bimestral",2,IF($E36="Trimestral",3,IF($E36="Semestral",6,IF($E36="Anual",12,0)))))),IF(IF($E36="Diario",1,IF($E36="Semanal",7,IF($E36="Quinzenal",15,0)))&gt;0,$G36+($H36-1)*IF($E36="Diario",1,IF($E36="Semanal",7,IF($E36="Quinzenal",15,0))),"")))</f>
        <v/>
      </c>
      <c r="J36" s="32"/>
      <c r="K36" s="32"/>
      <c r="L36" s="32"/>
      <c r="M36" s="32"/>
      <c r="N36" s="32"/>
      <c r="O36" s="32"/>
      <c r="P36" s="32"/>
      <c r="Q36" s="32"/>
      <c r="R36" s="34" t="n">
        <f aca="false">IF($A36="",0,COUNTIFS(L_RecID,$A36))</f>
        <v>0</v>
      </c>
      <c r="S36" s="34" t="n">
        <f aca="false">IF($A36="",0,COUNTIFS(L_RecID,$A36,L_Status,"REALIZADO"))</f>
        <v>0</v>
      </c>
      <c r="T36" s="34" t="n">
        <f aca="false">IF($A36="",0,COUNTIFS(L_RecID,$A36,L_Status,"PROJETADO"))</f>
        <v>0</v>
      </c>
      <c r="U36" s="38" t="str">
        <f aca="false">IF($A36="","",IFERROR(INDEX(L_Data,MATCH(1,INDEX((L_RecID=$A36)*(L_Status="PROJETADO"),0),0)),""))</f>
        <v/>
      </c>
      <c r="V36" s="32"/>
    </row>
    <row r="37" customFormat="false" ht="15" hidden="false" customHeight="false" outlineLevel="0" collapsed="false">
      <c r="A37" s="30" t="str">
        <f aca="false">IF($B37="","","REC-"&amp;TEXT(ROW()-4,"000000"))</f>
        <v/>
      </c>
      <c r="B37" s="32"/>
      <c r="C37" s="32"/>
      <c r="D37" s="33"/>
      <c r="E37" s="32"/>
      <c r="F37" s="37"/>
      <c r="G37" s="31"/>
      <c r="H37" s="37"/>
      <c r="I37" s="38" t="str">
        <f aca="false">IF(OR($A37="",$H37=0),"",IF(IF($E37="Mensal",1,IF($E37="Bimestral",2,IF($E37="Trimestral",3,IF($E37="Semestral",6,IF($E37="Anual",12,0)))))&gt;0,EDATE($G37,($H37-1)*IF($E37="Mensal",1,IF($E37="Bimestral",2,IF($E37="Trimestral",3,IF($E37="Semestral",6,IF($E37="Anual",12,0)))))),IF(IF($E37="Diario",1,IF($E37="Semanal",7,IF($E37="Quinzenal",15,0)))&gt;0,$G37+($H37-1)*IF($E37="Diario",1,IF($E37="Semanal",7,IF($E37="Quinzenal",15,0))),"")))</f>
        <v/>
      </c>
      <c r="J37" s="32"/>
      <c r="K37" s="32"/>
      <c r="L37" s="32"/>
      <c r="M37" s="32"/>
      <c r="N37" s="32"/>
      <c r="O37" s="32"/>
      <c r="P37" s="32"/>
      <c r="Q37" s="32"/>
      <c r="R37" s="34" t="n">
        <f aca="false">IF($A37="",0,COUNTIFS(L_RecID,$A37))</f>
        <v>0</v>
      </c>
      <c r="S37" s="34" t="n">
        <f aca="false">IF($A37="",0,COUNTIFS(L_RecID,$A37,L_Status,"REALIZADO"))</f>
        <v>0</v>
      </c>
      <c r="T37" s="34" t="n">
        <f aca="false">IF($A37="",0,COUNTIFS(L_RecID,$A37,L_Status,"PROJETADO"))</f>
        <v>0</v>
      </c>
      <c r="U37" s="38" t="str">
        <f aca="false">IF($A37="","",IFERROR(INDEX(L_Data,MATCH(1,INDEX((L_RecID=$A37)*(L_Status="PROJETADO"),0),0)),""))</f>
        <v/>
      </c>
      <c r="V37" s="32"/>
    </row>
    <row r="38" customFormat="false" ht="15" hidden="false" customHeight="false" outlineLevel="0" collapsed="false">
      <c r="A38" s="30" t="str">
        <f aca="false">IF($B38="","","REC-"&amp;TEXT(ROW()-4,"000000"))</f>
        <v/>
      </c>
      <c r="B38" s="32"/>
      <c r="C38" s="32"/>
      <c r="D38" s="33"/>
      <c r="E38" s="32"/>
      <c r="F38" s="37"/>
      <c r="G38" s="31"/>
      <c r="H38" s="37"/>
      <c r="I38" s="38" t="str">
        <f aca="false">IF(OR($A38="",$H38=0),"",IF(IF($E38="Mensal",1,IF($E38="Bimestral",2,IF($E38="Trimestral",3,IF($E38="Semestral",6,IF($E38="Anual",12,0)))))&gt;0,EDATE($G38,($H38-1)*IF($E38="Mensal",1,IF($E38="Bimestral",2,IF($E38="Trimestral",3,IF($E38="Semestral",6,IF($E38="Anual",12,0)))))),IF(IF($E38="Diario",1,IF($E38="Semanal",7,IF($E38="Quinzenal",15,0)))&gt;0,$G38+($H38-1)*IF($E38="Diario",1,IF($E38="Semanal",7,IF($E38="Quinzenal",15,0))),"")))</f>
        <v/>
      </c>
      <c r="J38" s="32"/>
      <c r="K38" s="32"/>
      <c r="L38" s="32"/>
      <c r="M38" s="32"/>
      <c r="N38" s="32"/>
      <c r="O38" s="32"/>
      <c r="P38" s="32"/>
      <c r="Q38" s="32"/>
      <c r="R38" s="34" t="n">
        <f aca="false">IF($A38="",0,COUNTIFS(L_RecID,$A38))</f>
        <v>0</v>
      </c>
      <c r="S38" s="34" t="n">
        <f aca="false">IF($A38="",0,COUNTIFS(L_RecID,$A38,L_Status,"REALIZADO"))</f>
        <v>0</v>
      </c>
      <c r="T38" s="34" t="n">
        <f aca="false">IF($A38="",0,COUNTIFS(L_RecID,$A38,L_Status,"PROJETADO"))</f>
        <v>0</v>
      </c>
      <c r="U38" s="38" t="str">
        <f aca="false">IF($A38="","",IFERROR(INDEX(L_Data,MATCH(1,INDEX((L_RecID=$A38)*(L_Status="PROJETADO"),0),0)),""))</f>
        <v/>
      </c>
      <c r="V38" s="32"/>
    </row>
    <row r="39" customFormat="false" ht="15" hidden="false" customHeight="false" outlineLevel="0" collapsed="false">
      <c r="A39" s="30" t="str">
        <f aca="false">IF($B39="","","REC-"&amp;TEXT(ROW()-4,"000000"))</f>
        <v/>
      </c>
      <c r="B39" s="32"/>
      <c r="C39" s="32"/>
      <c r="D39" s="33"/>
      <c r="E39" s="32"/>
      <c r="F39" s="37"/>
      <c r="G39" s="31"/>
      <c r="H39" s="37"/>
      <c r="I39" s="38" t="str">
        <f aca="false">IF(OR($A39="",$H39=0),"",IF(IF($E39="Mensal",1,IF($E39="Bimestral",2,IF($E39="Trimestral",3,IF($E39="Semestral",6,IF($E39="Anual",12,0)))))&gt;0,EDATE($G39,($H39-1)*IF($E39="Mensal",1,IF($E39="Bimestral",2,IF($E39="Trimestral",3,IF($E39="Semestral",6,IF($E39="Anual",12,0)))))),IF(IF($E39="Diario",1,IF($E39="Semanal",7,IF($E39="Quinzenal",15,0)))&gt;0,$G39+($H39-1)*IF($E39="Diario",1,IF($E39="Semanal",7,IF($E39="Quinzenal",15,0))),"")))</f>
        <v/>
      </c>
      <c r="J39" s="32"/>
      <c r="K39" s="32"/>
      <c r="L39" s="32"/>
      <c r="M39" s="32"/>
      <c r="N39" s="32"/>
      <c r="O39" s="32"/>
      <c r="P39" s="32"/>
      <c r="Q39" s="32"/>
      <c r="R39" s="34" t="n">
        <f aca="false">IF($A39="",0,COUNTIFS(L_RecID,$A39))</f>
        <v>0</v>
      </c>
      <c r="S39" s="34" t="n">
        <f aca="false">IF($A39="",0,COUNTIFS(L_RecID,$A39,L_Status,"REALIZADO"))</f>
        <v>0</v>
      </c>
      <c r="T39" s="34" t="n">
        <f aca="false">IF($A39="",0,COUNTIFS(L_RecID,$A39,L_Status,"PROJETADO"))</f>
        <v>0</v>
      </c>
      <c r="U39" s="38" t="str">
        <f aca="false">IF($A39="","",IFERROR(INDEX(L_Data,MATCH(1,INDEX((L_RecID=$A39)*(L_Status="PROJETADO"),0),0)),""))</f>
        <v/>
      </c>
      <c r="V39" s="32"/>
    </row>
    <row r="40" customFormat="false" ht="15" hidden="false" customHeight="false" outlineLevel="0" collapsed="false">
      <c r="A40" s="30" t="str">
        <f aca="false">IF($B40="","","REC-"&amp;TEXT(ROW()-4,"000000"))</f>
        <v/>
      </c>
      <c r="B40" s="32"/>
      <c r="C40" s="32"/>
      <c r="D40" s="33"/>
      <c r="E40" s="32"/>
      <c r="F40" s="37"/>
      <c r="G40" s="31"/>
      <c r="H40" s="37"/>
      <c r="I40" s="38" t="str">
        <f aca="false">IF(OR($A40="",$H40=0),"",IF(IF($E40="Mensal",1,IF($E40="Bimestral",2,IF($E40="Trimestral",3,IF($E40="Semestral",6,IF($E40="Anual",12,0)))))&gt;0,EDATE($G40,($H40-1)*IF($E40="Mensal",1,IF($E40="Bimestral",2,IF($E40="Trimestral",3,IF($E40="Semestral",6,IF($E40="Anual",12,0)))))),IF(IF($E40="Diario",1,IF($E40="Semanal",7,IF($E40="Quinzenal",15,0)))&gt;0,$G40+($H40-1)*IF($E40="Diario",1,IF($E40="Semanal",7,IF($E40="Quinzenal",15,0))),"")))</f>
        <v/>
      </c>
      <c r="J40" s="32"/>
      <c r="K40" s="32"/>
      <c r="L40" s="32"/>
      <c r="M40" s="32"/>
      <c r="N40" s="32"/>
      <c r="O40" s="32"/>
      <c r="P40" s="32"/>
      <c r="Q40" s="32"/>
      <c r="R40" s="34" t="n">
        <f aca="false">IF($A40="",0,COUNTIFS(L_RecID,$A40))</f>
        <v>0</v>
      </c>
      <c r="S40" s="34" t="n">
        <f aca="false">IF($A40="",0,COUNTIFS(L_RecID,$A40,L_Status,"REALIZADO"))</f>
        <v>0</v>
      </c>
      <c r="T40" s="34" t="n">
        <f aca="false">IF($A40="",0,COUNTIFS(L_RecID,$A40,L_Status,"PROJETADO"))</f>
        <v>0</v>
      </c>
      <c r="U40" s="38" t="str">
        <f aca="false">IF($A40="","",IFERROR(INDEX(L_Data,MATCH(1,INDEX((L_RecID=$A40)*(L_Status="PROJETADO"),0),0)),""))</f>
        <v/>
      </c>
      <c r="V40" s="32"/>
    </row>
    <row r="41" customFormat="false" ht="15" hidden="false" customHeight="false" outlineLevel="0" collapsed="false">
      <c r="A41" s="30" t="str">
        <f aca="false">IF($B41="","","REC-"&amp;TEXT(ROW()-4,"000000"))</f>
        <v/>
      </c>
      <c r="B41" s="32"/>
      <c r="C41" s="32"/>
      <c r="D41" s="33"/>
      <c r="E41" s="32"/>
      <c r="F41" s="37"/>
      <c r="G41" s="31"/>
      <c r="H41" s="37"/>
      <c r="I41" s="38" t="str">
        <f aca="false">IF(OR($A41="",$H41=0),"",IF(IF($E41="Mensal",1,IF($E41="Bimestral",2,IF($E41="Trimestral",3,IF($E41="Semestral",6,IF($E41="Anual",12,0)))))&gt;0,EDATE($G41,($H41-1)*IF($E41="Mensal",1,IF($E41="Bimestral",2,IF($E41="Trimestral",3,IF($E41="Semestral",6,IF($E41="Anual",12,0)))))),IF(IF($E41="Diario",1,IF($E41="Semanal",7,IF($E41="Quinzenal",15,0)))&gt;0,$G41+($H41-1)*IF($E41="Diario",1,IF($E41="Semanal",7,IF($E41="Quinzenal",15,0))),"")))</f>
        <v/>
      </c>
      <c r="J41" s="32"/>
      <c r="K41" s="32"/>
      <c r="L41" s="32"/>
      <c r="M41" s="32"/>
      <c r="N41" s="32"/>
      <c r="O41" s="32"/>
      <c r="P41" s="32"/>
      <c r="Q41" s="32"/>
      <c r="R41" s="34" t="n">
        <f aca="false">IF($A41="",0,COUNTIFS(L_RecID,$A41))</f>
        <v>0</v>
      </c>
      <c r="S41" s="34" t="n">
        <f aca="false">IF($A41="",0,COUNTIFS(L_RecID,$A41,L_Status,"REALIZADO"))</f>
        <v>0</v>
      </c>
      <c r="T41" s="34" t="n">
        <f aca="false">IF($A41="",0,COUNTIFS(L_RecID,$A41,L_Status,"PROJETADO"))</f>
        <v>0</v>
      </c>
      <c r="U41" s="38" t="str">
        <f aca="false">IF($A41="","",IFERROR(INDEX(L_Data,MATCH(1,INDEX((L_RecID=$A41)*(L_Status="PROJETADO"),0),0)),""))</f>
        <v/>
      </c>
      <c r="V41" s="32"/>
    </row>
    <row r="42" customFormat="false" ht="15" hidden="false" customHeight="false" outlineLevel="0" collapsed="false">
      <c r="A42" s="30" t="str">
        <f aca="false">IF($B42="","","REC-"&amp;TEXT(ROW()-4,"000000"))</f>
        <v/>
      </c>
      <c r="B42" s="32"/>
      <c r="C42" s="32"/>
      <c r="D42" s="33"/>
      <c r="E42" s="32"/>
      <c r="F42" s="37"/>
      <c r="G42" s="31"/>
      <c r="H42" s="37"/>
      <c r="I42" s="38" t="str">
        <f aca="false">IF(OR($A42="",$H42=0),"",IF(IF($E42="Mensal",1,IF($E42="Bimestral",2,IF($E42="Trimestral",3,IF($E42="Semestral",6,IF($E42="Anual",12,0)))))&gt;0,EDATE($G42,($H42-1)*IF($E42="Mensal",1,IF($E42="Bimestral",2,IF($E42="Trimestral",3,IF($E42="Semestral",6,IF($E42="Anual",12,0)))))),IF(IF($E42="Diario",1,IF($E42="Semanal",7,IF($E42="Quinzenal",15,0)))&gt;0,$G42+($H42-1)*IF($E42="Diario",1,IF($E42="Semanal",7,IF($E42="Quinzenal",15,0))),"")))</f>
        <v/>
      </c>
      <c r="J42" s="32"/>
      <c r="K42" s="32"/>
      <c r="L42" s="32"/>
      <c r="M42" s="32"/>
      <c r="N42" s="32"/>
      <c r="O42" s="32"/>
      <c r="P42" s="32"/>
      <c r="Q42" s="32"/>
      <c r="R42" s="34" t="n">
        <f aca="false">IF($A42="",0,COUNTIFS(L_RecID,$A42))</f>
        <v>0</v>
      </c>
      <c r="S42" s="34" t="n">
        <f aca="false">IF($A42="",0,COUNTIFS(L_RecID,$A42,L_Status,"REALIZADO"))</f>
        <v>0</v>
      </c>
      <c r="T42" s="34" t="n">
        <f aca="false">IF($A42="",0,COUNTIFS(L_RecID,$A42,L_Status,"PROJETADO"))</f>
        <v>0</v>
      </c>
      <c r="U42" s="38" t="str">
        <f aca="false">IF($A42="","",IFERROR(INDEX(L_Data,MATCH(1,INDEX((L_RecID=$A42)*(L_Status="PROJETADO"),0),0)),""))</f>
        <v/>
      </c>
      <c r="V42" s="32"/>
    </row>
    <row r="43" customFormat="false" ht="15" hidden="false" customHeight="false" outlineLevel="0" collapsed="false">
      <c r="A43" s="30" t="str">
        <f aca="false">IF($B43="","","REC-"&amp;TEXT(ROW()-4,"000000"))</f>
        <v/>
      </c>
      <c r="B43" s="32"/>
      <c r="C43" s="32"/>
      <c r="D43" s="33"/>
      <c r="E43" s="32"/>
      <c r="F43" s="37"/>
      <c r="G43" s="31"/>
      <c r="H43" s="37"/>
      <c r="I43" s="38" t="str">
        <f aca="false">IF(OR($A43="",$H43=0),"",IF(IF($E43="Mensal",1,IF($E43="Bimestral",2,IF($E43="Trimestral",3,IF($E43="Semestral",6,IF($E43="Anual",12,0)))))&gt;0,EDATE($G43,($H43-1)*IF($E43="Mensal",1,IF($E43="Bimestral",2,IF($E43="Trimestral",3,IF($E43="Semestral",6,IF($E43="Anual",12,0)))))),IF(IF($E43="Diario",1,IF($E43="Semanal",7,IF($E43="Quinzenal",15,0)))&gt;0,$G43+($H43-1)*IF($E43="Diario",1,IF($E43="Semanal",7,IF($E43="Quinzenal",15,0))),"")))</f>
        <v/>
      </c>
      <c r="J43" s="32"/>
      <c r="K43" s="32"/>
      <c r="L43" s="32"/>
      <c r="M43" s="32"/>
      <c r="N43" s="32"/>
      <c r="O43" s="32"/>
      <c r="P43" s="32"/>
      <c r="Q43" s="32"/>
      <c r="R43" s="34" t="n">
        <f aca="false">IF($A43="",0,COUNTIFS(L_RecID,$A43))</f>
        <v>0</v>
      </c>
      <c r="S43" s="34" t="n">
        <f aca="false">IF($A43="",0,COUNTIFS(L_RecID,$A43,L_Status,"REALIZADO"))</f>
        <v>0</v>
      </c>
      <c r="T43" s="34" t="n">
        <f aca="false">IF($A43="",0,COUNTIFS(L_RecID,$A43,L_Status,"PROJETADO"))</f>
        <v>0</v>
      </c>
      <c r="U43" s="38" t="str">
        <f aca="false">IF($A43="","",IFERROR(INDEX(L_Data,MATCH(1,INDEX((L_RecID=$A43)*(L_Status="PROJETADO"),0),0)),""))</f>
        <v/>
      </c>
      <c r="V43" s="32"/>
    </row>
    <row r="44" customFormat="false" ht="15" hidden="false" customHeight="false" outlineLevel="0" collapsed="false">
      <c r="A44" s="30" t="str">
        <f aca="false">IF($B44="","","REC-"&amp;TEXT(ROW()-4,"000000"))</f>
        <v/>
      </c>
      <c r="B44" s="32"/>
      <c r="C44" s="32"/>
      <c r="D44" s="33"/>
      <c r="E44" s="32"/>
      <c r="F44" s="37"/>
      <c r="G44" s="31"/>
      <c r="H44" s="37"/>
      <c r="I44" s="38" t="str">
        <f aca="false">IF(OR($A44="",$H44=0),"",IF(IF($E44="Mensal",1,IF($E44="Bimestral",2,IF($E44="Trimestral",3,IF($E44="Semestral",6,IF($E44="Anual",12,0)))))&gt;0,EDATE($G44,($H44-1)*IF($E44="Mensal",1,IF($E44="Bimestral",2,IF($E44="Trimestral",3,IF($E44="Semestral",6,IF($E44="Anual",12,0)))))),IF(IF($E44="Diario",1,IF($E44="Semanal",7,IF($E44="Quinzenal",15,0)))&gt;0,$G44+($H44-1)*IF($E44="Diario",1,IF($E44="Semanal",7,IF($E44="Quinzenal",15,0))),"")))</f>
        <v/>
      </c>
      <c r="J44" s="32"/>
      <c r="K44" s="32"/>
      <c r="L44" s="32"/>
      <c r="M44" s="32"/>
      <c r="N44" s="32"/>
      <c r="O44" s="32"/>
      <c r="P44" s="32"/>
      <c r="Q44" s="32"/>
      <c r="R44" s="34" t="n">
        <f aca="false">IF($A44="",0,COUNTIFS(L_RecID,$A44))</f>
        <v>0</v>
      </c>
      <c r="S44" s="34" t="n">
        <f aca="false">IF($A44="",0,COUNTIFS(L_RecID,$A44,L_Status,"REALIZADO"))</f>
        <v>0</v>
      </c>
      <c r="T44" s="34" t="n">
        <f aca="false">IF($A44="",0,COUNTIFS(L_RecID,$A44,L_Status,"PROJETADO"))</f>
        <v>0</v>
      </c>
      <c r="U44" s="38" t="str">
        <f aca="false">IF($A44="","",IFERROR(INDEX(L_Data,MATCH(1,INDEX((L_RecID=$A44)*(L_Status="PROJETADO"),0),0)),""))</f>
        <v/>
      </c>
      <c r="V44" s="32"/>
    </row>
  </sheetData>
  <autoFilter ref="A4:V44"/>
  <mergeCells count="2">
    <mergeCell ref="A1:V1"/>
    <mergeCell ref="A2:V2"/>
  </mergeCells>
  <dataValidations count="11">
    <dataValidation allowBlank="true" error="Informe um numero inteiro entre 1 e 31." errorStyle="stop" errorTitle="Valor invalido" operator="between" showDropDown="false" showErrorMessage="false" showInputMessage="false" sqref="F5:F44" type="whole">
      <formula1>1</formula1>
      <formula2>31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4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4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Q5:Q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25.5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9" t="s">
        <v>159</v>
      </c>
      <c r="B2" s="29"/>
      <c r="C2" s="29"/>
      <c r="D2" s="29"/>
      <c r="E2" s="29"/>
      <c r="F2" s="29"/>
      <c r="G2" s="29"/>
      <c r="H2" s="29"/>
      <c r="I2" s="29"/>
      <c r="J2" s="29"/>
    </row>
    <row r="4" customFormat="false" ht="30" hidden="false" customHeight="true" outlineLevel="0" collapsed="false">
      <c r="A4" s="8" t="s">
        <v>332</v>
      </c>
      <c r="B4" s="8" t="s">
        <v>161</v>
      </c>
      <c r="C4" s="8" t="s">
        <v>162</v>
      </c>
      <c r="D4" s="8" t="s">
        <v>333</v>
      </c>
      <c r="E4" s="8" t="s">
        <v>334</v>
      </c>
      <c r="F4" s="8" t="s">
        <v>335</v>
      </c>
      <c r="G4" s="8" t="s">
        <v>336</v>
      </c>
      <c r="H4" s="8" t="s">
        <v>337</v>
      </c>
      <c r="I4" s="8" t="s">
        <v>52</v>
      </c>
      <c r="J4" s="8" t="s">
        <v>76</v>
      </c>
    </row>
    <row r="5" customFormat="false" ht="15" hidden="false" customHeight="false" outlineLevel="0" collapsed="false">
      <c r="A5" s="30" t="str">
        <f aca="false">IF($B5="","","BEM-"&amp;TEXT(ROW()-4,"000000"))</f>
        <v/>
      </c>
      <c r="B5" s="32"/>
      <c r="C5" s="32"/>
      <c r="D5" s="33"/>
      <c r="E5" s="31"/>
      <c r="F5" s="32"/>
      <c r="G5" s="36" t="n">
        <f aca="false">IF($A5="",0,IF($F5="",0,IFERROR(INDEX(CM_DEVEDOR,MATCH($F5,CM_ID,0)),0)))</f>
        <v>0</v>
      </c>
      <c r="H5" s="36" t="str">
        <f aca="false">IF($A5="","",$D5-$G5)</f>
        <v/>
      </c>
      <c r="I5" s="32"/>
      <c r="J5" s="32"/>
    </row>
    <row r="6" customFormat="false" ht="15" hidden="false" customHeight="false" outlineLevel="0" collapsed="false">
      <c r="A6" s="30" t="str">
        <f aca="false">IF($B6="","","BEM-"&amp;TEXT(ROW()-4,"000000"))</f>
        <v/>
      </c>
      <c r="B6" s="32"/>
      <c r="C6" s="32"/>
      <c r="D6" s="33"/>
      <c r="E6" s="31"/>
      <c r="F6" s="32"/>
      <c r="G6" s="36" t="n">
        <f aca="false">IF($A6="",0,IF($F6="",0,IFERROR(INDEX(CM_DEVEDOR,MATCH($F6,CM_ID,0)),0)))</f>
        <v>0</v>
      </c>
      <c r="H6" s="36" t="str">
        <f aca="false">IF($A6="","",$D6-$G6)</f>
        <v/>
      </c>
      <c r="I6" s="32"/>
      <c r="J6" s="32"/>
    </row>
    <row r="7" customFormat="false" ht="15" hidden="false" customHeight="false" outlineLevel="0" collapsed="false">
      <c r="A7" s="30" t="str">
        <f aca="false">IF($B7="","","BEM-"&amp;TEXT(ROW()-4,"000000"))</f>
        <v/>
      </c>
      <c r="B7" s="32"/>
      <c r="C7" s="32"/>
      <c r="D7" s="33"/>
      <c r="E7" s="31"/>
      <c r="F7" s="32"/>
      <c r="G7" s="36" t="n">
        <f aca="false">IF($A7="",0,IF($F7="",0,IFERROR(INDEX(CM_DEVEDOR,MATCH($F7,CM_ID,0)),0)))</f>
        <v>0</v>
      </c>
      <c r="H7" s="36" t="str">
        <f aca="false">IF($A7="","",$D7-$G7)</f>
        <v/>
      </c>
      <c r="I7" s="32"/>
      <c r="J7" s="32"/>
    </row>
    <row r="8" customFormat="false" ht="15" hidden="false" customHeight="false" outlineLevel="0" collapsed="false">
      <c r="A8" s="30" t="str">
        <f aca="false">IF($B8="","","BEM-"&amp;TEXT(ROW()-4,"000000"))</f>
        <v/>
      </c>
      <c r="B8" s="32"/>
      <c r="C8" s="32"/>
      <c r="D8" s="33"/>
      <c r="E8" s="31"/>
      <c r="F8" s="32"/>
      <c r="G8" s="36" t="n">
        <f aca="false">IF($A8="",0,IF($F8="",0,IFERROR(INDEX(CM_DEVEDOR,MATCH($F8,CM_ID,0)),0)))</f>
        <v>0</v>
      </c>
      <c r="H8" s="36" t="str">
        <f aca="false">IF($A8="","",$D8-$G8)</f>
        <v/>
      </c>
      <c r="I8" s="32"/>
      <c r="J8" s="32"/>
    </row>
    <row r="9" customFormat="false" ht="15" hidden="false" customHeight="false" outlineLevel="0" collapsed="false">
      <c r="A9" s="30" t="str">
        <f aca="false">IF($B9="","","BEM-"&amp;TEXT(ROW()-4,"000000"))</f>
        <v/>
      </c>
      <c r="B9" s="32"/>
      <c r="C9" s="32"/>
      <c r="D9" s="33"/>
      <c r="E9" s="31"/>
      <c r="F9" s="32"/>
      <c r="G9" s="36" t="n">
        <f aca="false">IF($A9="",0,IF($F9="",0,IFERROR(INDEX(CM_DEVEDOR,MATCH($F9,CM_ID,0)),0)))</f>
        <v>0</v>
      </c>
      <c r="H9" s="36" t="str">
        <f aca="false">IF($A9="","",$D9-$G9)</f>
        <v/>
      </c>
      <c r="I9" s="32"/>
      <c r="J9" s="32"/>
    </row>
    <row r="10" customFormat="false" ht="15" hidden="false" customHeight="false" outlineLevel="0" collapsed="false">
      <c r="A10" s="30" t="str">
        <f aca="false">IF($B10="","","BEM-"&amp;TEXT(ROW()-4,"000000"))</f>
        <v/>
      </c>
      <c r="B10" s="32"/>
      <c r="C10" s="32"/>
      <c r="D10" s="33"/>
      <c r="E10" s="31"/>
      <c r="F10" s="32"/>
      <c r="G10" s="36" t="n">
        <f aca="false">IF($A10="",0,IF($F10="",0,IFERROR(INDEX(CM_DEVEDOR,MATCH($F10,CM_ID,0)),0)))</f>
        <v>0</v>
      </c>
      <c r="H10" s="36" t="str">
        <f aca="false">IF($A10="","",$D10-$G10)</f>
        <v/>
      </c>
      <c r="I10" s="32"/>
      <c r="J10" s="32"/>
    </row>
    <row r="11" customFormat="false" ht="15" hidden="false" customHeight="false" outlineLevel="0" collapsed="false">
      <c r="A11" s="30" t="str">
        <f aca="false">IF($B11="","","BEM-"&amp;TEXT(ROW()-4,"000000"))</f>
        <v/>
      </c>
      <c r="B11" s="32"/>
      <c r="C11" s="32"/>
      <c r="D11" s="33"/>
      <c r="E11" s="31"/>
      <c r="F11" s="32"/>
      <c r="G11" s="36" t="n">
        <f aca="false">IF($A11="",0,IF($F11="",0,IFERROR(INDEX(CM_DEVEDOR,MATCH($F11,CM_ID,0)),0)))</f>
        <v>0</v>
      </c>
      <c r="H11" s="36" t="str">
        <f aca="false">IF($A11="","",$D11-$G11)</f>
        <v/>
      </c>
      <c r="I11" s="32"/>
      <c r="J11" s="32"/>
    </row>
    <row r="12" customFormat="false" ht="15" hidden="false" customHeight="false" outlineLevel="0" collapsed="false">
      <c r="A12" s="30" t="str">
        <f aca="false">IF($B12="","","BEM-"&amp;TEXT(ROW()-4,"000000"))</f>
        <v/>
      </c>
      <c r="B12" s="32"/>
      <c r="C12" s="32"/>
      <c r="D12" s="33"/>
      <c r="E12" s="31"/>
      <c r="F12" s="32"/>
      <c r="G12" s="36" t="n">
        <f aca="false">IF($A12="",0,IF($F12="",0,IFERROR(INDEX(CM_DEVEDOR,MATCH($F12,CM_ID,0)),0)))</f>
        <v>0</v>
      </c>
      <c r="H12" s="36" t="str">
        <f aca="false">IF($A12="","",$D12-$G12)</f>
        <v/>
      </c>
      <c r="I12" s="32"/>
      <c r="J12" s="32"/>
    </row>
    <row r="13" customFormat="false" ht="15" hidden="false" customHeight="false" outlineLevel="0" collapsed="false">
      <c r="A13" s="30" t="str">
        <f aca="false">IF($B13="","","BEM-"&amp;TEXT(ROW()-4,"000000"))</f>
        <v/>
      </c>
      <c r="B13" s="32"/>
      <c r="C13" s="32"/>
      <c r="D13" s="33"/>
      <c r="E13" s="31"/>
      <c r="F13" s="32"/>
      <c r="G13" s="36" t="n">
        <f aca="false">IF($A13="",0,IF($F13="",0,IFERROR(INDEX(CM_DEVEDOR,MATCH($F13,CM_ID,0)),0)))</f>
        <v>0</v>
      </c>
      <c r="H13" s="36" t="str">
        <f aca="false">IF($A13="","",$D13-$G13)</f>
        <v/>
      </c>
      <c r="I13" s="32"/>
      <c r="J13" s="32"/>
    </row>
    <row r="14" customFormat="false" ht="15" hidden="false" customHeight="false" outlineLevel="0" collapsed="false">
      <c r="A14" s="30" t="str">
        <f aca="false">IF($B14="","","BEM-"&amp;TEXT(ROW()-4,"000000"))</f>
        <v/>
      </c>
      <c r="B14" s="32"/>
      <c r="C14" s="32"/>
      <c r="D14" s="33"/>
      <c r="E14" s="31"/>
      <c r="F14" s="32"/>
      <c r="G14" s="36" t="n">
        <f aca="false">IF($A14="",0,IF($F14="",0,IFERROR(INDEX(CM_DEVEDOR,MATCH($F14,CM_ID,0)),0)))</f>
        <v>0</v>
      </c>
      <c r="H14" s="36" t="str">
        <f aca="false">IF($A14="","",$D14-$G14)</f>
        <v/>
      </c>
      <c r="I14" s="32"/>
      <c r="J14" s="32"/>
    </row>
    <row r="15" customFormat="false" ht="15" hidden="false" customHeight="false" outlineLevel="0" collapsed="false">
      <c r="A15" s="30" t="str">
        <f aca="false">IF($B15="","","BEM-"&amp;TEXT(ROW()-4,"000000"))</f>
        <v/>
      </c>
      <c r="B15" s="32"/>
      <c r="C15" s="32"/>
      <c r="D15" s="33"/>
      <c r="E15" s="31"/>
      <c r="F15" s="32"/>
      <c r="G15" s="36" t="n">
        <f aca="false">IF($A15="",0,IF($F15="",0,IFERROR(INDEX(CM_DEVEDOR,MATCH($F15,CM_ID,0)),0)))</f>
        <v>0</v>
      </c>
      <c r="H15" s="36" t="str">
        <f aca="false">IF($A15="","",$D15-$G15)</f>
        <v/>
      </c>
      <c r="I15" s="32"/>
      <c r="J15" s="32"/>
    </row>
    <row r="16" customFormat="false" ht="15" hidden="false" customHeight="false" outlineLevel="0" collapsed="false">
      <c r="A16" s="30" t="str">
        <f aca="false">IF($B16="","","BEM-"&amp;TEXT(ROW()-4,"000000"))</f>
        <v/>
      </c>
      <c r="B16" s="32"/>
      <c r="C16" s="32"/>
      <c r="D16" s="33"/>
      <c r="E16" s="31"/>
      <c r="F16" s="32"/>
      <c r="G16" s="36" t="n">
        <f aca="false">IF($A16="",0,IF($F16="",0,IFERROR(INDEX(CM_DEVEDOR,MATCH($F16,CM_ID,0)),0)))</f>
        <v>0</v>
      </c>
      <c r="H16" s="36" t="str">
        <f aca="false">IF($A16="","",$D16-$G16)</f>
        <v/>
      </c>
      <c r="I16" s="32"/>
      <c r="J16" s="32"/>
    </row>
    <row r="17" customFormat="false" ht="15" hidden="false" customHeight="false" outlineLevel="0" collapsed="false">
      <c r="A17" s="30" t="str">
        <f aca="false">IF($B17="","","BEM-"&amp;TEXT(ROW()-4,"000000"))</f>
        <v/>
      </c>
      <c r="B17" s="32"/>
      <c r="C17" s="32"/>
      <c r="D17" s="33"/>
      <c r="E17" s="31"/>
      <c r="F17" s="32"/>
      <c r="G17" s="36" t="n">
        <f aca="false">IF($A17="",0,IF($F17="",0,IFERROR(INDEX(CM_DEVEDOR,MATCH($F17,CM_ID,0)),0)))</f>
        <v>0</v>
      </c>
      <c r="H17" s="36" t="str">
        <f aca="false">IF($A17="","",$D17-$G17)</f>
        <v/>
      </c>
      <c r="I17" s="32"/>
      <c r="J17" s="32"/>
    </row>
    <row r="18" customFormat="false" ht="15" hidden="false" customHeight="false" outlineLevel="0" collapsed="false">
      <c r="A18" s="30" t="str">
        <f aca="false">IF($B18="","","BEM-"&amp;TEXT(ROW()-4,"000000"))</f>
        <v/>
      </c>
      <c r="B18" s="32"/>
      <c r="C18" s="32"/>
      <c r="D18" s="33"/>
      <c r="E18" s="31"/>
      <c r="F18" s="32"/>
      <c r="G18" s="36" t="n">
        <f aca="false">IF($A18="",0,IF($F18="",0,IFERROR(INDEX(CM_DEVEDOR,MATCH($F18,CM_ID,0)),0)))</f>
        <v>0</v>
      </c>
      <c r="H18" s="36" t="str">
        <f aca="false">IF($A18="","",$D18-$G18)</f>
        <v/>
      </c>
      <c r="I18" s="32"/>
      <c r="J18" s="32"/>
    </row>
    <row r="19" customFormat="false" ht="15" hidden="false" customHeight="false" outlineLevel="0" collapsed="false">
      <c r="A19" s="30" t="str">
        <f aca="false">IF($B19="","","BEM-"&amp;TEXT(ROW()-4,"000000"))</f>
        <v/>
      </c>
      <c r="B19" s="32"/>
      <c r="C19" s="32"/>
      <c r="D19" s="33"/>
      <c r="E19" s="31"/>
      <c r="F19" s="32"/>
      <c r="G19" s="36" t="n">
        <f aca="false">IF($A19="",0,IF($F19="",0,IFERROR(INDEX(CM_DEVEDOR,MATCH($F19,CM_ID,0)),0)))</f>
        <v>0</v>
      </c>
      <c r="H19" s="36" t="str">
        <f aca="false">IF($A19="","",$D19-$G19)</f>
        <v/>
      </c>
      <c r="I19" s="32"/>
      <c r="J19" s="32"/>
    </row>
    <row r="20" customFormat="false" ht="15" hidden="false" customHeight="false" outlineLevel="0" collapsed="false">
      <c r="A20" s="30" t="str">
        <f aca="false">IF($B20="","","BEM-"&amp;TEXT(ROW()-4,"000000"))</f>
        <v/>
      </c>
      <c r="B20" s="32"/>
      <c r="C20" s="32"/>
      <c r="D20" s="33"/>
      <c r="E20" s="31"/>
      <c r="F20" s="32"/>
      <c r="G20" s="36" t="n">
        <f aca="false">IF($A20="",0,IF($F20="",0,IFERROR(INDEX(CM_DEVEDOR,MATCH($F20,CM_ID,0)),0)))</f>
        <v>0</v>
      </c>
      <c r="H20" s="36" t="str">
        <f aca="false">IF($A20="","",$D20-$G20)</f>
        <v/>
      </c>
      <c r="I20" s="32"/>
      <c r="J20" s="32"/>
    </row>
    <row r="21" customFormat="false" ht="15" hidden="false" customHeight="false" outlineLevel="0" collapsed="false">
      <c r="A21" s="30" t="str">
        <f aca="false">IF($B21="","","BEM-"&amp;TEXT(ROW()-4,"000000"))</f>
        <v/>
      </c>
      <c r="B21" s="32"/>
      <c r="C21" s="32"/>
      <c r="D21" s="33"/>
      <c r="E21" s="31"/>
      <c r="F21" s="32"/>
      <c r="G21" s="36" t="n">
        <f aca="false">IF($A21="",0,IF($F21="",0,IFERROR(INDEX(CM_DEVEDOR,MATCH($F21,CM_ID,0)),0)))</f>
        <v>0</v>
      </c>
      <c r="H21" s="36" t="str">
        <f aca="false">IF($A21="","",$D21-$G21)</f>
        <v/>
      </c>
      <c r="I21" s="32"/>
      <c r="J21" s="32"/>
    </row>
    <row r="22" customFormat="false" ht="15" hidden="false" customHeight="false" outlineLevel="0" collapsed="false">
      <c r="A22" s="30" t="str">
        <f aca="false">IF($B22="","","BEM-"&amp;TEXT(ROW()-4,"000000"))</f>
        <v/>
      </c>
      <c r="B22" s="32"/>
      <c r="C22" s="32"/>
      <c r="D22" s="33"/>
      <c r="E22" s="31"/>
      <c r="F22" s="32"/>
      <c r="G22" s="36" t="n">
        <f aca="false">IF($A22="",0,IF($F22="",0,IFERROR(INDEX(CM_DEVEDOR,MATCH($F22,CM_ID,0)),0)))</f>
        <v>0</v>
      </c>
      <c r="H22" s="36" t="str">
        <f aca="false">IF($A22="","",$D22-$G22)</f>
        <v/>
      </c>
      <c r="I22" s="32"/>
      <c r="J22" s="32"/>
    </row>
    <row r="23" customFormat="false" ht="15" hidden="false" customHeight="false" outlineLevel="0" collapsed="false">
      <c r="A23" s="30" t="str">
        <f aca="false">IF($B23="","","BEM-"&amp;TEXT(ROW()-4,"000000"))</f>
        <v/>
      </c>
      <c r="B23" s="32"/>
      <c r="C23" s="32"/>
      <c r="D23" s="33"/>
      <c r="E23" s="31"/>
      <c r="F23" s="32"/>
      <c r="G23" s="36" t="n">
        <f aca="false">IF($A23="",0,IF($F23="",0,IFERROR(INDEX(CM_DEVEDOR,MATCH($F23,CM_ID,0)),0)))</f>
        <v>0</v>
      </c>
      <c r="H23" s="36" t="str">
        <f aca="false">IF($A23="","",$D23-$G23)</f>
        <v/>
      </c>
      <c r="I23" s="32"/>
      <c r="J23" s="32"/>
    </row>
    <row r="24" customFormat="false" ht="15" hidden="false" customHeight="false" outlineLevel="0" collapsed="false">
      <c r="A24" s="30" t="str">
        <f aca="false">IF($B24="","","BEM-"&amp;TEXT(ROW()-4,"000000"))</f>
        <v/>
      </c>
      <c r="B24" s="32"/>
      <c r="C24" s="32"/>
      <c r="D24" s="33"/>
      <c r="E24" s="31"/>
      <c r="F24" s="32"/>
      <c r="G24" s="36" t="n">
        <f aca="false">IF($A24="",0,IF($F24="",0,IFERROR(INDEX(CM_DEVEDOR,MATCH($F24,CM_ID,0)),0)))</f>
        <v>0</v>
      </c>
      <c r="H24" s="36" t="str">
        <f aca="false">IF($A24="","",$D24-$G24)</f>
        <v/>
      </c>
      <c r="I24" s="32"/>
      <c r="J24" s="32"/>
    </row>
    <row r="25" customFormat="false" ht="15" hidden="false" customHeight="false" outlineLevel="0" collapsed="false">
      <c r="A25" s="30" t="str">
        <f aca="false">IF($B25="","","BEM-"&amp;TEXT(ROW()-4,"000000"))</f>
        <v/>
      </c>
      <c r="B25" s="32"/>
      <c r="C25" s="32"/>
      <c r="D25" s="33"/>
      <c r="E25" s="31"/>
      <c r="F25" s="32"/>
      <c r="G25" s="36" t="n">
        <f aca="false">IF($A25="",0,IF($F25="",0,IFERROR(INDEX(CM_DEVEDOR,MATCH($F25,CM_ID,0)),0)))</f>
        <v>0</v>
      </c>
      <c r="H25" s="36" t="str">
        <f aca="false">IF($A25="","",$D25-$G25)</f>
        <v/>
      </c>
      <c r="I25" s="32"/>
      <c r="J25" s="32"/>
    </row>
    <row r="26" customFormat="false" ht="15" hidden="false" customHeight="false" outlineLevel="0" collapsed="false">
      <c r="A26" s="30" t="str">
        <f aca="false">IF($B26="","","BEM-"&amp;TEXT(ROW()-4,"000000"))</f>
        <v/>
      </c>
      <c r="B26" s="32"/>
      <c r="C26" s="32"/>
      <c r="D26" s="33"/>
      <c r="E26" s="31"/>
      <c r="F26" s="32"/>
      <c r="G26" s="36" t="n">
        <f aca="false">IF($A26="",0,IF($F26="",0,IFERROR(INDEX(CM_DEVEDOR,MATCH($F26,CM_ID,0)),0)))</f>
        <v>0</v>
      </c>
      <c r="H26" s="36" t="str">
        <f aca="false">IF($A26="","",$D26-$G26)</f>
        <v/>
      </c>
      <c r="I26" s="32"/>
      <c r="J26" s="32"/>
    </row>
    <row r="27" customFormat="false" ht="15" hidden="false" customHeight="false" outlineLevel="0" collapsed="false">
      <c r="A27" s="30" t="str">
        <f aca="false">IF($B27="","","BEM-"&amp;TEXT(ROW()-4,"000000"))</f>
        <v/>
      </c>
      <c r="B27" s="32"/>
      <c r="C27" s="32"/>
      <c r="D27" s="33"/>
      <c r="E27" s="31"/>
      <c r="F27" s="32"/>
      <c r="G27" s="36" t="n">
        <f aca="false">IF($A27="",0,IF($F27="",0,IFERROR(INDEX(CM_DEVEDOR,MATCH($F27,CM_ID,0)),0)))</f>
        <v>0</v>
      </c>
      <c r="H27" s="36" t="str">
        <f aca="false">IF($A27="","",$D27-$G27)</f>
        <v/>
      </c>
      <c r="I27" s="32"/>
      <c r="J27" s="32"/>
    </row>
    <row r="28" customFormat="false" ht="15" hidden="false" customHeight="false" outlineLevel="0" collapsed="false">
      <c r="A28" s="30" t="str">
        <f aca="false">IF($B28="","","BEM-"&amp;TEXT(ROW()-4,"000000"))</f>
        <v/>
      </c>
      <c r="B28" s="32"/>
      <c r="C28" s="32"/>
      <c r="D28" s="33"/>
      <c r="E28" s="31"/>
      <c r="F28" s="32"/>
      <c r="G28" s="36" t="n">
        <f aca="false">IF($A28="",0,IF($F28="",0,IFERROR(INDEX(CM_DEVEDOR,MATCH($F28,CM_ID,0)),0)))</f>
        <v>0</v>
      </c>
      <c r="H28" s="36" t="str">
        <f aca="false">IF($A28="","",$D28-$G28)</f>
        <v/>
      </c>
      <c r="I28" s="32"/>
      <c r="J28" s="32"/>
    </row>
    <row r="29" customFormat="false" ht="15" hidden="false" customHeight="false" outlineLevel="0" collapsed="false">
      <c r="A29" s="30" t="str">
        <f aca="false">IF($B29="","","BEM-"&amp;TEXT(ROW()-4,"000000"))</f>
        <v/>
      </c>
      <c r="B29" s="32"/>
      <c r="C29" s="32"/>
      <c r="D29" s="33"/>
      <c r="E29" s="31"/>
      <c r="F29" s="32"/>
      <c r="G29" s="36" t="n">
        <f aca="false">IF($A29="",0,IF($F29="",0,IFERROR(INDEX(CM_DEVEDOR,MATCH($F29,CM_ID,0)),0)))</f>
        <v>0</v>
      </c>
      <c r="H29" s="36" t="str">
        <f aca="false">IF($A29="","",$D29-$G29)</f>
        <v/>
      </c>
      <c r="I29" s="32"/>
      <c r="J29" s="32"/>
    </row>
    <row r="30" customFormat="false" ht="15" hidden="false" customHeight="false" outlineLevel="0" collapsed="false">
      <c r="A30" s="30" t="str">
        <f aca="false">IF($B30="","","BEM-"&amp;TEXT(ROW()-4,"000000"))</f>
        <v/>
      </c>
      <c r="B30" s="32"/>
      <c r="C30" s="32"/>
      <c r="D30" s="33"/>
      <c r="E30" s="31"/>
      <c r="F30" s="32"/>
      <c r="G30" s="36" t="n">
        <f aca="false">IF($A30="",0,IF($F30="",0,IFERROR(INDEX(CM_DEVEDOR,MATCH($F30,CM_ID,0)),0)))</f>
        <v>0</v>
      </c>
      <c r="H30" s="36" t="str">
        <f aca="false">IF($A30="","",$D30-$G30)</f>
        <v/>
      </c>
      <c r="I30" s="32"/>
      <c r="J30" s="32"/>
    </row>
    <row r="31" customFormat="false" ht="15" hidden="false" customHeight="false" outlineLevel="0" collapsed="false">
      <c r="A31" s="30" t="str">
        <f aca="false">IF($B31="","","BEM-"&amp;TEXT(ROW()-4,"000000"))</f>
        <v/>
      </c>
      <c r="B31" s="32"/>
      <c r="C31" s="32"/>
      <c r="D31" s="33"/>
      <c r="E31" s="31"/>
      <c r="F31" s="32"/>
      <c r="G31" s="36" t="n">
        <f aca="false">IF($A31="",0,IF($F31="",0,IFERROR(INDEX(CM_DEVEDOR,MATCH($F31,CM_ID,0)),0)))</f>
        <v>0</v>
      </c>
      <c r="H31" s="36" t="str">
        <f aca="false">IF($A31="","",$D31-$G31)</f>
        <v/>
      </c>
      <c r="I31" s="32"/>
      <c r="J31" s="32"/>
    </row>
    <row r="32" customFormat="false" ht="15" hidden="false" customHeight="false" outlineLevel="0" collapsed="false">
      <c r="A32" s="30" t="str">
        <f aca="false">IF($B32="","","BEM-"&amp;TEXT(ROW()-4,"000000"))</f>
        <v/>
      </c>
      <c r="B32" s="32"/>
      <c r="C32" s="32"/>
      <c r="D32" s="33"/>
      <c r="E32" s="31"/>
      <c r="F32" s="32"/>
      <c r="G32" s="36" t="n">
        <f aca="false">IF($A32="",0,IF($F32="",0,IFERROR(INDEX(CM_DEVEDOR,MATCH($F32,CM_ID,0)),0)))</f>
        <v>0</v>
      </c>
      <c r="H32" s="36" t="str">
        <f aca="false">IF($A32="","",$D32-$G32)</f>
        <v/>
      </c>
      <c r="I32" s="32"/>
      <c r="J32" s="32"/>
    </row>
    <row r="33" customFormat="false" ht="15" hidden="false" customHeight="false" outlineLevel="0" collapsed="false">
      <c r="A33" s="30" t="str">
        <f aca="false">IF($B33="","","BEM-"&amp;TEXT(ROW()-4,"000000"))</f>
        <v/>
      </c>
      <c r="B33" s="32"/>
      <c r="C33" s="32"/>
      <c r="D33" s="33"/>
      <c r="E33" s="31"/>
      <c r="F33" s="32"/>
      <c r="G33" s="36" t="n">
        <f aca="false">IF($A33="",0,IF($F33="",0,IFERROR(INDEX(CM_DEVEDOR,MATCH($F33,CM_ID,0)),0)))</f>
        <v>0</v>
      </c>
      <c r="H33" s="36" t="str">
        <f aca="false">IF($A33="","",$D33-$G33)</f>
        <v/>
      </c>
      <c r="I33" s="32"/>
      <c r="J33" s="32"/>
    </row>
    <row r="34" customFormat="false" ht="15" hidden="false" customHeight="false" outlineLevel="0" collapsed="false">
      <c r="A34" s="30" t="str">
        <f aca="false">IF($B34="","","BEM-"&amp;TEXT(ROW()-4,"000000"))</f>
        <v/>
      </c>
      <c r="B34" s="32"/>
      <c r="C34" s="32"/>
      <c r="D34" s="33"/>
      <c r="E34" s="31"/>
      <c r="F34" s="32"/>
      <c r="G34" s="36" t="n">
        <f aca="false">IF($A34="",0,IF($F34="",0,IFERROR(INDEX(CM_DEVEDOR,MATCH($F34,CM_ID,0)),0)))</f>
        <v>0</v>
      </c>
      <c r="H34" s="36" t="str">
        <f aca="false">IF($A34="","",$D34-$G34)</f>
        <v/>
      </c>
      <c r="I34" s="32"/>
      <c r="J34" s="32"/>
    </row>
    <row r="35" customFormat="false" ht="15" hidden="false" customHeight="false" outlineLevel="0" collapsed="false">
      <c r="A35" s="30" t="str">
        <f aca="false">IF($B35="","","BEM-"&amp;TEXT(ROW()-4,"000000"))</f>
        <v/>
      </c>
      <c r="B35" s="32"/>
      <c r="C35" s="32"/>
      <c r="D35" s="33"/>
      <c r="E35" s="31"/>
      <c r="F35" s="32"/>
      <c r="G35" s="36" t="n">
        <f aca="false">IF($A35="",0,IF($F35="",0,IFERROR(INDEX(CM_DEVEDOR,MATCH($F35,CM_ID,0)),0)))</f>
        <v>0</v>
      </c>
      <c r="H35" s="36" t="str">
        <f aca="false">IF($A35="","",$D35-$G35)</f>
        <v/>
      </c>
      <c r="I35" s="32"/>
      <c r="J35" s="32"/>
    </row>
    <row r="36" customFormat="false" ht="15" hidden="false" customHeight="false" outlineLevel="0" collapsed="false">
      <c r="A36" s="30" t="str">
        <f aca="false">IF($B36="","","BEM-"&amp;TEXT(ROW()-4,"000000"))</f>
        <v/>
      </c>
      <c r="B36" s="32"/>
      <c r="C36" s="32"/>
      <c r="D36" s="33"/>
      <c r="E36" s="31"/>
      <c r="F36" s="32"/>
      <c r="G36" s="36" t="n">
        <f aca="false">IF($A36="",0,IF($F36="",0,IFERROR(INDEX(CM_DEVEDOR,MATCH($F36,CM_ID,0)),0)))</f>
        <v>0</v>
      </c>
      <c r="H36" s="36" t="str">
        <f aca="false">IF($A36="","",$D36-$G36)</f>
        <v/>
      </c>
      <c r="I36" s="32"/>
      <c r="J36" s="32"/>
    </row>
    <row r="37" customFormat="false" ht="15" hidden="false" customHeight="false" outlineLevel="0" collapsed="false">
      <c r="A37" s="30" t="str">
        <f aca="false">IF($B37="","","BEM-"&amp;TEXT(ROW()-4,"000000"))</f>
        <v/>
      </c>
      <c r="B37" s="32"/>
      <c r="C37" s="32"/>
      <c r="D37" s="33"/>
      <c r="E37" s="31"/>
      <c r="F37" s="32"/>
      <c r="G37" s="36" t="n">
        <f aca="false">IF($A37="",0,IF($F37="",0,IFERROR(INDEX(CM_DEVEDOR,MATCH($F37,CM_ID,0)),0)))</f>
        <v>0</v>
      </c>
      <c r="H37" s="36" t="str">
        <f aca="false">IF($A37="","",$D37-$G37)</f>
        <v/>
      </c>
      <c r="I37" s="32"/>
      <c r="J37" s="32"/>
    </row>
    <row r="38" customFormat="false" ht="15" hidden="false" customHeight="false" outlineLevel="0" collapsed="false">
      <c r="A38" s="30" t="str">
        <f aca="false">IF($B38="","","BEM-"&amp;TEXT(ROW()-4,"000000"))</f>
        <v/>
      </c>
      <c r="B38" s="32"/>
      <c r="C38" s="32"/>
      <c r="D38" s="33"/>
      <c r="E38" s="31"/>
      <c r="F38" s="32"/>
      <c r="G38" s="36" t="n">
        <f aca="false">IF($A38="",0,IF($F38="",0,IFERROR(INDEX(CM_DEVEDOR,MATCH($F38,CM_ID,0)),0)))</f>
        <v>0</v>
      </c>
      <c r="H38" s="36" t="str">
        <f aca="false">IF($A38="","",$D38-$G38)</f>
        <v/>
      </c>
      <c r="I38" s="32"/>
      <c r="J38" s="32"/>
    </row>
    <row r="39" customFormat="false" ht="15" hidden="false" customHeight="false" outlineLevel="0" collapsed="false">
      <c r="A39" s="30" t="str">
        <f aca="false">IF($B39="","","BEM-"&amp;TEXT(ROW()-4,"000000"))</f>
        <v/>
      </c>
      <c r="B39" s="32"/>
      <c r="C39" s="32"/>
      <c r="D39" s="33"/>
      <c r="E39" s="31"/>
      <c r="F39" s="32"/>
      <c r="G39" s="36" t="n">
        <f aca="false">IF($A39="",0,IF($F39="",0,IFERROR(INDEX(CM_DEVEDOR,MATCH($F39,CM_ID,0)),0)))</f>
        <v>0</v>
      </c>
      <c r="H39" s="36" t="str">
        <f aca="false">IF($A39="","",$D39-$G39)</f>
        <v/>
      </c>
      <c r="I39" s="32"/>
      <c r="J39" s="32"/>
    </row>
    <row r="40" customFormat="false" ht="15" hidden="false" customHeight="false" outlineLevel="0" collapsed="false">
      <c r="A40" s="30" t="str">
        <f aca="false">IF($B40="","","BEM-"&amp;TEXT(ROW()-4,"000000"))</f>
        <v/>
      </c>
      <c r="B40" s="32"/>
      <c r="C40" s="32"/>
      <c r="D40" s="33"/>
      <c r="E40" s="31"/>
      <c r="F40" s="32"/>
      <c r="G40" s="36" t="n">
        <f aca="false">IF($A40="",0,IF($F40="",0,IFERROR(INDEX(CM_DEVEDOR,MATCH($F40,CM_ID,0)),0)))</f>
        <v>0</v>
      </c>
      <c r="H40" s="36" t="str">
        <f aca="false">IF($A40="","",$D40-$G40)</f>
        <v/>
      </c>
      <c r="I40" s="32"/>
      <c r="J40" s="32"/>
    </row>
    <row r="41" customFormat="false" ht="15" hidden="false" customHeight="false" outlineLevel="0" collapsed="false">
      <c r="A41" s="30" t="str">
        <f aca="false">IF($B41="","","BEM-"&amp;TEXT(ROW()-4,"000000"))</f>
        <v/>
      </c>
      <c r="B41" s="32"/>
      <c r="C41" s="32"/>
      <c r="D41" s="33"/>
      <c r="E41" s="31"/>
      <c r="F41" s="32"/>
      <c r="G41" s="36" t="n">
        <f aca="false">IF($A41="",0,IF($F41="",0,IFERROR(INDEX(CM_DEVEDOR,MATCH($F41,CM_ID,0)),0)))</f>
        <v>0</v>
      </c>
      <c r="H41" s="36" t="str">
        <f aca="false">IF($A41="","",$D41-$G41)</f>
        <v/>
      </c>
      <c r="I41" s="32"/>
      <c r="J41" s="32"/>
    </row>
    <row r="42" customFormat="false" ht="15" hidden="false" customHeight="false" outlineLevel="0" collapsed="false">
      <c r="A42" s="30" t="str">
        <f aca="false">IF($B42="","","BEM-"&amp;TEXT(ROW()-4,"000000"))</f>
        <v/>
      </c>
      <c r="B42" s="32"/>
      <c r="C42" s="32"/>
      <c r="D42" s="33"/>
      <c r="E42" s="31"/>
      <c r="F42" s="32"/>
      <c r="G42" s="36" t="n">
        <f aca="false">IF($A42="",0,IF($F42="",0,IFERROR(INDEX(CM_DEVEDOR,MATCH($F42,CM_ID,0)),0)))</f>
        <v>0</v>
      </c>
      <c r="H42" s="36" t="str">
        <f aca="false">IF($A42="","",$D42-$G42)</f>
        <v/>
      </c>
      <c r="I42" s="32"/>
      <c r="J42" s="32"/>
    </row>
    <row r="43" customFormat="false" ht="15" hidden="false" customHeight="false" outlineLevel="0" collapsed="false">
      <c r="A43" s="30" t="str">
        <f aca="false">IF($B43="","","BEM-"&amp;TEXT(ROW()-4,"000000"))</f>
        <v/>
      </c>
      <c r="B43" s="32"/>
      <c r="C43" s="32"/>
      <c r="D43" s="33"/>
      <c r="E43" s="31"/>
      <c r="F43" s="32"/>
      <c r="G43" s="36" t="n">
        <f aca="false">IF($A43="",0,IF($F43="",0,IFERROR(INDEX(CM_DEVEDOR,MATCH($F43,CM_ID,0)),0)))</f>
        <v>0</v>
      </c>
      <c r="H43" s="36" t="str">
        <f aca="false">IF($A43="","",$D43-$G43)</f>
        <v/>
      </c>
      <c r="I43" s="32"/>
      <c r="J43" s="32"/>
    </row>
    <row r="44" customFormat="false" ht="15" hidden="false" customHeight="false" outlineLevel="0" collapsed="false">
      <c r="A44" s="30" t="str">
        <f aca="false">IF($B44="","","BEM-"&amp;TEXT(ROW()-4,"000000"))</f>
        <v/>
      </c>
      <c r="B44" s="32"/>
      <c r="C44" s="32"/>
      <c r="D44" s="33"/>
      <c r="E44" s="31"/>
      <c r="F44" s="32"/>
      <c r="G44" s="36" t="n">
        <f aca="false">IF($A44="",0,IF($F44="",0,IFERROR(INDEX(CM_DEVEDOR,MATCH($F44,CM_ID,0)),0)))</f>
        <v>0</v>
      </c>
      <c r="H44" s="36" t="str">
        <f aca="false">IF($A44="","",$D44-$G44)</f>
        <v/>
      </c>
      <c r="I44" s="32"/>
      <c r="J44" s="32"/>
    </row>
  </sheetData>
  <autoFilter ref="A4:J44"/>
  <mergeCells count="2">
    <mergeCell ref="A1:J1"/>
    <mergeCell ref="A2:J2"/>
  </mergeCells>
  <dataValidations count="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LST_TIPOBEM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1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1" min="2" style="0" width="17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25.5" hidden="false" customHeight="true" outlineLevel="0" collapsed="false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2" t="s">
        <v>340</v>
      </c>
      <c r="B4" s="41" t="n">
        <f aca="false">EOMONTH(CFG_INICIO,0)+1</f>
        <v>46023</v>
      </c>
      <c r="D4" s="12" t="s">
        <v>341</v>
      </c>
      <c r="F4" s="42" t="n">
        <f aca="false">IF(CFG_RESERVA_FLUXO="SIM",SUMIFS(M_RESERV,M_FLUXO,"SIM",M_STATUS,"Ativa"),0)</f>
        <v>0</v>
      </c>
    </row>
    <row r="6" customFormat="false" ht="19.5" hidden="false" customHeight="true" outlineLevel="0" collapsed="false">
      <c r="A6" s="3" t="s">
        <v>342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30" hidden="false" customHeight="true" outlineLevel="0" collapsed="false">
      <c r="A7" s="8" t="s">
        <v>343</v>
      </c>
      <c r="B7" s="8" t="s">
        <v>324</v>
      </c>
      <c r="C7" s="8" t="s">
        <v>344</v>
      </c>
      <c r="D7" s="8" t="s">
        <v>169</v>
      </c>
      <c r="E7" s="8" t="s">
        <v>171</v>
      </c>
      <c r="F7" s="8" t="s">
        <v>172</v>
      </c>
      <c r="G7" s="8" t="s">
        <v>345</v>
      </c>
      <c r="H7" s="8" t="s">
        <v>175</v>
      </c>
      <c r="I7" s="8" t="s">
        <v>176</v>
      </c>
      <c r="J7" s="8" t="s">
        <v>346</v>
      </c>
      <c r="K7" s="8" t="s">
        <v>347</v>
      </c>
      <c r="L7" s="8" t="s">
        <v>173</v>
      </c>
      <c r="M7" s="8" t="s">
        <v>348</v>
      </c>
    </row>
    <row r="8" customFormat="false" ht="15" hidden="false" customHeight="false" outlineLevel="0" collapsed="false">
      <c r="A8" s="43" t="n">
        <f aca="false">YEAR($B8)*100+MONTH($B8)</f>
        <v>202601</v>
      </c>
      <c r="B8" s="44" t="n">
        <f aca="false">EDATE($B$4,0)</f>
        <v>46023</v>
      </c>
      <c r="C8" s="44" t="n">
        <f aca="false">EOMONTH($B8,0)</f>
        <v>46053</v>
      </c>
      <c r="D8" s="10" t="n">
        <f aca="false">SUM(C_SALDOINI)+SUMIFS(L_Ent,L_Data,"&lt;"&amp;$B8,L_Status,"REALIZADO")-SUMIFS(L_Sai,L_Data,"&lt;"&amp;$B8,L_Status,"REALIZADO")+SUMIFS(L_Ent,L_Data,"&lt;"&amp;$B8,L_Status,"PROJETADO")-SUMIFS(L_Sai,L_Data,"&lt;"&amp;$B8,L_Status,"PROJETADO")</f>
        <v>0</v>
      </c>
      <c r="E8" s="10" t="n">
        <f aca="false">SUMIFS(L_Ent,L_Data,"&gt;="&amp;$B8,L_Data,"&lt;="&amp;$C8,L_Status,"REALIZADO")</f>
        <v>0</v>
      </c>
      <c r="F8" s="10" t="n">
        <f aca="false">SUMIFS(L_Sai,L_Data,"&gt;="&amp;$B8,L_Data,"&lt;="&amp;$C8,L_Status,"REALIZADO")</f>
        <v>0</v>
      </c>
      <c r="G8" s="10" t="n">
        <f aca="false">$E8-$F8</f>
        <v>0</v>
      </c>
      <c r="H8" s="10" t="n">
        <f aca="false">SUMIFS(L_Ent,L_Data,"&gt;="&amp;$B8,L_Data,"&lt;="&amp;$C8,L_Status,"PROJETADO")</f>
        <v>0</v>
      </c>
      <c r="I8" s="10" t="n">
        <f aca="false">SUMIFS(L_Sai,L_Data,"&gt;="&amp;$B8,L_Data,"&lt;="&amp;$C8,L_Status,"PROJETADO")</f>
        <v>0</v>
      </c>
      <c r="J8" s="10" t="n">
        <f aca="false">$H8-$I8</f>
        <v>0</v>
      </c>
      <c r="K8" s="10" t="n">
        <f aca="false">$D8+$G8+$J8</f>
        <v>0</v>
      </c>
      <c r="L8" s="10" t="n">
        <f aca="false">$F$4</f>
        <v>0</v>
      </c>
      <c r="M8" s="10" t="n">
        <f aca="false">$K8-$L8</f>
        <v>0</v>
      </c>
    </row>
    <row r="9" customFormat="false" ht="15" hidden="false" customHeight="false" outlineLevel="0" collapsed="false">
      <c r="A9" s="43" t="n">
        <f aca="false">YEAR($B9)*100+MONTH($B9)</f>
        <v>202602</v>
      </c>
      <c r="B9" s="44" t="n">
        <f aca="false">EDATE($B$4,1)</f>
        <v>46054</v>
      </c>
      <c r="C9" s="44" t="n">
        <f aca="false">EOMONTH($B9,0)</f>
        <v>46081</v>
      </c>
      <c r="D9" s="10" t="n">
        <f aca="false">$K8</f>
        <v>0</v>
      </c>
      <c r="E9" s="10" t="n">
        <f aca="false">SUMIFS(L_Ent,L_Data,"&gt;="&amp;$B9,L_Data,"&lt;="&amp;$C9,L_Status,"REALIZADO")</f>
        <v>0</v>
      </c>
      <c r="F9" s="10" t="n">
        <f aca="false">SUMIFS(L_Sai,L_Data,"&gt;="&amp;$B9,L_Data,"&lt;="&amp;$C9,L_Status,"REALIZADO")</f>
        <v>0</v>
      </c>
      <c r="G9" s="10" t="n">
        <f aca="false">$E9-$F9</f>
        <v>0</v>
      </c>
      <c r="H9" s="10" t="n">
        <f aca="false">SUMIFS(L_Ent,L_Data,"&gt;="&amp;$B9,L_Data,"&lt;="&amp;$C9,L_Status,"PROJETADO")</f>
        <v>0</v>
      </c>
      <c r="I9" s="10" t="n">
        <f aca="false">SUMIFS(L_Sai,L_Data,"&gt;="&amp;$B9,L_Data,"&lt;="&amp;$C9,L_Status,"PROJETADO")</f>
        <v>0</v>
      </c>
      <c r="J9" s="10" t="n">
        <f aca="false">$H9-$I9</f>
        <v>0</v>
      </c>
      <c r="K9" s="10" t="n">
        <f aca="false">$D9+$G9+$J9</f>
        <v>0</v>
      </c>
      <c r="L9" s="10" t="n">
        <f aca="false">$F$4</f>
        <v>0</v>
      </c>
      <c r="M9" s="10" t="n">
        <f aca="false">$K9-$L9</f>
        <v>0</v>
      </c>
    </row>
    <row r="10" customFormat="false" ht="15" hidden="false" customHeight="false" outlineLevel="0" collapsed="false">
      <c r="A10" s="43" t="n">
        <f aca="false">YEAR($B10)*100+MONTH($B10)</f>
        <v>202603</v>
      </c>
      <c r="B10" s="44" t="n">
        <f aca="false">EDATE($B$4,2)</f>
        <v>46082</v>
      </c>
      <c r="C10" s="44" t="n">
        <f aca="false">EOMONTH($B10,0)</f>
        <v>46112</v>
      </c>
      <c r="D10" s="10" t="n">
        <f aca="false">$K9</f>
        <v>0</v>
      </c>
      <c r="E10" s="10" t="n">
        <f aca="false">SUMIFS(L_Ent,L_Data,"&gt;="&amp;$B10,L_Data,"&lt;="&amp;$C10,L_Status,"REALIZADO")</f>
        <v>0</v>
      </c>
      <c r="F10" s="10" t="n">
        <f aca="false">SUMIFS(L_Sai,L_Data,"&gt;="&amp;$B10,L_Data,"&lt;="&amp;$C10,L_Status,"REALIZADO")</f>
        <v>0</v>
      </c>
      <c r="G10" s="10" t="n">
        <f aca="false">$E10-$F10</f>
        <v>0</v>
      </c>
      <c r="H10" s="10" t="n">
        <f aca="false">SUMIFS(L_Ent,L_Data,"&gt;="&amp;$B10,L_Data,"&lt;="&amp;$C10,L_Status,"PROJETADO")</f>
        <v>0</v>
      </c>
      <c r="I10" s="10" t="n">
        <f aca="false">SUMIFS(L_Sai,L_Data,"&gt;="&amp;$B10,L_Data,"&lt;="&amp;$C10,L_Status,"PROJETADO")</f>
        <v>0</v>
      </c>
      <c r="J10" s="10" t="n">
        <f aca="false">$H10-$I10</f>
        <v>0</v>
      </c>
      <c r="K10" s="10" t="n">
        <f aca="false">$D10+$G10+$J10</f>
        <v>0</v>
      </c>
      <c r="L10" s="10" t="n">
        <f aca="false">$F$4</f>
        <v>0</v>
      </c>
      <c r="M10" s="10" t="n">
        <f aca="false">$K10-$L10</f>
        <v>0</v>
      </c>
    </row>
    <row r="11" customFormat="false" ht="15" hidden="false" customHeight="false" outlineLevel="0" collapsed="false">
      <c r="A11" s="43" t="n">
        <f aca="false">YEAR($B11)*100+MONTH($B11)</f>
        <v>202604</v>
      </c>
      <c r="B11" s="44" t="n">
        <f aca="false">EDATE($B$4,3)</f>
        <v>46113</v>
      </c>
      <c r="C11" s="44" t="n">
        <f aca="false">EOMONTH($B11,0)</f>
        <v>46142</v>
      </c>
      <c r="D11" s="10" t="n">
        <f aca="false">$K10</f>
        <v>0</v>
      </c>
      <c r="E11" s="10" t="n">
        <f aca="false">SUMIFS(L_Ent,L_Data,"&gt;="&amp;$B11,L_Data,"&lt;="&amp;$C11,L_Status,"REALIZADO")</f>
        <v>0</v>
      </c>
      <c r="F11" s="10" t="n">
        <f aca="false">SUMIFS(L_Sai,L_Data,"&gt;="&amp;$B11,L_Data,"&lt;="&amp;$C11,L_Status,"REALIZADO")</f>
        <v>0</v>
      </c>
      <c r="G11" s="10" t="n">
        <f aca="false">$E11-$F11</f>
        <v>0</v>
      </c>
      <c r="H11" s="10" t="n">
        <f aca="false">SUMIFS(L_Ent,L_Data,"&gt;="&amp;$B11,L_Data,"&lt;="&amp;$C11,L_Status,"PROJETADO")</f>
        <v>0</v>
      </c>
      <c r="I11" s="10" t="n">
        <f aca="false">SUMIFS(L_Sai,L_Data,"&gt;="&amp;$B11,L_Data,"&lt;="&amp;$C11,L_Status,"PROJETADO")</f>
        <v>0</v>
      </c>
      <c r="J11" s="10" t="n">
        <f aca="false">$H11-$I11</f>
        <v>0</v>
      </c>
      <c r="K11" s="10" t="n">
        <f aca="false">$D11+$G11+$J11</f>
        <v>0</v>
      </c>
      <c r="L11" s="10" t="n">
        <f aca="false">$F$4</f>
        <v>0</v>
      </c>
      <c r="M11" s="10" t="n">
        <f aca="false">$K11-$L11</f>
        <v>0</v>
      </c>
    </row>
    <row r="12" customFormat="false" ht="15" hidden="false" customHeight="false" outlineLevel="0" collapsed="false">
      <c r="A12" s="43" t="n">
        <f aca="false">YEAR($B12)*100+MONTH($B12)</f>
        <v>202605</v>
      </c>
      <c r="B12" s="44" t="n">
        <f aca="false">EDATE($B$4,4)</f>
        <v>46143</v>
      </c>
      <c r="C12" s="44" t="n">
        <f aca="false">EOMONTH($B12,0)</f>
        <v>46173</v>
      </c>
      <c r="D12" s="10" t="n">
        <f aca="false">$K11</f>
        <v>0</v>
      </c>
      <c r="E12" s="10" t="n">
        <f aca="false">SUMIFS(L_Ent,L_Data,"&gt;="&amp;$B12,L_Data,"&lt;="&amp;$C12,L_Status,"REALIZADO")</f>
        <v>0</v>
      </c>
      <c r="F12" s="10" t="n">
        <f aca="false">SUMIFS(L_Sai,L_Data,"&gt;="&amp;$B12,L_Data,"&lt;="&amp;$C12,L_Status,"REALIZADO")</f>
        <v>0</v>
      </c>
      <c r="G12" s="10" t="n">
        <f aca="false">$E12-$F12</f>
        <v>0</v>
      </c>
      <c r="H12" s="10" t="n">
        <f aca="false">SUMIFS(L_Ent,L_Data,"&gt;="&amp;$B12,L_Data,"&lt;="&amp;$C12,L_Status,"PROJETADO")</f>
        <v>0</v>
      </c>
      <c r="I12" s="10" t="n">
        <f aca="false">SUMIFS(L_Sai,L_Data,"&gt;="&amp;$B12,L_Data,"&lt;="&amp;$C12,L_Status,"PROJETADO")</f>
        <v>0</v>
      </c>
      <c r="J12" s="10" t="n">
        <f aca="false">$H12-$I12</f>
        <v>0</v>
      </c>
      <c r="K12" s="10" t="n">
        <f aca="false">$D12+$G12+$J12</f>
        <v>0</v>
      </c>
      <c r="L12" s="10" t="n">
        <f aca="false">$F$4</f>
        <v>0</v>
      </c>
      <c r="M12" s="10" t="n">
        <f aca="false">$K12-$L12</f>
        <v>0</v>
      </c>
    </row>
    <row r="13" customFormat="false" ht="15" hidden="false" customHeight="false" outlineLevel="0" collapsed="false">
      <c r="A13" s="43" t="n">
        <f aca="false">YEAR($B13)*100+MONTH($B13)</f>
        <v>202606</v>
      </c>
      <c r="B13" s="44" t="n">
        <f aca="false">EDATE($B$4,5)</f>
        <v>46174</v>
      </c>
      <c r="C13" s="44" t="n">
        <f aca="false">EOMONTH($B13,0)</f>
        <v>46203</v>
      </c>
      <c r="D13" s="10" t="n">
        <f aca="false">$K12</f>
        <v>0</v>
      </c>
      <c r="E13" s="10" t="n">
        <f aca="false">SUMIFS(L_Ent,L_Data,"&gt;="&amp;$B13,L_Data,"&lt;="&amp;$C13,L_Status,"REALIZADO")</f>
        <v>0</v>
      </c>
      <c r="F13" s="10" t="n">
        <f aca="false">SUMIFS(L_Sai,L_Data,"&gt;="&amp;$B13,L_Data,"&lt;="&amp;$C13,L_Status,"REALIZADO")</f>
        <v>0</v>
      </c>
      <c r="G13" s="10" t="n">
        <f aca="false">$E13-$F13</f>
        <v>0</v>
      </c>
      <c r="H13" s="10" t="n">
        <f aca="false">SUMIFS(L_Ent,L_Data,"&gt;="&amp;$B13,L_Data,"&lt;="&amp;$C13,L_Status,"PROJETADO")</f>
        <v>0</v>
      </c>
      <c r="I13" s="10" t="n">
        <f aca="false">SUMIFS(L_Sai,L_Data,"&gt;="&amp;$B13,L_Data,"&lt;="&amp;$C13,L_Status,"PROJETADO")</f>
        <v>0</v>
      </c>
      <c r="J13" s="10" t="n">
        <f aca="false">$H13-$I13</f>
        <v>0</v>
      </c>
      <c r="K13" s="10" t="n">
        <f aca="false">$D13+$G13+$J13</f>
        <v>0</v>
      </c>
      <c r="L13" s="10" t="n">
        <f aca="false">$F$4</f>
        <v>0</v>
      </c>
      <c r="M13" s="10" t="n">
        <f aca="false">$K13-$L13</f>
        <v>0</v>
      </c>
    </row>
    <row r="14" customFormat="false" ht="15" hidden="false" customHeight="false" outlineLevel="0" collapsed="false">
      <c r="A14" s="43" t="n">
        <f aca="false">YEAR($B14)*100+MONTH($B14)</f>
        <v>202607</v>
      </c>
      <c r="B14" s="44" t="n">
        <f aca="false">EDATE($B$4,6)</f>
        <v>46204</v>
      </c>
      <c r="C14" s="44" t="n">
        <f aca="false">EOMONTH($B14,0)</f>
        <v>46234</v>
      </c>
      <c r="D14" s="10" t="n">
        <f aca="false">$K13</f>
        <v>0</v>
      </c>
      <c r="E14" s="10" t="n">
        <f aca="false">SUMIFS(L_Ent,L_Data,"&gt;="&amp;$B14,L_Data,"&lt;="&amp;$C14,L_Status,"REALIZADO")</f>
        <v>0</v>
      </c>
      <c r="F14" s="10" t="n">
        <f aca="false">SUMIFS(L_Sai,L_Data,"&gt;="&amp;$B14,L_Data,"&lt;="&amp;$C14,L_Status,"REALIZADO")</f>
        <v>0</v>
      </c>
      <c r="G14" s="10" t="n">
        <f aca="false">$E14-$F14</f>
        <v>0</v>
      </c>
      <c r="H14" s="10" t="n">
        <f aca="false">SUMIFS(L_Ent,L_Data,"&gt;="&amp;$B14,L_Data,"&lt;="&amp;$C14,L_Status,"PROJETADO")</f>
        <v>0</v>
      </c>
      <c r="I14" s="10" t="n">
        <f aca="false">SUMIFS(L_Sai,L_Data,"&gt;="&amp;$B14,L_Data,"&lt;="&amp;$C14,L_Status,"PROJETADO")</f>
        <v>0</v>
      </c>
      <c r="J14" s="10" t="n">
        <f aca="false">$H14-$I14</f>
        <v>0</v>
      </c>
      <c r="K14" s="10" t="n">
        <f aca="false">$D14+$G14+$J14</f>
        <v>0</v>
      </c>
      <c r="L14" s="10" t="n">
        <f aca="false">$F$4</f>
        <v>0</v>
      </c>
      <c r="M14" s="10" t="n">
        <f aca="false">$K14-$L14</f>
        <v>0</v>
      </c>
    </row>
    <row r="15" customFormat="false" ht="15" hidden="false" customHeight="false" outlineLevel="0" collapsed="false">
      <c r="A15" s="43" t="n">
        <f aca="false">YEAR($B15)*100+MONTH($B15)</f>
        <v>202608</v>
      </c>
      <c r="B15" s="44" t="n">
        <f aca="false">EDATE($B$4,7)</f>
        <v>46235</v>
      </c>
      <c r="C15" s="44" t="n">
        <f aca="false">EOMONTH($B15,0)</f>
        <v>46265</v>
      </c>
      <c r="D15" s="10" t="n">
        <f aca="false">$K14</f>
        <v>0</v>
      </c>
      <c r="E15" s="10" t="n">
        <f aca="false">SUMIFS(L_Ent,L_Data,"&gt;="&amp;$B15,L_Data,"&lt;="&amp;$C15,L_Status,"REALIZADO")</f>
        <v>0</v>
      </c>
      <c r="F15" s="10" t="n">
        <f aca="false">SUMIFS(L_Sai,L_Data,"&gt;="&amp;$B15,L_Data,"&lt;="&amp;$C15,L_Status,"REALIZADO")</f>
        <v>0</v>
      </c>
      <c r="G15" s="10" t="n">
        <f aca="false">$E15-$F15</f>
        <v>0</v>
      </c>
      <c r="H15" s="10" t="n">
        <f aca="false">SUMIFS(L_Ent,L_Data,"&gt;="&amp;$B15,L_Data,"&lt;="&amp;$C15,L_Status,"PROJETADO")</f>
        <v>0</v>
      </c>
      <c r="I15" s="10" t="n">
        <f aca="false">SUMIFS(L_Sai,L_Data,"&gt;="&amp;$B15,L_Data,"&lt;="&amp;$C15,L_Status,"PROJETADO")</f>
        <v>0</v>
      </c>
      <c r="J15" s="10" t="n">
        <f aca="false">$H15-$I15</f>
        <v>0</v>
      </c>
      <c r="K15" s="10" t="n">
        <f aca="false">$D15+$G15+$J15</f>
        <v>0</v>
      </c>
      <c r="L15" s="10" t="n">
        <f aca="false">$F$4</f>
        <v>0</v>
      </c>
      <c r="M15" s="10" t="n">
        <f aca="false">$K15-$L15</f>
        <v>0</v>
      </c>
    </row>
    <row r="16" customFormat="false" ht="15" hidden="false" customHeight="false" outlineLevel="0" collapsed="false">
      <c r="A16" s="43" t="n">
        <f aca="false">YEAR($B16)*100+MONTH($B16)</f>
        <v>202609</v>
      </c>
      <c r="B16" s="44" t="n">
        <f aca="false">EDATE($B$4,8)</f>
        <v>46266</v>
      </c>
      <c r="C16" s="44" t="n">
        <f aca="false">EOMONTH($B16,0)</f>
        <v>46295</v>
      </c>
      <c r="D16" s="10" t="n">
        <f aca="false">$K15</f>
        <v>0</v>
      </c>
      <c r="E16" s="10" t="n">
        <f aca="false">SUMIFS(L_Ent,L_Data,"&gt;="&amp;$B16,L_Data,"&lt;="&amp;$C16,L_Status,"REALIZADO")</f>
        <v>0</v>
      </c>
      <c r="F16" s="10" t="n">
        <f aca="false">SUMIFS(L_Sai,L_Data,"&gt;="&amp;$B16,L_Data,"&lt;="&amp;$C16,L_Status,"REALIZADO")</f>
        <v>0</v>
      </c>
      <c r="G16" s="10" t="n">
        <f aca="false">$E16-$F16</f>
        <v>0</v>
      </c>
      <c r="H16" s="10" t="n">
        <f aca="false">SUMIFS(L_Ent,L_Data,"&gt;="&amp;$B16,L_Data,"&lt;="&amp;$C16,L_Status,"PROJETADO")</f>
        <v>0</v>
      </c>
      <c r="I16" s="10" t="n">
        <f aca="false">SUMIFS(L_Sai,L_Data,"&gt;="&amp;$B16,L_Data,"&lt;="&amp;$C16,L_Status,"PROJETADO")</f>
        <v>0</v>
      </c>
      <c r="J16" s="10" t="n">
        <f aca="false">$H16-$I16</f>
        <v>0</v>
      </c>
      <c r="K16" s="10" t="n">
        <f aca="false">$D16+$G16+$J16</f>
        <v>0</v>
      </c>
      <c r="L16" s="10" t="n">
        <f aca="false">$F$4</f>
        <v>0</v>
      </c>
      <c r="M16" s="10" t="n">
        <f aca="false">$K16-$L16</f>
        <v>0</v>
      </c>
    </row>
    <row r="17" customFormat="false" ht="15" hidden="false" customHeight="false" outlineLevel="0" collapsed="false">
      <c r="A17" s="43" t="n">
        <f aca="false">YEAR($B17)*100+MONTH($B17)</f>
        <v>202610</v>
      </c>
      <c r="B17" s="44" t="n">
        <f aca="false">EDATE($B$4,9)</f>
        <v>46296</v>
      </c>
      <c r="C17" s="44" t="n">
        <f aca="false">EOMONTH($B17,0)</f>
        <v>46326</v>
      </c>
      <c r="D17" s="10" t="n">
        <f aca="false">$K16</f>
        <v>0</v>
      </c>
      <c r="E17" s="10" t="n">
        <f aca="false">SUMIFS(L_Ent,L_Data,"&gt;="&amp;$B17,L_Data,"&lt;="&amp;$C17,L_Status,"REALIZADO")</f>
        <v>0</v>
      </c>
      <c r="F17" s="10" t="n">
        <f aca="false">SUMIFS(L_Sai,L_Data,"&gt;="&amp;$B17,L_Data,"&lt;="&amp;$C17,L_Status,"REALIZADO")</f>
        <v>0</v>
      </c>
      <c r="G17" s="10" t="n">
        <f aca="false">$E17-$F17</f>
        <v>0</v>
      </c>
      <c r="H17" s="10" t="n">
        <f aca="false">SUMIFS(L_Ent,L_Data,"&gt;="&amp;$B17,L_Data,"&lt;="&amp;$C17,L_Status,"PROJETADO")</f>
        <v>0</v>
      </c>
      <c r="I17" s="10" t="n">
        <f aca="false">SUMIFS(L_Sai,L_Data,"&gt;="&amp;$B17,L_Data,"&lt;="&amp;$C17,L_Status,"PROJETADO")</f>
        <v>0</v>
      </c>
      <c r="J17" s="10" t="n">
        <f aca="false">$H17-$I17</f>
        <v>0</v>
      </c>
      <c r="K17" s="10" t="n">
        <f aca="false">$D17+$G17+$J17</f>
        <v>0</v>
      </c>
      <c r="L17" s="10" t="n">
        <f aca="false">$F$4</f>
        <v>0</v>
      </c>
      <c r="M17" s="10" t="n">
        <f aca="false">$K17-$L17</f>
        <v>0</v>
      </c>
    </row>
    <row r="18" customFormat="false" ht="15" hidden="false" customHeight="false" outlineLevel="0" collapsed="false">
      <c r="A18" s="43" t="n">
        <f aca="false">YEAR($B18)*100+MONTH($B18)</f>
        <v>202611</v>
      </c>
      <c r="B18" s="44" t="n">
        <f aca="false">EDATE($B$4,10)</f>
        <v>46327</v>
      </c>
      <c r="C18" s="44" t="n">
        <f aca="false">EOMONTH($B18,0)</f>
        <v>46356</v>
      </c>
      <c r="D18" s="10" t="n">
        <f aca="false">$K17</f>
        <v>0</v>
      </c>
      <c r="E18" s="10" t="n">
        <f aca="false">SUMIFS(L_Ent,L_Data,"&gt;="&amp;$B18,L_Data,"&lt;="&amp;$C18,L_Status,"REALIZADO")</f>
        <v>0</v>
      </c>
      <c r="F18" s="10" t="n">
        <f aca="false">SUMIFS(L_Sai,L_Data,"&gt;="&amp;$B18,L_Data,"&lt;="&amp;$C18,L_Status,"REALIZADO")</f>
        <v>0</v>
      </c>
      <c r="G18" s="10" t="n">
        <f aca="false">$E18-$F18</f>
        <v>0</v>
      </c>
      <c r="H18" s="10" t="n">
        <f aca="false">SUMIFS(L_Ent,L_Data,"&gt;="&amp;$B18,L_Data,"&lt;="&amp;$C18,L_Status,"PROJETADO")</f>
        <v>0</v>
      </c>
      <c r="I18" s="10" t="n">
        <f aca="false">SUMIFS(L_Sai,L_Data,"&gt;="&amp;$B18,L_Data,"&lt;="&amp;$C18,L_Status,"PROJETADO")</f>
        <v>0</v>
      </c>
      <c r="J18" s="10" t="n">
        <f aca="false">$H18-$I18</f>
        <v>0</v>
      </c>
      <c r="K18" s="10" t="n">
        <f aca="false">$D18+$G18+$J18</f>
        <v>0</v>
      </c>
      <c r="L18" s="10" t="n">
        <f aca="false">$F$4</f>
        <v>0</v>
      </c>
      <c r="M18" s="10" t="n">
        <f aca="false">$K18-$L18</f>
        <v>0</v>
      </c>
    </row>
    <row r="19" customFormat="false" ht="15" hidden="false" customHeight="false" outlineLevel="0" collapsed="false">
      <c r="A19" s="43" t="n">
        <f aca="false">YEAR($B19)*100+MONTH($B19)</f>
        <v>202612</v>
      </c>
      <c r="B19" s="44" t="n">
        <f aca="false">EDATE($B$4,11)</f>
        <v>46357</v>
      </c>
      <c r="C19" s="44" t="n">
        <f aca="false">EOMONTH($B19,0)</f>
        <v>46387</v>
      </c>
      <c r="D19" s="10" t="n">
        <f aca="false">$K18</f>
        <v>0</v>
      </c>
      <c r="E19" s="10" t="n">
        <f aca="false">SUMIFS(L_Ent,L_Data,"&gt;="&amp;$B19,L_Data,"&lt;="&amp;$C19,L_Status,"REALIZADO")</f>
        <v>0</v>
      </c>
      <c r="F19" s="10" t="n">
        <f aca="false">SUMIFS(L_Sai,L_Data,"&gt;="&amp;$B19,L_Data,"&lt;="&amp;$C19,L_Status,"REALIZADO")</f>
        <v>0</v>
      </c>
      <c r="G19" s="10" t="n">
        <f aca="false">$E19-$F19</f>
        <v>0</v>
      </c>
      <c r="H19" s="10" t="n">
        <f aca="false">SUMIFS(L_Ent,L_Data,"&gt;="&amp;$B19,L_Data,"&lt;="&amp;$C19,L_Status,"PROJETADO")</f>
        <v>0</v>
      </c>
      <c r="I19" s="10" t="n">
        <f aca="false">SUMIFS(L_Sai,L_Data,"&gt;="&amp;$B19,L_Data,"&lt;="&amp;$C19,L_Status,"PROJETADO")</f>
        <v>0</v>
      </c>
      <c r="J19" s="10" t="n">
        <f aca="false">$H19-$I19</f>
        <v>0</v>
      </c>
      <c r="K19" s="10" t="n">
        <f aca="false">$D19+$G19+$J19</f>
        <v>0</v>
      </c>
      <c r="L19" s="10" t="n">
        <f aca="false">$F$4</f>
        <v>0</v>
      </c>
      <c r="M19" s="10" t="n">
        <f aca="false">$K19-$L19</f>
        <v>0</v>
      </c>
    </row>
    <row r="20" customFormat="false" ht="15" hidden="false" customHeight="false" outlineLevel="0" collapsed="false">
      <c r="A20" s="43" t="n">
        <f aca="false">YEAR($B20)*100+MONTH($B20)</f>
        <v>202701</v>
      </c>
      <c r="B20" s="44" t="n">
        <f aca="false">EDATE($B$4,12)</f>
        <v>46388</v>
      </c>
      <c r="C20" s="44" t="n">
        <f aca="false">EOMONTH($B20,0)</f>
        <v>46418</v>
      </c>
      <c r="D20" s="10" t="n">
        <f aca="false">$K19</f>
        <v>0</v>
      </c>
      <c r="E20" s="10" t="n">
        <f aca="false">SUMIFS(L_Ent,L_Data,"&gt;="&amp;$B20,L_Data,"&lt;="&amp;$C20,L_Status,"REALIZADO")</f>
        <v>0</v>
      </c>
      <c r="F20" s="10" t="n">
        <f aca="false">SUMIFS(L_Sai,L_Data,"&gt;="&amp;$B20,L_Data,"&lt;="&amp;$C20,L_Status,"REALIZADO")</f>
        <v>0</v>
      </c>
      <c r="G20" s="10" t="n">
        <f aca="false">$E20-$F20</f>
        <v>0</v>
      </c>
      <c r="H20" s="10" t="n">
        <f aca="false">SUMIFS(L_Ent,L_Data,"&gt;="&amp;$B20,L_Data,"&lt;="&amp;$C20,L_Status,"PROJETADO")</f>
        <v>0</v>
      </c>
      <c r="I20" s="10" t="n">
        <f aca="false">SUMIFS(L_Sai,L_Data,"&gt;="&amp;$B20,L_Data,"&lt;="&amp;$C20,L_Status,"PROJETADO")</f>
        <v>0</v>
      </c>
      <c r="J20" s="10" t="n">
        <f aca="false">$H20-$I20</f>
        <v>0</v>
      </c>
      <c r="K20" s="10" t="n">
        <f aca="false">$D20+$G20+$J20</f>
        <v>0</v>
      </c>
      <c r="L20" s="10" t="n">
        <f aca="false">$F$4</f>
        <v>0</v>
      </c>
      <c r="M20" s="10" t="n">
        <f aca="false">$K20-$L20</f>
        <v>0</v>
      </c>
    </row>
    <row r="21" customFormat="false" ht="15" hidden="false" customHeight="false" outlineLevel="0" collapsed="false">
      <c r="A21" s="43" t="n">
        <f aca="false">YEAR($B21)*100+MONTH($B21)</f>
        <v>202702</v>
      </c>
      <c r="B21" s="44" t="n">
        <f aca="false">EDATE($B$4,13)</f>
        <v>46419</v>
      </c>
      <c r="C21" s="44" t="n">
        <f aca="false">EOMONTH($B21,0)</f>
        <v>46446</v>
      </c>
      <c r="D21" s="10" t="n">
        <f aca="false">$K20</f>
        <v>0</v>
      </c>
      <c r="E21" s="10" t="n">
        <f aca="false">SUMIFS(L_Ent,L_Data,"&gt;="&amp;$B21,L_Data,"&lt;="&amp;$C21,L_Status,"REALIZADO")</f>
        <v>0</v>
      </c>
      <c r="F21" s="10" t="n">
        <f aca="false">SUMIFS(L_Sai,L_Data,"&gt;="&amp;$B21,L_Data,"&lt;="&amp;$C21,L_Status,"REALIZADO")</f>
        <v>0</v>
      </c>
      <c r="G21" s="10" t="n">
        <f aca="false">$E21-$F21</f>
        <v>0</v>
      </c>
      <c r="H21" s="10" t="n">
        <f aca="false">SUMIFS(L_Ent,L_Data,"&gt;="&amp;$B21,L_Data,"&lt;="&amp;$C21,L_Status,"PROJETADO")</f>
        <v>0</v>
      </c>
      <c r="I21" s="10" t="n">
        <f aca="false">SUMIFS(L_Sai,L_Data,"&gt;="&amp;$B21,L_Data,"&lt;="&amp;$C21,L_Status,"PROJETADO")</f>
        <v>0</v>
      </c>
      <c r="J21" s="10" t="n">
        <f aca="false">$H21-$I21</f>
        <v>0</v>
      </c>
      <c r="K21" s="10" t="n">
        <f aca="false">$D21+$G21+$J21</f>
        <v>0</v>
      </c>
      <c r="L21" s="10" t="n">
        <f aca="false">$F$4</f>
        <v>0</v>
      </c>
      <c r="M21" s="10" t="n">
        <f aca="false">$K21-$L21</f>
        <v>0</v>
      </c>
    </row>
    <row r="22" customFormat="false" ht="15" hidden="false" customHeight="false" outlineLevel="0" collapsed="false">
      <c r="A22" s="43" t="n">
        <f aca="false">YEAR($B22)*100+MONTH($B22)</f>
        <v>202703</v>
      </c>
      <c r="B22" s="44" t="n">
        <f aca="false">EDATE($B$4,14)</f>
        <v>46447</v>
      </c>
      <c r="C22" s="44" t="n">
        <f aca="false">EOMONTH($B22,0)</f>
        <v>46477</v>
      </c>
      <c r="D22" s="10" t="n">
        <f aca="false">$K21</f>
        <v>0</v>
      </c>
      <c r="E22" s="10" t="n">
        <f aca="false">SUMIFS(L_Ent,L_Data,"&gt;="&amp;$B22,L_Data,"&lt;="&amp;$C22,L_Status,"REALIZADO")</f>
        <v>0</v>
      </c>
      <c r="F22" s="10" t="n">
        <f aca="false">SUMIFS(L_Sai,L_Data,"&gt;="&amp;$B22,L_Data,"&lt;="&amp;$C22,L_Status,"REALIZADO")</f>
        <v>0</v>
      </c>
      <c r="G22" s="10" t="n">
        <f aca="false">$E22-$F22</f>
        <v>0</v>
      </c>
      <c r="H22" s="10" t="n">
        <f aca="false">SUMIFS(L_Ent,L_Data,"&gt;="&amp;$B22,L_Data,"&lt;="&amp;$C22,L_Status,"PROJETADO")</f>
        <v>0</v>
      </c>
      <c r="I22" s="10" t="n">
        <f aca="false">SUMIFS(L_Sai,L_Data,"&gt;="&amp;$B22,L_Data,"&lt;="&amp;$C22,L_Status,"PROJETADO")</f>
        <v>0</v>
      </c>
      <c r="J22" s="10" t="n">
        <f aca="false">$H22-$I22</f>
        <v>0</v>
      </c>
      <c r="K22" s="10" t="n">
        <f aca="false">$D22+$G22+$J22</f>
        <v>0</v>
      </c>
      <c r="L22" s="10" t="n">
        <f aca="false">$F$4</f>
        <v>0</v>
      </c>
      <c r="M22" s="10" t="n">
        <f aca="false">$K22-$L22</f>
        <v>0</v>
      </c>
    </row>
    <row r="23" customFormat="false" ht="15" hidden="false" customHeight="false" outlineLevel="0" collapsed="false">
      <c r="A23" s="43" t="n">
        <f aca="false">YEAR($B23)*100+MONTH($B23)</f>
        <v>202704</v>
      </c>
      <c r="B23" s="44" t="n">
        <f aca="false">EDATE($B$4,15)</f>
        <v>46478</v>
      </c>
      <c r="C23" s="44" t="n">
        <f aca="false">EOMONTH($B23,0)</f>
        <v>46507</v>
      </c>
      <c r="D23" s="10" t="n">
        <f aca="false">$K22</f>
        <v>0</v>
      </c>
      <c r="E23" s="10" t="n">
        <f aca="false">SUMIFS(L_Ent,L_Data,"&gt;="&amp;$B23,L_Data,"&lt;="&amp;$C23,L_Status,"REALIZADO")</f>
        <v>0</v>
      </c>
      <c r="F23" s="10" t="n">
        <f aca="false">SUMIFS(L_Sai,L_Data,"&gt;="&amp;$B23,L_Data,"&lt;="&amp;$C23,L_Status,"REALIZADO")</f>
        <v>0</v>
      </c>
      <c r="G23" s="10" t="n">
        <f aca="false">$E23-$F23</f>
        <v>0</v>
      </c>
      <c r="H23" s="10" t="n">
        <f aca="false">SUMIFS(L_Ent,L_Data,"&gt;="&amp;$B23,L_Data,"&lt;="&amp;$C23,L_Status,"PROJETADO")</f>
        <v>0</v>
      </c>
      <c r="I23" s="10" t="n">
        <f aca="false">SUMIFS(L_Sai,L_Data,"&gt;="&amp;$B23,L_Data,"&lt;="&amp;$C23,L_Status,"PROJETADO")</f>
        <v>0</v>
      </c>
      <c r="J23" s="10" t="n">
        <f aca="false">$H23-$I23</f>
        <v>0</v>
      </c>
      <c r="K23" s="10" t="n">
        <f aca="false">$D23+$G23+$J23</f>
        <v>0</v>
      </c>
      <c r="L23" s="10" t="n">
        <f aca="false">$F$4</f>
        <v>0</v>
      </c>
      <c r="M23" s="10" t="n">
        <f aca="false">$K23-$L23</f>
        <v>0</v>
      </c>
    </row>
    <row r="24" customFormat="false" ht="15" hidden="false" customHeight="false" outlineLevel="0" collapsed="false">
      <c r="A24" s="43" t="n">
        <f aca="false">YEAR($B24)*100+MONTH($B24)</f>
        <v>202705</v>
      </c>
      <c r="B24" s="44" t="n">
        <f aca="false">EDATE($B$4,16)</f>
        <v>46508</v>
      </c>
      <c r="C24" s="44" t="n">
        <f aca="false">EOMONTH($B24,0)</f>
        <v>46538</v>
      </c>
      <c r="D24" s="10" t="n">
        <f aca="false">$K23</f>
        <v>0</v>
      </c>
      <c r="E24" s="10" t="n">
        <f aca="false">SUMIFS(L_Ent,L_Data,"&gt;="&amp;$B24,L_Data,"&lt;="&amp;$C24,L_Status,"REALIZADO")</f>
        <v>0</v>
      </c>
      <c r="F24" s="10" t="n">
        <f aca="false">SUMIFS(L_Sai,L_Data,"&gt;="&amp;$B24,L_Data,"&lt;="&amp;$C24,L_Status,"REALIZADO")</f>
        <v>0</v>
      </c>
      <c r="G24" s="10" t="n">
        <f aca="false">$E24-$F24</f>
        <v>0</v>
      </c>
      <c r="H24" s="10" t="n">
        <f aca="false">SUMIFS(L_Ent,L_Data,"&gt;="&amp;$B24,L_Data,"&lt;="&amp;$C24,L_Status,"PROJETADO")</f>
        <v>0</v>
      </c>
      <c r="I24" s="10" t="n">
        <f aca="false">SUMIFS(L_Sai,L_Data,"&gt;="&amp;$B24,L_Data,"&lt;="&amp;$C24,L_Status,"PROJETADO")</f>
        <v>0</v>
      </c>
      <c r="J24" s="10" t="n">
        <f aca="false">$H24-$I24</f>
        <v>0</v>
      </c>
      <c r="K24" s="10" t="n">
        <f aca="false">$D24+$G24+$J24</f>
        <v>0</v>
      </c>
      <c r="L24" s="10" t="n">
        <f aca="false">$F$4</f>
        <v>0</v>
      </c>
      <c r="M24" s="10" t="n">
        <f aca="false">$K24-$L24</f>
        <v>0</v>
      </c>
    </row>
    <row r="25" customFormat="false" ht="15" hidden="false" customHeight="false" outlineLevel="0" collapsed="false">
      <c r="A25" s="43" t="n">
        <f aca="false">YEAR($B25)*100+MONTH($B25)</f>
        <v>202706</v>
      </c>
      <c r="B25" s="44" t="n">
        <f aca="false">EDATE($B$4,17)</f>
        <v>46539</v>
      </c>
      <c r="C25" s="44" t="n">
        <f aca="false">EOMONTH($B25,0)</f>
        <v>46568</v>
      </c>
      <c r="D25" s="10" t="n">
        <f aca="false">$K24</f>
        <v>0</v>
      </c>
      <c r="E25" s="10" t="n">
        <f aca="false">SUMIFS(L_Ent,L_Data,"&gt;="&amp;$B25,L_Data,"&lt;="&amp;$C25,L_Status,"REALIZADO")</f>
        <v>0</v>
      </c>
      <c r="F25" s="10" t="n">
        <f aca="false">SUMIFS(L_Sai,L_Data,"&gt;="&amp;$B25,L_Data,"&lt;="&amp;$C25,L_Status,"REALIZADO")</f>
        <v>0</v>
      </c>
      <c r="G25" s="10" t="n">
        <f aca="false">$E25-$F25</f>
        <v>0</v>
      </c>
      <c r="H25" s="10" t="n">
        <f aca="false">SUMIFS(L_Ent,L_Data,"&gt;="&amp;$B25,L_Data,"&lt;="&amp;$C25,L_Status,"PROJETADO")</f>
        <v>0</v>
      </c>
      <c r="I25" s="10" t="n">
        <f aca="false">SUMIFS(L_Sai,L_Data,"&gt;="&amp;$B25,L_Data,"&lt;="&amp;$C25,L_Status,"PROJETADO")</f>
        <v>0</v>
      </c>
      <c r="J25" s="10" t="n">
        <f aca="false">$H25-$I25</f>
        <v>0</v>
      </c>
      <c r="K25" s="10" t="n">
        <f aca="false">$D25+$G25+$J25</f>
        <v>0</v>
      </c>
      <c r="L25" s="10" t="n">
        <f aca="false">$F$4</f>
        <v>0</v>
      </c>
      <c r="M25" s="10" t="n">
        <f aca="false">$K25-$L25</f>
        <v>0</v>
      </c>
    </row>
    <row r="26" customFormat="false" ht="15" hidden="false" customHeight="false" outlineLevel="0" collapsed="false">
      <c r="A26" s="43" t="n">
        <f aca="false">YEAR($B26)*100+MONTH($B26)</f>
        <v>202707</v>
      </c>
      <c r="B26" s="44" t="n">
        <f aca="false">EDATE($B$4,18)</f>
        <v>46569</v>
      </c>
      <c r="C26" s="44" t="n">
        <f aca="false">EOMONTH($B26,0)</f>
        <v>46599</v>
      </c>
      <c r="D26" s="10" t="n">
        <f aca="false">$K25</f>
        <v>0</v>
      </c>
      <c r="E26" s="10" t="n">
        <f aca="false">SUMIFS(L_Ent,L_Data,"&gt;="&amp;$B26,L_Data,"&lt;="&amp;$C26,L_Status,"REALIZADO")</f>
        <v>0</v>
      </c>
      <c r="F26" s="10" t="n">
        <f aca="false">SUMIFS(L_Sai,L_Data,"&gt;="&amp;$B26,L_Data,"&lt;="&amp;$C26,L_Status,"REALIZADO")</f>
        <v>0</v>
      </c>
      <c r="G26" s="10" t="n">
        <f aca="false">$E26-$F26</f>
        <v>0</v>
      </c>
      <c r="H26" s="10" t="n">
        <f aca="false">SUMIFS(L_Ent,L_Data,"&gt;="&amp;$B26,L_Data,"&lt;="&amp;$C26,L_Status,"PROJETADO")</f>
        <v>0</v>
      </c>
      <c r="I26" s="10" t="n">
        <f aca="false">SUMIFS(L_Sai,L_Data,"&gt;="&amp;$B26,L_Data,"&lt;="&amp;$C26,L_Status,"PROJETADO")</f>
        <v>0</v>
      </c>
      <c r="J26" s="10" t="n">
        <f aca="false">$H26-$I26</f>
        <v>0</v>
      </c>
      <c r="K26" s="10" t="n">
        <f aca="false">$D26+$G26+$J26</f>
        <v>0</v>
      </c>
      <c r="L26" s="10" t="n">
        <f aca="false">$F$4</f>
        <v>0</v>
      </c>
      <c r="M26" s="10" t="n">
        <f aca="false">$K26-$L26</f>
        <v>0</v>
      </c>
    </row>
    <row r="27" customFormat="false" ht="15" hidden="false" customHeight="false" outlineLevel="0" collapsed="false">
      <c r="A27" s="43" t="n">
        <f aca="false">YEAR($B27)*100+MONTH($B27)</f>
        <v>202708</v>
      </c>
      <c r="B27" s="44" t="n">
        <f aca="false">EDATE($B$4,19)</f>
        <v>46600</v>
      </c>
      <c r="C27" s="44" t="n">
        <f aca="false">EOMONTH($B27,0)</f>
        <v>46630</v>
      </c>
      <c r="D27" s="10" t="n">
        <f aca="false">$K26</f>
        <v>0</v>
      </c>
      <c r="E27" s="10" t="n">
        <f aca="false">SUMIFS(L_Ent,L_Data,"&gt;="&amp;$B27,L_Data,"&lt;="&amp;$C27,L_Status,"REALIZADO")</f>
        <v>0</v>
      </c>
      <c r="F27" s="10" t="n">
        <f aca="false">SUMIFS(L_Sai,L_Data,"&gt;="&amp;$B27,L_Data,"&lt;="&amp;$C27,L_Status,"REALIZADO")</f>
        <v>0</v>
      </c>
      <c r="G27" s="10" t="n">
        <f aca="false">$E27-$F27</f>
        <v>0</v>
      </c>
      <c r="H27" s="10" t="n">
        <f aca="false">SUMIFS(L_Ent,L_Data,"&gt;="&amp;$B27,L_Data,"&lt;="&amp;$C27,L_Status,"PROJETADO")</f>
        <v>0</v>
      </c>
      <c r="I27" s="10" t="n">
        <f aca="false">SUMIFS(L_Sai,L_Data,"&gt;="&amp;$B27,L_Data,"&lt;="&amp;$C27,L_Status,"PROJETADO")</f>
        <v>0</v>
      </c>
      <c r="J27" s="10" t="n">
        <f aca="false">$H27-$I27</f>
        <v>0</v>
      </c>
      <c r="K27" s="10" t="n">
        <f aca="false">$D27+$G27+$J27</f>
        <v>0</v>
      </c>
      <c r="L27" s="10" t="n">
        <f aca="false">$F$4</f>
        <v>0</v>
      </c>
      <c r="M27" s="10" t="n">
        <f aca="false">$K27-$L27</f>
        <v>0</v>
      </c>
    </row>
    <row r="28" customFormat="false" ht="15" hidden="false" customHeight="false" outlineLevel="0" collapsed="false">
      <c r="A28" s="43" t="n">
        <f aca="false">YEAR($B28)*100+MONTH($B28)</f>
        <v>202709</v>
      </c>
      <c r="B28" s="44" t="n">
        <f aca="false">EDATE($B$4,20)</f>
        <v>46631</v>
      </c>
      <c r="C28" s="44" t="n">
        <f aca="false">EOMONTH($B28,0)</f>
        <v>46660</v>
      </c>
      <c r="D28" s="10" t="n">
        <f aca="false">$K27</f>
        <v>0</v>
      </c>
      <c r="E28" s="10" t="n">
        <f aca="false">SUMIFS(L_Ent,L_Data,"&gt;="&amp;$B28,L_Data,"&lt;="&amp;$C28,L_Status,"REALIZADO")</f>
        <v>0</v>
      </c>
      <c r="F28" s="10" t="n">
        <f aca="false">SUMIFS(L_Sai,L_Data,"&gt;="&amp;$B28,L_Data,"&lt;="&amp;$C28,L_Status,"REALIZADO")</f>
        <v>0</v>
      </c>
      <c r="G28" s="10" t="n">
        <f aca="false">$E28-$F28</f>
        <v>0</v>
      </c>
      <c r="H28" s="10" t="n">
        <f aca="false">SUMIFS(L_Ent,L_Data,"&gt;="&amp;$B28,L_Data,"&lt;="&amp;$C28,L_Status,"PROJETADO")</f>
        <v>0</v>
      </c>
      <c r="I28" s="10" t="n">
        <f aca="false">SUMIFS(L_Sai,L_Data,"&gt;="&amp;$B28,L_Data,"&lt;="&amp;$C28,L_Status,"PROJETADO")</f>
        <v>0</v>
      </c>
      <c r="J28" s="10" t="n">
        <f aca="false">$H28-$I28</f>
        <v>0</v>
      </c>
      <c r="K28" s="10" t="n">
        <f aca="false">$D28+$G28+$J28</f>
        <v>0</v>
      </c>
      <c r="L28" s="10" t="n">
        <f aca="false">$F$4</f>
        <v>0</v>
      </c>
      <c r="M28" s="10" t="n">
        <f aca="false">$K28-$L28</f>
        <v>0</v>
      </c>
    </row>
    <row r="29" customFormat="false" ht="15" hidden="false" customHeight="false" outlineLevel="0" collapsed="false">
      <c r="A29" s="43" t="n">
        <f aca="false">YEAR($B29)*100+MONTH($B29)</f>
        <v>202710</v>
      </c>
      <c r="B29" s="44" t="n">
        <f aca="false">EDATE($B$4,21)</f>
        <v>46661</v>
      </c>
      <c r="C29" s="44" t="n">
        <f aca="false">EOMONTH($B29,0)</f>
        <v>46691</v>
      </c>
      <c r="D29" s="10" t="n">
        <f aca="false">$K28</f>
        <v>0</v>
      </c>
      <c r="E29" s="10" t="n">
        <f aca="false">SUMIFS(L_Ent,L_Data,"&gt;="&amp;$B29,L_Data,"&lt;="&amp;$C29,L_Status,"REALIZADO")</f>
        <v>0</v>
      </c>
      <c r="F29" s="10" t="n">
        <f aca="false">SUMIFS(L_Sai,L_Data,"&gt;="&amp;$B29,L_Data,"&lt;="&amp;$C29,L_Status,"REALIZADO")</f>
        <v>0</v>
      </c>
      <c r="G29" s="10" t="n">
        <f aca="false">$E29-$F29</f>
        <v>0</v>
      </c>
      <c r="H29" s="10" t="n">
        <f aca="false">SUMIFS(L_Ent,L_Data,"&gt;="&amp;$B29,L_Data,"&lt;="&amp;$C29,L_Status,"PROJETADO")</f>
        <v>0</v>
      </c>
      <c r="I29" s="10" t="n">
        <f aca="false">SUMIFS(L_Sai,L_Data,"&gt;="&amp;$B29,L_Data,"&lt;="&amp;$C29,L_Status,"PROJETADO")</f>
        <v>0</v>
      </c>
      <c r="J29" s="10" t="n">
        <f aca="false">$H29-$I29</f>
        <v>0</v>
      </c>
      <c r="K29" s="10" t="n">
        <f aca="false">$D29+$G29+$J29</f>
        <v>0</v>
      </c>
      <c r="L29" s="10" t="n">
        <f aca="false">$F$4</f>
        <v>0</v>
      </c>
      <c r="M29" s="10" t="n">
        <f aca="false">$K29-$L29</f>
        <v>0</v>
      </c>
    </row>
    <row r="30" customFormat="false" ht="15" hidden="false" customHeight="false" outlineLevel="0" collapsed="false">
      <c r="A30" s="43" t="n">
        <f aca="false">YEAR($B30)*100+MONTH($B30)</f>
        <v>202711</v>
      </c>
      <c r="B30" s="44" t="n">
        <f aca="false">EDATE($B$4,22)</f>
        <v>46692</v>
      </c>
      <c r="C30" s="44" t="n">
        <f aca="false">EOMONTH($B30,0)</f>
        <v>46721</v>
      </c>
      <c r="D30" s="10" t="n">
        <f aca="false">$K29</f>
        <v>0</v>
      </c>
      <c r="E30" s="10" t="n">
        <f aca="false">SUMIFS(L_Ent,L_Data,"&gt;="&amp;$B30,L_Data,"&lt;="&amp;$C30,L_Status,"REALIZADO")</f>
        <v>0</v>
      </c>
      <c r="F30" s="10" t="n">
        <f aca="false">SUMIFS(L_Sai,L_Data,"&gt;="&amp;$B30,L_Data,"&lt;="&amp;$C30,L_Status,"REALIZADO")</f>
        <v>0</v>
      </c>
      <c r="G30" s="10" t="n">
        <f aca="false">$E30-$F30</f>
        <v>0</v>
      </c>
      <c r="H30" s="10" t="n">
        <f aca="false">SUMIFS(L_Ent,L_Data,"&gt;="&amp;$B30,L_Data,"&lt;="&amp;$C30,L_Status,"PROJETADO")</f>
        <v>0</v>
      </c>
      <c r="I30" s="10" t="n">
        <f aca="false">SUMIFS(L_Sai,L_Data,"&gt;="&amp;$B30,L_Data,"&lt;="&amp;$C30,L_Status,"PROJETADO")</f>
        <v>0</v>
      </c>
      <c r="J30" s="10" t="n">
        <f aca="false">$H30-$I30</f>
        <v>0</v>
      </c>
      <c r="K30" s="10" t="n">
        <f aca="false">$D30+$G30+$J30</f>
        <v>0</v>
      </c>
      <c r="L30" s="10" t="n">
        <f aca="false">$F$4</f>
        <v>0</v>
      </c>
      <c r="M30" s="10" t="n">
        <f aca="false">$K30-$L30</f>
        <v>0</v>
      </c>
    </row>
    <row r="31" customFormat="false" ht="15" hidden="false" customHeight="false" outlineLevel="0" collapsed="false">
      <c r="A31" s="43" t="n">
        <f aca="false">YEAR($B31)*100+MONTH($B31)</f>
        <v>202712</v>
      </c>
      <c r="B31" s="44" t="n">
        <f aca="false">EDATE($B$4,23)</f>
        <v>46722</v>
      </c>
      <c r="C31" s="44" t="n">
        <f aca="false">EOMONTH($B31,0)</f>
        <v>46752</v>
      </c>
      <c r="D31" s="10" t="n">
        <f aca="false">$K30</f>
        <v>0</v>
      </c>
      <c r="E31" s="10" t="n">
        <f aca="false">SUMIFS(L_Ent,L_Data,"&gt;="&amp;$B31,L_Data,"&lt;="&amp;$C31,L_Status,"REALIZADO")</f>
        <v>0</v>
      </c>
      <c r="F31" s="10" t="n">
        <f aca="false">SUMIFS(L_Sai,L_Data,"&gt;="&amp;$B31,L_Data,"&lt;="&amp;$C31,L_Status,"REALIZADO")</f>
        <v>0</v>
      </c>
      <c r="G31" s="10" t="n">
        <f aca="false">$E31-$F31</f>
        <v>0</v>
      </c>
      <c r="H31" s="10" t="n">
        <f aca="false">SUMIFS(L_Ent,L_Data,"&gt;="&amp;$B31,L_Data,"&lt;="&amp;$C31,L_Status,"PROJETADO")</f>
        <v>0</v>
      </c>
      <c r="I31" s="10" t="n">
        <f aca="false">SUMIFS(L_Sai,L_Data,"&gt;="&amp;$B31,L_Data,"&lt;="&amp;$C31,L_Status,"PROJETADO")</f>
        <v>0</v>
      </c>
      <c r="J31" s="10" t="n">
        <f aca="false">$H31-$I31</f>
        <v>0</v>
      </c>
      <c r="K31" s="10" t="n">
        <f aca="false">$D31+$G31+$J31</f>
        <v>0</v>
      </c>
      <c r="L31" s="10" t="n">
        <f aca="false">$F$4</f>
        <v>0</v>
      </c>
      <c r="M31" s="10" t="n">
        <f aca="false">$K31-$L31</f>
        <v>0</v>
      </c>
    </row>
    <row r="32" customFormat="false" ht="15" hidden="false" customHeight="false" outlineLevel="0" collapsed="false">
      <c r="A32" s="43" t="n">
        <f aca="false">YEAR($B32)*100+MONTH($B32)</f>
        <v>202801</v>
      </c>
      <c r="B32" s="44" t="n">
        <f aca="false">EDATE($B$4,24)</f>
        <v>46753</v>
      </c>
      <c r="C32" s="44" t="n">
        <f aca="false">EOMONTH($B32,0)</f>
        <v>46783</v>
      </c>
      <c r="D32" s="10" t="n">
        <f aca="false">$K31</f>
        <v>0</v>
      </c>
      <c r="E32" s="10" t="n">
        <f aca="false">SUMIFS(L_Ent,L_Data,"&gt;="&amp;$B32,L_Data,"&lt;="&amp;$C32,L_Status,"REALIZADO")</f>
        <v>0</v>
      </c>
      <c r="F32" s="10" t="n">
        <f aca="false">SUMIFS(L_Sai,L_Data,"&gt;="&amp;$B32,L_Data,"&lt;="&amp;$C32,L_Status,"REALIZADO")</f>
        <v>0</v>
      </c>
      <c r="G32" s="10" t="n">
        <f aca="false">$E32-$F32</f>
        <v>0</v>
      </c>
      <c r="H32" s="10" t="n">
        <f aca="false">SUMIFS(L_Ent,L_Data,"&gt;="&amp;$B32,L_Data,"&lt;="&amp;$C32,L_Status,"PROJETADO")</f>
        <v>0</v>
      </c>
      <c r="I32" s="10" t="n">
        <f aca="false">SUMIFS(L_Sai,L_Data,"&gt;="&amp;$B32,L_Data,"&lt;="&amp;$C32,L_Status,"PROJETADO")</f>
        <v>0</v>
      </c>
      <c r="J32" s="10" t="n">
        <f aca="false">$H32-$I32</f>
        <v>0</v>
      </c>
      <c r="K32" s="10" t="n">
        <f aca="false">$D32+$G32+$J32</f>
        <v>0</v>
      </c>
      <c r="L32" s="10" t="n">
        <f aca="false">$F$4</f>
        <v>0</v>
      </c>
      <c r="M32" s="10" t="n">
        <f aca="false">$K32-$L32</f>
        <v>0</v>
      </c>
    </row>
    <row r="33" customFormat="false" ht="15" hidden="false" customHeight="false" outlineLevel="0" collapsed="false">
      <c r="A33" s="43" t="n">
        <f aca="false">YEAR($B33)*100+MONTH($B33)</f>
        <v>202802</v>
      </c>
      <c r="B33" s="44" t="n">
        <f aca="false">EDATE($B$4,25)</f>
        <v>46784</v>
      </c>
      <c r="C33" s="44" t="n">
        <f aca="false">EOMONTH($B33,0)</f>
        <v>46812</v>
      </c>
      <c r="D33" s="10" t="n">
        <f aca="false">$K32</f>
        <v>0</v>
      </c>
      <c r="E33" s="10" t="n">
        <f aca="false">SUMIFS(L_Ent,L_Data,"&gt;="&amp;$B33,L_Data,"&lt;="&amp;$C33,L_Status,"REALIZADO")</f>
        <v>0</v>
      </c>
      <c r="F33" s="10" t="n">
        <f aca="false">SUMIFS(L_Sai,L_Data,"&gt;="&amp;$B33,L_Data,"&lt;="&amp;$C33,L_Status,"REALIZADO")</f>
        <v>0</v>
      </c>
      <c r="G33" s="10" t="n">
        <f aca="false">$E33-$F33</f>
        <v>0</v>
      </c>
      <c r="H33" s="10" t="n">
        <f aca="false">SUMIFS(L_Ent,L_Data,"&gt;="&amp;$B33,L_Data,"&lt;="&amp;$C33,L_Status,"PROJETADO")</f>
        <v>0</v>
      </c>
      <c r="I33" s="10" t="n">
        <f aca="false">SUMIFS(L_Sai,L_Data,"&gt;="&amp;$B33,L_Data,"&lt;="&amp;$C33,L_Status,"PROJETADO")</f>
        <v>0</v>
      </c>
      <c r="J33" s="10" t="n">
        <f aca="false">$H33-$I33</f>
        <v>0</v>
      </c>
      <c r="K33" s="10" t="n">
        <f aca="false">$D33+$G33+$J33</f>
        <v>0</v>
      </c>
      <c r="L33" s="10" t="n">
        <f aca="false">$F$4</f>
        <v>0</v>
      </c>
      <c r="M33" s="10" t="n">
        <f aca="false">$K33-$L33</f>
        <v>0</v>
      </c>
    </row>
    <row r="34" customFormat="false" ht="15" hidden="false" customHeight="false" outlineLevel="0" collapsed="false">
      <c r="A34" s="43" t="n">
        <f aca="false">YEAR($B34)*100+MONTH($B34)</f>
        <v>202803</v>
      </c>
      <c r="B34" s="44" t="n">
        <f aca="false">EDATE($B$4,26)</f>
        <v>46813</v>
      </c>
      <c r="C34" s="44" t="n">
        <f aca="false">EOMONTH($B34,0)</f>
        <v>46843</v>
      </c>
      <c r="D34" s="10" t="n">
        <f aca="false">$K33</f>
        <v>0</v>
      </c>
      <c r="E34" s="10" t="n">
        <f aca="false">SUMIFS(L_Ent,L_Data,"&gt;="&amp;$B34,L_Data,"&lt;="&amp;$C34,L_Status,"REALIZADO")</f>
        <v>0</v>
      </c>
      <c r="F34" s="10" t="n">
        <f aca="false">SUMIFS(L_Sai,L_Data,"&gt;="&amp;$B34,L_Data,"&lt;="&amp;$C34,L_Status,"REALIZADO")</f>
        <v>0</v>
      </c>
      <c r="G34" s="10" t="n">
        <f aca="false">$E34-$F34</f>
        <v>0</v>
      </c>
      <c r="H34" s="10" t="n">
        <f aca="false">SUMIFS(L_Ent,L_Data,"&gt;="&amp;$B34,L_Data,"&lt;="&amp;$C34,L_Status,"PROJETADO")</f>
        <v>0</v>
      </c>
      <c r="I34" s="10" t="n">
        <f aca="false">SUMIFS(L_Sai,L_Data,"&gt;="&amp;$B34,L_Data,"&lt;="&amp;$C34,L_Status,"PROJETADO")</f>
        <v>0</v>
      </c>
      <c r="J34" s="10" t="n">
        <f aca="false">$H34-$I34</f>
        <v>0</v>
      </c>
      <c r="K34" s="10" t="n">
        <f aca="false">$D34+$G34+$J34</f>
        <v>0</v>
      </c>
      <c r="L34" s="10" t="n">
        <f aca="false">$F$4</f>
        <v>0</v>
      </c>
      <c r="M34" s="10" t="n">
        <f aca="false">$K34-$L34</f>
        <v>0</v>
      </c>
    </row>
    <row r="35" customFormat="false" ht="15" hidden="false" customHeight="false" outlineLevel="0" collapsed="false">
      <c r="A35" s="43" t="n">
        <f aca="false">YEAR($B35)*100+MONTH($B35)</f>
        <v>202804</v>
      </c>
      <c r="B35" s="44" t="n">
        <f aca="false">EDATE($B$4,27)</f>
        <v>46844</v>
      </c>
      <c r="C35" s="44" t="n">
        <f aca="false">EOMONTH($B35,0)</f>
        <v>46873</v>
      </c>
      <c r="D35" s="10" t="n">
        <f aca="false">$K34</f>
        <v>0</v>
      </c>
      <c r="E35" s="10" t="n">
        <f aca="false">SUMIFS(L_Ent,L_Data,"&gt;="&amp;$B35,L_Data,"&lt;="&amp;$C35,L_Status,"REALIZADO")</f>
        <v>0</v>
      </c>
      <c r="F35" s="10" t="n">
        <f aca="false">SUMIFS(L_Sai,L_Data,"&gt;="&amp;$B35,L_Data,"&lt;="&amp;$C35,L_Status,"REALIZADO")</f>
        <v>0</v>
      </c>
      <c r="G35" s="10" t="n">
        <f aca="false">$E35-$F35</f>
        <v>0</v>
      </c>
      <c r="H35" s="10" t="n">
        <f aca="false">SUMIFS(L_Ent,L_Data,"&gt;="&amp;$B35,L_Data,"&lt;="&amp;$C35,L_Status,"PROJETADO")</f>
        <v>0</v>
      </c>
      <c r="I35" s="10" t="n">
        <f aca="false">SUMIFS(L_Sai,L_Data,"&gt;="&amp;$B35,L_Data,"&lt;="&amp;$C35,L_Status,"PROJETADO")</f>
        <v>0</v>
      </c>
      <c r="J35" s="10" t="n">
        <f aca="false">$H35-$I35</f>
        <v>0</v>
      </c>
      <c r="K35" s="10" t="n">
        <f aca="false">$D35+$G35+$J35</f>
        <v>0</v>
      </c>
      <c r="L35" s="10" t="n">
        <f aca="false">$F$4</f>
        <v>0</v>
      </c>
      <c r="M35" s="10" t="n">
        <f aca="false">$K35-$L35</f>
        <v>0</v>
      </c>
    </row>
    <row r="36" customFormat="false" ht="15" hidden="false" customHeight="false" outlineLevel="0" collapsed="false">
      <c r="A36" s="43" t="n">
        <f aca="false">YEAR($B36)*100+MONTH($B36)</f>
        <v>202805</v>
      </c>
      <c r="B36" s="44" t="n">
        <f aca="false">EDATE($B$4,28)</f>
        <v>46874</v>
      </c>
      <c r="C36" s="44" t="n">
        <f aca="false">EOMONTH($B36,0)</f>
        <v>46904</v>
      </c>
      <c r="D36" s="10" t="n">
        <f aca="false">$K35</f>
        <v>0</v>
      </c>
      <c r="E36" s="10" t="n">
        <f aca="false">SUMIFS(L_Ent,L_Data,"&gt;="&amp;$B36,L_Data,"&lt;="&amp;$C36,L_Status,"REALIZADO")</f>
        <v>0</v>
      </c>
      <c r="F36" s="10" t="n">
        <f aca="false">SUMIFS(L_Sai,L_Data,"&gt;="&amp;$B36,L_Data,"&lt;="&amp;$C36,L_Status,"REALIZADO")</f>
        <v>0</v>
      </c>
      <c r="G36" s="10" t="n">
        <f aca="false">$E36-$F36</f>
        <v>0</v>
      </c>
      <c r="H36" s="10" t="n">
        <f aca="false">SUMIFS(L_Ent,L_Data,"&gt;="&amp;$B36,L_Data,"&lt;="&amp;$C36,L_Status,"PROJETADO")</f>
        <v>0</v>
      </c>
      <c r="I36" s="10" t="n">
        <f aca="false">SUMIFS(L_Sai,L_Data,"&gt;="&amp;$B36,L_Data,"&lt;="&amp;$C36,L_Status,"PROJETADO")</f>
        <v>0</v>
      </c>
      <c r="J36" s="10" t="n">
        <f aca="false">$H36-$I36</f>
        <v>0</v>
      </c>
      <c r="K36" s="10" t="n">
        <f aca="false">$D36+$G36+$J36</f>
        <v>0</v>
      </c>
      <c r="L36" s="10" t="n">
        <f aca="false">$F$4</f>
        <v>0</v>
      </c>
      <c r="M36" s="10" t="n">
        <f aca="false">$K36-$L36</f>
        <v>0</v>
      </c>
    </row>
    <row r="37" customFormat="false" ht="15" hidden="false" customHeight="false" outlineLevel="0" collapsed="false">
      <c r="A37" s="43" t="n">
        <f aca="false">YEAR($B37)*100+MONTH($B37)</f>
        <v>202806</v>
      </c>
      <c r="B37" s="44" t="n">
        <f aca="false">EDATE($B$4,29)</f>
        <v>46905</v>
      </c>
      <c r="C37" s="44" t="n">
        <f aca="false">EOMONTH($B37,0)</f>
        <v>46934</v>
      </c>
      <c r="D37" s="10" t="n">
        <f aca="false">$K36</f>
        <v>0</v>
      </c>
      <c r="E37" s="10" t="n">
        <f aca="false">SUMIFS(L_Ent,L_Data,"&gt;="&amp;$B37,L_Data,"&lt;="&amp;$C37,L_Status,"REALIZADO")</f>
        <v>0</v>
      </c>
      <c r="F37" s="10" t="n">
        <f aca="false">SUMIFS(L_Sai,L_Data,"&gt;="&amp;$B37,L_Data,"&lt;="&amp;$C37,L_Status,"REALIZADO")</f>
        <v>0</v>
      </c>
      <c r="G37" s="10" t="n">
        <f aca="false">$E37-$F37</f>
        <v>0</v>
      </c>
      <c r="H37" s="10" t="n">
        <f aca="false">SUMIFS(L_Ent,L_Data,"&gt;="&amp;$B37,L_Data,"&lt;="&amp;$C37,L_Status,"PROJETADO")</f>
        <v>0</v>
      </c>
      <c r="I37" s="10" t="n">
        <f aca="false">SUMIFS(L_Sai,L_Data,"&gt;="&amp;$B37,L_Data,"&lt;="&amp;$C37,L_Status,"PROJETADO")</f>
        <v>0</v>
      </c>
      <c r="J37" s="10" t="n">
        <f aca="false">$H37-$I37</f>
        <v>0</v>
      </c>
      <c r="K37" s="10" t="n">
        <f aca="false">$D37+$G37+$J37</f>
        <v>0</v>
      </c>
      <c r="L37" s="10" t="n">
        <f aca="false">$F$4</f>
        <v>0</v>
      </c>
      <c r="M37" s="10" t="n">
        <f aca="false">$K37-$L37</f>
        <v>0</v>
      </c>
    </row>
    <row r="39" customFormat="false" ht="19.5" hidden="false" customHeight="true" outlineLevel="0" collapsed="false">
      <c r="A39" s="3" t="s">
        <v>349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30" hidden="false" customHeight="true" outlineLevel="0" collapsed="false">
      <c r="A40" s="8" t="s">
        <v>47</v>
      </c>
      <c r="B40" s="8" t="s">
        <v>171</v>
      </c>
      <c r="C40" s="8" t="s">
        <v>172</v>
      </c>
      <c r="D40" s="8" t="s">
        <v>175</v>
      </c>
      <c r="E40" s="8" t="s">
        <v>176</v>
      </c>
      <c r="F40" s="8" t="s">
        <v>350</v>
      </c>
      <c r="G40" s="8" t="s">
        <v>351</v>
      </c>
    </row>
    <row r="41" customFormat="false" ht="15" hidden="false" customHeight="false" outlineLevel="0" collapsed="false">
      <c r="A41" s="44" t="n">
        <f aca="false">CFG_HOJE-15+0</f>
        <v>46255</v>
      </c>
      <c r="B41" s="10" t="n">
        <f aca="false">SUMIFS(L_Ent,L_Data,$A41,L_Status,"REALIZADO")</f>
        <v>0</v>
      </c>
      <c r="C41" s="10" t="n">
        <f aca="false">SUMIFS(L_Sai,L_Data,$A41,L_Status,"REALIZADO")</f>
        <v>0</v>
      </c>
      <c r="D41" s="10" t="n">
        <f aca="false">SUMIFS(L_Ent,L_Data,$A41,L_Status,"PROJETADO")</f>
        <v>0</v>
      </c>
      <c r="E41" s="10" t="n">
        <f aca="false">SUMIFS(L_Sai,L_Data,$A41,L_Status,"PROJETADO")</f>
        <v>0</v>
      </c>
      <c r="F41" s="10" t="n">
        <f aca="false">$B41-$C41+$D41-$E41</f>
        <v>0</v>
      </c>
      <c r="G41" s="10" t="n">
        <f aca="false">SUM(C_SALDOINI)+SUMIFS(L_Ent,L_Data,"&lt;"&amp;$A41,L_Status,"REALIZADO")-SUMIFS(L_Sai,L_Data,"&lt;"&amp;$A41,L_Status,"REALIZADO")+SUMIFS(L_Ent,L_Data,"&lt;"&amp;$A41,L_Status,"PROJETADO")-SUMIFS(L_Sai,L_Data,"&lt;"&amp;$A41,L_Status,"PROJETADO")+$F41</f>
        <v>0</v>
      </c>
    </row>
    <row r="42" customFormat="false" ht="15" hidden="false" customHeight="false" outlineLevel="0" collapsed="false">
      <c r="A42" s="44" t="n">
        <f aca="false">CFG_HOJE-15+1</f>
        <v>46256</v>
      </c>
      <c r="B42" s="10" t="n">
        <f aca="false">SUMIFS(L_Ent,L_Data,$A42,L_Status,"REALIZADO")</f>
        <v>0</v>
      </c>
      <c r="C42" s="10" t="n">
        <f aca="false">SUMIFS(L_Sai,L_Data,$A42,L_Status,"REALIZADO")</f>
        <v>0</v>
      </c>
      <c r="D42" s="10" t="n">
        <f aca="false">SUMIFS(L_Ent,L_Data,$A42,L_Status,"PROJETADO")</f>
        <v>0</v>
      </c>
      <c r="E42" s="10" t="n">
        <f aca="false">SUMIFS(L_Sai,L_Data,$A42,L_Status,"PROJETADO")</f>
        <v>0</v>
      </c>
      <c r="F42" s="10" t="n">
        <f aca="false">$B42-$C42+$D42-$E42</f>
        <v>0</v>
      </c>
      <c r="G42" s="10" t="n">
        <f aca="false">$G41+$F42</f>
        <v>0</v>
      </c>
    </row>
    <row r="43" customFormat="false" ht="15" hidden="false" customHeight="false" outlineLevel="0" collapsed="false">
      <c r="A43" s="44" t="n">
        <f aca="false">CFG_HOJE-15+2</f>
        <v>46257</v>
      </c>
      <c r="B43" s="10" t="n">
        <f aca="false">SUMIFS(L_Ent,L_Data,$A43,L_Status,"REALIZADO")</f>
        <v>0</v>
      </c>
      <c r="C43" s="10" t="n">
        <f aca="false">SUMIFS(L_Sai,L_Data,$A43,L_Status,"REALIZADO")</f>
        <v>0</v>
      </c>
      <c r="D43" s="10" t="n">
        <f aca="false">SUMIFS(L_Ent,L_Data,$A43,L_Status,"PROJETADO")</f>
        <v>0</v>
      </c>
      <c r="E43" s="10" t="n">
        <f aca="false">SUMIFS(L_Sai,L_Data,$A43,L_Status,"PROJETADO")</f>
        <v>0</v>
      </c>
      <c r="F43" s="10" t="n">
        <f aca="false">$B43-$C43+$D43-$E43</f>
        <v>0</v>
      </c>
      <c r="G43" s="10" t="n">
        <f aca="false">$G42+$F43</f>
        <v>0</v>
      </c>
    </row>
    <row r="44" customFormat="false" ht="15" hidden="false" customHeight="false" outlineLevel="0" collapsed="false">
      <c r="A44" s="44" t="n">
        <f aca="false">CFG_HOJE-15+3</f>
        <v>46258</v>
      </c>
      <c r="B44" s="10" t="n">
        <f aca="false">SUMIFS(L_Ent,L_Data,$A44,L_Status,"REALIZADO")</f>
        <v>0</v>
      </c>
      <c r="C44" s="10" t="n">
        <f aca="false">SUMIFS(L_Sai,L_Data,$A44,L_Status,"REALIZADO")</f>
        <v>0</v>
      </c>
      <c r="D44" s="10" t="n">
        <f aca="false">SUMIFS(L_Ent,L_Data,$A44,L_Status,"PROJETADO")</f>
        <v>0</v>
      </c>
      <c r="E44" s="10" t="n">
        <f aca="false">SUMIFS(L_Sai,L_Data,$A44,L_Status,"PROJETADO")</f>
        <v>0</v>
      </c>
      <c r="F44" s="10" t="n">
        <f aca="false">$B44-$C44+$D44-$E44</f>
        <v>0</v>
      </c>
      <c r="G44" s="10" t="n">
        <f aca="false">$G43+$F44</f>
        <v>0</v>
      </c>
    </row>
    <row r="45" customFormat="false" ht="15" hidden="false" customHeight="false" outlineLevel="0" collapsed="false">
      <c r="A45" s="44" t="n">
        <f aca="false">CFG_HOJE-15+4</f>
        <v>46259</v>
      </c>
      <c r="B45" s="10" t="n">
        <f aca="false">SUMIFS(L_Ent,L_Data,$A45,L_Status,"REALIZADO")</f>
        <v>0</v>
      </c>
      <c r="C45" s="10" t="n">
        <f aca="false">SUMIFS(L_Sai,L_Data,$A45,L_Status,"REALIZADO")</f>
        <v>0</v>
      </c>
      <c r="D45" s="10" t="n">
        <f aca="false">SUMIFS(L_Ent,L_Data,$A45,L_Status,"PROJETADO")</f>
        <v>0</v>
      </c>
      <c r="E45" s="10" t="n">
        <f aca="false">SUMIFS(L_Sai,L_Data,$A45,L_Status,"PROJETADO")</f>
        <v>0</v>
      </c>
      <c r="F45" s="10" t="n">
        <f aca="false">$B45-$C45+$D45-$E45</f>
        <v>0</v>
      </c>
      <c r="G45" s="10" t="n">
        <f aca="false">$G44+$F45</f>
        <v>0</v>
      </c>
    </row>
    <row r="46" customFormat="false" ht="15" hidden="false" customHeight="false" outlineLevel="0" collapsed="false">
      <c r="A46" s="44" t="n">
        <f aca="false">CFG_HOJE-15+5</f>
        <v>46260</v>
      </c>
      <c r="B46" s="10" t="n">
        <f aca="false">SUMIFS(L_Ent,L_Data,$A46,L_Status,"REALIZADO")</f>
        <v>0</v>
      </c>
      <c r="C46" s="10" t="n">
        <f aca="false">SUMIFS(L_Sai,L_Data,$A46,L_Status,"REALIZADO")</f>
        <v>0</v>
      </c>
      <c r="D46" s="10" t="n">
        <f aca="false">SUMIFS(L_Ent,L_Data,$A46,L_Status,"PROJETADO")</f>
        <v>0</v>
      </c>
      <c r="E46" s="10" t="n">
        <f aca="false">SUMIFS(L_Sai,L_Data,$A46,L_Status,"PROJETADO")</f>
        <v>0</v>
      </c>
      <c r="F46" s="10" t="n">
        <f aca="false">$B46-$C46+$D46-$E46</f>
        <v>0</v>
      </c>
      <c r="G46" s="10" t="n">
        <f aca="false">$G45+$F46</f>
        <v>0</v>
      </c>
    </row>
    <row r="47" customFormat="false" ht="15" hidden="false" customHeight="false" outlineLevel="0" collapsed="false">
      <c r="A47" s="44" t="n">
        <f aca="false">CFG_HOJE-15+6</f>
        <v>46261</v>
      </c>
      <c r="B47" s="10" t="n">
        <f aca="false">SUMIFS(L_Ent,L_Data,$A47,L_Status,"REALIZADO")</f>
        <v>0</v>
      </c>
      <c r="C47" s="10" t="n">
        <f aca="false">SUMIFS(L_Sai,L_Data,$A47,L_Status,"REALIZADO")</f>
        <v>0</v>
      </c>
      <c r="D47" s="10" t="n">
        <f aca="false">SUMIFS(L_Ent,L_Data,$A47,L_Status,"PROJETADO")</f>
        <v>0</v>
      </c>
      <c r="E47" s="10" t="n">
        <f aca="false">SUMIFS(L_Sai,L_Data,$A47,L_Status,"PROJETADO")</f>
        <v>0</v>
      </c>
      <c r="F47" s="10" t="n">
        <f aca="false">$B47-$C47+$D47-$E47</f>
        <v>0</v>
      </c>
      <c r="G47" s="10" t="n">
        <f aca="false">$G46+$F47</f>
        <v>0</v>
      </c>
    </row>
    <row r="48" customFormat="false" ht="15" hidden="false" customHeight="false" outlineLevel="0" collapsed="false">
      <c r="A48" s="44" t="n">
        <f aca="false">CFG_HOJE-15+7</f>
        <v>46262</v>
      </c>
      <c r="B48" s="10" t="n">
        <f aca="false">SUMIFS(L_Ent,L_Data,$A48,L_Status,"REALIZADO")</f>
        <v>0</v>
      </c>
      <c r="C48" s="10" t="n">
        <f aca="false">SUMIFS(L_Sai,L_Data,$A48,L_Status,"REALIZADO")</f>
        <v>0</v>
      </c>
      <c r="D48" s="10" t="n">
        <f aca="false">SUMIFS(L_Ent,L_Data,$A48,L_Status,"PROJETADO")</f>
        <v>0</v>
      </c>
      <c r="E48" s="10" t="n">
        <f aca="false">SUMIFS(L_Sai,L_Data,$A48,L_Status,"PROJETADO")</f>
        <v>0</v>
      </c>
      <c r="F48" s="10" t="n">
        <f aca="false">$B48-$C48+$D48-$E48</f>
        <v>0</v>
      </c>
      <c r="G48" s="10" t="n">
        <f aca="false">$G47+$F48</f>
        <v>0</v>
      </c>
    </row>
    <row r="49" customFormat="false" ht="15" hidden="false" customHeight="false" outlineLevel="0" collapsed="false">
      <c r="A49" s="44" t="n">
        <f aca="false">CFG_HOJE-15+8</f>
        <v>46263</v>
      </c>
      <c r="B49" s="10" t="n">
        <f aca="false">SUMIFS(L_Ent,L_Data,$A49,L_Status,"REALIZADO")</f>
        <v>0</v>
      </c>
      <c r="C49" s="10" t="n">
        <f aca="false">SUMIFS(L_Sai,L_Data,$A49,L_Status,"REALIZADO")</f>
        <v>0</v>
      </c>
      <c r="D49" s="10" t="n">
        <f aca="false">SUMIFS(L_Ent,L_Data,$A49,L_Status,"PROJETADO")</f>
        <v>0</v>
      </c>
      <c r="E49" s="10" t="n">
        <f aca="false">SUMIFS(L_Sai,L_Data,$A49,L_Status,"PROJETADO")</f>
        <v>0</v>
      </c>
      <c r="F49" s="10" t="n">
        <f aca="false">$B49-$C49+$D49-$E49</f>
        <v>0</v>
      </c>
      <c r="G49" s="10" t="n">
        <f aca="false">$G48+$F49</f>
        <v>0</v>
      </c>
    </row>
    <row r="50" customFormat="false" ht="15" hidden="false" customHeight="false" outlineLevel="0" collapsed="false">
      <c r="A50" s="44" t="n">
        <f aca="false">CFG_HOJE-15+9</f>
        <v>46264</v>
      </c>
      <c r="B50" s="10" t="n">
        <f aca="false">SUMIFS(L_Ent,L_Data,$A50,L_Status,"REALIZADO")</f>
        <v>0</v>
      </c>
      <c r="C50" s="10" t="n">
        <f aca="false">SUMIFS(L_Sai,L_Data,$A50,L_Status,"REALIZADO")</f>
        <v>0</v>
      </c>
      <c r="D50" s="10" t="n">
        <f aca="false">SUMIFS(L_Ent,L_Data,$A50,L_Status,"PROJETADO")</f>
        <v>0</v>
      </c>
      <c r="E50" s="10" t="n">
        <f aca="false">SUMIFS(L_Sai,L_Data,$A50,L_Status,"PROJETADO")</f>
        <v>0</v>
      </c>
      <c r="F50" s="10" t="n">
        <f aca="false">$B50-$C50+$D50-$E50</f>
        <v>0</v>
      </c>
      <c r="G50" s="10" t="n">
        <f aca="false">$G49+$F50</f>
        <v>0</v>
      </c>
    </row>
    <row r="51" customFormat="false" ht="15" hidden="false" customHeight="false" outlineLevel="0" collapsed="false">
      <c r="A51" s="44" t="n">
        <f aca="false">CFG_HOJE-15+10</f>
        <v>46265</v>
      </c>
      <c r="B51" s="10" t="n">
        <f aca="false">SUMIFS(L_Ent,L_Data,$A51,L_Status,"REALIZADO")</f>
        <v>0</v>
      </c>
      <c r="C51" s="10" t="n">
        <f aca="false">SUMIFS(L_Sai,L_Data,$A51,L_Status,"REALIZADO")</f>
        <v>0</v>
      </c>
      <c r="D51" s="10" t="n">
        <f aca="false">SUMIFS(L_Ent,L_Data,$A51,L_Status,"PROJETADO")</f>
        <v>0</v>
      </c>
      <c r="E51" s="10" t="n">
        <f aca="false">SUMIFS(L_Sai,L_Data,$A51,L_Status,"PROJETADO")</f>
        <v>0</v>
      </c>
      <c r="F51" s="10" t="n">
        <f aca="false">$B51-$C51+$D51-$E51</f>
        <v>0</v>
      </c>
      <c r="G51" s="10" t="n">
        <f aca="false">$G50+$F51</f>
        <v>0</v>
      </c>
    </row>
    <row r="52" customFormat="false" ht="15" hidden="false" customHeight="false" outlineLevel="0" collapsed="false">
      <c r="A52" s="44" t="n">
        <f aca="false">CFG_HOJE-15+11</f>
        <v>46266</v>
      </c>
      <c r="B52" s="10" t="n">
        <f aca="false">SUMIFS(L_Ent,L_Data,$A52,L_Status,"REALIZADO")</f>
        <v>0</v>
      </c>
      <c r="C52" s="10" t="n">
        <f aca="false">SUMIFS(L_Sai,L_Data,$A52,L_Status,"REALIZADO")</f>
        <v>0</v>
      </c>
      <c r="D52" s="10" t="n">
        <f aca="false">SUMIFS(L_Ent,L_Data,$A52,L_Status,"PROJETADO")</f>
        <v>0</v>
      </c>
      <c r="E52" s="10" t="n">
        <f aca="false">SUMIFS(L_Sai,L_Data,$A52,L_Status,"PROJETADO")</f>
        <v>0</v>
      </c>
      <c r="F52" s="10" t="n">
        <f aca="false">$B52-$C52+$D52-$E52</f>
        <v>0</v>
      </c>
      <c r="G52" s="10" t="n">
        <f aca="false">$G51+$F52</f>
        <v>0</v>
      </c>
    </row>
    <row r="53" customFormat="false" ht="15" hidden="false" customHeight="false" outlineLevel="0" collapsed="false">
      <c r="A53" s="44" t="n">
        <f aca="false">CFG_HOJE-15+12</f>
        <v>46267</v>
      </c>
      <c r="B53" s="10" t="n">
        <f aca="false">SUMIFS(L_Ent,L_Data,$A53,L_Status,"REALIZADO")</f>
        <v>0</v>
      </c>
      <c r="C53" s="10" t="n">
        <f aca="false">SUMIFS(L_Sai,L_Data,$A53,L_Status,"REALIZADO")</f>
        <v>0</v>
      </c>
      <c r="D53" s="10" t="n">
        <f aca="false">SUMIFS(L_Ent,L_Data,$A53,L_Status,"PROJETADO")</f>
        <v>0</v>
      </c>
      <c r="E53" s="10" t="n">
        <f aca="false">SUMIFS(L_Sai,L_Data,$A53,L_Status,"PROJETADO")</f>
        <v>0</v>
      </c>
      <c r="F53" s="10" t="n">
        <f aca="false">$B53-$C53+$D53-$E53</f>
        <v>0</v>
      </c>
      <c r="G53" s="10" t="n">
        <f aca="false">$G52+$F53</f>
        <v>0</v>
      </c>
    </row>
    <row r="54" customFormat="false" ht="15" hidden="false" customHeight="false" outlineLevel="0" collapsed="false">
      <c r="A54" s="44" t="n">
        <f aca="false">CFG_HOJE-15+13</f>
        <v>46268</v>
      </c>
      <c r="B54" s="10" t="n">
        <f aca="false">SUMIFS(L_Ent,L_Data,$A54,L_Status,"REALIZADO")</f>
        <v>0</v>
      </c>
      <c r="C54" s="10" t="n">
        <f aca="false">SUMIFS(L_Sai,L_Data,$A54,L_Status,"REALIZADO")</f>
        <v>0</v>
      </c>
      <c r="D54" s="10" t="n">
        <f aca="false">SUMIFS(L_Ent,L_Data,$A54,L_Status,"PROJETADO")</f>
        <v>0</v>
      </c>
      <c r="E54" s="10" t="n">
        <f aca="false">SUMIFS(L_Sai,L_Data,$A54,L_Status,"PROJETADO")</f>
        <v>0</v>
      </c>
      <c r="F54" s="10" t="n">
        <f aca="false">$B54-$C54+$D54-$E54</f>
        <v>0</v>
      </c>
      <c r="G54" s="10" t="n">
        <f aca="false">$G53+$F54</f>
        <v>0</v>
      </c>
    </row>
    <row r="55" customFormat="false" ht="15" hidden="false" customHeight="false" outlineLevel="0" collapsed="false">
      <c r="A55" s="44" t="n">
        <f aca="false">CFG_HOJE-15+14</f>
        <v>46269</v>
      </c>
      <c r="B55" s="10" t="n">
        <f aca="false">SUMIFS(L_Ent,L_Data,$A55,L_Status,"REALIZADO")</f>
        <v>0</v>
      </c>
      <c r="C55" s="10" t="n">
        <f aca="false">SUMIFS(L_Sai,L_Data,$A55,L_Status,"REALIZADO")</f>
        <v>0</v>
      </c>
      <c r="D55" s="10" t="n">
        <f aca="false">SUMIFS(L_Ent,L_Data,$A55,L_Status,"PROJETADO")</f>
        <v>0</v>
      </c>
      <c r="E55" s="10" t="n">
        <f aca="false">SUMIFS(L_Sai,L_Data,$A55,L_Status,"PROJETADO")</f>
        <v>0</v>
      </c>
      <c r="F55" s="10" t="n">
        <f aca="false">$B55-$C55+$D55-$E55</f>
        <v>0</v>
      </c>
      <c r="G55" s="10" t="n">
        <f aca="false">$G54+$F55</f>
        <v>0</v>
      </c>
    </row>
    <row r="56" customFormat="false" ht="15" hidden="false" customHeight="false" outlineLevel="0" collapsed="false">
      <c r="A56" s="44" t="n">
        <f aca="false">CFG_HOJE-15+15</f>
        <v>46270</v>
      </c>
      <c r="B56" s="10" t="n">
        <f aca="false">SUMIFS(L_Ent,L_Data,$A56,L_Status,"REALIZADO")</f>
        <v>0</v>
      </c>
      <c r="C56" s="10" t="n">
        <f aca="false">SUMIFS(L_Sai,L_Data,$A56,L_Status,"REALIZADO")</f>
        <v>0</v>
      </c>
      <c r="D56" s="10" t="n">
        <f aca="false">SUMIFS(L_Ent,L_Data,$A56,L_Status,"PROJETADO")</f>
        <v>0</v>
      </c>
      <c r="E56" s="10" t="n">
        <f aca="false">SUMIFS(L_Sai,L_Data,$A56,L_Status,"PROJETADO")</f>
        <v>0</v>
      </c>
      <c r="F56" s="10" t="n">
        <f aca="false">$B56-$C56+$D56-$E56</f>
        <v>0</v>
      </c>
      <c r="G56" s="10" t="n">
        <f aca="false">$G55+$F56</f>
        <v>0</v>
      </c>
    </row>
    <row r="57" customFormat="false" ht="15" hidden="false" customHeight="false" outlineLevel="0" collapsed="false">
      <c r="A57" s="44" t="n">
        <f aca="false">CFG_HOJE-15+16</f>
        <v>46271</v>
      </c>
      <c r="B57" s="10" t="n">
        <f aca="false">SUMIFS(L_Ent,L_Data,$A57,L_Status,"REALIZADO")</f>
        <v>0</v>
      </c>
      <c r="C57" s="10" t="n">
        <f aca="false">SUMIFS(L_Sai,L_Data,$A57,L_Status,"REALIZADO")</f>
        <v>0</v>
      </c>
      <c r="D57" s="10" t="n">
        <f aca="false">SUMIFS(L_Ent,L_Data,$A57,L_Status,"PROJETADO")</f>
        <v>0</v>
      </c>
      <c r="E57" s="10" t="n">
        <f aca="false">SUMIFS(L_Sai,L_Data,$A57,L_Status,"PROJETADO")</f>
        <v>0</v>
      </c>
      <c r="F57" s="10" t="n">
        <f aca="false">$B57-$C57+$D57-$E57</f>
        <v>0</v>
      </c>
      <c r="G57" s="10" t="n">
        <f aca="false">$G56+$F57</f>
        <v>0</v>
      </c>
    </row>
    <row r="58" customFormat="false" ht="15" hidden="false" customHeight="false" outlineLevel="0" collapsed="false">
      <c r="A58" s="44" t="n">
        <f aca="false">CFG_HOJE-15+17</f>
        <v>46272</v>
      </c>
      <c r="B58" s="10" t="n">
        <f aca="false">SUMIFS(L_Ent,L_Data,$A58,L_Status,"REALIZADO")</f>
        <v>0</v>
      </c>
      <c r="C58" s="10" t="n">
        <f aca="false">SUMIFS(L_Sai,L_Data,$A58,L_Status,"REALIZADO")</f>
        <v>0</v>
      </c>
      <c r="D58" s="10" t="n">
        <f aca="false">SUMIFS(L_Ent,L_Data,$A58,L_Status,"PROJETADO")</f>
        <v>0</v>
      </c>
      <c r="E58" s="10" t="n">
        <f aca="false">SUMIFS(L_Sai,L_Data,$A58,L_Status,"PROJETADO")</f>
        <v>0</v>
      </c>
      <c r="F58" s="10" t="n">
        <f aca="false">$B58-$C58+$D58-$E58</f>
        <v>0</v>
      </c>
      <c r="G58" s="10" t="n">
        <f aca="false">$G57+$F58</f>
        <v>0</v>
      </c>
    </row>
    <row r="59" customFormat="false" ht="15" hidden="false" customHeight="false" outlineLevel="0" collapsed="false">
      <c r="A59" s="44" t="n">
        <f aca="false">CFG_HOJE-15+18</f>
        <v>46273</v>
      </c>
      <c r="B59" s="10" t="n">
        <f aca="false">SUMIFS(L_Ent,L_Data,$A59,L_Status,"REALIZADO")</f>
        <v>0</v>
      </c>
      <c r="C59" s="10" t="n">
        <f aca="false">SUMIFS(L_Sai,L_Data,$A59,L_Status,"REALIZADO")</f>
        <v>0</v>
      </c>
      <c r="D59" s="10" t="n">
        <f aca="false">SUMIFS(L_Ent,L_Data,$A59,L_Status,"PROJETADO")</f>
        <v>0</v>
      </c>
      <c r="E59" s="10" t="n">
        <f aca="false">SUMIFS(L_Sai,L_Data,$A59,L_Status,"PROJETADO")</f>
        <v>0</v>
      </c>
      <c r="F59" s="10" t="n">
        <f aca="false">$B59-$C59+$D59-$E59</f>
        <v>0</v>
      </c>
      <c r="G59" s="10" t="n">
        <f aca="false">$G58+$F59</f>
        <v>0</v>
      </c>
    </row>
    <row r="60" customFormat="false" ht="15" hidden="false" customHeight="false" outlineLevel="0" collapsed="false">
      <c r="A60" s="44" t="n">
        <f aca="false">CFG_HOJE-15+19</f>
        <v>46274</v>
      </c>
      <c r="B60" s="10" t="n">
        <f aca="false">SUMIFS(L_Ent,L_Data,$A60,L_Status,"REALIZADO")</f>
        <v>0</v>
      </c>
      <c r="C60" s="10" t="n">
        <f aca="false">SUMIFS(L_Sai,L_Data,$A60,L_Status,"REALIZADO")</f>
        <v>0</v>
      </c>
      <c r="D60" s="10" t="n">
        <f aca="false">SUMIFS(L_Ent,L_Data,$A60,L_Status,"PROJETADO")</f>
        <v>0</v>
      </c>
      <c r="E60" s="10" t="n">
        <f aca="false">SUMIFS(L_Sai,L_Data,$A60,L_Status,"PROJETADO")</f>
        <v>0</v>
      </c>
      <c r="F60" s="10" t="n">
        <f aca="false">$B60-$C60+$D60-$E60</f>
        <v>0</v>
      </c>
      <c r="G60" s="10" t="n">
        <f aca="false">$G59+$F60</f>
        <v>0</v>
      </c>
    </row>
    <row r="61" customFormat="false" ht="15" hidden="false" customHeight="false" outlineLevel="0" collapsed="false">
      <c r="A61" s="44" t="n">
        <f aca="false">CFG_HOJE-15+20</f>
        <v>46275</v>
      </c>
      <c r="B61" s="10" t="n">
        <f aca="false">SUMIFS(L_Ent,L_Data,$A61,L_Status,"REALIZADO")</f>
        <v>0</v>
      </c>
      <c r="C61" s="10" t="n">
        <f aca="false">SUMIFS(L_Sai,L_Data,$A61,L_Status,"REALIZADO")</f>
        <v>0</v>
      </c>
      <c r="D61" s="10" t="n">
        <f aca="false">SUMIFS(L_Ent,L_Data,$A61,L_Status,"PROJETADO")</f>
        <v>0</v>
      </c>
      <c r="E61" s="10" t="n">
        <f aca="false">SUMIFS(L_Sai,L_Data,$A61,L_Status,"PROJETADO")</f>
        <v>0</v>
      </c>
      <c r="F61" s="10" t="n">
        <f aca="false">$B61-$C61+$D61-$E61</f>
        <v>0</v>
      </c>
      <c r="G61" s="10" t="n">
        <f aca="false">$G60+$F61</f>
        <v>0</v>
      </c>
    </row>
    <row r="62" customFormat="false" ht="15" hidden="false" customHeight="false" outlineLevel="0" collapsed="false">
      <c r="A62" s="44" t="n">
        <f aca="false">CFG_HOJE-15+21</f>
        <v>46276</v>
      </c>
      <c r="B62" s="10" t="n">
        <f aca="false">SUMIFS(L_Ent,L_Data,$A62,L_Status,"REALIZADO")</f>
        <v>0</v>
      </c>
      <c r="C62" s="10" t="n">
        <f aca="false">SUMIFS(L_Sai,L_Data,$A62,L_Status,"REALIZADO")</f>
        <v>0</v>
      </c>
      <c r="D62" s="10" t="n">
        <f aca="false">SUMIFS(L_Ent,L_Data,$A62,L_Status,"PROJETADO")</f>
        <v>0</v>
      </c>
      <c r="E62" s="10" t="n">
        <f aca="false">SUMIFS(L_Sai,L_Data,$A62,L_Status,"PROJETADO")</f>
        <v>0</v>
      </c>
      <c r="F62" s="10" t="n">
        <f aca="false">$B62-$C62+$D62-$E62</f>
        <v>0</v>
      </c>
      <c r="G62" s="10" t="n">
        <f aca="false">$G61+$F62</f>
        <v>0</v>
      </c>
    </row>
    <row r="63" customFormat="false" ht="15" hidden="false" customHeight="false" outlineLevel="0" collapsed="false">
      <c r="A63" s="44" t="n">
        <f aca="false">CFG_HOJE-15+22</f>
        <v>46277</v>
      </c>
      <c r="B63" s="10" t="n">
        <f aca="false">SUMIFS(L_Ent,L_Data,$A63,L_Status,"REALIZADO")</f>
        <v>0</v>
      </c>
      <c r="C63" s="10" t="n">
        <f aca="false">SUMIFS(L_Sai,L_Data,$A63,L_Status,"REALIZADO")</f>
        <v>0</v>
      </c>
      <c r="D63" s="10" t="n">
        <f aca="false">SUMIFS(L_Ent,L_Data,$A63,L_Status,"PROJETADO")</f>
        <v>0</v>
      </c>
      <c r="E63" s="10" t="n">
        <f aca="false">SUMIFS(L_Sai,L_Data,$A63,L_Status,"PROJETADO")</f>
        <v>0</v>
      </c>
      <c r="F63" s="10" t="n">
        <f aca="false">$B63-$C63+$D63-$E63</f>
        <v>0</v>
      </c>
      <c r="G63" s="10" t="n">
        <f aca="false">$G62+$F63</f>
        <v>0</v>
      </c>
    </row>
    <row r="64" customFormat="false" ht="15" hidden="false" customHeight="false" outlineLevel="0" collapsed="false">
      <c r="A64" s="44" t="n">
        <f aca="false">CFG_HOJE-15+23</f>
        <v>46278</v>
      </c>
      <c r="B64" s="10" t="n">
        <f aca="false">SUMIFS(L_Ent,L_Data,$A64,L_Status,"REALIZADO")</f>
        <v>0</v>
      </c>
      <c r="C64" s="10" t="n">
        <f aca="false">SUMIFS(L_Sai,L_Data,$A64,L_Status,"REALIZADO")</f>
        <v>0</v>
      </c>
      <c r="D64" s="10" t="n">
        <f aca="false">SUMIFS(L_Ent,L_Data,$A64,L_Status,"PROJETADO")</f>
        <v>0</v>
      </c>
      <c r="E64" s="10" t="n">
        <f aca="false">SUMIFS(L_Sai,L_Data,$A64,L_Status,"PROJETADO")</f>
        <v>0</v>
      </c>
      <c r="F64" s="10" t="n">
        <f aca="false">$B64-$C64+$D64-$E64</f>
        <v>0</v>
      </c>
      <c r="G64" s="10" t="n">
        <f aca="false">$G63+$F64</f>
        <v>0</v>
      </c>
    </row>
    <row r="65" customFormat="false" ht="15" hidden="false" customHeight="false" outlineLevel="0" collapsed="false">
      <c r="A65" s="44" t="n">
        <f aca="false">CFG_HOJE-15+24</f>
        <v>46279</v>
      </c>
      <c r="B65" s="10" t="n">
        <f aca="false">SUMIFS(L_Ent,L_Data,$A65,L_Status,"REALIZADO")</f>
        <v>0</v>
      </c>
      <c r="C65" s="10" t="n">
        <f aca="false">SUMIFS(L_Sai,L_Data,$A65,L_Status,"REALIZADO")</f>
        <v>0</v>
      </c>
      <c r="D65" s="10" t="n">
        <f aca="false">SUMIFS(L_Ent,L_Data,$A65,L_Status,"PROJETADO")</f>
        <v>0</v>
      </c>
      <c r="E65" s="10" t="n">
        <f aca="false">SUMIFS(L_Sai,L_Data,$A65,L_Status,"PROJETADO")</f>
        <v>0</v>
      </c>
      <c r="F65" s="10" t="n">
        <f aca="false">$B65-$C65+$D65-$E65</f>
        <v>0</v>
      </c>
      <c r="G65" s="10" t="n">
        <f aca="false">$G64+$F65</f>
        <v>0</v>
      </c>
    </row>
    <row r="66" customFormat="false" ht="15" hidden="false" customHeight="false" outlineLevel="0" collapsed="false">
      <c r="A66" s="44" t="n">
        <f aca="false">CFG_HOJE-15+25</f>
        <v>46280</v>
      </c>
      <c r="B66" s="10" t="n">
        <f aca="false">SUMIFS(L_Ent,L_Data,$A66,L_Status,"REALIZADO")</f>
        <v>0</v>
      </c>
      <c r="C66" s="10" t="n">
        <f aca="false">SUMIFS(L_Sai,L_Data,$A66,L_Status,"REALIZADO")</f>
        <v>0</v>
      </c>
      <c r="D66" s="10" t="n">
        <f aca="false">SUMIFS(L_Ent,L_Data,$A66,L_Status,"PROJETADO")</f>
        <v>0</v>
      </c>
      <c r="E66" s="10" t="n">
        <f aca="false">SUMIFS(L_Sai,L_Data,$A66,L_Status,"PROJETADO")</f>
        <v>0</v>
      </c>
      <c r="F66" s="10" t="n">
        <f aca="false">$B66-$C66+$D66-$E66</f>
        <v>0</v>
      </c>
      <c r="G66" s="10" t="n">
        <f aca="false">$G65+$F66</f>
        <v>0</v>
      </c>
    </row>
    <row r="67" customFormat="false" ht="15" hidden="false" customHeight="false" outlineLevel="0" collapsed="false">
      <c r="A67" s="44" t="n">
        <f aca="false">CFG_HOJE-15+26</f>
        <v>46281</v>
      </c>
      <c r="B67" s="10" t="n">
        <f aca="false">SUMIFS(L_Ent,L_Data,$A67,L_Status,"REALIZADO")</f>
        <v>0</v>
      </c>
      <c r="C67" s="10" t="n">
        <f aca="false">SUMIFS(L_Sai,L_Data,$A67,L_Status,"REALIZADO")</f>
        <v>0</v>
      </c>
      <c r="D67" s="10" t="n">
        <f aca="false">SUMIFS(L_Ent,L_Data,$A67,L_Status,"PROJETADO")</f>
        <v>0</v>
      </c>
      <c r="E67" s="10" t="n">
        <f aca="false">SUMIFS(L_Sai,L_Data,$A67,L_Status,"PROJETADO")</f>
        <v>0</v>
      </c>
      <c r="F67" s="10" t="n">
        <f aca="false">$B67-$C67+$D67-$E67</f>
        <v>0</v>
      </c>
      <c r="G67" s="10" t="n">
        <f aca="false">$G66+$F67</f>
        <v>0</v>
      </c>
    </row>
    <row r="68" customFormat="false" ht="15" hidden="false" customHeight="false" outlineLevel="0" collapsed="false">
      <c r="A68" s="44" t="n">
        <f aca="false">CFG_HOJE-15+27</f>
        <v>46282</v>
      </c>
      <c r="B68" s="10" t="n">
        <f aca="false">SUMIFS(L_Ent,L_Data,$A68,L_Status,"REALIZADO")</f>
        <v>0</v>
      </c>
      <c r="C68" s="10" t="n">
        <f aca="false">SUMIFS(L_Sai,L_Data,$A68,L_Status,"REALIZADO")</f>
        <v>0</v>
      </c>
      <c r="D68" s="10" t="n">
        <f aca="false">SUMIFS(L_Ent,L_Data,$A68,L_Status,"PROJETADO")</f>
        <v>0</v>
      </c>
      <c r="E68" s="10" t="n">
        <f aca="false">SUMIFS(L_Sai,L_Data,$A68,L_Status,"PROJETADO")</f>
        <v>0</v>
      </c>
      <c r="F68" s="10" t="n">
        <f aca="false">$B68-$C68+$D68-$E68</f>
        <v>0</v>
      </c>
      <c r="G68" s="10" t="n">
        <f aca="false">$G67+$F68</f>
        <v>0</v>
      </c>
    </row>
    <row r="69" customFormat="false" ht="15" hidden="false" customHeight="false" outlineLevel="0" collapsed="false">
      <c r="A69" s="44" t="n">
        <f aca="false">CFG_HOJE-15+28</f>
        <v>46283</v>
      </c>
      <c r="B69" s="10" t="n">
        <f aca="false">SUMIFS(L_Ent,L_Data,$A69,L_Status,"REALIZADO")</f>
        <v>0</v>
      </c>
      <c r="C69" s="10" t="n">
        <f aca="false">SUMIFS(L_Sai,L_Data,$A69,L_Status,"REALIZADO")</f>
        <v>0</v>
      </c>
      <c r="D69" s="10" t="n">
        <f aca="false">SUMIFS(L_Ent,L_Data,$A69,L_Status,"PROJETADO")</f>
        <v>0</v>
      </c>
      <c r="E69" s="10" t="n">
        <f aca="false">SUMIFS(L_Sai,L_Data,$A69,L_Status,"PROJETADO")</f>
        <v>0</v>
      </c>
      <c r="F69" s="10" t="n">
        <f aca="false">$B69-$C69+$D69-$E69</f>
        <v>0</v>
      </c>
      <c r="G69" s="10" t="n">
        <f aca="false">$G68+$F69</f>
        <v>0</v>
      </c>
    </row>
    <row r="70" customFormat="false" ht="15" hidden="false" customHeight="false" outlineLevel="0" collapsed="false">
      <c r="A70" s="44" t="n">
        <f aca="false">CFG_HOJE-15+29</f>
        <v>46284</v>
      </c>
      <c r="B70" s="10" t="n">
        <f aca="false">SUMIFS(L_Ent,L_Data,$A70,L_Status,"REALIZADO")</f>
        <v>0</v>
      </c>
      <c r="C70" s="10" t="n">
        <f aca="false">SUMIFS(L_Sai,L_Data,$A70,L_Status,"REALIZADO")</f>
        <v>0</v>
      </c>
      <c r="D70" s="10" t="n">
        <f aca="false">SUMIFS(L_Ent,L_Data,$A70,L_Status,"PROJETADO")</f>
        <v>0</v>
      </c>
      <c r="E70" s="10" t="n">
        <f aca="false">SUMIFS(L_Sai,L_Data,$A70,L_Status,"PROJETADO")</f>
        <v>0</v>
      </c>
      <c r="F70" s="10" t="n">
        <f aca="false">$B70-$C70+$D70-$E70</f>
        <v>0</v>
      </c>
      <c r="G70" s="10" t="n">
        <f aca="false">$G69+$F70</f>
        <v>0</v>
      </c>
    </row>
    <row r="71" customFormat="false" ht="15" hidden="false" customHeight="false" outlineLevel="0" collapsed="false">
      <c r="A71" s="44" t="n">
        <f aca="false">CFG_HOJE-15+30</f>
        <v>46285</v>
      </c>
      <c r="B71" s="10" t="n">
        <f aca="false">SUMIFS(L_Ent,L_Data,$A71,L_Status,"REALIZADO")</f>
        <v>0</v>
      </c>
      <c r="C71" s="10" t="n">
        <f aca="false">SUMIFS(L_Sai,L_Data,$A71,L_Status,"REALIZADO")</f>
        <v>0</v>
      </c>
      <c r="D71" s="10" t="n">
        <f aca="false">SUMIFS(L_Ent,L_Data,$A71,L_Status,"PROJETADO")</f>
        <v>0</v>
      </c>
      <c r="E71" s="10" t="n">
        <f aca="false">SUMIFS(L_Sai,L_Data,$A71,L_Status,"PROJETADO")</f>
        <v>0</v>
      </c>
      <c r="F71" s="10" t="n">
        <f aca="false">$B71-$C71+$D71-$E71</f>
        <v>0</v>
      </c>
      <c r="G71" s="10" t="n">
        <f aca="false">$G70+$F71</f>
        <v>0</v>
      </c>
    </row>
    <row r="72" customFormat="false" ht="15" hidden="false" customHeight="false" outlineLevel="0" collapsed="false">
      <c r="A72" s="44" t="n">
        <f aca="false">CFG_HOJE-15+31</f>
        <v>46286</v>
      </c>
      <c r="B72" s="10" t="n">
        <f aca="false">SUMIFS(L_Ent,L_Data,$A72,L_Status,"REALIZADO")</f>
        <v>0</v>
      </c>
      <c r="C72" s="10" t="n">
        <f aca="false">SUMIFS(L_Sai,L_Data,$A72,L_Status,"REALIZADO")</f>
        <v>0</v>
      </c>
      <c r="D72" s="10" t="n">
        <f aca="false">SUMIFS(L_Ent,L_Data,$A72,L_Status,"PROJETADO")</f>
        <v>0</v>
      </c>
      <c r="E72" s="10" t="n">
        <f aca="false">SUMIFS(L_Sai,L_Data,$A72,L_Status,"PROJETADO")</f>
        <v>0</v>
      </c>
      <c r="F72" s="10" t="n">
        <f aca="false">$B72-$C72+$D72-$E72</f>
        <v>0</v>
      </c>
      <c r="G72" s="10" t="n">
        <f aca="false">$G71+$F72</f>
        <v>0</v>
      </c>
    </row>
    <row r="73" customFormat="false" ht="15" hidden="false" customHeight="false" outlineLevel="0" collapsed="false">
      <c r="A73" s="44" t="n">
        <f aca="false">CFG_HOJE-15+32</f>
        <v>46287</v>
      </c>
      <c r="B73" s="10" t="n">
        <f aca="false">SUMIFS(L_Ent,L_Data,$A73,L_Status,"REALIZADO")</f>
        <v>0</v>
      </c>
      <c r="C73" s="10" t="n">
        <f aca="false">SUMIFS(L_Sai,L_Data,$A73,L_Status,"REALIZADO")</f>
        <v>0</v>
      </c>
      <c r="D73" s="10" t="n">
        <f aca="false">SUMIFS(L_Ent,L_Data,$A73,L_Status,"PROJETADO")</f>
        <v>0</v>
      </c>
      <c r="E73" s="10" t="n">
        <f aca="false">SUMIFS(L_Sai,L_Data,$A73,L_Status,"PROJETADO")</f>
        <v>0</v>
      </c>
      <c r="F73" s="10" t="n">
        <f aca="false">$B73-$C73+$D73-$E73</f>
        <v>0</v>
      </c>
      <c r="G73" s="10" t="n">
        <f aca="false">$G72+$F73</f>
        <v>0</v>
      </c>
    </row>
    <row r="74" customFormat="false" ht="15" hidden="false" customHeight="false" outlineLevel="0" collapsed="false">
      <c r="A74" s="44" t="n">
        <f aca="false">CFG_HOJE-15+33</f>
        <v>46288</v>
      </c>
      <c r="B74" s="10" t="n">
        <f aca="false">SUMIFS(L_Ent,L_Data,$A74,L_Status,"REALIZADO")</f>
        <v>0</v>
      </c>
      <c r="C74" s="10" t="n">
        <f aca="false">SUMIFS(L_Sai,L_Data,$A74,L_Status,"REALIZADO")</f>
        <v>0</v>
      </c>
      <c r="D74" s="10" t="n">
        <f aca="false">SUMIFS(L_Ent,L_Data,$A74,L_Status,"PROJETADO")</f>
        <v>0</v>
      </c>
      <c r="E74" s="10" t="n">
        <f aca="false">SUMIFS(L_Sai,L_Data,$A74,L_Status,"PROJETADO")</f>
        <v>0</v>
      </c>
      <c r="F74" s="10" t="n">
        <f aca="false">$B74-$C74+$D74-$E74</f>
        <v>0</v>
      </c>
      <c r="G74" s="10" t="n">
        <f aca="false">$G73+$F74</f>
        <v>0</v>
      </c>
    </row>
    <row r="75" customFormat="false" ht="15" hidden="false" customHeight="false" outlineLevel="0" collapsed="false">
      <c r="A75" s="44" t="n">
        <f aca="false">CFG_HOJE-15+34</f>
        <v>46289</v>
      </c>
      <c r="B75" s="10" t="n">
        <f aca="false">SUMIFS(L_Ent,L_Data,$A75,L_Status,"REALIZADO")</f>
        <v>0</v>
      </c>
      <c r="C75" s="10" t="n">
        <f aca="false">SUMIFS(L_Sai,L_Data,$A75,L_Status,"REALIZADO")</f>
        <v>0</v>
      </c>
      <c r="D75" s="10" t="n">
        <f aca="false">SUMIFS(L_Ent,L_Data,$A75,L_Status,"PROJETADO")</f>
        <v>0</v>
      </c>
      <c r="E75" s="10" t="n">
        <f aca="false">SUMIFS(L_Sai,L_Data,$A75,L_Status,"PROJETADO")</f>
        <v>0</v>
      </c>
      <c r="F75" s="10" t="n">
        <f aca="false">$B75-$C75+$D75-$E75</f>
        <v>0</v>
      </c>
      <c r="G75" s="10" t="n">
        <f aca="false">$G74+$F75</f>
        <v>0</v>
      </c>
    </row>
    <row r="76" customFormat="false" ht="15" hidden="false" customHeight="false" outlineLevel="0" collapsed="false">
      <c r="A76" s="44" t="n">
        <f aca="false">CFG_HOJE-15+35</f>
        <v>46290</v>
      </c>
      <c r="B76" s="10" t="n">
        <f aca="false">SUMIFS(L_Ent,L_Data,$A76,L_Status,"REALIZADO")</f>
        <v>0</v>
      </c>
      <c r="C76" s="10" t="n">
        <f aca="false">SUMIFS(L_Sai,L_Data,$A76,L_Status,"REALIZADO")</f>
        <v>0</v>
      </c>
      <c r="D76" s="10" t="n">
        <f aca="false">SUMIFS(L_Ent,L_Data,$A76,L_Status,"PROJETADO")</f>
        <v>0</v>
      </c>
      <c r="E76" s="10" t="n">
        <f aca="false">SUMIFS(L_Sai,L_Data,$A76,L_Status,"PROJETADO")</f>
        <v>0</v>
      </c>
      <c r="F76" s="10" t="n">
        <f aca="false">$B76-$C76+$D76-$E76</f>
        <v>0</v>
      </c>
      <c r="G76" s="10" t="n">
        <f aca="false">$G75+$F76</f>
        <v>0</v>
      </c>
    </row>
    <row r="77" customFormat="false" ht="15" hidden="false" customHeight="false" outlineLevel="0" collapsed="false">
      <c r="A77" s="44" t="n">
        <f aca="false">CFG_HOJE-15+36</f>
        <v>46291</v>
      </c>
      <c r="B77" s="10" t="n">
        <f aca="false">SUMIFS(L_Ent,L_Data,$A77,L_Status,"REALIZADO")</f>
        <v>0</v>
      </c>
      <c r="C77" s="10" t="n">
        <f aca="false">SUMIFS(L_Sai,L_Data,$A77,L_Status,"REALIZADO")</f>
        <v>0</v>
      </c>
      <c r="D77" s="10" t="n">
        <f aca="false">SUMIFS(L_Ent,L_Data,$A77,L_Status,"PROJETADO")</f>
        <v>0</v>
      </c>
      <c r="E77" s="10" t="n">
        <f aca="false">SUMIFS(L_Sai,L_Data,$A77,L_Status,"PROJETADO")</f>
        <v>0</v>
      </c>
      <c r="F77" s="10" t="n">
        <f aca="false">$B77-$C77+$D77-$E77</f>
        <v>0</v>
      </c>
      <c r="G77" s="10" t="n">
        <f aca="false">$G76+$F77</f>
        <v>0</v>
      </c>
    </row>
    <row r="78" customFormat="false" ht="15" hidden="false" customHeight="false" outlineLevel="0" collapsed="false">
      <c r="A78" s="44" t="n">
        <f aca="false">CFG_HOJE-15+37</f>
        <v>46292</v>
      </c>
      <c r="B78" s="10" t="n">
        <f aca="false">SUMIFS(L_Ent,L_Data,$A78,L_Status,"REALIZADO")</f>
        <v>0</v>
      </c>
      <c r="C78" s="10" t="n">
        <f aca="false">SUMIFS(L_Sai,L_Data,$A78,L_Status,"REALIZADO")</f>
        <v>0</v>
      </c>
      <c r="D78" s="10" t="n">
        <f aca="false">SUMIFS(L_Ent,L_Data,$A78,L_Status,"PROJETADO")</f>
        <v>0</v>
      </c>
      <c r="E78" s="10" t="n">
        <f aca="false">SUMIFS(L_Sai,L_Data,$A78,L_Status,"PROJETADO")</f>
        <v>0</v>
      </c>
      <c r="F78" s="10" t="n">
        <f aca="false">$B78-$C78+$D78-$E78</f>
        <v>0</v>
      </c>
      <c r="G78" s="10" t="n">
        <f aca="false">$G77+$F78</f>
        <v>0</v>
      </c>
    </row>
    <row r="79" customFormat="false" ht="15" hidden="false" customHeight="false" outlineLevel="0" collapsed="false">
      <c r="A79" s="44" t="n">
        <f aca="false">CFG_HOJE-15+38</f>
        <v>46293</v>
      </c>
      <c r="B79" s="10" t="n">
        <f aca="false">SUMIFS(L_Ent,L_Data,$A79,L_Status,"REALIZADO")</f>
        <v>0</v>
      </c>
      <c r="C79" s="10" t="n">
        <f aca="false">SUMIFS(L_Sai,L_Data,$A79,L_Status,"REALIZADO")</f>
        <v>0</v>
      </c>
      <c r="D79" s="10" t="n">
        <f aca="false">SUMIFS(L_Ent,L_Data,$A79,L_Status,"PROJETADO")</f>
        <v>0</v>
      </c>
      <c r="E79" s="10" t="n">
        <f aca="false">SUMIFS(L_Sai,L_Data,$A79,L_Status,"PROJETADO")</f>
        <v>0</v>
      </c>
      <c r="F79" s="10" t="n">
        <f aca="false">$B79-$C79+$D79-$E79</f>
        <v>0</v>
      </c>
      <c r="G79" s="10" t="n">
        <f aca="false">$G78+$F79</f>
        <v>0</v>
      </c>
    </row>
    <row r="80" customFormat="false" ht="15" hidden="false" customHeight="false" outlineLevel="0" collapsed="false">
      <c r="A80" s="44" t="n">
        <f aca="false">CFG_HOJE-15+39</f>
        <v>46294</v>
      </c>
      <c r="B80" s="10" t="n">
        <f aca="false">SUMIFS(L_Ent,L_Data,$A80,L_Status,"REALIZADO")</f>
        <v>0</v>
      </c>
      <c r="C80" s="10" t="n">
        <f aca="false">SUMIFS(L_Sai,L_Data,$A80,L_Status,"REALIZADO")</f>
        <v>0</v>
      </c>
      <c r="D80" s="10" t="n">
        <f aca="false">SUMIFS(L_Ent,L_Data,$A80,L_Status,"PROJETADO")</f>
        <v>0</v>
      </c>
      <c r="E80" s="10" t="n">
        <f aca="false">SUMIFS(L_Sai,L_Data,$A80,L_Status,"PROJETADO")</f>
        <v>0</v>
      </c>
      <c r="F80" s="10" t="n">
        <f aca="false">$B80-$C80+$D80-$E80</f>
        <v>0</v>
      </c>
      <c r="G80" s="10" t="n">
        <f aca="false">$G79+$F80</f>
        <v>0</v>
      </c>
    </row>
    <row r="81" customFormat="false" ht="15" hidden="false" customHeight="false" outlineLevel="0" collapsed="false">
      <c r="A81" s="44" t="n">
        <f aca="false">CFG_HOJE-15+40</f>
        <v>46295</v>
      </c>
      <c r="B81" s="10" t="n">
        <f aca="false">SUMIFS(L_Ent,L_Data,$A81,L_Status,"REALIZADO")</f>
        <v>0</v>
      </c>
      <c r="C81" s="10" t="n">
        <f aca="false">SUMIFS(L_Sai,L_Data,$A81,L_Status,"REALIZADO")</f>
        <v>0</v>
      </c>
      <c r="D81" s="10" t="n">
        <f aca="false">SUMIFS(L_Ent,L_Data,$A81,L_Status,"PROJETADO")</f>
        <v>0</v>
      </c>
      <c r="E81" s="10" t="n">
        <f aca="false">SUMIFS(L_Sai,L_Data,$A81,L_Status,"PROJETADO")</f>
        <v>0</v>
      </c>
      <c r="F81" s="10" t="n">
        <f aca="false">$B81-$C81+$D81-$E81</f>
        <v>0</v>
      </c>
      <c r="G81" s="10" t="n">
        <f aca="false">$G80+$F81</f>
        <v>0</v>
      </c>
    </row>
    <row r="82" customFormat="false" ht="15" hidden="false" customHeight="false" outlineLevel="0" collapsed="false">
      <c r="A82" s="44" t="n">
        <f aca="false">CFG_HOJE-15+41</f>
        <v>46296</v>
      </c>
      <c r="B82" s="10" t="n">
        <f aca="false">SUMIFS(L_Ent,L_Data,$A82,L_Status,"REALIZADO")</f>
        <v>0</v>
      </c>
      <c r="C82" s="10" t="n">
        <f aca="false">SUMIFS(L_Sai,L_Data,$A82,L_Status,"REALIZADO")</f>
        <v>0</v>
      </c>
      <c r="D82" s="10" t="n">
        <f aca="false">SUMIFS(L_Ent,L_Data,$A82,L_Status,"PROJETADO")</f>
        <v>0</v>
      </c>
      <c r="E82" s="10" t="n">
        <f aca="false">SUMIFS(L_Sai,L_Data,$A82,L_Status,"PROJETADO")</f>
        <v>0</v>
      </c>
      <c r="F82" s="10" t="n">
        <f aca="false">$B82-$C82+$D82-$E82</f>
        <v>0</v>
      </c>
      <c r="G82" s="10" t="n">
        <f aca="false">$G81+$F82</f>
        <v>0</v>
      </c>
    </row>
    <row r="83" customFormat="false" ht="15" hidden="false" customHeight="false" outlineLevel="0" collapsed="false">
      <c r="A83" s="44" t="n">
        <f aca="false">CFG_HOJE-15+42</f>
        <v>46297</v>
      </c>
      <c r="B83" s="10" t="n">
        <f aca="false">SUMIFS(L_Ent,L_Data,$A83,L_Status,"REALIZADO")</f>
        <v>0</v>
      </c>
      <c r="C83" s="10" t="n">
        <f aca="false">SUMIFS(L_Sai,L_Data,$A83,L_Status,"REALIZADO")</f>
        <v>0</v>
      </c>
      <c r="D83" s="10" t="n">
        <f aca="false">SUMIFS(L_Ent,L_Data,$A83,L_Status,"PROJETADO")</f>
        <v>0</v>
      </c>
      <c r="E83" s="10" t="n">
        <f aca="false">SUMIFS(L_Sai,L_Data,$A83,L_Status,"PROJETADO")</f>
        <v>0</v>
      </c>
      <c r="F83" s="10" t="n">
        <f aca="false">$B83-$C83+$D83-$E83</f>
        <v>0</v>
      </c>
      <c r="G83" s="10" t="n">
        <f aca="false">$G82+$F83</f>
        <v>0</v>
      </c>
    </row>
    <row r="84" customFormat="false" ht="15" hidden="false" customHeight="false" outlineLevel="0" collapsed="false">
      <c r="A84" s="44" t="n">
        <f aca="false">CFG_HOJE-15+43</f>
        <v>46298</v>
      </c>
      <c r="B84" s="10" t="n">
        <f aca="false">SUMIFS(L_Ent,L_Data,$A84,L_Status,"REALIZADO")</f>
        <v>0</v>
      </c>
      <c r="C84" s="10" t="n">
        <f aca="false">SUMIFS(L_Sai,L_Data,$A84,L_Status,"REALIZADO")</f>
        <v>0</v>
      </c>
      <c r="D84" s="10" t="n">
        <f aca="false">SUMIFS(L_Ent,L_Data,$A84,L_Status,"PROJETADO")</f>
        <v>0</v>
      </c>
      <c r="E84" s="10" t="n">
        <f aca="false">SUMIFS(L_Sai,L_Data,$A84,L_Status,"PROJETADO")</f>
        <v>0</v>
      </c>
      <c r="F84" s="10" t="n">
        <f aca="false">$B84-$C84+$D84-$E84</f>
        <v>0</v>
      </c>
      <c r="G84" s="10" t="n">
        <f aca="false">$G83+$F84</f>
        <v>0</v>
      </c>
    </row>
    <row r="85" customFormat="false" ht="15" hidden="false" customHeight="false" outlineLevel="0" collapsed="false">
      <c r="A85" s="44" t="n">
        <f aca="false">CFG_HOJE-15+44</f>
        <v>46299</v>
      </c>
      <c r="B85" s="10" t="n">
        <f aca="false">SUMIFS(L_Ent,L_Data,$A85,L_Status,"REALIZADO")</f>
        <v>0</v>
      </c>
      <c r="C85" s="10" t="n">
        <f aca="false">SUMIFS(L_Sai,L_Data,$A85,L_Status,"REALIZADO")</f>
        <v>0</v>
      </c>
      <c r="D85" s="10" t="n">
        <f aca="false">SUMIFS(L_Ent,L_Data,$A85,L_Status,"PROJETADO")</f>
        <v>0</v>
      </c>
      <c r="E85" s="10" t="n">
        <f aca="false">SUMIFS(L_Sai,L_Data,$A85,L_Status,"PROJETADO")</f>
        <v>0</v>
      </c>
      <c r="F85" s="10" t="n">
        <f aca="false">$B85-$C85+$D85-$E85</f>
        <v>0</v>
      </c>
      <c r="G85" s="10" t="n">
        <f aca="false">$G84+$F85</f>
        <v>0</v>
      </c>
    </row>
    <row r="86" customFormat="false" ht="15" hidden="false" customHeight="false" outlineLevel="0" collapsed="false">
      <c r="A86" s="44" t="n">
        <f aca="false">CFG_HOJE-15+45</f>
        <v>46300</v>
      </c>
      <c r="B86" s="10" t="n">
        <f aca="false">SUMIFS(L_Ent,L_Data,$A86,L_Status,"REALIZADO")</f>
        <v>0</v>
      </c>
      <c r="C86" s="10" t="n">
        <f aca="false">SUMIFS(L_Sai,L_Data,$A86,L_Status,"REALIZADO")</f>
        <v>0</v>
      </c>
      <c r="D86" s="10" t="n">
        <f aca="false">SUMIFS(L_Ent,L_Data,$A86,L_Status,"PROJETADO")</f>
        <v>0</v>
      </c>
      <c r="E86" s="10" t="n">
        <f aca="false">SUMIFS(L_Sai,L_Data,$A86,L_Status,"PROJETADO")</f>
        <v>0</v>
      </c>
      <c r="F86" s="10" t="n">
        <f aca="false">$B86-$C86+$D86-$E86</f>
        <v>0</v>
      </c>
      <c r="G86" s="10" t="n">
        <f aca="false">$G85+$F86</f>
        <v>0</v>
      </c>
    </row>
    <row r="87" customFormat="false" ht="15" hidden="false" customHeight="false" outlineLevel="0" collapsed="false">
      <c r="A87" s="44" t="n">
        <f aca="false">CFG_HOJE-15+46</f>
        <v>46301</v>
      </c>
      <c r="B87" s="10" t="n">
        <f aca="false">SUMIFS(L_Ent,L_Data,$A87,L_Status,"REALIZADO")</f>
        <v>0</v>
      </c>
      <c r="C87" s="10" t="n">
        <f aca="false">SUMIFS(L_Sai,L_Data,$A87,L_Status,"REALIZADO")</f>
        <v>0</v>
      </c>
      <c r="D87" s="10" t="n">
        <f aca="false">SUMIFS(L_Ent,L_Data,$A87,L_Status,"PROJETADO")</f>
        <v>0</v>
      </c>
      <c r="E87" s="10" t="n">
        <f aca="false">SUMIFS(L_Sai,L_Data,$A87,L_Status,"PROJETADO")</f>
        <v>0</v>
      </c>
      <c r="F87" s="10" t="n">
        <f aca="false">$B87-$C87+$D87-$E87</f>
        <v>0</v>
      </c>
      <c r="G87" s="10" t="n">
        <f aca="false">$G86+$F87</f>
        <v>0</v>
      </c>
    </row>
    <row r="88" customFormat="false" ht="15" hidden="false" customHeight="false" outlineLevel="0" collapsed="false">
      <c r="A88" s="44" t="n">
        <f aca="false">CFG_HOJE-15+47</f>
        <v>46302</v>
      </c>
      <c r="B88" s="10" t="n">
        <f aca="false">SUMIFS(L_Ent,L_Data,$A88,L_Status,"REALIZADO")</f>
        <v>0</v>
      </c>
      <c r="C88" s="10" t="n">
        <f aca="false">SUMIFS(L_Sai,L_Data,$A88,L_Status,"REALIZADO")</f>
        <v>0</v>
      </c>
      <c r="D88" s="10" t="n">
        <f aca="false">SUMIFS(L_Ent,L_Data,$A88,L_Status,"PROJETADO")</f>
        <v>0</v>
      </c>
      <c r="E88" s="10" t="n">
        <f aca="false">SUMIFS(L_Sai,L_Data,$A88,L_Status,"PROJETADO")</f>
        <v>0</v>
      </c>
      <c r="F88" s="10" t="n">
        <f aca="false">$B88-$C88+$D88-$E88</f>
        <v>0</v>
      </c>
      <c r="G88" s="10" t="n">
        <f aca="false">$G87+$F88</f>
        <v>0</v>
      </c>
    </row>
    <row r="89" customFormat="false" ht="15" hidden="false" customHeight="false" outlineLevel="0" collapsed="false">
      <c r="A89" s="44" t="n">
        <f aca="false">CFG_HOJE-15+48</f>
        <v>46303</v>
      </c>
      <c r="B89" s="10" t="n">
        <f aca="false">SUMIFS(L_Ent,L_Data,$A89,L_Status,"REALIZADO")</f>
        <v>0</v>
      </c>
      <c r="C89" s="10" t="n">
        <f aca="false">SUMIFS(L_Sai,L_Data,$A89,L_Status,"REALIZADO")</f>
        <v>0</v>
      </c>
      <c r="D89" s="10" t="n">
        <f aca="false">SUMIFS(L_Ent,L_Data,$A89,L_Status,"PROJETADO")</f>
        <v>0</v>
      </c>
      <c r="E89" s="10" t="n">
        <f aca="false">SUMIFS(L_Sai,L_Data,$A89,L_Status,"PROJETADO")</f>
        <v>0</v>
      </c>
      <c r="F89" s="10" t="n">
        <f aca="false">$B89-$C89+$D89-$E89</f>
        <v>0</v>
      </c>
      <c r="G89" s="10" t="n">
        <f aca="false">$G88+$F89</f>
        <v>0</v>
      </c>
    </row>
    <row r="90" customFormat="false" ht="15" hidden="false" customHeight="false" outlineLevel="0" collapsed="false">
      <c r="A90" s="44" t="n">
        <f aca="false">CFG_HOJE-15+49</f>
        <v>46304</v>
      </c>
      <c r="B90" s="10" t="n">
        <f aca="false">SUMIFS(L_Ent,L_Data,$A90,L_Status,"REALIZADO")</f>
        <v>0</v>
      </c>
      <c r="C90" s="10" t="n">
        <f aca="false">SUMIFS(L_Sai,L_Data,$A90,L_Status,"REALIZADO")</f>
        <v>0</v>
      </c>
      <c r="D90" s="10" t="n">
        <f aca="false">SUMIFS(L_Ent,L_Data,$A90,L_Status,"PROJETADO")</f>
        <v>0</v>
      </c>
      <c r="E90" s="10" t="n">
        <f aca="false">SUMIFS(L_Sai,L_Data,$A90,L_Status,"PROJETADO")</f>
        <v>0</v>
      </c>
      <c r="F90" s="10" t="n">
        <f aca="false">$B90-$C90+$D90-$E90</f>
        <v>0</v>
      </c>
      <c r="G90" s="10" t="n">
        <f aca="false">$G89+$F90</f>
        <v>0</v>
      </c>
    </row>
    <row r="91" customFormat="false" ht="15" hidden="false" customHeight="false" outlineLevel="0" collapsed="false">
      <c r="A91" s="44" t="n">
        <f aca="false">CFG_HOJE-15+50</f>
        <v>46305</v>
      </c>
      <c r="B91" s="10" t="n">
        <f aca="false">SUMIFS(L_Ent,L_Data,$A91,L_Status,"REALIZADO")</f>
        <v>0</v>
      </c>
      <c r="C91" s="10" t="n">
        <f aca="false">SUMIFS(L_Sai,L_Data,$A91,L_Status,"REALIZADO")</f>
        <v>0</v>
      </c>
      <c r="D91" s="10" t="n">
        <f aca="false">SUMIFS(L_Ent,L_Data,$A91,L_Status,"PROJETADO")</f>
        <v>0</v>
      </c>
      <c r="E91" s="10" t="n">
        <f aca="false">SUMIFS(L_Sai,L_Data,$A91,L_Status,"PROJETADO")</f>
        <v>0</v>
      </c>
      <c r="F91" s="10" t="n">
        <f aca="false">$B91-$C91+$D91-$E91</f>
        <v>0</v>
      </c>
      <c r="G91" s="10" t="n">
        <f aca="false">$G90+$F91</f>
        <v>0</v>
      </c>
    </row>
    <row r="92" customFormat="false" ht="15" hidden="false" customHeight="false" outlineLevel="0" collapsed="false">
      <c r="A92" s="44" t="n">
        <f aca="false">CFG_HOJE-15+51</f>
        <v>46306</v>
      </c>
      <c r="B92" s="10" t="n">
        <f aca="false">SUMIFS(L_Ent,L_Data,$A92,L_Status,"REALIZADO")</f>
        <v>0</v>
      </c>
      <c r="C92" s="10" t="n">
        <f aca="false">SUMIFS(L_Sai,L_Data,$A92,L_Status,"REALIZADO")</f>
        <v>0</v>
      </c>
      <c r="D92" s="10" t="n">
        <f aca="false">SUMIFS(L_Ent,L_Data,$A92,L_Status,"PROJETADO")</f>
        <v>0</v>
      </c>
      <c r="E92" s="10" t="n">
        <f aca="false">SUMIFS(L_Sai,L_Data,$A92,L_Status,"PROJETADO")</f>
        <v>0</v>
      </c>
      <c r="F92" s="10" t="n">
        <f aca="false">$B92-$C92+$D92-$E92</f>
        <v>0</v>
      </c>
      <c r="G92" s="10" t="n">
        <f aca="false">$G91+$F92</f>
        <v>0</v>
      </c>
    </row>
    <row r="93" customFormat="false" ht="15" hidden="false" customHeight="false" outlineLevel="0" collapsed="false">
      <c r="A93" s="44" t="n">
        <f aca="false">CFG_HOJE-15+52</f>
        <v>46307</v>
      </c>
      <c r="B93" s="10" t="n">
        <f aca="false">SUMIFS(L_Ent,L_Data,$A93,L_Status,"REALIZADO")</f>
        <v>0</v>
      </c>
      <c r="C93" s="10" t="n">
        <f aca="false">SUMIFS(L_Sai,L_Data,$A93,L_Status,"REALIZADO")</f>
        <v>0</v>
      </c>
      <c r="D93" s="10" t="n">
        <f aca="false">SUMIFS(L_Ent,L_Data,$A93,L_Status,"PROJETADO")</f>
        <v>0</v>
      </c>
      <c r="E93" s="10" t="n">
        <f aca="false">SUMIFS(L_Sai,L_Data,$A93,L_Status,"PROJETADO")</f>
        <v>0</v>
      </c>
      <c r="F93" s="10" t="n">
        <f aca="false">$B93-$C93+$D93-$E93</f>
        <v>0</v>
      </c>
      <c r="G93" s="10" t="n">
        <f aca="false">$G92+$F93</f>
        <v>0</v>
      </c>
    </row>
    <row r="94" customFormat="false" ht="15" hidden="false" customHeight="false" outlineLevel="0" collapsed="false">
      <c r="A94" s="44" t="n">
        <f aca="false">CFG_HOJE-15+53</f>
        <v>46308</v>
      </c>
      <c r="B94" s="10" t="n">
        <f aca="false">SUMIFS(L_Ent,L_Data,$A94,L_Status,"REALIZADO")</f>
        <v>0</v>
      </c>
      <c r="C94" s="10" t="n">
        <f aca="false">SUMIFS(L_Sai,L_Data,$A94,L_Status,"REALIZADO")</f>
        <v>0</v>
      </c>
      <c r="D94" s="10" t="n">
        <f aca="false">SUMIFS(L_Ent,L_Data,$A94,L_Status,"PROJETADO")</f>
        <v>0</v>
      </c>
      <c r="E94" s="10" t="n">
        <f aca="false">SUMIFS(L_Sai,L_Data,$A94,L_Status,"PROJETADO")</f>
        <v>0</v>
      </c>
      <c r="F94" s="10" t="n">
        <f aca="false">$B94-$C94+$D94-$E94</f>
        <v>0</v>
      </c>
      <c r="G94" s="10" t="n">
        <f aca="false">$G93+$F94</f>
        <v>0</v>
      </c>
    </row>
    <row r="95" customFormat="false" ht="15" hidden="false" customHeight="false" outlineLevel="0" collapsed="false">
      <c r="A95" s="44" t="n">
        <f aca="false">CFG_HOJE-15+54</f>
        <v>46309</v>
      </c>
      <c r="B95" s="10" t="n">
        <f aca="false">SUMIFS(L_Ent,L_Data,$A95,L_Status,"REALIZADO")</f>
        <v>0</v>
      </c>
      <c r="C95" s="10" t="n">
        <f aca="false">SUMIFS(L_Sai,L_Data,$A95,L_Status,"REALIZADO")</f>
        <v>0</v>
      </c>
      <c r="D95" s="10" t="n">
        <f aca="false">SUMIFS(L_Ent,L_Data,$A95,L_Status,"PROJETADO")</f>
        <v>0</v>
      </c>
      <c r="E95" s="10" t="n">
        <f aca="false">SUMIFS(L_Sai,L_Data,$A95,L_Status,"PROJETADO")</f>
        <v>0</v>
      </c>
      <c r="F95" s="10" t="n">
        <f aca="false">$B95-$C95+$D95-$E95</f>
        <v>0</v>
      </c>
      <c r="G95" s="10" t="n">
        <f aca="false">$G94+$F95</f>
        <v>0</v>
      </c>
    </row>
    <row r="96" customFormat="false" ht="15" hidden="false" customHeight="false" outlineLevel="0" collapsed="false">
      <c r="A96" s="44" t="n">
        <f aca="false">CFG_HOJE-15+55</f>
        <v>46310</v>
      </c>
      <c r="B96" s="10" t="n">
        <f aca="false">SUMIFS(L_Ent,L_Data,$A96,L_Status,"REALIZADO")</f>
        <v>0</v>
      </c>
      <c r="C96" s="10" t="n">
        <f aca="false">SUMIFS(L_Sai,L_Data,$A96,L_Status,"REALIZADO")</f>
        <v>0</v>
      </c>
      <c r="D96" s="10" t="n">
        <f aca="false">SUMIFS(L_Ent,L_Data,$A96,L_Status,"PROJETADO")</f>
        <v>0</v>
      </c>
      <c r="E96" s="10" t="n">
        <f aca="false">SUMIFS(L_Sai,L_Data,$A96,L_Status,"PROJETADO")</f>
        <v>0</v>
      </c>
      <c r="F96" s="10" t="n">
        <f aca="false">$B96-$C96+$D96-$E96</f>
        <v>0</v>
      </c>
      <c r="G96" s="10" t="n">
        <f aca="false">$G95+$F96</f>
        <v>0</v>
      </c>
    </row>
    <row r="97" customFormat="false" ht="15" hidden="false" customHeight="false" outlineLevel="0" collapsed="false">
      <c r="A97" s="44" t="n">
        <f aca="false">CFG_HOJE-15+56</f>
        <v>46311</v>
      </c>
      <c r="B97" s="10" t="n">
        <f aca="false">SUMIFS(L_Ent,L_Data,$A97,L_Status,"REALIZADO")</f>
        <v>0</v>
      </c>
      <c r="C97" s="10" t="n">
        <f aca="false">SUMIFS(L_Sai,L_Data,$A97,L_Status,"REALIZADO")</f>
        <v>0</v>
      </c>
      <c r="D97" s="10" t="n">
        <f aca="false">SUMIFS(L_Ent,L_Data,$A97,L_Status,"PROJETADO")</f>
        <v>0</v>
      </c>
      <c r="E97" s="10" t="n">
        <f aca="false">SUMIFS(L_Sai,L_Data,$A97,L_Status,"PROJETADO")</f>
        <v>0</v>
      </c>
      <c r="F97" s="10" t="n">
        <f aca="false">$B97-$C97+$D97-$E97</f>
        <v>0</v>
      </c>
      <c r="G97" s="10" t="n">
        <f aca="false">$G96+$F97</f>
        <v>0</v>
      </c>
    </row>
    <row r="98" customFormat="false" ht="15" hidden="false" customHeight="false" outlineLevel="0" collapsed="false">
      <c r="A98" s="44" t="n">
        <f aca="false">CFG_HOJE-15+57</f>
        <v>46312</v>
      </c>
      <c r="B98" s="10" t="n">
        <f aca="false">SUMIFS(L_Ent,L_Data,$A98,L_Status,"REALIZADO")</f>
        <v>0</v>
      </c>
      <c r="C98" s="10" t="n">
        <f aca="false">SUMIFS(L_Sai,L_Data,$A98,L_Status,"REALIZADO")</f>
        <v>0</v>
      </c>
      <c r="D98" s="10" t="n">
        <f aca="false">SUMIFS(L_Ent,L_Data,$A98,L_Status,"PROJETADO")</f>
        <v>0</v>
      </c>
      <c r="E98" s="10" t="n">
        <f aca="false">SUMIFS(L_Sai,L_Data,$A98,L_Status,"PROJETADO")</f>
        <v>0</v>
      </c>
      <c r="F98" s="10" t="n">
        <f aca="false">$B98-$C98+$D98-$E98</f>
        <v>0</v>
      </c>
      <c r="G98" s="10" t="n">
        <f aca="false">$G97+$F98</f>
        <v>0</v>
      </c>
    </row>
    <row r="99" customFormat="false" ht="15" hidden="false" customHeight="false" outlineLevel="0" collapsed="false">
      <c r="A99" s="44" t="n">
        <f aca="false">CFG_HOJE-15+58</f>
        <v>46313</v>
      </c>
      <c r="B99" s="10" t="n">
        <f aca="false">SUMIFS(L_Ent,L_Data,$A99,L_Status,"REALIZADO")</f>
        <v>0</v>
      </c>
      <c r="C99" s="10" t="n">
        <f aca="false">SUMIFS(L_Sai,L_Data,$A99,L_Status,"REALIZADO")</f>
        <v>0</v>
      </c>
      <c r="D99" s="10" t="n">
        <f aca="false">SUMIFS(L_Ent,L_Data,$A99,L_Status,"PROJETADO")</f>
        <v>0</v>
      </c>
      <c r="E99" s="10" t="n">
        <f aca="false">SUMIFS(L_Sai,L_Data,$A99,L_Status,"PROJETADO")</f>
        <v>0</v>
      </c>
      <c r="F99" s="10" t="n">
        <f aca="false">$B99-$C99+$D99-$E99</f>
        <v>0</v>
      </c>
      <c r="G99" s="10" t="n">
        <f aca="false">$G98+$F99</f>
        <v>0</v>
      </c>
    </row>
    <row r="100" customFormat="false" ht="15" hidden="false" customHeight="false" outlineLevel="0" collapsed="false">
      <c r="A100" s="44" t="n">
        <f aca="false">CFG_HOJE-15+59</f>
        <v>46314</v>
      </c>
      <c r="B100" s="10" t="n">
        <f aca="false">SUMIFS(L_Ent,L_Data,$A100,L_Status,"REALIZADO")</f>
        <v>0</v>
      </c>
      <c r="C100" s="10" t="n">
        <f aca="false">SUMIFS(L_Sai,L_Data,$A100,L_Status,"REALIZADO")</f>
        <v>0</v>
      </c>
      <c r="D100" s="10" t="n">
        <f aca="false">SUMIFS(L_Ent,L_Data,$A100,L_Status,"PROJETADO")</f>
        <v>0</v>
      </c>
      <c r="E100" s="10" t="n">
        <f aca="false">SUMIFS(L_Sai,L_Data,$A100,L_Status,"PROJETADO")</f>
        <v>0</v>
      </c>
      <c r="F100" s="10" t="n">
        <f aca="false">$B100-$C100+$D100-$E100</f>
        <v>0</v>
      </c>
      <c r="G100" s="10" t="n">
        <f aca="false">$G99+$F100</f>
        <v>0</v>
      </c>
    </row>
    <row r="102" customFormat="false" ht="19.5" hidden="false" customHeight="true" outlineLevel="0" collapsed="false">
      <c r="A102" s="3" t="s">
        <v>352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30" hidden="false" customHeight="true" outlineLevel="0" collapsed="false">
      <c r="A103" s="8" t="s">
        <v>353</v>
      </c>
      <c r="B103" s="8" t="s">
        <v>354</v>
      </c>
      <c r="C103" s="8" t="s">
        <v>355</v>
      </c>
      <c r="D103" s="8" t="s">
        <v>356</v>
      </c>
      <c r="E103" s="8" t="s">
        <v>357</v>
      </c>
      <c r="F103" s="8" t="s">
        <v>351</v>
      </c>
    </row>
    <row r="104" customFormat="false" ht="15" hidden="false" customHeight="false" outlineLevel="0" collapsed="false">
      <c r="A104" s="44" t="n">
        <f aca="false">CFG_HOJE-WEEKDAY(CFG_HOJE,2)+1-14+0</f>
        <v>46251</v>
      </c>
      <c r="B104" s="44" t="n">
        <f aca="false">$A104+6</f>
        <v>46257</v>
      </c>
      <c r="C104" s="10" t="n">
        <f aca="false">SUMIFS(L_Ent,L_Data,"&gt;="&amp;$A104,L_Data,"&lt;="&amp;$B104,L_Status,"REALIZADO")+SUMIFS(L_Ent,L_Data,"&gt;="&amp;$A104,L_Data,"&lt;="&amp;$B104,L_Status,"PROJETADO")</f>
        <v>0</v>
      </c>
      <c r="D104" s="10" t="n">
        <f aca="false">SUMIFS(L_Sai,L_Data,"&gt;="&amp;$A104,L_Data,"&lt;="&amp;$B104,L_Status,"REALIZADO")+SUMIFS(L_Sai,L_Data,"&gt;="&amp;$A104,L_Data,"&lt;="&amp;$B104,L_Status,"PROJETADO")</f>
        <v>0</v>
      </c>
      <c r="E104" s="10" t="n">
        <f aca="false">$C104-$D104</f>
        <v>0</v>
      </c>
      <c r="F104" s="10" t="n">
        <f aca="false">SUM(C_SALDOINI)+SUMIFS(L_Ent,L_Data,"&lt;"&amp;$A104,L_Status,"REALIZADO")-SUMIFS(L_Sai,L_Data,"&lt;"&amp;$A104,L_Status,"REALIZADO")+SUMIFS(L_Ent,L_Data,"&lt;"&amp;$A104,L_Status,"PROJETADO")-SUMIFS(L_Sai,L_Data,"&lt;"&amp;$A104,L_Status,"PROJETADO")+$E104</f>
        <v>0</v>
      </c>
    </row>
    <row r="105" customFormat="false" ht="15" hidden="false" customHeight="false" outlineLevel="0" collapsed="false">
      <c r="A105" s="44" t="n">
        <f aca="false">CFG_HOJE-WEEKDAY(CFG_HOJE,2)+1-14+7</f>
        <v>46258</v>
      </c>
      <c r="B105" s="44" t="n">
        <f aca="false">$A105+6</f>
        <v>46264</v>
      </c>
      <c r="C105" s="10" t="n">
        <f aca="false">SUMIFS(L_Ent,L_Data,"&gt;="&amp;$A105,L_Data,"&lt;="&amp;$B105,L_Status,"REALIZADO")+SUMIFS(L_Ent,L_Data,"&gt;="&amp;$A105,L_Data,"&lt;="&amp;$B105,L_Status,"PROJETADO")</f>
        <v>0</v>
      </c>
      <c r="D105" s="10" t="n">
        <f aca="false">SUMIFS(L_Sai,L_Data,"&gt;="&amp;$A105,L_Data,"&lt;="&amp;$B105,L_Status,"REALIZADO")+SUMIFS(L_Sai,L_Data,"&gt;="&amp;$A105,L_Data,"&lt;="&amp;$B105,L_Status,"PROJETADO")</f>
        <v>0</v>
      </c>
      <c r="E105" s="10" t="n">
        <f aca="false">$C105-$D105</f>
        <v>0</v>
      </c>
      <c r="F105" s="10" t="n">
        <f aca="false">$F104+$E105</f>
        <v>0</v>
      </c>
    </row>
    <row r="106" customFormat="false" ht="15" hidden="false" customHeight="false" outlineLevel="0" collapsed="false">
      <c r="A106" s="44" t="n">
        <f aca="false">CFG_HOJE-WEEKDAY(CFG_HOJE,2)+1-14+14</f>
        <v>46265</v>
      </c>
      <c r="B106" s="44" t="n">
        <f aca="false">$A106+6</f>
        <v>46271</v>
      </c>
      <c r="C106" s="10" t="n">
        <f aca="false">SUMIFS(L_Ent,L_Data,"&gt;="&amp;$A106,L_Data,"&lt;="&amp;$B106,L_Status,"REALIZADO")+SUMIFS(L_Ent,L_Data,"&gt;="&amp;$A106,L_Data,"&lt;="&amp;$B106,L_Status,"PROJETADO")</f>
        <v>0</v>
      </c>
      <c r="D106" s="10" t="n">
        <f aca="false">SUMIFS(L_Sai,L_Data,"&gt;="&amp;$A106,L_Data,"&lt;="&amp;$B106,L_Status,"REALIZADO")+SUMIFS(L_Sai,L_Data,"&gt;="&amp;$A106,L_Data,"&lt;="&amp;$B106,L_Status,"PROJETADO")</f>
        <v>0</v>
      </c>
      <c r="E106" s="10" t="n">
        <f aca="false">$C106-$D106</f>
        <v>0</v>
      </c>
      <c r="F106" s="10" t="n">
        <f aca="false">$F105+$E106</f>
        <v>0</v>
      </c>
    </row>
    <row r="107" customFormat="false" ht="15" hidden="false" customHeight="false" outlineLevel="0" collapsed="false">
      <c r="A107" s="44" t="n">
        <f aca="false">CFG_HOJE-WEEKDAY(CFG_HOJE,2)+1-14+21</f>
        <v>46272</v>
      </c>
      <c r="B107" s="44" t="n">
        <f aca="false">$A107+6</f>
        <v>46278</v>
      </c>
      <c r="C107" s="10" t="n">
        <f aca="false">SUMIFS(L_Ent,L_Data,"&gt;="&amp;$A107,L_Data,"&lt;="&amp;$B107,L_Status,"REALIZADO")+SUMIFS(L_Ent,L_Data,"&gt;="&amp;$A107,L_Data,"&lt;="&amp;$B107,L_Status,"PROJETADO")</f>
        <v>0</v>
      </c>
      <c r="D107" s="10" t="n">
        <f aca="false">SUMIFS(L_Sai,L_Data,"&gt;="&amp;$A107,L_Data,"&lt;="&amp;$B107,L_Status,"REALIZADO")+SUMIFS(L_Sai,L_Data,"&gt;="&amp;$A107,L_Data,"&lt;="&amp;$B107,L_Status,"PROJETADO")</f>
        <v>0</v>
      </c>
      <c r="E107" s="10" t="n">
        <f aca="false">$C107-$D107</f>
        <v>0</v>
      </c>
      <c r="F107" s="10" t="n">
        <f aca="false">$F106+$E107</f>
        <v>0</v>
      </c>
    </row>
    <row r="108" customFormat="false" ht="15" hidden="false" customHeight="false" outlineLevel="0" collapsed="false">
      <c r="A108" s="44" t="n">
        <f aca="false">CFG_HOJE-WEEKDAY(CFG_HOJE,2)+1-14+28</f>
        <v>46279</v>
      </c>
      <c r="B108" s="44" t="n">
        <f aca="false">$A108+6</f>
        <v>46285</v>
      </c>
      <c r="C108" s="10" t="n">
        <f aca="false">SUMIFS(L_Ent,L_Data,"&gt;="&amp;$A108,L_Data,"&lt;="&amp;$B108,L_Status,"REALIZADO")+SUMIFS(L_Ent,L_Data,"&gt;="&amp;$A108,L_Data,"&lt;="&amp;$B108,L_Status,"PROJETADO")</f>
        <v>0</v>
      </c>
      <c r="D108" s="10" t="n">
        <f aca="false">SUMIFS(L_Sai,L_Data,"&gt;="&amp;$A108,L_Data,"&lt;="&amp;$B108,L_Status,"REALIZADO")+SUMIFS(L_Sai,L_Data,"&gt;="&amp;$A108,L_Data,"&lt;="&amp;$B108,L_Status,"PROJETADO")</f>
        <v>0</v>
      </c>
      <c r="E108" s="10" t="n">
        <f aca="false">$C108-$D108</f>
        <v>0</v>
      </c>
      <c r="F108" s="10" t="n">
        <f aca="false">$F107+$E108</f>
        <v>0</v>
      </c>
    </row>
    <row r="109" customFormat="false" ht="15" hidden="false" customHeight="false" outlineLevel="0" collapsed="false">
      <c r="A109" s="44" t="n">
        <f aca="false">CFG_HOJE-WEEKDAY(CFG_HOJE,2)+1-14+35</f>
        <v>46286</v>
      </c>
      <c r="B109" s="44" t="n">
        <f aca="false">$A109+6</f>
        <v>46292</v>
      </c>
      <c r="C109" s="10" t="n">
        <f aca="false">SUMIFS(L_Ent,L_Data,"&gt;="&amp;$A109,L_Data,"&lt;="&amp;$B109,L_Status,"REALIZADO")+SUMIFS(L_Ent,L_Data,"&gt;="&amp;$A109,L_Data,"&lt;="&amp;$B109,L_Status,"PROJETADO")</f>
        <v>0</v>
      </c>
      <c r="D109" s="10" t="n">
        <f aca="false">SUMIFS(L_Sai,L_Data,"&gt;="&amp;$A109,L_Data,"&lt;="&amp;$B109,L_Status,"REALIZADO")+SUMIFS(L_Sai,L_Data,"&gt;="&amp;$A109,L_Data,"&lt;="&amp;$B109,L_Status,"PROJETADO")</f>
        <v>0</v>
      </c>
      <c r="E109" s="10" t="n">
        <f aca="false">$C109-$D109</f>
        <v>0</v>
      </c>
      <c r="F109" s="10" t="n">
        <f aca="false">$F108+$E109</f>
        <v>0</v>
      </c>
    </row>
    <row r="110" customFormat="false" ht="15" hidden="false" customHeight="false" outlineLevel="0" collapsed="false">
      <c r="A110" s="44" t="n">
        <f aca="false">CFG_HOJE-WEEKDAY(CFG_HOJE,2)+1-14+42</f>
        <v>46293</v>
      </c>
      <c r="B110" s="44" t="n">
        <f aca="false">$A110+6</f>
        <v>46299</v>
      </c>
      <c r="C110" s="10" t="n">
        <f aca="false">SUMIFS(L_Ent,L_Data,"&gt;="&amp;$A110,L_Data,"&lt;="&amp;$B110,L_Status,"REALIZADO")+SUMIFS(L_Ent,L_Data,"&gt;="&amp;$A110,L_Data,"&lt;="&amp;$B110,L_Status,"PROJETADO")</f>
        <v>0</v>
      </c>
      <c r="D110" s="10" t="n">
        <f aca="false">SUMIFS(L_Sai,L_Data,"&gt;="&amp;$A110,L_Data,"&lt;="&amp;$B110,L_Status,"REALIZADO")+SUMIFS(L_Sai,L_Data,"&gt;="&amp;$A110,L_Data,"&lt;="&amp;$B110,L_Status,"PROJETADO")</f>
        <v>0</v>
      </c>
      <c r="E110" s="10" t="n">
        <f aca="false">$C110-$D110</f>
        <v>0</v>
      </c>
      <c r="F110" s="10" t="n">
        <f aca="false">$F109+$E110</f>
        <v>0</v>
      </c>
    </row>
    <row r="111" customFormat="false" ht="15" hidden="false" customHeight="false" outlineLevel="0" collapsed="false">
      <c r="A111" s="44" t="n">
        <f aca="false">CFG_HOJE-WEEKDAY(CFG_HOJE,2)+1-14+49</f>
        <v>46300</v>
      </c>
      <c r="B111" s="44" t="n">
        <f aca="false">$A111+6</f>
        <v>46306</v>
      </c>
      <c r="C111" s="10" t="n">
        <f aca="false">SUMIFS(L_Ent,L_Data,"&gt;="&amp;$A111,L_Data,"&lt;="&amp;$B111,L_Status,"REALIZADO")+SUMIFS(L_Ent,L_Data,"&gt;="&amp;$A111,L_Data,"&lt;="&amp;$B111,L_Status,"PROJETADO")</f>
        <v>0</v>
      </c>
      <c r="D111" s="10" t="n">
        <f aca="false">SUMIFS(L_Sai,L_Data,"&gt;="&amp;$A111,L_Data,"&lt;="&amp;$B111,L_Status,"REALIZADO")+SUMIFS(L_Sai,L_Data,"&gt;="&amp;$A111,L_Data,"&lt;="&amp;$B111,L_Status,"PROJETADO")</f>
        <v>0</v>
      </c>
      <c r="E111" s="10" t="n">
        <f aca="false">$C111-$D111</f>
        <v>0</v>
      </c>
      <c r="F111" s="10" t="n">
        <f aca="false">$F110+$E111</f>
        <v>0</v>
      </c>
    </row>
    <row r="112" customFormat="false" ht="15" hidden="false" customHeight="false" outlineLevel="0" collapsed="false">
      <c r="A112" s="44" t="n">
        <f aca="false">CFG_HOJE-WEEKDAY(CFG_HOJE,2)+1-14+56</f>
        <v>46307</v>
      </c>
      <c r="B112" s="44" t="n">
        <f aca="false">$A112+6</f>
        <v>46313</v>
      </c>
      <c r="C112" s="10" t="n">
        <f aca="false">SUMIFS(L_Ent,L_Data,"&gt;="&amp;$A112,L_Data,"&lt;="&amp;$B112,L_Status,"REALIZADO")+SUMIFS(L_Ent,L_Data,"&gt;="&amp;$A112,L_Data,"&lt;="&amp;$B112,L_Status,"PROJETADO")</f>
        <v>0</v>
      </c>
      <c r="D112" s="10" t="n">
        <f aca="false">SUMIFS(L_Sai,L_Data,"&gt;="&amp;$A112,L_Data,"&lt;="&amp;$B112,L_Status,"REALIZADO")+SUMIFS(L_Sai,L_Data,"&gt;="&amp;$A112,L_Data,"&lt;="&amp;$B112,L_Status,"PROJETADO")</f>
        <v>0</v>
      </c>
      <c r="E112" s="10" t="n">
        <f aca="false">$C112-$D112</f>
        <v>0</v>
      </c>
      <c r="F112" s="10" t="n">
        <f aca="false">$F111+$E112</f>
        <v>0</v>
      </c>
    </row>
    <row r="113" customFormat="false" ht="15" hidden="false" customHeight="false" outlineLevel="0" collapsed="false">
      <c r="A113" s="44" t="n">
        <f aca="false">CFG_HOJE-WEEKDAY(CFG_HOJE,2)+1-14+63</f>
        <v>46314</v>
      </c>
      <c r="B113" s="44" t="n">
        <f aca="false">$A113+6</f>
        <v>46320</v>
      </c>
      <c r="C113" s="10" t="n">
        <f aca="false">SUMIFS(L_Ent,L_Data,"&gt;="&amp;$A113,L_Data,"&lt;="&amp;$B113,L_Status,"REALIZADO")+SUMIFS(L_Ent,L_Data,"&gt;="&amp;$A113,L_Data,"&lt;="&amp;$B113,L_Status,"PROJETADO")</f>
        <v>0</v>
      </c>
      <c r="D113" s="10" t="n">
        <f aca="false">SUMIFS(L_Sai,L_Data,"&gt;="&amp;$A113,L_Data,"&lt;="&amp;$B113,L_Status,"REALIZADO")+SUMIFS(L_Sai,L_Data,"&gt;="&amp;$A113,L_Data,"&lt;="&amp;$B113,L_Status,"PROJETADO")</f>
        <v>0</v>
      </c>
      <c r="E113" s="10" t="n">
        <f aca="false">$C113-$D113</f>
        <v>0</v>
      </c>
      <c r="F113" s="10" t="n">
        <f aca="false">$F112+$E113</f>
        <v>0</v>
      </c>
    </row>
    <row r="114" customFormat="false" ht="15" hidden="false" customHeight="false" outlineLevel="0" collapsed="false">
      <c r="A114" s="44" t="n">
        <f aca="false">CFG_HOJE-WEEKDAY(CFG_HOJE,2)+1-14+70</f>
        <v>46321</v>
      </c>
      <c r="B114" s="44" t="n">
        <f aca="false">$A114+6</f>
        <v>46327</v>
      </c>
      <c r="C114" s="10" t="n">
        <f aca="false">SUMIFS(L_Ent,L_Data,"&gt;="&amp;$A114,L_Data,"&lt;="&amp;$B114,L_Status,"REALIZADO")+SUMIFS(L_Ent,L_Data,"&gt;="&amp;$A114,L_Data,"&lt;="&amp;$B114,L_Status,"PROJETADO")</f>
        <v>0</v>
      </c>
      <c r="D114" s="10" t="n">
        <f aca="false">SUMIFS(L_Sai,L_Data,"&gt;="&amp;$A114,L_Data,"&lt;="&amp;$B114,L_Status,"REALIZADO")+SUMIFS(L_Sai,L_Data,"&gt;="&amp;$A114,L_Data,"&lt;="&amp;$B114,L_Status,"PROJETADO")</f>
        <v>0</v>
      </c>
      <c r="E114" s="10" t="n">
        <f aca="false">$C114-$D114</f>
        <v>0</v>
      </c>
      <c r="F114" s="10" t="n">
        <f aca="false">$F113+$E114</f>
        <v>0</v>
      </c>
    </row>
    <row r="115" customFormat="false" ht="15" hidden="false" customHeight="false" outlineLevel="0" collapsed="false">
      <c r="A115" s="44" t="n">
        <f aca="false">CFG_HOJE-WEEKDAY(CFG_HOJE,2)+1-14+77</f>
        <v>46328</v>
      </c>
      <c r="B115" s="44" t="n">
        <f aca="false">$A115+6</f>
        <v>46334</v>
      </c>
      <c r="C115" s="10" t="n">
        <f aca="false">SUMIFS(L_Ent,L_Data,"&gt;="&amp;$A115,L_Data,"&lt;="&amp;$B115,L_Status,"REALIZADO")+SUMIFS(L_Ent,L_Data,"&gt;="&amp;$A115,L_Data,"&lt;="&amp;$B115,L_Status,"PROJETADO")</f>
        <v>0</v>
      </c>
      <c r="D115" s="10" t="n">
        <f aca="false">SUMIFS(L_Sai,L_Data,"&gt;="&amp;$A115,L_Data,"&lt;="&amp;$B115,L_Status,"REALIZADO")+SUMIFS(L_Sai,L_Data,"&gt;="&amp;$A115,L_Data,"&lt;="&amp;$B115,L_Status,"PROJETADO")</f>
        <v>0</v>
      </c>
      <c r="E115" s="10" t="n">
        <f aca="false">$C115-$D115</f>
        <v>0</v>
      </c>
      <c r="F115" s="10" t="n">
        <f aca="false">$F114+$E115</f>
        <v>0</v>
      </c>
    </row>
    <row r="116" customFormat="false" ht="15" hidden="false" customHeight="false" outlineLevel="0" collapsed="false">
      <c r="A116" s="44" t="n">
        <f aca="false">CFG_HOJE-WEEKDAY(CFG_HOJE,2)+1-14+84</f>
        <v>46335</v>
      </c>
      <c r="B116" s="44" t="n">
        <f aca="false">$A116+6</f>
        <v>46341</v>
      </c>
      <c r="C116" s="10" t="n">
        <f aca="false">SUMIFS(L_Ent,L_Data,"&gt;="&amp;$A116,L_Data,"&lt;="&amp;$B116,L_Status,"REALIZADO")+SUMIFS(L_Ent,L_Data,"&gt;="&amp;$A116,L_Data,"&lt;="&amp;$B116,L_Status,"PROJETADO")</f>
        <v>0</v>
      </c>
      <c r="D116" s="10" t="n">
        <f aca="false">SUMIFS(L_Sai,L_Data,"&gt;="&amp;$A116,L_Data,"&lt;="&amp;$B116,L_Status,"REALIZADO")+SUMIFS(L_Sai,L_Data,"&gt;="&amp;$A116,L_Data,"&lt;="&amp;$B116,L_Status,"PROJETADO")</f>
        <v>0</v>
      </c>
      <c r="E116" s="10" t="n">
        <f aca="false">$C116-$D116</f>
        <v>0</v>
      </c>
      <c r="F116" s="10" t="n">
        <f aca="false">$F115+$E116</f>
        <v>0</v>
      </c>
    </row>
    <row r="117" customFormat="false" ht="15" hidden="false" customHeight="false" outlineLevel="0" collapsed="false">
      <c r="A117" s="44" t="n">
        <f aca="false">CFG_HOJE-WEEKDAY(CFG_HOJE,2)+1-14+91</f>
        <v>46342</v>
      </c>
      <c r="B117" s="44" t="n">
        <f aca="false">$A117+6</f>
        <v>46348</v>
      </c>
      <c r="C117" s="10" t="n">
        <f aca="false">SUMIFS(L_Ent,L_Data,"&gt;="&amp;$A117,L_Data,"&lt;="&amp;$B117,L_Status,"REALIZADO")+SUMIFS(L_Ent,L_Data,"&gt;="&amp;$A117,L_Data,"&lt;="&amp;$B117,L_Status,"PROJETADO")</f>
        <v>0</v>
      </c>
      <c r="D117" s="10" t="n">
        <f aca="false">SUMIFS(L_Sai,L_Data,"&gt;="&amp;$A117,L_Data,"&lt;="&amp;$B117,L_Status,"REALIZADO")+SUMIFS(L_Sai,L_Data,"&gt;="&amp;$A117,L_Data,"&lt;="&amp;$B117,L_Status,"PROJETADO")</f>
        <v>0</v>
      </c>
      <c r="E117" s="10" t="n">
        <f aca="false">$C117-$D117</f>
        <v>0</v>
      </c>
      <c r="F117" s="10" t="n">
        <f aca="false">$F116+$E117</f>
        <v>0</v>
      </c>
    </row>
    <row r="118" customFormat="false" ht="15" hidden="false" customHeight="false" outlineLevel="0" collapsed="false">
      <c r="A118" s="44" t="n">
        <f aca="false">CFG_HOJE-WEEKDAY(CFG_HOJE,2)+1-14+98</f>
        <v>46349</v>
      </c>
      <c r="B118" s="44" t="n">
        <f aca="false">$A118+6</f>
        <v>46355</v>
      </c>
      <c r="C118" s="10" t="n">
        <f aca="false">SUMIFS(L_Ent,L_Data,"&gt;="&amp;$A118,L_Data,"&lt;="&amp;$B118,L_Status,"REALIZADO")+SUMIFS(L_Ent,L_Data,"&gt;="&amp;$A118,L_Data,"&lt;="&amp;$B118,L_Status,"PROJETADO")</f>
        <v>0</v>
      </c>
      <c r="D118" s="10" t="n">
        <f aca="false">SUMIFS(L_Sai,L_Data,"&gt;="&amp;$A118,L_Data,"&lt;="&amp;$B118,L_Status,"REALIZADO")+SUMIFS(L_Sai,L_Data,"&gt;="&amp;$A118,L_Data,"&lt;="&amp;$B118,L_Status,"PROJETADO")</f>
        <v>0</v>
      </c>
      <c r="E118" s="10" t="n">
        <f aca="false">$C118-$D118</f>
        <v>0</v>
      </c>
      <c r="F118" s="10" t="n">
        <f aca="false">$F117+$E118</f>
        <v>0</v>
      </c>
    </row>
    <row r="119" customFormat="false" ht="15" hidden="false" customHeight="false" outlineLevel="0" collapsed="false">
      <c r="A119" s="44" t="n">
        <f aca="false">CFG_HOJE-WEEKDAY(CFG_HOJE,2)+1-14+105</f>
        <v>46356</v>
      </c>
      <c r="B119" s="44" t="n">
        <f aca="false">$A119+6</f>
        <v>46362</v>
      </c>
      <c r="C119" s="10" t="n">
        <f aca="false">SUMIFS(L_Ent,L_Data,"&gt;="&amp;$A119,L_Data,"&lt;="&amp;$B119,L_Status,"REALIZADO")+SUMIFS(L_Ent,L_Data,"&gt;="&amp;$A119,L_Data,"&lt;="&amp;$B119,L_Status,"PROJETADO")</f>
        <v>0</v>
      </c>
      <c r="D119" s="10" t="n">
        <f aca="false">SUMIFS(L_Sai,L_Data,"&gt;="&amp;$A119,L_Data,"&lt;="&amp;$B119,L_Status,"REALIZADO")+SUMIFS(L_Sai,L_Data,"&gt;="&amp;$A119,L_Data,"&lt;="&amp;$B119,L_Status,"PROJETADO")</f>
        <v>0</v>
      </c>
      <c r="E119" s="10" t="n">
        <f aca="false">$C119-$D119</f>
        <v>0</v>
      </c>
      <c r="F119" s="10" t="n">
        <f aca="false">$F118+$E119</f>
        <v>0</v>
      </c>
    </row>
    <row r="120" customFormat="false" ht="15" hidden="false" customHeight="false" outlineLevel="0" collapsed="false">
      <c r="A120" s="44" t="n">
        <f aca="false">CFG_HOJE-WEEKDAY(CFG_HOJE,2)+1-14+112</f>
        <v>46363</v>
      </c>
      <c r="B120" s="44" t="n">
        <f aca="false">$A120+6</f>
        <v>46369</v>
      </c>
      <c r="C120" s="10" t="n">
        <f aca="false">SUMIFS(L_Ent,L_Data,"&gt;="&amp;$A120,L_Data,"&lt;="&amp;$B120,L_Status,"REALIZADO")+SUMIFS(L_Ent,L_Data,"&gt;="&amp;$A120,L_Data,"&lt;="&amp;$B120,L_Status,"PROJETADO")</f>
        <v>0</v>
      </c>
      <c r="D120" s="10" t="n">
        <f aca="false">SUMIFS(L_Sai,L_Data,"&gt;="&amp;$A120,L_Data,"&lt;="&amp;$B120,L_Status,"REALIZADO")+SUMIFS(L_Sai,L_Data,"&gt;="&amp;$A120,L_Data,"&lt;="&amp;$B120,L_Status,"PROJETADO")</f>
        <v>0</v>
      </c>
      <c r="E120" s="10" t="n">
        <f aca="false">$C120-$D120</f>
        <v>0</v>
      </c>
      <c r="F120" s="10" t="n">
        <f aca="false">$F119+$E120</f>
        <v>0</v>
      </c>
    </row>
    <row r="121" customFormat="false" ht="15" hidden="false" customHeight="false" outlineLevel="0" collapsed="false">
      <c r="A121" s="44" t="n">
        <f aca="false">CFG_HOJE-WEEKDAY(CFG_HOJE,2)+1-14+119</f>
        <v>46370</v>
      </c>
      <c r="B121" s="44" t="n">
        <f aca="false">$A121+6</f>
        <v>46376</v>
      </c>
      <c r="C121" s="10" t="n">
        <f aca="false">SUMIFS(L_Ent,L_Data,"&gt;="&amp;$A121,L_Data,"&lt;="&amp;$B121,L_Status,"REALIZADO")+SUMIFS(L_Ent,L_Data,"&gt;="&amp;$A121,L_Data,"&lt;="&amp;$B121,L_Status,"PROJETADO")</f>
        <v>0</v>
      </c>
      <c r="D121" s="10" t="n">
        <f aca="false">SUMIFS(L_Sai,L_Data,"&gt;="&amp;$A121,L_Data,"&lt;="&amp;$B121,L_Status,"REALIZADO")+SUMIFS(L_Sai,L_Data,"&gt;="&amp;$A121,L_Data,"&lt;="&amp;$B121,L_Status,"PROJETADO")</f>
        <v>0</v>
      </c>
      <c r="E121" s="10" t="n">
        <f aca="false">$C121-$D121</f>
        <v>0</v>
      </c>
      <c r="F121" s="10" t="n">
        <f aca="false">$F120+$E121</f>
        <v>0</v>
      </c>
    </row>
    <row r="122" customFormat="false" ht="15" hidden="false" customHeight="false" outlineLevel="0" collapsed="false">
      <c r="A122" s="44" t="n">
        <f aca="false">CFG_HOJE-WEEKDAY(CFG_HOJE,2)+1-14+126</f>
        <v>46377</v>
      </c>
      <c r="B122" s="44" t="n">
        <f aca="false">$A122+6</f>
        <v>46383</v>
      </c>
      <c r="C122" s="10" t="n">
        <f aca="false">SUMIFS(L_Ent,L_Data,"&gt;="&amp;$A122,L_Data,"&lt;="&amp;$B122,L_Status,"REALIZADO")+SUMIFS(L_Ent,L_Data,"&gt;="&amp;$A122,L_Data,"&lt;="&amp;$B122,L_Status,"PROJETADO")</f>
        <v>0</v>
      </c>
      <c r="D122" s="10" t="n">
        <f aca="false">SUMIFS(L_Sai,L_Data,"&gt;="&amp;$A122,L_Data,"&lt;="&amp;$B122,L_Status,"REALIZADO")+SUMIFS(L_Sai,L_Data,"&gt;="&amp;$A122,L_Data,"&lt;="&amp;$B122,L_Status,"PROJETADO")</f>
        <v>0</v>
      </c>
      <c r="E122" s="10" t="n">
        <f aca="false">$C122-$D122</f>
        <v>0</v>
      </c>
      <c r="F122" s="10" t="n">
        <f aca="false">$F121+$E122</f>
        <v>0</v>
      </c>
    </row>
    <row r="123" customFormat="false" ht="15" hidden="false" customHeight="false" outlineLevel="0" collapsed="false">
      <c r="A123" s="44" t="n">
        <f aca="false">CFG_HOJE-WEEKDAY(CFG_HOJE,2)+1-14+133</f>
        <v>46384</v>
      </c>
      <c r="B123" s="44" t="n">
        <f aca="false">$A123+6</f>
        <v>46390</v>
      </c>
      <c r="C123" s="10" t="n">
        <f aca="false">SUMIFS(L_Ent,L_Data,"&gt;="&amp;$A123,L_Data,"&lt;="&amp;$B123,L_Status,"REALIZADO")+SUMIFS(L_Ent,L_Data,"&gt;="&amp;$A123,L_Data,"&lt;="&amp;$B123,L_Status,"PROJETADO")</f>
        <v>0</v>
      </c>
      <c r="D123" s="10" t="n">
        <f aca="false">SUMIFS(L_Sai,L_Data,"&gt;="&amp;$A123,L_Data,"&lt;="&amp;$B123,L_Status,"REALIZADO")+SUMIFS(L_Sai,L_Data,"&gt;="&amp;$A123,L_Data,"&lt;="&amp;$B123,L_Status,"PROJETADO")</f>
        <v>0</v>
      </c>
      <c r="E123" s="10" t="n">
        <f aca="false">$C123-$D123</f>
        <v>0</v>
      </c>
      <c r="F123" s="10" t="n">
        <f aca="false">$F122+$E123</f>
        <v>0</v>
      </c>
    </row>
    <row r="124" customFormat="false" ht="15" hidden="false" customHeight="false" outlineLevel="0" collapsed="false">
      <c r="A124" s="44" t="n">
        <f aca="false">CFG_HOJE-WEEKDAY(CFG_HOJE,2)+1-14+140</f>
        <v>46391</v>
      </c>
      <c r="B124" s="44" t="n">
        <f aca="false">$A124+6</f>
        <v>46397</v>
      </c>
      <c r="C124" s="10" t="n">
        <f aca="false">SUMIFS(L_Ent,L_Data,"&gt;="&amp;$A124,L_Data,"&lt;="&amp;$B124,L_Status,"REALIZADO")+SUMIFS(L_Ent,L_Data,"&gt;="&amp;$A124,L_Data,"&lt;="&amp;$B124,L_Status,"PROJETADO")</f>
        <v>0</v>
      </c>
      <c r="D124" s="10" t="n">
        <f aca="false">SUMIFS(L_Sai,L_Data,"&gt;="&amp;$A124,L_Data,"&lt;="&amp;$B124,L_Status,"REALIZADO")+SUMIFS(L_Sai,L_Data,"&gt;="&amp;$A124,L_Data,"&lt;="&amp;$B124,L_Status,"PROJETADO")</f>
        <v>0</v>
      </c>
      <c r="E124" s="10" t="n">
        <f aca="false">$C124-$D124</f>
        <v>0</v>
      </c>
      <c r="F124" s="10" t="n">
        <f aca="false">$F123+$E124</f>
        <v>0</v>
      </c>
    </row>
    <row r="125" customFormat="false" ht="15" hidden="false" customHeight="false" outlineLevel="0" collapsed="false">
      <c r="A125" s="44" t="n">
        <f aca="false">CFG_HOJE-WEEKDAY(CFG_HOJE,2)+1-14+147</f>
        <v>46398</v>
      </c>
      <c r="B125" s="44" t="n">
        <f aca="false">$A125+6</f>
        <v>46404</v>
      </c>
      <c r="C125" s="10" t="n">
        <f aca="false">SUMIFS(L_Ent,L_Data,"&gt;="&amp;$A125,L_Data,"&lt;="&amp;$B125,L_Status,"REALIZADO")+SUMIFS(L_Ent,L_Data,"&gt;="&amp;$A125,L_Data,"&lt;="&amp;$B125,L_Status,"PROJETADO")</f>
        <v>0</v>
      </c>
      <c r="D125" s="10" t="n">
        <f aca="false">SUMIFS(L_Sai,L_Data,"&gt;="&amp;$A125,L_Data,"&lt;="&amp;$B125,L_Status,"REALIZADO")+SUMIFS(L_Sai,L_Data,"&gt;="&amp;$A125,L_Data,"&lt;="&amp;$B125,L_Status,"PROJETADO")</f>
        <v>0</v>
      </c>
      <c r="E125" s="10" t="n">
        <f aca="false">$C125-$D125</f>
        <v>0</v>
      </c>
      <c r="F125" s="10" t="n">
        <f aca="false">$F124+$E125</f>
        <v>0</v>
      </c>
    </row>
    <row r="126" customFormat="false" ht="15" hidden="false" customHeight="false" outlineLevel="0" collapsed="false">
      <c r="A126" s="44" t="n">
        <f aca="false">CFG_HOJE-WEEKDAY(CFG_HOJE,2)+1-14+154</f>
        <v>46405</v>
      </c>
      <c r="B126" s="44" t="n">
        <f aca="false">$A126+6</f>
        <v>46411</v>
      </c>
      <c r="C126" s="10" t="n">
        <f aca="false">SUMIFS(L_Ent,L_Data,"&gt;="&amp;$A126,L_Data,"&lt;="&amp;$B126,L_Status,"REALIZADO")+SUMIFS(L_Ent,L_Data,"&gt;="&amp;$A126,L_Data,"&lt;="&amp;$B126,L_Status,"PROJETADO")</f>
        <v>0</v>
      </c>
      <c r="D126" s="10" t="n">
        <f aca="false">SUMIFS(L_Sai,L_Data,"&gt;="&amp;$A126,L_Data,"&lt;="&amp;$B126,L_Status,"REALIZADO")+SUMIFS(L_Sai,L_Data,"&gt;="&amp;$A126,L_Data,"&lt;="&amp;$B126,L_Status,"PROJETADO")</f>
        <v>0</v>
      </c>
      <c r="E126" s="10" t="n">
        <f aca="false">$C126-$D126</f>
        <v>0</v>
      </c>
      <c r="F126" s="10" t="n">
        <f aca="false">$F125+$E126</f>
        <v>0</v>
      </c>
    </row>
    <row r="127" customFormat="false" ht="15" hidden="false" customHeight="false" outlineLevel="0" collapsed="false">
      <c r="A127" s="44" t="n">
        <f aca="false">CFG_HOJE-WEEKDAY(CFG_HOJE,2)+1-14+161</f>
        <v>46412</v>
      </c>
      <c r="B127" s="44" t="n">
        <f aca="false">$A127+6</f>
        <v>46418</v>
      </c>
      <c r="C127" s="10" t="n">
        <f aca="false">SUMIFS(L_Ent,L_Data,"&gt;="&amp;$A127,L_Data,"&lt;="&amp;$B127,L_Status,"REALIZADO")+SUMIFS(L_Ent,L_Data,"&gt;="&amp;$A127,L_Data,"&lt;="&amp;$B127,L_Status,"PROJETADO")</f>
        <v>0</v>
      </c>
      <c r="D127" s="10" t="n">
        <f aca="false">SUMIFS(L_Sai,L_Data,"&gt;="&amp;$A127,L_Data,"&lt;="&amp;$B127,L_Status,"REALIZADO")+SUMIFS(L_Sai,L_Data,"&gt;="&amp;$A127,L_Data,"&lt;="&amp;$B127,L_Status,"PROJETADO")</f>
        <v>0</v>
      </c>
      <c r="E127" s="10" t="n">
        <f aca="false">$C127-$D127</f>
        <v>0</v>
      </c>
      <c r="F127" s="10" t="n">
        <f aca="false">$F126+$E127</f>
        <v>0</v>
      </c>
    </row>
    <row r="128" customFormat="false" ht="15" hidden="false" customHeight="false" outlineLevel="0" collapsed="false">
      <c r="A128" s="44" t="n">
        <f aca="false">CFG_HOJE-WEEKDAY(CFG_HOJE,2)+1-14+168</f>
        <v>46419</v>
      </c>
      <c r="B128" s="44" t="n">
        <f aca="false">$A128+6</f>
        <v>46425</v>
      </c>
      <c r="C128" s="10" t="n">
        <f aca="false">SUMIFS(L_Ent,L_Data,"&gt;="&amp;$A128,L_Data,"&lt;="&amp;$B128,L_Status,"REALIZADO")+SUMIFS(L_Ent,L_Data,"&gt;="&amp;$A128,L_Data,"&lt;="&amp;$B128,L_Status,"PROJETADO")</f>
        <v>0</v>
      </c>
      <c r="D128" s="10" t="n">
        <f aca="false">SUMIFS(L_Sai,L_Data,"&gt;="&amp;$A128,L_Data,"&lt;="&amp;$B128,L_Status,"REALIZADO")+SUMIFS(L_Sai,L_Data,"&gt;="&amp;$A128,L_Data,"&lt;="&amp;$B128,L_Status,"PROJETADO")</f>
        <v>0</v>
      </c>
      <c r="E128" s="10" t="n">
        <f aca="false">$C128-$D128</f>
        <v>0</v>
      </c>
      <c r="F128" s="10" t="n">
        <f aca="false">$F127+$E128</f>
        <v>0</v>
      </c>
    </row>
    <row r="129" customFormat="false" ht="15" hidden="false" customHeight="false" outlineLevel="0" collapsed="false">
      <c r="A129" s="44" t="n">
        <f aca="false">CFG_HOJE-WEEKDAY(CFG_HOJE,2)+1-14+175</f>
        <v>46426</v>
      </c>
      <c r="B129" s="44" t="n">
        <f aca="false">$A129+6</f>
        <v>46432</v>
      </c>
      <c r="C129" s="10" t="n">
        <f aca="false">SUMIFS(L_Ent,L_Data,"&gt;="&amp;$A129,L_Data,"&lt;="&amp;$B129,L_Status,"REALIZADO")+SUMIFS(L_Ent,L_Data,"&gt;="&amp;$A129,L_Data,"&lt;="&amp;$B129,L_Status,"PROJETADO")</f>
        <v>0</v>
      </c>
      <c r="D129" s="10" t="n">
        <f aca="false">SUMIFS(L_Sai,L_Data,"&gt;="&amp;$A129,L_Data,"&lt;="&amp;$B129,L_Status,"REALIZADO")+SUMIFS(L_Sai,L_Data,"&gt;="&amp;$A129,L_Data,"&lt;="&amp;$B129,L_Status,"PROJETADO")</f>
        <v>0</v>
      </c>
      <c r="E129" s="10" t="n">
        <f aca="false">$C129-$D129</f>
        <v>0</v>
      </c>
      <c r="F129" s="10" t="n">
        <f aca="false">$F128+$E129</f>
        <v>0</v>
      </c>
    </row>
    <row r="130" customFormat="false" ht="15" hidden="false" customHeight="false" outlineLevel="0" collapsed="false">
      <c r="A130" s="44" t="n">
        <f aca="false">CFG_HOJE-WEEKDAY(CFG_HOJE,2)+1-14+182</f>
        <v>46433</v>
      </c>
      <c r="B130" s="44" t="n">
        <f aca="false">$A130+6</f>
        <v>46439</v>
      </c>
      <c r="C130" s="10" t="n">
        <f aca="false">SUMIFS(L_Ent,L_Data,"&gt;="&amp;$A130,L_Data,"&lt;="&amp;$B130,L_Status,"REALIZADO")+SUMIFS(L_Ent,L_Data,"&gt;="&amp;$A130,L_Data,"&lt;="&amp;$B130,L_Status,"PROJETADO")</f>
        <v>0</v>
      </c>
      <c r="D130" s="10" t="n">
        <f aca="false">SUMIFS(L_Sai,L_Data,"&gt;="&amp;$A130,L_Data,"&lt;="&amp;$B130,L_Status,"REALIZADO")+SUMIFS(L_Sai,L_Data,"&gt;="&amp;$A130,L_Data,"&lt;="&amp;$B130,L_Status,"PROJETADO")</f>
        <v>0</v>
      </c>
      <c r="E130" s="10" t="n">
        <f aca="false">$C130-$D130</f>
        <v>0</v>
      </c>
      <c r="F130" s="10" t="n">
        <f aca="false">$F129+$E130</f>
        <v>0</v>
      </c>
    </row>
    <row r="131" customFormat="false" ht="15" hidden="false" customHeight="false" outlineLevel="0" collapsed="false">
      <c r="A131" s="44" t="n">
        <f aca="false">CFG_HOJE-WEEKDAY(CFG_HOJE,2)+1-14+189</f>
        <v>46440</v>
      </c>
      <c r="B131" s="44" t="n">
        <f aca="false">$A131+6</f>
        <v>46446</v>
      </c>
      <c r="C131" s="10" t="n">
        <f aca="false">SUMIFS(L_Ent,L_Data,"&gt;="&amp;$A131,L_Data,"&lt;="&amp;$B131,L_Status,"REALIZADO")+SUMIFS(L_Ent,L_Data,"&gt;="&amp;$A131,L_Data,"&lt;="&amp;$B131,L_Status,"PROJETADO")</f>
        <v>0</v>
      </c>
      <c r="D131" s="10" t="n">
        <f aca="false">SUMIFS(L_Sai,L_Data,"&gt;="&amp;$A131,L_Data,"&lt;="&amp;$B131,L_Status,"REALIZADO")+SUMIFS(L_Sai,L_Data,"&gt;="&amp;$A131,L_Data,"&lt;="&amp;$B131,L_Status,"PROJETADO")</f>
        <v>0</v>
      </c>
      <c r="E131" s="10" t="n">
        <f aca="false">$C131-$D131</f>
        <v>0</v>
      </c>
      <c r="F131" s="10" t="n">
        <f aca="false">$F130+$E131</f>
        <v>0</v>
      </c>
    </row>
    <row r="132" customFormat="false" ht="15" hidden="false" customHeight="false" outlineLevel="0" collapsed="false">
      <c r="A132" s="44" t="n">
        <f aca="false">CFG_HOJE-WEEKDAY(CFG_HOJE,2)+1-14+196</f>
        <v>46447</v>
      </c>
      <c r="B132" s="44" t="n">
        <f aca="false">$A132+6</f>
        <v>46453</v>
      </c>
      <c r="C132" s="10" t="n">
        <f aca="false">SUMIFS(L_Ent,L_Data,"&gt;="&amp;$A132,L_Data,"&lt;="&amp;$B132,L_Status,"REALIZADO")+SUMIFS(L_Ent,L_Data,"&gt;="&amp;$A132,L_Data,"&lt;="&amp;$B132,L_Status,"PROJETADO")</f>
        <v>0</v>
      </c>
      <c r="D132" s="10" t="n">
        <f aca="false">SUMIFS(L_Sai,L_Data,"&gt;="&amp;$A132,L_Data,"&lt;="&amp;$B132,L_Status,"REALIZADO")+SUMIFS(L_Sai,L_Data,"&gt;="&amp;$A132,L_Data,"&lt;="&amp;$B132,L_Status,"PROJETADO")</f>
        <v>0</v>
      </c>
      <c r="E132" s="10" t="n">
        <f aca="false">$C132-$D132</f>
        <v>0</v>
      </c>
      <c r="F132" s="10" t="n">
        <f aca="false">$F131+$E132</f>
        <v>0</v>
      </c>
    </row>
    <row r="133" customFormat="false" ht="15" hidden="false" customHeight="false" outlineLevel="0" collapsed="false">
      <c r="A133" s="44" t="n">
        <f aca="false">CFG_HOJE-WEEKDAY(CFG_HOJE,2)+1-14+203</f>
        <v>46454</v>
      </c>
      <c r="B133" s="44" t="n">
        <f aca="false">$A133+6</f>
        <v>46460</v>
      </c>
      <c r="C133" s="10" t="n">
        <f aca="false">SUMIFS(L_Ent,L_Data,"&gt;="&amp;$A133,L_Data,"&lt;="&amp;$B133,L_Status,"REALIZADO")+SUMIFS(L_Ent,L_Data,"&gt;="&amp;$A133,L_Data,"&lt;="&amp;$B133,L_Status,"PROJETADO")</f>
        <v>0</v>
      </c>
      <c r="D133" s="10" t="n">
        <f aca="false">SUMIFS(L_Sai,L_Data,"&gt;="&amp;$A133,L_Data,"&lt;="&amp;$B133,L_Status,"REALIZADO")+SUMIFS(L_Sai,L_Data,"&gt;="&amp;$A133,L_Data,"&lt;="&amp;$B133,L_Status,"PROJETADO")</f>
        <v>0</v>
      </c>
      <c r="E133" s="10" t="n">
        <f aca="false">$C133-$D133</f>
        <v>0</v>
      </c>
      <c r="F133" s="10" t="n">
        <f aca="false">$F132+$E133</f>
        <v>0</v>
      </c>
    </row>
    <row r="135" customFormat="false" ht="19.5" hidden="false" customHeight="true" outlineLevel="0" collapsed="false">
      <c r="A135" s="3" t="s">
        <v>358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customFormat="false" ht="30" hidden="false" customHeight="true" outlineLevel="0" collapsed="false">
      <c r="A136" s="8" t="s">
        <v>119</v>
      </c>
      <c r="B136" s="8" t="s">
        <v>171</v>
      </c>
      <c r="C136" s="8" t="s">
        <v>172</v>
      </c>
      <c r="D136" s="8" t="s">
        <v>175</v>
      </c>
      <c r="E136" s="8" t="s">
        <v>176</v>
      </c>
      <c r="F136" s="8" t="s">
        <v>359</v>
      </c>
      <c r="G136" s="8" t="s">
        <v>360</v>
      </c>
    </row>
    <row r="137" customFormat="false" ht="15" hidden="false" customHeight="false" outlineLevel="0" collapsed="false">
      <c r="A137" s="43" t="n">
        <f aca="false">YEAR(CFG_INICIO)+0</f>
        <v>2025</v>
      </c>
      <c r="B137" s="10" t="n">
        <f aca="false">SUMIFS(L_Ent,L_Data,"&gt;="&amp;DATE($A137,1,1),L_Data,"&lt;="&amp;DATE($A137,12,31),L_Status,"REALIZADO")</f>
        <v>0</v>
      </c>
      <c r="C137" s="10" t="n">
        <f aca="false">SUMIFS(L_Sai,L_Data,"&gt;="&amp;DATE($A137,1,1),L_Data,"&lt;="&amp;DATE($A137,12,31),L_Status,"REALIZADO")</f>
        <v>0</v>
      </c>
      <c r="D137" s="10" t="n">
        <f aca="false">SUMIFS(L_Ent,L_Data,"&gt;="&amp;DATE($A137,1,1),L_Data,"&lt;="&amp;DATE($A137,12,31),L_Status,"PROJETADO")</f>
        <v>0</v>
      </c>
      <c r="E137" s="10" t="n">
        <f aca="false">SUMIFS(L_Sai,L_Data,"&gt;="&amp;DATE($A137,1,1),L_Data,"&lt;="&amp;DATE($A137,12,31),L_Status,"PROJETADO")</f>
        <v>0</v>
      </c>
      <c r="F137" s="10" t="n">
        <f aca="false">$B137-$C137+$D137-$E137</f>
        <v>0</v>
      </c>
      <c r="G137" s="10" t="n">
        <f aca="false">SUM(C_SALDOINI)+SUMIFS(L_Ent,L_Data,"&lt;"&amp;DATE($A137,12,31)+1,L_Status,"REALIZADO")-SUMIFS(L_Sai,L_Data,"&lt;"&amp;DATE($A137,12,31)+1,L_Status,"REALIZADO")+SUMIFS(L_Ent,L_Data,"&lt;"&amp;DATE($A137,12,31)+1,L_Status,"PROJETADO")-SUMIFS(L_Sai,L_Data,"&lt;"&amp;DATE($A137,12,31)+1,L_Status,"PROJETADO")</f>
        <v>0</v>
      </c>
    </row>
    <row r="138" customFormat="false" ht="15" hidden="false" customHeight="false" outlineLevel="0" collapsed="false">
      <c r="A138" s="43" t="n">
        <f aca="false">YEAR(CFG_INICIO)+1</f>
        <v>2026</v>
      </c>
      <c r="B138" s="10" t="n">
        <f aca="false">SUMIFS(L_Ent,L_Data,"&gt;="&amp;DATE($A138,1,1),L_Data,"&lt;="&amp;DATE($A138,12,31),L_Status,"REALIZADO")</f>
        <v>0</v>
      </c>
      <c r="C138" s="10" t="n">
        <f aca="false">SUMIFS(L_Sai,L_Data,"&gt;="&amp;DATE($A138,1,1),L_Data,"&lt;="&amp;DATE($A138,12,31),L_Status,"REALIZADO")</f>
        <v>0</v>
      </c>
      <c r="D138" s="10" t="n">
        <f aca="false">SUMIFS(L_Ent,L_Data,"&gt;="&amp;DATE($A138,1,1),L_Data,"&lt;="&amp;DATE($A138,12,31),L_Status,"PROJETADO")</f>
        <v>0</v>
      </c>
      <c r="E138" s="10" t="n">
        <f aca="false">SUMIFS(L_Sai,L_Data,"&gt;="&amp;DATE($A138,1,1),L_Data,"&lt;="&amp;DATE($A138,12,31),L_Status,"PROJETADO")</f>
        <v>0</v>
      </c>
      <c r="F138" s="10" t="n">
        <f aca="false">$B138-$C138+$D138-$E138</f>
        <v>0</v>
      </c>
      <c r="G138" s="10" t="n">
        <f aca="false">SUM(C_SALDOINI)+SUMIFS(L_Ent,L_Data,"&lt;"&amp;DATE($A138,12,31)+1,L_Status,"REALIZADO")-SUMIFS(L_Sai,L_Data,"&lt;"&amp;DATE($A138,12,31)+1,L_Status,"REALIZADO")+SUMIFS(L_Ent,L_Data,"&lt;"&amp;DATE($A138,12,31)+1,L_Status,"PROJETADO")-SUMIFS(L_Sai,L_Data,"&lt;"&amp;DATE($A138,12,31)+1,L_Status,"PROJETADO")</f>
        <v>0</v>
      </c>
    </row>
    <row r="139" customFormat="false" ht="15" hidden="false" customHeight="false" outlineLevel="0" collapsed="false">
      <c r="A139" s="43" t="n">
        <f aca="false">YEAR(CFG_INICIO)+2</f>
        <v>2027</v>
      </c>
      <c r="B139" s="10" t="n">
        <f aca="false">SUMIFS(L_Ent,L_Data,"&gt;="&amp;DATE($A139,1,1),L_Data,"&lt;="&amp;DATE($A139,12,31),L_Status,"REALIZADO")</f>
        <v>0</v>
      </c>
      <c r="C139" s="10" t="n">
        <f aca="false">SUMIFS(L_Sai,L_Data,"&gt;="&amp;DATE($A139,1,1),L_Data,"&lt;="&amp;DATE($A139,12,31),L_Status,"REALIZADO")</f>
        <v>0</v>
      </c>
      <c r="D139" s="10" t="n">
        <f aca="false">SUMIFS(L_Ent,L_Data,"&gt;="&amp;DATE($A139,1,1),L_Data,"&lt;="&amp;DATE($A139,12,31),L_Status,"PROJETADO")</f>
        <v>0</v>
      </c>
      <c r="E139" s="10" t="n">
        <f aca="false">SUMIFS(L_Sai,L_Data,"&gt;="&amp;DATE($A139,1,1),L_Data,"&lt;="&amp;DATE($A139,12,31),L_Status,"PROJETADO")</f>
        <v>0</v>
      </c>
      <c r="F139" s="10" t="n">
        <f aca="false">$B139-$C139+$D139-$E139</f>
        <v>0</v>
      </c>
      <c r="G139" s="10" t="n">
        <f aca="false">SUM(C_SALDOINI)+SUMIFS(L_Ent,L_Data,"&lt;"&amp;DATE($A139,12,31)+1,L_Status,"REALIZADO")-SUMIFS(L_Sai,L_Data,"&lt;"&amp;DATE($A139,12,31)+1,L_Status,"REALIZADO")+SUMIFS(L_Ent,L_Data,"&lt;"&amp;DATE($A139,12,31)+1,L_Status,"PROJETADO")-SUMIFS(L_Sai,L_Data,"&lt;"&amp;DATE($A139,12,31)+1,L_Status,"PROJETADO")</f>
        <v>0</v>
      </c>
    </row>
    <row r="140" customFormat="false" ht="15" hidden="false" customHeight="false" outlineLevel="0" collapsed="false">
      <c r="A140" s="43" t="n">
        <f aca="false">YEAR(CFG_INICIO)+3</f>
        <v>2028</v>
      </c>
      <c r="B140" s="10" t="n">
        <f aca="false">SUMIFS(L_Ent,L_Data,"&gt;="&amp;DATE($A140,1,1),L_Data,"&lt;="&amp;DATE($A140,12,31),L_Status,"REALIZADO")</f>
        <v>0</v>
      </c>
      <c r="C140" s="10" t="n">
        <f aca="false">SUMIFS(L_Sai,L_Data,"&gt;="&amp;DATE($A140,1,1),L_Data,"&lt;="&amp;DATE($A140,12,31),L_Status,"REALIZADO")</f>
        <v>0</v>
      </c>
      <c r="D140" s="10" t="n">
        <f aca="false">SUMIFS(L_Ent,L_Data,"&gt;="&amp;DATE($A140,1,1),L_Data,"&lt;="&amp;DATE($A140,12,31),L_Status,"PROJETADO")</f>
        <v>0</v>
      </c>
      <c r="E140" s="10" t="n">
        <f aca="false">SUMIFS(L_Sai,L_Data,"&gt;="&amp;DATE($A140,1,1),L_Data,"&lt;="&amp;DATE($A140,12,31),L_Status,"PROJETADO")</f>
        <v>0</v>
      </c>
      <c r="F140" s="10" t="n">
        <f aca="false">$B140-$C140+$D140-$E140</f>
        <v>0</v>
      </c>
      <c r="G140" s="10" t="n">
        <f aca="false">SUM(C_SALDOINI)+SUMIFS(L_Ent,L_Data,"&lt;"&amp;DATE($A140,12,31)+1,L_Status,"REALIZADO")-SUMIFS(L_Sai,L_Data,"&lt;"&amp;DATE($A140,12,31)+1,L_Status,"REALIZADO")+SUMIFS(L_Ent,L_Data,"&lt;"&amp;DATE($A140,12,31)+1,L_Status,"PROJETADO")-SUMIFS(L_Sai,L_Data,"&lt;"&amp;DATE($A140,12,31)+1,L_Status,"PROJETADO")</f>
        <v>0</v>
      </c>
    </row>
    <row r="141" customFormat="false" ht="15" hidden="false" customHeight="false" outlineLevel="0" collapsed="false">
      <c r="A141" s="43" t="n">
        <f aca="false">YEAR(CFG_INICIO)+4</f>
        <v>2029</v>
      </c>
      <c r="B141" s="10" t="n">
        <f aca="false">SUMIFS(L_Ent,L_Data,"&gt;="&amp;DATE($A141,1,1),L_Data,"&lt;="&amp;DATE($A141,12,31),L_Status,"REALIZADO")</f>
        <v>0</v>
      </c>
      <c r="C141" s="10" t="n">
        <f aca="false">SUMIFS(L_Sai,L_Data,"&gt;="&amp;DATE($A141,1,1),L_Data,"&lt;="&amp;DATE($A141,12,31),L_Status,"REALIZADO")</f>
        <v>0</v>
      </c>
      <c r="D141" s="10" t="n">
        <f aca="false">SUMIFS(L_Ent,L_Data,"&gt;="&amp;DATE($A141,1,1),L_Data,"&lt;="&amp;DATE($A141,12,31),L_Status,"PROJETADO")</f>
        <v>0</v>
      </c>
      <c r="E141" s="10" t="n">
        <f aca="false">SUMIFS(L_Sai,L_Data,"&gt;="&amp;DATE($A141,1,1),L_Data,"&lt;="&amp;DATE($A141,12,31),L_Status,"PROJETADO")</f>
        <v>0</v>
      </c>
      <c r="F141" s="10" t="n">
        <f aca="false">$B141-$C141+$D141-$E141</f>
        <v>0</v>
      </c>
      <c r="G141" s="10" t="n">
        <f aca="false">SUM(C_SALDOINI)+SUMIFS(L_Ent,L_Data,"&lt;"&amp;DATE($A141,12,31)+1,L_Status,"REALIZADO")-SUMIFS(L_Sai,L_Data,"&lt;"&amp;DATE($A141,12,31)+1,L_Status,"REALIZADO")+SUMIFS(L_Ent,L_Data,"&lt;"&amp;DATE($A141,12,31)+1,L_Status,"PROJETADO")-SUMIFS(L_Sai,L_Data,"&lt;"&amp;DATE($A141,12,31)+1,L_Status,"PROJETADO")</f>
        <v>0</v>
      </c>
    </row>
    <row r="142" customFormat="false" ht="15" hidden="false" customHeight="false" outlineLevel="0" collapsed="false">
      <c r="A142" s="43" t="n">
        <f aca="false">YEAR(CFG_INICIO)+5</f>
        <v>2030</v>
      </c>
      <c r="B142" s="10" t="n">
        <f aca="false">SUMIFS(L_Ent,L_Data,"&gt;="&amp;DATE($A142,1,1),L_Data,"&lt;="&amp;DATE($A142,12,31),L_Status,"REALIZADO")</f>
        <v>0</v>
      </c>
      <c r="C142" s="10" t="n">
        <f aca="false">SUMIFS(L_Sai,L_Data,"&gt;="&amp;DATE($A142,1,1),L_Data,"&lt;="&amp;DATE($A142,12,31),L_Status,"REALIZADO")</f>
        <v>0</v>
      </c>
      <c r="D142" s="10" t="n">
        <f aca="false">SUMIFS(L_Ent,L_Data,"&gt;="&amp;DATE($A142,1,1),L_Data,"&lt;="&amp;DATE($A142,12,31),L_Status,"PROJETADO")</f>
        <v>0</v>
      </c>
      <c r="E142" s="10" t="n">
        <f aca="false">SUMIFS(L_Sai,L_Data,"&gt;="&amp;DATE($A142,1,1),L_Data,"&lt;="&amp;DATE($A142,12,31),L_Status,"PROJETADO")</f>
        <v>0</v>
      </c>
      <c r="F142" s="10" t="n">
        <f aca="false">$B142-$C142+$D142-$E142</f>
        <v>0</v>
      </c>
      <c r="G142" s="10" t="n">
        <f aca="false">SUM(C_SALDOINI)+SUMIFS(L_Ent,L_Data,"&lt;"&amp;DATE($A142,12,31)+1,L_Status,"REALIZADO")-SUMIFS(L_Sai,L_Data,"&lt;"&amp;DATE($A142,12,31)+1,L_Status,"REALIZADO")+SUMIFS(L_Ent,L_Data,"&lt;"&amp;DATE($A142,12,31)+1,L_Status,"PROJETADO")-SUMIFS(L_Sai,L_Data,"&lt;"&amp;DATE($A142,12,31)+1,L_Status,"PROJETADO")</f>
        <v>0</v>
      </c>
    </row>
  </sheetData>
  <mergeCells count="6">
    <mergeCell ref="A1:M1"/>
    <mergeCell ref="A2:M2"/>
    <mergeCell ref="A6:M6"/>
    <mergeCell ref="A39:M39"/>
    <mergeCell ref="A102:M102"/>
    <mergeCell ref="A135:M135"/>
  </mergeCells>
  <conditionalFormatting sqref="K8:K37">
    <cfRule type="cellIs" priority="2" operator="lessThan" aboveAverage="0" equalAverage="0" bottom="0" percent="0" rank="0" text="" dxfId="7">
      <formula>0</formula>
    </cfRule>
  </conditionalFormatting>
  <conditionalFormatting sqref="G41:G100">
    <cfRule type="cellIs" priority="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O1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7"/>
    <col collapsed="false" customWidth="true" hidden="false" outlineLevel="0" max="10" min="9" style="0" width="15"/>
    <col collapsed="false" customWidth="true" hidden="false" outlineLevel="0" max="13" min="11" style="0" width="16"/>
    <col collapsed="false" customWidth="true" hidden="false" outlineLevel="0" max="14" min="14" style="0" width="18"/>
    <col collapsed="false" customWidth="true" hidden="false" outlineLevel="0" max="15" min="15" style="0" width="17"/>
  </cols>
  <sheetData>
    <row r="1" customFormat="false" ht="25.5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8" t="s">
        <v>343</v>
      </c>
      <c r="B4" s="8" t="s">
        <v>324</v>
      </c>
      <c r="C4" s="8" t="s">
        <v>344</v>
      </c>
      <c r="D4" s="8" t="s">
        <v>363</v>
      </c>
      <c r="E4" s="8" t="s">
        <v>364</v>
      </c>
      <c r="F4" s="8" t="s">
        <v>365</v>
      </c>
      <c r="G4" s="8" t="s">
        <v>366</v>
      </c>
      <c r="H4" s="8" t="s">
        <v>367</v>
      </c>
      <c r="I4" s="8" t="s">
        <v>368</v>
      </c>
      <c r="J4" s="8" t="s">
        <v>369</v>
      </c>
      <c r="K4" s="8" t="s">
        <v>370</v>
      </c>
      <c r="L4" s="8" t="s">
        <v>371</v>
      </c>
      <c r="M4" s="8" t="s">
        <v>346</v>
      </c>
      <c r="N4" s="8" t="s">
        <v>372</v>
      </c>
      <c r="O4" s="8" t="s">
        <v>37</v>
      </c>
    </row>
    <row r="5" customFormat="false" ht="15" hidden="false" customHeight="false" outlineLevel="0" collapsed="false">
      <c r="A5" s="43" t="n">
        <f aca="false">YEAR($B5)*100+MONTH($B5)</f>
        <v>202609</v>
      </c>
      <c r="B5" s="44" t="n">
        <f aca="false">EDATE(DATE(YEAR(CFG_HOJE),MONTH(CFG_HOJE),1),0)</f>
        <v>46266</v>
      </c>
      <c r="C5" s="44" t="n">
        <f aca="false">EOMONTH($B5,0)</f>
        <v>46295</v>
      </c>
      <c r="D5" s="10" t="n">
        <f aca="false">SUMIFS(L_VRec,L_Data,"&gt;="&amp;$B5,L_Data,"&lt;="&amp;$C5,L_Status,"PROJETADO")</f>
        <v>0</v>
      </c>
      <c r="E5" s="10" t="n">
        <f aca="false">SUMIFS(L_VRend,L_Data,"&gt;="&amp;$B5,L_Data,"&lt;="&amp;$C5,L_Status,"PROJETADO")</f>
        <v>0</v>
      </c>
      <c r="F5" s="10" t="n">
        <f aca="false">SUMIFS(L_VDesp,L_Data,"&gt;="&amp;$B5,L_Data,"&lt;="&amp;$C5,L_Status,"PROJETADO")</f>
        <v>0</v>
      </c>
      <c r="G5" s="10" t="n">
        <f aca="false">SUMIFS(L_Valor,L_Data,"&gt;="&amp;$B5,L_Data,"&lt;="&amp;$C5,L_Status,"PROJETADO",L_ParcID,"&lt;&gt;")</f>
        <v>0</v>
      </c>
      <c r="H5" s="10" t="n">
        <f aca="false">SUMIFS(L_Valor,L_Data,"&gt;="&amp;$B5,L_Data,"&lt;="&amp;$C5,L_Status,"PROJETADO",L_Tipo,"PAGAMENTO_CARTAO")</f>
        <v>0</v>
      </c>
      <c r="I5" s="10" t="n">
        <f aca="false">SUMIFS(L_Valor,L_Data,"&gt;="&amp;$B5,L_Data,"&lt;="&amp;$C5,L_Status,"PROJETADO",L_Tipo,"APORTE")</f>
        <v>0</v>
      </c>
      <c r="J5" s="10" t="n">
        <f aca="false">SUMIFS(L_Valor,L_Data,"&gt;="&amp;$B5,L_Data,"&lt;="&amp;$C5,L_Status,"PROJETADO",L_Tipo,"RESGATE")</f>
        <v>0</v>
      </c>
      <c r="K5" s="10" t="n">
        <f aca="false">SUMIFS(L_Ent,L_Data,"&gt;="&amp;$B5,L_Data,"&lt;="&amp;$C5,L_Status,"PROJETADO")</f>
        <v>0</v>
      </c>
      <c r="L5" s="10" t="n">
        <f aca="false">SUMIFS(L_Sai,L_Data,"&gt;="&amp;$B5,L_Data,"&lt;="&amp;$C5,L_Status,"PROJETADO")</f>
        <v>0</v>
      </c>
      <c r="M5" s="10" t="n">
        <f aca="false">$K5-$L5</f>
        <v>0</v>
      </c>
      <c r="N5" s="10" t="n">
        <f aca="false">SUMIFS(L_Ent,L_Data,"&gt;="&amp;$B5,L_Data,"&lt;="&amp;$C5,L_Status,"REALIZADO")-SUMIFS(L_Sai,L_Data,"&gt;="&amp;$B5,L_Data,"&lt;="&amp;$C5,L_Status,"REALIZADO")</f>
        <v>0</v>
      </c>
      <c r="O5" s="10" t="n">
        <f aca="false">SUM(C_SALDOINI)+SUMIFS(L_Ent,L_Data,"&lt;"&amp;$B5,L_Status,"REALIZADO")-SUMIFS(L_Sai,L_Data,"&lt;"&amp;$B5,L_Status,"REALIZADO")+SUMIFS(L_Ent,L_Data,"&lt;"&amp;$B5,L_Status,"PROJETADO")-SUMIFS(L_Sai,L_Data,"&lt;"&amp;$B5,L_Status,"PROJETADO")+$N5+$M5</f>
        <v>0</v>
      </c>
    </row>
    <row r="6" customFormat="false" ht="15" hidden="false" customHeight="false" outlineLevel="0" collapsed="false">
      <c r="A6" s="43" t="n">
        <f aca="false">YEAR($B6)*100+MONTH($B6)</f>
        <v>202610</v>
      </c>
      <c r="B6" s="44" t="n">
        <f aca="false">EDATE(DATE(YEAR(CFG_HOJE),MONTH(CFG_HOJE),1),1)</f>
        <v>46296</v>
      </c>
      <c r="C6" s="44" t="n">
        <f aca="false">EOMONTH($B6,0)</f>
        <v>46326</v>
      </c>
      <c r="D6" s="10" t="n">
        <f aca="false">SUMIFS(L_VRec,L_Data,"&gt;="&amp;$B6,L_Data,"&lt;="&amp;$C6,L_Status,"PROJETADO")</f>
        <v>0</v>
      </c>
      <c r="E6" s="10" t="n">
        <f aca="false">SUMIFS(L_VRend,L_Data,"&gt;="&amp;$B6,L_Data,"&lt;="&amp;$C6,L_Status,"PROJETADO")</f>
        <v>0</v>
      </c>
      <c r="F6" s="10" t="n">
        <f aca="false">SUMIFS(L_VDesp,L_Data,"&gt;="&amp;$B6,L_Data,"&lt;="&amp;$C6,L_Status,"PROJETADO")</f>
        <v>0</v>
      </c>
      <c r="G6" s="10" t="n">
        <f aca="false">SUMIFS(L_Valor,L_Data,"&gt;="&amp;$B6,L_Data,"&lt;="&amp;$C6,L_Status,"PROJETADO",L_ParcID,"&lt;&gt;")</f>
        <v>0</v>
      </c>
      <c r="H6" s="10" t="n">
        <f aca="false">SUMIFS(L_Valor,L_Data,"&gt;="&amp;$B6,L_Data,"&lt;="&amp;$C6,L_Status,"PROJETADO",L_Tipo,"PAGAMENTO_CARTAO")</f>
        <v>0</v>
      </c>
      <c r="I6" s="10" t="n">
        <f aca="false">SUMIFS(L_Valor,L_Data,"&gt;="&amp;$B6,L_Data,"&lt;="&amp;$C6,L_Status,"PROJETADO",L_Tipo,"APORTE")</f>
        <v>0</v>
      </c>
      <c r="J6" s="10" t="n">
        <f aca="false">SUMIFS(L_Valor,L_Data,"&gt;="&amp;$B6,L_Data,"&lt;="&amp;$C6,L_Status,"PROJETADO",L_Tipo,"RESGATE")</f>
        <v>0</v>
      </c>
      <c r="K6" s="10" t="n">
        <f aca="false">SUMIFS(L_Ent,L_Data,"&gt;="&amp;$B6,L_Data,"&lt;="&amp;$C6,L_Status,"PROJETADO")</f>
        <v>0</v>
      </c>
      <c r="L6" s="10" t="n">
        <f aca="false">SUMIFS(L_Sai,L_Data,"&gt;="&amp;$B6,L_Data,"&lt;="&amp;$C6,L_Status,"PROJETADO")</f>
        <v>0</v>
      </c>
      <c r="M6" s="10" t="n">
        <f aca="false">$K6-$L6</f>
        <v>0</v>
      </c>
      <c r="N6" s="10" t="n">
        <f aca="false">SUMIFS(L_Ent,L_Data,"&gt;="&amp;$B6,L_Data,"&lt;="&amp;$C6,L_Status,"REALIZADO")-SUMIFS(L_Sai,L_Data,"&gt;="&amp;$B6,L_Data,"&lt;="&amp;$C6,L_Status,"REALIZADO")</f>
        <v>0</v>
      </c>
      <c r="O6" s="10" t="n">
        <f aca="false">$O5+$N6+$M6</f>
        <v>0</v>
      </c>
    </row>
    <row r="7" customFormat="false" ht="15" hidden="false" customHeight="false" outlineLevel="0" collapsed="false">
      <c r="A7" s="43" t="n">
        <f aca="false">YEAR($B7)*100+MONTH($B7)</f>
        <v>202611</v>
      </c>
      <c r="B7" s="44" t="n">
        <f aca="false">EDATE(DATE(YEAR(CFG_HOJE),MONTH(CFG_HOJE),1),2)</f>
        <v>46327</v>
      </c>
      <c r="C7" s="44" t="n">
        <f aca="false">EOMONTH($B7,0)</f>
        <v>46356</v>
      </c>
      <c r="D7" s="10" t="n">
        <f aca="false">SUMIFS(L_VRec,L_Data,"&gt;="&amp;$B7,L_Data,"&lt;="&amp;$C7,L_Status,"PROJETADO")</f>
        <v>0</v>
      </c>
      <c r="E7" s="10" t="n">
        <f aca="false">SUMIFS(L_VRend,L_Data,"&gt;="&amp;$B7,L_Data,"&lt;="&amp;$C7,L_Status,"PROJETADO")</f>
        <v>0</v>
      </c>
      <c r="F7" s="10" t="n">
        <f aca="false">SUMIFS(L_VDesp,L_Data,"&gt;="&amp;$B7,L_Data,"&lt;="&amp;$C7,L_Status,"PROJETADO")</f>
        <v>0</v>
      </c>
      <c r="G7" s="10" t="n">
        <f aca="false">SUMIFS(L_Valor,L_Data,"&gt;="&amp;$B7,L_Data,"&lt;="&amp;$C7,L_Status,"PROJETADO",L_ParcID,"&lt;&gt;")</f>
        <v>0</v>
      </c>
      <c r="H7" s="10" t="n">
        <f aca="false">SUMIFS(L_Valor,L_Data,"&gt;="&amp;$B7,L_Data,"&lt;="&amp;$C7,L_Status,"PROJETADO",L_Tipo,"PAGAMENTO_CARTAO")</f>
        <v>0</v>
      </c>
      <c r="I7" s="10" t="n">
        <f aca="false">SUMIFS(L_Valor,L_Data,"&gt;="&amp;$B7,L_Data,"&lt;="&amp;$C7,L_Status,"PROJETADO",L_Tipo,"APORTE")</f>
        <v>0</v>
      </c>
      <c r="J7" s="10" t="n">
        <f aca="false">SUMIFS(L_Valor,L_Data,"&gt;="&amp;$B7,L_Data,"&lt;="&amp;$C7,L_Status,"PROJETADO",L_Tipo,"RESGATE")</f>
        <v>0</v>
      </c>
      <c r="K7" s="10" t="n">
        <f aca="false">SUMIFS(L_Ent,L_Data,"&gt;="&amp;$B7,L_Data,"&lt;="&amp;$C7,L_Status,"PROJETADO")</f>
        <v>0</v>
      </c>
      <c r="L7" s="10" t="n">
        <f aca="false">SUMIFS(L_Sai,L_Data,"&gt;="&amp;$B7,L_Data,"&lt;="&amp;$C7,L_Status,"PROJETADO")</f>
        <v>0</v>
      </c>
      <c r="M7" s="10" t="n">
        <f aca="false">$K7-$L7</f>
        <v>0</v>
      </c>
      <c r="N7" s="10" t="n">
        <f aca="false">SUMIFS(L_Ent,L_Data,"&gt;="&amp;$B7,L_Data,"&lt;="&amp;$C7,L_Status,"REALIZADO")-SUMIFS(L_Sai,L_Data,"&gt;="&amp;$B7,L_Data,"&lt;="&amp;$C7,L_Status,"REALIZADO")</f>
        <v>0</v>
      </c>
      <c r="O7" s="10" t="n">
        <f aca="false">$O6+$N7+$M7</f>
        <v>0</v>
      </c>
    </row>
    <row r="8" customFormat="false" ht="15" hidden="false" customHeight="false" outlineLevel="0" collapsed="false">
      <c r="A8" s="43" t="n">
        <f aca="false">YEAR($B8)*100+MONTH($B8)</f>
        <v>202612</v>
      </c>
      <c r="B8" s="44" t="n">
        <f aca="false">EDATE(DATE(YEAR(CFG_HOJE),MONTH(CFG_HOJE),1),3)</f>
        <v>46357</v>
      </c>
      <c r="C8" s="44" t="n">
        <f aca="false">EOMONTH($B8,0)</f>
        <v>46387</v>
      </c>
      <c r="D8" s="10" t="n">
        <f aca="false">SUMIFS(L_VRec,L_Data,"&gt;="&amp;$B8,L_Data,"&lt;="&amp;$C8,L_Status,"PROJETADO")</f>
        <v>0</v>
      </c>
      <c r="E8" s="10" t="n">
        <f aca="false">SUMIFS(L_VRend,L_Data,"&gt;="&amp;$B8,L_Data,"&lt;="&amp;$C8,L_Status,"PROJETADO")</f>
        <v>0</v>
      </c>
      <c r="F8" s="10" t="n">
        <f aca="false">SUMIFS(L_VDesp,L_Data,"&gt;="&amp;$B8,L_Data,"&lt;="&amp;$C8,L_Status,"PROJETADO")</f>
        <v>0</v>
      </c>
      <c r="G8" s="10" t="n">
        <f aca="false">SUMIFS(L_Valor,L_Data,"&gt;="&amp;$B8,L_Data,"&lt;="&amp;$C8,L_Status,"PROJETADO",L_ParcID,"&lt;&gt;")</f>
        <v>0</v>
      </c>
      <c r="H8" s="10" t="n">
        <f aca="false">SUMIFS(L_Valor,L_Data,"&gt;="&amp;$B8,L_Data,"&lt;="&amp;$C8,L_Status,"PROJETADO",L_Tipo,"PAGAMENTO_CARTAO")</f>
        <v>0</v>
      </c>
      <c r="I8" s="10" t="n">
        <f aca="false">SUMIFS(L_Valor,L_Data,"&gt;="&amp;$B8,L_Data,"&lt;="&amp;$C8,L_Status,"PROJETADO",L_Tipo,"APORTE")</f>
        <v>0</v>
      </c>
      <c r="J8" s="10" t="n">
        <f aca="false">SUMIFS(L_Valor,L_Data,"&gt;="&amp;$B8,L_Data,"&lt;="&amp;$C8,L_Status,"PROJETADO",L_Tipo,"RESGATE")</f>
        <v>0</v>
      </c>
      <c r="K8" s="10" t="n">
        <f aca="false">SUMIFS(L_Ent,L_Data,"&gt;="&amp;$B8,L_Data,"&lt;="&amp;$C8,L_Status,"PROJETADO")</f>
        <v>0</v>
      </c>
      <c r="L8" s="10" t="n">
        <f aca="false">SUMIFS(L_Sai,L_Data,"&gt;="&amp;$B8,L_Data,"&lt;="&amp;$C8,L_Status,"PROJETADO")</f>
        <v>0</v>
      </c>
      <c r="M8" s="10" t="n">
        <f aca="false">$K8-$L8</f>
        <v>0</v>
      </c>
      <c r="N8" s="10" t="n">
        <f aca="false">SUMIFS(L_Ent,L_Data,"&gt;="&amp;$B8,L_Data,"&lt;="&amp;$C8,L_Status,"REALIZADO")-SUMIFS(L_Sai,L_Data,"&gt;="&amp;$B8,L_Data,"&lt;="&amp;$C8,L_Status,"REALIZADO")</f>
        <v>0</v>
      </c>
      <c r="O8" s="10" t="n">
        <f aca="false">$O7+$N8+$M8</f>
        <v>0</v>
      </c>
    </row>
    <row r="9" customFormat="false" ht="15" hidden="false" customHeight="false" outlineLevel="0" collapsed="false">
      <c r="A9" s="43" t="n">
        <f aca="false">YEAR($B9)*100+MONTH($B9)</f>
        <v>202701</v>
      </c>
      <c r="B9" s="44" t="n">
        <f aca="false">EDATE(DATE(YEAR(CFG_HOJE),MONTH(CFG_HOJE),1),4)</f>
        <v>46388</v>
      </c>
      <c r="C9" s="44" t="n">
        <f aca="false">EOMONTH($B9,0)</f>
        <v>46418</v>
      </c>
      <c r="D9" s="10" t="n">
        <f aca="false">SUMIFS(L_VRec,L_Data,"&gt;="&amp;$B9,L_Data,"&lt;="&amp;$C9,L_Status,"PROJETADO")</f>
        <v>0</v>
      </c>
      <c r="E9" s="10" t="n">
        <f aca="false">SUMIFS(L_VRend,L_Data,"&gt;="&amp;$B9,L_Data,"&lt;="&amp;$C9,L_Status,"PROJETADO")</f>
        <v>0</v>
      </c>
      <c r="F9" s="10" t="n">
        <f aca="false">SUMIFS(L_VDesp,L_Data,"&gt;="&amp;$B9,L_Data,"&lt;="&amp;$C9,L_Status,"PROJETADO")</f>
        <v>0</v>
      </c>
      <c r="G9" s="10" t="n">
        <f aca="false">SUMIFS(L_Valor,L_Data,"&gt;="&amp;$B9,L_Data,"&lt;="&amp;$C9,L_Status,"PROJETADO",L_ParcID,"&lt;&gt;")</f>
        <v>0</v>
      </c>
      <c r="H9" s="10" t="n">
        <f aca="false">SUMIFS(L_Valor,L_Data,"&gt;="&amp;$B9,L_Data,"&lt;="&amp;$C9,L_Status,"PROJETADO",L_Tipo,"PAGAMENTO_CARTAO")</f>
        <v>0</v>
      </c>
      <c r="I9" s="10" t="n">
        <f aca="false">SUMIFS(L_Valor,L_Data,"&gt;="&amp;$B9,L_Data,"&lt;="&amp;$C9,L_Status,"PROJETADO",L_Tipo,"APORTE")</f>
        <v>0</v>
      </c>
      <c r="J9" s="10" t="n">
        <f aca="false">SUMIFS(L_Valor,L_Data,"&gt;="&amp;$B9,L_Data,"&lt;="&amp;$C9,L_Status,"PROJETADO",L_Tipo,"RESGATE")</f>
        <v>0</v>
      </c>
      <c r="K9" s="10" t="n">
        <f aca="false">SUMIFS(L_Ent,L_Data,"&gt;="&amp;$B9,L_Data,"&lt;="&amp;$C9,L_Status,"PROJETADO")</f>
        <v>0</v>
      </c>
      <c r="L9" s="10" t="n">
        <f aca="false">SUMIFS(L_Sai,L_Data,"&gt;="&amp;$B9,L_Data,"&lt;="&amp;$C9,L_Status,"PROJETADO")</f>
        <v>0</v>
      </c>
      <c r="M9" s="10" t="n">
        <f aca="false">$K9-$L9</f>
        <v>0</v>
      </c>
      <c r="N9" s="10" t="n">
        <f aca="false">SUMIFS(L_Ent,L_Data,"&gt;="&amp;$B9,L_Data,"&lt;="&amp;$C9,L_Status,"REALIZADO")-SUMIFS(L_Sai,L_Data,"&gt;="&amp;$B9,L_Data,"&lt;="&amp;$C9,L_Status,"REALIZADO")</f>
        <v>0</v>
      </c>
      <c r="O9" s="10" t="n">
        <f aca="false">$O8+$N9+$M9</f>
        <v>0</v>
      </c>
    </row>
    <row r="10" customFormat="false" ht="15" hidden="false" customHeight="false" outlineLevel="0" collapsed="false">
      <c r="A10" s="43" t="n">
        <f aca="false">YEAR($B10)*100+MONTH($B10)</f>
        <v>202702</v>
      </c>
      <c r="B10" s="44" t="n">
        <f aca="false">EDATE(DATE(YEAR(CFG_HOJE),MONTH(CFG_HOJE),1),5)</f>
        <v>46419</v>
      </c>
      <c r="C10" s="44" t="n">
        <f aca="false">EOMONTH($B10,0)</f>
        <v>46446</v>
      </c>
      <c r="D10" s="10" t="n">
        <f aca="false">SUMIFS(L_VRec,L_Data,"&gt;="&amp;$B10,L_Data,"&lt;="&amp;$C10,L_Status,"PROJETADO")</f>
        <v>0</v>
      </c>
      <c r="E10" s="10" t="n">
        <f aca="false">SUMIFS(L_VRend,L_Data,"&gt;="&amp;$B10,L_Data,"&lt;="&amp;$C10,L_Status,"PROJETADO")</f>
        <v>0</v>
      </c>
      <c r="F10" s="10" t="n">
        <f aca="false">SUMIFS(L_VDesp,L_Data,"&gt;="&amp;$B10,L_Data,"&lt;="&amp;$C10,L_Status,"PROJETADO")</f>
        <v>0</v>
      </c>
      <c r="G10" s="10" t="n">
        <f aca="false">SUMIFS(L_Valor,L_Data,"&gt;="&amp;$B10,L_Data,"&lt;="&amp;$C10,L_Status,"PROJETADO",L_ParcID,"&lt;&gt;")</f>
        <v>0</v>
      </c>
      <c r="H10" s="10" t="n">
        <f aca="false">SUMIFS(L_Valor,L_Data,"&gt;="&amp;$B10,L_Data,"&lt;="&amp;$C10,L_Status,"PROJETADO",L_Tipo,"PAGAMENTO_CARTAO")</f>
        <v>0</v>
      </c>
      <c r="I10" s="10" t="n">
        <f aca="false">SUMIFS(L_Valor,L_Data,"&gt;="&amp;$B10,L_Data,"&lt;="&amp;$C10,L_Status,"PROJETADO",L_Tipo,"APORTE")</f>
        <v>0</v>
      </c>
      <c r="J10" s="10" t="n">
        <f aca="false">SUMIFS(L_Valor,L_Data,"&gt;="&amp;$B10,L_Data,"&lt;="&amp;$C10,L_Status,"PROJETADO",L_Tipo,"RESGATE")</f>
        <v>0</v>
      </c>
      <c r="K10" s="10" t="n">
        <f aca="false">SUMIFS(L_Ent,L_Data,"&gt;="&amp;$B10,L_Data,"&lt;="&amp;$C10,L_Status,"PROJETADO")</f>
        <v>0</v>
      </c>
      <c r="L10" s="10" t="n">
        <f aca="false">SUMIFS(L_Sai,L_Data,"&gt;="&amp;$B10,L_Data,"&lt;="&amp;$C10,L_Status,"PROJETADO")</f>
        <v>0</v>
      </c>
      <c r="M10" s="10" t="n">
        <f aca="false">$K10-$L10</f>
        <v>0</v>
      </c>
      <c r="N10" s="10" t="n">
        <f aca="false">SUMIFS(L_Ent,L_Data,"&gt;="&amp;$B10,L_Data,"&lt;="&amp;$C10,L_Status,"REALIZADO")-SUMIFS(L_Sai,L_Data,"&gt;="&amp;$B10,L_Data,"&lt;="&amp;$C10,L_Status,"REALIZADO")</f>
        <v>0</v>
      </c>
      <c r="O10" s="10" t="n">
        <f aca="false">$O9+$N10+$M10</f>
        <v>0</v>
      </c>
    </row>
    <row r="11" customFormat="false" ht="15" hidden="false" customHeight="false" outlineLevel="0" collapsed="false">
      <c r="A11" s="43" t="n">
        <f aca="false">YEAR($B11)*100+MONTH($B11)</f>
        <v>202703</v>
      </c>
      <c r="B11" s="44" t="n">
        <f aca="false">EDATE(DATE(YEAR(CFG_HOJE),MONTH(CFG_HOJE),1),6)</f>
        <v>46447</v>
      </c>
      <c r="C11" s="44" t="n">
        <f aca="false">EOMONTH($B11,0)</f>
        <v>46477</v>
      </c>
      <c r="D11" s="10" t="n">
        <f aca="false">SUMIFS(L_VRec,L_Data,"&gt;="&amp;$B11,L_Data,"&lt;="&amp;$C11,L_Status,"PROJETADO")</f>
        <v>0</v>
      </c>
      <c r="E11" s="10" t="n">
        <f aca="false">SUMIFS(L_VRend,L_Data,"&gt;="&amp;$B11,L_Data,"&lt;="&amp;$C11,L_Status,"PROJETADO")</f>
        <v>0</v>
      </c>
      <c r="F11" s="10" t="n">
        <f aca="false">SUMIFS(L_VDesp,L_Data,"&gt;="&amp;$B11,L_Data,"&lt;="&amp;$C11,L_Status,"PROJETADO")</f>
        <v>0</v>
      </c>
      <c r="G11" s="10" t="n">
        <f aca="false">SUMIFS(L_Valor,L_Data,"&gt;="&amp;$B11,L_Data,"&lt;="&amp;$C11,L_Status,"PROJETADO",L_ParcID,"&lt;&gt;")</f>
        <v>0</v>
      </c>
      <c r="H11" s="10" t="n">
        <f aca="false">SUMIFS(L_Valor,L_Data,"&gt;="&amp;$B11,L_Data,"&lt;="&amp;$C11,L_Status,"PROJETADO",L_Tipo,"PAGAMENTO_CARTAO")</f>
        <v>0</v>
      </c>
      <c r="I11" s="10" t="n">
        <f aca="false">SUMIFS(L_Valor,L_Data,"&gt;="&amp;$B11,L_Data,"&lt;="&amp;$C11,L_Status,"PROJETADO",L_Tipo,"APORTE")</f>
        <v>0</v>
      </c>
      <c r="J11" s="10" t="n">
        <f aca="false">SUMIFS(L_Valor,L_Data,"&gt;="&amp;$B11,L_Data,"&lt;="&amp;$C11,L_Status,"PROJETADO",L_Tipo,"RESGATE")</f>
        <v>0</v>
      </c>
      <c r="K11" s="10" t="n">
        <f aca="false">SUMIFS(L_Ent,L_Data,"&gt;="&amp;$B11,L_Data,"&lt;="&amp;$C11,L_Status,"PROJETADO")</f>
        <v>0</v>
      </c>
      <c r="L11" s="10" t="n">
        <f aca="false">SUMIFS(L_Sai,L_Data,"&gt;="&amp;$B11,L_Data,"&lt;="&amp;$C11,L_Status,"PROJETADO")</f>
        <v>0</v>
      </c>
      <c r="M11" s="10" t="n">
        <f aca="false">$K11-$L11</f>
        <v>0</v>
      </c>
      <c r="N11" s="10" t="n">
        <f aca="false">SUMIFS(L_Ent,L_Data,"&gt;="&amp;$B11,L_Data,"&lt;="&amp;$C11,L_Status,"REALIZADO")-SUMIFS(L_Sai,L_Data,"&gt;="&amp;$B11,L_Data,"&lt;="&amp;$C11,L_Status,"REALIZADO")</f>
        <v>0</v>
      </c>
      <c r="O11" s="10" t="n">
        <f aca="false">$O10+$N11+$M11</f>
        <v>0</v>
      </c>
    </row>
    <row r="12" customFormat="false" ht="15" hidden="false" customHeight="false" outlineLevel="0" collapsed="false">
      <c r="A12" s="43" t="n">
        <f aca="false">YEAR($B12)*100+MONTH($B12)</f>
        <v>202704</v>
      </c>
      <c r="B12" s="44" t="n">
        <f aca="false">EDATE(DATE(YEAR(CFG_HOJE),MONTH(CFG_HOJE),1),7)</f>
        <v>46478</v>
      </c>
      <c r="C12" s="44" t="n">
        <f aca="false">EOMONTH($B12,0)</f>
        <v>46507</v>
      </c>
      <c r="D12" s="10" t="n">
        <f aca="false">SUMIFS(L_VRec,L_Data,"&gt;="&amp;$B12,L_Data,"&lt;="&amp;$C12,L_Status,"PROJETADO")</f>
        <v>0</v>
      </c>
      <c r="E12" s="10" t="n">
        <f aca="false">SUMIFS(L_VRend,L_Data,"&gt;="&amp;$B12,L_Data,"&lt;="&amp;$C12,L_Status,"PROJETADO")</f>
        <v>0</v>
      </c>
      <c r="F12" s="10" t="n">
        <f aca="false">SUMIFS(L_VDesp,L_Data,"&gt;="&amp;$B12,L_Data,"&lt;="&amp;$C12,L_Status,"PROJETADO")</f>
        <v>0</v>
      </c>
      <c r="G12" s="10" t="n">
        <f aca="false">SUMIFS(L_Valor,L_Data,"&gt;="&amp;$B12,L_Data,"&lt;="&amp;$C12,L_Status,"PROJETADO",L_ParcID,"&lt;&gt;")</f>
        <v>0</v>
      </c>
      <c r="H12" s="10" t="n">
        <f aca="false">SUMIFS(L_Valor,L_Data,"&gt;="&amp;$B12,L_Data,"&lt;="&amp;$C12,L_Status,"PROJETADO",L_Tipo,"PAGAMENTO_CARTAO")</f>
        <v>0</v>
      </c>
      <c r="I12" s="10" t="n">
        <f aca="false">SUMIFS(L_Valor,L_Data,"&gt;="&amp;$B12,L_Data,"&lt;="&amp;$C12,L_Status,"PROJETADO",L_Tipo,"APORTE")</f>
        <v>0</v>
      </c>
      <c r="J12" s="10" t="n">
        <f aca="false">SUMIFS(L_Valor,L_Data,"&gt;="&amp;$B12,L_Data,"&lt;="&amp;$C12,L_Status,"PROJETADO",L_Tipo,"RESGATE")</f>
        <v>0</v>
      </c>
      <c r="K12" s="10" t="n">
        <f aca="false">SUMIFS(L_Ent,L_Data,"&gt;="&amp;$B12,L_Data,"&lt;="&amp;$C12,L_Status,"PROJETADO")</f>
        <v>0</v>
      </c>
      <c r="L12" s="10" t="n">
        <f aca="false">SUMIFS(L_Sai,L_Data,"&gt;="&amp;$B12,L_Data,"&lt;="&amp;$C12,L_Status,"PROJETADO")</f>
        <v>0</v>
      </c>
      <c r="M12" s="10" t="n">
        <f aca="false">$K12-$L12</f>
        <v>0</v>
      </c>
      <c r="N12" s="10" t="n">
        <f aca="false">SUMIFS(L_Ent,L_Data,"&gt;="&amp;$B12,L_Data,"&lt;="&amp;$C12,L_Status,"REALIZADO")-SUMIFS(L_Sai,L_Data,"&gt;="&amp;$B12,L_Data,"&lt;="&amp;$C12,L_Status,"REALIZADO")</f>
        <v>0</v>
      </c>
      <c r="O12" s="10" t="n">
        <f aca="false">$O11+$N12+$M12</f>
        <v>0</v>
      </c>
    </row>
    <row r="13" customFormat="false" ht="15" hidden="false" customHeight="false" outlineLevel="0" collapsed="false">
      <c r="A13" s="43" t="n">
        <f aca="false">YEAR($B13)*100+MONTH($B13)</f>
        <v>202705</v>
      </c>
      <c r="B13" s="44" t="n">
        <f aca="false">EDATE(DATE(YEAR(CFG_HOJE),MONTH(CFG_HOJE),1),8)</f>
        <v>46508</v>
      </c>
      <c r="C13" s="44" t="n">
        <f aca="false">EOMONTH($B13,0)</f>
        <v>46538</v>
      </c>
      <c r="D13" s="10" t="n">
        <f aca="false">SUMIFS(L_VRec,L_Data,"&gt;="&amp;$B13,L_Data,"&lt;="&amp;$C13,L_Status,"PROJETADO")</f>
        <v>0</v>
      </c>
      <c r="E13" s="10" t="n">
        <f aca="false">SUMIFS(L_VRend,L_Data,"&gt;="&amp;$B13,L_Data,"&lt;="&amp;$C13,L_Status,"PROJETADO")</f>
        <v>0</v>
      </c>
      <c r="F13" s="10" t="n">
        <f aca="false">SUMIFS(L_VDesp,L_Data,"&gt;="&amp;$B13,L_Data,"&lt;="&amp;$C13,L_Status,"PROJETADO")</f>
        <v>0</v>
      </c>
      <c r="G13" s="10" t="n">
        <f aca="false">SUMIFS(L_Valor,L_Data,"&gt;="&amp;$B13,L_Data,"&lt;="&amp;$C13,L_Status,"PROJETADO",L_ParcID,"&lt;&gt;")</f>
        <v>0</v>
      </c>
      <c r="H13" s="10" t="n">
        <f aca="false">SUMIFS(L_Valor,L_Data,"&gt;="&amp;$B13,L_Data,"&lt;="&amp;$C13,L_Status,"PROJETADO",L_Tipo,"PAGAMENTO_CARTAO")</f>
        <v>0</v>
      </c>
      <c r="I13" s="10" t="n">
        <f aca="false">SUMIFS(L_Valor,L_Data,"&gt;="&amp;$B13,L_Data,"&lt;="&amp;$C13,L_Status,"PROJETADO",L_Tipo,"APORTE")</f>
        <v>0</v>
      </c>
      <c r="J13" s="10" t="n">
        <f aca="false">SUMIFS(L_Valor,L_Data,"&gt;="&amp;$B13,L_Data,"&lt;="&amp;$C13,L_Status,"PROJETADO",L_Tipo,"RESGATE")</f>
        <v>0</v>
      </c>
      <c r="K13" s="10" t="n">
        <f aca="false">SUMIFS(L_Ent,L_Data,"&gt;="&amp;$B13,L_Data,"&lt;="&amp;$C13,L_Status,"PROJETADO")</f>
        <v>0</v>
      </c>
      <c r="L13" s="10" t="n">
        <f aca="false">SUMIFS(L_Sai,L_Data,"&gt;="&amp;$B13,L_Data,"&lt;="&amp;$C13,L_Status,"PROJETADO")</f>
        <v>0</v>
      </c>
      <c r="M13" s="10" t="n">
        <f aca="false">$K13-$L13</f>
        <v>0</v>
      </c>
      <c r="N13" s="10" t="n">
        <f aca="false">SUMIFS(L_Ent,L_Data,"&gt;="&amp;$B13,L_Data,"&lt;="&amp;$C13,L_Status,"REALIZADO")-SUMIFS(L_Sai,L_Data,"&gt;="&amp;$B13,L_Data,"&lt;="&amp;$C13,L_Status,"REALIZADO")</f>
        <v>0</v>
      </c>
      <c r="O13" s="10" t="n">
        <f aca="false">$O12+$N13+$M13</f>
        <v>0</v>
      </c>
    </row>
    <row r="14" customFormat="false" ht="15" hidden="false" customHeight="false" outlineLevel="0" collapsed="false">
      <c r="A14" s="43" t="n">
        <f aca="false">YEAR($B14)*100+MONTH($B14)</f>
        <v>202706</v>
      </c>
      <c r="B14" s="44" t="n">
        <f aca="false">EDATE(DATE(YEAR(CFG_HOJE),MONTH(CFG_HOJE),1),9)</f>
        <v>46539</v>
      </c>
      <c r="C14" s="44" t="n">
        <f aca="false">EOMONTH($B14,0)</f>
        <v>46568</v>
      </c>
      <c r="D14" s="10" t="n">
        <f aca="false">SUMIFS(L_VRec,L_Data,"&gt;="&amp;$B14,L_Data,"&lt;="&amp;$C14,L_Status,"PROJETADO")</f>
        <v>0</v>
      </c>
      <c r="E14" s="10" t="n">
        <f aca="false">SUMIFS(L_VRend,L_Data,"&gt;="&amp;$B14,L_Data,"&lt;="&amp;$C14,L_Status,"PROJETADO")</f>
        <v>0</v>
      </c>
      <c r="F14" s="10" t="n">
        <f aca="false">SUMIFS(L_VDesp,L_Data,"&gt;="&amp;$B14,L_Data,"&lt;="&amp;$C14,L_Status,"PROJETADO")</f>
        <v>0</v>
      </c>
      <c r="G14" s="10" t="n">
        <f aca="false">SUMIFS(L_Valor,L_Data,"&gt;="&amp;$B14,L_Data,"&lt;="&amp;$C14,L_Status,"PROJETADO",L_ParcID,"&lt;&gt;")</f>
        <v>0</v>
      </c>
      <c r="H14" s="10" t="n">
        <f aca="false">SUMIFS(L_Valor,L_Data,"&gt;="&amp;$B14,L_Data,"&lt;="&amp;$C14,L_Status,"PROJETADO",L_Tipo,"PAGAMENTO_CARTAO")</f>
        <v>0</v>
      </c>
      <c r="I14" s="10" t="n">
        <f aca="false">SUMIFS(L_Valor,L_Data,"&gt;="&amp;$B14,L_Data,"&lt;="&amp;$C14,L_Status,"PROJETADO",L_Tipo,"APORTE")</f>
        <v>0</v>
      </c>
      <c r="J14" s="10" t="n">
        <f aca="false">SUMIFS(L_Valor,L_Data,"&gt;="&amp;$B14,L_Data,"&lt;="&amp;$C14,L_Status,"PROJETADO",L_Tipo,"RESGATE")</f>
        <v>0</v>
      </c>
      <c r="K14" s="10" t="n">
        <f aca="false">SUMIFS(L_Ent,L_Data,"&gt;="&amp;$B14,L_Data,"&lt;="&amp;$C14,L_Status,"PROJETADO")</f>
        <v>0</v>
      </c>
      <c r="L14" s="10" t="n">
        <f aca="false">SUMIFS(L_Sai,L_Data,"&gt;="&amp;$B14,L_Data,"&lt;="&amp;$C14,L_Status,"PROJETADO")</f>
        <v>0</v>
      </c>
      <c r="M14" s="10" t="n">
        <f aca="false">$K14-$L14</f>
        <v>0</v>
      </c>
      <c r="N14" s="10" t="n">
        <f aca="false">SUMIFS(L_Ent,L_Data,"&gt;="&amp;$B14,L_Data,"&lt;="&amp;$C14,L_Status,"REALIZADO")-SUMIFS(L_Sai,L_Data,"&gt;="&amp;$B14,L_Data,"&lt;="&amp;$C14,L_Status,"REALIZADO")</f>
        <v>0</v>
      </c>
      <c r="O14" s="10" t="n">
        <f aca="false">$O13+$N14+$M14</f>
        <v>0</v>
      </c>
    </row>
    <row r="15" customFormat="false" ht="15" hidden="false" customHeight="false" outlineLevel="0" collapsed="false">
      <c r="A15" s="43" t="n">
        <f aca="false">YEAR($B15)*100+MONTH($B15)</f>
        <v>202707</v>
      </c>
      <c r="B15" s="44" t="n">
        <f aca="false">EDATE(DATE(YEAR(CFG_HOJE),MONTH(CFG_HOJE),1),10)</f>
        <v>46569</v>
      </c>
      <c r="C15" s="44" t="n">
        <f aca="false">EOMONTH($B15,0)</f>
        <v>46599</v>
      </c>
      <c r="D15" s="10" t="n">
        <f aca="false">SUMIFS(L_VRec,L_Data,"&gt;="&amp;$B15,L_Data,"&lt;="&amp;$C15,L_Status,"PROJETADO")</f>
        <v>0</v>
      </c>
      <c r="E15" s="10" t="n">
        <f aca="false">SUMIFS(L_VRend,L_Data,"&gt;="&amp;$B15,L_Data,"&lt;="&amp;$C15,L_Status,"PROJETADO")</f>
        <v>0</v>
      </c>
      <c r="F15" s="10" t="n">
        <f aca="false">SUMIFS(L_VDesp,L_Data,"&gt;="&amp;$B15,L_Data,"&lt;="&amp;$C15,L_Status,"PROJETADO")</f>
        <v>0</v>
      </c>
      <c r="G15" s="10" t="n">
        <f aca="false">SUMIFS(L_Valor,L_Data,"&gt;="&amp;$B15,L_Data,"&lt;="&amp;$C15,L_Status,"PROJETADO",L_ParcID,"&lt;&gt;")</f>
        <v>0</v>
      </c>
      <c r="H15" s="10" t="n">
        <f aca="false">SUMIFS(L_Valor,L_Data,"&gt;="&amp;$B15,L_Data,"&lt;="&amp;$C15,L_Status,"PROJETADO",L_Tipo,"PAGAMENTO_CARTAO")</f>
        <v>0</v>
      </c>
      <c r="I15" s="10" t="n">
        <f aca="false">SUMIFS(L_Valor,L_Data,"&gt;="&amp;$B15,L_Data,"&lt;="&amp;$C15,L_Status,"PROJETADO",L_Tipo,"APORTE")</f>
        <v>0</v>
      </c>
      <c r="J15" s="10" t="n">
        <f aca="false">SUMIFS(L_Valor,L_Data,"&gt;="&amp;$B15,L_Data,"&lt;="&amp;$C15,L_Status,"PROJETADO",L_Tipo,"RESGATE")</f>
        <v>0</v>
      </c>
      <c r="K15" s="10" t="n">
        <f aca="false">SUMIFS(L_Ent,L_Data,"&gt;="&amp;$B15,L_Data,"&lt;="&amp;$C15,L_Status,"PROJETADO")</f>
        <v>0</v>
      </c>
      <c r="L15" s="10" t="n">
        <f aca="false">SUMIFS(L_Sai,L_Data,"&gt;="&amp;$B15,L_Data,"&lt;="&amp;$C15,L_Status,"PROJETADO")</f>
        <v>0</v>
      </c>
      <c r="M15" s="10" t="n">
        <f aca="false">$K15-$L15</f>
        <v>0</v>
      </c>
      <c r="N15" s="10" t="n">
        <f aca="false">SUMIFS(L_Ent,L_Data,"&gt;="&amp;$B15,L_Data,"&lt;="&amp;$C15,L_Status,"REALIZADO")-SUMIFS(L_Sai,L_Data,"&gt;="&amp;$B15,L_Data,"&lt;="&amp;$C15,L_Status,"REALIZADO")</f>
        <v>0</v>
      </c>
      <c r="O15" s="10" t="n">
        <f aca="false">$O14+$N15+$M15</f>
        <v>0</v>
      </c>
    </row>
    <row r="16" customFormat="false" ht="15" hidden="false" customHeight="false" outlineLevel="0" collapsed="false">
      <c r="A16" s="43" t="n">
        <f aca="false">YEAR($B16)*100+MONTH($B16)</f>
        <v>202708</v>
      </c>
      <c r="B16" s="44" t="n">
        <f aca="false">EDATE(DATE(YEAR(CFG_HOJE),MONTH(CFG_HOJE),1),11)</f>
        <v>46600</v>
      </c>
      <c r="C16" s="44" t="n">
        <f aca="false">EOMONTH($B16,0)</f>
        <v>46630</v>
      </c>
      <c r="D16" s="10" t="n">
        <f aca="false">SUMIFS(L_VRec,L_Data,"&gt;="&amp;$B16,L_Data,"&lt;="&amp;$C16,L_Status,"PROJETADO")</f>
        <v>0</v>
      </c>
      <c r="E16" s="10" t="n">
        <f aca="false">SUMIFS(L_VRend,L_Data,"&gt;="&amp;$B16,L_Data,"&lt;="&amp;$C16,L_Status,"PROJETADO")</f>
        <v>0</v>
      </c>
      <c r="F16" s="10" t="n">
        <f aca="false">SUMIFS(L_VDesp,L_Data,"&gt;="&amp;$B16,L_Data,"&lt;="&amp;$C16,L_Status,"PROJETADO")</f>
        <v>0</v>
      </c>
      <c r="G16" s="10" t="n">
        <f aca="false">SUMIFS(L_Valor,L_Data,"&gt;="&amp;$B16,L_Data,"&lt;="&amp;$C16,L_Status,"PROJETADO",L_ParcID,"&lt;&gt;")</f>
        <v>0</v>
      </c>
      <c r="H16" s="10" t="n">
        <f aca="false">SUMIFS(L_Valor,L_Data,"&gt;="&amp;$B16,L_Data,"&lt;="&amp;$C16,L_Status,"PROJETADO",L_Tipo,"PAGAMENTO_CARTAO")</f>
        <v>0</v>
      </c>
      <c r="I16" s="10" t="n">
        <f aca="false">SUMIFS(L_Valor,L_Data,"&gt;="&amp;$B16,L_Data,"&lt;="&amp;$C16,L_Status,"PROJETADO",L_Tipo,"APORTE")</f>
        <v>0</v>
      </c>
      <c r="J16" s="10" t="n">
        <f aca="false">SUMIFS(L_Valor,L_Data,"&gt;="&amp;$B16,L_Data,"&lt;="&amp;$C16,L_Status,"PROJETADO",L_Tipo,"RESGATE")</f>
        <v>0</v>
      </c>
      <c r="K16" s="10" t="n">
        <f aca="false">SUMIFS(L_Ent,L_Data,"&gt;="&amp;$B16,L_Data,"&lt;="&amp;$C16,L_Status,"PROJETADO")</f>
        <v>0</v>
      </c>
      <c r="L16" s="10" t="n">
        <f aca="false">SUMIFS(L_Sai,L_Data,"&gt;="&amp;$B16,L_Data,"&lt;="&amp;$C16,L_Status,"PROJETADO")</f>
        <v>0</v>
      </c>
      <c r="M16" s="10" t="n">
        <f aca="false">$K16-$L16</f>
        <v>0</v>
      </c>
      <c r="N16" s="10" t="n">
        <f aca="false">SUMIFS(L_Ent,L_Data,"&gt;="&amp;$B16,L_Data,"&lt;="&amp;$C16,L_Status,"REALIZADO")-SUMIFS(L_Sai,L_Data,"&gt;="&amp;$B16,L_Data,"&lt;="&amp;$C16,L_Status,"REALIZADO")</f>
        <v>0</v>
      </c>
      <c r="O16" s="10" t="n">
        <f aca="false">$O15+$N16+$M16</f>
        <v>0</v>
      </c>
    </row>
    <row r="17" customFormat="false" ht="15" hidden="false" customHeight="false" outlineLevel="0" collapsed="false">
      <c r="A17" s="43" t="n">
        <f aca="false">YEAR($B17)*100+MONTH($B17)</f>
        <v>202709</v>
      </c>
      <c r="B17" s="44" t="n">
        <f aca="false">EDATE(DATE(YEAR(CFG_HOJE),MONTH(CFG_HOJE),1),12)</f>
        <v>46631</v>
      </c>
      <c r="C17" s="44" t="n">
        <f aca="false">EOMONTH($B17,0)</f>
        <v>46660</v>
      </c>
      <c r="D17" s="10" t="n">
        <f aca="false">SUMIFS(L_VRec,L_Data,"&gt;="&amp;$B17,L_Data,"&lt;="&amp;$C17,L_Status,"PROJETADO")</f>
        <v>0</v>
      </c>
      <c r="E17" s="10" t="n">
        <f aca="false">SUMIFS(L_VRend,L_Data,"&gt;="&amp;$B17,L_Data,"&lt;="&amp;$C17,L_Status,"PROJETADO")</f>
        <v>0</v>
      </c>
      <c r="F17" s="10" t="n">
        <f aca="false">SUMIFS(L_VDesp,L_Data,"&gt;="&amp;$B17,L_Data,"&lt;="&amp;$C17,L_Status,"PROJETADO")</f>
        <v>0</v>
      </c>
      <c r="G17" s="10" t="n">
        <f aca="false">SUMIFS(L_Valor,L_Data,"&gt;="&amp;$B17,L_Data,"&lt;="&amp;$C17,L_Status,"PROJETADO",L_ParcID,"&lt;&gt;")</f>
        <v>0</v>
      </c>
      <c r="H17" s="10" t="n">
        <f aca="false">SUMIFS(L_Valor,L_Data,"&gt;="&amp;$B17,L_Data,"&lt;="&amp;$C17,L_Status,"PROJETADO",L_Tipo,"PAGAMENTO_CARTAO")</f>
        <v>0</v>
      </c>
      <c r="I17" s="10" t="n">
        <f aca="false">SUMIFS(L_Valor,L_Data,"&gt;="&amp;$B17,L_Data,"&lt;="&amp;$C17,L_Status,"PROJETADO",L_Tipo,"APORTE")</f>
        <v>0</v>
      </c>
      <c r="J17" s="10" t="n">
        <f aca="false">SUMIFS(L_Valor,L_Data,"&gt;="&amp;$B17,L_Data,"&lt;="&amp;$C17,L_Status,"PROJETADO",L_Tipo,"RESGATE")</f>
        <v>0</v>
      </c>
      <c r="K17" s="10" t="n">
        <f aca="false">SUMIFS(L_Ent,L_Data,"&gt;="&amp;$B17,L_Data,"&lt;="&amp;$C17,L_Status,"PROJETADO")</f>
        <v>0</v>
      </c>
      <c r="L17" s="10" t="n">
        <f aca="false">SUMIFS(L_Sai,L_Data,"&gt;="&amp;$B17,L_Data,"&lt;="&amp;$C17,L_Status,"PROJETADO")</f>
        <v>0</v>
      </c>
      <c r="M17" s="10" t="n">
        <f aca="false">$K17-$L17</f>
        <v>0</v>
      </c>
      <c r="N17" s="10" t="n">
        <f aca="false">SUMIFS(L_Ent,L_Data,"&gt;="&amp;$B17,L_Data,"&lt;="&amp;$C17,L_Status,"REALIZADO")-SUMIFS(L_Sai,L_Data,"&gt;="&amp;$B17,L_Data,"&lt;="&amp;$C17,L_Status,"REALIZADO")</f>
        <v>0</v>
      </c>
      <c r="O17" s="10" t="n">
        <f aca="false">$O16+$N17+$M17</f>
        <v>0</v>
      </c>
    </row>
    <row r="18" customFormat="false" ht="15" hidden="false" customHeight="false" outlineLevel="0" collapsed="false">
      <c r="A18" s="43" t="n">
        <f aca="false">YEAR($B18)*100+MONTH($B18)</f>
        <v>202710</v>
      </c>
      <c r="B18" s="44" t="n">
        <f aca="false">EDATE(DATE(YEAR(CFG_HOJE),MONTH(CFG_HOJE),1),13)</f>
        <v>46661</v>
      </c>
      <c r="C18" s="44" t="n">
        <f aca="false">EOMONTH($B18,0)</f>
        <v>46691</v>
      </c>
      <c r="D18" s="10" t="n">
        <f aca="false">SUMIFS(L_VRec,L_Data,"&gt;="&amp;$B18,L_Data,"&lt;="&amp;$C18,L_Status,"PROJETADO")</f>
        <v>0</v>
      </c>
      <c r="E18" s="10" t="n">
        <f aca="false">SUMIFS(L_VRend,L_Data,"&gt;="&amp;$B18,L_Data,"&lt;="&amp;$C18,L_Status,"PROJETADO")</f>
        <v>0</v>
      </c>
      <c r="F18" s="10" t="n">
        <f aca="false">SUMIFS(L_VDesp,L_Data,"&gt;="&amp;$B18,L_Data,"&lt;="&amp;$C18,L_Status,"PROJETADO")</f>
        <v>0</v>
      </c>
      <c r="G18" s="10" t="n">
        <f aca="false">SUMIFS(L_Valor,L_Data,"&gt;="&amp;$B18,L_Data,"&lt;="&amp;$C18,L_Status,"PROJETADO",L_ParcID,"&lt;&gt;")</f>
        <v>0</v>
      </c>
      <c r="H18" s="10" t="n">
        <f aca="false">SUMIFS(L_Valor,L_Data,"&gt;="&amp;$B18,L_Data,"&lt;="&amp;$C18,L_Status,"PROJETADO",L_Tipo,"PAGAMENTO_CARTAO")</f>
        <v>0</v>
      </c>
      <c r="I18" s="10" t="n">
        <f aca="false">SUMIFS(L_Valor,L_Data,"&gt;="&amp;$B18,L_Data,"&lt;="&amp;$C18,L_Status,"PROJETADO",L_Tipo,"APORTE")</f>
        <v>0</v>
      </c>
      <c r="J18" s="10" t="n">
        <f aca="false">SUMIFS(L_Valor,L_Data,"&gt;="&amp;$B18,L_Data,"&lt;="&amp;$C18,L_Status,"PROJETADO",L_Tipo,"RESGATE")</f>
        <v>0</v>
      </c>
      <c r="K18" s="10" t="n">
        <f aca="false">SUMIFS(L_Ent,L_Data,"&gt;="&amp;$B18,L_Data,"&lt;="&amp;$C18,L_Status,"PROJETADO")</f>
        <v>0</v>
      </c>
      <c r="L18" s="10" t="n">
        <f aca="false">SUMIFS(L_Sai,L_Data,"&gt;="&amp;$B18,L_Data,"&lt;="&amp;$C18,L_Status,"PROJETADO")</f>
        <v>0</v>
      </c>
      <c r="M18" s="10" t="n">
        <f aca="false">$K18-$L18</f>
        <v>0</v>
      </c>
      <c r="N18" s="10" t="n">
        <f aca="false">SUMIFS(L_Ent,L_Data,"&gt;="&amp;$B18,L_Data,"&lt;="&amp;$C18,L_Status,"REALIZADO")-SUMIFS(L_Sai,L_Data,"&gt;="&amp;$B18,L_Data,"&lt;="&amp;$C18,L_Status,"REALIZADO")</f>
        <v>0</v>
      </c>
      <c r="O18" s="10" t="n">
        <f aca="false">$O17+$N18+$M18</f>
        <v>0</v>
      </c>
    </row>
    <row r="19" customFormat="false" ht="15" hidden="false" customHeight="false" outlineLevel="0" collapsed="false">
      <c r="A19" s="43" t="n">
        <f aca="false">YEAR($B19)*100+MONTH($B19)</f>
        <v>202711</v>
      </c>
      <c r="B19" s="44" t="n">
        <f aca="false">EDATE(DATE(YEAR(CFG_HOJE),MONTH(CFG_HOJE),1),14)</f>
        <v>46692</v>
      </c>
      <c r="C19" s="44" t="n">
        <f aca="false">EOMONTH($B19,0)</f>
        <v>46721</v>
      </c>
      <c r="D19" s="10" t="n">
        <f aca="false">SUMIFS(L_VRec,L_Data,"&gt;="&amp;$B19,L_Data,"&lt;="&amp;$C19,L_Status,"PROJETADO")</f>
        <v>0</v>
      </c>
      <c r="E19" s="10" t="n">
        <f aca="false">SUMIFS(L_VRend,L_Data,"&gt;="&amp;$B19,L_Data,"&lt;="&amp;$C19,L_Status,"PROJETADO")</f>
        <v>0</v>
      </c>
      <c r="F19" s="10" t="n">
        <f aca="false">SUMIFS(L_VDesp,L_Data,"&gt;="&amp;$B19,L_Data,"&lt;="&amp;$C19,L_Status,"PROJETADO")</f>
        <v>0</v>
      </c>
      <c r="G19" s="10" t="n">
        <f aca="false">SUMIFS(L_Valor,L_Data,"&gt;="&amp;$B19,L_Data,"&lt;="&amp;$C19,L_Status,"PROJETADO",L_ParcID,"&lt;&gt;")</f>
        <v>0</v>
      </c>
      <c r="H19" s="10" t="n">
        <f aca="false">SUMIFS(L_Valor,L_Data,"&gt;="&amp;$B19,L_Data,"&lt;="&amp;$C19,L_Status,"PROJETADO",L_Tipo,"PAGAMENTO_CARTAO")</f>
        <v>0</v>
      </c>
      <c r="I19" s="10" t="n">
        <f aca="false">SUMIFS(L_Valor,L_Data,"&gt;="&amp;$B19,L_Data,"&lt;="&amp;$C19,L_Status,"PROJETADO",L_Tipo,"APORTE")</f>
        <v>0</v>
      </c>
      <c r="J19" s="10" t="n">
        <f aca="false">SUMIFS(L_Valor,L_Data,"&gt;="&amp;$B19,L_Data,"&lt;="&amp;$C19,L_Status,"PROJETADO",L_Tipo,"RESGATE")</f>
        <v>0</v>
      </c>
      <c r="K19" s="10" t="n">
        <f aca="false">SUMIFS(L_Ent,L_Data,"&gt;="&amp;$B19,L_Data,"&lt;="&amp;$C19,L_Status,"PROJETADO")</f>
        <v>0</v>
      </c>
      <c r="L19" s="10" t="n">
        <f aca="false">SUMIFS(L_Sai,L_Data,"&gt;="&amp;$B19,L_Data,"&lt;="&amp;$C19,L_Status,"PROJETADO")</f>
        <v>0</v>
      </c>
      <c r="M19" s="10" t="n">
        <f aca="false">$K19-$L19</f>
        <v>0</v>
      </c>
      <c r="N19" s="10" t="n">
        <f aca="false">SUMIFS(L_Ent,L_Data,"&gt;="&amp;$B19,L_Data,"&lt;="&amp;$C19,L_Status,"REALIZADO")-SUMIFS(L_Sai,L_Data,"&gt;="&amp;$B19,L_Data,"&lt;="&amp;$C19,L_Status,"REALIZADO")</f>
        <v>0</v>
      </c>
      <c r="O19" s="10" t="n">
        <f aca="false">$O18+$N19+$M19</f>
        <v>0</v>
      </c>
    </row>
    <row r="20" customFormat="false" ht="15" hidden="false" customHeight="false" outlineLevel="0" collapsed="false">
      <c r="A20" s="43" t="n">
        <f aca="false">YEAR($B20)*100+MONTH($B20)</f>
        <v>202712</v>
      </c>
      <c r="B20" s="44" t="n">
        <f aca="false">EDATE(DATE(YEAR(CFG_HOJE),MONTH(CFG_HOJE),1),15)</f>
        <v>46722</v>
      </c>
      <c r="C20" s="44" t="n">
        <f aca="false">EOMONTH($B20,0)</f>
        <v>46752</v>
      </c>
      <c r="D20" s="10" t="n">
        <f aca="false">SUMIFS(L_VRec,L_Data,"&gt;="&amp;$B20,L_Data,"&lt;="&amp;$C20,L_Status,"PROJETADO")</f>
        <v>0</v>
      </c>
      <c r="E20" s="10" t="n">
        <f aca="false">SUMIFS(L_VRend,L_Data,"&gt;="&amp;$B20,L_Data,"&lt;="&amp;$C20,L_Status,"PROJETADO")</f>
        <v>0</v>
      </c>
      <c r="F20" s="10" t="n">
        <f aca="false">SUMIFS(L_VDesp,L_Data,"&gt;="&amp;$B20,L_Data,"&lt;="&amp;$C20,L_Status,"PROJETADO")</f>
        <v>0</v>
      </c>
      <c r="G20" s="10" t="n">
        <f aca="false">SUMIFS(L_Valor,L_Data,"&gt;="&amp;$B20,L_Data,"&lt;="&amp;$C20,L_Status,"PROJETADO",L_ParcID,"&lt;&gt;")</f>
        <v>0</v>
      </c>
      <c r="H20" s="10" t="n">
        <f aca="false">SUMIFS(L_Valor,L_Data,"&gt;="&amp;$B20,L_Data,"&lt;="&amp;$C20,L_Status,"PROJETADO",L_Tipo,"PAGAMENTO_CARTAO")</f>
        <v>0</v>
      </c>
      <c r="I20" s="10" t="n">
        <f aca="false">SUMIFS(L_Valor,L_Data,"&gt;="&amp;$B20,L_Data,"&lt;="&amp;$C20,L_Status,"PROJETADO",L_Tipo,"APORTE")</f>
        <v>0</v>
      </c>
      <c r="J20" s="10" t="n">
        <f aca="false">SUMIFS(L_Valor,L_Data,"&gt;="&amp;$B20,L_Data,"&lt;="&amp;$C20,L_Status,"PROJETADO",L_Tipo,"RESGATE")</f>
        <v>0</v>
      </c>
      <c r="K20" s="10" t="n">
        <f aca="false">SUMIFS(L_Ent,L_Data,"&gt;="&amp;$B20,L_Data,"&lt;="&amp;$C20,L_Status,"PROJETADO")</f>
        <v>0</v>
      </c>
      <c r="L20" s="10" t="n">
        <f aca="false">SUMIFS(L_Sai,L_Data,"&gt;="&amp;$B20,L_Data,"&lt;="&amp;$C20,L_Status,"PROJETADO")</f>
        <v>0</v>
      </c>
      <c r="M20" s="10" t="n">
        <f aca="false">$K20-$L20</f>
        <v>0</v>
      </c>
      <c r="N20" s="10" t="n">
        <f aca="false">SUMIFS(L_Ent,L_Data,"&gt;="&amp;$B20,L_Data,"&lt;="&amp;$C20,L_Status,"REALIZADO")-SUMIFS(L_Sai,L_Data,"&gt;="&amp;$B20,L_Data,"&lt;="&amp;$C20,L_Status,"REALIZADO")</f>
        <v>0</v>
      </c>
      <c r="O20" s="10" t="n">
        <f aca="false">$O19+$N20+$M20</f>
        <v>0</v>
      </c>
    </row>
    <row r="21" customFormat="false" ht="15" hidden="false" customHeight="false" outlineLevel="0" collapsed="false">
      <c r="A21" s="43" t="n">
        <f aca="false">YEAR($B21)*100+MONTH($B21)</f>
        <v>202801</v>
      </c>
      <c r="B21" s="44" t="n">
        <f aca="false">EDATE(DATE(YEAR(CFG_HOJE),MONTH(CFG_HOJE),1),16)</f>
        <v>46753</v>
      </c>
      <c r="C21" s="44" t="n">
        <f aca="false">EOMONTH($B21,0)</f>
        <v>46783</v>
      </c>
      <c r="D21" s="10" t="n">
        <f aca="false">SUMIFS(L_VRec,L_Data,"&gt;="&amp;$B21,L_Data,"&lt;="&amp;$C21,L_Status,"PROJETADO")</f>
        <v>0</v>
      </c>
      <c r="E21" s="10" t="n">
        <f aca="false">SUMIFS(L_VRend,L_Data,"&gt;="&amp;$B21,L_Data,"&lt;="&amp;$C21,L_Status,"PROJETADO")</f>
        <v>0</v>
      </c>
      <c r="F21" s="10" t="n">
        <f aca="false">SUMIFS(L_VDesp,L_Data,"&gt;="&amp;$B21,L_Data,"&lt;="&amp;$C21,L_Status,"PROJETADO")</f>
        <v>0</v>
      </c>
      <c r="G21" s="10" t="n">
        <f aca="false">SUMIFS(L_Valor,L_Data,"&gt;="&amp;$B21,L_Data,"&lt;="&amp;$C21,L_Status,"PROJETADO",L_ParcID,"&lt;&gt;")</f>
        <v>0</v>
      </c>
      <c r="H21" s="10" t="n">
        <f aca="false">SUMIFS(L_Valor,L_Data,"&gt;="&amp;$B21,L_Data,"&lt;="&amp;$C21,L_Status,"PROJETADO",L_Tipo,"PAGAMENTO_CARTAO")</f>
        <v>0</v>
      </c>
      <c r="I21" s="10" t="n">
        <f aca="false">SUMIFS(L_Valor,L_Data,"&gt;="&amp;$B21,L_Data,"&lt;="&amp;$C21,L_Status,"PROJETADO",L_Tipo,"APORTE")</f>
        <v>0</v>
      </c>
      <c r="J21" s="10" t="n">
        <f aca="false">SUMIFS(L_Valor,L_Data,"&gt;="&amp;$B21,L_Data,"&lt;="&amp;$C21,L_Status,"PROJETADO",L_Tipo,"RESGATE")</f>
        <v>0</v>
      </c>
      <c r="K21" s="10" t="n">
        <f aca="false">SUMIFS(L_Ent,L_Data,"&gt;="&amp;$B21,L_Data,"&lt;="&amp;$C21,L_Status,"PROJETADO")</f>
        <v>0</v>
      </c>
      <c r="L21" s="10" t="n">
        <f aca="false">SUMIFS(L_Sai,L_Data,"&gt;="&amp;$B21,L_Data,"&lt;="&amp;$C21,L_Status,"PROJETADO")</f>
        <v>0</v>
      </c>
      <c r="M21" s="10" t="n">
        <f aca="false">$K21-$L21</f>
        <v>0</v>
      </c>
      <c r="N21" s="10" t="n">
        <f aca="false">SUMIFS(L_Ent,L_Data,"&gt;="&amp;$B21,L_Data,"&lt;="&amp;$C21,L_Status,"REALIZADO")-SUMIFS(L_Sai,L_Data,"&gt;="&amp;$B21,L_Data,"&lt;="&amp;$C21,L_Status,"REALIZADO")</f>
        <v>0</v>
      </c>
      <c r="O21" s="10" t="n">
        <f aca="false">$O20+$N21+$M21</f>
        <v>0</v>
      </c>
    </row>
    <row r="22" customFormat="false" ht="15" hidden="false" customHeight="false" outlineLevel="0" collapsed="false">
      <c r="A22" s="43" t="n">
        <f aca="false">YEAR($B22)*100+MONTH($B22)</f>
        <v>202802</v>
      </c>
      <c r="B22" s="44" t="n">
        <f aca="false">EDATE(DATE(YEAR(CFG_HOJE),MONTH(CFG_HOJE),1),17)</f>
        <v>46784</v>
      </c>
      <c r="C22" s="44" t="n">
        <f aca="false">EOMONTH($B22,0)</f>
        <v>46812</v>
      </c>
      <c r="D22" s="10" t="n">
        <f aca="false">SUMIFS(L_VRec,L_Data,"&gt;="&amp;$B22,L_Data,"&lt;="&amp;$C22,L_Status,"PROJETADO")</f>
        <v>0</v>
      </c>
      <c r="E22" s="10" t="n">
        <f aca="false">SUMIFS(L_VRend,L_Data,"&gt;="&amp;$B22,L_Data,"&lt;="&amp;$C22,L_Status,"PROJETADO")</f>
        <v>0</v>
      </c>
      <c r="F22" s="10" t="n">
        <f aca="false">SUMIFS(L_VDesp,L_Data,"&gt;="&amp;$B22,L_Data,"&lt;="&amp;$C22,L_Status,"PROJETADO")</f>
        <v>0</v>
      </c>
      <c r="G22" s="10" t="n">
        <f aca="false">SUMIFS(L_Valor,L_Data,"&gt;="&amp;$B22,L_Data,"&lt;="&amp;$C22,L_Status,"PROJETADO",L_ParcID,"&lt;&gt;")</f>
        <v>0</v>
      </c>
      <c r="H22" s="10" t="n">
        <f aca="false">SUMIFS(L_Valor,L_Data,"&gt;="&amp;$B22,L_Data,"&lt;="&amp;$C22,L_Status,"PROJETADO",L_Tipo,"PAGAMENTO_CARTAO")</f>
        <v>0</v>
      </c>
      <c r="I22" s="10" t="n">
        <f aca="false">SUMIFS(L_Valor,L_Data,"&gt;="&amp;$B22,L_Data,"&lt;="&amp;$C22,L_Status,"PROJETADO",L_Tipo,"APORTE")</f>
        <v>0</v>
      </c>
      <c r="J22" s="10" t="n">
        <f aca="false">SUMIFS(L_Valor,L_Data,"&gt;="&amp;$B22,L_Data,"&lt;="&amp;$C22,L_Status,"PROJETADO",L_Tipo,"RESGATE")</f>
        <v>0</v>
      </c>
      <c r="K22" s="10" t="n">
        <f aca="false">SUMIFS(L_Ent,L_Data,"&gt;="&amp;$B22,L_Data,"&lt;="&amp;$C22,L_Status,"PROJETADO")</f>
        <v>0</v>
      </c>
      <c r="L22" s="10" t="n">
        <f aca="false">SUMIFS(L_Sai,L_Data,"&gt;="&amp;$B22,L_Data,"&lt;="&amp;$C22,L_Status,"PROJETADO")</f>
        <v>0</v>
      </c>
      <c r="M22" s="10" t="n">
        <f aca="false">$K22-$L22</f>
        <v>0</v>
      </c>
      <c r="N22" s="10" t="n">
        <f aca="false">SUMIFS(L_Ent,L_Data,"&gt;="&amp;$B22,L_Data,"&lt;="&amp;$C22,L_Status,"REALIZADO")-SUMIFS(L_Sai,L_Data,"&gt;="&amp;$B22,L_Data,"&lt;="&amp;$C22,L_Status,"REALIZADO")</f>
        <v>0</v>
      </c>
      <c r="O22" s="10" t="n">
        <f aca="false">$O21+$N22+$M22</f>
        <v>0</v>
      </c>
    </row>
    <row r="23" customFormat="false" ht="15" hidden="false" customHeight="false" outlineLevel="0" collapsed="false">
      <c r="A23" s="43" t="n">
        <f aca="false">YEAR($B23)*100+MONTH($B23)</f>
        <v>202803</v>
      </c>
      <c r="B23" s="44" t="n">
        <f aca="false">EDATE(DATE(YEAR(CFG_HOJE),MONTH(CFG_HOJE),1),18)</f>
        <v>46813</v>
      </c>
      <c r="C23" s="44" t="n">
        <f aca="false">EOMONTH($B23,0)</f>
        <v>46843</v>
      </c>
      <c r="D23" s="10" t="n">
        <f aca="false">SUMIFS(L_VRec,L_Data,"&gt;="&amp;$B23,L_Data,"&lt;="&amp;$C23,L_Status,"PROJETADO")</f>
        <v>0</v>
      </c>
      <c r="E23" s="10" t="n">
        <f aca="false">SUMIFS(L_VRend,L_Data,"&gt;="&amp;$B23,L_Data,"&lt;="&amp;$C23,L_Status,"PROJETADO")</f>
        <v>0</v>
      </c>
      <c r="F23" s="10" t="n">
        <f aca="false">SUMIFS(L_VDesp,L_Data,"&gt;="&amp;$B23,L_Data,"&lt;="&amp;$C23,L_Status,"PROJETADO")</f>
        <v>0</v>
      </c>
      <c r="G23" s="10" t="n">
        <f aca="false">SUMIFS(L_Valor,L_Data,"&gt;="&amp;$B23,L_Data,"&lt;="&amp;$C23,L_Status,"PROJETADO",L_ParcID,"&lt;&gt;")</f>
        <v>0</v>
      </c>
      <c r="H23" s="10" t="n">
        <f aca="false">SUMIFS(L_Valor,L_Data,"&gt;="&amp;$B23,L_Data,"&lt;="&amp;$C23,L_Status,"PROJETADO",L_Tipo,"PAGAMENTO_CARTAO")</f>
        <v>0</v>
      </c>
      <c r="I23" s="10" t="n">
        <f aca="false">SUMIFS(L_Valor,L_Data,"&gt;="&amp;$B23,L_Data,"&lt;="&amp;$C23,L_Status,"PROJETADO",L_Tipo,"APORTE")</f>
        <v>0</v>
      </c>
      <c r="J23" s="10" t="n">
        <f aca="false">SUMIFS(L_Valor,L_Data,"&gt;="&amp;$B23,L_Data,"&lt;="&amp;$C23,L_Status,"PROJETADO",L_Tipo,"RESGATE")</f>
        <v>0</v>
      </c>
      <c r="K23" s="10" t="n">
        <f aca="false">SUMIFS(L_Ent,L_Data,"&gt;="&amp;$B23,L_Data,"&lt;="&amp;$C23,L_Status,"PROJETADO")</f>
        <v>0</v>
      </c>
      <c r="L23" s="10" t="n">
        <f aca="false">SUMIFS(L_Sai,L_Data,"&gt;="&amp;$B23,L_Data,"&lt;="&amp;$C23,L_Status,"PROJETADO")</f>
        <v>0</v>
      </c>
      <c r="M23" s="10" t="n">
        <f aca="false">$K23-$L23</f>
        <v>0</v>
      </c>
      <c r="N23" s="10" t="n">
        <f aca="false">SUMIFS(L_Ent,L_Data,"&gt;="&amp;$B23,L_Data,"&lt;="&amp;$C23,L_Status,"REALIZADO")-SUMIFS(L_Sai,L_Data,"&gt;="&amp;$B23,L_Data,"&lt;="&amp;$C23,L_Status,"REALIZADO")</f>
        <v>0</v>
      </c>
      <c r="O23" s="10" t="n">
        <f aca="false">$O22+$N23+$M23</f>
        <v>0</v>
      </c>
    </row>
    <row r="24" customFormat="false" ht="15" hidden="false" customHeight="false" outlineLevel="0" collapsed="false">
      <c r="A24" s="43" t="n">
        <f aca="false">YEAR($B24)*100+MONTH($B24)</f>
        <v>202804</v>
      </c>
      <c r="B24" s="44" t="n">
        <f aca="false">EDATE(DATE(YEAR(CFG_HOJE),MONTH(CFG_HOJE),1),19)</f>
        <v>46844</v>
      </c>
      <c r="C24" s="44" t="n">
        <f aca="false">EOMONTH($B24,0)</f>
        <v>46873</v>
      </c>
      <c r="D24" s="10" t="n">
        <f aca="false">SUMIFS(L_VRec,L_Data,"&gt;="&amp;$B24,L_Data,"&lt;="&amp;$C24,L_Status,"PROJETADO")</f>
        <v>0</v>
      </c>
      <c r="E24" s="10" t="n">
        <f aca="false">SUMIFS(L_VRend,L_Data,"&gt;="&amp;$B24,L_Data,"&lt;="&amp;$C24,L_Status,"PROJETADO")</f>
        <v>0</v>
      </c>
      <c r="F24" s="10" t="n">
        <f aca="false">SUMIFS(L_VDesp,L_Data,"&gt;="&amp;$B24,L_Data,"&lt;="&amp;$C24,L_Status,"PROJETADO")</f>
        <v>0</v>
      </c>
      <c r="G24" s="10" t="n">
        <f aca="false">SUMIFS(L_Valor,L_Data,"&gt;="&amp;$B24,L_Data,"&lt;="&amp;$C24,L_Status,"PROJETADO",L_ParcID,"&lt;&gt;")</f>
        <v>0</v>
      </c>
      <c r="H24" s="10" t="n">
        <f aca="false">SUMIFS(L_Valor,L_Data,"&gt;="&amp;$B24,L_Data,"&lt;="&amp;$C24,L_Status,"PROJETADO",L_Tipo,"PAGAMENTO_CARTAO")</f>
        <v>0</v>
      </c>
      <c r="I24" s="10" t="n">
        <f aca="false">SUMIFS(L_Valor,L_Data,"&gt;="&amp;$B24,L_Data,"&lt;="&amp;$C24,L_Status,"PROJETADO",L_Tipo,"APORTE")</f>
        <v>0</v>
      </c>
      <c r="J24" s="10" t="n">
        <f aca="false">SUMIFS(L_Valor,L_Data,"&gt;="&amp;$B24,L_Data,"&lt;="&amp;$C24,L_Status,"PROJETADO",L_Tipo,"RESGATE")</f>
        <v>0</v>
      </c>
      <c r="K24" s="10" t="n">
        <f aca="false">SUMIFS(L_Ent,L_Data,"&gt;="&amp;$B24,L_Data,"&lt;="&amp;$C24,L_Status,"PROJETADO")</f>
        <v>0</v>
      </c>
      <c r="L24" s="10" t="n">
        <f aca="false">SUMIFS(L_Sai,L_Data,"&gt;="&amp;$B24,L_Data,"&lt;="&amp;$C24,L_Status,"PROJETADO")</f>
        <v>0</v>
      </c>
      <c r="M24" s="10" t="n">
        <f aca="false">$K24-$L24</f>
        <v>0</v>
      </c>
      <c r="N24" s="10" t="n">
        <f aca="false">SUMIFS(L_Ent,L_Data,"&gt;="&amp;$B24,L_Data,"&lt;="&amp;$C24,L_Status,"REALIZADO")-SUMIFS(L_Sai,L_Data,"&gt;="&amp;$B24,L_Data,"&lt;="&amp;$C24,L_Status,"REALIZADO")</f>
        <v>0</v>
      </c>
      <c r="O24" s="10" t="n">
        <f aca="false">$O23+$N24+$M24</f>
        <v>0</v>
      </c>
    </row>
    <row r="25" customFormat="false" ht="15" hidden="false" customHeight="false" outlineLevel="0" collapsed="false">
      <c r="A25" s="43" t="n">
        <f aca="false">YEAR($B25)*100+MONTH($B25)</f>
        <v>202805</v>
      </c>
      <c r="B25" s="44" t="n">
        <f aca="false">EDATE(DATE(YEAR(CFG_HOJE),MONTH(CFG_HOJE),1),20)</f>
        <v>46874</v>
      </c>
      <c r="C25" s="44" t="n">
        <f aca="false">EOMONTH($B25,0)</f>
        <v>46904</v>
      </c>
      <c r="D25" s="10" t="n">
        <f aca="false">SUMIFS(L_VRec,L_Data,"&gt;="&amp;$B25,L_Data,"&lt;="&amp;$C25,L_Status,"PROJETADO")</f>
        <v>0</v>
      </c>
      <c r="E25" s="10" t="n">
        <f aca="false">SUMIFS(L_VRend,L_Data,"&gt;="&amp;$B25,L_Data,"&lt;="&amp;$C25,L_Status,"PROJETADO")</f>
        <v>0</v>
      </c>
      <c r="F25" s="10" t="n">
        <f aca="false">SUMIFS(L_VDesp,L_Data,"&gt;="&amp;$B25,L_Data,"&lt;="&amp;$C25,L_Status,"PROJETADO")</f>
        <v>0</v>
      </c>
      <c r="G25" s="10" t="n">
        <f aca="false">SUMIFS(L_Valor,L_Data,"&gt;="&amp;$B25,L_Data,"&lt;="&amp;$C25,L_Status,"PROJETADO",L_ParcID,"&lt;&gt;")</f>
        <v>0</v>
      </c>
      <c r="H25" s="10" t="n">
        <f aca="false">SUMIFS(L_Valor,L_Data,"&gt;="&amp;$B25,L_Data,"&lt;="&amp;$C25,L_Status,"PROJETADO",L_Tipo,"PAGAMENTO_CARTAO")</f>
        <v>0</v>
      </c>
      <c r="I25" s="10" t="n">
        <f aca="false">SUMIFS(L_Valor,L_Data,"&gt;="&amp;$B25,L_Data,"&lt;="&amp;$C25,L_Status,"PROJETADO",L_Tipo,"APORTE")</f>
        <v>0</v>
      </c>
      <c r="J25" s="10" t="n">
        <f aca="false">SUMIFS(L_Valor,L_Data,"&gt;="&amp;$B25,L_Data,"&lt;="&amp;$C25,L_Status,"PROJETADO",L_Tipo,"RESGATE")</f>
        <v>0</v>
      </c>
      <c r="K25" s="10" t="n">
        <f aca="false">SUMIFS(L_Ent,L_Data,"&gt;="&amp;$B25,L_Data,"&lt;="&amp;$C25,L_Status,"PROJETADO")</f>
        <v>0</v>
      </c>
      <c r="L25" s="10" t="n">
        <f aca="false">SUMIFS(L_Sai,L_Data,"&gt;="&amp;$B25,L_Data,"&lt;="&amp;$C25,L_Status,"PROJETADO")</f>
        <v>0</v>
      </c>
      <c r="M25" s="10" t="n">
        <f aca="false">$K25-$L25</f>
        <v>0</v>
      </c>
      <c r="N25" s="10" t="n">
        <f aca="false">SUMIFS(L_Ent,L_Data,"&gt;="&amp;$B25,L_Data,"&lt;="&amp;$C25,L_Status,"REALIZADO")-SUMIFS(L_Sai,L_Data,"&gt;="&amp;$B25,L_Data,"&lt;="&amp;$C25,L_Status,"REALIZADO")</f>
        <v>0</v>
      </c>
      <c r="O25" s="10" t="n">
        <f aca="false">$O24+$N25+$M25</f>
        <v>0</v>
      </c>
    </row>
    <row r="26" customFormat="false" ht="15" hidden="false" customHeight="false" outlineLevel="0" collapsed="false">
      <c r="A26" s="43" t="n">
        <f aca="false">YEAR($B26)*100+MONTH($B26)</f>
        <v>202806</v>
      </c>
      <c r="B26" s="44" t="n">
        <f aca="false">EDATE(DATE(YEAR(CFG_HOJE),MONTH(CFG_HOJE),1),21)</f>
        <v>46905</v>
      </c>
      <c r="C26" s="44" t="n">
        <f aca="false">EOMONTH($B26,0)</f>
        <v>46934</v>
      </c>
      <c r="D26" s="10" t="n">
        <f aca="false">SUMIFS(L_VRec,L_Data,"&gt;="&amp;$B26,L_Data,"&lt;="&amp;$C26,L_Status,"PROJETADO")</f>
        <v>0</v>
      </c>
      <c r="E26" s="10" t="n">
        <f aca="false">SUMIFS(L_VRend,L_Data,"&gt;="&amp;$B26,L_Data,"&lt;="&amp;$C26,L_Status,"PROJETADO")</f>
        <v>0</v>
      </c>
      <c r="F26" s="10" t="n">
        <f aca="false">SUMIFS(L_VDesp,L_Data,"&gt;="&amp;$B26,L_Data,"&lt;="&amp;$C26,L_Status,"PROJETADO")</f>
        <v>0</v>
      </c>
      <c r="G26" s="10" t="n">
        <f aca="false">SUMIFS(L_Valor,L_Data,"&gt;="&amp;$B26,L_Data,"&lt;="&amp;$C26,L_Status,"PROJETADO",L_ParcID,"&lt;&gt;")</f>
        <v>0</v>
      </c>
      <c r="H26" s="10" t="n">
        <f aca="false">SUMIFS(L_Valor,L_Data,"&gt;="&amp;$B26,L_Data,"&lt;="&amp;$C26,L_Status,"PROJETADO",L_Tipo,"PAGAMENTO_CARTAO")</f>
        <v>0</v>
      </c>
      <c r="I26" s="10" t="n">
        <f aca="false">SUMIFS(L_Valor,L_Data,"&gt;="&amp;$B26,L_Data,"&lt;="&amp;$C26,L_Status,"PROJETADO",L_Tipo,"APORTE")</f>
        <v>0</v>
      </c>
      <c r="J26" s="10" t="n">
        <f aca="false">SUMIFS(L_Valor,L_Data,"&gt;="&amp;$B26,L_Data,"&lt;="&amp;$C26,L_Status,"PROJETADO",L_Tipo,"RESGATE")</f>
        <v>0</v>
      </c>
      <c r="K26" s="10" t="n">
        <f aca="false">SUMIFS(L_Ent,L_Data,"&gt;="&amp;$B26,L_Data,"&lt;="&amp;$C26,L_Status,"PROJETADO")</f>
        <v>0</v>
      </c>
      <c r="L26" s="10" t="n">
        <f aca="false">SUMIFS(L_Sai,L_Data,"&gt;="&amp;$B26,L_Data,"&lt;="&amp;$C26,L_Status,"PROJETADO")</f>
        <v>0</v>
      </c>
      <c r="M26" s="10" t="n">
        <f aca="false">$K26-$L26</f>
        <v>0</v>
      </c>
      <c r="N26" s="10" t="n">
        <f aca="false">SUMIFS(L_Ent,L_Data,"&gt;="&amp;$B26,L_Data,"&lt;="&amp;$C26,L_Status,"REALIZADO")-SUMIFS(L_Sai,L_Data,"&gt;="&amp;$B26,L_Data,"&lt;="&amp;$C26,L_Status,"REALIZADO")</f>
        <v>0</v>
      </c>
      <c r="O26" s="10" t="n">
        <f aca="false">$O25+$N26+$M26</f>
        <v>0</v>
      </c>
    </row>
    <row r="27" customFormat="false" ht="15" hidden="false" customHeight="false" outlineLevel="0" collapsed="false">
      <c r="A27" s="43" t="n">
        <f aca="false">YEAR($B27)*100+MONTH($B27)</f>
        <v>202807</v>
      </c>
      <c r="B27" s="44" t="n">
        <f aca="false">EDATE(DATE(YEAR(CFG_HOJE),MONTH(CFG_HOJE),1),22)</f>
        <v>46935</v>
      </c>
      <c r="C27" s="44" t="n">
        <f aca="false">EOMONTH($B27,0)</f>
        <v>46965</v>
      </c>
      <c r="D27" s="10" t="n">
        <f aca="false">SUMIFS(L_VRec,L_Data,"&gt;="&amp;$B27,L_Data,"&lt;="&amp;$C27,L_Status,"PROJETADO")</f>
        <v>0</v>
      </c>
      <c r="E27" s="10" t="n">
        <f aca="false">SUMIFS(L_VRend,L_Data,"&gt;="&amp;$B27,L_Data,"&lt;="&amp;$C27,L_Status,"PROJETADO")</f>
        <v>0</v>
      </c>
      <c r="F27" s="10" t="n">
        <f aca="false">SUMIFS(L_VDesp,L_Data,"&gt;="&amp;$B27,L_Data,"&lt;="&amp;$C27,L_Status,"PROJETADO")</f>
        <v>0</v>
      </c>
      <c r="G27" s="10" t="n">
        <f aca="false">SUMIFS(L_Valor,L_Data,"&gt;="&amp;$B27,L_Data,"&lt;="&amp;$C27,L_Status,"PROJETADO",L_ParcID,"&lt;&gt;")</f>
        <v>0</v>
      </c>
      <c r="H27" s="10" t="n">
        <f aca="false">SUMIFS(L_Valor,L_Data,"&gt;="&amp;$B27,L_Data,"&lt;="&amp;$C27,L_Status,"PROJETADO",L_Tipo,"PAGAMENTO_CARTAO")</f>
        <v>0</v>
      </c>
      <c r="I27" s="10" t="n">
        <f aca="false">SUMIFS(L_Valor,L_Data,"&gt;="&amp;$B27,L_Data,"&lt;="&amp;$C27,L_Status,"PROJETADO",L_Tipo,"APORTE")</f>
        <v>0</v>
      </c>
      <c r="J27" s="10" t="n">
        <f aca="false">SUMIFS(L_Valor,L_Data,"&gt;="&amp;$B27,L_Data,"&lt;="&amp;$C27,L_Status,"PROJETADO",L_Tipo,"RESGATE")</f>
        <v>0</v>
      </c>
      <c r="K27" s="10" t="n">
        <f aca="false">SUMIFS(L_Ent,L_Data,"&gt;="&amp;$B27,L_Data,"&lt;="&amp;$C27,L_Status,"PROJETADO")</f>
        <v>0</v>
      </c>
      <c r="L27" s="10" t="n">
        <f aca="false">SUMIFS(L_Sai,L_Data,"&gt;="&amp;$B27,L_Data,"&lt;="&amp;$C27,L_Status,"PROJETADO")</f>
        <v>0</v>
      </c>
      <c r="M27" s="10" t="n">
        <f aca="false">$K27-$L27</f>
        <v>0</v>
      </c>
      <c r="N27" s="10" t="n">
        <f aca="false">SUMIFS(L_Ent,L_Data,"&gt;="&amp;$B27,L_Data,"&lt;="&amp;$C27,L_Status,"REALIZADO")-SUMIFS(L_Sai,L_Data,"&gt;="&amp;$B27,L_Data,"&lt;="&amp;$C27,L_Status,"REALIZADO")</f>
        <v>0</v>
      </c>
      <c r="O27" s="10" t="n">
        <f aca="false">$O26+$N27+$M27</f>
        <v>0</v>
      </c>
    </row>
    <row r="28" customFormat="false" ht="15" hidden="false" customHeight="false" outlineLevel="0" collapsed="false">
      <c r="A28" s="43" t="n">
        <f aca="false">YEAR($B28)*100+MONTH($B28)</f>
        <v>202808</v>
      </c>
      <c r="B28" s="44" t="n">
        <f aca="false">EDATE(DATE(YEAR(CFG_HOJE),MONTH(CFG_HOJE),1),23)</f>
        <v>46966</v>
      </c>
      <c r="C28" s="44" t="n">
        <f aca="false">EOMONTH($B28,0)</f>
        <v>46996</v>
      </c>
      <c r="D28" s="10" t="n">
        <f aca="false">SUMIFS(L_VRec,L_Data,"&gt;="&amp;$B28,L_Data,"&lt;="&amp;$C28,L_Status,"PROJETADO")</f>
        <v>0</v>
      </c>
      <c r="E28" s="10" t="n">
        <f aca="false">SUMIFS(L_VRend,L_Data,"&gt;="&amp;$B28,L_Data,"&lt;="&amp;$C28,L_Status,"PROJETADO")</f>
        <v>0</v>
      </c>
      <c r="F28" s="10" t="n">
        <f aca="false">SUMIFS(L_VDesp,L_Data,"&gt;="&amp;$B28,L_Data,"&lt;="&amp;$C28,L_Status,"PROJETADO")</f>
        <v>0</v>
      </c>
      <c r="G28" s="10" t="n">
        <f aca="false">SUMIFS(L_Valor,L_Data,"&gt;="&amp;$B28,L_Data,"&lt;="&amp;$C28,L_Status,"PROJETADO",L_ParcID,"&lt;&gt;")</f>
        <v>0</v>
      </c>
      <c r="H28" s="10" t="n">
        <f aca="false">SUMIFS(L_Valor,L_Data,"&gt;="&amp;$B28,L_Data,"&lt;="&amp;$C28,L_Status,"PROJETADO",L_Tipo,"PAGAMENTO_CARTAO")</f>
        <v>0</v>
      </c>
      <c r="I28" s="10" t="n">
        <f aca="false">SUMIFS(L_Valor,L_Data,"&gt;="&amp;$B28,L_Data,"&lt;="&amp;$C28,L_Status,"PROJETADO",L_Tipo,"APORTE")</f>
        <v>0</v>
      </c>
      <c r="J28" s="10" t="n">
        <f aca="false">SUMIFS(L_Valor,L_Data,"&gt;="&amp;$B28,L_Data,"&lt;="&amp;$C28,L_Status,"PROJETADO",L_Tipo,"RESGATE")</f>
        <v>0</v>
      </c>
      <c r="K28" s="10" t="n">
        <f aca="false">SUMIFS(L_Ent,L_Data,"&gt;="&amp;$B28,L_Data,"&lt;="&amp;$C28,L_Status,"PROJETADO")</f>
        <v>0</v>
      </c>
      <c r="L28" s="10" t="n">
        <f aca="false">SUMIFS(L_Sai,L_Data,"&gt;="&amp;$B28,L_Data,"&lt;="&amp;$C28,L_Status,"PROJETADO")</f>
        <v>0</v>
      </c>
      <c r="M28" s="10" t="n">
        <f aca="false">$K28-$L28</f>
        <v>0</v>
      </c>
      <c r="N28" s="10" t="n">
        <f aca="false">SUMIFS(L_Ent,L_Data,"&gt;="&amp;$B28,L_Data,"&lt;="&amp;$C28,L_Status,"REALIZADO")-SUMIFS(L_Sai,L_Data,"&gt;="&amp;$B28,L_Data,"&lt;="&amp;$C28,L_Status,"REALIZADO")</f>
        <v>0</v>
      </c>
      <c r="O28" s="10" t="n">
        <f aca="false">$O27+$N28+$M28</f>
        <v>0</v>
      </c>
    </row>
    <row r="30" customFormat="false" ht="19.5" hidden="false" customHeight="true" outlineLevel="0" collapsed="false">
      <c r="A30" s="3" t="s">
        <v>373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30" hidden="false" customHeight="true" outlineLevel="0" collapsed="false">
      <c r="A31" s="8" t="s">
        <v>140</v>
      </c>
      <c r="B31" s="8" t="s">
        <v>307</v>
      </c>
      <c r="C31" s="8" t="s">
        <v>304</v>
      </c>
      <c r="D31" s="8" t="s">
        <v>139</v>
      </c>
      <c r="E31" s="8" t="s">
        <v>306</v>
      </c>
      <c r="F31" s="8" t="s">
        <v>308</v>
      </c>
      <c r="G31" s="8" t="s">
        <v>52</v>
      </c>
    </row>
    <row r="32" customFormat="false" ht="15" hidden="false" customHeight="false" outlineLevel="0" collapsed="false">
      <c r="A32" s="9" t="str">
        <f aca="false">IF(CAD_Compromissos!$A5="","",CAD_Compromissos!$B5)</f>
        <v/>
      </c>
      <c r="B32" s="9" t="str">
        <f aca="false">IF(CAD_Compromissos!$A5="","",CAD_Compromissos!$W5)</f>
        <v/>
      </c>
      <c r="C32" s="43" t="str">
        <f aca="false">IF(CAD_Compromissos!$A5="","",CAD_Compromissos!$T5)</f>
        <v/>
      </c>
      <c r="D32" s="10" t="str">
        <f aca="false">IF(CAD_Compromissos!$A5="","",CAD_Compromissos!$H5)</f>
        <v/>
      </c>
      <c r="E32" s="10" t="str">
        <f aca="false">IF(CAD_Compromissos!$A5="","",CAD_Compromissos!$V5)</f>
        <v/>
      </c>
      <c r="F32" s="44" t="str">
        <f aca="false">IF(CAD_Compromissos!$A5="","",CAD_Compromissos!$X5)</f>
        <v/>
      </c>
      <c r="G32" s="9" t="str">
        <f aca="false">IF(CAD_Compromissos!$A5="","",CAD_Compromissos!$Y5)</f>
        <v/>
      </c>
    </row>
    <row r="33" customFormat="false" ht="15" hidden="false" customHeight="false" outlineLevel="0" collapsed="false">
      <c r="A33" s="9" t="str">
        <f aca="false">IF(CAD_Compromissos!$A6="","",CAD_Compromissos!$B6)</f>
        <v/>
      </c>
      <c r="B33" s="9" t="str">
        <f aca="false">IF(CAD_Compromissos!$A6="","",CAD_Compromissos!$W6)</f>
        <v/>
      </c>
      <c r="C33" s="43" t="str">
        <f aca="false">IF(CAD_Compromissos!$A6="","",CAD_Compromissos!$T6)</f>
        <v/>
      </c>
      <c r="D33" s="10" t="str">
        <f aca="false">IF(CAD_Compromissos!$A6="","",CAD_Compromissos!$H6)</f>
        <v/>
      </c>
      <c r="E33" s="10" t="str">
        <f aca="false">IF(CAD_Compromissos!$A6="","",CAD_Compromissos!$V6)</f>
        <v/>
      </c>
      <c r="F33" s="44" t="str">
        <f aca="false">IF(CAD_Compromissos!$A6="","",CAD_Compromissos!$X6)</f>
        <v/>
      </c>
      <c r="G33" s="9" t="str">
        <f aca="false">IF(CAD_Compromissos!$A6="","",CAD_Compromissos!$Y6)</f>
        <v/>
      </c>
    </row>
    <row r="34" customFormat="false" ht="15" hidden="false" customHeight="false" outlineLevel="0" collapsed="false">
      <c r="A34" s="9" t="str">
        <f aca="false">IF(CAD_Compromissos!$A7="","",CAD_Compromissos!$B7)</f>
        <v/>
      </c>
      <c r="B34" s="9" t="str">
        <f aca="false">IF(CAD_Compromissos!$A7="","",CAD_Compromissos!$W7)</f>
        <v/>
      </c>
      <c r="C34" s="43" t="str">
        <f aca="false">IF(CAD_Compromissos!$A7="","",CAD_Compromissos!$T7)</f>
        <v/>
      </c>
      <c r="D34" s="10" t="str">
        <f aca="false">IF(CAD_Compromissos!$A7="","",CAD_Compromissos!$H7)</f>
        <v/>
      </c>
      <c r="E34" s="10" t="str">
        <f aca="false">IF(CAD_Compromissos!$A7="","",CAD_Compromissos!$V7)</f>
        <v/>
      </c>
      <c r="F34" s="44" t="str">
        <f aca="false">IF(CAD_Compromissos!$A7="","",CAD_Compromissos!$X7)</f>
        <v/>
      </c>
      <c r="G34" s="9" t="str">
        <f aca="false">IF(CAD_Compromissos!$A7="","",CAD_Compromissos!$Y7)</f>
        <v/>
      </c>
    </row>
    <row r="35" customFormat="false" ht="15" hidden="false" customHeight="false" outlineLevel="0" collapsed="false">
      <c r="A35" s="9" t="str">
        <f aca="false">IF(CAD_Compromissos!$A8="","",CAD_Compromissos!$B8)</f>
        <v/>
      </c>
      <c r="B35" s="9" t="str">
        <f aca="false">IF(CAD_Compromissos!$A8="","",CAD_Compromissos!$W8)</f>
        <v/>
      </c>
      <c r="C35" s="43" t="str">
        <f aca="false">IF(CAD_Compromissos!$A8="","",CAD_Compromissos!$T8)</f>
        <v/>
      </c>
      <c r="D35" s="10" t="str">
        <f aca="false">IF(CAD_Compromissos!$A8="","",CAD_Compromissos!$H8)</f>
        <v/>
      </c>
      <c r="E35" s="10" t="str">
        <f aca="false">IF(CAD_Compromissos!$A8="","",CAD_Compromissos!$V8)</f>
        <v/>
      </c>
      <c r="F35" s="44" t="str">
        <f aca="false">IF(CAD_Compromissos!$A8="","",CAD_Compromissos!$X8)</f>
        <v/>
      </c>
      <c r="G35" s="9" t="str">
        <f aca="false">IF(CAD_Compromissos!$A8="","",CAD_Compromissos!$Y8)</f>
        <v/>
      </c>
    </row>
    <row r="36" customFormat="false" ht="15" hidden="false" customHeight="false" outlineLevel="0" collapsed="false">
      <c r="A36" s="9" t="str">
        <f aca="false">IF(CAD_Compromissos!$A9="","",CAD_Compromissos!$B9)</f>
        <v/>
      </c>
      <c r="B36" s="9" t="str">
        <f aca="false">IF(CAD_Compromissos!$A9="","",CAD_Compromissos!$W9)</f>
        <v/>
      </c>
      <c r="C36" s="43" t="str">
        <f aca="false">IF(CAD_Compromissos!$A9="","",CAD_Compromissos!$T9)</f>
        <v/>
      </c>
      <c r="D36" s="10" t="str">
        <f aca="false">IF(CAD_Compromissos!$A9="","",CAD_Compromissos!$H9)</f>
        <v/>
      </c>
      <c r="E36" s="10" t="str">
        <f aca="false">IF(CAD_Compromissos!$A9="","",CAD_Compromissos!$V9)</f>
        <v/>
      </c>
      <c r="F36" s="44" t="str">
        <f aca="false">IF(CAD_Compromissos!$A9="","",CAD_Compromissos!$X9)</f>
        <v/>
      </c>
      <c r="G36" s="9" t="str">
        <f aca="false">IF(CAD_Compromissos!$A9="","",CAD_Compromissos!$Y9)</f>
        <v/>
      </c>
    </row>
    <row r="37" customFormat="false" ht="15" hidden="false" customHeight="false" outlineLevel="0" collapsed="false">
      <c r="A37" s="9" t="str">
        <f aca="false">IF(CAD_Compromissos!$A10="","",CAD_Compromissos!$B10)</f>
        <v/>
      </c>
      <c r="B37" s="9" t="str">
        <f aca="false">IF(CAD_Compromissos!$A10="","",CAD_Compromissos!$W10)</f>
        <v/>
      </c>
      <c r="C37" s="43" t="str">
        <f aca="false">IF(CAD_Compromissos!$A10="","",CAD_Compromissos!$T10)</f>
        <v/>
      </c>
      <c r="D37" s="10" t="str">
        <f aca="false">IF(CAD_Compromissos!$A10="","",CAD_Compromissos!$H10)</f>
        <v/>
      </c>
      <c r="E37" s="10" t="str">
        <f aca="false">IF(CAD_Compromissos!$A10="","",CAD_Compromissos!$V10)</f>
        <v/>
      </c>
      <c r="F37" s="44" t="str">
        <f aca="false">IF(CAD_Compromissos!$A10="","",CAD_Compromissos!$X10)</f>
        <v/>
      </c>
      <c r="G37" s="9" t="str">
        <f aca="false">IF(CAD_Compromissos!$A10="","",CAD_Compromissos!$Y10)</f>
        <v/>
      </c>
    </row>
    <row r="38" customFormat="false" ht="15" hidden="false" customHeight="false" outlineLevel="0" collapsed="false">
      <c r="A38" s="9" t="str">
        <f aca="false">IF(CAD_Compromissos!$A11="","",CAD_Compromissos!$B11)</f>
        <v/>
      </c>
      <c r="B38" s="9" t="str">
        <f aca="false">IF(CAD_Compromissos!$A11="","",CAD_Compromissos!$W11)</f>
        <v/>
      </c>
      <c r="C38" s="43" t="str">
        <f aca="false">IF(CAD_Compromissos!$A11="","",CAD_Compromissos!$T11)</f>
        <v/>
      </c>
      <c r="D38" s="10" t="str">
        <f aca="false">IF(CAD_Compromissos!$A11="","",CAD_Compromissos!$H11)</f>
        <v/>
      </c>
      <c r="E38" s="10" t="str">
        <f aca="false">IF(CAD_Compromissos!$A11="","",CAD_Compromissos!$V11)</f>
        <v/>
      </c>
      <c r="F38" s="44" t="str">
        <f aca="false">IF(CAD_Compromissos!$A11="","",CAD_Compromissos!$X11)</f>
        <v/>
      </c>
      <c r="G38" s="9" t="str">
        <f aca="false">IF(CAD_Compromissos!$A11="","",CAD_Compromissos!$Y11)</f>
        <v/>
      </c>
    </row>
    <row r="39" customFormat="false" ht="15" hidden="false" customHeight="false" outlineLevel="0" collapsed="false">
      <c r="A39" s="9" t="str">
        <f aca="false">IF(CAD_Compromissos!$A12="","",CAD_Compromissos!$B12)</f>
        <v/>
      </c>
      <c r="B39" s="9" t="str">
        <f aca="false">IF(CAD_Compromissos!$A12="","",CAD_Compromissos!$W12)</f>
        <v/>
      </c>
      <c r="C39" s="43" t="str">
        <f aca="false">IF(CAD_Compromissos!$A12="","",CAD_Compromissos!$T12)</f>
        <v/>
      </c>
      <c r="D39" s="10" t="str">
        <f aca="false">IF(CAD_Compromissos!$A12="","",CAD_Compromissos!$H12)</f>
        <v/>
      </c>
      <c r="E39" s="10" t="str">
        <f aca="false">IF(CAD_Compromissos!$A12="","",CAD_Compromissos!$V12)</f>
        <v/>
      </c>
      <c r="F39" s="44" t="str">
        <f aca="false">IF(CAD_Compromissos!$A12="","",CAD_Compromissos!$X12)</f>
        <v/>
      </c>
      <c r="G39" s="9" t="str">
        <f aca="false">IF(CAD_Compromissos!$A12="","",CAD_Compromissos!$Y12)</f>
        <v/>
      </c>
    </row>
    <row r="40" customFormat="false" ht="15" hidden="false" customHeight="false" outlineLevel="0" collapsed="false">
      <c r="A40" s="9" t="str">
        <f aca="false">IF(CAD_Compromissos!$A13="","",CAD_Compromissos!$B13)</f>
        <v/>
      </c>
      <c r="B40" s="9" t="str">
        <f aca="false">IF(CAD_Compromissos!$A13="","",CAD_Compromissos!$W13)</f>
        <v/>
      </c>
      <c r="C40" s="43" t="str">
        <f aca="false">IF(CAD_Compromissos!$A13="","",CAD_Compromissos!$T13)</f>
        <v/>
      </c>
      <c r="D40" s="10" t="str">
        <f aca="false">IF(CAD_Compromissos!$A13="","",CAD_Compromissos!$H13)</f>
        <v/>
      </c>
      <c r="E40" s="10" t="str">
        <f aca="false">IF(CAD_Compromissos!$A13="","",CAD_Compromissos!$V13)</f>
        <v/>
      </c>
      <c r="F40" s="44" t="str">
        <f aca="false">IF(CAD_Compromissos!$A13="","",CAD_Compromissos!$X13)</f>
        <v/>
      </c>
      <c r="G40" s="9" t="str">
        <f aca="false">IF(CAD_Compromissos!$A13="","",CAD_Compromissos!$Y13)</f>
        <v/>
      </c>
    </row>
    <row r="41" customFormat="false" ht="15" hidden="false" customHeight="false" outlineLevel="0" collapsed="false">
      <c r="A41" s="9" t="str">
        <f aca="false">IF(CAD_Compromissos!$A14="","",CAD_Compromissos!$B14)</f>
        <v/>
      </c>
      <c r="B41" s="9" t="str">
        <f aca="false">IF(CAD_Compromissos!$A14="","",CAD_Compromissos!$W14)</f>
        <v/>
      </c>
      <c r="C41" s="43" t="str">
        <f aca="false">IF(CAD_Compromissos!$A14="","",CAD_Compromissos!$T14)</f>
        <v/>
      </c>
      <c r="D41" s="10" t="str">
        <f aca="false">IF(CAD_Compromissos!$A14="","",CAD_Compromissos!$H14)</f>
        <v/>
      </c>
      <c r="E41" s="10" t="str">
        <f aca="false">IF(CAD_Compromissos!$A14="","",CAD_Compromissos!$V14)</f>
        <v/>
      </c>
      <c r="F41" s="44" t="str">
        <f aca="false">IF(CAD_Compromissos!$A14="","",CAD_Compromissos!$X14)</f>
        <v/>
      </c>
      <c r="G41" s="9" t="str">
        <f aca="false">IF(CAD_Compromissos!$A14="","",CAD_Compromissos!$Y14)</f>
        <v/>
      </c>
    </row>
    <row r="42" customFormat="false" ht="15" hidden="false" customHeight="false" outlineLevel="0" collapsed="false">
      <c r="A42" s="9" t="str">
        <f aca="false">IF(CAD_Compromissos!$A15="","",CAD_Compromissos!$B15)</f>
        <v/>
      </c>
      <c r="B42" s="9" t="str">
        <f aca="false">IF(CAD_Compromissos!$A15="","",CAD_Compromissos!$W15)</f>
        <v/>
      </c>
      <c r="C42" s="43" t="str">
        <f aca="false">IF(CAD_Compromissos!$A15="","",CAD_Compromissos!$T15)</f>
        <v/>
      </c>
      <c r="D42" s="10" t="str">
        <f aca="false">IF(CAD_Compromissos!$A15="","",CAD_Compromissos!$H15)</f>
        <v/>
      </c>
      <c r="E42" s="10" t="str">
        <f aca="false">IF(CAD_Compromissos!$A15="","",CAD_Compromissos!$V15)</f>
        <v/>
      </c>
      <c r="F42" s="44" t="str">
        <f aca="false">IF(CAD_Compromissos!$A15="","",CAD_Compromissos!$X15)</f>
        <v/>
      </c>
      <c r="G42" s="9" t="str">
        <f aca="false">IF(CAD_Compromissos!$A15="","",CAD_Compromissos!$Y15)</f>
        <v/>
      </c>
    </row>
    <row r="43" customFormat="false" ht="15" hidden="false" customHeight="false" outlineLevel="0" collapsed="false">
      <c r="A43" s="9" t="str">
        <f aca="false">IF(CAD_Compromissos!$A16="","",CAD_Compromissos!$B16)</f>
        <v/>
      </c>
      <c r="B43" s="9" t="str">
        <f aca="false">IF(CAD_Compromissos!$A16="","",CAD_Compromissos!$W16)</f>
        <v/>
      </c>
      <c r="C43" s="43" t="str">
        <f aca="false">IF(CAD_Compromissos!$A16="","",CAD_Compromissos!$T16)</f>
        <v/>
      </c>
      <c r="D43" s="10" t="str">
        <f aca="false">IF(CAD_Compromissos!$A16="","",CAD_Compromissos!$H16)</f>
        <v/>
      </c>
      <c r="E43" s="10" t="str">
        <f aca="false">IF(CAD_Compromissos!$A16="","",CAD_Compromissos!$V16)</f>
        <v/>
      </c>
      <c r="F43" s="44" t="str">
        <f aca="false">IF(CAD_Compromissos!$A16="","",CAD_Compromissos!$X16)</f>
        <v/>
      </c>
      <c r="G43" s="9" t="str">
        <f aca="false">IF(CAD_Compromissos!$A16="","",CAD_Compromissos!$Y16)</f>
        <v/>
      </c>
    </row>
    <row r="44" customFormat="false" ht="15" hidden="false" customHeight="false" outlineLevel="0" collapsed="false">
      <c r="A44" s="9" t="str">
        <f aca="false">IF(CAD_Compromissos!$A17="","",CAD_Compromissos!$B17)</f>
        <v/>
      </c>
      <c r="B44" s="9" t="str">
        <f aca="false">IF(CAD_Compromissos!$A17="","",CAD_Compromissos!$W17)</f>
        <v/>
      </c>
      <c r="C44" s="43" t="str">
        <f aca="false">IF(CAD_Compromissos!$A17="","",CAD_Compromissos!$T17)</f>
        <v/>
      </c>
      <c r="D44" s="10" t="str">
        <f aca="false">IF(CAD_Compromissos!$A17="","",CAD_Compromissos!$H17)</f>
        <v/>
      </c>
      <c r="E44" s="10" t="str">
        <f aca="false">IF(CAD_Compromissos!$A17="","",CAD_Compromissos!$V17)</f>
        <v/>
      </c>
      <c r="F44" s="44" t="str">
        <f aca="false">IF(CAD_Compromissos!$A17="","",CAD_Compromissos!$X17)</f>
        <v/>
      </c>
      <c r="G44" s="9" t="str">
        <f aca="false">IF(CAD_Compromissos!$A17="","",CAD_Compromissos!$Y17)</f>
        <v/>
      </c>
    </row>
    <row r="45" customFormat="false" ht="15" hidden="false" customHeight="false" outlineLevel="0" collapsed="false">
      <c r="A45" s="9" t="str">
        <f aca="false">IF(CAD_Compromissos!$A18="","",CAD_Compromissos!$B18)</f>
        <v/>
      </c>
      <c r="B45" s="9" t="str">
        <f aca="false">IF(CAD_Compromissos!$A18="","",CAD_Compromissos!$W18)</f>
        <v/>
      </c>
      <c r="C45" s="43" t="str">
        <f aca="false">IF(CAD_Compromissos!$A18="","",CAD_Compromissos!$T18)</f>
        <v/>
      </c>
      <c r="D45" s="10" t="str">
        <f aca="false">IF(CAD_Compromissos!$A18="","",CAD_Compromissos!$H18)</f>
        <v/>
      </c>
      <c r="E45" s="10" t="str">
        <f aca="false">IF(CAD_Compromissos!$A18="","",CAD_Compromissos!$V18)</f>
        <v/>
      </c>
      <c r="F45" s="44" t="str">
        <f aca="false">IF(CAD_Compromissos!$A18="","",CAD_Compromissos!$X18)</f>
        <v/>
      </c>
      <c r="G45" s="9" t="str">
        <f aca="false">IF(CAD_Compromissos!$A18="","",CAD_Compromissos!$Y18)</f>
        <v/>
      </c>
    </row>
    <row r="46" customFormat="false" ht="15" hidden="false" customHeight="false" outlineLevel="0" collapsed="false">
      <c r="A46" s="9" t="str">
        <f aca="false">IF(CAD_Compromissos!$A19="","",CAD_Compromissos!$B19)</f>
        <v/>
      </c>
      <c r="B46" s="9" t="str">
        <f aca="false">IF(CAD_Compromissos!$A19="","",CAD_Compromissos!$W19)</f>
        <v/>
      </c>
      <c r="C46" s="43" t="str">
        <f aca="false">IF(CAD_Compromissos!$A19="","",CAD_Compromissos!$T19)</f>
        <v/>
      </c>
      <c r="D46" s="10" t="str">
        <f aca="false">IF(CAD_Compromissos!$A19="","",CAD_Compromissos!$H19)</f>
        <v/>
      </c>
      <c r="E46" s="10" t="str">
        <f aca="false">IF(CAD_Compromissos!$A19="","",CAD_Compromissos!$V19)</f>
        <v/>
      </c>
      <c r="F46" s="44" t="str">
        <f aca="false">IF(CAD_Compromissos!$A19="","",CAD_Compromissos!$X19)</f>
        <v/>
      </c>
      <c r="G46" s="9" t="str">
        <f aca="false">IF(CAD_Compromissos!$A19="","",CAD_Compromissos!$Y19)</f>
        <v/>
      </c>
    </row>
    <row r="47" customFormat="false" ht="15" hidden="false" customHeight="false" outlineLevel="0" collapsed="false">
      <c r="A47" s="9" t="str">
        <f aca="false">IF(CAD_Compromissos!$A20="","",CAD_Compromissos!$B20)</f>
        <v/>
      </c>
      <c r="B47" s="9" t="str">
        <f aca="false">IF(CAD_Compromissos!$A20="","",CAD_Compromissos!$W20)</f>
        <v/>
      </c>
      <c r="C47" s="43" t="str">
        <f aca="false">IF(CAD_Compromissos!$A20="","",CAD_Compromissos!$T20)</f>
        <v/>
      </c>
      <c r="D47" s="10" t="str">
        <f aca="false">IF(CAD_Compromissos!$A20="","",CAD_Compromissos!$H20)</f>
        <v/>
      </c>
      <c r="E47" s="10" t="str">
        <f aca="false">IF(CAD_Compromissos!$A20="","",CAD_Compromissos!$V20)</f>
        <v/>
      </c>
      <c r="F47" s="44" t="str">
        <f aca="false">IF(CAD_Compromissos!$A20="","",CAD_Compromissos!$X20)</f>
        <v/>
      </c>
      <c r="G47" s="9" t="str">
        <f aca="false">IF(CAD_Compromissos!$A20="","",CAD_Compromissos!$Y20)</f>
        <v/>
      </c>
    </row>
    <row r="48" customFormat="false" ht="15" hidden="false" customHeight="false" outlineLevel="0" collapsed="false">
      <c r="A48" s="9" t="str">
        <f aca="false">IF(CAD_Compromissos!$A21="","",CAD_Compromissos!$B21)</f>
        <v/>
      </c>
      <c r="B48" s="9" t="str">
        <f aca="false">IF(CAD_Compromissos!$A21="","",CAD_Compromissos!$W21)</f>
        <v/>
      </c>
      <c r="C48" s="43" t="str">
        <f aca="false">IF(CAD_Compromissos!$A21="","",CAD_Compromissos!$T21)</f>
        <v/>
      </c>
      <c r="D48" s="10" t="str">
        <f aca="false">IF(CAD_Compromissos!$A21="","",CAD_Compromissos!$H21)</f>
        <v/>
      </c>
      <c r="E48" s="10" t="str">
        <f aca="false">IF(CAD_Compromissos!$A21="","",CAD_Compromissos!$V21)</f>
        <v/>
      </c>
      <c r="F48" s="44" t="str">
        <f aca="false">IF(CAD_Compromissos!$A21="","",CAD_Compromissos!$X21)</f>
        <v/>
      </c>
      <c r="G48" s="9" t="str">
        <f aca="false">IF(CAD_Compromissos!$A21="","",CAD_Compromissos!$Y21)</f>
        <v/>
      </c>
    </row>
    <row r="49" customFormat="false" ht="15" hidden="false" customHeight="false" outlineLevel="0" collapsed="false">
      <c r="A49" s="9" t="str">
        <f aca="false">IF(CAD_Compromissos!$A22="","",CAD_Compromissos!$B22)</f>
        <v/>
      </c>
      <c r="B49" s="9" t="str">
        <f aca="false">IF(CAD_Compromissos!$A22="","",CAD_Compromissos!$W22)</f>
        <v/>
      </c>
      <c r="C49" s="43" t="str">
        <f aca="false">IF(CAD_Compromissos!$A22="","",CAD_Compromissos!$T22)</f>
        <v/>
      </c>
      <c r="D49" s="10" t="str">
        <f aca="false">IF(CAD_Compromissos!$A22="","",CAD_Compromissos!$H22)</f>
        <v/>
      </c>
      <c r="E49" s="10" t="str">
        <f aca="false">IF(CAD_Compromissos!$A22="","",CAD_Compromissos!$V22)</f>
        <v/>
      </c>
      <c r="F49" s="44" t="str">
        <f aca="false">IF(CAD_Compromissos!$A22="","",CAD_Compromissos!$X22)</f>
        <v/>
      </c>
      <c r="G49" s="9" t="str">
        <f aca="false">IF(CAD_Compromissos!$A22="","",CAD_Compromissos!$Y22)</f>
        <v/>
      </c>
    </row>
    <row r="50" customFormat="false" ht="15" hidden="false" customHeight="false" outlineLevel="0" collapsed="false">
      <c r="A50" s="9" t="str">
        <f aca="false">IF(CAD_Compromissos!$A23="","",CAD_Compromissos!$B23)</f>
        <v/>
      </c>
      <c r="B50" s="9" t="str">
        <f aca="false">IF(CAD_Compromissos!$A23="","",CAD_Compromissos!$W23)</f>
        <v/>
      </c>
      <c r="C50" s="43" t="str">
        <f aca="false">IF(CAD_Compromissos!$A23="","",CAD_Compromissos!$T23)</f>
        <v/>
      </c>
      <c r="D50" s="10" t="str">
        <f aca="false">IF(CAD_Compromissos!$A23="","",CAD_Compromissos!$H23)</f>
        <v/>
      </c>
      <c r="E50" s="10" t="str">
        <f aca="false">IF(CAD_Compromissos!$A23="","",CAD_Compromissos!$V23)</f>
        <v/>
      </c>
      <c r="F50" s="44" t="str">
        <f aca="false">IF(CAD_Compromissos!$A23="","",CAD_Compromissos!$X23)</f>
        <v/>
      </c>
      <c r="G50" s="9" t="str">
        <f aca="false">IF(CAD_Compromissos!$A23="","",CAD_Compromissos!$Y23)</f>
        <v/>
      </c>
    </row>
    <row r="51" customFormat="false" ht="15" hidden="false" customHeight="false" outlineLevel="0" collapsed="false">
      <c r="A51" s="9" t="str">
        <f aca="false">IF(CAD_Compromissos!$A24="","",CAD_Compromissos!$B24)</f>
        <v/>
      </c>
      <c r="B51" s="9" t="str">
        <f aca="false">IF(CAD_Compromissos!$A24="","",CAD_Compromissos!$W24)</f>
        <v/>
      </c>
      <c r="C51" s="43" t="str">
        <f aca="false">IF(CAD_Compromissos!$A24="","",CAD_Compromissos!$T24)</f>
        <v/>
      </c>
      <c r="D51" s="10" t="str">
        <f aca="false">IF(CAD_Compromissos!$A24="","",CAD_Compromissos!$H24)</f>
        <v/>
      </c>
      <c r="E51" s="10" t="str">
        <f aca="false">IF(CAD_Compromissos!$A24="","",CAD_Compromissos!$V24)</f>
        <v/>
      </c>
      <c r="F51" s="44" t="str">
        <f aca="false">IF(CAD_Compromissos!$A24="","",CAD_Compromissos!$X24)</f>
        <v/>
      </c>
      <c r="G51" s="9" t="str">
        <f aca="false">IF(CAD_Compromissos!$A24="","",CAD_Compromissos!$Y24)</f>
        <v/>
      </c>
    </row>
    <row r="52" customFormat="false" ht="15" hidden="false" customHeight="false" outlineLevel="0" collapsed="false">
      <c r="A52" s="9" t="str">
        <f aca="false">IF(CAD_Compromissos!$A25="","",CAD_Compromissos!$B25)</f>
        <v/>
      </c>
      <c r="B52" s="9" t="str">
        <f aca="false">IF(CAD_Compromissos!$A25="","",CAD_Compromissos!$W25)</f>
        <v/>
      </c>
      <c r="C52" s="43" t="str">
        <f aca="false">IF(CAD_Compromissos!$A25="","",CAD_Compromissos!$T25)</f>
        <v/>
      </c>
      <c r="D52" s="10" t="str">
        <f aca="false">IF(CAD_Compromissos!$A25="","",CAD_Compromissos!$H25)</f>
        <v/>
      </c>
      <c r="E52" s="10" t="str">
        <f aca="false">IF(CAD_Compromissos!$A25="","",CAD_Compromissos!$V25)</f>
        <v/>
      </c>
      <c r="F52" s="44" t="str">
        <f aca="false">IF(CAD_Compromissos!$A25="","",CAD_Compromissos!$X25)</f>
        <v/>
      </c>
      <c r="G52" s="9" t="str">
        <f aca="false">IF(CAD_Compromissos!$A25="","",CAD_Compromissos!$Y25)</f>
        <v/>
      </c>
    </row>
    <row r="53" customFormat="false" ht="15" hidden="false" customHeight="false" outlineLevel="0" collapsed="false">
      <c r="A53" s="9" t="str">
        <f aca="false">IF(CAD_Compromissos!$A26="","",CAD_Compromissos!$B26)</f>
        <v/>
      </c>
      <c r="B53" s="9" t="str">
        <f aca="false">IF(CAD_Compromissos!$A26="","",CAD_Compromissos!$W26)</f>
        <v/>
      </c>
      <c r="C53" s="43" t="str">
        <f aca="false">IF(CAD_Compromissos!$A26="","",CAD_Compromissos!$T26)</f>
        <v/>
      </c>
      <c r="D53" s="10" t="str">
        <f aca="false">IF(CAD_Compromissos!$A26="","",CAD_Compromissos!$H26)</f>
        <v/>
      </c>
      <c r="E53" s="10" t="str">
        <f aca="false">IF(CAD_Compromissos!$A26="","",CAD_Compromissos!$V26)</f>
        <v/>
      </c>
      <c r="F53" s="44" t="str">
        <f aca="false">IF(CAD_Compromissos!$A26="","",CAD_Compromissos!$X26)</f>
        <v/>
      </c>
      <c r="G53" s="9" t="str">
        <f aca="false">IF(CAD_Compromissos!$A26="","",CAD_Compromissos!$Y26)</f>
        <v/>
      </c>
    </row>
    <row r="54" customFormat="false" ht="15" hidden="false" customHeight="false" outlineLevel="0" collapsed="false">
      <c r="A54" s="9" t="str">
        <f aca="false">IF(CAD_Compromissos!$A27="","",CAD_Compromissos!$B27)</f>
        <v/>
      </c>
      <c r="B54" s="9" t="str">
        <f aca="false">IF(CAD_Compromissos!$A27="","",CAD_Compromissos!$W27)</f>
        <v/>
      </c>
      <c r="C54" s="43" t="str">
        <f aca="false">IF(CAD_Compromissos!$A27="","",CAD_Compromissos!$T27)</f>
        <v/>
      </c>
      <c r="D54" s="10" t="str">
        <f aca="false">IF(CAD_Compromissos!$A27="","",CAD_Compromissos!$H27)</f>
        <v/>
      </c>
      <c r="E54" s="10" t="str">
        <f aca="false">IF(CAD_Compromissos!$A27="","",CAD_Compromissos!$V27)</f>
        <v/>
      </c>
      <c r="F54" s="44" t="str">
        <f aca="false">IF(CAD_Compromissos!$A27="","",CAD_Compromissos!$X27)</f>
        <v/>
      </c>
      <c r="G54" s="9" t="str">
        <f aca="false">IF(CAD_Compromissos!$A27="","",CAD_Compromissos!$Y27)</f>
        <v/>
      </c>
    </row>
    <row r="55" customFormat="false" ht="15" hidden="false" customHeight="false" outlineLevel="0" collapsed="false">
      <c r="A55" s="9" t="str">
        <f aca="false">IF(CAD_Compromissos!$A28="","",CAD_Compromissos!$B28)</f>
        <v/>
      </c>
      <c r="B55" s="9" t="str">
        <f aca="false">IF(CAD_Compromissos!$A28="","",CAD_Compromissos!$W28)</f>
        <v/>
      </c>
      <c r="C55" s="43" t="str">
        <f aca="false">IF(CAD_Compromissos!$A28="","",CAD_Compromissos!$T28)</f>
        <v/>
      </c>
      <c r="D55" s="10" t="str">
        <f aca="false">IF(CAD_Compromissos!$A28="","",CAD_Compromissos!$H28)</f>
        <v/>
      </c>
      <c r="E55" s="10" t="str">
        <f aca="false">IF(CAD_Compromissos!$A28="","",CAD_Compromissos!$V28)</f>
        <v/>
      </c>
      <c r="F55" s="44" t="str">
        <f aca="false">IF(CAD_Compromissos!$A28="","",CAD_Compromissos!$X28)</f>
        <v/>
      </c>
      <c r="G55" s="9" t="str">
        <f aca="false">IF(CAD_Compromissos!$A28="","",CAD_Compromissos!$Y28)</f>
        <v/>
      </c>
    </row>
    <row r="56" customFormat="false" ht="15" hidden="false" customHeight="false" outlineLevel="0" collapsed="false">
      <c r="A56" s="9" t="str">
        <f aca="false">IF(CAD_Compromissos!$A29="","",CAD_Compromissos!$B29)</f>
        <v/>
      </c>
      <c r="B56" s="9" t="str">
        <f aca="false">IF(CAD_Compromissos!$A29="","",CAD_Compromissos!$W29)</f>
        <v/>
      </c>
      <c r="C56" s="43" t="str">
        <f aca="false">IF(CAD_Compromissos!$A29="","",CAD_Compromissos!$T29)</f>
        <v/>
      </c>
      <c r="D56" s="10" t="str">
        <f aca="false">IF(CAD_Compromissos!$A29="","",CAD_Compromissos!$H29)</f>
        <v/>
      </c>
      <c r="E56" s="10" t="str">
        <f aca="false">IF(CAD_Compromissos!$A29="","",CAD_Compromissos!$V29)</f>
        <v/>
      </c>
      <c r="F56" s="44" t="str">
        <f aca="false">IF(CAD_Compromissos!$A29="","",CAD_Compromissos!$X29)</f>
        <v/>
      </c>
      <c r="G56" s="9" t="str">
        <f aca="false">IF(CAD_Compromissos!$A29="","",CAD_Compromissos!$Y29)</f>
        <v/>
      </c>
    </row>
    <row r="57" customFormat="false" ht="15" hidden="false" customHeight="false" outlineLevel="0" collapsed="false">
      <c r="A57" s="9" t="str">
        <f aca="false">IF(CAD_Compromissos!$A30="","",CAD_Compromissos!$B30)</f>
        <v/>
      </c>
      <c r="B57" s="9" t="str">
        <f aca="false">IF(CAD_Compromissos!$A30="","",CAD_Compromissos!$W30)</f>
        <v/>
      </c>
      <c r="C57" s="43" t="str">
        <f aca="false">IF(CAD_Compromissos!$A30="","",CAD_Compromissos!$T30)</f>
        <v/>
      </c>
      <c r="D57" s="10" t="str">
        <f aca="false">IF(CAD_Compromissos!$A30="","",CAD_Compromissos!$H30)</f>
        <v/>
      </c>
      <c r="E57" s="10" t="str">
        <f aca="false">IF(CAD_Compromissos!$A30="","",CAD_Compromissos!$V30)</f>
        <v/>
      </c>
      <c r="F57" s="44" t="str">
        <f aca="false">IF(CAD_Compromissos!$A30="","",CAD_Compromissos!$X30)</f>
        <v/>
      </c>
      <c r="G57" s="9" t="str">
        <f aca="false">IF(CAD_Compromissos!$A30="","",CAD_Compromissos!$Y30)</f>
        <v/>
      </c>
    </row>
    <row r="58" customFormat="false" ht="15" hidden="false" customHeight="false" outlineLevel="0" collapsed="false">
      <c r="A58" s="9" t="str">
        <f aca="false">IF(CAD_Compromissos!$A31="","",CAD_Compromissos!$B31)</f>
        <v/>
      </c>
      <c r="B58" s="9" t="str">
        <f aca="false">IF(CAD_Compromissos!$A31="","",CAD_Compromissos!$W31)</f>
        <v/>
      </c>
      <c r="C58" s="43" t="str">
        <f aca="false">IF(CAD_Compromissos!$A31="","",CAD_Compromissos!$T31)</f>
        <v/>
      </c>
      <c r="D58" s="10" t="str">
        <f aca="false">IF(CAD_Compromissos!$A31="","",CAD_Compromissos!$H31)</f>
        <v/>
      </c>
      <c r="E58" s="10" t="str">
        <f aca="false">IF(CAD_Compromissos!$A31="","",CAD_Compromissos!$V31)</f>
        <v/>
      </c>
      <c r="F58" s="44" t="str">
        <f aca="false">IF(CAD_Compromissos!$A31="","",CAD_Compromissos!$X31)</f>
        <v/>
      </c>
      <c r="G58" s="9" t="str">
        <f aca="false">IF(CAD_Compromissos!$A31="","",CAD_Compromissos!$Y31)</f>
        <v/>
      </c>
    </row>
    <row r="59" customFormat="false" ht="15" hidden="false" customHeight="false" outlineLevel="0" collapsed="false">
      <c r="A59" s="9" t="str">
        <f aca="false">IF(CAD_Compromissos!$A32="","",CAD_Compromissos!$B32)</f>
        <v/>
      </c>
      <c r="B59" s="9" t="str">
        <f aca="false">IF(CAD_Compromissos!$A32="","",CAD_Compromissos!$W32)</f>
        <v/>
      </c>
      <c r="C59" s="43" t="str">
        <f aca="false">IF(CAD_Compromissos!$A32="","",CAD_Compromissos!$T32)</f>
        <v/>
      </c>
      <c r="D59" s="10" t="str">
        <f aca="false">IF(CAD_Compromissos!$A32="","",CAD_Compromissos!$H32)</f>
        <v/>
      </c>
      <c r="E59" s="10" t="str">
        <f aca="false">IF(CAD_Compromissos!$A32="","",CAD_Compromissos!$V32)</f>
        <v/>
      </c>
      <c r="F59" s="44" t="str">
        <f aca="false">IF(CAD_Compromissos!$A32="","",CAD_Compromissos!$X32)</f>
        <v/>
      </c>
      <c r="G59" s="9" t="str">
        <f aca="false">IF(CAD_Compromissos!$A32="","",CAD_Compromissos!$Y32)</f>
        <v/>
      </c>
    </row>
    <row r="60" customFormat="false" ht="15" hidden="false" customHeight="false" outlineLevel="0" collapsed="false">
      <c r="A60" s="9" t="str">
        <f aca="false">IF(CAD_Compromissos!$A33="","",CAD_Compromissos!$B33)</f>
        <v/>
      </c>
      <c r="B60" s="9" t="str">
        <f aca="false">IF(CAD_Compromissos!$A33="","",CAD_Compromissos!$W33)</f>
        <v/>
      </c>
      <c r="C60" s="43" t="str">
        <f aca="false">IF(CAD_Compromissos!$A33="","",CAD_Compromissos!$T33)</f>
        <v/>
      </c>
      <c r="D60" s="10" t="str">
        <f aca="false">IF(CAD_Compromissos!$A33="","",CAD_Compromissos!$H33)</f>
        <v/>
      </c>
      <c r="E60" s="10" t="str">
        <f aca="false">IF(CAD_Compromissos!$A33="","",CAD_Compromissos!$V33)</f>
        <v/>
      </c>
      <c r="F60" s="44" t="str">
        <f aca="false">IF(CAD_Compromissos!$A33="","",CAD_Compromissos!$X33)</f>
        <v/>
      </c>
      <c r="G60" s="9" t="str">
        <f aca="false">IF(CAD_Compromissos!$A33="","",CAD_Compromissos!$Y33)</f>
        <v/>
      </c>
    </row>
    <row r="61" customFormat="false" ht="15" hidden="false" customHeight="false" outlineLevel="0" collapsed="false">
      <c r="A61" s="9" t="str">
        <f aca="false">IF(CAD_Compromissos!$A34="","",CAD_Compromissos!$B34)</f>
        <v/>
      </c>
      <c r="B61" s="9" t="str">
        <f aca="false">IF(CAD_Compromissos!$A34="","",CAD_Compromissos!$W34)</f>
        <v/>
      </c>
      <c r="C61" s="43" t="str">
        <f aca="false">IF(CAD_Compromissos!$A34="","",CAD_Compromissos!$T34)</f>
        <v/>
      </c>
      <c r="D61" s="10" t="str">
        <f aca="false">IF(CAD_Compromissos!$A34="","",CAD_Compromissos!$H34)</f>
        <v/>
      </c>
      <c r="E61" s="10" t="str">
        <f aca="false">IF(CAD_Compromissos!$A34="","",CAD_Compromissos!$V34)</f>
        <v/>
      </c>
      <c r="F61" s="44" t="str">
        <f aca="false">IF(CAD_Compromissos!$A34="","",CAD_Compromissos!$X34)</f>
        <v/>
      </c>
      <c r="G61" s="9" t="str">
        <f aca="false">IF(CAD_Compromissos!$A34="","",CAD_Compromissos!$Y34)</f>
        <v/>
      </c>
    </row>
    <row r="62" customFormat="false" ht="15" hidden="false" customHeight="false" outlineLevel="0" collapsed="false">
      <c r="A62" s="9" t="str">
        <f aca="false">IF(CAD_Compromissos!$A35="","",CAD_Compromissos!$B35)</f>
        <v/>
      </c>
      <c r="B62" s="9" t="str">
        <f aca="false">IF(CAD_Compromissos!$A35="","",CAD_Compromissos!$W35)</f>
        <v/>
      </c>
      <c r="C62" s="43" t="str">
        <f aca="false">IF(CAD_Compromissos!$A35="","",CAD_Compromissos!$T35)</f>
        <v/>
      </c>
      <c r="D62" s="10" t="str">
        <f aca="false">IF(CAD_Compromissos!$A35="","",CAD_Compromissos!$H35)</f>
        <v/>
      </c>
      <c r="E62" s="10" t="str">
        <f aca="false">IF(CAD_Compromissos!$A35="","",CAD_Compromissos!$V35)</f>
        <v/>
      </c>
      <c r="F62" s="44" t="str">
        <f aca="false">IF(CAD_Compromissos!$A35="","",CAD_Compromissos!$X35)</f>
        <v/>
      </c>
      <c r="G62" s="9" t="str">
        <f aca="false">IF(CAD_Compromissos!$A35="","",CAD_Compromissos!$Y35)</f>
        <v/>
      </c>
    </row>
    <row r="63" customFormat="false" ht="15" hidden="false" customHeight="false" outlineLevel="0" collapsed="false">
      <c r="A63" s="9" t="str">
        <f aca="false">IF(CAD_Compromissos!$A36="","",CAD_Compromissos!$B36)</f>
        <v/>
      </c>
      <c r="B63" s="9" t="str">
        <f aca="false">IF(CAD_Compromissos!$A36="","",CAD_Compromissos!$W36)</f>
        <v/>
      </c>
      <c r="C63" s="43" t="str">
        <f aca="false">IF(CAD_Compromissos!$A36="","",CAD_Compromissos!$T36)</f>
        <v/>
      </c>
      <c r="D63" s="10" t="str">
        <f aca="false">IF(CAD_Compromissos!$A36="","",CAD_Compromissos!$H36)</f>
        <v/>
      </c>
      <c r="E63" s="10" t="str">
        <f aca="false">IF(CAD_Compromissos!$A36="","",CAD_Compromissos!$V36)</f>
        <v/>
      </c>
      <c r="F63" s="44" t="str">
        <f aca="false">IF(CAD_Compromissos!$A36="","",CAD_Compromissos!$X36)</f>
        <v/>
      </c>
      <c r="G63" s="9" t="str">
        <f aca="false">IF(CAD_Compromissos!$A36="","",CAD_Compromissos!$Y36)</f>
        <v/>
      </c>
    </row>
    <row r="64" customFormat="false" ht="15" hidden="false" customHeight="false" outlineLevel="0" collapsed="false">
      <c r="A64" s="9" t="str">
        <f aca="false">IF(CAD_Compromissos!$A37="","",CAD_Compromissos!$B37)</f>
        <v/>
      </c>
      <c r="B64" s="9" t="str">
        <f aca="false">IF(CAD_Compromissos!$A37="","",CAD_Compromissos!$W37)</f>
        <v/>
      </c>
      <c r="C64" s="43" t="str">
        <f aca="false">IF(CAD_Compromissos!$A37="","",CAD_Compromissos!$T37)</f>
        <v/>
      </c>
      <c r="D64" s="10" t="str">
        <f aca="false">IF(CAD_Compromissos!$A37="","",CAD_Compromissos!$H37)</f>
        <v/>
      </c>
      <c r="E64" s="10" t="str">
        <f aca="false">IF(CAD_Compromissos!$A37="","",CAD_Compromissos!$V37)</f>
        <v/>
      </c>
      <c r="F64" s="44" t="str">
        <f aca="false">IF(CAD_Compromissos!$A37="","",CAD_Compromissos!$X37)</f>
        <v/>
      </c>
      <c r="G64" s="9" t="str">
        <f aca="false">IF(CAD_Compromissos!$A37="","",CAD_Compromissos!$Y37)</f>
        <v/>
      </c>
    </row>
    <row r="65" customFormat="false" ht="15" hidden="false" customHeight="false" outlineLevel="0" collapsed="false">
      <c r="A65" s="9" t="str">
        <f aca="false">IF(CAD_Compromissos!$A38="","",CAD_Compromissos!$B38)</f>
        <v/>
      </c>
      <c r="B65" s="9" t="str">
        <f aca="false">IF(CAD_Compromissos!$A38="","",CAD_Compromissos!$W38)</f>
        <v/>
      </c>
      <c r="C65" s="43" t="str">
        <f aca="false">IF(CAD_Compromissos!$A38="","",CAD_Compromissos!$T38)</f>
        <v/>
      </c>
      <c r="D65" s="10" t="str">
        <f aca="false">IF(CAD_Compromissos!$A38="","",CAD_Compromissos!$H38)</f>
        <v/>
      </c>
      <c r="E65" s="10" t="str">
        <f aca="false">IF(CAD_Compromissos!$A38="","",CAD_Compromissos!$V38)</f>
        <v/>
      </c>
      <c r="F65" s="44" t="str">
        <f aca="false">IF(CAD_Compromissos!$A38="","",CAD_Compromissos!$X38)</f>
        <v/>
      </c>
      <c r="G65" s="9" t="str">
        <f aca="false">IF(CAD_Compromissos!$A38="","",CAD_Compromissos!$Y38)</f>
        <v/>
      </c>
    </row>
    <row r="66" customFormat="false" ht="15" hidden="false" customHeight="false" outlineLevel="0" collapsed="false">
      <c r="A66" s="9" t="str">
        <f aca="false">IF(CAD_Compromissos!$A39="","",CAD_Compromissos!$B39)</f>
        <v/>
      </c>
      <c r="B66" s="9" t="str">
        <f aca="false">IF(CAD_Compromissos!$A39="","",CAD_Compromissos!$W39)</f>
        <v/>
      </c>
      <c r="C66" s="43" t="str">
        <f aca="false">IF(CAD_Compromissos!$A39="","",CAD_Compromissos!$T39)</f>
        <v/>
      </c>
      <c r="D66" s="10" t="str">
        <f aca="false">IF(CAD_Compromissos!$A39="","",CAD_Compromissos!$H39)</f>
        <v/>
      </c>
      <c r="E66" s="10" t="str">
        <f aca="false">IF(CAD_Compromissos!$A39="","",CAD_Compromissos!$V39)</f>
        <v/>
      </c>
      <c r="F66" s="44" t="str">
        <f aca="false">IF(CAD_Compromissos!$A39="","",CAD_Compromissos!$X39)</f>
        <v/>
      </c>
      <c r="G66" s="9" t="str">
        <f aca="false">IF(CAD_Compromissos!$A39="","",CAD_Compromissos!$Y39)</f>
        <v/>
      </c>
    </row>
    <row r="67" customFormat="false" ht="15" hidden="false" customHeight="false" outlineLevel="0" collapsed="false">
      <c r="A67" s="9" t="str">
        <f aca="false">IF(CAD_Compromissos!$A40="","",CAD_Compromissos!$B40)</f>
        <v/>
      </c>
      <c r="B67" s="9" t="str">
        <f aca="false">IF(CAD_Compromissos!$A40="","",CAD_Compromissos!$W40)</f>
        <v/>
      </c>
      <c r="C67" s="43" t="str">
        <f aca="false">IF(CAD_Compromissos!$A40="","",CAD_Compromissos!$T40)</f>
        <v/>
      </c>
      <c r="D67" s="10" t="str">
        <f aca="false">IF(CAD_Compromissos!$A40="","",CAD_Compromissos!$H40)</f>
        <v/>
      </c>
      <c r="E67" s="10" t="str">
        <f aca="false">IF(CAD_Compromissos!$A40="","",CAD_Compromissos!$V40)</f>
        <v/>
      </c>
      <c r="F67" s="44" t="str">
        <f aca="false">IF(CAD_Compromissos!$A40="","",CAD_Compromissos!$X40)</f>
        <v/>
      </c>
      <c r="G67" s="9" t="str">
        <f aca="false">IF(CAD_Compromissos!$A40="","",CAD_Compromissos!$Y40)</f>
        <v/>
      </c>
    </row>
    <row r="68" customFormat="false" ht="15" hidden="false" customHeight="false" outlineLevel="0" collapsed="false">
      <c r="A68" s="9" t="str">
        <f aca="false">IF(CAD_Compromissos!$A41="","",CAD_Compromissos!$B41)</f>
        <v/>
      </c>
      <c r="B68" s="9" t="str">
        <f aca="false">IF(CAD_Compromissos!$A41="","",CAD_Compromissos!$W41)</f>
        <v/>
      </c>
      <c r="C68" s="43" t="str">
        <f aca="false">IF(CAD_Compromissos!$A41="","",CAD_Compromissos!$T41)</f>
        <v/>
      </c>
      <c r="D68" s="10" t="str">
        <f aca="false">IF(CAD_Compromissos!$A41="","",CAD_Compromissos!$H41)</f>
        <v/>
      </c>
      <c r="E68" s="10" t="str">
        <f aca="false">IF(CAD_Compromissos!$A41="","",CAD_Compromissos!$V41)</f>
        <v/>
      </c>
      <c r="F68" s="44" t="str">
        <f aca="false">IF(CAD_Compromissos!$A41="","",CAD_Compromissos!$X41)</f>
        <v/>
      </c>
      <c r="G68" s="9" t="str">
        <f aca="false">IF(CAD_Compromissos!$A41="","",CAD_Compromissos!$Y41)</f>
        <v/>
      </c>
    </row>
    <row r="69" customFormat="false" ht="15" hidden="false" customHeight="false" outlineLevel="0" collapsed="false">
      <c r="A69" s="9" t="str">
        <f aca="false">IF(CAD_Compromissos!$A42="","",CAD_Compromissos!$B42)</f>
        <v/>
      </c>
      <c r="B69" s="9" t="str">
        <f aca="false">IF(CAD_Compromissos!$A42="","",CAD_Compromissos!$W42)</f>
        <v/>
      </c>
      <c r="C69" s="43" t="str">
        <f aca="false">IF(CAD_Compromissos!$A42="","",CAD_Compromissos!$T42)</f>
        <v/>
      </c>
      <c r="D69" s="10" t="str">
        <f aca="false">IF(CAD_Compromissos!$A42="","",CAD_Compromissos!$H42)</f>
        <v/>
      </c>
      <c r="E69" s="10" t="str">
        <f aca="false">IF(CAD_Compromissos!$A42="","",CAD_Compromissos!$V42)</f>
        <v/>
      </c>
      <c r="F69" s="44" t="str">
        <f aca="false">IF(CAD_Compromissos!$A42="","",CAD_Compromissos!$X42)</f>
        <v/>
      </c>
      <c r="G69" s="9" t="str">
        <f aca="false">IF(CAD_Compromissos!$A42="","",CAD_Compromissos!$Y42)</f>
        <v/>
      </c>
    </row>
    <row r="70" customFormat="false" ht="15" hidden="false" customHeight="false" outlineLevel="0" collapsed="false">
      <c r="A70" s="9" t="str">
        <f aca="false">IF(CAD_Compromissos!$A43="","",CAD_Compromissos!$B43)</f>
        <v/>
      </c>
      <c r="B70" s="9" t="str">
        <f aca="false">IF(CAD_Compromissos!$A43="","",CAD_Compromissos!$W43)</f>
        <v/>
      </c>
      <c r="C70" s="43" t="str">
        <f aca="false">IF(CAD_Compromissos!$A43="","",CAD_Compromissos!$T43)</f>
        <v/>
      </c>
      <c r="D70" s="10" t="str">
        <f aca="false">IF(CAD_Compromissos!$A43="","",CAD_Compromissos!$H43)</f>
        <v/>
      </c>
      <c r="E70" s="10" t="str">
        <f aca="false">IF(CAD_Compromissos!$A43="","",CAD_Compromissos!$V43)</f>
        <v/>
      </c>
      <c r="F70" s="44" t="str">
        <f aca="false">IF(CAD_Compromissos!$A43="","",CAD_Compromissos!$X43)</f>
        <v/>
      </c>
      <c r="G70" s="9" t="str">
        <f aca="false">IF(CAD_Compromissos!$A43="","",CAD_Compromissos!$Y43)</f>
        <v/>
      </c>
    </row>
    <row r="71" customFormat="false" ht="15" hidden="false" customHeight="false" outlineLevel="0" collapsed="false">
      <c r="A71" s="9" t="str">
        <f aca="false">IF(CAD_Compromissos!$A44="","",CAD_Compromissos!$B44)</f>
        <v/>
      </c>
      <c r="B71" s="9" t="str">
        <f aca="false">IF(CAD_Compromissos!$A44="","",CAD_Compromissos!$W44)</f>
        <v/>
      </c>
      <c r="C71" s="43" t="str">
        <f aca="false">IF(CAD_Compromissos!$A44="","",CAD_Compromissos!$T44)</f>
        <v/>
      </c>
      <c r="D71" s="10" t="str">
        <f aca="false">IF(CAD_Compromissos!$A44="","",CAD_Compromissos!$H44)</f>
        <v/>
      </c>
      <c r="E71" s="10" t="str">
        <f aca="false">IF(CAD_Compromissos!$A44="","",CAD_Compromissos!$V44)</f>
        <v/>
      </c>
      <c r="F71" s="44" t="str">
        <f aca="false">IF(CAD_Compromissos!$A44="","",CAD_Compromissos!$X44)</f>
        <v/>
      </c>
      <c r="G71" s="9" t="str">
        <f aca="false">IF(CAD_Compromissos!$A44="","",CAD_Compromissos!$Y44)</f>
        <v/>
      </c>
    </row>
    <row r="73" customFormat="false" ht="19.5" hidden="false" customHeight="true" outlineLevel="0" collapsed="false">
      <c r="A73" s="3" t="s">
        <v>374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30" hidden="false" customHeight="true" outlineLevel="0" collapsed="false">
      <c r="A74" s="8" t="s">
        <v>375</v>
      </c>
      <c r="B74" s="8" t="s">
        <v>162</v>
      </c>
      <c r="C74" s="8" t="s">
        <v>206</v>
      </c>
      <c r="D74" s="8" t="s">
        <v>138</v>
      </c>
      <c r="E74" s="8" t="s">
        <v>210</v>
      </c>
      <c r="F74" s="8" t="s">
        <v>211</v>
      </c>
      <c r="G74" s="8" t="s">
        <v>212</v>
      </c>
    </row>
    <row r="75" customFormat="false" ht="15" hidden="false" customHeight="false" outlineLevel="0" collapsed="false">
      <c r="A75" s="9" t="str">
        <f aca="false">IF(CAD_Investimentos!$A5="","",CAD_Investimentos!$B5)</f>
        <v/>
      </c>
      <c r="B75" s="9" t="str">
        <f aca="false">IF(CAD_Investimentos!$A5="","",CAD_Investimentos!$E5)</f>
        <v/>
      </c>
      <c r="C75" s="10" t="str">
        <f aca="false">IF(CAD_Investimentos!$A5="","",CAD_Investimentos!$O5)</f>
        <v/>
      </c>
      <c r="D75" s="44" t="str">
        <f aca="false">IF(CAD_Investimentos!$A5="","",CAD_Investimentos!$K5)</f>
        <v/>
      </c>
      <c r="E75" s="10" t="str">
        <f aca="false">IF(CAD_Investimentos!$A5="","",CAD_Investimentos!$S5)</f>
        <v/>
      </c>
      <c r="F75" s="10" t="str">
        <f aca="false">IF(CAD_Investimentos!$A5="","",CAD_Investimentos!$T5)</f>
        <v/>
      </c>
      <c r="G75" s="10" t="str">
        <f aca="false">IF(CAD_Investimentos!$A5="","",CAD_Investimentos!$U5)</f>
        <v/>
      </c>
    </row>
    <row r="76" customFormat="false" ht="15" hidden="false" customHeight="false" outlineLevel="0" collapsed="false">
      <c r="A76" s="9" t="str">
        <f aca="false">IF(CAD_Investimentos!$A6="","",CAD_Investimentos!$B6)</f>
        <v/>
      </c>
      <c r="B76" s="9" t="str">
        <f aca="false">IF(CAD_Investimentos!$A6="","",CAD_Investimentos!$E6)</f>
        <v/>
      </c>
      <c r="C76" s="10" t="str">
        <f aca="false">IF(CAD_Investimentos!$A6="","",CAD_Investimentos!$O6)</f>
        <v/>
      </c>
      <c r="D76" s="44" t="str">
        <f aca="false">IF(CAD_Investimentos!$A6="","",CAD_Investimentos!$K6)</f>
        <v/>
      </c>
      <c r="E76" s="10" t="str">
        <f aca="false">IF(CAD_Investimentos!$A6="","",CAD_Investimentos!$S6)</f>
        <v/>
      </c>
      <c r="F76" s="10" t="str">
        <f aca="false">IF(CAD_Investimentos!$A6="","",CAD_Investimentos!$T6)</f>
        <v/>
      </c>
      <c r="G76" s="10" t="str">
        <f aca="false">IF(CAD_Investimentos!$A6="","",CAD_Investimentos!$U6)</f>
        <v/>
      </c>
    </row>
    <row r="77" customFormat="false" ht="15" hidden="false" customHeight="false" outlineLevel="0" collapsed="false">
      <c r="A77" s="9" t="str">
        <f aca="false">IF(CAD_Investimentos!$A7="","",CAD_Investimentos!$B7)</f>
        <v/>
      </c>
      <c r="B77" s="9" t="str">
        <f aca="false">IF(CAD_Investimentos!$A7="","",CAD_Investimentos!$E7)</f>
        <v/>
      </c>
      <c r="C77" s="10" t="str">
        <f aca="false">IF(CAD_Investimentos!$A7="","",CAD_Investimentos!$O7)</f>
        <v/>
      </c>
      <c r="D77" s="44" t="str">
        <f aca="false">IF(CAD_Investimentos!$A7="","",CAD_Investimentos!$K7)</f>
        <v/>
      </c>
      <c r="E77" s="10" t="str">
        <f aca="false">IF(CAD_Investimentos!$A7="","",CAD_Investimentos!$S7)</f>
        <v/>
      </c>
      <c r="F77" s="10" t="str">
        <f aca="false">IF(CAD_Investimentos!$A7="","",CAD_Investimentos!$T7)</f>
        <v/>
      </c>
      <c r="G77" s="10" t="str">
        <f aca="false">IF(CAD_Investimentos!$A7="","",CAD_Investimentos!$U7)</f>
        <v/>
      </c>
    </row>
    <row r="78" customFormat="false" ht="15" hidden="false" customHeight="false" outlineLevel="0" collapsed="false">
      <c r="A78" s="9" t="str">
        <f aca="false">IF(CAD_Investimentos!$A8="","",CAD_Investimentos!$B8)</f>
        <v/>
      </c>
      <c r="B78" s="9" t="str">
        <f aca="false">IF(CAD_Investimentos!$A8="","",CAD_Investimentos!$E8)</f>
        <v/>
      </c>
      <c r="C78" s="10" t="str">
        <f aca="false">IF(CAD_Investimentos!$A8="","",CAD_Investimentos!$O8)</f>
        <v/>
      </c>
      <c r="D78" s="44" t="str">
        <f aca="false">IF(CAD_Investimentos!$A8="","",CAD_Investimentos!$K8)</f>
        <v/>
      </c>
      <c r="E78" s="10" t="str">
        <f aca="false">IF(CAD_Investimentos!$A8="","",CAD_Investimentos!$S8)</f>
        <v/>
      </c>
      <c r="F78" s="10" t="str">
        <f aca="false">IF(CAD_Investimentos!$A8="","",CAD_Investimentos!$T8)</f>
        <v/>
      </c>
      <c r="G78" s="10" t="str">
        <f aca="false">IF(CAD_Investimentos!$A8="","",CAD_Investimentos!$U8)</f>
        <v/>
      </c>
    </row>
    <row r="79" customFormat="false" ht="15" hidden="false" customHeight="false" outlineLevel="0" collapsed="false">
      <c r="A79" s="9" t="str">
        <f aca="false">IF(CAD_Investimentos!$A9="","",CAD_Investimentos!$B9)</f>
        <v/>
      </c>
      <c r="B79" s="9" t="str">
        <f aca="false">IF(CAD_Investimentos!$A9="","",CAD_Investimentos!$E9)</f>
        <v/>
      </c>
      <c r="C79" s="10" t="str">
        <f aca="false">IF(CAD_Investimentos!$A9="","",CAD_Investimentos!$O9)</f>
        <v/>
      </c>
      <c r="D79" s="44" t="str">
        <f aca="false">IF(CAD_Investimentos!$A9="","",CAD_Investimentos!$K9)</f>
        <v/>
      </c>
      <c r="E79" s="10" t="str">
        <f aca="false">IF(CAD_Investimentos!$A9="","",CAD_Investimentos!$S9)</f>
        <v/>
      </c>
      <c r="F79" s="10" t="str">
        <f aca="false">IF(CAD_Investimentos!$A9="","",CAD_Investimentos!$T9)</f>
        <v/>
      </c>
      <c r="G79" s="10" t="str">
        <f aca="false">IF(CAD_Investimentos!$A9="","",CAD_Investimentos!$U9)</f>
        <v/>
      </c>
    </row>
    <row r="80" customFormat="false" ht="15" hidden="false" customHeight="false" outlineLevel="0" collapsed="false">
      <c r="A80" s="9" t="str">
        <f aca="false">IF(CAD_Investimentos!$A10="","",CAD_Investimentos!$B10)</f>
        <v/>
      </c>
      <c r="B80" s="9" t="str">
        <f aca="false">IF(CAD_Investimentos!$A10="","",CAD_Investimentos!$E10)</f>
        <v/>
      </c>
      <c r="C80" s="10" t="str">
        <f aca="false">IF(CAD_Investimentos!$A10="","",CAD_Investimentos!$O10)</f>
        <v/>
      </c>
      <c r="D80" s="44" t="str">
        <f aca="false">IF(CAD_Investimentos!$A10="","",CAD_Investimentos!$K10)</f>
        <v/>
      </c>
      <c r="E80" s="10" t="str">
        <f aca="false">IF(CAD_Investimentos!$A10="","",CAD_Investimentos!$S10)</f>
        <v/>
      </c>
      <c r="F80" s="10" t="str">
        <f aca="false">IF(CAD_Investimentos!$A10="","",CAD_Investimentos!$T10)</f>
        <v/>
      </c>
      <c r="G80" s="10" t="str">
        <f aca="false">IF(CAD_Investimentos!$A10="","",CAD_Investimentos!$U10)</f>
        <v/>
      </c>
    </row>
    <row r="81" customFormat="false" ht="15" hidden="false" customHeight="false" outlineLevel="0" collapsed="false">
      <c r="A81" s="9" t="str">
        <f aca="false">IF(CAD_Investimentos!$A11="","",CAD_Investimentos!$B11)</f>
        <v/>
      </c>
      <c r="B81" s="9" t="str">
        <f aca="false">IF(CAD_Investimentos!$A11="","",CAD_Investimentos!$E11)</f>
        <v/>
      </c>
      <c r="C81" s="10" t="str">
        <f aca="false">IF(CAD_Investimentos!$A11="","",CAD_Investimentos!$O11)</f>
        <v/>
      </c>
      <c r="D81" s="44" t="str">
        <f aca="false">IF(CAD_Investimentos!$A11="","",CAD_Investimentos!$K11)</f>
        <v/>
      </c>
      <c r="E81" s="10" t="str">
        <f aca="false">IF(CAD_Investimentos!$A11="","",CAD_Investimentos!$S11)</f>
        <v/>
      </c>
      <c r="F81" s="10" t="str">
        <f aca="false">IF(CAD_Investimentos!$A11="","",CAD_Investimentos!$T11)</f>
        <v/>
      </c>
      <c r="G81" s="10" t="str">
        <f aca="false">IF(CAD_Investimentos!$A11="","",CAD_Investimentos!$U11)</f>
        <v/>
      </c>
    </row>
    <row r="82" customFormat="false" ht="15" hidden="false" customHeight="false" outlineLevel="0" collapsed="false">
      <c r="A82" s="9" t="str">
        <f aca="false">IF(CAD_Investimentos!$A12="","",CAD_Investimentos!$B12)</f>
        <v/>
      </c>
      <c r="B82" s="9" t="str">
        <f aca="false">IF(CAD_Investimentos!$A12="","",CAD_Investimentos!$E12)</f>
        <v/>
      </c>
      <c r="C82" s="10" t="str">
        <f aca="false">IF(CAD_Investimentos!$A12="","",CAD_Investimentos!$O12)</f>
        <v/>
      </c>
      <c r="D82" s="44" t="str">
        <f aca="false">IF(CAD_Investimentos!$A12="","",CAD_Investimentos!$K12)</f>
        <v/>
      </c>
      <c r="E82" s="10" t="str">
        <f aca="false">IF(CAD_Investimentos!$A12="","",CAD_Investimentos!$S12)</f>
        <v/>
      </c>
      <c r="F82" s="10" t="str">
        <f aca="false">IF(CAD_Investimentos!$A12="","",CAD_Investimentos!$T12)</f>
        <v/>
      </c>
      <c r="G82" s="10" t="str">
        <f aca="false">IF(CAD_Investimentos!$A12="","",CAD_Investimentos!$U12)</f>
        <v/>
      </c>
    </row>
    <row r="83" customFormat="false" ht="15" hidden="false" customHeight="false" outlineLevel="0" collapsed="false">
      <c r="A83" s="9" t="str">
        <f aca="false">IF(CAD_Investimentos!$A13="","",CAD_Investimentos!$B13)</f>
        <v/>
      </c>
      <c r="B83" s="9" t="str">
        <f aca="false">IF(CAD_Investimentos!$A13="","",CAD_Investimentos!$E13)</f>
        <v/>
      </c>
      <c r="C83" s="10" t="str">
        <f aca="false">IF(CAD_Investimentos!$A13="","",CAD_Investimentos!$O13)</f>
        <v/>
      </c>
      <c r="D83" s="44" t="str">
        <f aca="false">IF(CAD_Investimentos!$A13="","",CAD_Investimentos!$K13)</f>
        <v/>
      </c>
      <c r="E83" s="10" t="str">
        <f aca="false">IF(CAD_Investimentos!$A13="","",CAD_Investimentos!$S13)</f>
        <v/>
      </c>
      <c r="F83" s="10" t="str">
        <f aca="false">IF(CAD_Investimentos!$A13="","",CAD_Investimentos!$T13)</f>
        <v/>
      </c>
      <c r="G83" s="10" t="str">
        <f aca="false">IF(CAD_Investimentos!$A13="","",CAD_Investimentos!$U13)</f>
        <v/>
      </c>
    </row>
    <row r="84" customFormat="false" ht="15" hidden="false" customHeight="false" outlineLevel="0" collapsed="false">
      <c r="A84" s="9" t="str">
        <f aca="false">IF(CAD_Investimentos!$A14="","",CAD_Investimentos!$B14)</f>
        <v/>
      </c>
      <c r="B84" s="9" t="str">
        <f aca="false">IF(CAD_Investimentos!$A14="","",CAD_Investimentos!$E14)</f>
        <v/>
      </c>
      <c r="C84" s="10" t="str">
        <f aca="false">IF(CAD_Investimentos!$A14="","",CAD_Investimentos!$O14)</f>
        <v/>
      </c>
      <c r="D84" s="44" t="str">
        <f aca="false">IF(CAD_Investimentos!$A14="","",CAD_Investimentos!$K14)</f>
        <v/>
      </c>
      <c r="E84" s="10" t="str">
        <f aca="false">IF(CAD_Investimentos!$A14="","",CAD_Investimentos!$S14)</f>
        <v/>
      </c>
      <c r="F84" s="10" t="str">
        <f aca="false">IF(CAD_Investimentos!$A14="","",CAD_Investimentos!$T14)</f>
        <v/>
      </c>
      <c r="G84" s="10" t="str">
        <f aca="false">IF(CAD_Investimentos!$A14="","",CAD_Investimentos!$U14)</f>
        <v/>
      </c>
    </row>
    <row r="85" customFormat="false" ht="15" hidden="false" customHeight="false" outlineLevel="0" collapsed="false">
      <c r="A85" s="9" t="str">
        <f aca="false">IF(CAD_Investimentos!$A15="","",CAD_Investimentos!$B15)</f>
        <v/>
      </c>
      <c r="B85" s="9" t="str">
        <f aca="false">IF(CAD_Investimentos!$A15="","",CAD_Investimentos!$E15)</f>
        <v/>
      </c>
      <c r="C85" s="10" t="str">
        <f aca="false">IF(CAD_Investimentos!$A15="","",CAD_Investimentos!$O15)</f>
        <v/>
      </c>
      <c r="D85" s="44" t="str">
        <f aca="false">IF(CAD_Investimentos!$A15="","",CAD_Investimentos!$K15)</f>
        <v/>
      </c>
      <c r="E85" s="10" t="str">
        <f aca="false">IF(CAD_Investimentos!$A15="","",CAD_Investimentos!$S15)</f>
        <v/>
      </c>
      <c r="F85" s="10" t="str">
        <f aca="false">IF(CAD_Investimentos!$A15="","",CAD_Investimentos!$T15)</f>
        <v/>
      </c>
      <c r="G85" s="10" t="str">
        <f aca="false">IF(CAD_Investimentos!$A15="","",CAD_Investimentos!$U15)</f>
        <v/>
      </c>
    </row>
    <row r="86" customFormat="false" ht="15" hidden="false" customHeight="false" outlineLevel="0" collapsed="false">
      <c r="A86" s="9" t="str">
        <f aca="false">IF(CAD_Investimentos!$A16="","",CAD_Investimentos!$B16)</f>
        <v/>
      </c>
      <c r="B86" s="9" t="str">
        <f aca="false">IF(CAD_Investimentos!$A16="","",CAD_Investimentos!$E16)</f>
        <v/>
      </c>
      <c r="C86" s="10" t="str">
        <f aca="false">IF(CAD_Investimentos!$A16="","",CAD_Investimentos!$O16)</f>
        <v/>
      </c>
      <c r="D86" s="44" t="str">
        <f aca="false">IF(CAD_Investimentos!$A16="","",CAD_Investimentos!$K16)</f>
        <v/>
      </c>
      <c r="E86" s="10" t="str">
        <f aca="false">IF(CAD_Investimentos!$A16="","",CAD_Investimentos!$S16)</f>
        <v/>
      </c>
      <c r="F86" s="10" t="str">
        <f aca="false">IF(CAD_Investimentos!$A16="","",CAD_Investimentos!$T16)</f>
        <v/>
      </c>
      <c r="G86" s="10" t="str">
        <f aca="false">IF(CAD_Investimentos!$A16="","",CAD_Investimentos!$U16)</f>
        <v/>
      </c>
    </row>
    <row r="87" customFormat="false" ht="15" hidden="false" customHeight="false" outlineLevel="0" collapsed="false">
      <c r="A87" s="9" t="str">
        <f aca="false">IF(CAD_Investimentos!$A17="","",CAD_Investimentos!$B17)</f>
        <v/>
      </c>
      <c r="B87" s="9" t="str">
        <f aca="false">IF(CAD_Investimentos!$A17="","",CAD_Investimentos!$E17)</f>
        <v/>
      </c>
      <c r="C87" s="10" t="str">
        <f aca="false">IF(CAD_Investimentos!$A17="","",CAD_Investimentos!$O17)</f>
        <v/>
      </c>
      <c r="D87" s="44" t="str">
        <f aca="false">IF(CAD_Investimentos!$A17="","",CAD_Investimentos!$K17)</f>
        <v/>
      </c>
      <c r="E87" s="10" t="str">
        <f aca="false">IF(CAD_Investimentos!$A17="","",CAD_Investimentos!$S17)</f>
        <v/>
      </c>
      <c r="F87" s="10" t="str">
        <f aca="false">IF(CAD_Investimentos!$A17="","",CAD_Investimentos!$T17)</f>
        <v/>
      </c>
      <c r="G87" s="10" t="str">
        <f aca="false">IF(CAD_Investimentos!$A17="","",CAD_Investimentos!$U17)</f>
        <v/>
      </c>
    </row>
    <row r="88" customFormat="false" ht="15" hidden="false" customHeight="false" outlineLevel="0" collapsed="false">
      <c r="A88" s="9" t="str">
        <f aca="false">IF(CAD_Investimentos!$A18="","",CAD_Investimentos!$B18)</f>
        <v/>
      </c>
      <c r="B88" s="9" t="str">
        <f aca="false">IF(CAD_Investimentos!$A18="","",CAD_Investimentos!$E18)</f>
        <v/>
      </c>
      <c r="C88" s="10" t="str">
        <f aca="false">IF(CAD_Investimentos!$A18="","",CAD_Investimentos!$O18)</f>
        <v/>
      </c>
      <c r="D88" s="44" t="str">
        <f aca="false">IF(CAD_Investimentos!$A18="","",CAD_Investimentos!$K18)</f>
        <v/>
      </c>
      <c r="E88" s="10" t="str">
        <f aca="false">IF(CAD_Investimentos!$A18="","",CAD_Investimentos!$S18)</f>
        <v/>
      </c>
      <c r="F88" s="10" t="str">
        <f aca="false">IF(CAD_Investimentos!$A18="","",CAD_Investimentos!$T18)</f>
        <v/>
      </c>
      <c r="G88" s="10" t="str">
        <f aca="false">IF(CAD_Investimentos!$A18="","",CAD_Investimentos!$U18)</f>
        <v/>
      </c>
    </row>
    <row r="89" customFormat="false" ht="15" hidden="false" customHeight="false" outlineLevel="0" collapsed="false">
      <c r="A89" s="9" t="str">
        <f aca="false">IF(CAD_Investimentos!$A19="","",CAD_Investimentos!$B19)</f>
        <v/>
      </c>
      <c r="B89" s="9" t="str">
        <f aca="false">IF(CAD_Investimentos!$A19="","",CAD_Investimentos!$E19)</f>
        <v/>
      </c>
      <c r="C89" s="10" t="str">
        <f aca="false">IF(CAD_Investimentos!$A19="","",CAD_Investimentos!$O19)</f>
        <v/>
      </c>
      <c r="D89" s="44" t="str">
        <f aca="false">IF(CAD_Investimentos!$A19="","",CAD_Investimentos!$K19)</f>
        <v/>
      </c>
      <c r="E89" s="10" t="str">
        <f aca="false">IF(CAD_Investimentos!$A19="","",CAD_Investimentos!$S19)</f>
        <v/>
      </c>
      <c r="F89" s="10" t="str">
        <f aca="false">IF(CAD_Investimentos!$A19="","",CAD_Investimentos!$T19)</f>
        <v/>
      </c>
      <c r="G89" s="10" t="str">
        <f aca="false">IF(CAD_Investimentos!$A19="","",CAD_Investimentos!$U19)</f>
        <v/>
      </c>
    </row>
    <row r="90" customFormat="false" ht="15" hidden="false" customHeight="false" outlineLevel="0" collapsed="false">
      <c r="A90" s="9" t="str">
        <f aca="false">IF(CAD_Investimentos!$A20="","",CAD_Investimentos!$B20)</f>
        <v/>
      </c>
      <c r="B90" s="9" t="str">
        <f aca="false">IF(CAD_Investimentos!$A20="","",CAD_Investimentos!$E20)</f>
        <v/>
      </c>
      <c r="C90" s="10" t="str">
        <f aca="false">IF(CAD_Investimentos!$A20="","",CAD_Investimentos!$O20)</f>
        <v/>
      </c>
      <c r="D90" s="44" t="str">
        <f aca="false">IF(CAD_Investimentos!$A20="","",CAD_Investimentos!$K20)</f>
        <v/>
      </c>
      <c r="E90" s="10" t="str">
        <f aca="false">IF(CAD_Investimentos!$A20="","",CAD_Investimentos!$S20)</f>
        <v/>
      </c>
      <c r="F90" s="10" t="str">
        <f aca="false">IF(CAD_Investimentos!$A20="","",CAD_Investimentos!$T20)</f>
        <v/>
      </c>
      <c r="G90" s="10" t="str">
        <f aca="false">IF(CAD_Investimentos!$A20="","",CAD_Investimentos!$U20)</f>
        <v/>
      </c>
    </row>
    <row r="91" customFormat="false" ht="15" hidden="false" customHeight="false" outlineLevel="0" collapsed="false">
      <c r="A91" s="9" t="str">
        <f aca="false">IF(CAD_Investimentos!$A21="","",CAD_Investimentos!$B21)</f>
        <v/>
      </c>
      <c r="B91" s="9" t="str">
        <f aca="false">IF(CAD_Investimentos!$A21="","",CAD_Investimentos!$E21)</f>
        <v/>
      </c>
      <c r="C91" s="10" t="str">
        <f aca="false">IF(CAD_Investimentos!$A21="","",CAD_Investimentos!$O21)</f>
        <v/>
      </c>
      <c r="D91" s="44" t="str">
        <f aca="false">IF(CAD_Investimentos!$A21="","",CAD_Investimentos!$K21)</f>
        <v/>
      </c>
      <c r="E91" s="10" t="str">
        <f aca="false">IF(CAD_Investimentos!$A21="","",CAD_Investimentos!$S21)</f>
        <v/>
      </c>
      <c r="F91" s="10" t="str">
        <f aca="false">IF(CAD_Investimentos!$A21="","",CAD_Investimentos!$T21)</f>
        <v/>
      </c>
      <c r="G91" s="10" t="str">
        <f aca="false">IF(CAD_Investimentos!$A21="","",CAD_Investimentos!$U21)</f>
        <v/>
      </c>
    </row>
    <row r="92" customFormat="false" ht="15" hidden="false" customHeight="false" outlineLevel="0" collapsed="false">
      <c r="A92" s="9" t="str">
        <f aca="false">IF(CAD_Investimentos!$A22="","",CAD_Investimentos!$B22)</f>
        <v/>
      </c>
      <c r="B92" s="9" t="str">
        <f aca="false">IF(CAD_Investimentos!$A22="","",CAD_Investimentos!$E22)</f>
        <v/>
      </c>
      <c r="C92" s="10" t="str">
        <f aca="false">IF(CAD_Investimentos!$A22="","",CAD_Investimentos!$O22)</f>
        <v/>
      </c>
      <c r="D92" s="44" t="str">
        <f aca="false">IF(CAD_Investimentos!$A22="","",CAD_Investimentos!$K22)</f>
        <v/>
      </c>
      <c r="E92" s="10" t="str">
        <f aca="false">IF(CAD_Investimentos!$A22="","",CAD_Investimentos!$S22)</f>
        <v/>
      </c>
      <c r="F92" s="10" t="str">
        <f aca="false">IF(CAD_Investimentos!$A22="","",CAD_Investimentos!$T22)</f>
        <v/>
      </c>
      <c r="G92" s="10" t="str">
        <f aca="false">IF(CAD_Investimentos!$A22="","",CAD_Investimentos!$U22)</f>
        <v/>
      </c>
    </row>
    <row r="93" customFormat="false" ht="15" hidden="false" customHeight="false" outlineLevel="0" collapsed="false">
      <c r="A93" s="9" t="str">
        <f aca="false">IF(CAD_Investimentos!$A23="","",CAD_Investimentos!$B23)</f>
        <v/>
      </c>
      <c r="B93" s="9" t="str">
        <f aca="false">IF(CAD_Investimentos!$A23="","",CAD_Investimentos!$E23)</f>
        <v/>
      </c>
      <c r="C93" s="10" t="str">
        <f aca="false">IF(CAD_Investimentos!$A23="","",CAD_Investimentos!$O23)</f>
        <v/>
      </c>
      <c r="D93" s="44" t="str">
        <f aca="false">IF(CAD_Investimentos!$A23="","",CAD_Investimentos!$K23)</f>
        <v/>
      </c>
      <c r="E93" s="10" t="str">
        <f aca="false">IF(CAD_Investimentos!$A23="","",CAD_Investimentos!$S23)</f>
        <v/>
      </c>
      <c r="F93" s="10" t="str">
        <f aca="false">IF(CAD_Investimentos!$A23="","",CAD_Investimentos!$T23)</f>
        <v/>
      </c>
      <c r="G93" s="10" t="str">
        <f aca="false">IF(CAD_Investimentos!$A23="","",CAD_Investimentos!$U23)</f>
        <v/>
      </c>
    </row>
    <row r="94" customFormat="false" ht="15" hidden="false" customHeight="false" outlineLevel="0" collapsed="false">
      <c r="A94" s="9" t="str">
        <f aca="false">IF(CAD_Investimentos!$A24="","",CAD_Investimentos!$B24)</f>
        <v/>
      </c>
      <c r="B94" s="9" t="str">
        <f aca="false">IF(CAD_Investimentos!$A24="","",CAD_Investimentos!$E24)</f>
        <v/>
      </c>
      <c r="C94" s="10" t="str">
        <f aca="false">IF(CAD_Investimentos!$A24="","",CAD_Investimentos!$O24)</f>
        <v/>
      </c>
      <c r="D94" s="44" t="str">
        <f aca="false">IF(CAD_Investimentos!$A24="","",CAD_Investimentos!$K24)</f>
        <v/>
      </c>
      <c r="E94" s="10" t="str">
        <f aca="false">IF(CAD_Investimentos!$A24="","",CAD_Investimentos!$S24)</f>
        <v/>
      </c>
      <c r="F94" s="10" t="str">
        <f aca="false">IF(CAD_Investimentos!$A24="","",CAD_Investimentos!$T24)</f>
        <v/>
      </c>
      <c r="G94" s="10" t="str">
        <f aca="false">IF(CAD_Investimentos!$A24="","",CAD_Investimentos!$U24)</f>
        <v/>
      </c>
    </row>
    <row r="95" customFormat="false" ht="15" hidden="false" customHeight="false" outlineLevel="0" collapsed="false">
      <c r="A95" s="9" t="str">
        <f aca="false">IF(CAD_Investimentos!$A25="","",CAD_Investimentos!$B25)</f>
        <v/>
      </c>
      <c r="B95" s="9" t="str">
        <f aca="false">IF(CAD_Investimentos!$A25="","",CAD_Investimentos!$E25)</f>
        <v/>
      </c>
      <c r="C95" s="10" t="str">
        <f aca="false">IF(CAD_Investimentos!$A25="","",CAD_Investimentos!$O25)</f>
        <v/>
      </c>
      <c r="D95" s="44" t="str">
        <f aca="false">IF(CAD_Investimentos!$A25="","",CAD_Investimentos!$K25)</f>
        <v/>
      </c>
      <c r="E95" s="10" t="str">
        <f aca="false">IF(CAD_Investimentos!$A25="","",CAD_Investimentos!$S25)</f>
        <v/>
      </c>
      <c r="F95" s="10" t="str">
        <f aca="false">IF(CAD_Investimentos!$A25="","",CAD_Investimentos!$T25)</f>
        <v/>
      </c>
      <c r="G95" s="10" t="str">
        <f aca="false">IF(CAD_Investimentos!$A25="","",CAD_Investimentos!$U25)</f>
        <v/>
      </c>
    </row>
    <row r="96" customFormat="false" ht="15" hidden="false" customHeight="false" outlineLevel="0" collapsed="false">
      <c r="A96" s="9" t="str">
        <f aca="false">IF(CAD_Investimentos!$A26="","",CAD_Investimentos!$B26)</f>
        <v/>
      </c>
      <c r="B96" s="9" t="str">
        <f aca="false">IF(CAD_Investimentos!$A26="","",CAD_Investimentos!$E26)</f>
        <v/>
      </c>
      <c r="C96" s="10" t="str">
        <f aca="false">IF(CAD_Investimentos!$A26="","",CAD_Investimentos!$O26)</f>
        <v/>
      </c>
      <c r="D96" s="44" t="str">
        <f aca="false">IF(CAD_Investimentos!$A26="","",CAD_Investimentos!$K26)</f>
        <v/>
      </c>
      <c r="E96" s="10" t="str">
        <f aca="false">IF(CAD_Investimentos!$A26="","",CAD_Investimentos!$S26)</f>
        <v/>
      </c>
      <c r="F96" s="10" t="str">
        <f aca="false">IF(CAD_Investimentos!$A26="","",CAD_Investimentos!$T26)</f>
        <v/>
      </c>
      <c r="G96" s="10" t="str">
        <f aca="false">IF(CAD_Investimentos!$A26="","",CAD_Investimentos!$U26)</f>
        <v/>
      </c>
    </row>
    <row r="97" customFormat="false" ht="15" hidden="false" customHeight="false" outlineLevel="0" collapsed="false">
      <c r="A97" s="9" t="str">
        <f aca="false">IF(CAD_Investimentos!$A27="","",CAD_Investimentos!$B27)</f>
        <v/>
      </c>
      <c r="B97" s="9" t="str">
        <f aca="false">IF(CAD_Investimentos!$A27="","",CAD_Investimentos!$E27)</f>
        <v/>
      </c>
      <c r="C97" s="10" t="str">
        <f aca="false">IF(CAD_Investimentos!$A27="","",CAD_Investimentos!$O27)</f>
        <v/>
      </c>
      <c r="D97" s="44" t="str">
        <f aca="false">IF(CAD_Investimentos!$A27="","",CAD_Investimentos!$K27)</f>
        <v/>
      </c>
      <c r="E97" s="10" t="str">
        <f aca="false">IF(CAD_Investimentos!$A27="","",CAD_Investimentos!$S27)</f>
        <v/>
      </c>
      <c r="F97" s="10" t="str">
        <f aca="false">IF(CAD_Investimentos!$A27="","",CAD_Investimentos!$T27)</f>
        <v/>
      </c>
      <c r="G97" s="10" t="str">
        <f aca="false">IF(CAD_Investimentos!$A27="","",CAD_Investimentos!$U27)</f>
        <v/>
      </c>
    </row>
    <row r="98" customFormat="false" ht="15" hidden="false" customHeight="false" outlineLevel="0" collapsed="false">
      <c r="A98" s="9" t="str">
        <f aca="false">IF(CAD_Investimentos!$A28="","",CAD_Investimentos!$B28)</f>
        <v/>
      </c>
      <c r="B98" s="9" t="str">
        <f aca="false">IF(CAD_Investimentos!$A28="","",CAD_Investimentos!$E28)</f>
        <v/>
      </c>
      <c r="C98" s="10" t="str">
        <f aca="false">IF(CAD_Investimentos!$A28="","",CAD_Investimentos!$O28)</f>
        <v/>
      </c>
      <c r="D98" s="44" t="str">
        <f aca="false">IF(CAD_Investimentos!$A28="","",CAD_Investimentos!$K28)</f>
        <v/>
      </c>
      <c r="E98" s="10" t="str">
        <f aca="false">IF(CAD_Investimentos!$A28="","",CAD_Investimentos!$S28)</f>
        <v/>
      </c>
      <c r="F98" s="10" t="str">
        <f aca="false">IF(CAD_Investimentos!$A28="","",CAD_Investimentos!$T28)</f>
        <v/>
      </c>
      <c r="G98" s="10" t="str">
        <f aca="false">IF(CAD_Investimentos!$A28="","",CAD_Investimentos!$U28)</f>
        <v/>
      </c>
    </row>
    <row r="99" customFormat="false" ht="15" hidden="false" customHeight="false" outlineLevel="0" collapsed="false">
      <c r="A99" s="9" t="str">
        <f aca="false">IF(CAD_Investimentos!$A29="","",CAD_Investimentos!$B29)</f>
        <v/>
      </c>
      <c r="B99" s="9" t="str">
        <f aca="false">IF(CAD_Investimentos!$A29="","",CAD_Investimentos!$E29)</f>
        <v/>
      </c>
      <c r="C99" s="10" t="str">
        <f aca="false">IF(CAD_Investimentos!$A29="","",CAD_Investimentos!$O29)</f>
        <v/>
      </c>
      <c r="D99" s="44" t="str">
        <f aca="false">IF(CAD_Investimentos!$A29="","",CAD_Investimentos!$K29)</f>
        <v/>
      </c>
      <c r="E99" s="10" t="str">
        <f aca="false">IF(CAD_Investimentos!$A29="","",CAD_Investimentos!$S29)</f>
        <v/>
      </c>
      <c r="F99" s="10" t="str">
        <f aca="false">IF(CAD_Investimentos!$A29="","",CAD_Investimentos!$T29)</f>
        <v/>
      </c>
      <c r="G99" s="10" t="str">
        <f aca="false">IF(CAD_Investimentos!$A29="","",CAD_Investimentos!$U29)</f>
        <v/>
      </c>
    </row>
    <row r="100" customFormat="false" ht="15" hidden="false" customHeight="false" outlineLevel="0" collapsed="false">
      <c r="A100" s="9" t="str">
        <f aca="false">IF(CAD_Investimentos!$A30="","",CAD_Investimentos!$B30)</f>
        <v/>
      </c>
      <c r="B100" s="9" t="str">
        <f aca="false">IF(CAD_Investimentos!$A30="","",CAD_Investimentos!$E30)</f>
        <v/>
      </c>
      <c r="C100" s="10" t="str">
        <f aca="false">IF(CAD_Investimentos!$A30="","",CAD_Investimentos!$O30)</f>
        <v/>
      </c>
      <c r="D100" s="44" t="str">
        <f aca="false">IF(CAD_Investimentos!$A30="","",CAD_Investimentos!$K30)</f>
        <v/>
      </c>
      <c r="E100" s="10" t="str">
        <f aca="false">IF(CAD_Investimentos!$A30="","",CAD_Investimentos!$S30)</f>
        <v/>
      </c>
      <c r="F100" s="10" t="str">
        <f aca="false">IF(CAD_Investimentos!$A30="","",CAD_Investimentos!$T30)</f>
        <v/>
      </c>
      <c r="G100" s="10" t="str">
        <f aca="false">IF(CAD_Investimentos!$A30="","",CAD_Investimentos!$U30)</f>
        <v/>
      </c>
    </row>
    <row r="101" customFormat="false" ht="15" hidden="false" customHeight="false" outlineLevel="0" collapsed="false">
      <c r="A101" s="9" t="str">
        <f aca="false">IF(CAD_Investimentos!$A31="","",CAD_Investimentos!$B31)</f>
        <v/>
      </c>
      <c r="B101" s="9" t="str">
        <f aca="false">IF(CAD_Investimentos!$A31="","",CAD_Investimentos!$E31)</f>
        <v/>
      </c>
      <c r="C101" s="10" t="str">
        <f aca="false">IF(CAD_Investimentos!$A31="","",CAD_Investimentos!$O31)</f>
        <v/>
      </c>
      <c r="D101" s="44" t="str">
        <f aca="false">IF(CAD_Investimentos!$A31="","",CAD_Investimentos!$K31)</f>
        <v/>
      </c>
      <c r="E101" s="10" t="str">
        <f aca="false">IF(CAD_Investimentos!$A31="","",CAD_Investimentos!$S31)</f>
        <v/>
      </c>
      <c r="F101" s="10" t="str">
        <f aca="false">IF(CAD_Investimentos!$A31="","",CAD_Investimentos!$T31)</f>
        <v/>
      </c>
      <c r="G101" s="10" t="str">
        <f aca="false">IF(CAD_Investimentos!$A31="","",CAD_Investimentos!$U31)</f>
        <v/>
      </c>
    </row>
    <row r="102" customFormat="false" ht="15" hidden="false" customHeight="false" outlineLevel="0" collapsed="false">
      <c r="A102" s="9" t="str">
        <f aca="false">IF(CAD_Investimentos!$A32="","",CAD_Investimentos!$B32)</f>
        <v/>
      </c>
      <c r="B102" s="9" t="str">
        <f aca="false">IF(CAD_Investimentos!$A32="","",CAD_Investimentos!$E32)</f>
        <v/>
      </c>
      <c r="C102" s="10" t="str">
        <f aca="false">IF(CAD_Investimentos!$A32="","",CAD_Investimentos!$O32)</f>
        <v/>
      </c>
      <c r="D102" s="44" t="str">
        <f aca="false">IF(CAD_Investimentos!$A32="","",CAD_Investimentos!$K32)</f>
        <v/>
      </c>
      <c r="E102" s="10" t="str">
        <f aca="false">IF(CAD_Investimentos!$A32="","",CAD_Investimentos!$S32)</f>
        <v/>
      </c>
      <c r="F102" s="10" t="str">
        <f aca="false">IF(CAD_Investimentos!$A32="","",CAD_Investimentos!$T32)</f>
        <v/>
      </c>
      <c r="G102" s="10" t="str">
        <f aca="false">IF(CAD_Investimentos!$A32="","",CAD_Investimentos!$U32)</f>
        <v/>
      </c>
    </row>
    <row r="103" customFormat="false" ht="15" hidden="false" customHeight="false" outlineLevel="0" collapsed="false">
      <c r="A103" s="9" t="str">
        <f aca="false">IF(CAD_Investimentos!$A33="","",CAD_Investimentos!$B33)</f>
        <v/>
      </c>
      <c r="B103" s="9" t="str">
        <f aca="false">IF(CAD_Investimentos!$A33="","",CAD_Investimentos!$E33)</f>
        <v/>
      </c>
      <c r="C103" s="10" t="str">
        <f aca="false">IF(CAD_Investimentos!$A33="","",CAD_Investimentos!$O33)</f>
        <v/>
      </c>
      <c r="D103" s="44" t="str">
        <f aca="false">IF(CAD_Investimentos!$A33="","",CAD_Investimentos!$K33)</f>
        <v/>
      </c>
      <c r="E103" s="10" t="str">
        <f aca="false">IF(CAD_Investimentos!$A33="","",CAD_Investimentos!$S33)</f>
        <v/>
      </c>
      <c r="F103" s="10" t="str">
        <f aca="false">IF(CAD_Investimentos!$A33="","",CAD_Investimentos!$T33)</f>
        <v/>
      </c>
      <c r="G103" s="10" t="str">
        <f aca="false">IF(CAD_Investimentos!$A33="","",CAD_Investimentos!$U33)</f>
        <v/>
      </c>
    </row>
    <row r="104" customFormat="false" ht="15" hidden="false" customHeight="false" outlineLevel="0" collapsed="false">
      <c r="A104" s="9" t="str">
        <f aca="false">IF(CAD_Investimentos!$A34="","",CAD_Investimentos!$B34)</f>
        <v/>
      </c>
      <c r="B104" s="9" t="str">
        <f aca="false">IF(CAD_Investimentos!$A34="","",CAD_Investimentos!$E34)</f>
        <v/>
      </c>
      <c r="C104" s="10" t="str">
        <f aca="false">IF(CAD_Investimentos!$A34="","",CAD_Investimentos!$O34)</f>
        <v/>
      </c>
      <c r="D104" s="44" t="str">
        <f aca="false">IF(CAD_Investimentos!$A34="","",CAD_Investimentos!$K34)</f>
        <v/>
      </c>
      <c r="E104" s="10" t="str">
        <f aca="false">IF(CAD_Investimentos!$A34="","",CAD_Investimentos!$S34)</f>
        <v/>
      </c>
      <c r="F104" s="10" t="str">
        <f aca="false">IF(CAD_Investimentos!$A34="","",CAD_Investimentos!$T34)</f>
        <v/>
      </c>
      <c r="G104" s="10" t="str">
        <f aca="false">IF(CAD_Investimentos!$A34="","",CAD_Investimentos!$U34)</f>
        <v/>
      </c>
    </row>
    <row r="105" customFormat="false" ht="15" hidden="false" customHeight="false" outlineLevel="0" collapsed="false">
      <c r="A105" s="9" t="str">
        <f aca="false">IF(CAD_Investimentos!$A35="","",CAD_Investimentos!$B35)</f>
        <v/>
      </c>
      <c r="B105" s="9" t="str">
        <f aca="false">IF(CAD_Investimentos!$A35="","",CAD_Investimentos!$E35)</f>
        <v/>
      </c>
      <c r="C105" s="10" t="str">
        <f aca="false">IF(CAD_Investimentos!$A35="","",CAD_Investimentos!$O35)</f>
        <v/>
      </c>
      <c r="D105" s="44" t="str">
        <f aca="false">IF(CAD_Investimentos!$A35="","",CAD_Investimentos!$K35)</f>
        <v/>
      </c>
      <c r="E105" s="10" t="str">
        <f aca="false">IF(CAD_Investimentos!$A35="","",CAD_Investimentos!$S35)</f>
        <v/>
      </c>
      <c r="F105" s="10" t="str">
        <f aca="false">IF(CAD_Investimentos!$A35="","",CAD_Investimentos!$T35)</f>
        <v/>
      </c>
      <c r="G105" s="10" t="str">
        <f aca="false">IF(CAD_Investimentos!$A35="","",CAD_Investimentos!$U35)</f>
        <v/>
      </c>
    </row>
    <row r="106" customFormat="false" ht="15" hidden="false" customHeight="false" outlineLevel="0" collapsed="false">
      <c r="A106" s="9" t="str">
        <f aca="false">IF(CAD_Investimentos!$A36="","",CAD_Investimentos!$B36)</f>
        <v/>
      </c>
      <c r="B106" s="9" t="str">
        <f aca="false">IF(CAD_Investimentos!$A36="","",CAD_Investimentos!$E36)</f>
        <v/>
      </c>
      <c r="C106" s="10" t="str">
        <f aca="false">IF(CAD_Investimentos!$A36="","",CAD_Investimentos!$O36)</f>
        <v/>
      </c>
      <c r="D106" s="44" t="str">
        <f aca="false">IF(CAD_Investimentos!$A36="","",CAD_Investimentos!$K36)</f>
        <v/>
      </c>
      <c r="E106" s="10" t="str">
        <f aca="false">IF(CAD_Investimentos!$A36="","",CAD_Investimentos!$S36)</f>
        <v/>
      </c>
      <c r="F106" s="10" t="str">
        <f aca="false">IF(CAD_Investimentos!$A36="","",CAD_Investimentos!$T36)</f>
        <v/>
      </c>
      <c r="G106" s="10" t="str">
        <f aca="false">IF(CAD_Investimentos!$A36="","",CAD_Investimentos!$U36)</f>
        <v/>
      </c>
    </row>
    <row r="107" customFormat="false" ht="15" hidden="false" customHeight="false" outlineLevel="0" collapsed="false">
      <c r="A107" s="9" t="str">
        <f aca="false">IF(CAD_Investimentos!$A37="","",CAD_Investimentos!$B37)</f>
        <v/>
      </c>
      <c r="B107" s="9" t="str">
        <f aca="false">IF(CAD_Investimentos!$A37="","",CAD_Investimentos!$E37)</f>
        <v/>
      </c>
      <c r="C107" s="10" t="str">
        <f aca="false">IF(CAD_Investimentos!$A37="","",CAD_Investimentos!$O37)</f>
        <v/>
      </c>
      <c r="D107" s="44" t="str">
        <f aca="false">IF(CAD_Investimentos!$A37="","",CAD_Investimentos!$K37)</f>
        <v/>
      </c>
      <c r="E107" s="10" t="str">
        <f aca="false">IF(CAD_Investimentos!$A37="","",CAD_Investimentos!$S37)</f>
        <v/>
      </c>
      <c r="F107" s="10" t="str">
        <f aca="false">IF(CAD_Investimentos!$A37="","",CAD_Investimentos!$T37)</f>
        <v/>
      </c>
      <c r="G107" s="10" t="str">
        <f aca="false">IF(CAD_Investimentos!$A37="","",CAD_Investimentos!$U37)</f>
        <v/>
      </c>
    </row>
    <row r="108" customFormat="false" ht="15" hidden="false" customHeight="false" outlineLevel="0" collapsed="false">
      <c r="A108" s="9" t="str">
        <f aca="false">IF(CAD_Investimentos!$A38="","",CAD_Investimentos!$B38)</f>
        <v/>
      </c>
      <c r="B108" s="9" t="str">
        <f aca="false">IF(CAD_Investimentos!$A38="","",CAD_Investimentos!$E38)</f>
        <v/>
      </c>
      <c r="C108" s="10" t="str">
        <f aca="false">IF(CAD_Investimentos!$A38="","",CAD_Investimentos!$O38)</f>
        <v/>
      </c>
      <c r="D108" s="44" t="str">
        <f aca="false">IF(CAD_Investimentos!$A38="","",CAD_Investimentos!$K38)</f>
        <v/>
      </c>
      <c r="E108" s="10" t="str">
        <f aca="false">IF(CAD_Investimentos!$A38="","",CAD_Investimentos!$S38)</f>
        <v/>
      </c>
      <c r="F108" s="10" t="str">
        <f aca="false">IF(CAD_Investimentos!$A38="","",CAD_Investimentos!$T38)</f>
        <v/>
      </c>
      <c r="G108" s="10" t="str">
        <f aca="false">IF(CAD_Investimentos!$A38="","",CAD_Investimentos!$U38)</f>
        <v/>
      </c>
    </row>
    <row r="109" customFormat="false" ht="15" hidden="false" customHeight="false" outlineLevel="0" collapsed="false">
      <c r="A109" s="9" t="str">
        <f aca="false">IF(CAD_Investimentos!$A39="","",CAD_Investimentos!$B39)</f>
        <v/>
      </c>
      <c r="B109" s="9" t="str">
        <f aca="false">IF(CAD_Investimentos!$A39="","",CAD_Investimentos!$E39)</f>
        <v/>
      </c>
      <c r="C109" s="10" t="str">
        <f aca="false">IF(CAD_Investimentos!$A39="","",CAD_Investimentos!$O39)</f>
        <v/>
      </c>
      <c r="D109" s="44" t="str">
        <f aca="false">IF(CAD_Investimentos!$A39="","",CAD_Investimentos!$K39)</f>
        <v/>
      </c>
      <c r="E109" s="10" t="str">
        <f aca="false">IF(CAD_Investimentos!$A39="","",CAD_Investimentos!$S39)</f>
        <v/>
      </c>
      <c r="F109" s="10" t="str">
        <f aca="false">IF(CAD_Investimentos!$A39="","",CAD_Investimentos!$T39)</f>
        <v/>
      </c>
      <c r="G109" s="10" t="str">
        <f aca="false">IF(CAD_Investimentos!$A39="","",CAD_Investimentos!$U39)</f>
        <v/>
      </c>
    </row>
    <row r="110" customFormat="false" ht="15" hidden="false" customHeight="false" outlineLevel="0" collapsed="false">
      <c r="A110" s="9" t="str">
        <f aca="false">IF(CAD_Investimentos!$A40="","",CAD_Investimentos!$B40)</f>
        <v/>
      </c>
      <c r="B110" s="9" t="str">
        <f aca="false">IF(CAD_Investimentos!$A40="","",CAD_Investimentos!$E40)</f>
        <v/>
      </c>
      <c r="C110" s="10" t="str">
        <f aca="false">IF(CAD_Investimentos!$A40="","",CAD_Investimentos!$O40)</f>
        <v/>
      </c>
      <c r="D110" s="44" t="str">
        <f aca="false">IF(CAD_Investimentos!$A40="","",CAD_Investimentos!$K40)</f>
        <v/>
      </c>
      <c r="E110" s="10" t="str">
        <f aca="false">IF(CAD_Investimentos!$A40="","",CAD_Investimentos!$S40)</f>
        <v/>
      </c>
      <c r="F110" s="10" t="str">
        <f aca="false">IF(CAD_Investimentos!$A40="","",CAD_Investimentos!$T40)</f>
        <v/>
      </c>
      <c r="G110" s="10" t="str">
        <f aca="false">IF(CAD_Investimentos!$A40="","",CAD_Investimentos!$U40)</f>
        <v/>
      </c>
    </row>
    <row r="111" customFormat="false" ht="15" hidden="false" customHeight="false" outlineLevel="0" collapsed="false">
      <c r="A111" s="9" t="str">
        <f aca="false">IF(CAD_Investimentos!$A41="","",CAD_Investimentos!$B41)</f>
        <v/>
      </c>
      <c r="B111" s="9" t="str">
        <f aca="false">IF(CAD_Investimentos!$A41="","",CAD_Investimentos!$E41)</f>
        <v/>
      </c>
      <c r="C111" s="10" t="str">
        <f aca="false">IF(CAD_Investimentos!$A41="","",CAD_Investimentos!$O41)</f>
        <v/>
      </c>
      <c r="D111" s="44" t="str">
        <f aca="false">IF(CAD_Investimentos!$A41="","",CAD_Investimentos!$K41)</f>
        <v/>
      </c>
      <c r="E111" s="10" t="str">
        <f aca="false">IF(CAD_Investimentos!$A41="","",CAD_Investimentos!$S41)</f>
        <v/>
      </c>
      <c r="F111" s="10" t="str">
        <f aca="false">IF(CAD_Investimentos!$A41="","",CAD_Investimentos!$T41)</f>
        <v/>
      </c>
      <c r="G111" s="10" t="str">
        <f aca="false">IF(CAD_Investimentos!$A41="","",CAD_Investimentos!$U41)</f>
        <v/>
      </c>
    </row>
    <row r="112" customFormat="false" ht="15" hidden="false" customHeight="false" outlineLevel="0" collapsed="false">
      <c r="A112" s="9" t="str">
        <f aca="false">IF(CAD_Investimentos!$A42="","",CAD_Investimentos!$B42)</f>
        <v/>
      </c>
      <c r="B112" s="9" t="str">
        <f aca="false">IF(CAD_Investimentos!$A42="","",CAD_Investimentos!$E42)</f>
        <v/>
      </c>
      <c r="C112" s="10" t="str">
        <f aca="false">IF(CAD_Investimentos!$A42="","",CAD_Investimentos!$O42)</f>
        <v/>
      </c>
      <c r="D112" s="44" t="str">
        <f aca="false">IF(CAD_Investimentos!$A42="","",CAD_Investimentos!$K42)</f>
        <v/>
      </c>
      <c r="E112" s="10" t="str">
        <f aca="false">IF(CAD_Investimentos!$A42="","",CAD_Investimentos!$S42)</f>
        <v/>
      </c>
      <c r="F112" s="10" t="str">
        <f aca="false">IF(CAD_Investimentos!$A42="","",CAD_Investimentos!$T42)</f>
        <v/>
      </c>
      <c r="G112" s="10" t="str">
        <f aca="false">IF(CAD_Investimentos!$A42="","",CAD_Investimentos!$U42)</f>
        <v/>
      </c>
    </row>
    <row r="113" customFormat="false" ht="15" hidden="false" customHeight="false" outlineLevel="0" collapsed="false">
      <c r="A113" s="9" t="str">
        <f aca="false">IF(CAD_Investimentos!$A43="","",CAD_Investimentos!$B43)</f>
        <v/>
      </c>
      <c r="B113" s="9" t="str">
        <f aca="false">IF(CAD_Investimentos!$A43="","",CAD_Investimentos!$E43)</f>
        <v/>
      </c>
      <c r="C113" s="10" t="str">
        <f aca="false">IF(CAD_Investimentos!$A43="","",CAD_Investimentos!$O43)</f>
        <v/>
      </c>
      <c r="D113" s="44" t="str">
        <f aca="false">IF(CAD_Investimentos!$A43="","",CAD_Investimentos!$K43)</f>
        <v/>
      </c>
      <c r="E113" s="10" t="str">
        <f aca="false">IF(CAD_Investimentos!$A43="","",CAD_Investimentos!$S43)</f>
        <v/>
      </c>
      <c r="F113" s="10" t="str">
        <f aca="false">IF(CAD_Investimentos!$A43="","",CAD_Investimentos!$T43)</f>
        <v/>
      </c>
      <c r="G113" s="10" t="str">
        <f aca="false">IF(CAD_Investimentos!$A43="","",CAD_Investimentos!$U43)</f>
        <v/>
      </c>
    </row>
    <row r="114" customFormat="false" ht="15" hidden="false" customHeight="false" outlineLevel="0" collapsed="false">
      <c r="A114" s="9" t="str">
        <f aca="false">IF(CAD_Investimentos!$A44="","",CAD_Investimentos!$B44)</f>
        <v/>
      </c>
      <c r="B114" s="9" t="str">
        <f aca="false">IF(CAD_Investimentos!$A44="","",CAD_Investimentos!$E44)</f>
        <v/>
      </c>
      <c r="C114" s="10" t="str">
        <f aca="false">IF(CAD_Investimentos!$A44="","",CAD_Investimentos!$O44)</f>
        <v/>
      </c>
      <c r="D114" s="44" t="str">
        <f aca="false">IF(CAD_Investimentos!$A44="","",CAD_Investimentos!$K44)</f>
        <v/>
      </c>
      <c r="E114" s="10" t="str">
        <f aca="false">IF(CAD_Investimentos!$A44="","",CAD_Investimentos!$S44)</f>
        <v/>
      </c>
      <c r="F114" s="10" t="str">
        <f aca="false">IF(CAD_Investimentos!$A44="","",CAD_Investimentos!$T44)</f>
        <v/>
      </c>
      <c r="G114" s="10" t="str">
        <f aca="false">IF(CAD_Investimentos!$A44="","",CAD_Investimentos!$U44)</f>
        <v/>
      </c>
    </row>
  </sheetData>
  <mergeCells count="4">
    <mergeCell ref="A1:N1"/>
    <mergeCell ref="A2:N2"/>
    <mergeCell ref="A30:N30"/>
    <mergeCell ref="A73:N73"/>
  </mergeCells>
  <conditionalFormatting sqref="O5:O28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3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2"/>
  </cols>
  <sheetData>
    <row r="1" customFormat="false" ht="25.5" hidden="false" customHeight="true" outlineLevel="0" collapsed="false">
      <c r="A1" s="1" t="s">
        <v>376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377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378</v>
      </c>
      <c r="B4" s="37" t="n">
        <v>2026</v>
      </c>
      <c r="C4" s="12" t="s">
        <v>379</v>
      </c>
      <c r="D4" s="37" t="n">
        <v>9</v>
      </c>
      <c r="E4" s="45" t="str">
        <f aca="false">INDEX(LST_MESES,$D4)</f>
        <v>Setembro</v>
      </c>
    </row>
    <row r="5" customFormat="false" ht="15" hidden="false" customHeight="false" outlineLevel="0" collapsed="false">
      <c r="A5" s="12" t="s">
        <v>380</v>
      </c>
      <c r="B5" s="46" t="n">
        <f aca="false">DATE(REL_ANO,REL_MES,1)</f>
        <v>46266</v>
      </c>
      <c r="D5" s="46" t="n">
        <f aca="false">EOMONTH($B5,0)</f>
        <v>46295</v>
      </c>
    </row>
    <row r="7" customFormat="false" ht="19.5" hidden="false" customHeight="true" outlineLevel="0" collapsed="false">
      <c r="A7" s="3" t="s">
        <v>381</v>
      </c>
      <c r="B7" s="3"/>
      <c r="C7" s="3"/>
      <c r="D7" s="3"/>
      <c r="E7" s="3"/>
      <c r="F7" s="3"/>
      <c r="G7" s="3"/>
    </row>
    <row r="8" customFormat="false" ht="30" hidden="false" customHeight="true" outlineLevel="0" collapsed="false">
      <c r="A8" s="8" t="s">
        <v>382</v>
      </c>
      <c r="B8" s="8" t="s">
        <v>383</v>
      </c>
      <c r="C8" s="8" t="s">
        <v>384</v>
      </c>
      <c r="D8" s="8" t="s">
        <v>385</v>
      </c>
    </row>
    <row r="9" customFormat="false" ht="15" hidden="false" customHeight="false" outlineLevel="0" collapsed="false">
      <c r="A9" s="47" t="s">
        <v>386</v>
      </c>
      <c r="B9" s="10" t="n">
        <f aca="false">SUMIFS(L_VRec,L_Data,"&gt;="&amp;REL_INI,L_Data,"&lt;="&amp;REL_FIM,L_Status,"REALIZADO")</f>
        <v>0</v>
      </c>
      <c r="C9" s="10" t="n">
        <f aca="false">SUMIFS(L_VRec,L_Data,"&gt;="&amp;REL_INI,L_Data,"&lt;="&amp;REL_FIM,L_Status,"PROJETADO")</f>
        <v>0</v>
      </c>
      <c r="D9" s="48" t="n">
        <f aca="false">$B9+$C9</f>
        <v>0</v>
      </c>
    </row>
    <row r="10" customFormat="false" ht="15" hidden="false" customHeight="false" outlineLevel="0" collapsed="false">
      <c r="A10" s="47" t="s">
        <v>387</v>
      </c>
      <c r="B10" s="10" t="n">
        <f aca="false">SUMIFS(L_VRend,L_Data,"&gt;="&amp;REL_INI,L_Data,"&lt;="&amp;REL_FIM,L_Status,"REALIZADO")</f>
        <v>0</v>
      </c>
      <c r="C10" s="10" t="n">
        <f aca="false">SUMIFS(L_VRend,L_Data,"&gt;="&amp;REL_INI,L_Data,"&lt;="&amp;REL_FIM,L_Status,"PROJETADO")</f>
        <v>0</v>
      </c>
      <c r="D10" s="48" t="n">
        <f aca="false">$B10+$C10</f>
        <v>0</v>
      </c>
    </row>
    <row r="11" customFormat="false" ht="15" hidden="false" customHeight="false" outlineLevel="0" collapsed="false">
      <c r="A11" s="47" t="s">
        <v>388</v>
      </c>
      <c r="B11" s="10" t="n">
        <f aca="false">SUMIFS(L_VDesp,L_Data,"&gt;="&amp;REL_INI,L_Data,"&lt;="&amp;REL_FIM,L_Status,"REALIZADO")</f>
        <v>0</v>
      </c>
      <c r="C11" s="10" t="n">
        <f aca="false">SUMIFS(L_VDesp,L_Data,"&gt;="&amp;REL_INI,L_Data,"&lt;="&amp;REL_FIM,L_Status,"PROJETADO")</f>
        <v>0</v>
      </c>
      <c r="D11" s="48" t="n">
        <f aca="false">$B11+$C11</f>
        <v>0</v>
      </c>
    </row>
    <row r="12" customFormat="false" ht="15" hidden="false" customHeight="false" outlineLevel="0" collapsed="false">
      <c r="A12" s="49" t="s">
        <v>389</v>
      </c>
      <c r="B12" s="48" t="n">
        <f aca="false">B9+B10-B11</f>
        <v>0</v>
      </c>
      <c r="C12" s="48" t="n">
        <f aca="false">C9+C10-C11</f>
        <v>0</v>
      </c>
      <c r="D12" s="48" t="n">
        <f aca="false">D9+D10-D11</f>
        <v>0</v>
      </c>
    </row>
    <row r="13" customFormat="false" ht="15" hidden="false" customHeight="false" outlineLevel="0" collapsed="false">
      <c r="A13" s="47" t="s">
        <v>390</v>
      </c>
      <c r="B13" s="10" t="n">
        <f aca="false">SUMIFS(L_Ent,L_Data,"&gt;="&amp;REL_INI,L_Data,"&lt;="&amp;REL_FIM,L_Status,"REALIZADO")</f>
        <v>0</v>
      </c>
      <c r="C13" s="10" t="n">
        <f aca="false">SUMIFS(L_Ent,L_Data,"&gt;="&amp;REL_INI,L_Data,"&lt;="&amp;REL_FIM,L_Status,"PROJETADO")</f>
        <v>0</v>
      </c>
      <c r="D13" s="48" t="n">
        <f aca="false">$B13+$C13</f>
        <v>0</v>
      </c>
    </row>
    <row r="14" customFormat="false" ht="15" hidden="false" customHeight="false" outlineLevel="0" collapsed="false">
      <c r="A14" s="47" t="s">
        <v>391</v>
      </c>
      <c r="B14" s="10" t="n">
        <f aca="false">SUMIFS(L_Sai,L_Data,"&gt;="&amp;REL_INI,L_Data,"&lt;="&amp;REL_FIM,L_Status,"REALIZADO")</f>
        <v>0</v>
      </c>
      <c r="C14" s="10" t="n">
        <f aca="false">SUMIFS(L_Sai,L_Data,"&gt;="&amp;REL_INI,L_Data,"&lt;="&amp;REL_FIM,L_Status,"PROJETADO")</f>
        <v>0</v>
      </c>
      <c r="D14" s="48" t="n">
        <f aca="false">$B14+$C14</f>
        <v>0</v>
      </c>
    </row>
    <row r="15" customFormat="false" ht="15" hidden="false" customHeight="false" outlineLevel="0" collapsed="false">
      <c r="A15" s="49" t="s">
        <v>392</v>
      </c>
      <c r="B15" s="48" t="n">
        <f aca="false">B13-B14</f>
        <v>0</v>
      </c>
      <c r="C15" s="48" t="n">
        <f aca="false">C13-C14</f>
        <v>0</v>
      </c>
      <c r="D15" s="48" t="n">
        <f aca="false">D13-D14</f>
        <v>0</v>
      </c>
    </row>
    <row r="16" customFormat="false" ht="15" hidden="false" customHeight="false" outlineLevel="0" collapsed="false">
      <c r="A16" s="47" t="s">
        <v>393</v>
      </c>
      <c r="B16" s="10" t="n">
        <f aca="false">SUMIFS(L_Valor,L_Data,"&gt;="&amp;REL_INI,L_Data,"&lt;="&amp;REL_FIM,L_Status,"REALIZADO",L_Tipo,"TRANSFERENCIA")</f>
        <v>0</v>
      </c>
      <c r="C16" s="10" t="n">
        <f aca="false">SUMIFS(L_Valor,L_Data,"&gt;="&amp;REL_INI,L_Data,"&lt;="&amp;REL_FIM,L_Status,"PROJETADO",L_Tipo,"TRANSFERENCIA")</f>
        <v>0</v>
      </c>
      <c r="D16" s="48" t="n">
        <f aca="false">$B16+$C16</f>
        <v>0</v>
      </c>
    </row>
    <row r="17" customFormat="false" ht="15" hidden="false" customHeight="false" outlineLevel="0" collapsed="false">
      <c r="A17" s="47" t="s">
        <v>394</v>
      </c>
      <c r="B17" s="10" t="n">
        <f aca="false">SUMIFS(L_Valor,L_Data,"&gt;="&amp;REL_INI,L_Data,"&lt;="&amp;REL_FIM,L_Status,"REALIZADO",L_Tipo,"APORTE")</f>
        <v>0</v>
      </c>
      <c r="C17" s="10" t="n">
        <f aca="false">SUMIFS(L_Valor,L_Data,"&gt;="&amp;REL_INI,L_Data,"&lt;="&amp;REL_FIM,L_Status,"PROJETADO",L_Tipo,"APORTE")</f>
        <v>0</v>
      </c>
      <c r="D17" s="48" t="n">
        <f aca="false">$B17+$C17</f>
        <v>0</v>
      </c>
    </row>
    <row r="18" customFormat="false" ht="15" hidden="false" customHeight="false" outlineLevel="0" collapsed="false">
      <c r="A18" s="47" t="s">
        <v>395</v>
      </c>
      <c r="B18" s="10" t="n">
        <f aca="false">SUMIFS(L_Valor,L_Data,"&gt;="&amp;REL_INI,L_Data,"&lt;="&amp;REL_FIM,L_Status,"REALIZADO",L_Tipo,"RESGATE")</f>
        <v>0</v>
      </c>
      <c r="C18" s="10" t="n">
        <f aca="false">SUMIFS(L_Valor,L_Data,"&gt;="&amp;REL_INI,L_Data,"&lt;="&amp;REL_FIM,L_Status,"PROJETADO",L_Tipo,"RESGATE")</f>
        <v>0</v>
      </c>
      <c r="D18" s="48" t="n">
        <f aca="false">$B18+$C18</f>
        <v>0</v>
      </c>
    </row>
    <row r="19" customFormat="false" ht="15" hidden="false" customHeight="false" outlineLevel="0" collapsed="false">
      <c r="A19" s="47" t="s">
        <v>396</v>
      </c>
      <c r="B19" s="10" t="n">
        <f aca="false">SUMIFS(L_Valor,L_Data,"&gt;="&amp;REL_INI,L_Data,"&lt;="&amp;REL_FIM,L_Status,"REALIZADO",L_Tipo,"COMPRA_CARTAO")</f>
        <v>0</v>
      </c>
      <c r="C19" s="10" t="n">
        <f aca="false">SUMIFS(L_Valor,L_Data,"&gt;="&amp;REL_INI,L_Data,"&lt;="&amp;REL_FIM,L_Status,"PROJETADO",L_Tipo,"COMPRA_CARTAO")</f>
        <v>0</v>
      </c>
      <c r="D19" s="48" t="n">
        <f aca="false">$B19+$C19</f>
        <v>0</v>
      </c>
    </row>
    <row r="20" customFormat="false" ht="15" hidden="false" customHeight="false" outlineLevel="0" collapsed="false">
      <c r="A20" s="47" t="s">
        <v>397</v>
      </c>
      <c r="B20" s="10" t="n">
        <f aca="false">SUMIFS(L_Valor,L_Data,"&gt;="&amp;REL_INI,L_Data,"&lt;="&amp;REL_FIM,L_Status,"REALIZADO",L_Tipo,"PAGAMENTO_CARTAO")</f>
        <v>0</v>
      </c>
      <c r="C20" s="10" t="n">
        <f aca="false">SUMIFS(L_Valor,L_Data,"&gt;="&amp;REL_INI,L_Data,"&lt;="&amp;REL_FIM,L_Status,"PROJETADO",L_Tipo,"PAGAMENTO_CARTAO")</f>
        <v>0</v>
      </c>
      <c r="D20" s="48" t="n">
        <f aca="false">$B20+$C20</f>
        <v>0</v>
      </c>
    </row>
    <row r="21" customFormat="false" ht="15" hidden="false" customHeight="false" outlineLevel="0" collapsed="false">
      <c r="A21" s="47" t="s">
        <v>398</v>
      </c>
      <c r="B21" s="10" t="n">
        <f aca="false">SUMIFS(L_Valor,L_Data,"&gt;="&amp;REL_INI,L_Data,"&lt;="&amp;REL_FIM,L_Status,"REALIZADO",L_Tipo,"PAGAMENTO_PARCELA")</f>
        <v>0</v>
      </c>
      <c r="C21" s="10" t="n">
        <f aca="false">SUMIFS(L_Valor,L_Data,"&gt;="&amp;REL_INI,L_Data,"&lt;="&amp;REL_FIM,L_Status,"PROJETADO",L_Tipo,"PAGAMENTO_PARCELA")</f>
        <v>0</v>
      </c>
      <c r="D21" s="48" t="n">
        <f aca="false">$B21+$C21</f>
        <v>0</v>
      </c>
    </row>
    <row r="22" customFormat="false" ht="15" hidden="false" customHeight="false" outlineLevel="0" collapsed="false">
      <c r="A22" s="49" t="s">
        <v>399</v>
      </c>
      <c r="B22" s="50" t="n">
        <f aca="false">SUM(C_SALDOINI)+SUMIFS(L_Ent,L_Data,"&lt;"&amp;REL_FIM+1,L_Status,"REALIZADO")-SUMIFS(L_Sai,L_Data,"&lt;"&amp;REL_FIM+1,L_Status,"REALIZADO")+SUMIFS(L_Ent,L_Data,"&lt;"&amp;REL_FIM+1,L_Status,"PROJETADO")-SUMIFS(L_Sai,L_Data,"&lt;"&amp;REL_FIM+1,L_Status,"PROJETADO")</f>
        <v>0</v>
      </c>
    </row>
    <row r="24" customFormat="false" ht="19.5" hidden="false" customHeight="true" outlineLevel="0" collapsed="false">
      <c r="A24" s="3" t="s">
        <v>400</v>
      </c>
      <c r="B24" s="3"/>
      <c r="C24" s="3"/>
      <c r="D24" s="3"/>
      <c r="E24" s="3"/>
      <c r="F24" s="3"/>
      <c r="G24" s="3"/>
    </row>
    <row r="25" customFormat="false" ht="30" hidden="false" customHeight="true" outlineLevel="0" collapsed="false">
      <c r="A25" s="8" t="s">
        <v>63</v>
      </c>
      <c r="B25" s="8" t="s">
        <v>383</v>
      </c>
      <c r="C25" s="8" t="s">
        <v>384</v>
      </c>
      <c r="D25" s="8" t="s">
        <v>385</v>
      </c>
      <c r="E25" s="8" t="s">
        <v>401</v>
      </c>
    </row>
    <row r="26" customFormat="false" ht="15" hidden="false" customHeight="false" outlineLevel="0" collapsed="false">
      <c r="A26" s="9" t="str">
        <f aca="false">IF(CAD_Categorias!$A5="","",CAD_Categorias!$B5)</f>
        <v>Alimentacao</v>
      </c>
      <c r="B26" s="10" t="n">
        <f aca="false">IF(CAD_Categorias!$A5="",0,SUMIFS(L_VDesp,L_Data,"&gt;="&amp;REL_INI,L_Data,"&lt;="&amp;REL_FIM,L_Status,"REALIZADO",L_CatID,CAD_Categorias!$A5))</f>
        <v>0</v>
      </c>
      <c r="C26" s="10" t="n">
        <f aca="false">IF(CAD_Categorias!$A5="",0,SUMIFS(L_VDesp,L_Data,"&gt;="&amp;REL_INI,L_Data,"&lt;="&amp;REL_FIM,L_Status,"PROJETADO",L_CatID,CAD_Categorias!$A5))</f>
        <v>0</v>
      </c>
      <c r="D26" s="10" t="n">
        <f aca="false">$B26+$C26</f>
        <v>0</v>
      </c>
      <c r="E26" s="11" t="n">
        <f aca="false">IF(SUMIFS(L_VDesp,L_Data,"&gt;="&amp;REL_INI,L_Data,"&lt;="&amp;REL_FIM,L_Status,"REALIZADO")=0,0,$B26/SUMIFS(L_VDesp,L_Data,"&gt;="&amp;REL_INI,L_Data,"&lt;="&amp;REL_FIM,L_Status,"REALIZADO"))</f>
        <v>0</v>
      </c>
    </row>
    <row r="27" customFormat="false" ht="15" hidden="false" customHeight="false" outlineLevel="0" collapsed="false">
      <c r="A27" s="9" t="str">
        <f aca="false">IF(CAD_Categorias!$A6="","",CAD_Categorias!$B6)</f>
        <v>Transporte</v>
      </c>
      <c r="B27" s="10" t="n">
        <f aca="false">IF(CAD_Categorias!$A6="",0,SUMIFS(L_VDesp,L_Data,"&gt;="&amp;REL_INI,L_Data,"&lt;="&amp;REL_FIM,L_Status,"REALIZADO",L_CatID,CAD_Categorias!$A6))</f>
        <v>0</v>
      </c>
      <c r="C27" s="10" t="n">
        <f aca="false">IF(CAD_Categorias!$A6="",0,SUMIFS(L_VDesp,L_Data,"&gt;="&amp;REL_INI,L_Data,"&lt;="&amp;REL_FIM,L_Status,"PROJETADO",L_CatID,CAD_Categorias!$A6))</f>
        <v>0</v>
      </c>
      <c r="D27" s="10" t="n">
        <f aca="false">$B27+$C27</f>
        <v>0</v>
      </c>
      <c r="E27" s="11" t="n">
        <f aca="false">IF(SUMIFS(L_VDesp,L_Data,"&gt;="&amp;REL_INI,L_Data,"&lt;="&amp;REL_FIM,L_Status,"REALIZADO")=0,0,$B27/SUMIFS(L_VDesp,L_Data,"&gt;="&amp;REL_INI,L_Data,"&lt;="&amp;REL_FIM,L_Status,"REALIZADO"))</f>
        <v>0</v>
      </c>
    </row>
    <row r="28" customFormat="false" ht="15" hidden="false" customHeight="false" outlineLevel="0" collapsed="false">
      <c r="A28" s="9" t="str">
        <f aca="false">IF(CAD_Categorias!$A7="","",CAD_Categorias!$B7)</f>
        <v>Moradia</v>
      </c>
      <c r="B28" s="10" t="n">
        <f aca="false">IF(CAD_Categorias!$A7="",0,SUMIFS(L_VDesp,L_Data,"&gt;="&amp;REL_INI,L_Data,"&lt;="&amp;REL_FIM,L_Status,"REALIZADO",L_CatID,CAD_Categorias!$A7))</f>
        <v>0</v>
      </c>
      <c r="C28" s="10" t="n">
        <f aca="false">IF(CAD_Categorias!$A7="",0,SUMIFS(L_VDesp,L_Data,"&gt;="&amp;REL_INI,L_Data,"&lt;="&amp;REL_FIM,L_Status,"PROJETADO",L_CatID,CAD_Categorias!$A7))</f>
        <v>0</v>
      </c>
      <c r="D28" s="10" t="n">
        <f aca="false">$B28+$C28</f>
        <v>0</v>
      </c>
      <c r="E28" s="11" t="n">
        <f aca="false">IF(SUMIFS(L_VDesp,L_Data,"&gt;="&amp;REL_INI,L_Data,"&lt;="&amp;REL_FIM,L_Status,"REALIZADO")=0,0,$B28/SUMIFS(L_VDesp,L_Data,"&gt;="&amp;REL_INI,L_Data,"&lt;="&amp;REL_FIM,L_Status,"REALIZADO"))</f>
        <v>0</v>
      </c>
    </row>
    <row r="29" customFormat="false" ht="15" hidden="false" customHeight="false" outlineLevel="0" collapsed="false">
      <c r="A29" s="9" t="str">
        <f aca="false">IF(CAD_Categorias!$A8="","",CAD_Categorias!$B8)</f>
        <v>Saude</v>
      </c>
      <c r="B29" s="10" t="n">
        <f aca="false">IF(CAD_Categorias!$A8="",0,SUMIFS(L_VDesp,L_Data,"&gt;="&amp;REL_INI,L_Data,"&lt;="&amp;REL_FIM,L_Status,"REALIZADO",L_CatID,CAD_Categorias!$A8))</f>
        <v>0</v>
      </c>
      <c r="C29" s="10" t="n">
        <f aca="false">IF(CAD_Categorias!$A8="",0,SUMIFS(L_VDesp,L_Data,"&gt;="&amp;REL_INI,L_Data,"&lt;="&amp;REL_FIM,L_Status,"PROJETADO",L_CatID,CAD_Categorias!$A8))</f>
        <v>0</v>
      </c>
      <c r="D29" s="10" t="n">
        <f aca="false">$B29+$C29</f>
        <v>0</v>
      </c>
      <c r="E29" s="11" t="n">
        <f aca="false">IF(SUMIFS(L_VDesp,L_Data,"&gt;="&amp;REL_INI,L_Data,"&lt;="&amp;REL_FIM,L_Status,"REALIZADO")=0,0,$B29/SUMIFS(L_VDesp,L_Data,"&gt;="&amp;REL_INI,L_Data,"&lt;="&amp;REL_FIM,L_Status,"REALIZADO"))</f>
        <v>0</v>
      </c>
    </row>
    <row r="30" customFormat="false" ht="15" hidden="false" customHeight="false" outlineLevel="0" collapsed="false">
      <c r="A30" s="9" t="str">
        <f aca="false">IF(CAD_Categorias!$A9="","",CAD_Categorias!$B9)</f>
        <v>Educacao</v>
      </c>
      <c r="B30" s="10" t="n">
        <f aca="false">IF(CAD_Categorias!$A9="",0,SUMIFS(L_VDesp,L_Data,"&gt;="&amp;REL_INI,L_Data,"&lt;="&amp;REL_FIM,L_Status,"REALIZADO",L_CatID,CAD_Categorias!$A9))</f>
        <v>0</v>
      </c>
      <c r="C30" s="10" t="n">
        <f aca="false">IF(CAD_Categorias!$A9="",0,SUMIFS(L_VDesp,L_Data,"&gt;="&amp;REL_INI,L_Data,"&lt;="&amp;REL_FIM,L_Status,"PROJETADO",L_CatID,CAD_Categorias!$A9))</f>
        <v>0</v>
      </c>
      <c r="D30" s="10" t="n">
        <f aca="false">$B30+$C30</f>
        <v>0</v>
      </c>
      <c r="E30" s="11" t="n">
        <f aca="false">IF(SUMIFS(L_VDesp,L_Data,"&gt;="&amp;REL_INI,L_Data,"&lt;="&amp;REL_FIM,L_Status,"REALIZADO")=0,0,$B30/SUMIFS(L_VDesp,L_Data,"&gt;="&amp;REL_INI,L_Data,"&lt;="&amp;REL_FIM,L_Status,"REALIZADO"))</f>
        <v>0</v>
      </c>
    </row>
    <row r="31" customFormat="false" ht="15" hidden="false" customHeight="false" outlineLevel="0" collapsed="false">
      <c r="A31" s="9" t="str">
        <f aca="false">IF(CAD_Categorias!$A10="","",CAD_Categorias!$B10)</f>
        <v>Lazer</v>
      </c>
      <c r="B31" s="10" t="n">
        <f aca="false">IF(CAD_Categorias!$A10="",0,SUMIFS(L_VDesp,L_Data,"&gt;="&amp;REL_INI,L_Data,"&lt;="&amp;REL_FIM,L_Status,"REALIZADO",L_CatID,CAD_Categorias!$A10))</f>
        <v>0</v>
      </c>
      <c r="C31" s="10" t="n">
        <f aca="false">IF(CAD_Categorias!$A10="",0,SUMIFS(L_VDesp,L_Data,"&gt;="&amp;REL_INI,L_Data,"&lt;="&amp;REL_FIM,L_Status,"PROJETADO",L_CatID,CAD_Categorias!$A10))</f>
        <v>0</v>
      </c>
      <c r="D31" s="10" t="n">
        <f aca="false">$B31+$C31</f>
        <v>0</v>
      </c>
      <c r="E31" s="11" t="n">
        <f aca="false">IF(SUMIFS(L_VDesp,L_Data,"&gt;="&amp;REL_INI,L_Data,"&lt;="&amp;REL_FIM,L_Status,"REALIZADO")=0,0,$B31/SUMIFS(L_VDesp,L_Data,"&gt;="&amp;REL_INI,L_Data,"&lt;="&amp;REL_FIM,L_Status,"REALIZADO"))</f>
        <v>0</v>
      </c>
    </row>
    <row r="32" customFormat="false" ht="15" hidden="false" customHeight="false" outlineLevel="0" collapsed="false">
      <c r="A32" s="9" t="str">
        <f aca="false">IF(CAD_Categorias!$A11="","",CAD_Categorias!$B11)</f>
        <v>Compras</v>
      </c>
      <c r="B32" s="10" t="n">
        <f aca="false">IF(CAD_Categorias!$A11="",0,SUMIFS(L_VDesp,L_Data,"&gt;="&amp;REL_INI,L_Data,"&lt;="&amp;REL_FIM,L_Status,"REALIZADO",L_CatID,CAD_Categorias!$A11))</f>
        <v>0</v>
      </c>
      <c r="C32" s="10" t="n">
        <f aca="false">IF(CAD_Categorias!$A11="",0,SUMIFS(L_VDesp,L_Data,"&gt;="&amp;REL_INI,L_Data,"&lt;="&amp;REL_FIM,L_Status,"PROJETADO",L_CatID,CAD_Categorias!$A11))</f>
        <v>0</v>
      </c>
      <c r="D32" s="10" t="n">
        <f aca="false">$B32+$C32</f>
        <v>0</v>
      </c>
      <c r="E32" s="11" t="n">
        <f aca="false">IF(SUMIFS(L_VDesp,L_Data,"&gt;="&amp;REL_INI,L_Data,"&lt;="&amp;REL_FIM,L_Status,"REALIZADO")=0,0,$B32/SUMIFS(L_VDesp,L_Data,"&gt;="&amp;REL_INI,L_Data,"&lt;="&amp;REL_FIM,L_Status,"REALIZADO"))</f>
        <v>0</v>
      </c>
    </row>
    <row r="33" customFormat="false" ht="15" hidden="false" customHeight="false" outlineLevel="0" collapsed="false">
      <c r="A33" s="9" t="str">
        <f aca="false">IF(CAD_Categorias!$A12="","",CAD_Categorias!$B12)</f>
        <v>Dividas e Financiamentos</v>
      </c>
      <c r="B33" s="10" t="n">
        <f aca="false">IF(CAD_Categorias!$A12="",0,SUMIFS(L_VDesp,L_Data,"&gt;="&amp;REL_INI,L_Data,"&lt;="&amp;REL_FIM,L_Status,"REALIZADO",L_CatID,CAD_Categorias!$A12))</f>
        <v>0</v>
      </c>
      <c r="C33" s="10" t="n">
        <f aca="false">IF(CAD_Categorias!$A12="",0,SUMIFS(L_VDesp,L_Data,"&gt;="&amp;REL_INI,L_Data,"&lt;="&amp;REL_FIM,L_Status,"PROJETADO",L_CatID,CAD_Categorias!$A12))</f>
        <v>0</v>
      </c>
      <c r="D33" s="10" t="n">
        <f aca="false">$B33+$C33</f>
        <v>0</v>
      </c>
      <c r="E33" s="11" t="n">
        <f aca="false">IF(SUMIFS(L_VDesp,L_Data,"&gt;="&amp;REL_INI,L_Data,"&lt;="&amp;REL_FIM,L_Status,"REALIZADO")=0,0,$B33/SUMIFS(L_VDesp,L_Data,"&gt;="&amp;REL_INI,L_Data,"&lt;="&amp;REL_FIM,L_Status,"REALIZADO"))</f>
        <v>0</v>
      </c>
    </row>
    <row r="34" customFormat="false" ht="15" hidden="false" customHeight="false" outlineLevel="0" collapsed="false">
      <c r="A34" s="9" t="str">
        <f aca="false">IF(CAD_Categorias!$A13="","",CAD_Categorias!$B13)</f>
        <v>Investimentos</v>
      </c>
      <c r="B34" s="10" t="n">
        <f aca="false">IF(CAD_Categorias!$A13="",0,SUMIFS(L_VDesp,L_Data,"&gt;="&amp;REL_INI,L_Data,"&lt;="&amp;REL_FIM,L_Status,"REALIZADO",L_CatID,CAD_Categorias!$A13))</f>
        <v>0</v>
      </c>
      <c r="C34" s="10" t="n">
        <f aca="false">IF(CAD_Categorias!$A13="",0,SUMIFS(L_VDesp,L_Data,"&gt;="&amp;REL_INI,L_Data,"&lt;="&amp;REL_FIM,L_Status,"PROJETADO",L_CatID,CAD_Categorias!$A13))</f>
        <v>0</v>
      </c>
      <c r="D34" s="10" t="n">
        <f aca="false">$B34+$C34</f>
        <v>0</v>
      </c>
      <c r="E34" s="11" t="n">
        <f aca="false">IF(SUMIFS(L_VDesp,L_Data,"&gt;="&amp;REL_INI,L_Data,"&lt;="&amp;REL_FIM,L_Status,"REALIZADO")=0,0,$B34/SUMIFS(L_VDesp,L_Data,"&gt;="&amp;REL_INI,L_Data,"&lt;="&amp;REL_FIM,L_Status,"REALIZADO"))</f>
        <v>0</v>
      </c>
    </row>
    <row r="35" customFormat="false" ht="15" hidden="false" customHeight="false" outlineLevel="0" collapsed="false">
      <c r="A35" s="9" t="str">
        <f aca="false">IF(CAD_Categorias!$A14="","",CAD_Categorias!$B14)</f>
        <v>Receitas</v>
      </c>
      <c r="B35" s="10" t="n">
        <f aca="false">IF(CAD_Categorias!$A14="",0,SUMIFS(L_VDesp,L_Data,"&gt;="&amp;REL_INI,L_Data,"&lt;="&amp;REL_FIM,L_Status,"REALIZADO",L_CatID,CAD_Categorias!$A14))</f>
        <v>0</v>
      </c>
      <c r="C35" s="10" t="n">
        <f aca="false">IF(CAD_Categorias!$A14="",0,SUMIFS(L_VDesp,L_Data,"&gt;="&amp;REL_INI,L_Data,"&lt;="&amp;REL_FIM,L_Status,"PROJETADO",L_CatID,CAD_Categorias!$A14))</f>
        <v>0</v>
      </c>
      <c r="D35" s="10" t="n">
        <f aca="false">$B35+$C35</f>
        <v>0</v>
      </c>
      <c r="E35" s="11" t="n">
        <f aca="false">IF(SUMIFS(L_VDesp,L_Data,"&gt;="&amp;REL_INI,L_Data,"&lt;="&amp;REL_FIM,L_Status,"REALIZADO")=0,0,$B35/SUMIFS(L_VDesp,L_Data,"&gt;="&amp;REL_INI,L_Data,"&lt;="&amp;REL_FIM,L_Status,"REALIZADO"))</f>
        <v>0</v>
      </c>
    </row>
    <row r="36" customFormat="false" ht="15" hidden="false" customHeight="false" outlineLevel="0" collapsed="false">
      <c r="A36" s="9" t="str">
        <f aca="false">IF(CAD_Categorias!$A15="","",CAD_Categorias!$B15)</f>
        <v>Impostos e Taxas</v>
      </c>
      <c r="B36" s="10" t="n">
        <f aca="false">IF(CAD_Categorias!$A15="",0,SUMIFS(L_VDesp,L_Data,"&gt;="&amp;REL_INI,L_Data,"&lt;="&amp;REL_FIM,L_Status,"REALIZADO",L_CatID,CAD_Categorias!$A15))</f>
        <v>0</v>
      </c>
      <c r="C36" s="10" t="n">
        <f aca="false">IF(CAD_Categorias!$A15="",0,SUMIFS(L_VDesp,L_Data,"&gt;="&amp;REL_INI,L_Data,"&lt;="&amp;REL_FIM,L_Status,"PROJETADO",L_CatID,CAD_Categorias!$A15))</f>
        <v>0</v>
      </c>
      <c r="D36" s="10" t="n">
        <f aca="false">$B36+$C36</f>
        <v>0</v>
      </c>
      <c r="E36" s="11" t="n">
        <f aca="false">IF(SUMIFS(L_VDesp,L_Data,"&gt;="&amp;REL_INI,L_Data,"&lt;="&amp;REL_FIM,L_Status,"REALIZADO")=0,0,$B36/SUMIFS(L_VDesp,L_Data,"&gt;="&amp;REL_INI,L_Data,"&lt;="&amp;REL_FIM,L_Status,"REALIZADO"))</f>
        <v>0</v>
      </c>
    </row>
    <row r="37" customFormat="false" ht="15" hidden="false" customHeight="false" outlineLevel="0" collapsed="false">
      <c r="A37" s="9" t="str">
        <f aca="false">IF(CAD_Categorias!$A16="","",CAD_Categorias!$B16)</f>
        <v>Outros</v>
      </c>
      <c r="B37" s="10" t="n">
        <f aca="false">IF(CAD_Categorias!$A16="",0,SUMIFS(L_VDesp,L_Data,"&gt;="&amp;REL_INI,L_Data,"&lt;="&amp;REL_FIM,L_Status,"REALIZADO",L_CatID,CAD_Categorias!$A16))</f>
        <v>0</v>
      </c>
      <c r="C37" s="10" t="n">
        <f aca="false">IF(CAD_Categorias!$A16="",0,SUMIFS(L_VDesp,L_Data,"&gt;="&amp;REL_INI,L_Data,"&lt;="&amp;REL_FIM,L_Status,"PROJETADO",L_CatID,CAD_Categorias!$A16))</f>
        <v>0</v>
      </c>
      <c r="D37" s="10" t="n">
        <f aca="false">$B37+$C37</f>
        <v>0</v>
      </c>
      <c r="E37" s="11" t="n">
        <f aca="false">IF(SUMIFS(L_VDesp,L_Data,"&gt;="&amp;REL_INI,L_Data,"&lt;="&amp;REL_FIM,L_Status,"REALIZADO")=0,0,$B37/SUMIFS(L_VDesp,L_Data,"&gt;="&amp;REL_INI,L_Data,"&lt;="&amp;REL_FIM,L_Status,"REALIZADO"))</f>
        <v>0</v>
      </c>
    </row>
    <row r="38" customFormat="false" ht="15" hidden="false" customHeight="false" outlineLevel="0" collapsed="false">
      <c r="A38" s="9" t="str">
        <f aca="false">IF(CAD_Categorias!$A17="","",CAD_Categorias!$B17)</f>
        <v>Transferencias</v>
      </c>
      <c r="B38" s="10" t="n">
        <f aca="false">IF(CAD_Categorias!$A17="",0,SUMIFS(L_VDesp,L_Data,"&gt;="&amp;REL_INI,L_Data,"&lt;="&amp;REL_FIM,L_Status,"REALIZADO",L_CatID,CAD_Categorias!$A17))</f>
        <v>0</v>
      </c>
      <c r="C38" s="10" t="n">
        <f aca="false">IF(CAD_Categorias!$A17="",0,SUMIFS(L_VDesp,L_Data,"&gt;="&amp;REL_INI,L_Data,"&lt;="&amp;REL_FIM,L_Status,"PROJETADO",L_CatID,CAD_Categorias!$A17))</f>
        <v>0</v>
      </c>
      <c r="D38" s="10" t="n">
        <f aca="false">$B38+$C38</f>
        <v>0</v>
      </c>
      <c r="E38" s="11" t="n">
        <f aca="false">IF(SUMIFS(L_VDesp,L_Data,"&gt;="&amp;REL_INI,L_Data,"&lt;="&amp;REL_FIM,L_Status,"REALIZADO")=0,0,$B38/SUMIFS(L_VDesp,L_Data,"&gt;="&amp;REL_INI,L_Data,"&lt;="&amp;REL_FIM,L_Status,"REALIZADO"))</f>
        <v>0</v>
      </c>
    </row>
    <row r="39" customFormat="false" ht="15" hidden="false" customHeight="false" outlineLevel="0" collapsed="false">
      <c r="A39" s="9" t="str">
        <f aca="false">IF(CAD_Categorias!$A18="","",CAD_Categorias!$B18)</f>
        <v/>
      </c>
      <c r="B39" s="10" t="n">
        <f aca="false">IF(CAD_Categorias!$A18="",0,SUMIFS(L_VDesp,L_Data,"&gt;="&amp;REL_INI,L_Data,"&lt;="&amp;REL_FIM,L_Status,"REALIZADO",L_CatID,CAD_Categorias!$A18))</f>
        <v>0</v>
      </c>
      <c r="C39" s="10" t="n">
        <f aca="false">IF(CAD_Categorias!$A18="",0,SUMIFS(L_VDesp,L_Data,"&gt;="&amp;REL_INI,L_Data,"&lt;="&amp;REL_FIM,L_Status,"PROJETADO",L_CatID,CAD_Categorias!$A18))</f>
        <v>0</v>
      </c>
      <c r="D39" s="10" t="n">
        <f aca="false">$B39+$C39</f>
        <v>0</v>
      </c>
      <c r="E39" s="11" t="n">
        <f aca="false">IF(SUMIFS(L_VDesp,L_Data,"&gt;="&amp;REL_INI,L_Data,"&lt;="&amp;REL_FIM,L_Status,"REALIZADO")=0,0,$B39/SUMIFS(L_VDesp,L_Data,"&gt;="&amp;REL_INI,L_Data,"&lt;="&amp;REL_FIM,L_Status,"REALIZADO"))</f>
        <v>0</v>
      </c>
    </row>
    <row r="40" customFormat="false" ht="15" hidden="false" customHeight="false" outlineLevel="0" collapsed="false">
      <c r="A40" s="9" t="str">
        <f aca="false">IF(CAD_Categorias!$A19="","",CAD_Categorias!$B19)</f>
        <v/>
      </c>
      <c r="B40" s="10" t="n">
        <f aca="false">IF(CAD_Categorias!$A19="",0,SUMIFS(L_VDesp,L_Data,"&gt;="&amp;REL_INI,L_Data,"&lt;="&amp;REL_FIM,L_Status,"REALIZADO",L_CatID,CAD_Categorias!$A19))</f>
        <v>0</v>
      </c>
      <c r="C40" s="10" t="n">
        <f aca="false">IF(CAD_Categorias!$A19="",0,SUMIFS(L_VDesp,L_Data,"&gt;="&amp;REL_INI,L_Data,"&lt;="&amp;REL_FIM,L_Status,"PROJETADO",L_CatID,CAD_Categorias!$A19))</f>
        <v>0</v>
      </c>
      <c r="D40" s="10" t="n">
        <f aca="false">$B40+$C40</f>
        <v>0</v>
      </c>
      <c r="E40" s="11" t="n">
        <f aca="false">IF(SUMIFS(L_VDesp,L_Data,"&gt;="&amp;REL_INI,L_Data,"&lt;="&amp;REL_FIM,L_Status,"REALIZADO")=0,0,$B40/SUMIFS(L_VDesp,L_Data,"&gt;="&amp;REL_INI,L_Data,"&lt;="&amp;REL_FIM,L_Status,"REALIZADO"))</f>
        <v>0</v>
      </c>
    </row>
    <row r="41" customFormat="false" ht="15" hidden="false" customHeight="false" outlineLevel="0" collapsed="false">
      <c r="A41" s="9" t="str">
        <f aca="false">IF(CAD_Categorias!$A20="","",CAD_Categorias!$B20)</f>
        <v/>
      </c>
      <c r="B41" s="10" t="n">
        <f aca="false">IF(CAD_Categorias!$A20="",0,SUMIFS(L_VDesp,L_Data,"&gt;="&amp;REL_INI,L_Data,"&lt;="&amp;REL_FIM,L_Status,"REALIZADO",L_CatID,CAD_Categorias!$A20))</f>
        <v>0</v>
      </c>
      <c r="C41" s="10" t="n">
        <f aca="false">IF(CAD_Categorias!$A20="",0,SUMIFS(L_VDesp,L_Data,"&gt;="&amp;REL_INI,L_Data,"&lt;="&amp;REL_FIM,L_Status,"PROJETADO",L_CatID,CAD_Categorias!$A20))</f>
        <v>0</v>
      </c>
      <c r="D41" s="10" t="n">
        <f aca="false">$B41+$C41</f>
        <v>0</v>
      </c>
      <c r="E41" s="11" t="n">
        <f aca="false">IF(SUMIFS(L_VDesp,L_Data,"&gt;="&amp;REL_INI,L_Data,"&lt;="&amp;REL_FIM,L_Status,"REALIZADO")=0,0,$B41/SUMIFS(L_VDesp,L_Data,"&gt;="&amp;REL_INI,L_Data,"&lt;="&amp;REL_FIM,L_Status,"REALIZADO"))</f>
        <v>0</v>
      </c>
    </row>
    <row r="42" customFormat="false" ht="15" hidden="false" customHeight="false" outlineLevel="0" collapsed="false">
      <c r="A42" s="9" t="str">
        <f aca="false">IF(CAD_Categorias!$A21="","",CAD_Categorias!$B21)</f>
        <v/>
      </c>
      <c r="B42" s="10" t="n">
        <f aca="false">IF(CAD_Categorias!$A21="",0,SUMIFS(L_VDesp,L_Data,"&gt;="&amp;REL_INI,L_Data,"&lt;="&amp;REL_FIM,L_Status,"REALIZADO",L_CatID,CAD_Categorias!$A21))</f>
        <v>0</v>
      </c>
      <c r="C42" s="10" t="n">
        <f aca="false">IF(CAD_Categorias!$A21="",0,SUMIFS(L_VDesp,L_Data,"&gt;="&amp;REL_INI,L_Data,"&lt;="&amp;REL_FIM,L_Status,"PROJETADO",L_CatID,CAD_Categorias!$A21))</f>
        <v>0</v>
      </c>
      <c r="D42" s="10" t="n">
        <f aca="false">$B42+$C42</f>
        <v>0</v>
      </c>
      <c r="E42" s="11" t="n">
        <f aca="false">IF(SUMIFS(L_VDesp,L_Data,"&gt;="&amp;REL_INI,L_Data,"&lt;="&amp;REL_FIM,L_Status,"REALIZADO")=0,0,$B42/SUMIFS(L_VDesp,L_Data,"&gt;="&amp;REL_INI,L_Data,"&lt;="&amp;REL_FIM,L_Status,"REALIZADO"))</f>
        <v>0</v>
      </c>
    </row>
    <row r="43" customFormat="false" ht="15" hidden="false" customHeight="false" outlineLevel="0" collapsed="false">
      <c r="A43" s="9" t="str">
        <f aca="false">IF(CAD_Categorias!$A22="","",CAD_Categorias!$B22)</f>
        <v/>
      </c>
      <c r="B43" s="10" t="n">
        <f aca="false">IF(CAD_Categorias!$A22="",0,SUMIFS(L_VDesp,L_Data,"&gt;="&amp;REL_INI,L_Data,"&lt;="&amp;REL_FIM,L_Status,"REALIZADO",L_CatID,CAD_Categorias!$A22))</f>
        <v>0</v>
      </c>
      <c r="C43" s="10" t="n">
        <f aca="false">IF(CAD_Categorias!$A22="",0,SUMIFS(L_VDesp,L_Data,"&gt;="&amp;REL_INI,L_Data,"&lt;="&amp;REL_FIM,L_Status,"PROJETADO",L_CatID,CAD_Categorias!$A22))</f>
        <v>0</v>
      </c>
      <c r="D43" s="10" t="n">
        <f aca="false">$B43+$C43</f>
        <v>0</v>
      </c>
      <c r="E43" s="11" t="n">
        <f aca="false">IF(SUMIFS(L_VDesp,L_Data,"&gt;="&amp;REL_INI,L_Data,"&lt;="&amp;REL_FIM,L_Status,"REALIZADO")=0,0,$B43/SUMIFS(L_VDesp,L_Data,"&gt;="&amp;REL_INI,L_Data,"&lt;="&amp;REL_FIM,L_Status,"REALIZADO"))</f>
        <v>0</v>
      </c>
    </row>
    <row r="44" customFormat="false" ht="15" hidden="false" customHeight="false" outlineLevel="0" collapsed="false">
      <c r="A44" s="9" t="str">
        <f aca="false">IF(CAD_Categorias!$A23="","",CAD_Categorias!$B23)</f>
        <v/>
      </c>
      <c r="B44" s="10" t="n">
        <f aca="false">IF(CAD_Categorias!$A23="",0,SUMIFS(L_VDesp,L_Data,"&gt;="&amp;REL_INI,L_Data,"&lt;="&amp;REL_FIM,L_Status,"REALIZADO",L_CatID,CAD_Categorias!$A23))</f>
        <v>0</v>
      </c>
      <c r="C44" s="10" t="n">
        <f aca="false">IF(CAD_Categorias!$A23="",0,SUMIFS(L_VDesp,L_Data,"&gt;="&amp;REL_INI,L_Data,"&lt;="&amp;REL_FIM,L_Status,"PROJETADO",L_CatID,CAD_Categorias!$A23))</f>
        <v>0</v>
      </c>
      <c r="D44" s="10" t="n">
        <f aca="false">$B44+$C44</f>
        <v>0</v>
      </c>
      <c r="E44" s="11" t="n">
        <f aca="false">IF(SUMIFS(L_VDesp,L_Data,"&gt;="&amp;REL_INI,L_Data,"&lt;="&amp;REL_FIM,L_Status,"REALIZADO")=0,0,$B44/SUMIFS(L_VDesp,L_Data,"&gt;="&amp;REL_INI,L_Data,"&lt;="&amp;REL_FIM,L_Status,"REALIZADO"))</f>
        <v>0</v>
      </c>
    </row>
    <row r="45" customFormat="false" ht="15" hidden="false" customHeight="false" outlineLevel="0" collapsed="false">
      <c r="A45" s="9" t="str">
        <f aca="false">IF(CAD_Categorias!$A24="","",CAD_Categorias!$B24)</f>
        <v/>
      </c>
      <c r="B45" s="10" t="n">
        <f aca="false">IF(CAD_Categorias!$A24="",0,SUMIFS(L_VDesp,L_Data,"&gt;="&amp;REL_INI,L_Data,"&lt;="&amp;REL_FIM,L_Status,"REALIZADO",L_CatID,CAD_Categorias!$A24))</f>
        <v>0</v>
      </c>
      <c r="C45" s="10" t="n">
        <f aca="false">IF(CAD_Categorias!$A24="",0,SUMIFS(L_VDesp,L_Data,"&gt;="&amp;REL_INI,L_Data,"&lt;="&amp;REL_FIM,L_Status,"PROJETADO",L_CatID,CAD_Categorias!$A24))</f>
        <v>0</v>
      </c>
      <c r="D45" s="10" t="n">
        <f aca="false">$B45+$C45</f>
        <v>0</v>
      </c>
      <c r="E45" s="11" t="n">
        <f aca="false">IF(SUMIFS(L_VDesp,L_Data,"&gt;="&amp;REL_INI,L_Data,"&lt;="&amp;REL_FIM,L_Status,"REALIZADO")=0,0,$B45/SUMIFS(L_VDesp,L_Data,"&gt;="&amp;REL_INI,L_Data,"&lt;="&amp;REL_FIM,L_Status,"REALIZADO"))</f>
        <v>0</v>
      </c>
    </row>
    <row r="46" customFormat="false" ht="15" hidden="false" customHeight="false" outlineLevel="0" collapsed="false">
      <c r="A46" s="9" t="str">
        <f aca="false">IF(CAD_Categorias!$A25="","",CAD_Categorias!$B25)</f>
        <v/>
      </c>
      <c r="B46" s="10" t="n">
        <f aca="false">IF(CAD_Categorias!$A25="",0,SUMIFS(L_VDesp,L_Data,"&gt;="&amp;REL_INI,L_Data,"&lt;="&amp;REL_FIM,L_Status,"REALIZADO",L_CatID,CAD_Categorias!$A25))</f>
        <v>0</v>
      </c>
      <c r="C46" s="10" t="n">
        <f aca="false">IF(CAD_Categorias!$A25="",0,SUMIFS(L_VDesp,L_Data,"&gt;="&amp;REL_INI,L_Data,"&lt;="&amp;REL_FIM,L_Status,"PROJETADO",L_CatID,CAD_Categorias!$A25))</f>
        <v>0</v>
      </c>
      <c r="D46" s="10" t="n">
        <f aca="false">$B46+$C46</f>
        <v>0</v>
      </c>
      <c r="E46" s="11" t="n">
        <f aca="false">IF(SUMIFS(L_VDesp,L_Data,"&gt;="&amp;REL_INI,L_Data,"&lt;="&amp;REL_FIM,L_Status,"REALIZADO")=0,0,$B46/SUMIFS(L_VDesp,L_Data,"&gt;="&amp;REL_INI,L_Data,"&lt;="&amp;REL_FIM,L_Status,"REALIZADO"))</f>
        <v>0</v>
      </c>
    </row>
    <row r="47" customFormat="false" ht="15" hidden="false" customHeight="false" outlineLevel="0" collapsed="false">
      <c r="A47" s="9" t="str">
        <f aca="false">IF(CAD_Categorias!$A26="","",CAD_Categorias!$B26)</f>
        <v/>
      </c>
      <c r="B47" s="10" t="n">
        <f aca="false">IF(CAD_Categorias!$A26="",0,SUMIFS(L_VDesp,L_Data,"&gt;="&amp;REL_INI,L_Data,"&lt;="&amp;REL_FIM,L_Status,"REALIZADO",L_CatID,CAD_Categorias!$A26))</f>
        <v>0</v>
      </c>
      <c r="C47" s="10" t="n">
        <f aca="false">IF(CAD_Categorias!$A26="",0,SUMIFS(L_VDesp,L_Data,"&gt;="&amp;REL_INI,L_Data,"&lt;="&amp;REL_FIM,L_Status,"PROJETADO",L_CatID,CAD_Categorias!$A26))</f>
        <v>0</v>
      </c>
      <c r="D47" s="10" t="n">
        <f aca="false">$B47+$C47</f>
        <v>0</v>
      </c>
      <c r="E47" s="11" t="n">
        <f aca="false">IF(SUMIFS(L_VDesp,L_Data,"&gt;="&amp;REL_INI,L_Data,"&lt;="&amp;REL_FIM,L_Status,"REALIZADO")=0,0,$B47/SUMIFS(L_VDesp,L_Data,"&gt;="&amp;REL_INI,L_Data,"&lt;="&amp;REL_FIM,L_Status,"REALIZADO"))</f>
        <v>0</v>
      </c>
    </row>
    <row r="48" customFormat="false" ht="15" hidden="false" customHeight="false" outlineLevel="0" collapsed="false">
      <c r="A48" s="9" t="str">
        <f aca="false">IF(CAD_Categorias!$A27="","",CAD_Categorias!$B27)</f>
        <v/>
      </c>
      <c r="B48" s="10" t="n">
        <f aca="false">IF(CAD_Categorias!$A27="",0,SUMIFS(L_VDesp,L_Data,"&gt;="&amp;REL_INI,L_Data,"&lt;="&amp;REL_FIM,L_Status,"REALIZADO",L_CatID,CAD_Categorias!$A27))</f>
        <v>0</v>
      </c>
      <c r="C48" s="10" t="n">
        <f aca="false">IF(CAD_Categorias!$A27="",0,SUMIFS(L_VDesp,L_Data,"&gt;="&amp;REL_INI,L_Data,"&lt;="&amp;REL_FIM,L_Status,"PROJETADO",L_CatID,CAD_Categorias!$A27))</f>
        <v>0</v>
      </c>
      <c r="D48" s="10" t="n">
        <f aca="false">$B48+$C48</f>
        <v>0</v>
      </c>
      <c r="E48" s="11" t="n">
        <f aca="false">IF(SUMIFS(L_VDesp,L_Data,"&gt;="&amp;REL_INI,L_Data,"&lt;="&amp;REL_FIM,L_Status,"REALIZADO")=0,0,$B48/SUMIFS(L_VDesp,L_Data,"&gt;="&amp;REL_INI,L_Data,"&lt;="&amp;REL_FIM,L_Status,"REALIZADO"))</f>
        <v>0</v>
      </c>
    </row>
    <row r="49" customFormat="false" ht="15" hidden="false" customHeight="false" outlineLevel="0" collapsed="false">
      <c r="A49" s="9" t="str">
        <f aca="false">IF(CAD_Categorias!$A28="","",CAD_Categorias!$B28)</f>
        <v/>
      </c>
      <c r="B49" s="10" t="n">
        <f aca="false">IF(CAD_Categorias!$A28="",0,SUMIFS(L_VDesp,L_Data,"&gt;="&amp;REL_INI,L_Data,"&lt;="&amp;REL_FIM,L_Status,"REALIZADO",L_CatID,CAD_Categorias!$A28))</f>
        <v>0</v>
      </c>
      <c r="C49" s="10" t="n">
        <f aca="false">IF(CAD_Categorias!$A28="",0,SUMIFS(L_VDesp,L_Data,"&gt;="&amp;REL_INI,L_Data,"&lt;="&amp;REL_FIM,L_Status,"PROJETADO",L_CatID,CAD_Categorias!$A28))</f>
        <v>0</v>
      </c>
      <c r="D49" s="10" t="n">
        <f aca="false">$B49+$C49</f>
        <v>0</v>
      </c>
      <c r="E49" s="11" t="n">
        <f aca="false">IF(SUMIFS(L_VDesp,L_Data,"&gt;="&amp;REL_INI,L_Data,"&lt;="&amp;REL_FIM,L_Status,"REALIZADO")=0,0,$B49/SUMIFS(L_VDesp,L_Data,"&gt;="&amp;REL_INI,L_Data,"&lt;="&amp;REL_FIM,L_Status,"REALIZADO"))</f>
        <v>0</v>
      </c>
    </row>
    <row r="50" customFormat="false" ht="15" hidden="false" customHeight="false" outlineLevel="0" collapsed="false">
      <c r="A50" s="9" t="str">
        <f aca="false">IF(CAD_Categorias!$A29="","",CAD_Categorias!$B29)</f>
        <v/>
      </c>
      <c r="B50" s="10" t="n">
        <f aca="false">IF(CAD_Categorias!$A29="",0,SUMIFS(L_VDesp,L_Data,"&gt;="&amp;REL_INI,L_Data,"&lt;="&amp;REL_FIM,L_Status,"REALIZADO",L_CatID,CAD_Categorias!$A29))</f>
        <v>0</v>
      </c>
      <c r="C50" s="10" t="n">
        <f aca="false">IF(CAD_Categorias!$A29="",0,SUMIFS(L_VDesp,L_Data,"&gt;="&amp;REL_INI,L_Data,"&lt;="&amp;REL_FIM,L_Status,"PROJETADO",L_CatID,CAD_Categorias!$A29))</f>
        <v>0</v>
      </c>
      <c r="D50" s="10" t="n">
        <f aca="false">$B50+$C50</f>
        <v>0</v>
      </c>
      <c r="E50" s="11" t="n">
        <f aca="false">IF(SUMIFS(L_VDesp,L_Data,"&gt;="&amp;REL_INI,L_Data,"&lt;="&amp;REL_FIM,L_Status,"REALIZADO")=0,0,$B50/SUMIFS(L_VDesp,L_Data,"&gt;="&amp;REL_INI,L_Data,"&lt;="&amp;REL_FIM,L_Status,"REALIZADO"))</f>
        <v>0</v>
      </c>
    </row>
    <row r="51" customFormat="false" ht="15" hidden="false" customHeight="false" outlineLevel="0" collapsed="false">
      <c r="A51" s="9" t="str">
        <f aca="false">IF(CAD_Categorias!$A30="","",CAD_Categorias!$B30)</f>
        <v/>
      </c>
      <c r="B51" s="10" t="n">
        <f aca="false">IF(CAD_Categorias!$A30="",0,SUMIFS(L_VDesp,L_Data,"&gt;="&amp;REL_INI,L_Data,"&lt;="&amp;REL_FIM,L_Status,"REALIZADO",L_CatID,CAD_Categorias!$A30))</f>
        <v>0</v>
      </c>
      <c r="C51" s="10" t="n">
        <f aca="false">IF(CAD_Categorias!$A30="",0,SUMIFS(L_VDesp,L_Data,"&gt;="&amp;REL_INI,L_Data,"&lt;="&amp;REL_FIM,L_Status,"PROJETADO",L_CatID,CAD_Categorias!$A30))</f>
        <v>0</v>
      </c>
      <c r="D51" s="10" t="n">
        <f aca="false">$B51+$C51</f>
        <v>0</v>
      </c>
      <c r="E51" s="11" t="n">
        <f aca="false">IF(SUMIFS(L_VDesp,L_Data,"&gt;="&amp;REL_INI,L_Data,"&lt;="&amp;REL_FIM,L_Status,"REALIZADO")=0,0,$B51/SUMIFS(L_VDesp,L_Data,"&gt;="&amp;REL_INI,L_Data,"&lt;="&amp;REL_FIM,L_Status,"REALIZADO"))</f>
        <v>0</v>
      </c>
    </row>
    <row r="52" customFormat="false" ht="15" hidden="false" customHeight="false" outlineLevel="0" collapsed="false">
      <c r="A52" s="9" t="str">
        <f aca="false">IF(CAD_Categorias!$A31="","",CAD_Categorias!$B31)</f>
        <v/>
      </c>
      <c r="B52" s="10" t="n">
        <f aca="false">IF(CAD_Categorias!$A31="",0,SUMIFS(L_VDesp,L_Data,"&gt;="&amp;REL_INI,L_Data,"&lt;="&amp;REL_FIM,L_Status,"REALIZADO",L_CatID,CAD_Categorias!$A31))</f>
        <v>0</v>
      </c>
      <c r="C52" s="10" t="n">
        <f aca="false">IF(CAD_Categorias!$A31="",0,SUMIFS(L_VDesp,L_Data,"&gt;="&amp;REL_INI,L_Data,"&lt;="&amp;REL_FIM,L_Status,"PROJETADO",L_CatID,CAD_Categorias!$A31))</f>
        <v>0</v>
      </c>
      <c r="D52" s="10" t="n">
        <f aca="false">$B52+$C52</f>
        <v>0</v>
      </c>
      <c r="E52" s="11" t="n">
        <f aca="false">IF(SUMIFS(L_VDesp,L_Data,"&gt;="&amp;REL_INI,L_Data,"&lt;="&amp;REL_FIM,L_Status,"REALIZADO")=0,0,$B52/SUMIFS(L_VDesp,L_Data,"&gt;="&amp;REL_INI,L_Data,"&lt;="&amp;REL_FIM,L_Status,"REALIZADO"))</f>
        <v>0</v>
      </c>
    </row>
    <row r="53" customFormat="false" ht="15" hidden="false" customHeight="false" outlineLevel="0" collapsed="false">
      <c r="A53" s="9" t="str">
        <f aca="false">IF(CAD_Categorias!$A32="","",CAD_Categorias!$B32)</f>
        <v/>
      </c>
      <c r="B53" s="10" t="n">
        <f aca="false">IF(CAD_Categorias!$A32="",0,SUMIFS(L_VDesp,L_Data,"&gt;="&amp;REL_INI,L_Data,"&lt;="&amp;REL_FIM,L_Status,"REALIZADO",L_CatID,CAD_Categorias!$A32))</f>
        <v>0</v>
      </c>
      <c r="C53" s="10" t="n">
        <f aca="false">IF(CAD_Categorias!$A32="",0,SUMIFS(L_VDesp,L_Data,"&gt;="&amp;REL_INI,L_Data,"&lt;="&amp;REL_FIM,L_Status,"PROJETADO",L_CatID,CAD_Categorias!$A32))</f>
        <v>0</v>
      </c>
      <c r="D53" s="10" t="n">
        <f aca="false">$B53+$C53</f>
        <v>0</v>
      </c>
      <c r="E53" s="11" t="n">
        <f aca="false">IF(SUMIFS(L_VDesp,L_Data,"&gt;="&amp;REL_INI,L_Data,"&lt;="&amp;REL_FIM,L_Status,"REALIZADO")=0,0,$B53/SUMIFS(L_VDesp,L_Data,"&gt;="&amp;REL_INI,L_Data,"&lt;="&amp;REL_FIM,L_Status,"REALIZADO"))</f>
        <v>0</v>
      </c>
    </row>
    <row r="54" customFormat="false" ht="15" hidden="false" customHeight="false" outlineLevel="0" collapsed="false">
      <c r="A54" s="9" t="str">
        <f aca="false">IF(CAD_Categorias!$A33="","",CAD_Categorias!$B33)</f>
        <v/>
      </c>
      <c r="B54" s="10" t="n">
        <f aca="false">IF(CAD_Categorias!$A33="",0,SUMIFS(L_VDesp,L_Data,"&gt;="&amp;REL_INI,L_Data,"&lt;="&amp;REL_FIM,L_Status,"REALIZADO",L_CatID,CAD_Categorias!$A33))</f>
        <v>0</v>
      </c>
      <c r="C54" s="10" t="n">
        <f aca="false">IF(CAD_Categorias!$A33="",0,SUMIFS(L_VDesp,L_Data,"&gt;="&amp;REL_INI,L_Data,"&lt;="&amp;REL_FIM,L_Status,"PROJETADO",L_CatID,CAD_Categorias!$A33))</f>
        <v>0</v>
      </c>
      <c r="D54" s="10" t="n">
        <f aca="false">$B54+$C54</f>
        <v>0</v>
      </c>
      <c r="E54" s="11" t="n">
        <f aca="false">IF(SUMIFS(L_VDesp,L_Data,"&gt;="&amp;REL_INI,L_Data,"&lt;="&amp;REL_FIM,L_Status,"REALIZADO")=0,0,$B54/SUMIFS(L_VDesp,L_Data,"&gt;="&amp;REL_INI,L_Data,"&lt;="&amp;REL_FIM,L_Status,"REALIZADO"))</f>
        <v>0</v>
      </c>
    </row>
    <row r="55" customFormat="false" ht="15" hidden="false" customHeight="false" outlineLevel="0" collapsed="false">
      <c r="A55" s="9" t="str">
        <f aca="false">IF(CAD_Categorias!$A34="","",CAD_Categorias!$B34)</f>
        <v/>
      </c>
      <c r="B55" s="10" t="n">
        <f aca="false">IF(CAD_Categorias!$A34="",0,SUMIFS(L_VDesp,L_Data,"&gt;="&amp;REL_INI,L_Data,"&lt;="&amp;REL_FIM,L_Status,"REALIZADO",L_CatID,CAD_Categorias!$A34))</f>
        <v>0</v>
      </c>
      <c r="C55" s="10" t="n">
        <f aca="false">IF(CAD_Categorias!$A34="",0,SUMIFS(L_VDesp,L_Data,"&gt;="&amp;REL_INI,L_Data,"&lt;="&amp;REL_FIM,L_Status,"PROJETADO",L_CatID,CAD_Categorias!$A34))</f>
        <v>0</v>
      </c>
      <c r="D55" s="10" t="n">
        <f aca="false">$B55+$C55</f>
        <v>0</v>
      </c>
      <c r="E55" s="11" t="n">
        <f aca="false">IF(SUMIFS(L_VDesp,L_Data,"&gt;="&amp;REL_INI,L_Data,"&lt;="&amp;REL_FIM,L_Status,"REALIZADO")=0,0,$B55/SUMIFS(L_VDesp,L_Data,"&gt;="&amp;REL_INI,L_Data,"&lt;="&amp;REL_FIM,L_Status,"REALIZADO"))</f>
        <v>0</v>
      </c>
    </row>
    <row r="56" customFormat="false" ht="15" hidden="false" customHeight="false" outlineLevel="0" collapsed="false">
      <c r="A56" s="9" t="str">
        <f aca="false">IF(CAD_Categorias!$A35="","",CAD_Categorias!$B35)</f>
        <v/>
      </c>
      <c r="B56" s="10" t="n">
        <f aca="false">IF(CAD_Categorias!$A35="",0,SUMIFS(L_VDesp,L_Data,"&gt;="&amp;REL_INI,L_Data,"&lt;="&amp;REL_FIM,L_Status,"REALIZADO",L_CatID,CAD_Categorias!$A35))</f>
        <v>0</v>
      </c>
      <c r="C56" s="10" t="n">
        <f aca="false">IF(CAD_Categorias!$A35="",0,SUMIFS(L_VDesp,L_Data,"&gt;="&amp;REL_INI,L_Data,"&lt;="&amp;REL_FIM,L_Status,"PROJETADO",L_CatID,CAD_Categorias!$A35))</f>
        <v>0</v>
      </c>
      <c r="D56" s="10" t="n">
        <f aca="false">$B56+$C56</f>
        <v>0</v>
      </c>
      <c r="E56" s="11" t="n">
        <f aca="false">IF(SUMIFS(L_VDesp,L_Data,"&gt;="&amp;REL_INI,L_Data,"&lt;="&amp;REL_FIM,L_Status,"REALIZADO")=0,0,$B56/SUMIFS(L_VDesp,L_Data,"&gt;="&amp;REL_INI,L_Data,"&lt;="&amp;REL_FIM,L_Status,"REALIZADO"))</f>
        <v>0</v>
      </c>
    </row>
    <row r="57" customFormat="false" ht="15" hidden="false" customHeight="false" outlineLevel="0" collapsed="false">
      <c r="A57" s="9" t="str">
        <f aca="false">IF(CAD_Categorias!$A36="","",CAD_Categorias!$B36)</f>
        <v/>
      </c>
      <c r="B57" s="10" t="n">
        <f aca="false">IF(CAD_Categorias!$A36="",0,SUMIFS(L_VDesp,L_Data,"&gt;="&amp;REL_INI,L_Data,"&lt;="&amp;REL_FIM,L_Status,"REALIZADO",L_CatID,CAD_Categorias!$A36))</f>
        <v>0</v>
      </c>
      <c r="C57" s="10" t="n">
        <f aca="false">IF(CAD_Categorias!$A36="",0,SUMIFS(L_VDesp,L_Data,"&gt;="&amp;REL_INI,L_Data,"&lt;="&amp;REL_FIM,L_Status,"PROJETADO",L_CatID,CAD_Categorias!$A36))</f>
        <v>0</v>
      </c>
      <c r="D57" s="10" t="n">
        <f aca="false">$B57+$C57</f>
        <v>0</v>
      </c>
      <c r="E57" s="11" t="n">
        <f aca="false">IF(SUMIFS(L_VDesp,L_Data,"&gt;="&amp;REL_INI,L_Data,"&lt;="&amp;REL_FIM,L_Status,"REALIZADO")=0,0,$B57/SUMIFS(L_VDesp,L_Data,"&gt;="&amp;REL_INI,L_Data,"&lt;="&amp;REL_FIM,L_Status,"REALIZADO"))</f>
        <v>0</v>
      </c>
    </row>
    <row r="58" customFormat="false" ht="15" hidden="false" customHeight="false" outlineLevel="0" collapsed="false">
      <c r="A58" s="9" t="str">
        <f aca="false">IF(CAD_Categorias!$A37="","",CAD_Categorias!$B37)</f>
        <v/>
      </c>
      <c r="B58" s="10" t="n">
        <f aca="false">IF(CAD_Categorias!$A37="",0,SUMIFS(L_VDesp,L_Data,"&gt;="&amp;REL_INI,L_Data,"&lt;="&amp;REL_FIM,L_Status,"REALIZADO",L_CatID,CAD_Categorias!$A37))</f>
        <v>0</v>
      </c>
      <c r="C58" s="10" t="n">
        <f aca="false">IF(CAD_Categorias!$A37="",0,SUMIFS(L_VDesp,L_Data,"&gt;="&amp;REL_INI,L_Data,"&lt;="&amp;REL_FIM,L_Status,"PROJETADO",L_CatID,CAD_Categorias!$A37))</f>
        <v>0</v>
      </c>
      <c r="D58" s="10" t="n">
        <f aca="false">$B58+$C58</f>
        <v>0</v>
      </c>
      <c r="E58" s="11" t="n">
        <f aca="false">IF(SUMIFS(L_VDesp,L_Data,"&gt;="&amp;REL_INI,L_Data,"&lt;="&amp;REL_FIM,L_Status,"REALIZADO")=0,0,$B58/SUMIFS(L_VDesp,L_Data,"&gt;="&amp;REL_INI,L_Data,"&lt;="&amp;REL_FIM,L_Status,"REALIZADO"))</f>
        <v>0</v>
      </c>
    </row>
    <row r="59" customFormat="false" ht="15" hidden="false" customHeight="false" outlineLevel="0" collapsed="false">
      <c r="A59" s="9" t="str">
        <f aca="false">IF(CAD_Categorias!$A38="","",CAD_Categorias!$B38)</f>
        <v/>
      </c>
      <c r="B59" s="10" t="n">
        <f aca="false">IF(CAD_Categorias!$A38="",0,SUMIFS(L_VDesp,L_Data,"&gt;="&amp;REL_INI,L_Data,"&lt;="&amp;REL_FIM,L_Status,"REALIZADO",L_CatID,CAD_Categorias!$A38))</f>
        <v>0</v>
      </c>
      <c r="C59" s="10" t="n">
        <f aca="false">IF(CAD_Categorias!$A38="",0,SUMIFS(L_VDesp,L_Data,"&gt;="&amp;REL_INI,L_Data,"&lt;="&amp;REL_FIM,L_Status,"PROJETADO",L_CatID,CAD_Categorias!$A38))</f>
        <v>0</v>
      </c>
      <c r="D59" s="10" t="n">
        <f aca="false">$B59+$C59</f>
        <v>0</v>
      </c>
      <c r="E59" s="11" t="n">
        <f aca="false">IF(SUMIFS(L_VDesp,L_Data,"&gt;="&amp;REL_INI,L_Data,"&lt;="&amp;REL_FIM,L_Status,"REALIZADO")=0,0,$B59/SUMIFS(L_VDesp,L_Data,"&gt;="&amp;REL_INI,L_Data,"&lt;="&amp;REL_FIM,L_Status,"REALIZADO"))</f>
        <v>0</v>
      </c>
    </row>
    <row r="60" customFormat="false" ht="15" hidden="false" customHeight="false" outlineLevel="0" collapsed="false">
      <c r="A60" s="9" t="str">
        <f aca="false">IF(CAD_Categorias!$A39="","",CAD_Categorias!$B39)</f>
        <v/>
      </c>
      <c r="B60" s="10" t="n">
        <f aca="false">IF(CAD_Categorias!$A39="",0,SUMIFS(L_VDesp,L_Data,"&gt;="&amp;REL_INI,L_Data,"&lt;="&amp;REL_FIM,L_Status,"REALIZADO",L_CatID,CAD_Categorias!$A39))</f>
        <v>0</v>
      </c>
      <c r="C60" s="10" t="n">
        <f aca="false">IF(CAD_Categorias!$A39="",0,SUMIFS(L_VDesp,L_Data,"&gt;="&amp;REL_INI,L_Data,"&lt;="&amp;REL_FIM,L_Status,"PROJETADO",L_CatID,CAD_Categorias!$A39))</f>
        <v>0</v>
      </c>
      <c r="D60" s="10" t="n">
        <f aca="false">$B60+$C60</f>
        <v>0</v>
      </c>
      <c r="E60" s="11" t="n">
        <f aca="false">IF(SUMIFS(L_VDesp,L_Data,"&gt;="&amp;REL_INI,L_Data,"&lt;="&amp;REL_FIM,L_Status,"REALIZADO")=0,0,$B60/SUMIFS(L_VDesp,L_Data,"&gt;="&amp;REL_INI,L_Data,"&lt;="&amp;REL_FIM,L_Status,"REALIZADO"))</f>
        <v>0</v>
      </c>
    </row>
    <row r="61" customFormat="false" ht="15" hidden="false" customHeight="false" outlineLevel="0" collapsed="false">
      <c r="A61" s="9" t="str">
        <f aca="false">IF(CAD_Categorias!$A40="","",CAD_Categorias!$B40)</f>
        <v/>
      </c>
      <c r="B61" s="10" t="n">
        <f aca="false">IF(CAD_Categorias!$A40="",0,SUMIFS(L_VDesp,L_Data,"&gt;="&amp;REL_INI,L_Data,"&lt;="&amp;REL_FIM,L_Status,"REALIZADO",L_CatID,CAD_Categorias!$A40))</f>
        <v>0</v>
      </c>
      <c r="C61" s="10" t="n">
        <f aca="false">IF(CAD_Categorias!$A40="",0,SUMIFS(L_VDesp,L_Data,"&gt;="&amp;REL_INI,L_Data,"&lt;="&amp;REL_FIM,L_Status,"PROJETADO",L_CatID,CAD_Categorias!$A40))</f>
        <v>0</v>
      </c>
      <c r="D61" s="10" t="n">
        <f aca="false">$B61+$C61</f>
        <v>0</v>
      </c>
      <c r="E61" s="11" t="n">
        <f aca="false">IF(SUMIFS(L_VDesp,L_Data,"&gt;="&amp;REL_INI,L_Data,"&lt;="&amp;REL_FIM,L_Status,"REALIZADO")=0,0,$B61/SUMIFS(L_VDesp,L_Data,"&gt;="&amp;REL_INI,L_Data,"&lt;="&amp;REL_FIM,L_Status,"REALIZADO"))</f>
        <v>0</v>
      </c>
    </row>
    <row r="62" customFormat="false" ht="15" hidden="false" customHeight="false" outlineLevel="0" collapsed="false">
      <c r="A62" s="9" t="str">
        <f aca="false">IF(CAD_Categorias!$A41="","",CAD_Categorias!$B41)</f>
        <v/>
      </c>
      <c r="B62" s="10" t="n">
        <f aca="false">IF(CAD_Categorias!$A41="",0,SUMIFS(L_VDesp,L_Data,"&gt;="&amp;REL_INI,L_Data,"&lt;="&amp;REL_FIM,L_Status,"REALIZADO",L_CatID,CAD_Categorias!$A41))</f>
        <v>0</v>
      </c>
      <c r="C62" s="10" t="n">
        <f aca="false">IF(CAD_Categorias!$A41="",0,SUMIFS(L_VDesp,L_Data,"&gt;="&amp;REL_INI,L_Data,"&lt;="&amp;REL_FIM,L_Status,"PROJETADO",L_CatID,CAD_Categorias!$A41))</f>
        <v>0</v>
      </c>
      <c r="D62" s="10" t="n">
        <f aca="false">$B62+$C62</f>
        <v>0</v>
      </c>
      <c r="E62" s="11" t="n">
        <f aca="false">IF(SUMIFS(L_VDesp,L_Data,"&gt;="&amp;REL_INI,L_Data,"&lt;="&amp;REL_FIM,L_Status,"REALIZADO")=0,0,$B62/SUMIFS(L_VDesp,L_Data,"&gt;="&amp;REL_INI,L_Data,"&lt;="&amp;REL_FIM,L_Status,"REALIZADO"))</f>
        <v>0</v>
      </c>
    </row>
    <row r="63" customFormat="false" ht="15" hidden="false" customHeight="false" outlineLevel="0" collapsed="false">
      <c r="A63" s="9" t="str">
        <f aca="false">IF(CAD_Categorias!$A42="","",CAD_Categorias!$B42)</f>
        <v/>
      </c>
      <c r="B63" s="10" t="n">
        <f aca="false">IF(CAD_Categorias!$A42="",0,SUMIFS(L_VDesp,L_Data,"&gt;="&amp;REL_INI,L_Data,"&lt;="&amp;REL_FIM,L_Status,"REALIZADO",L_CatID,CAD_Categorias!$A42))</f>
        <v>0</v>
      </c>
      <c r="C63" s="10" t="n">
        <f aca="false">IF(CAD_Categorias!$A42="",0,SUMIFS(L_VDesp,L_Data,"&gt;="&amp;REL_INI,L_Data,"&lt;="&amp;REL_FIM,L_Status,"PROJETADO",L_CatID,CAD_Categorias!$A42))</f>
        <v>0</v>
      </c>
      <c r="D63" s="10" t="n">
        <f aca="false">$B63+$C63</f>
        <v>0</v>
      </c>
      <c r="E63" s="11" t="n">
        <f aca="false">IF(SUMIFS(L_VDesp,L_Data,"&gt;="&amp;REL_INI,L_Data,"&lt;="&amp;REL_FIM,L_Status,"REALIZADO")=0,0,$B63/SUMIFS(L_VDesp,L_Data,"&gt;="&amp;REL_INI,L_Data,"&lt;="&amp;REL_FIM,L_Status,"REALIZADO"))</f>
        <v>0</v>
      </c>
    </row>
    <row r="64" customFormat="false" ht="15" hidden="false" customHeight="false" outlineLevel="0" collapsed="false">
      <c r="A64" s="9" t="str">
        <f aca="false">IF(CAD_Categorias!$A43="","",CAD_Categorias!$B43)</f>
        <v/>
      </c>
      <c r="B64" s="10" t="n">
        <f aca="false">IF(CAD_Categorias!$A43="",0,SUMIFS(L_VDesp,L_Data,"&gt;="&amp;REL_INI,L_Data,"&lt;="&amp;REL_FIM,L_Status,"REALIZADO",L_CatID,CAD_Categorias!$A43))</f>
        <v>0</v>
      </c>
      <c r="C64" s="10" t="n">
        <f aca="false">IF(CAD_Categorias!$A43="",0,SUMIFS(L_VDesp,L_Data,"&gt;="&amp;REL_INI,L_Data,"&lt;="&amp;REL_FIM,L_Status,"PROJETADO",L_CatID,CAD_Categorias!$A43))</f>
        <v>0</v>
      </c>
      <c r="D64" s="10" t="n">
        <f aca="false">$B64+$C64</f>
        <v>0</v>
      </c>
      <c r="E64" s="11" t="n">
        <f aca="false">IF(SUMIFS(L_VDesp,L_Data,"&gt;="&amp;REL_INI,L_Data,"&lt;="&amp;REL_FIM,L_Status,"REALIZADO")=0,0,$B64/SUMIFS(L_VDesp,L_Data,"&gt;="&amp;REL_INI,L_Data,"&lt;="&amp;REL_FIM,L_Status,"REALIZADO"))</f>
        <v>0</v>
      </c>
    </row>
    <row r="65" customFormat="false" ht="15" hidden="false" customHeight="false" outlineLevel="0" collapsed="false">
      <c r="A65" s="9" t="str">
        <f aca="false">IF(CAD_Categorias!$A44="","",CAD_Categorias!$B44)</f>
        <v/>
      </c>
      <c r="B65" s="10" t="n">
        <f aca="false">IF(CAD_Categorias!$A44="",0,SUMIFS(L_VDesp,L_Data,"&gt;="&amp;REL_INI,L_Data,"&lt;="&amp;REL_FIM,L_Status,"REALIZADO",L_CatID,CAD_Categorias!$A44))</f>
        <v>0</v>
      </c>
      <c r="C65" s="10" t="n">
        <f aca="false">IF(CAD_Categorias!$A44="",0,SUMIFS(L_VDesp,L_Data,"&gt;="&amp;REL_INI,L_Data,"&lt;="&amp;REL_FIM,L_Status,"PROJETADO",L_CatID,CAD_Categorias!$A44))</f>
        <v>0</v>
      </c>
      <c r="D65" s="10" t="n">
        <f aca="false">$B65+$C65</f>
        <v>0</v>
      </c>
      <c r="E65" s="11" t="n">
        <f aca="false">IF(SUMIFS(L_VDesp,L_Data,"&gt;="&amp;REL_INI,L_Data,"&lt;="&amp;REL_FIM,L_Status,"REALIZADO")=0,0,$B65/SUMIFS(L_VDesp,L_Data,"&gt;="&amp;REL_INI,L_Data,"&lt;="&amp;REL_FIM,L_Status,"REALIZADO"))</f>
        <v>0</v>
      </c>
    </row>
    <row r="67" customFormat="false" ht="19.5" hidden="false" customHeight="true" outlineLevel="0" collapsed="false">
      <c r="A67" s="3" t="s">
        <v>402</v>
      </c>
      <c r="B67" s="3"/>
      <c r="C67" s="3"/>
      <c r="D67" s="3"/>
      <c r="E67" s="3"/>
      <c r="F67" s="3"/>
      <c r="G67" s="3"/>
    </row>
    <row r="68" customFormat="false" ht="30" hidden="false" customHeight="true" outlineLevel="0" collapsed="false">
      <c r="A68" s="8" t="s">
        <v>63</v>
      </c>
      <c r="B68" s="8" t="s">
        <v>65</v>
      </c>
      <c r="C68" s="8" t="s">
        <v>383</v>
      </c>
      <c r="D68" s="8" t="s">
        <v>384</v>
      </c>
      <c r="E68" s="8" t="s">
        <v>385</v>
      </c>
    </row>
    <row r="69" customFormat="false" ht="15" hidden="false" customHeight="false" outlineLevel="0" collapsed="false">
      <c r="A69" s="9" t="str">
        <f aca="false">IF(CAD_Subcategorias!$A5="","",CAD_Subcategorias!$B5)</f>
        <v>Alimentacao</v>
      </c>
      <c r="B69" s="9" t="str">
        <f aca="false">IF(CAD_Subcategorias!$A5="","",CAD_Subcategorias!$D5)</f>
        <v>Supermercado</v>
      </c>
      <c r="C69" s="10" t="n">
        <f aca="false">IF(CAD_Subcategorias!$A5="",0,SUMIFS(L_VDesp,L_Data,"&gt;="&amp;REL_INI,L_Data,"&lt;="&amp;REL_FIM,L_Status,"REALIZADO",L_SubID,CAD_Subcategorias!$A5))</f>
        <v>0</v>
      </c>
      <c r="D69" s="10" t="n">
        <f aca="false">IF(CAD_Subcategorias!$A5="",0,SUMIFS(L_VDesp,L_Data,"&gt;="&amp;REL_INI,L_Data,"&lt;="&amp;REL_FIM,L_Status,"PROJETADO",L_SubID,CAD_Subcategorias!$A5))</f>
        <v>0</v>
      </c>
      <c r="E69" s="10" t="n">
        <f aca="false">$C69+$D69</f>
        <v>0</v>
      </c>
    </row>
    <row r="70" customFormat="false" ht="15" hidden="false" customHeight="false" outlineLevel="0" collapsed="false">
      <c r="A70" s="9" t="str">
        <f aca="false">IF(CAD_Subcategorias!$A6="","",CAD_Subcategorias!$B6)</f>
        <v>Alimentacao</v>
      </c>
      <c r="B70" s="9" t="str">
        <f aca="false">IF(CAD_Subcategorias!$A6="","",CAD_Subcategorias!$D6)</f>
        <v>Restaurante</v>
      </c>
      <c r="C70" s="10" t="n">
        <f aca="false">IF(CAD_Subcategorias!$A6="",0,SUMIFS(L_VDesp,L_Data,"&gt;="&amp;REL_INI,L_Data,"&lt;="&amp;REL_FIM,L_Status,"REALIZADO",L_SubID,CAD_Subcategorias!$A6))</f>
        <v>0</v>
      </c>
      <c r="D70" s="10" t="n">
        <f aca="false">IF(CAD_Subcategorias!$A6="",0,SUMIFS(L_VDesp,L_Data,"&gt;="&amp;REL_INI,L_Data,"&lt;="&amp;REL_FIM,L_Status,"PROJETADO",L_SubID,CAD_Subcategorias!$A6))</f>
        <v>0</v>
      </c>
      <c r="E70" s="10" t="n">
        <f aca="false">$C70+$D70</f>
        <v>0</v>
      </c>
    </row>
    <row r="71" customFormat="false" ht="15" hidden="false" customHeight="false" outlineLevel="0" collapsed="false">
      <c r="A71" s="9" t="str">
        <f aca="false">IF(CAD_Subcategorias!$A7="","",CAD_Subcategorias!$B7)</f>
        <v>Alimentacao</v>
      </c>
      <c r="B71" s="9" t="str">
        <f aca="false">IF(CAD_Subcategorias!$A7="","",CAD_Subcategorias!$D7)</f>
        <v>Delivery</v>
      </c>
      <c r="C71" s="10" t="n">
        <f aca="false">IF(CAD_Subcategorias!$A7="",0,SUMIFS(L_VDesp,L_Data,"&gt;="&amp;REL_INI,L_Data,"&lt;="&amp;REL_FIM,L_Status,"REALIZADO",L_SubID,CAD_Subcategorias!$A7))</f>
        <v>0</v>
      </c>
      <c r="D71" s="10" t="n">
        <f aca="false">IF(CAD_Subcategorias!$A7="",0,SUMIFS(L_VDesp,L_Data,"&gt;="&amp;REL_INI,L_Data,"&lt;="&amp;REL_FIM,L_Status,"PROJETADO",L_SubID,CAD_Subcategorias!$A7))</f>
        <v>0</v>
      </c>
      <c r="E71" s="10" t="n">
        <f aca="false">$C71+$D71</f>
        <v>0</v>
      </c>
    </row>
    <row r="72" customFormat="false" ht="15" hidden="false" customHeight="false" outlineLevel="0" collapsed="false">
      <c r="A72" s="9" t="str">
        <f aca="false">IF(CAD_Subcategorias!$A8="","",CAD_Subcategorias!$B8)</f>
        <v>Alimentacao</v>
      </c>
      <c r="B72" s="9" t="str">
        <f aca="false">IF(CAD_Subcategorias!$A8="","",CAD_Subcategorias!$D8)</f>
        <v>Lanches</v>
      </c>
      <c r="C72" s="10" t="n">
        <f aca="false">IF(CAD_Subcategorias!$A8="",0,SUMIFS(L_VDesp,L_Data,"&gt;="&amp;REL_INI,L_Data,"&lt;="&amp;REL_FIM,L_Status,"REALIZADO",L_SubID,CAD_Subcategorias!$A8))</f>
        <v>0</v>
      </c>
      <c r="D72" s="10" t="n">
        <f aca="false">IF(CAD_Subcategorias!$A8="",0,SUMIFS(L_VDesp,L_Data,"&gt;="&amp;REL_INI,L_Data,"&lt;="&amp;REL_FIM,L_Status,"PROJETADO",L_SubID,CAD_Subcategorias!$A8))</f>
        <v>0</v>
      </c>
      <c r="E72" s="10" t="n">
        <f aca="false">$C72+$D72</f>
        <v>0</v>
      </c>
    </row>
    <row r="73" customFormat="false" ht="15" hidden="false" customHeight="false" outlineLevel="0" collapsed="false">
      <c r="A73" s="9" t="str">
        <f aca="false">IF(CAD_Subcategorias!$A9="","",CAD_Subcategorias!$B9)</f>
        <v>Alimentacao</v>
      </c>
      <c r="B73" s="9" t="str">
        <f aca="false">IF(CAD_Subcategorias!$A9="","",CAD_Subcategorias!$D9)</f>
        <v>Feira</v>
      </c>
      <c r="C73" s="10" t="n">
        <f aca="false">IF(CAD_Subcategorias!$A9="",0,SUMIFS(L_VDesp,L_Data,"&gt;="&amp;REL_INI,L_Data,"&lt;="&amp;REL_FIM,L_Status,"REALIZADO",L_SubID,CAD_Subcategorias!$A9))</f>
        <v>0</v>
      </c>
      <c r="D73" s="10" t="n">
        <f aca="false">IF(CAD_Subcategorias!$A9="",0,SUMIFS(L_VDesp,L_Data,"&gt;="&amp;REL_INI,L_Data,"&lt;="&amp;REL_FIM,L_Status,"PROJETADO",L_SubID,CAD_Subcategorias!$A9))</f>
        <v>0</v>
      </c>
      <c r="E73" s="10" t="n">
        <f aca="false">$C73+$D73</f>
        <v>0</v>
      </c>
    </row>
    <row r="74" customFormat="false" ht="15" hidden="false" customHeight="false" outlineLevel="0" collapsed="false">
      <c r="A74" s="9" t="str">
        <f aca="false">IF(CAD_Subcategorias!$A10="","",CAD_Subcategorias!$B10)</f>
        <v>Transporte</v>
      </c>
      <c r="B74" s="9" t="str">
        <f aca="false">IF(CAD_Subcategorias!$A10="","",CAD_Subcategorias!$D10)</f>
        <v>Combustivel</v>
      </c>
      <c r="C74" s="10" t="n">
        <f aca="false">IF(CAD_Subcategorias!$A10="",0,SUMIFS(L_VDesp,L_Data,"&gt;="&amp;REL_INI,L_Data,"&lt;="&amp;REL_FIM,L_Status,"REALIZADO",L_SubID,CAD_Subcategorias!$A10))</f>
        <v>0</v>
      </c>
      <c r="D74" s="10" t="n">
        <f aca="false">IF(CAD_Subcategorias!$A10="",0,SUMIFS(L_VDesp,L_Data,"&gt;="&amp;REL_INI,L_Data,"&lt;="&amp;REL_FIM,L_Status,"PROJETADO",L_SubID,CAD_Subcategorias!$A10))</f>
        <v>0</v>
      </c>
      <c r="E74" s="10" t="n">
        <f aca="false">$C74+$D74</f>
        <v>0</v>
      </c>
    </row>
    <row r="75" customFormat="false" ht="15" hidden="false" customHeight="false" outlineLevel="0" collapsed="false">
      <c r="A75" s="9" t="str">
        <f aca="false">IF(CAD_Subcategorias!$A11="","",CAD_Subcategorias!$B11)</f>
        <v>Transporte</v>
      </c>
      <c r="B75" s="9" t="str">
        <f aca="false">IF(CAD_Subcategorias!$A11="","",CAD_Subcategorias!$D11)</f>
        <v>Uber/Taxi</v>
      </c>
      <c r="C75" s="10" t="n">
        <f aca="false">IF(CAD_Subcategorias!$A11="",0,SUMIFS(L_VDesp,L_Data,"&gt;="&amp;REL_INI,L_Data,"&lt;="&amp;REL_FIM,L_Status,"REALIZADO",L_SubID,CAD_Subcategorias!$A11))</f>
        <v>0</v>
      </c>
      <c r="D75" s="10" t="n">
        <f aca="false">IF(CAD_Subcategorias!$A11="",0,SUMIFS(L_VDesp,L_Data,"&gt;="&amp;REL_INI,L_Data,"&lt;="&amp;REL_FIM,L_Status,"PROJETADO",L_SubID,CAD_Subcategorias!$A11))</f>
        <v>0</v>
      </c>
      <c r="E75" s="10" t="n">
        <f aca="false">$C75+$D75</f>
        <v>0</v>
      </c>
    </row>
    <row r="76" customFormat="false" ht="15" hidden="false" customHeight="false" outlineLevel="0" collapsed="false">
      <c r="A76" s="9" t="str">
        <f aca="false">IF(CAD_Subcategorias!$A12="","",CAD_Subcategorias!$B12)</f>
        <v>Transporte</v>
      </c>
      <c r="B76" s="9" t="str">
        <f aca="false">IF(CAD_Subcategorias!$A12="","",CAD_Subcategorias!$D12)</f>
        <v>Onibus</v>
      </c>
      <c r="C76" s="10" t="n">
        <f aca="false">IF(CAD_Subcategorias!$A12="",0,SUMIFS(L_VDesp,L_Data,"&gt;="&amp;REL_INI,L_Data,"&lt;="&amp;REL_FIM,L_Status,"REALIZADO",L_SubID,CAD_Subcategorias!$A12))</f>
        <v>0</v>
      </c>
      <c r="D76" s="10" t="n">
        <f aca="false">IF(CAD_Subcategorias!$A12="",0,SUMIFS(L_VDesp,L_Data,"&gt;="&amp;REL_INI,L_Data,"&lt;="&amp;REL_FIM,L_Status,"PROJETADO",L_SubID,CAD_Subcategorias!$A12))</f>
        <v>0</v>
      </c>
      <c r="E76" s="10" t="n">
        <f aca="false">$C76+$D76</f>
        <v>0</v>
      </c>
    </row>
    <row r="77" customFormat="false" ht="15" hidden="false" customHeight="false" outlineLevel="0" collapsed="false">
      <c r="A77" s="9" t="str">
        <f aca="false">IF(CAD_Subcategorias!$A13="","",CAD_Subcategorias!$B13)</f>
        <v>Transporte</v>
      </c>
      <c r="B77" s="9" t="str">
        <f aca="false">IF(CAD_Subcategorias!$A13="","",CAD_Subcategorias!$D13)</f>
        <v>Manutencao</v>
      </c>
      <c r="C77" s="10" t="n">
        <f aca="false">IF(CAD_Subcategorias!$A13="",0,SUMIFS(L_VDesp,L_Data,"&gt;="&amp;REL_INI,L_Data,"&lt;="&amp;REL_FIM,L_Status,"REALIZADO",L_SubID,CAD_Subcategorias!$A13))</f>
        <v>0</v>
      </c>
      <c r="D77" s="10" t="n">
        <f aca="false">IF(CAD_Subcategorias!$A13="",0,SUMIFS(L_VDesp,L_Data,"&gt;="&amp;REL_INI,L_Data,"&lt;="&amp;REL_FIM,L_Status,"PROJETADO",L_SubID,CAD_Subcategorias!$A13))</f>
        <v>0</v>
      </c>
      <c r="E77" s="10" t="n">
        <f aca="false">$C77+$D77</f>
        <v>0</v>
      </c>
    </row>
    <row r="78" customFormat="false" ht="15" hidden="false" customHeight="false" outlineLevel="0" collapsed="false">
      <c r="A78" s="9" t="str">
        <f aca="false">IF(CAD_Subcategorias!$A14="","",CAD_Subcategorias!$B14)</f>
        <v>Transporte</v>
      </c>
      <c r="B78" s="9" t="str">
        <f aca="false">IF(CAD_Subcategorias!$A14="","",CAD_Subcategorias!$D14)</f>
        <v>Seguro veicular</v>
      </c>
      <c r="C78" s="10" t="n">
        <f aca="false">IF(CAD_Subcategorias!$A14="",0,SUMIFS(L_VDesp,L_Data,"&gt;="&amp;REL_INI,L_Data,"&lt;="&amp;REL_FIM,L_Status,"REALIZADO",L_SubID,CAD_Subcategorias!$A14))</f>
        <v>0</v>
      </c>
      <c r="D78" s="10" t="n">
        <f aca="false">IF(CAD_Subcategorias!$A14="",0,SUMIFS(L_VDesp,L_Data,"&gt;="&amp;REL_INI,L_Data,"&lt;="&amp;REL_FIM,L_Status,"PROJETADO",L_SubID,CAD_Subcategorias!$A14))</f>
        <v>0</v>
      </c>
      <c r="E78" s="10" t="n">
        <f aca="false">$C78+$D78</f>
        <v>0</v>
      </c>
    </row>
    <row r="79" customFormat="false" ht="15" hidden="false" customHeight="false" outlineLevel="0" collapsed="false">
      <c r="A79" s="9" t="str">
        <f aca="false">IF(CAD_Subcategorias!$A15="","",CAD_Subcategorias!$B15)</f>
        <v>Moradia</v>
      </c>
      <c r="B79" s="9" t="str">
        <f aca="false">IF(CAD_Subcategorias!$A15="","",CAD_Subcategorias!$D15)</f>
        <v>Aluguel</v>
      </c>
      <c r="C79" s="10" t="n">
        <f aca="false">IF(CAD_Subcategorias!$A15="",0,SUMIFS(L_VDesp,L_Data,"&gt;="&amp;REL_INI,L_Data,"&lt;="&amp;REL_FIM,L_Status,"REALIZADO",L_SubID,CAD_Subcategorias!$A15))</f>
        <v>0</v>
      </c>
      <c r="D79" s="10" t="n">
        <f aca="false">IF(CAD_Subcategorias!$A15="",0,SUMIFS(L_VDesp,L_Data,"&gt;="&amp;REL_INI,L_Data,"&lt;="&amp;REL_FIM,L_Status,"PROJETADO",L_SubID,CAD_Subcategorias!$A15))</f>
        <v>0</v>
      </c>
      <c r="E79" s="10" t="n">
        <f aca="false">$C79+$D79</f>
        <v>0</v>
      </c>
    </row>
    <row r="80" customFormat="false" ht="15" hidden="false" customHeight="false" outlineLevel="0" collapsed="false">
      <c r="A80" s="9" t="str">
        <f aca="false">IF(CAD_Subcategorias!$A16="","",CAD_Subcategorias!$B16)</f>
        <v>Moradia</v>
      </c>
      <c r="B80" s="9" t="str">
        <f aca="false">IF(CAD_Subcategorias!$A16="","",CAD_Subcategorias!$D16)</f>
        <v>Energia (ANDE)</v>
      </c>
      <c r="C80" s="10" t="n">
        <f aca="false">IF(CAD_Subcategorias!$A16="",0,SUMIFS(L_VDesp,L_Data,"&gt;="&amp;REL_INI,L_Data,"&lt;="&amp;REL_FIM,L_Status,"REALIZADO",L_SubID,CAD_Subcategorias!$A16))</f>
        <v>0</v>
      </c>
      <c r="D80" s="10" t="n">
        <f aca="false">IF(CAD_Subcategorias!$A16="",0,SUMIFS(L_VDesp,L_Data,"&gt;="&amp;REL_INI,L_Data,"&lt;="&amp;REL_FIM,L_Status,"PROJETADO",L_SubID,CAD_Subcategorias!$A16))</f>
        <v>0</v>
      </c>
      <c r="E80" s="10" t="n">
        <f aca="false">$C80+$D80</f>
        <v>0</v>
      </c>
    </row>
    <row r="81" customFormat="false" ht="15" hidden="false" customHeight="false" outlineLevel="0" collapsed="false">
      <c r="A81" s="9" t="str">
        <f aca="false">IF(CAD_Subcategorias!$A17="","",CAD_Subcategorias!$B17)</f>
        <v>Moradia</v>
      </c>
      <c r="B81" s="9" t="str">
        <f aca="false">IF(CAD_Subcategorias!$A17="","",CAD_Subcategorias!$D17)</f>
        <v>Agua (ESSAP)</v>
      </c>
      <c r="C81" s="10" t="n">
        <f aca="false">IF(CAD_Subcategorias!$A17="",0,SUMIFS(L_VDesp,L_Data,"&gt;="&amp;REL_INI,L_Data,"&lt;="&amp;REL_FIM,L_Status,"REALIZADO",L_SubID,CAD_Subcategorias!$A17))</f>
        <v>0</v>
      </c>
      <c r="D81" s="10" t="n">
        <f aca="false">IF(CAD_Subcategorias!$A17="",0,SUMIFS(L_VDesp,L_Data,"&gt;="&amp;REL_INI,L_Data,"&lt;="&amp;REL_FIM,L_Status,"PROJETADO",L_SubID,CAD_Subcategorias!$A17))</f>
        <v>0</v>
      </c>
      <c r="E81" s="10" t="n">
        <f aca="false">$C81+$D81</f>
        <v>0</v>
      </c>
    </row>
    <row r="82" customFormat="false" ht="15" hidden="false" customHeight="false" outlineLevel="0" collapsed="false">
      <c r="A82" s="9" t="str">
        <f aca="false">IF(CAD_Subcategorias!$A18="","",CAD_Subcategorias!$B18)</f>
        <v>Moradia</v>
      </c>
      <c r="B82" s="9" t="str">
        <f aca="false">IF(CAD_Subcategorias!$A18="","",CAD_Subcategorias!$D18)</f>
        <v>Internet</v>
      </c>
      <c r="C82" s="10" t="n">
        <f aca="false">IF(CAD_Subcategorias!$A18="",0,SUMIFS(L_VDesp,L_Data,"&gt;="&amp;REL_INI,L_Data,"&lt;="&amp;REL_FIM,L_Status,"REALIZADO",L_SubID,CAD_Subcategorias!$A18))</f>
        <v>0</v>
      </c>
      <c r="D82" s="10" t="n">
        <f aca="false">IF(CAD_Subcategorias!$A18="",0,SUMIFS(L_VDesp,L_Data,"&gt;="&amp;REL_INI,L_Data,"&lt;="&amp;REL_FIM,L_Status,"PROJETADO",L_SubID,CAD_Subcategorias!$A18))</f>
        <v>0</v>
      </c>
      <c r="E82" s="10" t="n">
        <f aca="false">$C82+$D82</f>
        <v>0</v>
      </c>
    </row>
    <row r="83" customFormat="false" ht="15" hidden="false" customHeight="false" outlineLevel="0" collapsed="false">
      <c r="A83" s="9" t="str">
        <f aca="false">IF(CAD_Subcategorias!$A19="","",CAD_Subcategorias!$B19)</f>
        <v>Moradia</v>
      </c>
      <c r="B83" s="9" t="str">
        <f aca="false">IF(CAD_Subcategorias!$A19="","",CAD_Subcategorias!$D19)</f>
        <v>Condominio</v>
      </c>
      <c r="C83" s="10" t="n">
        <f aca="false">IF(CAD_Subcategorias!$A19="",0,SUMIFS(L_VDesp,L_Data,"&gt;="&amp;REL_INI,L_Data,"&lt;="&amp;REL_FIM,L_Status,"REALIZADO",L_SubID,CAD_Subcategorias!$A19))</f>
        <v>0</v>
      </c>
      <c r="D83" s="10" t="n">
        <f aca="false">IF(CAD_Subcategorias!$A19="",0,SUMIFS(L_VDesp,L_Data,"&gt;="&amp;REL_INI,L_Data,"&lt;="&amp;REL_FIM,L_Status,"PROJETADO",L_SubID,CAD_Subcategorias!$A19))</f>
        <v>0</v>
      </c>
      <c r="E83" s="10" t="n">
        <f aca="false">$C83+$D83</f>
        <v>0</v>
      </c>
    </row>
    <row r="84" customFormat="false" ht="15" hidden="false" customHeight="false" outlineLevel="0" collapsed="false">
      <c r="A84" s="9" t="str">
        <f aca="false">IF(CAD_Subcategorias!$A20="","",CAD_Subcategorias!$B20)</f>
        <v>Moradia</v>
      </c>
      <c r="B84" s="9" t="str">
        <f aca="false">IF(CAD_Subcategorias!$A20="","",CAD_Subcategorias!$D20)</f>
        <v>Manutencao do lar</v>
      </c>
      <c r="C84" s="10" t="n">
        <f aca="false">IF(CAD_Subcategorias!$A20="",0,SUMIFS(L_VDesp,L_Data,"&gt;="&amp;REL_INI,L_Data,"&lt;="&amp;REL_FIM,L_Status,"REALIZADO",L_SubID,CAD_Subcategorias!$A20))</f>
        <v>0</v>
      </c>
      <c r="D84" s="10" t="n">
        <f aca="false">IF(CAD_Subcategorias!$A20="",0,SUMIFS(L_VDesp,L_Data,"&gt;="&amp;REL_INI,L_Data,"&lt;="&amp;REL_FIM,L_Status,"PROJETADO",L_SubID,CAD_Subcategorias!$A20))</f>
        <v>0</v>
      </c>
      <c r="E84" s="10" t="n">
        <f aca="false">$C84+$D84</f>
        <v>0</v>
      </c>
    </row>
    <row r="85" customFormat="false" ht="15" hidden="false" customHeight="false" outlineLevel="0" collapsed="false">
      <c r="A85" s="9" t="str">
        <f aca="false">IF(CAD_Subcategorias!$A21="","",CAD_Subcategorias!$B21)</f>
        <v>Saude</v>
      </c>
      <c r="B85" s="9" t="str">
        <f aca="false">IF(CAD_Subcategorias!$A21="","",CAD_Subcategorias!$D21)</f>
        <v>Plano de saude</v>
      </c>
      <c r="C85" s="10" t="n">
        <f aca="false">IF(CAD_Subcategorias!$A21="",0,SUMIFS(L_VDesp,L_Data,"&gt;="&amp;REL_INI,L_Data,"&lt;="&amp;REL_FIM,L_Status,"REALIZADO",L_SubID,CAD_Subcategorias!$A21))</f>
        <v>0</v>
      </c>
      <c r="D85" s="10" t="n">
        <f aca="false">IF(CAD_Subcategorias!$A21="",0,SUMIFS(L_VDesp,L_Data,"&gt;="&amp;REL_INI,L_Data,"&lt;="&amp;REL_FIM,L_Status,"PROJETADO",L_SubID,CAD_Subcategorias!$A21))</f>
        <v>0</v>
      </c>
      <c r="E85" s="10" t="n">
        <f aca="false">$C85+$D85</f>
        <v>0</v>
      </c>
    </row>
    <row r="86" customFormat="false" ht="15" hidden="false" customHeight="false" outlineLevel="0" collapsed="false">
      <c r="A86" s="9" t="str">
        <f aca="false">IF(CAD_Subcategorias!$A22="","",CAD_Subcategorias!$B22)</f>
        <v>Saude</v>
      </c>
      <c r="B86" s="9" t="str">
        <f aca="false">IF(CAD_Subcategorias!$A22="","",CAD_Subcategorias!$D22)</f>
        <v>Farmacia</v>
      </c>
      <c r="C86" s="10" t="n">
        <f aca="false">IF(CAD_Subcategorias!$A22="",0,SUMIFS(L_VDesp,L_Data,"&gt;="&amp;REL_INI,L_Data,"&lt;="&amp;REL_FIM,L_Status,"REALIZADO",L_SubID,CAD_Subcategorias!$A22))</f>
        <v>0</v>
      </c>
      <c r="D86" s="10" t="n">
        <f aca="false">IF(CAD_Subcategorias!$A22="",0,SUMIFS(L_VDesp,L_Data,"&gt;="&amp;REL_INI,L_Data,"&lt;="&amp;REL_FIM,L_Status,"PROJETADO",L_SubID,CAD_Subcategorias!$A22))</f>
        <v>0</v>
      </c>
      <c r="E86" s="10" t="n">
        <f aca="false">$C86+$D86</f>
        <v>0</v>
      </c>
    </row>
    <row r="87" customFormat="false" ht="15" hidden="false" customHeight="false" outlineLevel="0" collapsed="false">
      <c r="A87" s="9" t="str">
        <f aca="false">IF(CAD_Subcategorias!$A23="","",CAD_Subcategorias!$B23)</f>
        <v>Saude</v>
      </c>
      <c r="B87" s="9" t="str">
        <f aca="false">IF(CAD_Subcategorias!$A23="","",CAD_Subcategorias!$D23)</f>
        <v>Consultas</v>
      </c>
      <c r="C87" s="10" t="n">
        <f aca="false">IF(CAD_Subcategorias!$A23="",0,SUMIFS(L_VDesp,L_Data,"&gt;="&amp;REL_INI,L_Data,"&lt;="&amp;REL_FIM,L_Status,"REALIZADO",L_SubID,CAD_Subcategorias!$A23))</f>
        <v>0</v>
      </c>
      <c r="D87" s="10" t="n">
        <f aca="false">IF(CAD_Subcategorias!$A23="",0,SUMIFS(L_VDesp,L_Data,"&gt;="&amp;REL_INI,L_Data,"&lt;="&amp;REL_FIM,L_Status,"PROJETADO",L_SubID,CAD_Subcategorias!$A23))</f>
        <v>0</v>
      </c>
      <c r="E87" s="10" t="n">
        <f aca="false">$C87+$D87</f>
        <v>0</v>
      </c>
    </row>
    <row r="88" customFormat="false" ht="15" hidden="false" customHeight="false" outlineLevel="0" collapsed="false">
      <c r="A88" s="9" t="str">
        <f aca="false">IF(CAD_Subcategorias!$A24="","",CAD_Subcategorias!$B24)</f>
        <v>Saude</v>
      </c>
      <c r="B88" s="9" t="str">
        <f aca="false">IF(CAD_Subcategorias!$A24="","",CAD_Subcategorias!$D24)</f>
        <v>Exames</v>
      </c>
      <c r="C88" s="10" t="n">
        <f aca="false">IF(CAD_Subcategorias!$A24="",0,SUMIFS(L_VDesp,L_Data,"&gt;="&amp;REL_INI,L_Data,"&lt;="&amp;REL_FIM,L_Status,"REALIZADO",L_SubID,CAD_Subcategorias!$A24))</f>
        <v>0</v>
      </c>
      <c r="D88" s="10" t="n">
        <f aca="false">IF(CAD_Subcategorias!$A24="",0,SUMIFS(L_VDesp,L_Data,"&gt;="&amp;REL_INI,L_Data,"&lt;="&amp;REL_FIM,L_Status,"PROJETADO",L_SubID,CAD_Subcategorias!$A24))</f>
        <v>0</v>
      </c>
      <c r="E88" s="10" t="n">
        <f aca="false">$C88+$D88</f>
        <v>0</v>
      </c>
    </row>
    <row r="89" customFormat="false" ht="15" hidden="false" customHeight="false" outlineLevel="0" collapsed="false">
      <c r="A89" s="9" t="str">
        <f aca="false">IF(CAD_Subcategorias!$A25="","",CAD_Subcategorias!$B25)</f>
        <v>Saude</v>
      </c>
      <c r="B89" s="9" t="str">
        <f aca="false">IF(CAD_Subcategorias!$A25="","",CAD_Subcategorias!$D25)</f>
        <v>Odontologia</v>
      </c>
      <c r="C89" s="10" t="n">
        <f aca="false">IF(CAD_Subcategorias!$A25="",0,SUMIFS(L_VDesp,L_Data,"&gt;="&amp;REL_INI,L_Data,"&lt;="&amp;REL_FIM,L_Status,"REALIZADO",L_SubID,CAD_Subcategorias!$A25))</f>
        <v>0</v>
      </c>
      <c r="D89" s="10" t="n">
        <f aca="false">IF(CAD_Subcategorias!$A25="",0,SUMIFS(L_VDesp,L_Data,"&gt;="&amp;REL_INI,L_Data,"&lt;="&amp;REL_FIM,L_Status,"PROJETADO",L_SubID,CAD_Subcategorias!$A25))</f>
        <v>0</v>
      </c>
      <c r="E89" s="10" t="n">
        <f aca="false">$C89+$D89</f>
        <v>0</v>
      </c>
    </row>
    <row r="90" customFormat="false" ht="15" hidden="false" customHeight="false" outlineLevel="0" collapsed="false">
      <c r="A90" s="9" t="str">
        <f aca="false">IF(CAD_Subcategorias!$A26="","",CAD_Subcategorias!$B26)</f>
        <v>Educacao</v>
      </c>
      <c r="B90" s="9" t="str">
        <f aca="false">IF(CAD_Subcategorias!$A26="","",CAD_Subcategorias!$D26)</f>
        <v>Mensalidade</v>
      </c>
      <c r="C90" s="10" t="n">
        <f aca="false">IF(CAD_Subcategorias!$A26="",0,SUMIFS(L_VDesp,L_Data,"&gt;="&amp;REL_INI,L_Data,"&lt;="&amp;REL_FIM,L_Status,"REALIZADO",L_SubID,CAD_Subcategorias!$A26))</f>
        <v>0</v>
      </c>
      <c r="D90" s="10" t="n">
        <f aca="false">IF(CAD_Subcategorias!$A26="",0,SUMIFS(L_VDesp,L_Data,"&gt;="&amp;REL_INI,L_Data,"&lt;="&amp;REL_FIM,L_Status,"PROJETADO",L_SubID,CAD_Subcategorias!$A26))</f>
        <v>0</v>
      </c>
      <c r="E90" s="10" t="n">
        <f aca="false">$C90+$D90</f>
        <v>0</v>
      </c>
    </row>
    <row r="91" customFormat="false" ht="15" hidden="false" customHeight="false" outlineLevel="0" collapsed="false">
      <c r="A91" s="9" t="str">
        <f aca="false">IF(CAD_Subcategorias!$A27="","",CAD_Subcategorias!$B27)</f>
        <v>Educacao</v>
      </c>
      <c r="B91" s="9" t="str">
        <f aca="false">IF(CAD_Subcategorias!$A27="","",CAD_Subcategorias!$D27)</f>
        <v>Cursos</v>
      </c>
      <c r="C91" s="10" t="n">
        <f aca="false">IF(CAD_Subcategorias!$A27="",0,SUMIFS(L_VDesp,L_Data,"&gt;="&amp;REL_INI,L_Data,"&lt;="&amp;REL_FIM,L_Status,"REALIZADO",L_SubID,CAD_Subcategorias!$A27))</f>
        <v>0</v>
      </c>
      <c r="D91" s="10" t="n">
        <f aca="false">IF(CAD_Subcategorias!$A27="",0,SUMIFS(L_VDesp,L_Data,"&gt;="&amp;REL_INI,L_Data,"&lt;="&amp;REL_FIM,L_Status,"PROJETADO",L_SubID,CAD_Subcategorias!$A27))</f>
        <v>0</v>
      </c>
      <c r="E91" s="10" t="n">
        <f aca="false">$C91+$D91</f>
        <v>0</v>
      </c>
    </row>
    <row r="92" customFormat="false" ht="15" hidden="false" customHeight="false" outlineLevel="0" collapsed="false">
      <c r="A92" s="9" t="str">
        <f aca="false">IF(CAD_Subcategorias!$A28="","",CAD_Subcategorias!$B28)</f>
        <v>Educacao</v>
      </c>
      <c r="B92" s="9" t="str">
        <f aca="false">IF(CAD_Subcategorias!$A28="","",CAD_Subcategorias!$D28)</f>
        <v>Livros</v>
      </c>
      <c r="C92" s="10" t="n">
        <f aca="false">IF(CAD_Subcategorias!$A28="",0,SUMIFS(L_VDesp,L_Data,"&gt;="&amp;REL_INI,L_Data,"&lt;="&amp;REL_FIM,L_Status,"REALIZADO",L_SubID,CAD_Subcategorias!$A28))</f>
        <v>0</v>
      </c>
      <c r="D92" s="10" t="n">
        <f aca="false">IF(CAD_Subcategorias!$A28="",0,SUMIFS(L_VDesp,L_Data,"&gt;="&amp;REL_INI,L_Data,"&lt;="&amp;REL_FIM,L_Status,"PROJETADO",L_SubID,CAD_Subcategorias!$A28))</f>
        <v>0</v>
      </c>
      <c r="E92" s="10" t="n">
        <f aca="false">$C92+$D92</f>
        <v>0</v>
      </c>
    </row>
    <row r="93" customFormat="false" ht="15" hidden="false" customHeight="false" outlineLevel="0" collapsed="false">
      <c r="A93" s="9" t="str">
        <f aca="false">IF(CAD_Subcategorias!$A29="","",CAD_Subcategorias!$B29)</f>
        <v>Educacao</v>
      </c>
      <c r="B93" s="9" t="str">
        <f aca="false">IF(CAD_Subcategorias!$A29="","",CAD_Subcategorias!$D29)</f>
        <v>Material escolar</v>
      </c>
      <c r="C93" s="10" t="n">
        <f aca="false">IF(CAD_Subcategorias!$A29="",0,SUMIFS(L_VDesp,L_Data,"&gt;="&amp;REL_INI,L_Data,"&lt;="&amp;REL_FIM,L_Status,"REALIZADO",L_SubID,CAD_Subcategorias!$A29))</f>
        <v>0</v>
      </c>
      <c r="D93" s="10" t="n">
        <f aca="false">IF(CAD_Subcategorias!$A29="",0,SUMIFS(L_VDesp,L_Data,"&gt;="&amp;REL_INI,L_Data,"&lt;="&amp;REL_FIM,L_Status,"PROJETADO",L_SubID,CAD_Subcategorias!$A29))</f>
        <v>0</v>
      </c>
      <c r="E93" s="10" t="n">
        <f aca="false">$C93+$D93</f>
        <v>0</v>
      </c>
    </row>
    <row r="94" customFormat="false" ht="15" hidden="false" customHeight="false" outlineLevel="0" collapsed="false">
      <c r="A94" s="9" t="str">
        <f aca="false">IF(CAD_Subcategorias!$A30="","",CAD_Subcategorias!$B30)</f>
        <v>Lazer</v>
      </c>
      <c r="B94" s="9" t="str">
        <f aca="false">IF(CAD_Subcategorias!$A30="","",CAD_Subcategorias!$D30)</f>
        <v>Viagens</v>
      </c>
      <c r="C94" s="10" t="n">
        <f aca="false">IF(CAD_Subcategorias!$A30="",0,SUMIFS(L_VDesp,L_Data,"&gt;="&amp;REL_INI,L_Data,"&lt;="&amp;REL_FIM,L_Status,"REALIZADO",L_SubID,CAD_Subcategorias!$A30))</f>
        <v>0</v>
      </c>
      <c r="D94" s="10" t="n">
        <f aca="false">IF(CAD_Subcategorias!$A30="",0,SUMIFS(L_VDesp,L_Data,"&gt;="&amp;REL_INI,L_Data,"&lt;="&amp;REL_FIM,L_Status,"PROJETADO",L_SubID,CAD_Subcategorias!$A30))</f>
        <v>0</v>
      </c>
      <c r="E94" s="10" t="n">
        <f aca="false">$C94+$D94</f>
        <v>0</v>
      </c>
    </row>
    <row r="95" customFormat="false" ht="15" hidden="false" customHeight="false" outlineLevel="0" collapsed="false">
      <c r="A95" s="9" t="str">
        <f aca="false">IF(CAD_Subcategorias!$A31="","",CAD_Subcategorias!$B31)</f>
        <v>Lazer</v>
      </c>
      <c r="B95" s="9" t="str">
        <f aca="false">IF(CAD_Subcategorias!$A31="","",CAD_Subcategorias!$D31)</f>
        <v>Streaming</v>
      </c>
      <c r="C95" s="10" t="n">
        <f aca="false">IF(CAD_Subcategorias!$A31="",0,SUMIFS(L_VDesp,L_Data,"&gt;="&amp;REL_INI,L_Data,"&lt;="&amp;REL_FIM,L_Status,"REALIZADO",L_SubID,CAD_Subcategorias!$A31))</f>
        <v>0</v>
      </c>
      <c r="D95" s="10" t="n">
        <f aca="false">IF(CAD_Subcategorias!$A31="",0,SUMIFS(L_VDesp,L_Data,"&gt;="&amp;REL_INI,L_Data,"&lt;="&amp;REL_FIM,L_Status,"PROJETADO",L_SubID,CAD_Subcategorias!$A31))</f>
        <v>0</v>
      </c>
      <c r="E95" s="10" t="n">
        <f aca="false">$C95+$D95</f>
        <v>0</v>
      </c>
    </row>
    <row r="96" customFormat="false" ht="15" hidden="false" customHeight="false" outlineLevel="0" collapsed="false">
      <c r="A96" s="9" t="str">
        <f aca="false">IF(CAD_Subcategorias!$A32="","",CAD_Subcategorias!$B32)</f>
        <v>Lazer</v>
      </c>
      <c r="B96" s="9" t="str">
        <f aca="false">IF(CAD_Subcategorias!$A32="","",CAD_Subcategorias!$D32)</f>
        <v>Eventos</v>
      </c>
      <c r="C96" s="10" t="n">
        <f aca="false">IF(CAD_Subcategorias!$A32="",0,SUMIFS(L_VDesp,L_Data,"&gt;="&amp;REL_INI,L_Data,"&lt;="&amp;REL_FIM,L_Status,"REALIZADO",L_SubID,CAD_Subcategorias!$A32))</f>
        <v>0</v>
      </c>
      <c r="D96" s="10" t="n">
        <f aca="false">IF(CAD_Subcategorias!$A32="",0,SUMIFS(L_VDesp,L_Data,"&gt;="&amp;REL_INI,L_Data,"&lt;="&amp;REL_FIM,L_Status,"PROJETADO",L_SubID,CAD_Subcategorias!$A32))</f>
        <v>0</v>
      </c>
      <c r="E96" s="10" t="n">
        <f aca="false">$C96+$D96</f>
        <v>0</v>
      </c>
    </row>
    <row r="97" customFormat="false" ht="15" hidden="false" customHeight="false" outlineLevel="0" collapsed="false">
      <c r="A97" s="9" t="str">
        <f aca="false">IF(CAD_Subcategorias!$A33="","",CAD_Subcategorias!$B33)</f>
        <v>Lazer</v>
      </c>
      <c r="B97" s="9" t="str">
        <f aca="false">IF(CAD_Subcategorias!$A33="","",CAD_Subcategorias!$D33)</f>
        <v>Bar e cafe</v>
      </c>
      <c r="C97" s="10" t="n">
        <f aca="false">IF(CAD_Subcategorias!$A33="",0,SUMIFS(L_VDesp,L_Data,"&gt;="&amp;REL_INI,L_Data,"&lt;="&amp;REL_FIM,L_Status,"REALIZADO",L_SubID,CAD_Subcategorias!$A33))</f>
        <v>0</v>
      </c>
      <c r="D97" s="10" t="n">
        <f aca="false">IF(CAD_Subcategorias!$A33="",0,SUMIFS(L_VDesp,L_Data,"&gt;="&amp;REL_INI,L_Data,"&lt;="&amp;REL_FIM,L_Status,"PROJETADO",L_SubID,CAD_Subcategorias!$A33))</f>
        <v>0</v>
      </c>
      <c r="E97" s="10" t="n">
        <f aca="false">$C97+$D97</f>
        <v>0</v>
      </c>
    </row>
    <row r="98" customFormat="false" ht="15" hidden="false" customHeight="false" outlineLevel="0" collapsed="false">
      <c r="A98" s="9" t="str">
        <f aca="false">IF(CAD_Subcategorias!$A34="","",CAD_Subcategorias!$B34)</f>
        <v>Compras</v>
      </c>
      <c r="B98" s="9" t="str">
        <f aca="false">IF(CAD_Subcategorias!$A34="","",CAD_Subcategorias!$D34)</f>
        <v>Vestuario</v>
      </c>
      <c r="C98" s="10" t="n">
        <f aca="false">IF(CAD_Subcategorias!$A34="",0,SUMIFS(L_VDesp,L_Data,"&gt;="&amp;REL_INI,L_Data,"&lt;="&amp;REL_FIM,L_Status,"REALIZADO",L_SubID,CAD_Subcategorias!$A34))</f>
        <v>0</v>
      </c>
      <c r="D98" s="10" t="n">
        <f aca="false">IF(CAD_Subcategorias!$A34="",0,SUMIFS(L_VDesp,L_Data,"&gt;="&amp;REL_INI,L_Data,"&lt;="&amp;REL_FIM,L_Status,"PROJETADO",L_SubID,CAD_Subcategorias!$A34))</f>
        <v>0</v>
      </c>
      <c r="E98" s="10" t="n">
        <f aca="false">$C98+$D98</f>
        <v>0</v>
      </c>
    </row>
    <row r="99" customFormat="false" ht="15" hidden="false" customHeight="false" outlineLevel="0" collapsed="false">
      <c r="A99" s="9" t="str">
        <f aca="false">IF(CAD_Subcategorias!$A35="","",CAD_Subcategorias!$B35)</f>
        <v>Compras</v>
      </c>
      <c r="B99" s="9" t="str">
        <f aca="false">IF(CAD_Subcategorias!$A35="","",CAD_Subcategorias!$D35)</f>
        <v>Eletronicos</v>
      </c>
      <c r="C99" s="10" t="n">
        <f aca="false">IF(CAD_Subcategorias!$A35="",0,SUMIFS(L_VDesp,L_Data,"&gt;="&amp;REL_INI,L_Data,"&lt;="&amp;REL_FIM,L_Status,"REALIZADO",L_SubID,CAD_Subcategorias!$A35))</f>
        <v>0</v>
      </c>
      <c r="D99" s="10" t="n">
        <f aca="false">IF(CAD_Subcategorias!$A35="",0,SUMIFS(L_VDesp,L_Data,"&gt;="&amp;REL_INI,L_Data,"&lt;="&amp;REL_FIM,L_Status,"PROJETADO",L_SubID,CAD_Subcategorias!$A35))</f>
        <v>0</v>
      </c>
      <c r="E99" s="10" t="n">
        <f aca="false">$C99+$D99</f>
        <v>0</v>
      </c>
    </row>
    <row r="100" customFormat="false" ht="15" hidden="false" customHeight="false" outlineLevel="0" collapsed="false">
      <c r="A100" s="9" t="str">
        <f aca="false">IF(CAD_Subcategorias!$A36="","",CAD_Subcategorias!$B36)</f>
        <v>Compras</v>
      </c>
      <c r="B100" s="9" t="str">
        <f aca="false">IF(CAD_Subcategorias!$A36="","",CAD_Subcategorias!$D36)</f>
        <v>Casa e decoracao</v>
      </c>
      <c r="C100" s="10" t="n">
        <f aca="false">IF(CAD_Subcategorias!$A36="",0,SUMIFS(L_VDesp,L_Data,"&gt;="&amp;REL_INI,L_Data,"&lt;="&amp;REL_FIM,L_Status,"REALIZADO",L_SubID,CAD_Subcategorias!$A36))</f>
        <v>0</v>
      </c>
      <c r="D100" s="10" t="n">
        <f aca="false">IF(CAD_Subcategorias!$A36="",0,SUMIFS(L_VDesp,L_Data,"&gt;="&amp;REL_INI,L_Data,"&lt;="&amp;REL_FIM,L_Status,"PROJETADO",L_SubID,CAD_Subcategorias!$A36))</f>
        <v>0</v>
      </c>
      <c r="E100" s="10" t="n">
        <f aca="false">$C100+$D100</f>
        <v>0</v>
      </c>
    </row>
    <row r="101" customFormat="false" ht="15" hidden="false" customHeight="false" outlineLevel="0" collapsed="false">
      <c r="A101" s="9" t="str">
        <f aca="false">IF(CAD_Subcategorias!$A37="","",CAD_Subcategorias!$B37)</f>
        <v>Compras</v>
      </c>
      <c r="B101" s="9" t="str">
        <f aca="false">IF(CAD_Subcategorias!$A37="","",CAD_Subcategorias!$D37)</f>
        <v>Presentes</v>
      </c>
      <c r="C101" s="10" t="n">
        <f aca="false">IF(CAD_Subcategorias!$A37="",0,SUMIFS(L_VDesp,L_Data,"&gt;="&amp;REL_INI,L_Data,"&lt;="&amp;REL_FIM,L_Status,"REALIZADO",L_SubID,CAD_Subcategorias!$A37))</f>
        <v>0</v>
      </c>
      <c r="D101" s="10" t="n">
        <f aca="false">IF(CAD_Subcategorias!$A37="",0,SUMIFS(L_VDesp,L_Data,"&gt;="&amp;REL_INI,L_Data,"&lt;="&amp;REL_FIM,L_Status,"PROJETADO",L_SubID,CAD_Subcategorias!$A37))</f>
        <v>0</v>
      </c>
      <c r="E101" s="10" t="n">
        <f aca="false">$C101+$D101</f>
        <v>0</v>
      </c>
    </row>
    <row r="102" customFormat="false" ht="15" hidden="false" customHeight="false" outlineLevel="0" collapsed="false">
      <c r="A102" s="9" t="str">
        <f aca="false">IF(CAD_Subcategorias!$A38="","",CAD_Subcategorias!$B38)</f>
        <v>Dividas e Financiamentos</v>
      </c>
      <c r="B102" s="9" t="str">
        <f aca="false">IF(CAD_Subcategorias!$A38="","",CAD_Subcategorias!$D38)</f>
        <v>Parcela de terreno</v>
      </c>
      <c r="C102" s="10" t="n">
        <f aca="false">IF(CAD_Subcategorias!$A38="",0,SUMIFS(L_VDesp,L_Data,"&gt;="&amp;REL_INI,L_Data,"&lt;="&amp;REL_FIM,L_Status,"REALIZADO",L_SubID,CAD_Subcategorias!$A38))</f>
        <v>0</v>
      </c>
      <c r="D102" s="10" t="n">
        <f aca="false">IF(CAD_Subcategorias!$A38="",0,SUMIFS(L_VDesp,L_Data,"&gt;="&amp;REL_INI,L_Data,"&lt;="&amp;REL_FIM,L_Status,"PROJETADO",L_SubID,CAD_Subcategorias!$A38))</f>
        <v>0</v>
      </c>
      <c r="E102" s="10" t="n">
        <f aca="false">$C102+$D102</f>
        <v>0</v>
      </c>
    </row>
    <row r="103" customFormat="false" ht="15" hidden="false" customHeight="false" outlineLevel="0" collapsed="false">
      <c r="A103" s="9" t="str">
        <f aca="false">IF(CAD_Subcategorias!$A39="","",CAD_Subcategorias!$B39)</f>
        <v>Dividas e Financiamentos</v>
      </c>
      <c r="B103" s="9" t="str">
        <f aca="false">IF(CAD_Subcategorias!$A39="","",CAD_Subcategorias!$D39)</f>
        <v>Parcela de emprestimo</v>
      </c>
      <c r="C103" s="10" t="n">
        <f aca="false">IF(CAD_Subcategorias!$A39="",0,SUMIFS(L_VDesp,L_Data,"&gt;="&amp;REL_INI,L_Data,"&lt;="&amp;REL_FIM,L_Status,"REALIZADO",L_SubID,CAD_Subcategorias!$A39))</f>
        <v>0</v>
      </c>
      <c r="D103" s="10" t="n">
        <f aca="false">IF(CAD_Subcategorias!$A39="",0,SUMIFS(L_VDesp,L_Data,"&gt;="&amp;REL_INI,L_Data,"&lt;="&amp;REL_FIM,L_Status,"PROJETADO",L_SubID,CAD_Subcategorias!$A39))</f>
        <v>0</v>
      </c>
      <c r="E103" s="10" t="n">
        <f aca="false">$C103+$D103</f>
        <v>0</v>
      </c>
    </row>
    <row r="104" customFormat="false" ht="15" hidden="false" customHeight="false" outlineLevel="0" collapsed="false">
      <c r="A104" s="9" t="str">
        <f aca="false">IF(CAD_Subcategorias!$A40="","",CAD_Subcategorias!$B40)</f>
        <v>Dividas e Financiamentos</v>
      </c>
      <c r="B104" s="9" t="str">
        <f aca="false">IF(CAD_Subcategorias!$A40="","",CAD_Subcategorias!$D40)</f>
        <v>Juros e multas</v>
      </c>
      <c r="C104" s="10" t="n">
        <f aca="false">IF(CAD_Subcategorias!$A40="",0,SUMIFS(L_VDesp,L_Data,"&gt;="&amp;REL_INI,L_Data,"&lt;="&amp;REL_FIM,L_Status,"REALIZADO",L_SubID,CAD_Subcategorias!$A40))</f>
        <v>0</v>
      </c>
      <c r="D104" s="10" t="n">
        <f aca="false">IF(CAD_Subcategorias!$A40="",0,SUMIFS(L_VDesp,L_Data,"&gt;="&amp;REL_INI,L_Data,"&lt;="&amp;REL_FIM,L_Status,"PROJETADO",L_SubID,CAD_Subcategorias!$A40))</f>
        <v>0</v>
      </c>
      <c r="E104" s="10" t="n">
        <f aca="false">$C104+$D104</f>
        <v>0</v>
      </c>
    </row>
    <row r="105" customFormat="false" ht="15" hidden="false" customHeight="false" outlineLevel="0" collapsed="false">
      <c r="A105" s="9" t="str">
        <f aca="false">IF(CAD_Subcategorias!$A41="","",CAD_Subcategorias!$B41)</f>
        <v>Dividas e Financiamentos</v>
      </c>
      <c r="B105" s="9" t="str">
        <f aca="false">IF(CAD_Subcategorias!$A41="","",CAD_Subcategorias!$D41)</f>
        <v>Parcela de compra</v>
      </c>
      <c r="C105" s="10" t="n">
        <f aca="false">IF(CAD_Subcategorias!$A41="",0,SUMIFS(L_VDesp,L_Data,"&gt;="&amp;REL_INI,L_Data,"&lt;="&amp;REL_FIM,L_Status,"REALIZADO",L_SubID,CAD_Subcategorias!$A41))</f>
        <v>0</v>
      </c>
      <c r="D105" s="10" t="n">
        <f aca="false">IF(CAD_Subcategorias!$A41="",0,SUMIFS(L_VDesp,L_Data,"&gt;="&amp;REL_INI,L_Data,"&lt;="&amp;REL_FIM,L_Status,"PROJETADO",L_SubID,CAD_Subcategorias!$A41))</f>
        <v>0</v>
      </c>
      <c r="E105" s="10" t="n">
        <f aca="false">$C105+$D105</f>
        <v>0</v>
      </c>
    </row>
    <row r="106" customFormat="false" ht="15" hidden="false" customHeight="false" outlineLevel="0" collapsed="false">
      <c r="A106" s="9" t="str">
        <f aca="false">IF(CAD_Subcategorias!$A42="","",CAD_Subcategorias!$B42)</f>
        <v>Investimentos</v>
      </c>
      <c r="B106" s="9" t="str">
        <f aca="false">IF(CAD_Subcategorias!$A42="","",CAD_Subcategorias!$D42)</f>
        <v>Aporte</v>
      </c>
      <c r="C106" s="10" t="n">
        <f aca="false">IF(CAD_Subcategorias!$A42="",0,SUMIFS(L_VDesp,L_Data,"&gt;="&amp;REL_INI,L_Data,"&lt;="&amp;REL_FIM,L_Status,"REALIZADO",L_SubID,CAD_Subcategorias!$A42))</f>
        <v>0</v>
      </c>
      <c r="D106" s="10" t="n">
        <f aca="false">IF(CAD_Subcategorias!$A42="",0,SUMIFS(L_VDesp,L_Data,"&gt;="&amp;REL_INI,L_Data,"&lt;="&amp;REL_FIM,L_Status,"PROJETADO",L_SubID,CAD_Subcategorias!$A42))</f>
        <v>0</v>
      </c>
      <c r="E106" s="10" t="n">
        <f aca="false">$C106+$D106</f>
        <v>0</v>
      </c>
    </row>
    <row r="107" customFormat="false" ht="15" hidden="false" customHeight="false" outlineLevel="0" collapsed="false">
      <c r="A107" s="9" t="str">
        <f aca="false">IF(CAD_Subcategorias!$A43="","",CAD_Subcategorias!$B43)</f>
        <v>Investimentos</v>
      </c>
      <c r="B107" s="9" t="str">
        <f aca="false">IF(CAD_Subcategorias!$A43="","",CAD_Subcategorias!$D43)</f>
        <v>Resgate</v>
      </c>
      <c r="C107" s="10" t="n">
        <f aca="false">IF(CAD_Subcategorias!$A43="",0,SUMIFS(L_VDesp,L_Data,"&gt;="&amp;REL_INI,L_Data,"&lt;="&amp;REL_FIM,L_Status,"REALIZADO",L_SubID,CAD_Subcategorias!$A43))</f>
        <v>0</v>
      </c>
      <c r="D107" s="10" t="n">
        <f aca="false">IF(CAD_Subcategorias!$A43="",0,SUMIFS(L_VDesp,L_Data,"&gt;="&amp;REL_INI,L_Data,"&lt;="&amp;REL_FIM,L_Status,"PROJETADO",L_SubID,CAD_Subcategorias!$A43))</f>
        <v>0</v>
      </c>
      <c r="E107" s="10" t="n">
        <f aca="false">$C107+$D107</f>
        <v>0</v>
      </c>
    </row>
    <row r="108" customFormat="false" ht="15" hidden="false" customHeight="false" outlineLevel="0" collapsed="false">
      <c r="A108" s="9" t="str">
        <f aca="false">IF(CAD_Subcategorias!$A44="","",CAD_Subcategorias!$B44)</f>
        <v>Investimentos</v>
      </c>
      <c r="B108" s="9" t="str">
        <f aca="false">IF(CAD_Subcategorias!$A44="","",CAD_Subcategorias!$D44)</f>
        <v>Rendimento</v>
      </c>
      <c r="C108" s="10" t="n">
        <f aca="false">IF(CAD_Subcategorias!$A44="",0,SUMIFS(L_VDesp,L_Data,"&gt;="&amp;REL_INI,L_Data,"&lt;="&amp;REL_FIM,L_Status,"REALIZADO",L_SubID,CAD_Subcategorias!$A44))</f>
        <v>0</v>
      </c>
      <c r="D108" s="10" t="n">
        <f aca="false">IF(CAD_Subcategorias!$A44="",0,SUMIFS(L_VDesp,L_Data,"&gt;="&amp;REL_INI,L_Data,"&lt;="&amp;REL_FIM,L_Status,"PROJETADO",L_SubID,CAD_Subcategorias!$A44))</f>
        <v>0</v>
      </c>
      <c r="E108" s="10" t="n">
        <f aca="false">$C108+$D108</f>
        <v>0</v>
      </c>
    </row>
    <row r="109" customFormat="false" ht="15" hidden="false" customHeight="false" outlineLevel="0" collapsed="false">
      <c r="A109" s="9" t="str">
        <f aca="false">IF(CAD_Subcategorias!$A45="","",CAD_Subcategorias!$B45)</f>
        <v>Receitas</v>
      </c>
      <c r="B109" s="9" t="str">
        <f aca="false">IF(CAD_Subcategorias!$A45="","",CAD_Subcategorias!$D45)</f>
        <v>Salario</v>
      </c>
      <c r="C109" s="10" t="n">
        <f aca="false">IF(CAD_Subcategorias!$A45="",0,SUMIFS(L_VDesp,L_Data,"&gt;="&amp;REL_INI,L_Data,"&lt;="&amp;REL_FIM,L_Status,"REALIZADO",L_SubID,CAD_Subcategorias!$A45))</f>
        <v>0</v>
      </c>
      <c r="D109" s="10" t="n">
        <f aca="false">IF(CAD_Subcategorias!$A45="",0,SUMIFS(L_VDesp,L_Data,"&gt;="&amp;REL_INI,L_Data,"&lt;="&amp;REL_FIM,L_Status,"PROJETADO",L_SubID,CAD_Subcategorias!$A45))</f>
        <v>0</v>
      </c>
      <c r="E109" s="10" t="n">
        <f aca="false">$C109+$D109</f>
        <v>0</v>
      </c>
    </row>
    <row r="110" customFormat="false" ht="15" hidden="false" customHeight="false" outlineLevel="0" collapsed="false">
      <c r="A110" s="9" t="str">
        <f aca="false">IF(CAD_Subcategorias!$A46="","",CAD_Subcategorias!$B46)</f>
        <v>Receitas</v>
      </c>
      <c r="B110" s="9" t="str">
        <f aca="false">IF(CAD_Subcategorias!$A46="","",CAD_Subcategorias!$D46)</f>
        <v>Aguinaldo (13o)</v>
      </c>
      <c r="C110" s="10" t="n">
        <f aca="false">IF(CAD_Subcategorias!$A46="",0,SUMIFS(L_VDesp,L_Data,"&gt;="&amp;REL_INI,L_Data,"&lt;="&amp;REL_FIM,L_Status,"REALIZADO",L_SubID,CAD_Subcategorias!$A46))</f>
        <v>0</v>
      </c>
      <c r="D110" s="10" t="n">
        <f aca="false">IF(CAD_Subcategorias!$A46="",0,SUMIFS(L_VDesp,L_Data,"&gt;="&amp;REL_INI,L_Data,"&lt;="&amp;REL_FIM,L_Status,"PROJETADO",L_SubID,CAD_Subcategorias!$A46))</f>
        <v>0</v>
      </c>
      <c r="E110" s="10" t="n">
        <f aca="false">$C110+$D110</f>
        <v>0</v>
      </c>
    </row>
    <row r="111" customFormat="false" ht="15" hidden="false" customHeight="false" outlineLevel="0" collapsed="false">
      <c r="A111" s="9" t="str">
        <f aca="false">IF(CAD_Subcategorias!$A47="","",CAD_Subcategorias!$B47)</f>
        <v>Receitas</v>
      </c>
      <c r="B111" s="9" t="str">
        <f aca="false">IF(CAD_Subcategorias!$A47="","",CAD_Subcategorias!$D47)</f>
        <v>Honorarios/Freelance</v>
      </c>
      <c r="C111" s="10" t="n">
        <f aca="false">IF(CAD_Subcategorias!$A47="",0,SUMIFS(L_VDesp,L_Data,"&gt;="&amp;REL_INI,L_Data,"&lt;="&amp;REL_FIM,L_Status,"REALIZADO",L_SubID,CAD_Subcategorias!$A47))</f>
        <v>0</v>
      </c>
      <c r="D111" s="10" t="n">
        <f aca="false">IF(CAD_Subcategorias!$A47="",0,SUMIFS(L_VDesp,L_Data,"&gt;="&amp;REL_INI,L_Data,"&lt;="&amp;REL_FIM,L_Status,"PROJETADO",L_SubID,CAD_Subcategorias!$A47))</f>
        <v>0</v>
      </c>
      <c r="E111" s="10" t="n">
        <f aca="false">$C111+$D111</f>
        <v>0</v>
      </c>
    </row>
    <row r="112" customFormat="false" ht="15" hidden="false" customHeight="false" outlineLevel="0" collapsed="false">
      <c r="A112" s="9" t="str">
        <f aca="false">IF(CAD_Subcategorias!$A48="","",CAD_Subcategorias!$B48)</f>
        <v>Receitas</v>
      </c>
      <c r="B112" s="9" t="str">
        <f aca="false">IF(CAD_Subcategorias!$A48="","",CAD_Subcategorias!$D48)</f>
        <v>Rendimento financeiro</v>
      </c>
      <c r="C112" s="10" t="n">
        <f aca="false">IF(CAD_Subcategorias!$A48="",0,SUMIFS(L_VDesp,L_Data,"&gt;="&amp;REL_INI,L_Data,"&lt;="&amp;REL_FIM,L_Status,"REALIZADO",L_SubID,CAD_Subcategorias!$A48))</f>
        <v>0</v>
      </c>
      <c r="D112" s="10" t="n">
        <f aca="false">IF(CAD_Subcategorias!$A48="",0,SUMIFS(L_VDesp,L_Data,"&gt;="&amp;REL_INI,L_Data,"&lt;="&amp;REL_FIM,L_Status,"PROJETADO",L_SubID,CAD_Subcategorias!$A48))</f>
        <v>0</v>
      </c>
      <c r="E112" s="10" t="n">
        <f aca="false">$C112+$D112</f>
        <v>0</v>
      </c>
    </row>
    <row r="113" customFormat="false" ht="15" hidden="false" customHeight="false" outlineLevel="0" collapsed="false">
      <c r="A113" s="9" t="str">
        <f aca="false">IF(CAD_Subcategorias!$A49="","",CAD_Subcategorias!$B49)</f>
        <v>Receitas</v>
      </c>
      <c r="B113" s="9" t="str">
        <f aca="false">IF(CAD_Subcategorias!$A49="","",CAD_Subcategorias!$D49)</f>
        <v>Reembolso</v>
      </c>
      <c r="C113" s="10" t="n">
        <f aca="false">IF(CAD_Subcategorias!$A49="",0,SUMIFS(L_VDesp,L_Data,"&gt;="&amp;REL_INI,L_Data,"&lt;="&amp;REL_FIM,L_Status,"REALIZADO",L_SubID,CAD_Subcategorias!$A49))</f>
        <v>0</v>
      </c>
      <c r="D113" s="10" t="n">
        <f aca="false">IF(CAD_Subcategorias!$A49="",0,SUMIFS(L_VDesp,L_Data,"&gt;="&amp;REL_INI,L_Data,"&lt;="&amp;REL_FIM,L_Status,"PROJETADO",L_SubID,CAD_Subcategorias!$A49))</f>
        <v>0</v>
      </c>
      <c r="E113" s="10" t="n">
        <f aca="false">$C113+$D113</f>
        <v>0</v>
      </c>
    </row>
    <row r="114" customFormat="false" ht="15" hidden="false" customHeight="false" outlineLevel="0" collapsed="false">
      <c r="A114" s="9" t="str">
        <f aca="false">IF(CAD_Subcategorias!$A50="","",CAD_Subcategorias!$B50)</f>
        <v>Receitas</v>
      </c>
      <c r="B114" s="9" t="str">
        <f aca="false">IF(CAD_Subcategorias!$A50="","",CAD_Subcategorias!$D50)</f>
        <v>Outras receitas</v>
      </c>
      <c r="C114" s="10" t="n">
        <f aca="false">IF(CAD_Subcategorias!$A50="",0,SUMIFS(L_VDesp,L_Data,"&gt;="&amp;REL_INI,L_Data,"&lt;="&amp;REL_FIM,L_Status,"REALIZADO",L_SubID,CAD_Subcategorias!$A50))</f>
        <v>0</v>
      </c>
      <c r="D114" s="10" t="n">
        <f aca="false">IF(CAD_Subcategorias!$A50="",0,SUMIFS(L_VDesp,L_Data,"&gt;="&amp;REL_INI,L_Data,"&lt;="&amp;REL_FIM,L_Status,"PROJETADO",L_SubID,CAD_Subcategorias!$A50))</f>
        <v>0</v>
      </c>
      <c r="E114" s="10" t="n">
        <f aca="false">$C114+$D114</f>
        <v>0</v>
      </c>
    </row>
    <row r="115" customFormat="false" ht="15" hidden="false" customHeight="false" outlineLevel="0" collapsed="false">
      <c r="A115" s="9" t="str">
        <f aca="false">IF(CAD_Subcategorias!$A51="","",CAD_Subcategorias!$B51)</f>
        <v>Impostos e Taxas</v>
      </c>
      <c r="B115" s="9" t="str">
        <f aca="false">IF(CAD_Subcategorias!$A51="","",CAD_Subcategorias!$D51)</f>
        <v>IVA</v>
      </c>
      <c r="C115" s="10" t="n">
        <f aca="false">IF(CAD_Subcategorias!$A51="",0,SUMIFS(L_VDesp,L_Data,"&gt;="&amp;REL_INI,L_Data,"&lt;="&amp;REL_FIM,L_Status,"REALIZADO",L_SubID,CAD_Subcategorias!$A51))</f>
        <v>0</v>
      </c>
      <c r="D115" s="10" t="n">
        <f aca="false">IF(CAD_Subcategorias!$A51="",0,SUMIFS(L_VDesp,L_Data,"&gt;="&amp;REL_INI,L_Data,"&lt;="&amp;REL_FIM,L_Status,"PROJETADO",L_SubID,CAD_Subcategorias!$A51))</f>
        <v>0</v>
      </c>
      <c r="E115" s="10" t="n">
        <f aca="false">$C115+$D115</f>
        <v>0</v>
      </c>
    </row>
    <row r="116" customFormat="false" ht="15" hidden="false" customHeight="false" outlineLevel="0" collapsed="false">
      <c r="A116" s="9" t="str">
        <f aca="false">IF(CAD_Subcategorias!$A52="","",CAD_Subcategorias!$B52)</f>
        <v>Impostos e Taxas</v>
      </c>
      <c r="B116" s="9" t="str">
        <f aca="false">IF(CAD_Subcategorias!$A52="","",CAD_Subcategorias!$D52)</f>
        <v>IRP</v>
      </c>
      <c r="C116" s="10" t="n">
        <f aca="false">IF(CAD_Subcategorias!$A52="",0,SUMIFS(L_VDesp,L_Data,"&gt;="&amp;REL_INI,L_Data,"&lt;="&amp;REL_FIM,L_Status,"REALIZADO",L_SubID,CAD_Subcategorias!$A52))</f>
        <v>0</v>
      </c>
      <c r="D116" s="10" t="n">
        <f aca="false">IF(CAD_Subcategorias!$A52="",0,SUMIFS(L_VDesp,L_Data,"&gt;="&amp;REL_INI,L_Data,"&lt;="&amp;REL_FIM,L_Status,"PROJETADO",L_SubID,CAD_Subcategorias!$A52))</f>
        <v>0</v>
      </c>
      <c r="E116" s="10" t="n">
        <f aca="false">$C116+$D116</f>
        <v>0</v>
      </c>
    </row>
    <row r="117" customFormat="false" ht="15" hidden="false" customHeight="false" outlineLevel="0" collapsed="false">
      <c r="A117" s="9" t="str">
        <f aca="false">IF(CAD_Subcategorias!$A53="","",CAD_Subcategorias!$B53)</f>
        <v>Impostos e Taxas</v>
      </c>
      <c r="B117" s="9" t="str">
        <f aca="false">IF(CAD_Subcategorias!$A53="","",CAD_Subcategorias!$D53)</f>
        <v>Tarifas bancarias</v>
      </c>
      <c r="C117" s="10" t="n">
        <f aca="false">IF(CAD_Subcategorias!$A53="",0,SUMIFS(L_VDesp,L_Data,"&gt;="&amp;REL_INI,L_Data,"&lt;="&amp;REL_FIM,L_Status,"REALIZADO",L_SubID,CAD_Subcategorias!$A53))</f>
        <v>0</v>
      </c>
      <c r="D117" s="10" t="n">
        <f aca="false">IF(CAD_Subcategorias!$A53="",0,SUMIFS(L_VDesp,L_Data,"&gt;="&amp;REL_INI,L_Data,"&lt;="&amp;REL_FIM,L_Status,"PROJETADO",L_SubID,CAD_Subcategorias!$A53))</f>
        <v>0</v>
      </c>
      <c r="E117" s="10" t="n">
        <f aca="false">$C117+$D117</f>
        <v>0</v>
      </c>
    </row>
    <row r="118" customFormat="false" ht="15" hidden="false" customHeight="false" outlineLevel="0" collapsed="false">
      <c r="A118" s="9" t="str">
        <f aca="false">IF(CAD_Subcategorias!$A54="","",CAD_Subcategorias!$B54)</f>
        <v>Impostos e Taxas</v>
      </c>
      <c r="B118" s="9" t="str">
        <f aca="false">IF(CAD_Subcategorias!$A54="","",CAD_Subcategorias!$D54)</f>
        <v>Taxas municipais</v>
      </c>
      <c r="C118" s="10" t="n">
        <f aca="false">IF(CAD_Subcategorias!$A54="",0,SUMIFS(L_VDesp,L_Data,"&gt;="&amp;REL_INI,L_Data,"&lt;="&amp;REL_FIM,L_Status,"REALIZADO",L_SubID,CAD_Subcategorias!$A54))</f>
        <v>0</v>
      </c>
      <c r="D118" s="10" t="n">
        <f aca="false">IF(CAD_Subcategorias!$A54="",0,SUMIFS(L_VDesp,L_Data,"&gt;="&amp;REL_INI,L_Data,"&lt;="&amp;REL_FIM,L_Status,"PROJETADO",L_SubID,CAD_Subcategorias!$A54))</f>
        <v>0</v>
      </c>
      <c r="E118" s="10" t="n">
        <f aca="false">$C118+$D118</f>
        <v>0</v>
      </c>
    </row>
    <row r="119" customFormat="false" ht="15" hidden="false" customHeight="false" outlineLevel="0" collapsed="false">
      <c r="A119" s="9" t="str">
        <f aca="false">IF(CAD_Subcategorias!$A55="","",CAD_Subcategorias!$B55)</f>
        <v>Outros</v>
      </c>
      <c r="B119" s="9" t="str">
        <f aca="false">IF(CAD_Subcategorias!$A55="","",CAD_Subcategorias!$D55)</f>
        <v>Diversos</v>
      </c>
      <c r="C119" s="10" t="n">
        <f aca="false">IF(CAD_Subcategorias!$A55="",0,SUMIFS(L_VDesp,L_Data,"&gt;="&amp;REL_INI,L_Data,"&lt;="&amp;REL_FIM,L_Status,"REALIZADO",L_SubID,CAD_Subcategorias!$A55))</f>
        <v>0</v>
      </c>
      <c r="D119" s="10" t="n">
        <f aca="false">IF(CAD_Subcategorias!$A55="",0,SUMIFS(L_VDesp,L_Data,"&gt;="&amp;REL_INI,L_Data,"&lt;="&amp;REL_FIM,L_Status,"PROJETADO",L_SubID,CAD_Subcategorias!$A55))</f>
        <v>0</v>
      </c>
      <c r="E119" s="10" t="n">
        <f aca="false">$C119+$D119</f>
        <v>0</v>
      </c>
    </row>
    <row r="120" customFormat="false" ht="15" hidden="false" customHeight="false" outlineLevel="0" collapsed="false">
      <c r="A120" s="9" t="str">
        <f aca="false">IF(CAD_Subcategorias!$A56="","",CAD_Subcategorias!$B56)</f>
        <v>Outros</v>
      </c>
      <c r="B120" s="9" t="str">
        <f aca="false">IF(CAD_Subcategorias!$A56="","",CAD_Subcategorias!$D56)</f>
        <v>Nao classificado</v>
      </c>
      <c r="C120" s="10" t="n">
        <f aca="false">IF(CAD_Subcategorias!$A56="",0,SUMIFS(L_VDesp,L_Data,"&gt;="&amp;REL_INI,L_Data,"&lt;="&amp;REL_FIM,L_Status,"REALIZADO",L_SubID,CAD_Subcategorias!$A56))</f>
        <v>0</v>
      </c>
      <c r="D120" s="10" t="n">
        <f aca="false">IF(CAD_Subcategorias!$A56="",0,SUMIFS(L_VDesp,L_Data,"&gt;="&amp;REL_INI,L_Data,"&lt;="&amp;REL_FIM,L_Status,"PROJETADO",L_SubID,CAD_Subcategorias!$A56))</f>
        <v>0</v>
      </c>
      <c r="E120" s="10" t="n">
        <f aca="false">$C120+$D120</f>
        <v>0</v>
      </c>
    </row>
    <row r="121" customFormat="false" ht="15" hidden="false" customHeight="false" outlineLevel="0" collapsed="false">
      <c r="A121" s="9" t="str">
        <f aca="false">IF(CAD_Subcategorias!$A57="","",CAD_Subcategorias!$B57)</f>
        <v>Transferencias</v>
      </c>
      <c r="B121" s="9" t="str">
        <f aca="false">IF(CAD_Subcategorias!$A57="","",CAD_Subcategorias!$D57)</f>
        <v>Entre contas proprias</v>
      </c>
      <c r="C121" s="10" t="n">
        <f aca="false">IF(CAD_Subcategorias!$A57="",0,SUMIFS(L_VDesp,L_Data,"&gt;="&amp;REL_INI,L_Data,"&lt;="&amp;REL_FIM,L_Status,"REALIZADO",L_SubID,CAD_Subcategorias!$A57))</f>
        <v>0</v>
      </c>
      <c r="D121" s="10" t="n">
        <f aca="false">IF(CAD_Subcategorias!$A57="",0,SUMIFS(L_VDesp,L_Data,"&gt;="&amp;REL_INI,L_Data,"&lt;="&amp;REL_FIM,L_Status,"PROJETADO",L_SubID,CAD_Subcategorias!$A57))</f>
        <v>0</v>
      </c>
      <c r="E121" s="10" t="n">
        <f aca="false">$C121+$D121</f>
        <v>0</v>
      </c>
    </row>
    <row r="122" customFormat="false" ht="15" hidden="false" customHeight="false" outlineLevel="0" collapsed="false">
      <c r="A122" s="9" t="str">
        <f aca="false">IF(CAD_Subcategorias!$A58="","",CAD_Subcategorias!$B58)</f>
        <v>Transferencias</v>
      </c>
      <c r="B122" s="9" t="str">
        <f aca="false">IF(CAD_Subcategorias!$A58="","",CAD_Subcategorias!$D58)</f>
        <v>Saque/Deposito</v>
      </c>
      <c r="C122" s="10" t="n">
        <f aca="false">IF(CAD_Subcategorias!$A58="",0,SUMIFS(L_VDesp,L_Data,"&gt;="&amp;REL_INI,L_Data,"&lt;="&amp;REL_FIM,L_Status,"REALIZADO",L_SubID,CAD_Subcategorias!$A58))</f>
        <v>0</v>
      </c>
      <c r="D122" s="10" t="n">
        <f aca="false">IF(CAD_Subcategorias!$A58="",0,SUMIFS(L_VDesp,L_Data,"&gt;="&amp;REL_INI,L_Data,"&lt;="&amp;REL_FIM,L_Status,"PROJETADO",L_SubID,CAD_Subcategorias!$A58))</f>
        <v>0</v>
      </c>
      <c r="E122" s="10" t="n">
        <f aca="false">$C122+$D122</f>
        <v>0</v>
      </c>
    </row>
    <row r="123" customFormat="false" ht="15" hidden="false" customHeight="false" outlineLevel="0" collapsed="false">
      <c r="A123" s="9" t="str">
        <f aca="false">IF(CAD_Subcategorias!$A59="","",CAD_Subcategorias!$B59)</f>
        <v/>
      </c>
      <c r="B123" s="9" t="str">
        <f aca="false">IF(CAD_Subcategorias!$A59="","",CAD_Subcategorias!$D59)</f>
        <v/>
      </c>
      <c r="C123" s="10" t="n">
        <f aca="false">IF(CAD_Subcategorias!$A59="",0,SUMIFS(L_VDesp,L_Data,"&gt;="&amp;REL_INI,L_Data,"&lt;="&amp;REL_FIM,L_Status,"REALIZADO",L_SubID,CAD_Subcategorias!$A59))</f>
        <v>0</v>
      </c>
      <c r="D123" s="10" t="n">
        <f aca="false">IF(CAD_Subcategorias!$A59="",0,SUMIFS(L_VDesp,L_Data,"&gt;="&amp;REL_INI,L_Data,"&lt;="&amp;REL_FIM,L_Status,"PROJETADO",L_SubID,CAD_Subcategorias!$A59))</f>
        <v>0</v>
      </c>
      <c r="E123" s="10" t="n">
        <f aca="false">$C123+$D123</f>
        <v>0</v>
      </c>
    </row>
    <row r="124" customFormat="false" ht="15" hidden="false" customHeight="false" outlineLevel="0" collapsed="false">
      <c r="A124" s="9" t="str">
        <f aca="false">IF(CAD_Subcategorias!$A60="","",CAD_Subcategorias!$B60)</f>
        <v/>
      </c>
      <c r="B124" s="9" t="str">
        <f aca="false">IF(CAD_Subcategorias!$A60="","",CAD_Subcategorias!$D60)</f>
        <v/>
      </c>
      <c r="C124" s="10" t="n">
        <f aca="false">IF(CAD_Subcategorias!$A60="",0,SUMIFS(L_VDesp,L_Data,"&gt;="&amp;REL_INI,L_Data,"&lt;="&amp;REL_FIM,L_Status,"REALIZADO",L_SubID,CAD_Subcategorias!$A60))</f>
        <v>0</v>
      </c>
      <c r="D124" s="10" t="n">
        <f aca="false">IF(CAD_Subcategorias!$A60="",0,SUMIFS(L_VDesp,L_Data,"&gt;="&amp;REL_INI,L_Data,"&lt;="&amp;REL_FIM,L_Status,"PROJETADO",L_SubID,CAD_Subcategorias!$A60))</f>
        <v>0</v>
      </c>
      <c r="E124" s="10" t="n">
        <f aca="false">$C124+$D124</f>
        <v>0</v>
      </c>
    </row>
    <row r="125" customFormat="false" ht="15" hidden="false" customHeight="false" outlineLevel="0" collapsed="false">
      <c r="A125" s="9" t="str">
        <f aca="false">IF(CAD_Subcategorias!$A61="","",CAD_Subcategorias!$B61)</f>
        <v/>
      </c>
      <c r="B125" s="9" t="str">
        <f aca="false">IF(CAD_Subcategorias!$A61="","",CAD_Subcategorias!$D61)</f>
        <v/>
      </c>
      <c r="C125" s="10" t="n">
        <f aca="false">IF(CAD_Subcategorias!$A61="",0,SUMIFS(L_VDesp,L_Data,"&gt;="&amp;REL_INI,L_Data,"&lt;="&amp;REL_FIM,L_Status,"REALIZADO",L_SubID,CAD_Subcategorias!$A61))</f>
        <v>0</v>
      </c>
      <c r="D125" s="10" t="n">
        <f aca="false">IF(CAD_Subcategorias!$A61="",0,SUMIFS(L_VDesp,L_Data,"&gt;="&amp;REL_INI,L_Data,"&lt;="&amp;REL_FIM,L_Status,"PROJETADO",L_SubID,CAD_Subcategorias!$A61))</f>
        <v>0</v>
      </c>
      <c r="E125" s="10" t="n">
        <f aca="false">$C125+$D125</f>
        <v>0</v>
      </c>
    </row>
    <row r="126" customFormat="false" ht="15" hidden="false" customHeight="false" outlineLevel="0" collapsed="false">
      <c r="A126" s="9" t="str">
        <f aca="false">IF(CAD_Subcategorias!$A62="","",CAD_Subcategorias!$B62)</f>
        <v/>
      </c>
      <c r="B126" s="9" t="str">
        <f aca="false">IF(CAD_Subcategorias!$A62="","",CAD_Subcategorias!$D62)</f>
        <v/>
      </c>
      <c r="C126" s="10" t="n">
        <f aca="false">IF(CAD_Subcategorias!$A62="",0,SUMIFS(L_VDesp,L_Data,"&gt;="&amp;REL_INI,L_Data,"&lt;="&amp;REL_FIM,L_Status,"REALIZADO",L_SubID,CAD_Subcategorias!$A62))</f>
        <v>0</v>
      </c>
      <c r="D126" s="10" t="n">
        <f aca="false">IF(CAD_Subcategorias!$A62="",0,SUMIFS(L_VDesp,L_Data,"&gt;="&amp;REL_INI,L_Data,"&lt;="&amp;REL_FIM,L_Status,"PROJETADO",L_SubID,CAD_Subcategorias!$A62))</f>
        <v>0</v>
      </c>
      <c r="E126" s="10" t="n">
        <f aca="false">$C126+$D126</f>
        <v>0</v>
      </c>
    </row>
    <row r="127" customFormat="false" ht="15" hidden="false" customHeight="false" outlineLevel="0" collapsed="false">
      <c r="A127" s="9" t="str">
        <f aca="false">IF(CAD_Subcategorias!$A63="","",CAD_Subcategorias!$B63)</f>
        <v/>
      </c>
      <c r="B127" s="9" t="str">
        <f aca="false">IF(CAD_Subcategorias!$A63="","",CAD_Subcategorias!$D63)</f>
        <v/>
      </c>
      <c r="C127" s="10" t="n">
        <f aca="false">IF(CAD_Subcategorias!$A63="",0,SUMIFS(L_VDesp,L_Data,"&gt;="&amp;REL_INI,L_Data,"&lt;="&amp;REL_FIM,L_Status,"REALIZADO",L_SubID,CAD_Subcategorias!$A63))</f>
        <v>0</v>
      </c>
      <c r="D127" s="10" t="n">
        <f aca="false">IF(CAD_Subcategorias!$A63="",0,SUMIFS(L_VDesp,L_Data,"&gt;="&amp;REL_INI,L_Data,"&lt;="&amp;REL_FIM,L_Status,"PROJETADO",L_SubID,CAD_Subcategorias!$A63))</f>
        <v>0</v>
      </c>
      <c r="E127" s="10" t="n">
        <f aca="false">$C127+$D127</f>
        <v>0</v>
      </c>
    </row>
    <row r="128" customFormat="false" ht="15" hidden="false" customHeight="false" outlineLevel="0" collapsed="false">
      <c r="A128" s="9" t="str">
        <f aca="false">IF(CAD_Subcategorias!$A64="","",CAD_Subcategorias!$B64)</f>
        <v/>
      </c>
      <c r="B128" s="9" t="str">
        <f aca="false">IF(CAD_Subcategorias!$A64="","",CAD_Subcategorias!$D64)</f>
        <v/>
      </c>
      <c r="C128" s="10" t="n">
        <f aca="false">IF(CAD_Subcategorias!$A64="",0,SUMIFS(L_VDesp,L_Data,"&gt;="&amp;REL_INI,L_Data,"&lt;="&amp;REL_FIM,L_Status,"REALIZADO",L_SubID,CAD_Subcategorias!$A64))</f>
        <v>0</v>
      </c>
      <c r="D128" s="10" t="n">
        <f aca="false">IF(CAD_Subcategorias!$A64="",0,SUMIFS(L_VDesp,L_Data,"&gt;="&amp;REL_INI,L_Data,"&lt;="&amp;REL_FIM,L_Status,"PROJETADO",L_SubID,CAD_Subcategorias!$A64))</f>
        <v>0</v>
      </c>
      <c r="E128" s="10" t="n">
        <f aca="false">$C128+$D128</f>
        <v>0</v>
      </c>
    </row>
    <row r="129" customFormat="false" ht="15" hidden="false" customHeight="false" outlineLevel="0" collapsed="false">
      <c r="A129" s="9" t="str">
        <f aca="false">IF(CAD_Subcategorias!$A65="","",CAD_Subcategorias!$B65)</f>
        <v/>
      </c>
      <c r="B129" s="9" t="str">
        <f aca="false">IF(CAD_Subcategorias!$A65="","",CAD_Subcategorias!$D65)</f>
        <v/>
      </c>
      <c r="C129" s="10" t="n">
        <f aca="false">IF(CAD_Subcategorias!$A65="",0,SUMIFS(L_VDesp,L_Data,"&gt;="&amp;REL_INI,L_Data,"&lt;="&amp;REL_FIM,L_Status,"REALIZADO",L_SubID,CAD_Subcategorias!$A65))</f>
        <v>0</v>
      </c>
      <c r="D129" s="10" t="n">
        <f aca="false">IF(CAD_Subcategorias!$A65="",0,SUMIFS(L_VDesp,L_Data,"&gt;="&amp;REL_INI,L_Data,"&lt;="&amp;REL_FIM,L_Status,"PROJETADO",L_SubID,CAD_Subcategorias!$A65))</f>
        <v>0</v>
      </c>
      <c r="E129" s="10" t="n">
        <f aca="false">$C129+$D129</f>
        <v>0</v>
      </c>
    </row>
    <row r="130" customFormat="false" ht="15" hidden="false" customHeight="false" outlineLevel="0" collapsed="false">
      <c r="A130" s="9" t="str">
        <f aca="false">IF(CAD_Subcategorias!$A66="","",CAD_Subcategorias!$B66)</f>
        <v/>
      </c>
      <c r="B130" s="9" t="str">
        <f aca="false">IF(CAD_Subcategorias!$A66="","",CAD_Subcategorias!$D66)</f>
        <v/>
      </c>
      <c r="C130" s="10" t="n">
        <f aca="false">IF(CAD_Subcategorias!$A66="",0,SUMIFS(L_VDesp,L_Data,"&gt;="&amp;REL_INI,L_Data,"&lt;="&amp;REL_FIM,L_Status,"REALIZADO",L_SubID,CAD_Subcategorias!$A66))</f>
        <v>0</v>
      </c>
      <c r="D130" s="10" t="n">
        <f aca="false">IF(CAD_Subcategorias!$A66="",0,SUMIFS(L_VDesp,L_Data,"&gt;="&amp;REL_INI,L_Data,"&lt;="&amp;REL_FIM,L_Status,"PROJETADO",L_SubID,CAD_Subcategorias!$A66))</f>
        <v>0</v>
      </c>
      <c r="E130" s="10" t="n">
        <f aca="false">$C130+$D130</f>
        <v>0</v>
      </c>
    </row>
    <row r="131" customFormat="false" ht="15" hidden="false" customHeight="false" outlineLevel="0" collapsed="false">
      <c r="A131" s="9" t="str">
        <f aca="false">IF(CAD_Subcategorias!$A67="","",CAD_Subcategorias!$B67)</f>
        <v/>
      </c>
      <c r="B131" s="9" t="str">
        <f aca="false">IF(CAD_Subcategorias!$A67="","",CAD_Subcategorias!$D67)</f>
        <v/>
      </c>
      <c r="C131" s="10" t="n">
        <f aca="false">IF(CAD_Subcategorias!$A67="",0,SUMIFS(L_VDesp,L_Data,"&gt;="&amp;REL_INI,L_Data,"&lt;="&amp;REL_FIM,L_Status,"REALIZADO",L_SubID,CAD_Subcategorias!$A67))</f>
        <v>0</v>
      </c>
      <c r="D131" s="10" t="n">
        <f aca="false">IF(CAD_Subcategorias!$A67="",0,SUMIFS(L_VDesp,L_Data,"&gt;="&amp;REL_INI,L_Data,"&lt;="&amp;REL_FIM,L_Status,"PROJETADO",L_SubID,CAD_Subcategorias!$A67))</f>
        <v>0</v>
      </c>
      <c r="E131" s="10" t="n">
        <f aca="false">$C131+$D131</f>
        <v>0</v>
      </c>
    </row>
    <row r="132" customFormat="false" ht="15" hidden="false" customHeight="false" outlineLevel="0" collapsed="false">
      <c r="A132" s="9" t="str">
        <f aca="false">IF(CAD_Subcategorias!$A68="","",CAD_Subcategorias!$B68)</f>
        <v/>
      </c>
      <c r="B132" s="9" t="str">
        <f aca="false">IF(CAD_Subcategorias!$A68="","",CAD_Subcategorias!$D68)</f>
        <v/>
      </c>
      <c r="C132" s="10" t="n">
        <f aca="false">IF(CAD_Subcategorias!$A68="",0,SUMIFS(L_VDesp,L_Data,"&gt;="&amp;REL_INI,L_Data,"&lt;="&amp;REL_FIM,L_Status,"REALIZADO",L_SubID,CAD_Subcategorias!$A68))</f>
        <v>0</v>
      </c>
      <c r="D132" s="10" t="n">
        <f aca="false">IF(CAD_Subcategorias!$A68="",0,SUMIFS(L_VDesp,L_Data,"&gt;="&amp;REL_INI,L_Data,"&lt;="&amp;REL_FIM,L_Status,"PROJETADO",L_SubID,CAD_Subcategorias!$A68))</f>
        <v>0</v>
      </c>
      <c r="E132" s="10" t="n">
        <f aca="false">$C132+$D132</f>
        <v>0</v>
      </c>
    </row>
    <row r="133" customFormat="false" ht="15" hidden="false" customHeight="false" outlineLevel="0" collapsed="false">
      <c r="A133" s="9" t="str">
        <f aca="false">IF(CAD_Subcategorias!$A69="","",CAD_Subcategorias!$B69)</f>
        <v/>
      </c>
      <c r="B133" s="9" t="str">
        <f aca="false">IF(CAD_Subcategorias!$A69="","",CAD_Subcategorias!$D69)</f>
        <v/>
      </c>
      <c r="C133" s="10" t="n">
        <f aca="false">IF(CAD_Subcategorias!$A69="",0,SUMIFS(L_VDesp,L_Data,"&gt;="&amp;REL_INI,L_Data,"&lt;="&amp;REL_FIM,L_Status,"REALIZADO",L_SubID,CAD_Subcategorias!$A69))</f>
        <v>0</v>
      </c>
      <c r="D133" s="10" t="n">
        <f aca="false">IF(CAD_Subcategorias!$A69="",0,SUMIFS(L_VDesp,L_Data,"&gt;="&amp;REL_INI,L_Data,"&lt;="&amp;REL_FIM,L_Status,"PROJETADO",L_SubID,CAD_Subcategorias!$A69))</f>
        <v>0</v>
      </c>
      <c r="E133" s="10" t="n">
        <f aca="false">$C133+$D133</f>
        <v>0</v>
      </c>
    </row>
    <row r="134" customFormat="false" ht="15" hidden="false" customHeight="false" outlineLevel="0" collapsed="false">
      <c r="A134" s="9" t="str">
        <f aca="false">IF(CAD_Subcategorias!$A70="","",CAD_Subcategorias!$B70)</f>
        <v/>
      </c>
      <c r="B134" s="9" t="str">
        <f aca="false">IF(CAD_Subcategorias!$A70="","",CAD_Subcategorias!$D70)</f>
        <v/>
      </c>
      <c r="C134" s="10" t="n">
        <f aca="false">IF(CAD_Subcategorias!$A70="",0,SUMIFS(L_VDesp,L_Data,"&gt;="&amp;REL_INI,L_Data,"&lt;="&amp;REL_FIM,L_Status,"REALIZADO",L_SubID,CAD_Subcategorias!$A70))</f>
        <v>0</v>
      </c>
      <c r="D134" s="10" t="n">
        <f aca="false">IF(CAD_Subcategorias!$A70="",0,SUMIFS(L_VDesp,L_Data,"&gt;="&amp;REL_INI,L_Data,"&lt;="&amp;REL_FIM,L_Status,"PROJETADO",L_SubID,CAD_Subcategorias!$A70))</f>
        <v>0</v>
      </c>
      <c r="E134" s="10" t="n">
        <f aca="false">$C134+$D134</f>
        <v>0</v>
      </c>
    </row>
    <row r="135" customFormat="false" ht="15" hidden="false" customHeight="false" outlineLevel="0" collapsed="false">
      <c r="A135" s="9" t="str">
        <f aca="false">IF(CAD_Subcategorias!$A71="","",CAD_Subcategorias!$B71)</f>
        <v/>
      </c>
      <c r="B135" s="9" t="str">
        <f aca="false">IF(CAD_Subcategorias!$A71="","",CAD_Subcategorias!$D71)</f>
        <v/>
      </c>
      <c r="C135" s="10" t="n">
        <f aca="false">IF(CAD_Subcategorias!$A71="",0,SUMIFS(L_VDesp,L_Data,"&gt;="&amp;REL_INI,L_Data,"&lt;="&amp;REL_FIM,L_Status,"REALIZADO",L_SubID,CAD_Subcategorias!$A71))</f>
        <v>0</v>
      </c>
      <c r="D135" s="10" t="n">
        <f aca="false">IF(CAD_Subcategorias!$A71="",0,SUMIFS(L_VDesp,L_Data,"&gt;="&amp;REL_INI,L_Data,"&lt;="&amp;REL_FIM,L_Status,"PROJETADO",L_SubID,CAD_Subcategorias!$A71))</f>
        <v>0</v>
      </c>
      <c r="E135" s="10" t="n">
        <f aca="false">$C135+$D135</f>
        <v>0</v>
      </c>
    </row>
    <row r="136" customFormat="false" ht="15" hidden="false" customHeight="false" outlineLevel="0" collapsed="false">
      <c r="A136" s="9" t="str">
        <f aca="false">IF(CAD_Subcategorias!$A72="","",CAD_Subcategorias!$B72)</f>
        <v/>
      </c>
      <c r="B136" s="9" t="str">
        <f aca="false">IF(CAD_Subcategorias!$A72="","",CAD_Subcategorias!$D72)</f>
        <v/>
      </c>
      <c r="C136" s="10" t="n">
        <f aca="false">IF(CAD_Subcategorias!$A72="",0,SUMIFS(L_VDesp,L_Data,"&gt;="&amp;REL_INI,L_Data,"&lt;="&amp;REL_FIM,L_Status,"REALIZADO",L_SubID,CAD_Subcategorias!$A72))</f>
        <v>0</v>
      </c>
      <c r="D136" s="10" t="n">
        <f aca="false">IF(CAD_Subcategorias!$A72="",0,SUMIFS(L_VDesp,L_Data,"&gt;="&amp;REL_INI,L_Data,"&lt;="&amp;REL_FIM,L_Status,"PROJETADO",L_SubID,CAD_Subcategorias!$A72))</f>
        <v>0</v>
      </c>
      <c r="E136" s="10" t="n">
        <f aca="false">$C136+$D136</f>
        <v>0</v>
      </c>
    </row>
    <row r="137" customFormat="false" ht="15" hidden="false" customHeight="false" outlineLevel="0" collapsed="false">
      <c r="A137" s="9" t="str">
        <f aca="false">IF(CAD_Subcategorias!$A73="","",CAD_Subcategorias!$B73)</f>
        <v/>
      </c>
      <c r="B137" s="9" t="str">
        <f aca="false">IF(CAD_Subcategorias!$A73="","",CAD_Subcategorias!$D73)</f>
        <v/>
      </c>
      <c r="C137" s="10" t="n">
        <f aca="false">IF(CAD_Subcategorias!$A73="",0,SUMIFS(L_VDesp,L_Data,"&gt;="&amp;REL_INI,L_Data,"&lt;="&amp;REL_FIM,L_Status,"REALIZADO",L_SubID,CAD_Subcategorias!$A73))</f>
        <v>0</v>
      </c>
      <c r="D137" s="10" t="n">
        <f aca="false">IF(CAD_Subcategorias!$A73="",0,SUMIFS(L_VDesp,L_Data,"&gt;="&amp;REL_INI,L_Data,"&lt;="&amp;REL_FIM,L_Status,"PROJETADO",L_SubID,CAD_Subcategorias!$A73))</f>
        <v>0</v>
      </c>
      <c r="E137" s="10" t="n">
        <f aca="false">$C137+$D137</f>
        <v>0</v>
      </c>
    </row>
    <row r="138" customFormat="false" ht="15" hidden="false" customHeight="false" outlineLevel="0" collapsed="false">
      <c r="A138" s="9" t="str">
        <f aca="false">IF(CAD_Subcategorias!$A74="","",CAD_Subcategorias!$B74)</f>
        <v/>
      </c>
      <c r="B138" s="9" t="str">
        <f aca="false">IF(CAD_Subcategorias!$A74="","",CAD_Subcategorias!$D74)</f>
        <v/>
      </c>
      <c r="C138" s="10" t="n">
        <f aca="false">IF(CAD_Subcategorias!$A74="",0,SUMIFS(L_VDesp,L_Data,"&gt;="&amp;REL_INI,L_Data,"&lt;="&amp;REL_FIM,L_Status,"REALIZADO",L_SubID,CAD_Subcategorias!$A74))</f>
        <v>0</v>
      </c>
      <c r="D138" s="10" t="n">
        <f aca="false">IF(CAD_Subcategorias!$A74="",0,SUMIFS(L_VDesp,L_Data,"&gt;="&amp;REL_INI,L_Data,"&lt;="&amp;REL_FIM,L_Status,"PROJETADO",L_SubID,CAD_Subcategorias!$A74))</f>
        <v>0</v>
      </c>
      <c r="E138" s="10" t="n">
        <f aca="false">$C138+$D138</f>
        <v>0</v>
      </c>
    </row>
    <row r="139" customFormat="false" ht="15" hidden="false" customHeight="false" outlineLevel="0" collapsed="false">
      <c r="A139" s="9" t="str">
        <f aca="false">IF(CAD_Subcategorias!$A75="","",CAD_Subcategorias!$B75)</f>
        <v/>
      </c>
      <c r="B139" s="9" t="str">
        <f aca="false">IF(CAD_Subcategorias!$A75="","",CAD_Subcategorias!$D75)</f>
        <v/>
      </c>
      <c r="C139" s="10" t="n">
        <f aca="false">IF(CAD_Subcategorias!$A75="",0,SUMIFS(L_VDesp,L_Data,"&gt;="&amp;REL_INI,L_Data,"&lt;="&amp;REL_FIM,L_Status,"REALIZADO",L_SubID,CAD_Subcategorias!$A75))</f>
        <v>0</v>
      </c>
      <c r="D139" s="10" t="n">
        <f aca="false">IF(CAD_Subcategorias!$A75="",0,SUMIFS(L_VDesp,L_Data,"&gt;="&amp;REL_INI,L_Data,"&lt;="&amp;REL_FIM,L_Status,"PROJETADO",L_SubID,CAD_Subcategorias!$A75))</f>
        <v>0</v>
      </c>
      <c r="E139" s="10" t="n">
        <f aca="false">$C139+$D139</f>
        <v>0</v>
      </c>
    </row>
    <row r="140" customFormat="false" ht="15" hidden="false" customHeight="false" outlineLevel="0" collapsed="false">
      <c r="A140" s="9" t="str">
        <f aca="false">IF(CAD_Subcategorias!$A76="","",CAD_Subcategorias!$B76)</f>
        <v/>
      </c>
      <c r="B140" s="9" t="str">
        <f aca="false">IF(CAD_Subcategorias!$A76="","",CAD_Subcategorias!$D76)</f>
        <v/>
      </c>
      <c r="C140" s="10" t="n">
        <f aca="false">IF(CAD_Subcategorias!$A76="",0,SUMIFS(L_VDesp,L_Data,"&gt;="&amp;REL_INI,L_Data,"&lt;="&amp;REL_FIM,L_Status,"REALIZADO",L_SubID,CAD_Subcategorias!$A76))</f>
        <v>0</v>
      </c>
      <c r="D140" s="10" t="n">
        <f aca="false">IF(CAD_Subcategorias!$A76="",0,SUMIFS(L_VDesp,L_Data,"&gt;="&amp;REL_INI,L_Data,"&lt;="&amp;REL_FIM,L_Status,"PROJETADO",L_SubID,CAD_Subcategorias!$A76))</f>
        <v>0</v>
      </c>
      <c r="E140" s="10" t="n">
        <f aca="false">$C140+$D140</f>
        <v>0</v>
      </c>
    </row>
    <row r="141" customFormat="false" ht="15" hidden="false" customHeight="false" outlineLevel="0" collapsed="false">
      <c r="A141" s="9" t="str">
        <f aca="false">IF(CAD_Subcategorias!$A77="","",CAD_Subcategorias!$B77)</f>
        <v/>
      </c>
      <c r="B141" s="9" t="str">
        <f aca="false">IF(CAD_Subcategorias!$A77="","",CAD_Subcategorias!$D77)</f>
        <v/>
      </c>
      <c r="C141" s="10" t="n">
        <f aca="false">IF(CAD_Subcategorias!$A77="",0,SUMIFS(L_VDesp,L_Data,"&gt;="&amp;REL_INI,L_Data,"&lt;="&amp;REL_FIM,L_Status,"REALIZADO",L_SubID,CAD_Subcategorias!$A77))</f>
        <v>0</v>
      </c>
      <c r="D141" s="10" t="n">
        <f aca="false">IF(CAD_Subcategorias!$A77="",0,SUMIFS(L_VDesp,L_Data,"&gt;="&amp;REL_INI,L_Data,"&lt;="&amp;REL_FIM,L_Status,"PROJETADO",L_SubID,CAD_Subcategorias!$A77))</f>
        <v>0</v>
      </c>
      <c r="E141" s="10" t="n">
        <f aca="false">$C141+$D141</f>
        <v>0</v>
      </c>
    </row>
    <row r="142" customFormat="false" ht="15" hidden="false" customHeight="false" outlineLevel="0" collapsed="false">
      <c r="A142" s="9" t="str">
        <f aca="false">IF(CAD_Subcategorias!$A78="","",CAD_Subcategorias!$B78)</f>
        <v/>
      </c>
      <c r="B142" s="9" t="str">
        <f aca="false">IF(CAD_Subcategorias!$A78="","",CAD_Subcategorias!$D78)</f>
        <v/>
      </c>
      <c r="C142" s="10" t="n">
        <f aca="false">IF(CAD_Subcategorias!$A78="",0,SUMIFS(L_VDesp,L_Data,"&gt;="&amp;REL_INI,L_Data,"&lt;="&amp;REL_FIM,L_Status,"REALIZADO",L_SubID,CAD_Subcategorias!$A78))</f>
        <v>0</v>
      </c>
      <c r="D142" s="10" t="n">
        <f aca="false">IF(CAD_Subcategorias!$A78="",0,SUMIFS(L_VDesp,L_Data,"&gt;="&amp;REL_INI,L_Data,"&lt;="&amp;REL_FIM,L_Status,"PROJETADO",L_SubID,CAD_Subcategorias!$A78))</f>
        <v>0</v>
      </c>
      <c r="E142" s="10" t="n">
        <f aca="false">$C142+$D142</f>
        <v>0</v>
      </c>
    </row>
    <row r="143" customFormat="false" ht="15" hidden="false" customHeight="false" outlineLevel="0" collapsed="false">
      <c r="A143" s="9" t="str">
        <f aca="false">IF(CAD_Subcategorias!$A79="","",CAD_Subcategorias!$B79)</f>
        <v/>
      </c>
      <c r="B143" s="9" t="str">
        <f aca="false">IF(CAD_Subcategorias!$A79="","",CAD_Subcategorias!$D79)</f>
        <v/>
      </c>
      <c r="C143" s="10" t="n">
        <f aca="false">IF(CAD_Subcategorias!$A79="",0,SUMIFS(L_VDesp,L_Data,"&gt;="&amp;REL_INI,L_Data,"&lt;="&amp;REL_FIM,L_Status,"REALIZADO",L_SubID,CAD_Subcategorias!$A79))</f>
        <v>0</v>
      </c>
      <c r="D143" s="10" t="n">
        <f aca="false">IF(CAD_Subcategorias!$A79="",0,SUMIFS(L_VDesp,L_Data,"&gt;="&amp;REL_INI,L_Data,"&lt;="&amp;REL_FIM,L_Status,"PROJETADO",L_SubID,CAD_Subcategorias!$A79))</f>
        <v>0</v>
      </c>
      <c r="E143" s="10" t="n">
        <f aca="false">$C143+$D143</f>
        <v>0</v>
      </c>
    </row>
    <row r="144" customFormat="false" ht="15" hidden="false" customHeight="false" outlineLevel="0" collapsed="false">
      <c r="A144" s="9" t="str">
        <f aca="false">IF(CAD_Subcategorias!$A80="","",CAD_Subcategorias!$B80)</f>
        <v/>
      </c>
      <c r="B144" s="9" t="str">
        <f aca="false">IF(CAD_Subcategorias!$A80="","",CAD_Subcategorias!$D80)</f>
        <v/>
      </c>
      <c r="C144" s="10" t="n">
        <f aca="false">IF(CAD_Subcategorias!$A80="",0,SUMIFS(L_VDesp,L_Data,"&gt;="&amp;REL_INI,L_Data,"&lt;="&amp;REL_FIM,L_Status,"REALIZADO",L_SubID,CAD_Subcategorias!$A80))</f>
        <v>0</v>
      </c>
      <c r="D144" s="10" t="n">
        <f aca="false">IF(CAD_Subcategorias!$A80="",0,SUMIFS(L_VDesp,L_Data,"&gt;="&amp;REL_INI,L_Data,"&lt;="&amp;REL_FIM,L_Status,"PROJETADO",L_SubID,CAD_Subcategorias!$A80))</f>
        <v>0</v>
      </c>
      <c r="E144" s="10" t="n">
        <f aca="false">$C144+$D144</f>
        <v>0</v>
      </c>
    </row>
    <row r="145" customFormat="false" ht="15" hidden="false" customHeight="false" outlineLevel="0" collapsed="false">
      <c r="A145" s="9" t="str">
        <f aca="false">IF(CAD_Subcategorias!$A81="","",CAD_Subcategorias!$B81)</f>
        <v/>
      </c>
      <c r="B145" s="9" t="str">
        <f aca="false">IF(CAD_Subcategorias!$A81="","",CAD_Subcategorias!$D81)</f>
        <v/>
      </c>
      <c r="C145" s="10" t="n">
        <f aca="false">IF(CAD_Subcategorias!$A81="",0,SUMIFS(L_VDesp,L_Data,"&gt;="&amp;REL_INI,L_Data,"&lt;="&amp;REL_FIM,L_Status,"REALIZADO",L_SubID,CAD_Subcategorias!$A81))</f>
        <v>0</v>
      </c>
      <c r="D145" s="10" t="n">
        <f aca="false">IF(CAD_Subcategorias!$A81="",0,SUMIFS(L_VDesp,L_Data,"&gt;="&amp;REL_INI,L_Data,"&lt;="&amp;REL_FIM,L_Status,"PROJETADO",L_SubID,CAD_Subcategorias!$A81))</f>
        <v>0</v>
      </c>
      <c r="E145" s="10" t="n">
        <f aca="false">$C145+$D145</f>
        <v>0</v>
      </c>
    </row>
    <row r="146" customFormat="false" ht="15" hidden="false" customHeight="false" outlineLevel="0" collapsed="false">
      <c r="A146" s="9" t="str">
        <f aca="false">IF(CAD_Subcategorias!$A82="","",CAD_Subcategorias!$B82)</f>
        <v/>
      </c>
      <c r="B146" s="9" t="str">
        <f aca="false">IF(CAD_Subcategorias!$A82="","",CAD_Subcategorias!$D82)</f>
        <v/>
      </c>
      <c r="C146" s="10" t="n">
        <f aca="false">IF(CAD_Subcategorias!$A82="",0,SUMIFS(L_VDesp,L_Data,"&gt;="&amp;REL_INI,L_Data,"&lt;="&amp;REL_FIM,L_Status,"REALIZADO",L_SubID,CAD_Subcategorias!$A82))</f>
        <v>0</v>
      </c>
      <c r="D146" s="10" t="n">
        <f aca="false">IF(CAD_Subcategorias!$A82="",0,SUMIFS(L_VDesp,L_Data,"&gt;="&amp;REL_INI,L_Data,"&lt;="&amp;REL_FIM,L_Status,"PROJETADO",L_SubID,CAD_Subcategorias!$A82))</f>
        <v>0</v>
      </c>
      <c r="E146" s="10" t="n">
        <f aca="false">$C146+$D146</f>
        <v>0</v>
      </c>
    </row>
    <row r="147" customFormat="false" ht="15" hidden="false" customHeight="false" outlineLevel="0" collapsed="false">
      <c r="A147" s="9" t="str">
        <f aca="false">IF(CAD_Subcategorias!$A83="","",CAD_Subcategorias!$B83)</f>
        <v/>
      </c>
      <c r="B147" s="9" t="str">
        <f aca="false">IF(CAD_Subcategorias!$A83="","",CAD_Subcategorias!$D83)</f>
        <v/>
      </c>
      <c r="C147" s="10" t="n">
        <f aca="false">IF(CAD_Subcategorias!$A83="",0,SUMIFS(L_VDesp,L_Data,"&gt;="&amp;REL_INI,L_Data,"&lt;="&amp;REL_FIM,L_Status,"REALIZADO",L_SubID,CAD_Subcategorias!$A83))</f>
        <v>0</v>
      </c>
      <c r="D147" s="10" t="n">
        <f aca="false">IF(CAD_Subcategorias!$A83="",0,SUMIFS(L_VDesp,L_Data,"&gt;="&amp;REL_INI,L_Data,"&lt;="&amp;REL_FIM,L_Status,"PROJETADO",L_SubID,CAD_Subcategorias!$A83))</f>
        <v>0</v>
      </c>
      <c r="E147" s="10" t="n">
        <f aca="false">$C147+$D147</f>
        <v>0</v>
      </c>
    </row>
    <row r="148" customFormat="false" ht="15" hidden="false" customHeight="false" outlineLevel="0" collapsed="false">
      <c r="A148" s="9" t="str">
        <f aca="false">IF(CAD_Subcategorias!$A84="","",CAD_Subcategorias!$B84)</f>
        <v/>
      </c>
      <c r="B148" s="9" t="str">
        <f aca="false">IF(CAD_Subcategorias!$A84="","",CAD_Subcategorias!$D84)</f>
        <v/>
      </c>
      <c r="C148" s="10" t="n">
        <f aca="false">IF(CAD_Subcategorias!$A84="",0,SUMIFS(L_VDesp,L_Data,"&gt;="&amp;REL_INI,L_Data,"&lt;="&amp;REL_FIM,L_Status,"REALIZADO",L_SubID,CAD_Subcategorias!$A84))</f>
        <v>0</v>
      </c>
      <c r="D148" s="10" t="n">
        <f aca="false">IF(CAD_Subcategorias!$A84="",0,SUMIFS(L_VDesp,L_Data,"&gt;="&amp;REL_INI,L_Data,"&lt;="&amp;REL_FIM,L_Status,"PROJETADO",L_SubID,CAD_Subcategorias!$A84))</f>
        <v>0</v>
      </c>
      <c r="E148" s="10" t="n">
        <f aca="false">$C148+$D148</f>
        <v>0</v>
      </c>
    </row>
    <row r="149" customFormat="false" ht="15" hidden="false" customHeight="false" outlineLevel="0" collapsed="false">
      <c r="A149" s="9" t="str">
        <f aca="false">IF(CAD_Subcategorias!$A85="","",CAD_Subcategorias!$B85)</f>
        <v/>
      </c>
      <c r="B149" s="9" t="str">
        <f aca="false">IF(CAD_Subcategorias!$A85="","",CAD_Subcategorias!$D85)</f>
        <v/>
      </c>
      <c r="C149" s="10" t="n">
        <f aca="false">IF(CAD_Subcategorias!$A85="",0,SUMIFS(L_VDesp,L_Data,"&gt;="&amp;REL_INI,L_Data,"&lt;="&amp;REL_FIM,L_Status,"REALIZADO",L_SubID,CAD_Subcategorias!$A85))</f>
        <v>0</v>
      </c>
      <c r="D149" s="10" t="n">
        <f aca="false">IF(CAD_Subcategorias!$A85="",0,SUMIFS(L_VDesp,L_Data,"&gt;="&amp;REL_INI,L_Data,"&lt;="&amp;REL_FIM,L_Status,"PROJETADO",L_SubID,CAD_Subcategorias!$A85))</f>
        <v>0</v>
      </c>
      <c r="E149" s="10" t="n">
        <f aca="false">$C149+$D149</f>
        <v>0</v>
      </c>
    </row>
    <row r="150" customFormat="false" ht="15" hidden="false" customHeight="false" outlineLevel="0" collapsed="false">
      <c r="A150" s="9" t="str">
        <f aca="false">IF(CAD_Subcategorias!$A86="","",CAD_Subcategorias!$B86)</f>
        <v/>
      </c>
      <c r="B150" s="9" t="str">
        <f aca="false">IF(CAD_Subcategorias!$A86="","",CAD_Subcategorias!$D86)</f>
        <v/>
      </c>
      <c r="C150" s="10" t="n">
        <f aca="false">IF(CAD_Subcategorias!$A86="",0,SUMIFS(L_VDesp,L_Data,"&gt;="&amp;REL_INI,L_Data,"&lt;="&amp;REL_FIM,L_Status,"REALIZADO",L_SubID,CAD_Subcategorias!$A86))</f>
        <v>0</v>
      </c>
      <c r="D150" s="10" t="n">
        <f aca="false">IF(CAD_Subcategorias!$A86="",0,SUMIFS(L_VDesp,L_Data,"&gt;="&amp;REL_INI,L_Data,"&lt;="&amp;REL_FIM,L_Status,"PROJETADO",L_SubID,CAD_Subcategorias!$A86))</f>
        <v>0</v>
      </c>
      <c r="E150" s="10" t="n">
        <f aca="false">$C150+$D150</f>
        <v>0</v>
      </c>
    </row>
    <row r="151" customFormat="false" ht="15" hidden="false" customHeight="false" outlineLevel="0" collapsed="false">
      <c r="A151" s="9" t="str">
        <f aca="false">IF(CAD_Subcategorias!$A87="","",CAD_Subcategorias!$B87)</f>
        <v/>
      </c>
      <c r="B151" s="9" t="str">
        <f aca="false">IF(CAD_Subcategorias!$A87="","",CAD_Subcategorias!$D87)</f>
        <v/>
      </c>
      <c r="C151" s="10" t="n">
        <f aca="false">IF(CAD_Subcategorias!$A87="",0,SUMIFS(L_VDesp,L_Data,"&gt;="&amp;REL_INI,L_Data,"&lt;="&amp;REL_FIM,L_Status,"REALIZADO",L_SubID,CAD_Subcategorias!$A87))</f>
        <v>0</v>
      </c>
      <c r="D151" s="10" t="n">
        <f aca="false">IF(CAD_Subcategorias!$A87="",0,SUMIFS(L_VDesp,L_Data,"&gt;="&amp;REL_INI,L_Data,"&lt;="&amp;REL_FIM,L_Status,"PROJETADO",L_SubID,CAD_Subcategorias!$A87))</f>
        <v>0</v>
      </c>
      <c r="E151" s="10" t="n">
        <f aca="false">$C151+$D151</f>
        <v>0</v>
      </c>
    </row>
    <row r="152" customFormat="false" ht="15" hidden="false" customHeight="false" outlineLevel="0" collapsed="false">
      <c r="A152" s="9" t="str">
        <f aca="false">IF(CAD_Subcategorias!$A88="","",CAD_Subcategorias!$B88)</f>
        <v/>
      </c>
      <c r="B152" s="9" t="str">
        <f aca="false">IF(CAD_Subcategorias!$A88="","",CAD_Subcategorias!$D88)</f>
        <v/>
      </c>
      <c r="C152" s="10" t="n">
        <f aca="false">IF(CAD_Subcategorias!$A88="",0,SUMIFS(L_VDesp,L_Data,"&gt;="&amp;REL_INI,L_Data,"&lt;="&amp;REL_FIM,L_Status,"REALIZADO",L_SubID,CAD_Subcategorias!$A88))</f>
        <v>0</v>
      </c>
      <c r="D152" s="10" t="n">
        <f aca="false">IF(CAD_Subcategorias!$A88="",0,SUMIFS(L_VDesp,L_Data,"&gt;="&amp;REL_INI,L_Data,"&lt;="&amp;REL_FIM,L_Status,"PROJETADO",L_SubID,CAD_Subcategorias!$A88))</f>
        <v>0</v>
      </c>
      <c r="E152" s="10" t="n">
        <f aca="false">$C152+$D152</f>
        <v>0</v>
      </c>
    </row>
    <row r="153" customFormat="false" ht="15" hidden="false" customHeight="false" outlineLevel="0" collapsed="false">
      <c r="A153" s="9" t="str">
        <f aca="false">IF(CAD_Subcategorias!$A89="","",CAD_Subcategorias!$B89)</f>
        <v/>
      </c>
      <c r="B153" s="9" t="str">
        <f aca="false">IF(CAD_Subcategorias!$A89="","",CAD_Subcategorias!$D89)</f>
        <v/>
      </c>
      <c r="C153" s="10" t="n">
        <f aca="false">IF(CAD_Subcategorias!$A89="",0,SUMIFS(L_VDesp,L_Data,"&gt;="&amp;REL_INI,L_Data,"&lt;="&amp;REL_FIM,L_Status,"REALIZADO",L_SubID,CAD_Subcategorias!$A89))</f>
        <v>0</v>
      </c>
      <c r="D153" s="10" t="n">
        <f aca="false">IF(CAD_Subcategorias!$A89="",0,SUMIFS(L_VDesp,L_Data,"&gt;="&amp;REL_INI,L_Data,"&lt;="&amp;REL_FIM,L_Status,"PROJETADO",L_SubID,CAD_Subcategorias!$A89))</f>
        <v>0</v>
      </c>
      <c r="E153" s="10" t="n">
        <f aca="false">$C153+$D153</f>
        <v>0</v>
      </c>
    </row>
    <row r="154" customFormat="false" ht="15" hidden="false" customHeight="false" outlineLevel="0" collapsed="false">
      <c r="A154" s="9" t="str">
        <f aca="false">IF(CAD_Subcategorias!$A90="","",CAD_Subcategorias!$B90)</f>
        <v/>
      </c>
      <c r="B154" s="9" t="str">
        <f aca="false">IF(CAD_Subcategorias!$A90="","",CAD_Subcategorias!$D90)</f>
        <v/>
      </c>
      <c r="C154" s="10" t="n">
        <f aca="false">IF(CAD_Subcategorias!$A90="",0,SUMIFS(L_VDesp,L_Data,"&gt;="&amp;REL_INI,L_Data,"&lt;="&amp;REL_FIM,L_Status,"REALIZADO",L_SubID,CAD_Subcategorias!$A90))</f>
        <v>0</v>
      </c>
      <c r="D154" s="10" t="n">
        <f aca="false">IF(CAD_Subcategorias!$A90="",0,SUMIFS(L_VDesp,L_Data,"&gt;="&amp;REL_INI,L_Data,"&lt;="&amp;REL_FIM,L_Status,"PROJETADO",L_SubID,CAD_Subcategorias!$A90))</f>
        <v>0</v>
      </c>
      <c r="E154" s="10" t="n">
        <f aca="false">$C154+$D154</f>
        <v>0</v>
      </c>
    </row>
    <row r="155" customFormat="false" ht="15" hidden="false" customHeight="false" outlineLevel="0" collapsed="false">
      <c r="A155" s="9" t="str">
        <f aca="false">IF(CAD_Subcategorias!$A91="","",CAD_Subcategorias!$B91)</f>
        <v/>
      </c>
      <c r="B155" s="9" t="str">
        <f aca="false">IF(CAD_Subcategorias!$A91="","",CAD_Subcategorias!$D91)</f>
        <v/>
      </c>
      <c r="C155" s="10" t="n">
        <f aca="false">IF(CAD_Subcategorias!$A91="",0,SUMIFS(L_VDesp,L_Data,"&gt;="&amp;REL_INI,L_Data,"&lt;="&amp;REL_FIM,L_Status,"REALIZADO",L_SubID,CAD_Subcategorias!$A91))</f>
        <v>0</v>
      </c>
      <c r="D155" s="10" t="n">
        <f aca="false">IF(CAD_Subcategorias!$A91="",0,SUMIFS(L_VDesp,L_Data,"&gt;="&amp;REL_INI,L_Data,"&lt;="&amp;REL_FIM,L_Status,"PROJETADO",L_SubID,CAD_Subcategorias!$A91))</f>
        <v>0</v>
      </c>
      <c r="E155" s="10" t="n">
        <f aca="false">$C155+$D155</f>
        <v>0</v>
      </c>
    </row>
    <row r="156" customFormat="false" ht="15" hidden="false" customHeight="false" outlineLevel="0" collapsed="false">
      <c r="A156" s="9" t="str">
        <f aca="false">IF(CAD_Subcategorias!$A92="","",CAD_Subcategorias!$B92)</f>
        <v/>
      </c>
      <c r="B156" s="9" t="str">
        <f aca="false">IF(CAD_Subcategorias!$A92="","",CAD_Subcategorias!$D92)</f>
        <v/>
      </c>
      <c r="C156" s="10" t="n">
        <f aca="false">IF(CAD_Subcategorias!$A92="",0,SUMIFS(L_VDesp,L_Data,"&gt;="&amp;REL_INI,L_Data,"&lt;="&amp;REL_FIM,L_Status,"REALIZADO",L_SubID,CAD_Subcategorias!$A92))</f>
        <v>0</v>
      </c>
      <c r="D156" s="10" t="n">
        <f aca="false">IF(CAD_Subcategorias!$A92="",0,SUMIFS(L_VDesp,L_Data,"&gt;="&amp;REL_INI,L_Data,"&lt;="&amp;REL_FIM,L_Status,"PROJETADO",L_SubID,CAD_Subcategorias!$A92))</f>
        <v>0</v>
      </c>
      <c r="E156" s="10" t="n">
        <f aca="false">$C156+$D156</f>
        <v>0</v>
      </c>
    </row>
    <row r="157" customFormat="false" ht="15" hidden="false" customHeight="false" outlineLevel="0" collapsed="false">
      <c r="A157" s="9" t="str">
        <f aca="false">IF(CAD_Subcategorias!$A93="","",CAD_Subcategorias!$B93)</f>
        <v/>
      </c>
      <c r="B157" s="9" t="str">
        <f aca="false">IF(CAD_Subcategorias!$A93="","",CAD_Subcategorias!$D93)</f>
        <v/>
      </c>
      <c r="C157" s="10" t="n">
        <f aca="false">IF(CAD_Subcategorias!$A93="",0,SUMIFS(L_VDesp,L_Data,"&gt;="&amp;REL_INI,L_Data,"&lt;="&amp;REL_FIM,L_Status,"REALIZADO",L_SubID,CAD_Subcategorias!$A93))</f>
        <v>0</v>
      </c>
      <c r="D157" s="10" t="n">
        <f aca="false">IF(CAD_Subcategorias!$A93="",0,SUMIFS(L_VDesp,L_Data,"&gt;="&amp;REL_INI,L_Data,"&lt;="&amp;REL_FIM,L_Status,"PROJETADO",L_SubID,CAD_Subcategorias!$A93))</f>
        <v>0</v>
      </c>
      <c r="E157" s="10" t="n">
        <f aca="false">$C157+$D157</f>
        <v>0</v>
      </c>
    </row>
    <row r="158" customFormat="false" ht="15" hidden="false" customHeight="false" outlineLevel="0" collapsed="false">
      <c r="A158" s="9" t="str">
        <f aca="false">IF(CAD_Subcategorias!$A94="","",CAD_Subcategorias!$B94)</f>
        <v/>
      </c>
      <c r="B158" s="9" t="str">
        <f aca="false">IF(CAD_Subcategorias!$A94="","",CAD_Subcategorias!$D94)</f>
        <v/>
      </c>
      <c r="C158" s="10" t="n">
        <f aca="false">IF(CAD_Subcategorias!$A94="",0,SUMIFS(L_VDesp,L_Data,"&gt;="&amp;REL_INI,L_Data,"&lt;="&amp;REL_FIM,L_Status,"REALIZADO",L_SubID,CAD_Subcategorias!$A94))</f>
        <v>0</v>
      </c>
      <c r="D158" s="10" t="n">
        <f aca="false">IF(CAD_Subcategorias!$A94="",0,SUMIFS(L_VDesp,L_Data,"&gt;="&amp;REL_INI,L_Data,"&lt;="&amp;REL_FIM,L_Status,"PROJETADO",L_SubID,CAD_Subcategorias!$A94))</f>
        <v>0</v>
      </c>
      <c r="E158" s="10" t="n">
        <f aca="false">$C158+$D158</f>
        <v>0</v>
      </c>
    </row>
    <row r="159" customFormat="false" ht="15" hidden="false" customHeight="false" outlineLevel="0" collapsed="false">
      <c r="A159" s="9" t="str">
        <f aca="false">IF(CAD_Subcategorias!$A95="","",CAD_Subcategorias!$B95)</f>
        <v/>
      </c>
      <c r="B159" s="9" t="str">
        <f aca="false">IF(CAD_Subcategorias!$A95="","",CAD_Subcategorias!$D95)</f>
        <v/>
      </c>
      <c r="C159" s="10" t="n">
        <f aca="false">IF(CAD_Subcategorias!$A95="",0,SUMIFS(L_VDesp,L_Data,"&gt;="&amp;REL_INI,L_Data,"&lt;="&amp;REL_FIM,L_Status,"REALIZADO",L_SubID,CAD_Subcategorias!$A95))</f>
        <v>0</v>
      </c>
      <c r="D159" s="10" t="n">
        <f aca="false">IF(CAD_Subcategorias!$A95="",0,SUMIFS(L_VDesp,L_Data,"&gt;="&amp;REL_INI,L_Data,"&lt;="&amp;REL_FIM,L_Status,"PROJETADO",L_SubID,CAD_Subcategorias!$A95))</f>
        <v>0</v>
      </c>
      <c r="E159" s="10" t="n">
        <f aca="false">$C159+$D159</f>
        <v>0</v>
      </c>
    </row>
    <row r="160" customFormat="false" ht="15" hidden="false" customHeight="false" outlineLevel="0" collapsed="false">
      <c r="A160" s="9" t="str">
        <f aca="false">IF(CAD_Subcategorias!$A96="","",CAD_Subcategorias!$B96)</f>
        <v/>
      </c>
      <c r="B160" s="9" t="str">
        <f aca="false">IF(CAD_Subcategorias!$A96="","",CAD_Subcategorias!$D96)</f>
        <v/>
      </c>
      <c r="C160" s="10" t="n">
        <f aca="false">IF(CAD_Subcategorias!$A96="",0,SUMIFS(L_VDesp,L_Data,"&gt;="&amp;REL_INI,L_Data,"&lt;="&amp;REL_FIM,L_Status,"REALIZADO",L_SubID,CAD_Subcategorias!$A96))</f>
        <v>0</v>
      </c>
      <c r="D160" s="10" t="n">
        <f aca="false">IF(CAD_Subcategorias!$A96="",0,SUMIFS(L_VDesp,L_Data,"&gt;="&amp;REL_INI,L_Data,"&lt;="&amp;REL_FIM,L_Status,"PROJETADO",L_SubID,CAD_Subcategorias!$A96))</f>
        <v>0</v>
      </c>
      <c r="E160" s="10" t="n">
        <f aca="false">$C160+$D160</f>
        <v>0</v>
      </c>
    </row>
    <row r="161" customFormat="false" ht="15" hidden="false" customHeight="false" outlineLevel="0" collapsed="false">
      <c r="A161" s="9" t="str">
        <f aca="false">IF(CAD_Subcategorias!$A97="","",CAD_Subcategorias!$B97)</f>
        <v/>
      </c>
      <c r="B161" s="9" t="str">
        <f aca="false">IF(CAD_Subcategorias!$A97="","",CAD_Subcategorias!$D97)</f>
        <v/>
      </c>
      <c r="C161" s="10" t="n">
        <f aca="false">IF(CAD_Subcategorias!$A97="",0,SUMIFS(L_VDesp,L_Data,"&gt;="&amp;REL_INI,L_Data,"&lt;="&amp;REL_FIM,L_Status,"REALIZADO",L_SubID,CAD_Subcategorias!$A97))</f>
        <v>0</v>
      </c>
      <c r="D161" s="10" t="n">
        <f aca="false">IF(CAD_Subcategorias!$A97="",0,SUMIFS(L_VDesp,L_Data,"&gt;="&amp;REL_INI,L_Data,"&lt;="&amp;REL_FIM,L_Status,"PROJETADO",L_SubID,CAD_Subcategorias!$A97))</f>
        <v>0</v>
      </c>
      <c r="E161" s="10" t="n">
        <f aca="false">$C161+$D161</f>
        <v>0</v>
      </c>
    </row>
    <row r="162" customFormat="false" ht="15" hidden="false" customHeight="false" outlineLevel="0" collapsed="false">
      <c r="A162" s="9" t="str">
        <f aca="false">IF(CAD_Subcategorias!$A98="","",CAD_Subcategorias!$B98)</f>
        <v/>
      </c>
      <c r="B162" s="9" t="str">
        <f aca="false">IF(CAD_Subcategorias!$A98="","",CAD_Subcategorias!$D98)</f>
        <v/>
      </c>
      <c r="C162" s="10" t="n">
        <f aca="false">IF(CAD_Subcategorias!$A98="",0,SUMIFS(L_VDesp,L_Data,"&gt;="&amp;REL_INI,L_Data,"&lt;="&amp;REL_FIM,L_Status,"REALIZADO",L_SubID,CAD_Subcategorias!$A98))</f>
        <v>0</v>
      </c>
      <c r="D162" s="10" t="n">
        <f aca="false">IF(CAD_Subcategorias!$A98="",0,SUMIFS(L_VDesp,L_Data,"&gt;="&amp;REL_INI,L_Data,"&lt;="&amp;REL_FIM,L_Status,"PROJETADO",L_SubID,CAD_Subcategorias!$A98))</f>
        <v>0</v>
      </c>
      <c r="E162" s="10" t="n">
        <f aca="false">$C162+$D162</f>
        <v>0</v>
      </c>
    </row>
    <row r="163" customFormat="false" ht="15" hidden="false" customHeight="false" outlineLevel="0" collapsed="false">
      <c r="A163" s="9" t="str">
        <f aca="false">IF(CAD_Subcategorias!$A99="","",CAD_Subcategorias!$B99)</f>
        <v/>
      </c>
      <c r="B163" s="9" t="str">
        <f aca="false">IF(CAD_Subcategorias!$A99="","",CAD_Subcategorias!$D99)</f>
        <v/>
      </c>
      <c r="C163" s="10" t="n">
        <f aca="false">IF(CAD_Subcategorias!$A99="",0,SUMIFS(L_VDesp,L_Data,"&gt;="&amp;REL_INI,L_Data,"&lt;="&amp;REL_FIM,L_Status,"REALIZADO",L_SubID,CAD_Subcategorias!$A99))</f>
        <v>0</v>
      </c>
      <c r="D163" s="10" t="n">
        <f aca="false">IF(CAD_Subcategorias!$A99="",0,SUMIFS(L_VDesp,L_Data,"&gt;="&amp;REL_INI,L_Data,"&lt;="&amp;REL_FIM,L_Status,"PROJETADO",L_SubID,CAD_Subcategorias!$A99))</f>
        <v>0</v>
      </c>
      <c r="E163" s="10" t="n">
        <f aca="false">$C163+$D163</f>
        <v>0</v>
      </c>
    </row>
    <row r="164" customFormat="false" ht="15" hidden="false" customHeight="false" outlineLevel="0" collapsed="false">
      <c r="A164" s="9" t="str">
        <f aca="false">IF(CAD_Subcategorias!$A100="","",CAD_Subcategorias!$B100)</f>
        <v/>
      </c>
      <c r="B164" s="9" t="str">
        <f aca="false">IF(CAD_Subcategorias!$A100="","",CAD_Subcategorias!$D100)</f>
        <v/>
      </c>
      <c r="C164" s="10" t="n">
        <f aca="false">IF(CAD_Subcategorias!$A100="",0,SUMIFS(L_VDesp,L_Data,"&gt;="&amp;REL_INI,L_Data,"&lt;="&amp;REL_FIM,L_Status,"REALIZADO",L_SubID,CAD_Subcategorias!$A100))</f>
        <v>0</v>
      </c>
      <c r="D164" s="10" t="n">
        <f aca="false">IF(CAD_Subcategorias!$A100="",0,SUMIFS(L_VDesp,L_Data,"&gt;="&amp;REL_INI,L_Data,"&lt;="&amp;REL_FIM,L_Status,"PROJETADO",L_SubID,CAD_Subcategorias!$A100))</f>
        <v>0</v>
      </c>
      <c r="E164" s="10" t="n">
        <f aca="false">$C164+$D164</f>
        <v>0</v>
      </c>
    </row>
    <row r="165" customFormat="false" ht="15" hidden="false" customHeight="false" outlineLevel="0" collapsed="false">
      <c r="A165" s="9" t="str">
        <f aca="false">IF(CAD_Subcategorias!$A101="","",CAD_Subcategorias!$B101)</f>
        <v/>
      </c>
      <c r="B165" s="9" t="str">
        <f aca="false">IF(CAD_Subcategorias!$A101="","",CAD_Subcategorias!$D101)</f>
        <v/>
      </c>
      <c r="C165" s="10" t="n">
        <f aca="false">IF(CAD_Subcategorias!$A101="",0,SUMIFS(L_VDesp,L_Data,"&gt;="&amp;REL_INI,L_Data,"&lt;="&amp;REL_FIM,L_Status,"REALIZADO",L_SubID,CAD_Subcategorias!$A101))</f>
        <v>0</v>
      </c>
      <c r="D165" s="10" t="n">
        <f aca="false">IF(CAD_Subcategorias!$A101="",0,SUMIFS(L_VDesp,L_Data,"&gt;="&amp;REL_INI,L_Data,"&lt;="&amp;REL_FIM,L_Status,"PROJETADO",L_SubID,CAD_Subcategorias!$A101))</f>
        <v>0</v>
      </c>
      <c r="E165" s="10" t="n">
        <f aca="false">$C165+$D165</f>
        <v>0</v>
      </c>
    </row>
    <row r="166" customFormat="false" ht="15" hidden="false" customHeight="false" outlineLevel="0" collapsed="false">
      <c r="A166" s="9" t="str">
        <f aca="false">IF(CAD_Subcategorias!$A102="","",CAD_Subcategorias!$B102)</f>
        <v/>
      </c>
      <c r="B166" s="9" t="str">
        <f aca="false">IF(CAD_Subcategorias!$A102="","",CAD_Subcategorias!$D102)</f>
        <v/>
      </c>
      <c r="C166" s="10" t="n">
        <f aca="false">IF(CAD_Subcategorias!$A102="",0,SUMIFS(L_VDesp,L_Data,"&gt;="&amp;REL_INI,L_Data,"&lt;="&amp;REL_FIM,L_Status,"REALIZADO",L_SubID,CAD_Subcategorias!$A102))</f>
        <v>0</v>
      </c>
      <c r="D166" s="10" t="n">
        <f aca="false">IF(CAD_Subcategorias!$A102="",0,SUMIFS(L_VDesp,L_Data,"&gt;="&amp;REL_INI,L_Data,"&lt;="&amp;REL_FIM,L_Status,"PROJETADO",L_SubID,CAD_Subcategorias!$A102))</f>
        <v>0</v>
      </c>
      <c r="E166" s="10" t="n">
        <f aca="false">$C166+$D166</f>
        <v>0</v>
      </c>
    </row>
    <row r="167" customFormat="false" ht="15" hidden="false" customHeight="false" outlineLevel="0" collapsed="false">
      <c r="A167" s="9" t="str">
        <f aca="false">IF(CAD_Subcategorias!$A103="","",CAD_Subcategorias!$B103)</f>
        <v/>
      </c>
      <c r="B167" s="9" t="str">
        <f aca="false">IF(CAD_Subcategorias!$A103="","",CAD_Subcategorias!$D103)</f>
        <v/>
      </c>
      <c r="C167" s="10" t="n">
        <f aca="false">IF(CAD_Subcategorias!$A103="",0,SUMIFS(L_VDesp,L_Data,"&gt;="&amp;REL_INI,L_Data,"&lt;="&amp;REL_FIM,L_Status,"REALIZADO",L_SubID,CAD_Subcategorias!$A103))</f>
        <v>0</v>
      </c>
      <c r="D167" s="10" t="n">
        <f aca="false">IF(CAD_Subcategorias!$A103="",0,SUMIFS(L_VDesp,L_Data,"&gt;="&amp;REL_INI,L_Data,"&lt;="&amp;REL_FIM,L_Status,"PROJETADO",L_SubID,CAD_Subcategorias!$A103))</f>
        <v>0</v>
      </c>
      <c r="E167" s="10" t="n">
        <f aca="false">$C167+$D167</f>
        <v>0</v>
      </c>
    </row>
    <row r="168" customFormat="false" ht="15" hidden="false" customHeight="false" outlineLevel="0" collapsed="false">
      <c r="A168" s="9" t="str">
        <f aca="false">IF(CAD_Subcategorias!$A104="","",CAD_Subcategorias!$B104)</f>
        <v/>
      </c>
      <c r="B168" s="9" t="str">
        <f aca="false">IF(CAD_Subcategorias!$A104="","",CAD_Subcategorias!$D104)</f>
        <v/>
      </c>
      <c r="C168" s="10" t="n">
        <f aca="false">IF(CAD_Subcategorias!$A104="",0,SUMIFS(L_VDesp,L_Data,"&gt;="&amp;REL_INI,L_Data,"&lt;="&amp;REL_FIM,L_Status,"REALIZADO",L_SubID,CAD_Subcategorias!$A104))</f>
        <v>0</v>
      </c>
      <c r="D168" s="10" t="n">
        <f aca="false">IF(CAD_Subcategorias!$A104="",0,SUMIFS(L_VDesp,L_Data,"&gt;="&amp;REL_INI,L_Data,"&lt;="&amp;REL_FIM,L_Status,"PROJETADO",L_SubID,CAD_Subcategorias!$A104))</f>
        <v>0</v>
      </c>
      <c r="E168" s="10" t="n">
        <f aca="false">$C168+$D168</f>
        <v>0</v>
      </c>
    </row>
    <row r="169" customFormat="false" ht="15" hidden="false" customHeight="false" outlineLevel="0" collapsed="false">
      <c r="A169" s="9" t="str">
        <f aca="false">IF(CAD_Subcategorias!$A105="","",CAD_Subcategorias!$B105)</f>
        <v/>
      </c>
      <c r="B169" s="9" t="str">
        <f aca="false">IF(CAD_Subcategorias!$A105="","",CAD_Subcategorias!$D105)</f>
        <v/>
      </c>
      <c r="C169" s="10" t="n">
        <f aca="false">IF(CAD_Subcategorias!$A105="",0,SUMIFS(L_VDesp,L_Data,"&gt;="&amp;REL_INI,L_Data,"&lt;="&amp;REL_FIM,L_Status,"REALIZADO",L_SubID,CAD_Subcategorias!$A105))</f>
        <v>0</v>
      </c>
      <c r="D169" s="10" t="n">
        <f aca="false">IF(CAD_Subcategorias!$A105="",0,SUMIFS(L_VDesp,L_Data,"&gt;="&amp;REL_INI,L_Data,"&lt;="&amp;REL_FIM,L_Status,"PROJETADO",L_SubID,CAD_Subcategorias!$A105))</f>
        <v>0</v>
      </c>
      <c r="E169" s="10" t="n">
        <f aca="false">$C169+$D169</f>
        <v>0</v>
      </c>
    </row>
    <row r="170" customFormat="false" ht="15" hidden="false" customHeight="false" outlineLevel="0" collapsed="false">
      <c r="A170" s="9" t="str">
        <f aca="false">IF(CAD_Subcategorias!$A106="","",CAD_Subcategorias!$B106)</f>
        <v/>
      </c>
      <c r="B170" s="9" t="str">
        <f aca="false">IF(CAD_Subcategorias!$A106="","",CAD_Subcategorias!$D106)</f>
        <v/>
      </c>
      <c r="C170" s="10" t="n">
        <f aca="false">IF(CAD_Subcategorias!$A106="",0,SUMIFS(L_VDesp,L_Data,"&gt;="&amp;REL_INI,L_Data,"&lt;="&amp;REL_FIM,L_Status,"REALIZADO",L_SubID,CAD_Subcategorias!$A106))</f>
        <v>0</v>
      </c>
      <c r="D170" s="10" t="n">
        <f aca="false">IF(CAD_Subcategorias!$A106="",0,SUMIFS(L_VDesp,L_Data,"&gt;="&amp;REL_INI,L_Data,"&lt;="&amp;REL_FIM,L_Status,"PROJETADO",L_SubID,CAD_Subcategorias!$A106))</f>
        <v>0</v>
      </c>
      <c r="E170" s="10" t="n">
        <f aca="false">$C170+$D170</f>
        <v>0</v>
      </c>
    </row>
    <row r="171" customFormat="false" ht="15" hidden="false" customHeight="false" outlineLevel="0" collapsed="false">
      <c r="A171" s="9" t="str">
        <f aca="false">IF(CAD_Subcategorias!$A107="","",CAD_Subcategorias!$B107)</f>
        <v/>
      </c>
      <c r="B171" s="9" t="str">
        <f aca="false">IF(CAD_Subcategorias!$A107="","",CAD_Subcategorias!$D107)</f>
        <v/>
      </c>
      <c r="C171" s="10" t="n">
        <f aca="false">IF(CAD_Subcategorias!$A107="",0,SUMIFS(L_VDesp,L_Data,"&gt;="&amp;REL_INI,L_Data,"&lt;="&amp;REL_FIM,L_Status,"REALIZADO",L_SubID,CAD_Subcategorias!$A107))</f>
        <v>0</v>
      </c>
      <c r="D171" s="10" t="n">
        <f aca="false">IF(CAD_Subcategorias!$A107="",0,SUMIFS(L_VDesp,L_Data,"&gt;="&amp;REL_INI,L_Data,"&lt;="&amp;REL_FIM,L_Status,"PROJETADO",L_SubID,CAD_Subcategorias!$A107))</f>
        <v>0</v>
      </c>
      <c r="E171" s="10" t="n">
        <f aca="false">$C171+$D171</f>
        <v>0</v>
      </c>
    </row>
    <row r="172" customFormat="false" ht="15" hidden="false" customHeight="false" outlineLevel="0" collapsed="false">
      <c r="A172" s="9" t="str">
        <f aca="false">IF(CAD_Subcategorias!$A108="","",CAD_Subcategorias!$B108)</f>
        <v/>
      </c>
      <c r="B172" s="9" t="str">
        <f aca="false">IF(CAD_Subcategorias!$A108="","",CAD_Subcategorias!$D108)</f>
        <v/>
      </c>
      <c r="C172" s="10" t="n">
        <f aca="false">IF(CAD_Subcategorias!$A108="",0,SUMIFS(L_VDesp,L_Data,"&gt;="&amp;REL_INI,L_Data,"&lt;="&amp;REL_FIM,L_Status,"REALIZADO",L_SubID,CAD_Subcategorias!$A108))</f>
        <v>0</v>
      </c>
      <c r="D172" s="10" t="n">
        <f aca="false">IF(CAD_Subcategorias!$A108="",0,SUMIFS(L_VDesp,L_Data,"&gt;="&amp;REL_INI,L_Data,"&lt;="&amp;REL_FIM,L_Status,"PROJETADO",L_SubID,CAD_Subcategorias!$A108))</f>
        <v>0</v>
      </c>
      <c r="E172" s="10" t="n">
        <f aca="false">$C172+$D172</f>
        <v>0</v>
      </c>
    </row>
    <row r="173" customFormat="false" ht="15" hidden="false" customHeight="false" outlineLevel="0" collapsed="false">
      <c r="A173" s="9" t="str">
        <f aca="false">IF(CAD_Subcategorias!$A109="","",CAD_Subcategorias!$B109)</f>
        <v/>
      </c>
      <c r="B173" s="9" t="str">
        <f aca="false">IF(CAD_Subcategorias!$A109="","",CAD_Subcategorias!$D109)</f>
        <v/>
      </c>
      <c r="C173" s="10" t="n">
        <f aca="false">IF(CAD_Subcategorias!$A109="",0,SUMIFS(L_VDesp,L_Data,"&gt;="&amp;REL_INI,L_Data,"&lt;="&amp;REL_FIM,L_Status,"REALIZADO",L_SubID,CAD_Subcategorias!$A109))</f>
        <v>0</v>
      </c>
      <c r="D173" s="10" t="n">
        <f aca="false">IF(CAD_Subcategorias!$A109="",0,SUMIFS(L_VDesp,L_Data,"&gt;="&amp;REL_INI,L_Data,"&lt;="&amp;REL_FIM,L_Status,"PROJETADO",L_SubID,CAD_Subcategorias!$A109))</f>
        <v>0</v>
      </c>
      <c r="E173" s="10" t="n">
        <f aca="false">$C173+$D173</f>
        <v>0</v>
      </c>
    </row>
    <row r="174" customFormat="false" ht="15" hidden="false" customHeight="false" outlineLevel="0" collapsed="false">
      <c r="A174" s="9" t="str">
        <f aca="false">IF(CAD_Subcategorias!$A110="","",CAD_Subcategorias!$B110)</f>
        <v/>
      </c>
      <c r="B174" s="9" t="str">
        <f aca="false">IF(CAD_Subcategorias!$A110="","",CAD_Subcategorias!$D110)</f>
        <v/>
      </c>
      <c r="C174" s="10" t="n">
        <f aca="false">IF(CAD_Subcategorias!$A110="",0,SUMIFS(L_VDesp,L_Data,"&gt;="&amp;REL_INI,L_Data,"&lt;="&amp;REL_FIM,L_Status,"REALIZADO",L_SubID,CAD_Subcategorias!$A110))</f>
        <v>0</v>
      </c>
      <c r="D174" s="10" t="n">
        <f aca="false">IF(CAD_Subcategorias!$A110="",0,SUMIFS(L_VDesp,L_Data,"&gt;="&amp;REL_INI,L_Data,"&lt;="&amp;REL_FIM,L_Status,"PROJETADO",L_SubID,CAD_Subcategorias!$A110))</f>
        <v>0</v>
      </c>
      <c r="E174" s="10" t="n">
        <f aca="false">$C174+$D174</f>
        <v>0</v>
      </c>
    </row>
    <row r="175" customFormat="false" ht="15" hidden="false" customHeight="false" outlineLevel="0" collapsed="false">
      <c r="A175" s="9" t="str">
        <f aca="false">IF(CAD_Subcategorias!$A111="","",CAD_Subcategorias!$B111)</f>
        <v/>
      </c>
      <c r="B175" s="9" t="str">
        <f aca="false">IF(CAD_Subcategorias!$A111="","",CAD_Subcategorias!$D111)</f>
        <v/>
      </c>
      <c r="C175" s="10" t="n">
        <f aca="false">IF(CAD_Subcategorias!$A111="",0,SUMIFS(L_VDesp,L_Data,"&gt;="&amp;REL_INI,L_Data,"&lt;="&amp;REL_FIM,L_Status,"REALIZADO",L_SubID,CAD_Subcategorias!$A111))</f>
        <v>0</v>
      </c>
      <c r="D175" s="10" t="n">
        <f aca="false">IF(CAD_Subcategorias!$A111="",0,SUMIFS(L_VDesp,L_Data,"&gt;="&amp;REL_INI,L_Data,"&lt;="&amp;REL_FIM,L_Status,"PROJETADO",L_SubID,CAD_Subcategorias!$A111))</f>
        <v>0</v>
      </c>
      <c r="E175" s="10" t="n">
        <f aca="false">$C175+$D175</f>
        <v>0</v>
      </c>
    </row>
    <row r="176" customFormat="false" ht="15" hidden="false" customHeight="false" outlineLevel="0" collapsed="false">
      <c r="A176" s="9" t="str">
        <f aca="false">IF(CAD_Subcategorias!$A112="","",CAD_Subcategorias!$B112)</f>
        <v/>
      </c>
      <c r="B176" s="9" t="str">
        <f aca="false">IF(CAD_Subcategorias!$A112="","",CAD_Subcategorias!$D112)</f>
        <v/>
      </c>
      <c r="C176" s="10" t="n">
        <f aca="false">IF(CAD_Subcategorias!$A112="",0,SUMIFS(L_VDesp,L_Data,"&gt;="&amp;REL_INI,L_Data,"&lt;="&amp;REL_FIM,L_Status,"REALIZADO",L_SubID,CAD_Subcategorias!$A112))</f>
        <v>0</v>
      </c>
      <c r="D176" s="10" t="n">
        <f aca="false">IF(CAD_Subcategorias!$A112="",0,SUMIFS(L_VDesp,L_Data,"&gt;="&amp;REL_INI,L_Data,"&lt;="&amp;REL_FIM,L_Status,"PROJETADO",L_SubID,CAD_Subcategorias!$A112))</f>
        <v>0</v>
      </c>
      <c r="E176" s="10" t="n">
        <f aca="false">$C176+$D176</f>
        <v>0</v>
      </c>
    </row>
    <row r="177" customFormat="false" ht="15" hidden="false" customHeight="false" outlineLevel="0" collapsed="false">
      <c r="A177" s="9" t="str">
        <f aca="false">IF(CAD_Subcategorias!$A113="","",CAD_Subcategorias!$B113)</f>
        <v/>
      </c>
      <c r="B177" s="9" t="str">
        <f aca="false">IF(CAD_Subcategorias!$A113="","",CAD_Subcategorias!$D113)</f>
        <v/>
      </c>
      <c r="C177" s="10" t="n">
        <f aca="false">IF(CAD_Subcategorias!$A113="",0,SUMIFS(L_VDesp,L_Data,"&gt;="&amp;REL_INI,L_Data,"&lt;="&amp;REL_FIM,L_Status,"REALIZADO",L_SubID,CAD_Subcategorias!$A113))</f>
        <v>0</v>
      </c>
      <c r="D177" s="10" t="n">
        <f aca="false">IF(CAD_Subcategorias!$A113="",0,SUMIFS(L_VDesp,L_Data,"&gt;="&amp;REL_INI,L_Data,"&lt;="&amp;REL_FIM,L_Status,"PROJETADO",L_SubID,CAD_Subcategorias!$A113))</f>
        <v>0</v>
      </c>
      <c r="E177" s="10" t="n">
        <f aca="false">$C177+$D177</f>
        <v>0</v>
      </c>
    </row>
    <row r="178" customFormat="false" ht="15" hidden="false" customHeight="false" outlineLevel="0" collapsed="false">
      <c r="A178" s="9" t="str">
        <f aca="false">IF(CAD_Subcategorias!$A114="","",CAD_Subcategorias!$B114)</f>
        <v/>
      </c>
      <c r="B178" s="9" t="str">
        <f aca="false">IF(CAD_Subcategorias!$A114="","",CAD_Subcategorias!$D114)</f>
        <v/>
      </c>
      <c r="C178" s="10" t="n">
        <f aca="false">IF(CAD_Subcategorias!$A114="",0,SUMIFS(L_VDesp,L_Data,"&gt;="&amp;REL_INI,L_Data,"&lt;="&amp;REL_FIM,L_Status,"REALIZADO",L_SubID,CAD_Subcategorias!$A114))</f>
        <v>0</v>
      </c>
      <c r="D178" s="10" t="n">
        <f aca="false">IF(CAD_Subcategorias!$A114="",0,SUMIFS(L_VDesp,L_Data,"&gt;="&amp;REL_INI,L_Data,"&lt;="&amp;REL_FIM,L_Status,"PROJETADO",L_SubID,CAD_Subcategorias!$A114))</f>
        <v>0</v>
      </c>
      <c r="E178" s="10" t="n">
        <f aca="false">$C178+$D178</f>
        <v>0</v>
      </c>
    </row>
    <row r="179" customFormat="false" ht="15" hidden="false" customHeight="false" outlineLevel="0" collapsed="false">
      <c r="A179" s="9" t="str">
        <f aca="false">IF(CAD_Subcategorias!$A115="","",CAD_Subcategorias!$B115)</f>
        <v/>
      </c>
      <c r="B179" s="9" t="str">
        <f aca="false">IF(CAD_Subcategorias!$A115="","",CAD_Subcategorias!$D115)</f>
        <v/>
      </c>
      <c r="C179" s="10" t="n">
        <f aca="false">IF(CAD_Subcategorias!$A115="",0,SUMIFS(L_VDesp,L_Data,"&gt;="&amp;REL_INI,L_Data,"&lt;="&amp;REL_FIM,L_Status,"REALIZADO",L_SubID,CAD_Subcategorias!$A115))</f>
        <v>0</v>
      </c>
      <c r="D179" s="10" t="n">
        <f aca="false">IF(CAD_Subcategorias!$A115="",0,SUMIFS(L_VDesp,L_Data,"&gt;="&amp;REL_INI,L_Data,"&lt;="&amp;REL_FIM,L_Status,"PROJETADO",L_SubID,CAD_Subcategorias!$A115))</f>
        <v>0</v>
      </c>
      <c r="E179" s="10" t="n">
        <f aca="false">$C179+$D179</f>
        <v>0</v>
      </c>
    </row>
    <row r="180" customFormat="false" ht="15" hidden="false" customHeight="false" outlineLevel="0" collapsed="false">
      <c r="A180" s="9" t="str">
        <f aca="false">IF(CAD_Subcategorias!$A116="","",CAD_Subcategorias!$B116)</f>
        <v/>
      </c>
      <c r="B180" s="9" t="str">
        <f aca="false">IF(CAD_Subcategorias!$A116="","",CAD_Subcategorias!$D116)</f>
        <v/>
      </c>
      <c r="C180" s="10" t="n">
        <f aca="false">IF(CAD_Subcategorias!$A116="",0,SUMIFS(L_VDesp,L_Data,"&gt;="&amp;REL_INI,L_Data,"&lt;="&amp;REL_FIM,L_Status,"REALIZADO",L_SubID,CAD_Subcategorias!$A116))</f>
        <v>0</v>
      </c>
      <c r="D180" s="10" t="n">
        <f aca="false">IF(CAD_Subcategorias!$A116="",0,SUMIFS(L_VDesp,L_Data,"&gt;="&amp;REL_INI,L_Data,"&lt;="&amp;REL_FIM,L_Status,"PROJETADO",L_SubID,CAD_Subcategorias!$A116))</f>
        <v>0</v>
      </c>
      <c r="E180" s="10" t="n">
        <f aca="false">$C180+$D180</f>
        <v>0</v>
      </c>
    </row>
    <row r="181" customFormat="false" ht="15" hidden="false" customHeight="false" outlineLevel="0" collapsed="false">
      <c r="A181" s="9" t="str">
        <f aca="false">IF(CAD_Subcategorias!$A117="","",CAD_Subcategorias!$B117)</f>
        <v/>
      </c>
      <c r="B181" s="9" t="str">
        <f aca="false">IF(CAD_Subcategorias!$A117="","",CAD_Subcategorias!$D117)</f>
        <v/>
      </c>
      <c r="C181" s="10" t="n">
        <f aca="false">IF(CAD_Subcategorias!$A117="",0,SUMIFS(L_VDesp,L_Data,"&gt;="&amp;REL_INI,L_Data,"&lt;="&amp;REL_FIM,L_Status,"REALIZADO",L_SubID,CAD_Subcategorias!$A117))</f>
        <v>0</v>
      </c>
      <c r="D181" s="10" t="n">
        <f aca="false">IF(CAD_Subcategorias!$A117="",0,SUMIFS(L_VDesp,L_Data,"&gt;="&amp;REL_INI,L_Data,"&lt;="&amp;REL_FIM,L_Status,"PROJETADO",L_SubID,CAD_Subcategorias!$A117))</f>
        <v>0</v>
      </c>
      <c r="E181" s="10" t="n">
        <f aca="false">$C181+$D181</f>
        <v>0</v>
      </c>
    </row>
    <row r="182" customFormat="false" ht="15" hidden="false" customHeight="false" outlineLevel="0" collapsed="false">
      <c r="A182" s="9" t="str">
        <f aca="false">IF(CAD_Subcategorias!$A118="","",CAD_Subcategorias!$B118)</f>
        <v/>
      </c>
      <c r="B182" s="9" t="str">
        <f aca="false">IF(CAD_Subcategorias!$A118="","",CAD_Subcategorias!$D118)</f>
        <v/>
      </c>
      <c r="C182" s="10" t="n">
        <f aca="false">IF(CAD_Subcategorias!$A118="",0,SUMIFS(L_VDesp,L_Data,"&gt;="&amp;REL_INI,L_Data,"&lt;="&amp;REL_FIM,L_Status,"REALIZADO",L_SubID,CAD_Subcategorias!$A118))</f>
        <v>0</v>
      </c>
      <c r="D182" s="10" t="n">
        <f aca="false">IF(CAD_Subcategorias!$A118="",0,SUMIFS(L_VDesp,L_Data,"&gt;="&amp;REL_INI,L_Data,"&lt;="&amp;REL_FIM,L_Status,"PROJETADO",L_SubID,CAD_Subcategorias!$A118))</f>
        <v>0</v>
      </c>
      <c r="E182" s="10" t="n">
        <f aca="false">$C182+$D182</f>
        <v>0</v>
      </c>
    </row>
    <row r="183" customFormat="false" ht="15" hidden="false" customHeight="false" outlineLevel="0" collapsed="false">
      <c r="A183" s="9" t="str">
        <f aca="false">IF(CAD_Subcategorias!$A119="","",CAD_Subcategorias!$B119)</f>
        <v/>
      </c>
      <c r="B183" s="9" t="str">
        <f aca="false">IF(CAD_Subcategorias!$A119="","",CAD_Subcategorias!$D119)</f>
        <v/>
      </c>
      <c r="C183" s="10" t="n">
        <f aca="false">IF(CAD_Subcategorias!$A119="",0,SUMIFS(L_VDesp,L_Data,"&gt;="&amp;REL_INI,L_Data,"&lt;="&amp;REL_FIM,L_Status,"REALIZADO",L_SubID,CAD_Subcategorias!$A119))</f>
        <v>0</v>
      </c>
      <c r="D183" s="10" t="n">
        <f aca="false">IF(CAD_Subcategorias!$A119="",0,SUMIFS(L_VDesp,L_Data,"&gt;="&amp;REL_INI,L_Data,"&lt;="&amp;REL_FIM,L_Status,"PROJETADO",L_SubID,CAD_Subcategorias!$A119))</f>
        <v>0</v>
      </c>
      <c r="E183" s="10" t="n">
        <f aca="false">$C183+$D183</f>
        <v>0</v>
      </c>
    </row>
    <row r="184" customFormat="false" ht="15" hidden="false" customHeight="false" outlineLevel="0" collapsed="false">
      <c r="A184" s="9" t="str">
        <f aca="false">IF(CAD_Subcategorias!$A120="","",CAD_Subcategorias!$B120)</f>
        <v/>
      </c>
      <c r="B184" s="9" t="str">
        <f aca="false">IF(CAD_Subcategorias!$A120="","",CAD_Subcategorias!$D120)</f>
        <v/>
      </c>
      <c r="C184" s="10" t="n">
        <f aca="false">IF(CAD_Subcategorias!$A120="",0,SUMIFS(L_VDesp,L_Data,"&gt;="&amp;REL_INI,L_Data,"&lt;="&amp;REL_FIM,L_Status,"REALIZADO",L_SubID,CAD_Subcategorias!$A120))</f>
        <v>0</v>
      </c>
      <c r="D184" s="10" t="n">
        <f aca="false">IF(CAD_Subcategorias!$A120="",0,SUMIFS(L_VDesp,L_Data,"&gt;="&amp;REL_INI,L_Data,"&lt;="&amp;REL_FIM,L_Status,"PROJETADO",L_SubID,CAD_Subcategorias!$A120))</f>
        <v>0</v>
      </c>
      <c r="E184" s="10" t="n">
        <f aca="false">$C184+$D184</f>
        <v>0</v>
      </c>
    </row>
    <row r="185" customFormat="false" ht="15" hidden="false" customHeight="false" outlineLevel="0" collapsed="false">
      <c r="A185" s="9" t="str">
        <f aca="false">IF(CAD_Subcategorias!$A121="","",CAD_Subcategorias!$B121)</f>
        <v/>
      </c>
      <c r="B185" s="9" t="str">
        <f aca="false">IF(CAD_Subcategorias!$A121="","",CAD_Subcategorias!$D121)</f>
        <v/>
      </c>
      <c r="C185" s="10" t="n">
        <f aca="false">IF(CAD_Subcategorias!$A121="",0,SUMIFS(L_VDesp,L_Data,"&gt;="&amp;REL_INI,L_Data,"&lt;="&amp;REL_FIM,L_Status,"REALIZADO",L_SubID,CAD_Subcategorias!$A121))</f>
        <v>0</v>
      </c>
      <c r="D185" s="10" t="n">
        <f aca="false">IF(CAD_Subcategorias!$A121="",0,SUMIFS(L_VDesp,L_Data,"&gt;="&amp;REL_INI,L_Data,"&lt;="&amp;REL_FIM,L_Status,"PROJETADO",L_SubID,CAD_Subcategorias!$A121))</f>
        <v>0</v>
      </c>
      <c r="E185" s="10" t="n">
        <f aca="false">$C185+$D185</f>
        <v>0</v>
      </c>
    </row>
    <row r="186" customFormat="false" ht="15" hidden="false" customHeight="false" outlineLevel="0" collapsed="false">
      <c r="A186" s="9" t="str">
        <f aca="false">IF(CAD_Subcategorias!$A122="","",CAD_Subcategorias!$B122)</f>
        <v/>
      </c>
      <c r="B186" s="9" t="str">
        <f aca="false">IF(CAD_Subcategorias!$A122="","",CAD_Subcategorias!$D122)</f>
        <v/>
      </c>
      <c r="C186" s="10" t="n">
        <f aca="false">IF(CAD_Subcategorias!$A122="",0,SUMIFS(L_VDesp,L_Data,"&gt;="&amp;REL_INI,L_Data,"&lt;="&amp;REL_FIM,L_Status,"REALIZADO",L_SubID,CAD_Subcategorias!$A122))</f>
        <v>0</v>
      </c>
      <c r="D186" s="10" t="n">
        <f aca="false">IF(CAD_Subcategorias!$A122="",0,SUMIFS(L_VDesp,L_Data,"&gt;="&amp;REL_INI,L_Data,"&lt;="&amp;REL_FIM,L_Status,"PROJETADO",L_SubID,CAD_Subcategorias!$A122))</f>
        <v>0</v>
      </c>
      <c r="E186" s="10" t="n">
        <f aca="false">$C186+$D186</f>
        <v>0</v>
      </c>
    </row>
    <row r="187" customFormat="false" ht="15" hidden="false" customHeight="false" outlineLevel="0" collapsed="false">
      <c r="A187" s="9" t="str">
        <f aca="false">IF(CAD_Subcategorias!$A123="","",CAD_Subcategorias!$B123)</f>
        <v/>
      </c>
      <c r="B187" s="9" t="str">
        <f aca="false">IF(CAD_Subcategorias!$A123="","",CAD_Subcategorias!$D123)</f>
        <v/>
      </c>
      <c r="C187" s="10" t="n">
        <f aca="false">IF(CAD_Subcategorias!$A123="",0,SUMIFS(L_VDesp,L_Data,"&gt;="&amp;REL_INI,L_Data,"&lt;="&amp;REL_FIM,L_Status,"REALIZADO",L_SubID,CAD_Subcategorias!$A123))</f>
        <v>0</v>
      </c>
      <c r="D187" s="10" t="n">
        <f aca="false">IF(CAD_Subcategorias!$A123="",0,SUMIFS(L_VDesp,L_Data,"&gt;="&amp;REL_INI,L_Data,"&lt;="&amp;REL_FIM,L_Status,"PROJETADO",L_SubID,CAD_Subcategorias!$A123))</f>
        <v>0</v>
      </c>
      <c r="E187" s="10" t="n">
        <f aca="false">$C187+$D187</f>
        <v>0</v>
      </c>
    </row>
    <row r="188" customFormat="false" ht="15" hidden="false" customHeight="false" outlineLevel="0" collapsed="false">
      <c r="A188" s="9" t="str">
        <f aca="false">IF(CAD_Subcategorias!$A124="","",CAD_Subcategorias!$B124)</f>
        <v/>
      </c>
      <c r="B188" s="9" t="str">
        <f aca="false">IF(CAD_Subcategorias!$A124="","",CAD_Subcategorias!$D124)</f>
        <v/>
      </c>
      <c r="C188" s="10" t="n">
        <f aca="false">IF(CAD_Subcategorias!$A124="",0,SUMIFS(L_VDesp,L_Data,"&gt;="&amp;REL_INI,L_Data,"&lt;="&amp;REL_FIM,L_Status,"REALIZADO",L_SubID,CAD_Subcategorias!$A124))</f>
        <v>0</v>
      </c>
      <c r="D188" s="10" t="n">
        <f aca="false">IF(CAD_Subcategorias!$A124="",0,SUMIFS(L_VDesp,L_Data,"&gt;="&amp;REL_INI,L_Data,"&lt;="&amp;REL_FIM,L_Status,"PROJETADO",L_SubID,CAD_Subcategorias!$A124))</f>
        <v>0</v>
      </c>
      <c r="E188" s="10" t="n">
        <f aca="false">$C188+$D188</f>
        <v>0</v>
      </c>
    </row>
    <row r="190" customFormat="false" ht="19.5" hidden="false" customHeight="true" outlineLevel="0" collapsed="false">
      <c r="A190" s="3" t="s">
        <v>403</v>
      </c>
      <c r="B190" s="3"/>
      <c r="C190" s="3"/>
      <c r="D190" s="3"/>
      <c r="E190" s="3"/>
      <c r="F190" s="3"/>
      <c r="G190" s="3"/>
    </row>
    <row r="191" customFormat="false" ht="30" hidden="false" customHeight="true" outlineLevel="0" collapsed="false">
      <c r="A191" s="8" t="s">
        <v>33</v>
      </c>
      <c r="B191" s="8" t="s">
        <v>171</v>
      </c>
      <c r="C191" s="8" t="s">
        <v>172</v>
      </c>
      <c r="D191" s="8" t="s">
        <v>357</v>
      </c>
      <c r="E191" s="8" t="s">
        <v>404</v>
      </c>
    </row>
    <row r="192" customFormat="false" ht="15" hidden="false" customHeight="false" outlineLevel="0" collapsed="false">
      <c r="A192" s="9" t="str">
        <f aca="false">IF(CAD_Contas!$A5="","",CAD_Contas!$B5)</f>
        <v/>
      </c>
      <c r="B192" s="10" t="n">
        <f aca="false">IF(CAD_Contas!$A5="",0,SUMIFS(L_Valor,L_Data,"&gt;="&amp;REL_INI,L_Data,"&lt;="&amp;REL_FIM,L_Status,"REALIZADO",L_DestTipo,"CONTA",L_DestID,CAD_Contas!$A5))</f>
        <v>0</v>
      </c>
      <c r="C192" s="10" t="n">
        <f aca="false">IF(CAD_Contas!$A5="",0,SUMIFS(L_Valor,L_Data,"&gt;="&amp;REL_INI,L_Data,"&lt;="&amp;REL_FIM,L_Status,"REALIZADO",L_OrigTipo,"CONTA",L_OrigID,CAD_Contas!$A5))</f>
        <v>0</v>
      </c>
      <c r="D192" s="10" t="n">
        <f aca="false">$B192-$C192</f>
        <v>0</v>
      </c>
      <c r="E192" s="10" t="n">
        <f aca="false">IF(CAD_Contas!$A5="",0,CAD_Contas!$F5+SUMIFS(L_Valor,L_DestTipo,"CONTA",L_DestID,CAD_Contas!$A5,L_Data,"&lt;="&amp;REL_FIM,L_Status,"REALIZADO")-SUMIFS(L_Valor,L_OrigTipo,"CONTA",L_OrigID,CAD_Contas!$A5,L_Data,"&lt;="&amp;REL_FIM,L_Status,"REALIZADO")+SUMIFS(L_Valor,L_DestTipo,"CONTA",L_DestID,CAD_Contas!$A5,L_Data,"&lt;="&amp;REL_FIM,L_Status,"PROJETADO")-SUMIFS(L_Valor,L_OrigTipo,"CONTA",L_OrigID,CAD_Contas!$A5,L_Data,"&lt;="&amp;REL_FIM,L_Status,"PROJETADO"))</f>
        <v>0</v>
      </c>
    </row>
    <row r="193" customFormat="false" ht="15" hidden="false" customHeight="false" outlineLevel="0" collapsed="false">
      <c r="A193" s="9" t="str">
        <f aca="false">IF(CAD_Contas!$A6="","",CAD_Contas!$B6)</f>
        <v/>
      </c>
      <c r="B193" s="10" t="n">
        <f aca="false">IF(CAD_Contas!$A6="",0,SUMIFS(L_Valor,L_Data,"&gt;="&amp;REL_INI,L_Data,"&lt;="&amp;REL_FIM,L_Status,"REALIZADO",L_DestTipo,"CONTA",L_DestID,CAD_Contas!$A6))</f>
        <v>0</v>
      </c>
      <c r="C193" s="10" t="n">
        <f aca="false">IF(CAD_Contas!$A6="",0,SUMIFS(L_Valor,L_Data,"&gt;="&amp;REL_INI,L_Data,"&lt;="&amp;REL_FIM,L_Status,"REALIZADO",L_OrigTipo,"CONTA",L_OrigID,CAD_Contas!$A6))</f>
        <v>0</v>
      </c>
      <c r="D193" s="10" t="n">
        <f aca="false">$B193-$C193</f>
        <v>0</v>
      </c>
      <c r="E193" s="10" t="n">
        <f aca="false">IF(CAD_Contas!$A6="",0,CAD_Contas!$F6+SUMIFS(L_Valor,L_DestTipo,"CONTA",L_DestID,CAD_Contas!$A6,L_Data,"&lt;="&amp;REL_FIM,L_Status,"REALIZADO")-SUMIFS(L_Valor,L_OrigTipo,"CONTA",L_OrigID,CAD_Contas!$A6,L_Data,"&lt;="&amp;REL_FIM,L_Status,"REALIZADO")+SUMIFS(L_Valor,L_DestTipo,"CONTA",L_DestID,CAD_Contas!$A6,L_Data,"&lt;="&amp;REL_FIM,L_Status,"PROJETADO")-SUMIFS(L_Valor,L_OrigTipo,"CONTA",L_OrigID,CAD_Contas!$A6,L_Data,"&lt;="&amp;REL_FIM,L_Status,"PROJETADO"))</f>
        <v>0</v>
      </c>
    </row>
    <row r="194" customFormat="false" ht="15" hidden="false" customHeight="false" outlineLevel="0" collapsed="false">
      <c r="A194" s="9" t="str">
        <f aca="false">IF(CAD_Contas!$A7="","",CAD_Contas!$B7)</f>
        <v/>
      </c>
      <c r="B194" s="10" t="n">
        <f aca="false">IF(CAD_Contas!$A7="",0,SUMIFS(L_Valor,L_Data,"&gt;="&amp;REL_INI,L_Data,"&lt;="&amp;REL_FIM,L_Status,"REALIZADO",L_DestTipo,"CONTA",L_DestID,CAD_Contas!$A7))</f>
        <v>0</v>
      </c>
      <c r="C194" s="10" t="n">
        <f aca="false">IF(CAD_Contas!$A7="",0,SUMIFS(L_Valor,L_Data,"&gt;="&amp;REL_INI,L_Data,"&lt;="&amp;REL_FIM,L_Status,"REALIZADO",L_OrigTipo,"CONTA",L_OrigID,CAD_Contas!$A7))</f>
        <v>0</v>
      </c>
      <c r="D194" s="10" t="n">
        <f aca="false">$B194-$C194</f>
        <v>0</v>
      </c>
      <c r="E194" s="10" t="n">
        <f aca="false">IF(CAD_Contas!$A7="",0,CAD_Contas!$F7+SUMIFS(L_Valor,L_DestTipo,"CONTA",L_DestID,CAD_Contas!$A7,L_Data,"&lt;="&amp;REL_FIM,L_Status,"REALIZADO")-SUMIFS(L_Valor,L_OrigTipo,"CONTA",L_OrigID,CAD_Contas!$A7,L_Data,"&lt;="&amp;REL_FIM,L_Status,"REALIZADO")+SUMIFS(L_Valor,L_DestTipo,"CONTA",L_DestID,CAD_Contas!$A7,L_Data,"&lt;="&amp;REL_FIM,L_Status,"PROJETADO")-SUMIFS(L_Valor,L_OrigTipo,"CONTA",L_OrigID,CAD_Contas!$A7,L_Data,"&lt;="&amp;REL_FIM,L_Status,"PROJETADO"))</f>
        <v>0</v>
      </c>
    </row>
    <row r="195" customFormat="false" ht="15" hidden="false" customHeight="false" outlineLevel="0" collapsed="false">
      <c r="A195" s="9" t="str">
        <f aca="false">IF(CAD_Contas!$A8="","",CAD_Contas!$B8)</f>
        <v/>
      </c>
      <c r="B195" s="10" t="n">
        <f aca="false">IF(CAD_Contas!$A8="",0,SUMIFS(L_Valor,L_Data,"&gt;="&amp;REL_INI,L_Data,"&lt;="&amp;REL_FIM,L_Status,"REALIZADO",L_DestTipo,"CONTA",L_DestID,CAD_Contas!$A8))</f>
        <v>0</v>
      </c>
      <c r="C195" s="10" t="n">
        <f aca="false">IF(CAD_Contas!$A8="",0,SUMIFS(L_Valor,L_Data,"&gt;="&amp;REL_INI,L_Data,"&lt;="&amp;REL_FIM,L_Status,"REALIZADO",L_OrigTipo,"CONTA",L_OrigID,CAD_Contas!$A8))</f>
        <v>0</v>
      </c>
      <c r="D195" s="10" t="n">
        <f aca="false">$B195-$C195</f>
        <v>0</v>
      </c>
      <c r="E195" s="10" t="n">
        <f aca="false">IF(CAD_Contas!$A8="",0,CAD_Contas!$F8+SUMIFS(L_Valor,L_DestTipo,"CONTA",L_DestID,CAD_Contas!$A8,L_Data,"&lt;="&amp;REL_FIM,L_Status,"REALIZADO")-SUMIFS(L_Valor,L_OrigTipo,"CONTA",L_OrigID,CAD_Contas!$A8,L_Data,"&lt;="&amp;REL_FIM,L_Status,"REALIZADO")+SUMIFS(L_Valor,L_DestTipo,"CONTA",L_DestID,CAD_Contas!$A8,L_Data,"&lt;="&amp;REL_FIM,L_Status,"PROJETADO")-SUMIFS(L_Valor,L_OrigTipo,"CONTA",L_OrigID,CAD_Contas!$A8,L_Data,"&lt;="&amp;REL_FIM,L_Status,"PROJETADO"))</f>
        <v>0</v>
      </c>
    </row>
    <row r="196" customFormat="false" ht="15" hidden="false" customHeight="false" outlineLevel="0" collapsed="false">
      <c r="A196" s="9" t="str">
        <f aca="false">IF(CAD_Contas!$A9="","",CAD_Contas!$B9)</f>
        <v/>
      </c>
      <c r="B196" s="10" t="n">
        <f aca="false">IF(CAD_Contas!$A9="",0,SUMIFS(L_Valor,L_Data,"&gt;="&amp;REL_INI,L_Data,"&lt;="&amp;REL_FIM,L_Status,"REALIZADO",L_DestTipo,"CONTA",L_DestID,CAD_Contas!$A9))</f>
        <v>0</v>
      </c>
      <c r="C196" s="10" t="n">
        <f aca="false">IF(CAD_Contas!$A9="",0,SUMIFS(L_Valor,L_Data,"&gt;="&amp;REL_INI,L_Data,"&lt;="&amp;REL_FIM,L_Status,"REALIZADO",L_OrigTipo,"CONTA",L_OrigID,CAD_Contas!$A9))</f>
        <v>0</v>
      </c>
      <c r="D196" s="10" t="n">
        <f aca="false">$B196-$C196</f>
        <v>0</v>
      </c>
      <c r="E196" s="10" t="n">
        <f aca="false">IF(CAD_Contas!$A9="",0,CAD_Contas!$F9+SUMIFS(L_Valor,L_DestTipo,"CONTA",L_DestID,CAD_Contas!$A9,L_Data,"&lt;="&amp;REL_FIM,L_Status,"REALIZADO")-SUMIFS(L_Valor,L_OrigTipo,"CONTA",L_OrigID,CAD_Contas!$A9,L_Data,"&lt;="&amp;REL_FIM,L_Status,"REALIZADO")+SUMIFS(L_Valor,L_DestTipo,"CONTA",L_DestID,CAD_Contas!$A9,L_Data,"&lt;="&amp;REL_FIM,L_Status,"PROJETADO")-SUMIFS(L_Valor,L_OrigTipo,"CONTA",L_OrigID,CAD_Contas!$A9,L_Data,"&lt;="&amp;REL_FIM,L_Status,"PROJETADO"))</f>
        <v>0</v>
      </c>
    </row>
    <row r="197" customFormat="false" ht="15" hidden="false" customHeight="false" outlineLevel="0" collapsed="false">
      <c r="A197" s="9" t="str">
        <f aca="false">IF(CAD_Contas!$A10="","",CAD_Contas!$B10)</f>
        <v/>
      </c>
      <c r="B197" s="10" t="n">
        <f aca="false">IF(CAD_Contas!$A10="",0,SUMIFS(L_Valor,L_Data,"&gt;="&amp;REL_INI,L_Data,"&lt;="&amp;REL_FIM,L_Status,"REALIZADO",L_DestTipo,"CONTA",L_DestID,CAD_Contas!$A10))</f>
        <v>0</v>
      </c>
      <c r="C197" s="10" t="n">
        <f aca="false">IF(CAD_Contas!$A10="",0,SUMIFS(L_Valor,L_Data,"&gt;="&amp;REL_INI,L_Data,"&lt;="&amp;REL_FIM,L_Status,"REALIZADO",L_OrigTipo,"CONTA",L_OrigID,CAD_Contas!$A10))</f>
        <v>0</v>
      </c>
      <c r="D197" s="10" t="n">
        <f aca="false">$B197-$C197</f>
        <v>0</v>
      </c>
      <c r="E197" s="10" t="n">
        <f aca="false">IF(CAD_Contas!$A10="",0,CAD_Contas!$F10+SUMIFS(L_Valor,L_DestTipo,"CONTA",L_DestID,CAD_Contas!$A10,L_Data,"&lt;="&amp;REL_FIM,L_Status,"REALIZADO")-SUMIFS(L_Valor,L_OrigTipo,"CONTA",L_OrigID,CAD_Contas!$A10,L_Data,"&lt;="&amp;REL_FIM,L_Status,"REALIZADO")+SUMIFS(L_Valor,L_DestTipo,"CONTA",L_DestID,CAD_Contas!$A10,L_Data,"&lt;="&amp;REL_FIM,L_Status,"PROJETADO")-SUMIFS(L_Valor,L_OrigTipo,"CONTA",L_OrigID,CAD_Contas!$A10,L_Data,"&lt;="&amp;REL_FIM,L_Status,"PROJETADO"))</f>
        <v>0</v>
      </c>
    </row>
    <row r="198" customFormat="false" ht="15" hidden="false" customHeight="false" outlineLevel="0" collapsed="false">
      <c r="A198" s="9" t="str">
        <f aca="false">IF(CAD_Contas!$A11="","",CAD_Contas!$B11)</f>
        <v/>
      </c>
      <c r="B198" s="10" t="n">
        <f aca="false">IF(CAD_Contas!$A11="",0,SUMIFS(L_Valor,L_Data,"&gt;="&amp;REL_INI,L_Data,"&lt;="&amp;REL_FIM,L_Status,"REALIZADO",L_DestTipo,"CONTA",L_DestID,CAD_Contas!$A11))</f>
        <v>0</v>
      </c>
      <c r="C198" s="10" t="n">
        <f aca="false">IF(CAD_Contas!$A11="",0,SUMIFS(L_Valor,L_Data,"&gt;="&amp;REL_INI,L_Data,"&lt;="&amp;REL_FIM,L_Status,"REALIZADO",L_OrigTipo,"CONTA",L_OrigID,CAD_Contas!$A11))</f>
        <v>0</v>
      </c>
      <c r="D198" s="10" t="n">
        <f aca="false">$B198-$C198</f>
        <v>0</v>
      </c>
      <c r="E198" s="10" t="n">
        <f aca="false">IF(CAD_Contas!$A11="",0,CAD_Contas!$F11+SUMIFS(L_Valor,L_DestTipo,"CONTA",L_DestID,CAD_Contas!$A11,L_Data,"&lt;="&amp;REL_FIM,L_Status,"REALIZADO")-SUMIFS(L_Valor,L_OrigTipo,"CONTA",L_OrigID,CAD_Contas!$A11,L_Data,"&lt;="&amp;REL_FIM,L_Status,"REALIZADO")+SUMIFS(L_Valor,L_DestTipo,"CONTA",L_DestID,CAD_Contas!$A11,L_Data,"&lt;="&amp;REL_FIM,L_Status,"PROJETADO")-SUMIFS(L_Valor,L_OrigTipo,"CONTA",L_OrigID,CAD_Contas!$A11,L_Data,"&lt;="&amp;REL_FIM,L_Status,"PROJETADO"))</f>
        <v>0</v>
      </c>
    </row>
    <row r="199" customFormat="false" ht="15" hidden="false" customHeight="false" outlineLevel="0" collapsed="false">
      <c r="A199" s="9" t="str">
        <f aca="false">IF(CAD_Contas!$A12="","",CAD_Contas!$B12)</f>
        <v/>
      </c>
      <c r="B199" s="10" t="n">
        <f aca="false">IF(CAD_Contas!$A12="",0,SUMIFS(L_Valor,L_Data,"&gt;="&amp;REL_INI,L_Data,"&lt;="&amp;REL_FIM,L_Status,"REALIZADO",L_DestTipo,"CONTA",L_DestID,CAD_Contas!$A12))</f>
        <v>0</v>
      </c>
      <c r="C199" s="10" t="n">
        <f aca="false">IF(CAD_Contas!$A12="",0,SUMIFS(L_Valor,L_Data,"&gt;="&amp;REL_INI,L_Data,"&lt;="&amp;REL_FIM,L_Status,"REALIZADO",L_OrigTipo,"CONTA",L_OrigID,CAD_Contas!$A12))</f>
        <v>0</v>
      </c>
      <c r="D199" s="10" t="n">
        <f aca="false">$B199-$C199</f>
        <v>0</v>
      </c>
      <c r="E199" s="10" t="n">
        <f aca="false">IF(CAD_Contas!$A12="",0,CAD_Contas!$F12+SUMIFS(L_Valor,L_DestTipo,"CONTA",L_DestID,CAD_Contas!$A12,L_Data,"&lt;="&amp;REL_FIM,L_Status,"REALIZADO")-SUMIFS(L_Valor,L_OrigTipo,"CONTA",L_OrigID,CAD_Contas!$A12,L_Data,"&lt;="&amp;REL_FIM,L_Status,"REALIZADO")+SUMIFS(L_Valor,L_DestTipo,"CONTA",L_DestID,CAD_Contas!$A12,L_Data,"&lt;="&amp;REL_FIM,L_Status,"PROJETADO")-SUMIFS(L_Valor,L_OrigTipo,"CONTA",L_OrigID,CAD_Contas!$A12,L_Data,"&lt;="&amp;REL_FIM,L_Status,"PROJETADO"))</f>
        <v>0</v>
      </c>
    </row>
    <row r="200" customFormat="false" ht="15" hidden="false" customHeight="false" outlineLevel="0" collapsed="false">
      <c r="A200" s="9" t="str">
        <f aca="false">IF(CAD_Contas!$A13="","",CAD_Contas!$B13)</f>
        <v/>
      </c>
      <c r="B200" s="10" t="n">
        <f aca="false">IF(CAD_Contas!$A13="",0,SUMIFS(L_Valor,L_Data,"&gt;="&amp;REL_INI,L_Data,"&lt;="&amp;REL_FIM,L_Status,"REALIZADO",L_DestTipo,"CONTA",L_DestID,CAD_Contas!$A13))</f>
        <v>0</v>
      </c>
      <c r="C200" s="10" t="n">
        <f aca="false">IF(CAD_Contas!$A13="",0,SUMIFS(L_Valor,L_Data,"&gt;="&amp;REL_INI,L_Data,"&lt;="&amp;REL_FIM,L_Status,"REALIZADO",L_OrigTipo,"CONTA",L_OrigID,CAD_Contas!$A13))</f>
        <v>0</v>
      </c>
      <c r="D200" s="10" t="n">
        <f aca="false">$B200-$C200</f>
        <v>0</v>
      </c>
      <c r="E200" s="10" t="n">
        <f aca="false">IF(CAD_Contas!$A13="",0,CAD_Contas!$F13+SUMIFS(L_Valor,L_DestTipo,"CONTA",L_DestID,CAD_Contas!$A13,L_Data,"&lt;="&amp;REL_FIM,L_Status,"REALIZADO")-SUMIFS(L_Valor,L_OrigTipo,"CONTA",L_OrigID,CAD_Contas!$A13,L_Data,"&lt;="&amp;REL_FIM,L_Status,"REALIZADO")+SUMIFS(L_Valor,L_DestTipo,"CONTA",L_DestID,CAD_Contas!$A13,L_Data,"&lt;="&amp;REL_FIM,L_Status,"PROJETADO")-SUMIFS(L_Valor,L_OrigTipo,"CONTA",L_OrigID,CAD_Contas!$A13,L_Data,"&lt;="&amp;REL_FIM,L_Status,"PROJETADO"))</f>
        <v>0</v>
      </c>
    </row>
    <row r="201" customFormat="false" ht="15" hidden="false" customHeight="false" outlineLevel="0" collapsed="false">
      <c r="A201" s="9" t="str">
        <f aca="false">IF(CAD_Contas!$A14="","",CAD_Contas!$B14)</f>
        <v/>
      </c>
      <c r="B201" s="10" t="n">
        <f aca="false">IF(CAD_Contas!$A14="",0,SUMIFS(L_Valor,L_Data,"&gt;="&amp;REL_INI,L_Data,"&lt;="&amp;REL_FIM,L_Status,"REALIZADO",L_DestTipo,"CONTA",L_DestID,CAD_Contas!$A14))</f>
        <v>0</v>
      </c>
      <c r="C201" s="10" t="n">
        <f aca="false">IF(CAD_Contas!$A14="",0,SUMIFS(L_Valor,L_Data,"&gt;="&amp;REL_INI,L_Data,"&lt;="&amp;REL_FIM,L_Status,"REALIZADO",L_OrigTipo,"CONTA",L_OrigID,CAD_Contas!$A14))</f>
        <v>0</v>
      </c>
      <c r="D201" s="10" t="n">
        <f aca="false">$B201-$C201</f>
        <v>0</v>
      </c>
      <c r="E201" s="10" t="n">
        <f aca="false">IF(CAD_Contas!$A14="",0,CAD_Contas!$F14+SUMIFS(L_Valor,L_DestTipo,"CONTA",L_DestID,CAD_Contas!$A14,L_Data,"&lt;="&amp;REL_FIM,L_Status,"REALIZADO")-SUMIFS(L_Valor,L_OrigTipo,"CONTA",L_OrigID,CAD_Contas!$A14,L_Data,"&lt;="&amp;REL_FIM,L_Status,"REALIZADO")+SUMIFS(L_Valor,L_DestTipo,"CONTA",L_DestID,CAD_Contas!$A14,L_Data,"&lt;="&amp;REL_FIM,L_Status,"PROJETADO")-SUMIFS(L_Valor,L_OrigTipo,"CONTA",L_OrigID,CAD_Contas!$A14,L_Data,"&lt;="&amp;REL_FIM,L_Status,"PROJETADO"))</f>
        <v>0</v>
      </c>
    </row>
    <row r="202" customFormat="false" ht="15" hidden="false" customHeight="false" outlineLevel="0" collapsed="false">
      <c r="A202" s="9" t="str">
        <f aca="false">IF(CAD_Contas!$A15="","",CAD_Contas!$B15)</f>
        <v/>
      </c>
      <c r="B202" s="10" t="n">
        <f aca="false">IF(CAD_Contas!$A15="",0,SUMIFS(L_Valor,L_Data,"&gt;="&amp;REL_INI,L_Data,"&lt;="&amp;REL_FIM,L_Status,"REALIZADO",L_DestTipo,"CONTA",L_DestID,CAD_Contas!$A15))</f>
        <v>0</v>
      </c>
      <c r="C202" s="10" t="n">
        <f aca="false">IF(CAD_Contas!$A15="",0,SUMIFS(L_Valor,L_Data,"&gt;="&amp;REL_INI,L_Data,"&lt;="&amp;REL_FIM,L_Status,"REALIZADO",L_OrigTipo,"CONTA",L_OrigID,CAD_Contas!$A15))</f>
        <v>0</v>
      </c>
      <c r="D202" s="10" t="n">
        <f aca="false">$B202-$C202</f>
        <v>0</v>
      </c>
      <c r="E202" s="10" t="n">
        <f aca="false">IF(CAD_Contas!$A15="",0,CAD_Contas!$F15+SUMIFS(L_Valor,L_DestTipo,"CONTA",L_DestID,CAD_Contas!$A15,L_Data,"&lt;="&amp;REL_FIM,L_Status,"REALIZADO")-SUMIFS(L_Valor,L_OrigTipo,"CONTA",L_OrigID,CAD_Contas!$A15,L_Data,"&lt;="&amp;REL_FIM,L_Status,"REALIZADO")+SUMIFS(L_Valor,L_DestTipo,"CONTA",L_DestID,CAD_Contas!$A15,L_Data,"&lt;="&amp;REL_FIM,L_Status,"PROJETADO")-SUMIFS(L_Valor,L_OrigTipo,"CONTA",L_OrigID,CAD_Contas!$A15,L_Data,"&lt;="&amp;REL_FIM,L_Status,"PROJETADO"))</f>
        <v>0</v>
      </c>
    </row>
    <row r="203" customFormat="false" ht="15" hidden="false" customHeight="false" outlineLevel="0" collapsed="false">
      <c r="A203" s="9" t="str">
        <f aca="false">IF(CAD_Contas!$A16="","",CAD_Contas!$B16)</f>
        <v/>
      </c>
      <c r="B203" s="10" t="n">
        <f aca="false">IF(CAD_Contas!$A16="",0,SUMIFS(L_Valor,L_Data,"&gt;="&amp;REL_INI,L_Data,"&lt;="&amp;REL_FIM,L_Status,"REALIZADO",L_DestTipo,"CONTA",L_DestID,CAD_Contas!$A16))</f>
        <v>0</v>
      </c>
      <c r="C203" s="10" t="n">
        <f aca="false">IF(CAD_Contas!$A16="",0,SUMIFS(L_Valor,L_Data,"&gt;="&amp;REL_INI,L_Data,"&lt;="&amp;REL_FIM,L_Status,"REALIZADO",L_OrigTipo,"CONTA",L_OrigID,CAD_Contas!$A16))</f>
        <v>0</v>
      </c>
      <c r="D203" s="10" t="n">
        <f aca="false">$B203-$C203</f>
        <v>0</v>
      </c>
      <c r="E203" s="10" t="n">
        <f aca="false">IF(CAD_Contas!$A16="",0,CAD_Contas!$F16+SUMIFS(L_Valor,L_DestTipo,"CONTA",L_DestID,CAD_Contas!$A16,L_Data,"&lt;="&amp;REL_FIM,L_Status,"REALIZADO")-SUMIFS(L_Valor,L_OrigTipo,"CONTA",L_OrigID,CAD_Contas!$A16,L_Data,"&lt;="&amp;REL_FIM,L_Status,"REALIZADO")+SUMIFS(L_Valor,L_DestTipo,"CONTA",L_DestID,CAD_Contas!$A16,L_Data,"&lt;="&amp;REL_FIM,L_Status,"PROJETADO")-SUMIFS(L_Valor,L_OrigTipo,"CONTA",L_OrigID,CAD_Contas!$A16,L_Data,"&lt;="&amp;REL_FIM,L_Status,"PROJETADO"))</f>
        <v>0</v>
      </c>
    </row>
    <row r="204" customFormat="false" ht="15" hidden="false" customHeight="false" outlineLevel="0" collapsed="false">
      <c r="A204" s="9" t="str">
        <f aca="false">IF(CAD_Contas!$A17="","",CAD_Contas!$B17)</f>
        <v/>
      </c>
      <c r="B204" s="10" t="n">
        <f aca="false">IF(CAD_Contas!$A17="",0,SUMIFS(L_Valor,L_Data,"&gt;="&amp;REL_INI,L_Data,"&lt;="&amp;REL_FIM,L_Status,"REALIZADO",L_DestTipo,"CONTA",L_DestID,CAD_Contas!$A17))</f>
        <v>0</v>
      </c>
      <c r="C204" s="10" t="n">
        <f aca="false">IF(CAD_Contas!$A17="",0,SUMIFS(L_Valor,L_Data,"&gt;="&amp;REL_INI,L_Data,"&lt;="&amp;REL_FIM,L_Status,"REALIZADO",L_OrigTipo,"CONTA",L_OrigID,CAD_Contas!$A17))</f>
        <v>0</v>
      </c>
      <c r="D204" s="10" t="n">
        <f aca="false">$B204-$C204</f>
        <v>0</v>
      </c>
      <c r="E204" s="10" t="n">
        <f aca="false">IF(CAD_Contas!$A17="",0,CAD_Contas!$F17+SUMIFS(L_Valor,L_DestTipo,"CONTA",L_DestID,CAD_Contas!$A17,L_Data,"&lt;="&amp;REL_FIM,L_Status,"REALIZADO")-SUMIFS(L_Valor,L_OrigTipo,"CONTA",L_OrigID,CAD_Contas!$A17,L_Data,"&lt;="&amp;REL_FIM,L_Status,"REALIZADO")+SUMIFS(L_Valor,L_DestTipo,"CONTA",L_DestID,CAD_Contas!$A17,L_Data,"&lt;="&amp;REL_FIM,L_Status,"PROJETADO")-SUMIFS(L_Valor,L_OrigTipo,"CONTA",L_OrigID,CAD_Contas!$A17,L_Data,"&lt;="&amp;REL_FIM,L_Status,"PROJETADO"))</f>
        <v>0</v>
      </c>
    </row>
    <row r="205" customFormat="false" ht="15" hidden="false" customHeight="false" outlineLevel="0" collapsed="false">
      <c r="A205" s="9" t="str">
        <f aca="false">IF(CAD_Contas!$A18="","",CAD_Contas!$B18)</f>
        <v/>
      </c>
      <c r="B205" s="10" t="n">
        <f aca="false">IF(CAD_Contas!$A18="",0,SUMIFS(L_Valor,L_Data,"&gt;="&amp;REL_INI,L_Data,"&lt;="&amp;REL_FIM,L_Status,"REALIZADO",L_DestTipo,"CONTA",L_DestID,CAD_Contas!$A18))</f>
        <v>0</v>
      </c>
      <c r="C205" s="10" t="n">
        <f aca="false">IF(CAD_Contas!$A18="",0,SUMIFS(L_Valor,L_Data,"&gt;="&amp;REL_INI,L_Data,"&lt;="&amp;REL_FIM,L_Status,"REALIZADO",L_OrigTipo,"CONTA",L_OrigID,CAD_Contas!$A18))</f>
        <v>0</v>
      </c>
      <c r="D205" s="10" t="n">
        <f aca="false">$B205-$C205</f>
        <v>0</v>
      </c>
      <c r="E205" s="10" t="n">
        <f aca="false">IF(CAD_Contas!$A18="",0,CAD_Contas!$F18+SUMIFS(L_Valor,L_DestTipo,"CONTA",L_DestID,CAD_Contas!$A18,L_Data,"&lt;="&amp;REL_FIM,L_Status,"REALIZADO")-SUMIFS(L_Valor,L_OrigTipo,"CONTA",L_OrigID,CAD_Contas!$A18,L_Data,"&lt;="&amp;REL_FIM,L_Status,"REALIZADO")+SUMIFS(L_Valor,L_DestTipo,"CONTA",L_DestID,CAD_Contas!$A18,L_Data,"&lt;="&amp;REL_FIM,L_Status,"PROJETADO")-SUMIFS(L_Valor,L_OrigTipo,"CONTA",L_OrigID,CAD_Contas!$A18,L_Data,"&lt;="&amp;REL_FIM,L_Status,"PROJETADO"))</f>
        <v>0</v>
      </c>
    </row>
    <row r="206" customFormat="false" ht="15" hidden="false" customHeight="false" outlineLevel="0" collapsed="false">
      <c r="A206" s="9" t="str">
        <f aca="false">IF(CAD_Contas!$A19="","",CAD_Contas!$B19)</f>
        <v/>
      </c>
      <c r="B206" s="10" t="n">
        <f aca="false">IF(CAD_Contas!$A19="",0,SUMIFS(L_Valor,L_Data,"&gt;="&amp;REL_INI,L_Data,"&lt;="&amp;REL_FIM,L_Status,"REALIZADO",L_DestTipo,"CONTA",L_DestID,CAD_Contas!$A19))</f>
        <v>0</v>
      </c>
      <c r="C206" s="10" t="n">
        <f aca="false">IF(CAD_Contas!$A19="",0,SUMIFS(L_Valor,L_Data,"&gt;="&amp;REL_INI,L_Data,"&lt;="&amp;REL_FIM,L_Status,"REALIZADO",L_OrigTipo,"CONTA",L_OrigID,CAD_Contas!$A19))</f>
        <v>0</v>
      </c>
      <c r="D206" s="10" t="n">
        <f aca="false">$B206-$C206</f>
        <v>0</v>
      </c>
      <c r="E206" s="10" t="n">
        <f aca="false">IF(CAD_Contas!$A19="",0,CAD_Contas!$F19+SUMIFS(L_Valor,L_DestTipo,"CONTA",L_DestID,CAD_Contas!$A19,L_Data,"&lt;="&amp;REL_FIM,L_Status,"REALIZADO")-SUMIFS(L_Valor,L_OrigTipo,"CONTA",L_OrigID,CAD_Contas!$A19,L_Data,"&lt;="&amp;REL_FIM,L_Status,"REALIZADO")+SUMIFS(L_Valor,L_DestTipo,"CONTA",L_DestID,CAD_Contas!$A19,L_Data,"&lt;="&amp;REL_FIM,L_Status,"PROJETADO")-SUMIFS(L_Valor,L_OrigTipo,"CONTA",L_OrigID,CAD_Contas!$A19,L_Data,"&lt;="&amp;REL_FIM,L_Status,"PROJETADO"))</f>
        <v>0</v>
      </c>
    </row>
    <row r="207" customFormat="false" ht="15" hidden="false" customHeight="false" outlineLevel="0" collapsed="false">
      <c r="A207" s="9" t="str">
        <f aca="false">IF(CAD_Contas!$A20="","",CAD_Contas!$B20)</f>
        <v/>
      </c>
      <c r="B207" s="10" t="n">
        <f aca="false">IF(CAD_Contas!$A20="",0,SUMIFS(L_Valor,L_Data,"&gt;="&amp;REL_INI,L_Data,"&lt;="&amp;REL_FIM,L_Status,"REALIZADO",L_DestTipo,"CONTA",L_DestID,CAD_Contas!$A20))</f>
        <v>0</v>
      </c>
      <c r="C207" s="10" t="n">
        <f aca="false">IF(CAD_Contas!$A20="",0,SUMIFS(L_Valor,L_Data,"&gt;="&amp;REL_INI,L_Data,"&lt;="&amp;REL_FIM,L_Status,"REALIZADO",L_OrigTipo,"CONTA",L_OrigID,CAD_Contas!$A20))</f>
        <v>0</v>
      </c>
      <c r="D207" s="10" t="n">
        <f aca="false">$B207-$C207</f>
        <v>0</v>
      </c>
      <c r="E207" s="10" t="n">
        <f aca="false">IF(CAD_Contas!$A20="",0,CAD_Contas!$F20+SUMIFS(L_Valor,L_DestTipo,"CONTA",L_DestID,CAD_Contas!$A20,L_Data,"&lt;="&amp;REL_FIM,L_Status,"REALIZADO")-SUMIFS(L_Valor,L_OrigTipo,"CONTA",L_OrigID,CAD_Contas!$A20,L_Data,"&lt;="&amp;REL_FIM,L_Status,"REALIZADO")+SUMIFS(L_Valor,L_DestTipo,"CONTA",L_DestID,CAD_Contas!$A20,L_Data,"&lt;="&amp;REL_FIM,L_Status,"PROJETADO")-SUMIFS(L_Valor,L_OrigTipo,"CONTA",L_OrigID,CAD_Contas!$A20,L_Data,"&lt;="&amp;REL_FIM,L_Status,"PROJETADO"))</f>
        <v>0</v>
      </c>
    </row>
    <row r="208" customFormat="false" ht="15" hidden="false" customHeight="false" outlineLevel="0" collapsed="false">
      <c r="A208" s="9" t="str">
        <f aca="false">IF(CAD_Contas!$A21="","",CAD_Contas!$B21)</f>
        <v/>
      </c>
      <c r="B208" s="10" t="n">
        <f aca="false">IF(CAD_Contas!$A21="",0,SUMIFS(L_Valor,L_Data,"&gt;="&amp;REL_INI,L_Data,"&lt;="&amp;REL_FIM,L_Status,"REALIZADO",L_DestTipo,"CONTA",L_DestID,CAD_Contas!$A21))</f>
        <v>0</v>
      </c>
      <c r="C208" s="10" t="n">
        <f aca="false">IF(CAD_Contas!$A21="",0,SUMIFS(L_Valor,L_Data,"&gt;="&amp;REL_INI,L_Data,"&lt;="&amp;REL_FIM,L_Status,"REALIZADO",L_OrigTipo,"CONTA",L_OrigID,CAD_Contas!$A21))</f>
        <v>0</v>
      </c>
      <c r="D208" s="10" t="n">
        <f aca="false">$B208-$C208</f>
        <v>0</v>
      </c>
      <c r="E208" s="10" t="n">
        <f aca="false">IF(CAD_Contas!$A21="",0,CAD_Contas!$F21+SUMIFS(L_Valor,L_DestTipo,"CONTA",L_DestID,CAD_Contas!$A21,L_Data,"&lt;="&amp;REL_FIM,L_Status,"REALIZADO")-SUMIFS(L_Valor,L_OrigTipo,"CONTA",L_OrigID,CAD_Contas!$A21,L_Data,"&lt;="&amp;REL_FIM,L_Status,"REALIZADO")+SUMIFS(L_Valor,L_DestTipo,"CONTA",L_DestID,CAD_Contas!$A21,L_Data,"&lt;="&amp;REL_FIM,L_Status,"PROJETADO")-SUMIFS(L_Valor,L_OrigTipo,"CONTA",L_OrigID,CAD_Contas!$A21,L_Data,"&lt;="&amp;REL_FIM,L_Status,"PROJETADO"))</f>
        <v>0</v>
      </c>
    </row>
    <row r="209" customFormat="false" ht="15" hidden="false" customHeight="false" outlineLevel="0" collapsed="false">
      <c r="A209" s="9" t="str">
        <f aca="false">IF(CAD_Contas!$A22="","",CAD_Contas!$B22)</f>
        <v/>
      </c>
      <c r="B209" s="10" t="n">
        <f aca="false">IF(CAD_Contas!$A22="",0,SUMIFS(L_Valor,L_Data,"&gt;="&amp;REL_INI,L_Data,"&lt;="&amp;REL_FIM,L_Status,"REALIZADO",L_DestTipo,"CONTA",L_DestID,CAD_Contas!$A22))</f>
        <v>0</v>
      </c>
      <c r="C209" s="10" t="n">
        <f aca="false">IF(CAD_Contas!$A22="",0,SUMIFS(L_Valor,L_Data,"&gt;="&amp;REL_INI,L_Data,"&lt;="&amp;REL_FIM,L_Status,"REALIZADO",L_OrigTipo,"CONTA",L_OrigID,CAD_Contas!$A22))</f>
        <v>0</v>
      </c>
      <c r="D209" s="10" t="n">
        <f aca="false">$B209-$C209</f>
        <v>0</v>
      </c>
      <c r="E209" s="10" t="n">
        <f aca="false">IF(CAD_Contas!$A22="",0,CAD_Contas!$F22+SUMIFS(L_Valor,L_DestTipo,"CONTA",L_DestID,CAD_Contas!$A22,L_Data,"&lt;="&amp;REL_FIM,L_Status,"REALIZADO")-SUMIFS(L_Valor,L_OrigTipo,"CONTA",L_OrigID,CAD_Contas!$A22,L_Data,"&lt;="&amp;REL_FIM,L_Status,"REALIZADO")+SUMIFS(L_Valor,L_DestTipo,"CONTA",L_DestID,CAD_Contas!$A22,L_Data,"&lt;="&amp;REL_FIM,L_Status,"PROJETADO")-SUMIFS(L_Valor,L_OrigTipo,"CONTA",L_OrigID,CAD_Contas!$A22,L_Data,"&lt;="&amp;REL_FIM,L_Status,"PROJETADO"))</f>
        <v>0</v>
      </c>
    </row>
    <row r="210" customFormat="false" ht="15" hidden="false" customHeight="false" outlineLevel="0" collapsed="false">
      <c r="A210" s="9" t="str">
        <f aca="false">IF(CAD_Contas!$A23="","",CAD_Contas!$B23)</f>
        <v/>
      </c>
      <c r="B210" s="10" t="n">
        <f aca="false">IF(CAD_Contas!$A23="",0,SUMIFS(L_Valor,L_Data,"&gt;="&amp;REL_INI,L_Data,"&lt;="&amp;REL_FIM,L_Status,"REALIZADO",L_DestTipo,"CONTA",L_DestID,CAD_Contas!$A23))</f>
        <v>0</v>
      </c>
      <c r="C210" s="10" t="n">
        <f aca="false">IF(CAD_Contas!$A23="",0,SUMIFS(L_Valor,L_Data,"&gt;="&amp;REL_INI,L_Data,"&lt;="&amp;REL_FIM,L_Status,"REALIZADO",L_OrigTipo,"CONTA",L_OrigID,CAD_Contas!$A23))</f>
        <v>0</v>
      </c>
      <c r="D210" s="10" t="n">
        <f aca="false">$B210-$C210</f>
        <v>0</v>
      </c>
      <c r="E210" s="10" t="n">
        <f aca="false">IF(CAD_Contas!$A23="",0,CAD_Contas!$F23+SUMIFS(L_Valor,L_DestTipo,"CONTA",L_DestID,CAD_Contas!$A23,L_Data,"&lt;="&amp;REL_FIM,L_Status,"REALIZADO")-SUMIFS(L_Valor,L_OrigTipo,"CONTA",L_OrigID,CAD_Contas!$A23,L_Data,"&lt;="&amp;REL_FIM,L_Status,"REALIZADO")+SUMIFS(L_Valor,L_DestTipo,"CONTA",L_DestID,CAD_Contas!$A23,L_Data,"&lt;="&amp;REL_FIM,L_Status,"PROJETADO")-SUMIFS(L_Valor,L_OrigTipo,"CONTA",L_OrigID,CAD_Contas!$A23,L_Data,"&lt;="&amp;REL_FIM,L_Status,"PROJETADO"))</f>
        <v>0</v>
      </c>
    </row>
    <row r="211" customFormat="false" ht="15" hidden="false" customHeight="false" outlineLevel="0" collapsed="false">
      <c r="A211" s="9" t="str">
        <f aca="false">IF(CAD_Contas!$A24="","",CAD_Contas!$B24)</f>
        <v/>
      </c>
      <c r="B211" s="10" t="n">
        <f aca="false">IF(CAD_Contas!$A24="",0,SUMIFS(L_Valor,L_Data,"&gt;="&amp;REL_INI,L_Data,"&lt;="&amp;REL_FIM,L_Status,"REALIZADO",L_DestTipo,"CONTA",L_DestID,CAD_Contas!$A24))</f>
        <v>0</v>
      </c>
      <c r="C211" s="10" t="n">
        <f aca="false">IF(CAD_Contas!$A24="",0,SUMIFS(L_Valor,L_Data,"&gt;="&amp;REL_INI,L_Data,"&lt;="&amp;REL_FIM,L_Status,"REALIZADO",L_OrigTipo,"CONTA",L_OrigID,CAD_Contas!$A24))</f>
        <v>0</v>
      </c>
      <c r="D211" s="10" t="n">
        <f aca="false">$B211-$C211</f>
        <v>0</v>
      </c>
      <c r="E211" s="10" t="n">
        <f aca="false">IF(CAD_Contas!$A24="",0,CAD_Contas!$F24+SUMIFS(L_Valor,L_DestTipo,"CONTA",L_DestID,CAD_Contas!$A24,L_Data,"&lt;="&amp;REL_FIM,L_Status,"REALIZADO")-SUMIFS(L_Valor,L_OrigTipo,"CONTA",L_OrigID,CAD_Contas!$A24,L_Data,"&lt;="&amp;REL_FIM,L_Status,"REALIZADO")+SUMIFS(L_Valor,L_DestTipo,"CONTA",L_DestID,CAD_Contas!$A24,L_Data,"&lt;="&amp;REL_FIM,L_Status,"PROJETADO")-SUMIFS(L_Valor,L_OrigTipo,"CONTA",L_OrigID,CAD_Contas!$A24,L_Data,"&lt;="&amp;REL_FIM,L_Status,"PROJETADO"))</f>
        <v>0</v>
      </c>
    </row>
    <row r="212" customFormat="false" ht="15" hidden="false" customHeight="false" outlineLevel="0" collapsed="false">
      <c r="A212" s="9" t="str">
        <f aca="false">IF(CAD_Contas!$A25="","",CAD_Contas!$B25)</f>
        <v/>
      </c>
      <c r="B212" s="10" t="n">
        <f aca="false">IF(CAD_Contas!$A25="",0,SUMIFS(L_Valor,L_Data,"&gt;="&amp;REL_INI,L_Data,"&lt;="&amp;REL_FIM,L_Status,"REALIZADO",L_DestTipo,"CONTA",L_DestID,CAD_Contas!$A25))</f>
        <v>0</v>
      </c>
      <c r="C212" s="10" t="n">
        <f aca="false">IF(CAD_Contas!$A25="",0,SUMIFS(L_Valor,L_Data,"&gt;="&amp;REL_INI,L_Data,"&lt;="&amp;REL_FIM,L_Status,"REALIZADO",L_OrigTipo,"CONTA",L_OrigID,CAD_Contas!$A25))</f>
        <v>0</v>
      </c>
      <c r="D212" s="10" t="n">
        <f aca="false">$B212-$C212</f>
        <v>0</v>
      </c>
      <c r="E212" s="10" t="n">
        <f aca="false">IF(CAD_Contas!$A25="",0,CAD_Contas!$F25+SUMIFS(L_Valor,L_DestTipo,"CONTA",L_DestID,CAD_Contas!$A25,L_Data,"&lt;="&amp;REL_FIM,L_Status,"REALIZADO")-SUMIFS(L_Valor,L_OrigTipo,"CONTA",L_OrigID,CAD_Contas!$A25,L_Data,"&lt;="&amp;REL_FIM,L_Status,"REALIZADO")+SUMIFS(L_Valor,L_DestTipo,"CONTA",L_DestID,CAD_Contas!$A25,L_Data,"&lt;="&amp;REL_FIM,L_Status,"PROJETADO")-SUMIFS(L_Valor,L_OrigTipo,"CONTA",L_OrigID,CAD_Contas!$A25,L_Data,"&lt;="&amp;REL_FIM,L_Status,"PROJETADO"))</f>
        <v>0</v>
      </c>
    </row>
    <row r="213" customFormat="false" ht="15" hidden="false" customHeight="false" outlineLevel="0" collapsed="false">
      <c r="A213" s="9" t="str">
        <f aca="false">IF(CAD_Contas!$A26="","",CAD_Contas!$B26)</f>
        <v/>
      </c>
      <c r="B213" s="10" t="n">
        <f aca="false">IF(CAD_Contas!$A26="",0,SUMIFS(L_Valor,L_Data,"&gt;="&amp;REL_INI,L_Data,"&lt;="&amp;REL_FIM,L_Status,"REALIZADO",L_DestTipo,"CONTA",L_DestID,CAD_Contas!$A26))</f>
        <v>0</v>
      </c>
      <c r="C213" s="10" t="n">
        <f aca="false">IF(CAD_Contas!$A26="",0,SUMIFS(L_Valor,L_Data,"&gt;="&amp;REL_INI,L_Data,"&lt;="&amp;REL_FIM,L_Status,"REALIZADO",L_OrigTipo,"CONTA",L_OrigID,CAD_Contas!$A26))</f>
        <v>0</v>
      </c>
      <c r="D213" s="10" t="n">
        <f aca="false">$B213-$C213</f>
        <v>0</v>
      </c>
      <c r="E213" s="10" t="n">
        <f aca="false">IF(CAD_Contas!$A26="",0,CAD_Contas!$F26+SUMIFS(L_Valor,L_DestTipo,"CONTA",L_DestID,CAD_Contas!$A26,L_Data,"&lt;="&amp;REL_FIM,L_Status,"REALIZADO")-SUMIFS(L_Valor,L_OrigTipo,"CONTA",L_OrigID,CAD_Contas!$A26,L_Data,"&lt;="&amp;REL_FIM,L_Status,"REALIZADO")+SUMIFS(L_Valor,L_DestTipo,"CONTA",L_DestID,CAD_Contas!$A26,L_Data,"&lt;="&amp;REL_FIM,L_Status,"PROJETADO")-SUMIFS(L_Valor,L_OrigTipo,"CONTA",L_OrigID,CAD_Contas!$A26,L_Data,"&lt;="&amp;REL_FIM,L_Status,"PROJETADO"))</f>
        <v>0</v>
      </c>
    </row>
    <row r="214" customFormat="false" ht="15" hidden="false" customHeight="false" outlineLevel="0" collapsed="false">
      <c r="A214" s="9" t="str">
        <f aca="false">IF(CAD_Contas!$A27="","",CAD_Contas!$B27)</f>
        <v/>
      </c>
      <c r="B214" s="10" t="n">
        <f aca="false">IF(CAD_Contas!$A27="",0,SUMIFS(L_Valor,L_Data,"&gt;="&amp;REL_INI,L_Data,"&lt;="&amp;REL_FIM,L_Status,"REALIZADO",L_DestTipo,"CONTA",L_DestID,CAD_Contas!$A27))</f>
        <v>0</v>
      </c>
      <c r="C214" s="10" t="n">
        <f aca="false">IF(CAD_Contas!$A27="",0,SUMIFS(L_Valor,L_Data,"&gt;="&amp;REL_INI,L_Data,"&lt;="&amp;REL_FIM,L_Status,"REALIZADO",L_OrigTipo,"CONTA",L_OrigID,CAD_Contas!$A27))</f>
        <v>0</v>
      </c>
      <c r="D214" s="10" t="n">
        <f aca="false">$B214-$C214</f>
        <v>0</v>
      </c>
      <c r="E214" s="10" t="n">
        <f aca="false">IF(CAD_Contas!$A27="",0,CAD_Contas!$F27+SUMIFS(L_Valor,L_DestTipo,"CONTA",L_DestID,CAD_Contas!$A27,L_Data,"&lt;="&amp;REL_FIM,L_Status,"REALIZADO")-SUMIFS(L_Valor,L_OrigTipo,"CONTA",L_OrigID,CAD_Contas!$A27,L_Data,"&lt;="&amp;REL_FIM,L_Status,"REALIZADO")+SUMIFS(L_Valor,L_DestTipo,"CONTA",L_DestID,CAD_Contas!$A27,L_Data,"&lt;="&amp;REL_FIM,L_Status,"PROJETADO")-SUMIFS(L_Valor,L_OrigTipo,"CONTA",L_OrigID,CAD_Contas!$A27,L_Data,"&lt;="&amp;REL_FIM,L_Status,"PROJETADO"))</f>
        <v>0</v>
      </c>
    </row>
    <row r="215" customFormat="false" ht="15" hidden="false" customHeight="false" outlineLevel="0" collapsed="false">
      <c r="A215" s="9" t="str">
        <f aca="false">IF(CAD_Contas!$A28="","",CAD_Contas!$B28)</f>
        <v/>
      </c>
      <c r="B215" s="10" t="n">
        <f aca="false">IF(CAD_Contas!$A28="",0,SUMIFS(L_Valor,L_Data,"&gt;="&amp;REL_INI,L_Data,"&lt;="&amp;REL_FIM,L_Status,"REALIZADO",L_DestTipo,"CONTA",L_DestID,CAD_Contas!$A28))</f>
        <v>0</v>
      </c>
      <c r="C215" s="10" t="n">
        <f aca="false">IF(CAD_Contas!$A28="",0,SUMIFS(L_Valor,L_Data,"&gt;="&amp;REL_INI,L_Data,"&lt;="&amp;REL_FIM,L_Status,"REALIZADO",L_OrigTipo,"CONTA",L_OrigID,CAD_Contas!$A28))</f>
        <v>0</v>
      </c>
      <c r="D215" s="10" t="n">
        <f aca="false">$B215-$C215</f>
        <v>0</v>
      </c>
      <c r="E215" s="10" t="n">
        <f aca="false">IF(CAD_Contas!$A28="",0,CAD_Contas!$F28+SUMIFS(L_Valor,L_DestTipo,"CONTA",L_DestID,CAD_Contas!$A28,L_Data,"&lt;="&amp;REL_FIM,L_Status,"REALIZADO")-SUMIFS(L_Valor,L_OrigTipo,"CONTA",L_OrigID,CAD_Contas!$A28,L_Data,"&lt;="&amp;REL_FIM,L_Status,"REALIZADO")+SUMIFS(L_Valor,L_DestTipo,"CONTA",L_DestID,CAD_Contas!$A28,L_Data,"&lt;="&amp;REL_FIM,L_Status,"PROJETADO")-SUMIFS(L_Valor,L_OrigTipo,"CONTA",L_OrigID,CAD_Contas!$A28,L_Data,"&lt;="&amp;REL_FIM,L_Status,"PROJETADO"))</f>
        <v>0</v>
      </c>
    </row>
    <row r="216" customFormat="false" ht="15" hidden="false" customHeight="false" outlineLevel="0" collapsed="false">
      <c r="A216" s="9" t="str">
        <f aca="false">IF(CAD_Contas!$A29="","",CAD_Contas!$B29)</f>
        <v/>
      </c>
      <c r="B216" s="10" t="n">
        <f aca="false">IF(CAD_Contas!$A29="",0,SUMIFS(L_Valor,L_Data,"&gt;="&amp;REL_INI,L_Data,"&lt;="&amp;REL_FIM,L_Status,"REALIZADO",L_DestTipo,"CONTA",L_DestID,CAD_Contas!$A29))</f>
        <v>0</v>
      </c>
      <c r="C216" s="10" t="n">
        <f aca="false">IF(CAD_Contas!$A29="",0,SUMIFS(L_Valor,L_Data,"&gt;="&amp;REL_INI,L_Data,"&lt;="&amp;REL_FIM,L_Status,"REALIZADO",L_OrigTipo,"CONTA",L_OrigID,CAD_Contas!$A29))</f>
        <v>0</v>
      </c>
      <c r="D216" s="10" t="n">
        <f aca="false">$B216-$C216</f>
        <v>0</v>
      </c>
      <c r="E216" s="10" t="n">
        <f aca="false">IF(CAD_Contas!$A29="",0,CAD_Contas!$F29+SUMIFS(L_Valor,L_DestTipo,"CONTA",L_DestID,CAD_Contas!$A29,L_Data,"&lt;="&amp;REL_FIM,L_Status,"REALIZADO")-SUMIFS(L_Valor,L_OrigTipo,"CONTA",L_OrigID,CAD_Contas!$A29,L_Data,"&lt;="&amp;REL_FIM,L_Status,"REALIZADO")+SUMIFS(L_Valor,L_DestTipo,"CONTA",L_DestID,CAD_Contas!$A29,L_Data,"&lt;="&amp;REL_FIM,L_Status,"PROJETADO")-SUMIFS(L_Valor,L_OrigTipo,"CONTA",L_OrigID,CAD_Contas!$A29,L_Data,"&lt;="&amp;REL_FIM,L_Status,"PROJETADO"))</f>
        <v>0</v>
      </c>
    </row>
    <row r="217" customFormat="false" ht="15" hidden="false" customHeight="false" outlineLevel="0" collapsed="false">
      <c r="A217" s="9" t="str">
        <f aca="false">IF(CAD_Contas!$A30="","",CAD_Contas!$B30)</f>
        <v/>
      </c>
      <c r="B217" s="10" t="n">
        <f aca="false">IF(CAD_Contas!$A30="",0,SUMIFS(L_Valor,L_Data,"&gt;="&amp;REL_INI,L_Data,"&lt;="&amp;REL_FIM,L_Status,"REALIZADO",L_DestTipo,"CONTA",L_DestID,CAD_Contas!$A30))</f>
        <v>0</v>
      </c>
      <c r="C217" s="10" t="n">
        <f aca="false">IF(CAD_Contas!$A30="",0,SUMIFS(L_Valor,L_Data,"&gt;="&amp;REL_INI,L_Data,"&lt;="&amp;REL_FIM,L_Status,"REALIZADO",L_OrigTipo,"CONTA",L_OrigID,CAD_Contas!$A30))</f>
        <v>0</v>
      </c>
      <c r="D217" s="10" t="n">
        <f aca="false">$B217-$C217</f>
        <v>0</v>
      </c>
      <c r="E217" s="10" t="n">
        <f aca="false">IF(CAD_Contas!$A30="",0,CAD_Contas!$F30+SUMIFS(L_Valor,L_DestTipo,"CONTA",L_DestID,CAD_Contas!$A30,L_Data,"&lt;="&amp;REL_FIM,L_Status,"REALIZADO")-SUMIFS(L_Valor,L_OrigTipo,"CONTA",L_OrigID,CAD_Contas!$A30,L_Data,"&lt;="&amp;REL_FIM,L_Status,"REALIZADO")+SUMIFS(L_Valor,L_DestTipo,"CONTA",L_DestID,CAD_Contas!$A30,L_Data,"&lt;="&amp;REL_FIM,L_Status,"PROJETADO")-SUMIFS(L_Valor,L_OrigTipo,"CONTA",L_OrigID,CAD_Contas!$A30,L_Data,"&lt;="&amp;REL_FIM,L_Status,"PROJETADO"))</f>
        <v>0</v>
      </c>
    </row>
    <row r="218" customFormat="false" ht="15" hidden="false" customHeight="false" outlineLevel="0" collapsed="false">
      <c r="A218" s="9" t="str">
        <f aca="false">IF(CAD_Contas!$A31="","",CAD_Contas!$B31)</f>
        <v/>
      </c>
      <c r="B218" s="10" t="n">
        <f aca="false">IF(CAD_Contas!$A31="",0,SUMIFS(L_Valor,L_Data,"&gt;="&amp;REL_INI,L_Data,"&lt;="&amp;REL_FIM,L_Status,"REALIZADO",L_DestTipo,"CONTA",L_DestID,CAD_Contas!$A31))</f>
        <v>0</v>
      </c>
      <c r="C218" s="10" t="n">
        <f aca="false">IF(CAD_Contas!$A31="",0,SUMIFS(L_Valor,L_Data,"&gt;="&amp;REL_INI,L_Data,"&lt;="&amp;REL_FIM,L_Status,"REALIZADO",L_OrigTipo,"CONTA",L_OrigID,CAD_Contas!$A31))</f>
        <v>0</v>
      </c>
      <c r="D218" s="10" t="n">
        <f aca="false">$B218-$C218</f>
        <v>0</v>
      </c>
      <c r="E218" s="10" t="n">
        <f aca="false">IF(CAD_Contas!$A31="",0,CAD_Contas!$F31+SUMIFS(L_Valor,L_DestTipo,"CONTA",L_DestID,CAD_Contas!$A31,L_Data,"&lt;="&amp;REL_FIM,L_Status,"REALIZADO")-SUMIFS(L_Valor,L_OrigTipo,"CONTA",L_OrigID,CAD_Contas!$A31,L_Data,"&lt;="&amp;REL_FIM,L_Status,"REALIZADO")+SUMIFS(L_Valor,L_DestTipo,"CONTA",L_DestID,CAD_Contas!$A31,L_Data,"&lt;="&amp;REL_FIM,L_Status,"PROJETADO")-SUMIFS(L_Valor,L_OrigTipo,"CONTA",L_OrigID,CAD_Contas!$A31,L_Data,"&lt;="&amp;REL_FIM,L_Status,"PROJETADO"))</f>
        <v>0</v>
      </c>
    </row>
    <row r="219" customFormat="false" ht="15" hidden="false" customHeight="false" outlineLevel="0" collapsed="false">
      <c r="A219" s="9" t="str">
        <f aca="false">IF(CAD_Contas!$A32="","",CAD_Contas!$B32)</f>
        <v/>
      </c>
      <c r="B219" s="10" t="n">
        <f aca="false">IF(CAD_Contas!$A32="",0,SUMIFS(L_Valor,L_Data,"&gt;="&amp;REL_INI,L_Data,"&lt;="&amp;REL_FIM,L_Status,"REALIZADO",L_DestTipo,"CONTA",L_DestID,CAD_Contas!$A32))</f>
        <v>0</v>
      </c>
      <c r="C219" s="10" t="n">
        <f aca="false">IF(CAD_Contas!$A32="",0,SUMIFS(L_Valor,L_Data,"&gt;="&amp;REL_INI,L_Data,"&lt;="&amp;REL_FIM,L_Status,"REALIZADO",L_OrigTipo,"CONTA",L_OrigID,CAD_Contas!$A32))</f>
        <v>0</v>
      </c>
      <c r="D219" s="10" t="n">
        <f aca="false">$B219-$C219</f>
        <v>0</v>
      </c>
      <c r="E219" s="10" t="n">
        <f aca="false">IF(CAD_Contas!$A32="",0,CAD_Contas!$F32+SUMIFS(L_Valor,L_DestTipo,"CONTA",L_DestID,CAD_Contas!$A32,L_Data,"&lt;="&amp;REL_FIM,L_Status,"REALIZADO")-SUMIFS(L_Valor,L_OrigTipo,"CONTA",L_OrigID,CAD_Contas!$A32,L_Data,"&lt;="&amp;REL_FIM,L_Status,"REALIZADO")+SUMIFS(L_Valor,L_DestTipo,"CONTA",L_DestID,CAD_Contas!$A32,L_Data,"&lt;="&amp;REL_FIM,L_Status,"PROJETADO")-SUMIFS(L_Valor,L_OrigTipo,"CONTA",L_OrigID,CAD_Contas!$A32,L_Data,"&lt;="&amp;REL_FIM,L_Status,"PROJETADO"))</f>
        <v>0</v>
      </c>
    </row>
    <row r="220" customFormat="false" ht="15" hidden="false" customHeight="false" outlineLevel="0" collapsed="false">
      <c r="A220" s="9" t="str">
        <f aca="false">IF(CAD_Contas!$A33="","",CAD_Contas!$B33)</f>
        <v/>
      </c>
      <c r="B220" s="10" t="n">
        <f aca="false">IF(CAD_Contas!$A33="",0,SUMIFS(L_Valor,L_Data,"&gt;="&amp;REL_INI,L_Data,"&lt;="&amp;REL_FIM,L_Status,"REALIZADO",L_DestTipo,"CONTA",L_DestID,CAD_Contas!$A33))</f>
        <v>0</v>
      </c>
      <c r="C220" s="10" t="n">
        <f aca="false">IF(CAD_Contas!$A33="",0,SUMIFS(L_Valor,L_Data,"&gt;="&amp;REL_INI,L_Data,"&lt;="&amp;REL_FIM,L_Status,"REALIZADO",L_OrigTipo,"CONTA",L_OrigID,CAD_Contas!$A33))</f>
        <v>0</v>
      </c>
      <c r="D220" s="10" t="n">
        <f aca="false">$B220-$C220</f>
        <v>0</v>
      </c>
      <c r="E220" s="10" t="n">
        <f aca="false">IF(CAD_Contas!$A33="",0,CAD_Contas!$F33+SUMIFS(L_Valor,L_DestTipo,"CONTA",L_DestID,CAD_Contas!$A33,L_Data,"&lt;="&amp;REL_FIM,L_Status,"REALIZADO")-SUMIFS(L_Valor,L_OrigTipo,"CONTA",L_OrigID,CAD_Contas!$A33,L_Data,"&lt;="&amp;REL_FIM,L_Status,"REALIZADO")+SUMIFS(L_Valor,L_DestTipo,"CONTA",L_DestID,CAD_Contas!$A33,L_Data,"&lt;="&amp;REL_FIM,L_Status,"PROJETADO")-SUMIFS(L_Valor,L_OrigTipo,"CONTA",L_OrigID,CAD_Contas!$A33,L_Data,"&lt;="&amp;REL_FIM,L_Status,"PROJETADO"))</f>
        <v>0</v>
      </c>
    </row>
    <row r="221" customFormat="false" ht="15" hidden="false" customHeight="false" outlineLevel="0" collapsed="false">
      <c r="A221" s="9" t="str">
        <f aca="false">IF(CAD_Contas!$A34="","",CAD_Contas!$B34)</f>
        <v/>
      </c>
      <c r="B221" s="10" t="n">
        <f aca="false">IF(CAD_Contas!$A34="",0,SUMIFS(L_Valor,L_Data,"&gt;="&amp;REL_INI,L_Data,"&lt;="&amp;REL_FIM,L_Status,"REALIZADO",L_DestTipo,"CONTA",L_DestID,CAD_Contas!$A34))</f>
        <v>0</v>
      </c>
      <c r="C221" s="10" t="n">
        <f aca="false">IF(CAD_Contas!$A34="",0,SUMIFS(L_Valor,L_Data,"&gt;="&amp;REL_INI,L_Data,"&lt;="&amp;REL_FIM,L_Status,"REALIZADO",L_OrigTipo,"CONTA",L_OrigID,CAD_Contas!$A34))</f>
        <v>0</v>
      </c>
      <c r="D221" s="10" t="n">
        <f aca="false">$B221-$C221</f>
        <v>0</v>
      </c>
      <c r="E221" s="10" t="n">
        <f aca="false">IF(CAD_Contas!$A34="",0,CAD_Contas!$F34+SUMIFS(L_Valor,L_DestTipo,"CONTA",L_DestID,CAD_Contas!$A34,L_Data,"&lt;="&amp;REL_FIM,L_Status,"REALIZADO")-SUMIFS(L_Valor,L_OrigTipo,"CONTA",L_OrigID,CAD_Contas!$A34,L_Data,"&lt;="&amp;REL_FIM,L_Status,"REALIZADO")+SUMIFS(L_Valor,L_DestTipo,"CONTA",L_DestID,CAD_Contas!$A34,L_Data,"&lt;="&amp;REL_FIM,L_Status,"PROJETADO")-SUMIFS(L_Valor,L_OrigTipo,"CONTA",L_OrigID,CAD_Contas!$A34,L_Data,"&lt;="&amp;REL_FIM,L_Status,"PROJETADO"))</f>
        <v>0</v>
      </c>
    </row>
    <row r="222" customFormat="false" ht="15" hidden="false" customHeight="false" outlineLevel="0" collapsed="false">
      <c r="A222" s="9" t="str">
        <f aca="false">IF(CAD_Contas!$A35="","",CAD_Contas!$B35)</f>
        <v/>
      </c>
      <c r="B222" s="10" t="n">
        <f aca="false">IF(CAD_Contas!$A35="",0,SUMIFS(L_Valor,L_Data,"&gt;="&amp;REL_INI,L_Data,"&lt;="&amp;REL_FIM,L_Status,"REALIZADO",L_DestTipo,"CONTA",L_DestID,CAD_Contas!$A35))</f>
        <v>0</v>
      </c>
      <c r="C222" s="10" t="n">
        <f aca="false">IF(CAD_Contas!$A35="",0,SUMIFS(L_Valor,L_Data,"&gt;="&amp;REL_INI,L_Data,"&lt;="&amp;REL_FIM,L_Status,"REALIZADO",L_OrigTipo,"CONTA",L_OrigID,CAD_Contas!$A35))</f>
        <v>0</v>
      </c>
      <c r="D222" s="10" t="n">
        <f aca="false">$B222-$C222</f>
        <v>0</v>
      </c>
      <c r="E222" s="10" t="n">
        <f aca="false">IF(CAD_Contas!$A35="",0,CAD_Contas!$F35+SUMIFS(L_Valor,L_DestTipo,"CONTA",L_DestID,CAD_Contas!$A35,L_Data,"&lt;="&amp;REL_FIM,L_Status,"REALIZADO")-SUMIFS(L_Valor,L_OrigTipo,"CONTA",L_OrigID,CAD_Contas!$A35,L_Data,"&lt;="&amp;REL_FIM,L_Status,"REALIZADO")+SUMIFS(L_Valor,L_DestTipo,"CONTA",L_DestID,CAD_Contas!$A35,L_Data,"&lt;="&amp;REL_FIM,L_Status,"PROJETADO")-SUMIFS(L_Valor,L_OrigTipo,"CONTA",L_OrigID,CAD_Contas!$A35,L_Data,"&lt;="&amp;REL_FIM,L_Status,"PROJETADO"))</f>
        <v>0</v>
      </c>
    </row>
    <row r="223" customFormat="false" ht="15" hidden="false" customHeight="false" outlineLevel="0" collapsed="false">
      <c r="A223" s="9" t="str">
        <f aca="false">IF(CAD_Contas!$A36="","",CAD_Contas!$B36)</f>
        <v/>
      </c>
      <c r="B223" s="10" t="n">
        <f aca="false">IF(CAD_Contas!$A36="",0,SUMIFS(L_Valor,L_Data,"&gt;="&amp;REL_INI,L_Data,"&lt;="&amp;REL_FIM,L_Status,"REALIZADO",L_DestTipo,"CONTA",L_DestID,CAD_Contas!$A36))</f>
        <v>0</v>
      </c>
      <c r="C223" s="10" t="n">
        <f aca="false">IF(CAD_Contas!$A36="",0,SUMIFS(L_Valor,L_Data,"&gt;="&amp;REL_INI,L_Data,"&lt;="&amp;REL_FIM,L_Status,"REALIZADO",L_OrigTipo,"CONTA",L_OrigID,CAD_Contas!$A36))</f>
        <v>0</v>
      </c>
      <c r="D223" s="10" t="n">
        <f aca="false">$B223-$C223</f>
        <v>0</v>
      </c>
      <c r="E223" s="10" t="n">
        <f aca="false">IF(CAD_Contas!$A36="",0,CAD_Contas!$F36+SUMIFS(L_Valor,L_DestTipo,"CONTA",L_DestID,CAD_Contas!$A36,L_Data,"&lt;="&amp;REL_FIM,L_Status,"REALIZADO")-SUMIFS(L_Valor,L_OrigTipo,"CONTA",L_OrigID,CAD_Contas!$A36,L_Data,"&lt;="&amp;REL_FIM,L_Status,"REALIZADO")+SUMIFS(L_Valor,L_DestTipo,"CONTA",L_DestID,CAD_Contas!$A36,L_Data,"&lt;="&amp;REL_FIM,L_Status,"PROJETADO")-SUMIFS(L_Valor,L_OrigTipo,"CONTA",L_OrigID,CAD_Contas!$A36,L_Data,"&lt;="&amp;REL_FIM,L_Status,"PROJETADO"))</f>
        <v>0</v>
      </c>
    </row>
    <row r="224" customFormat="false" ht="15" hidden="false" customHeight="false" outlineLevel="0" collapsed="false">
      <c r="A224" s="9" t="str">
        <f aca="false">IF(CAD_Contas!$A37="","",CAD_Contas!$B37)</f>
        <v/>
      </c>
      <c r="B224" s="10" t="n">
        <f aca="false">IF(CAD_Contas!$A37="",0,SUMIFS(L_Valor,L_Data,"&gt;="&amp;REL_INI,L_Data,"&lt;="&amp;REL_FIM,L_Status,"REALIZADO",L_DestTipo,"CONTA",L_DestID,CAD_Contas!$A37))</f>
        <v>0</v>
      </c>
      <c r="C224" s="10" t="n">
        <f aca="false">IF(CAD_Contas!$A37="",0,SUMIFS(L_Valor,L_Data,"&gt;="&amp;REL_INI,L_Data,"&lt;="&amp;REL_FIM,L_Status,"REALIZADO",L_OrigTipo,"CONTA",L_OrigID,CAD_Contas!$A37))</f>
        <v>0</v>
      </c>
      <c r="D224" s="10" t="n">
        <f aca="false">$B224-$C224</f>
        <v>0</v>
      </c>
      <c r="E224" s="10" t="n">
        <f aca="false">IF(CAD_Contas!$A37="",0,CAD_Contas!$F37+SUMIFS(L_Valor,L_DestTipo,"CONTA",L_DestID,CAD_Contas!$A37,L_Data,"&lt;="&amp;REL_FIM,L_Status,"REALIZADO")-SUMIFS(L_Valor,L_OrigTipo,"CONTA",L_OrigID,CAD_Contas!$A37,L_Data,"&lt;="&amp;REL_FIM,L_Status,"REALIZADO")+SUMIFS(L_Valor,L_DestTipo,"CONTA",L_DestID,CAD_Contas!$A37,L_Data,"&lt;="&amp;REL_FIM,L_Status,"PROJETADO")-SUMIFS(L_Valor,L_OrigTipo,"CONTA",L_OrigID,CAD_Contas!$A37,L_Data,"&lt;="&amp;REL_FIM,L_Status,"PROJETADO"))</f>
        <v>0</v>
      </c>
    </row>
    <row r="225" customFormat="false" ht="15" hidden="false" customHeight="false" outlineLevel="0" collapsed="false">
      <c r="A225" s="9" t="str">
        <f aca="false">IF(CAD_Contas!$A38="","",CAD_Contas!$B38)</f>
        <v/>
      </c>
      <c r="B225" s="10" t="n">
        <f aca="false">IF(CAD_Contas!$A38="",0,SUMIFS(L_Valor,L_Data,"&gt;="&amp;REL_INI,L_Data,"&lt;="&amp;REL_FIM,L_Status,"REALIZADO",L_DestTipo,"CONTA",L_DestID,CAD_Contas!$A38))</f>
        <v>0</v>
      </c>
      <c r="C225" s="10" t="n">
        <f aca="false">IF(CAD_Contas!$A38="",0,SUMIFS(L_Valor,L_Data,"&gt;="&amp;REL_INI,L_Data,"&lt;="&amp;REL_FIM,L_Status,"REALIZADO",L_OrigTipo,"CONTA",L_OrigID,CAD_Contas!$A38))</f>
        <v>0</v>
      </c>
      <c r="D225" s="10" t="n">
        <f aca="false">$B225-$C225</f>
        <v>0</v>
      </c>
      <c r="E225" s="10" t="n">
        <f aca="false">IF(CAD_Contas!$A38="",0,CAD_Contas!$F38+SUMIFS(L_Valor,L_DestTipo,"CONTA",L_DestID,CAD_Contas!$A38,L_Data,"&lt;="&amp;REL_FIM,L_Status,"REALIZADO")-SUMIFS(L_Valor,L_OrigTipo,"CONTA",L_OrigID,CAD_Contas!$A38,L_Data,"&lt;="&amp;REL_FIM,L_Status,"REALIZADO")+SUMIFS(L_Valor,L_DestTipo,"CONTA",L_DestID,CAD_Contas!$A38,L_Data,"&lt;="&amp;REL_FIM,L_Status,"PROJETADO")-SUMIFS(L_Valor,L_OrigTipo,"CONTA",L_OrigID,CAD_Contas!$A38,L_Data,"&lt;="&amp;REL_FIM,L_Status,"PROJETADO"))</f>
        <v>0</v>
      </c>
    </row>
    <row r="226" customFormat="false" ht="15" hidden="false" customHeight="false" outlineLevel="0" collapsed="false">
      <c r="A226" s="9" t="str">
        <f aca="false">IF(CAD_Contas!$A39="","",CAD_Contas!$B39)</f>
        <v/>
      </c>
      <c r="B226" s="10" t="n">
        <f aca="false">IF(CAD_Contas!$A39="",0,SUMIFS(L_Valor,L_Data,"&gt;="&amp;REL_INI,L_Data,"&lt;="&amp;REL_FIM,L_Status,"REALIZADO",L_DestTipo,"CONTA",L_DestID,CAD_Contas!$A39))</f>
        <v>0</v>
      </c>
      <c r="C226" s="10" t="n">
        <f aca="false">IF(CAD_Contas!$A39="",0,SUMIFS(L_Valor,L_Data,"&gt;="&amp;REL_INI,L_Data,"&lt;="&amp;REL_FIM,L_Status,"REALIZADO",L_OrigTipo,"CONTA",L_OrigID,CAD_Contas!$A39))</f>
        <v>0</v>
      </c>
      <c r="D226" s="10" t="n">
        <f aca="false">$B226-$C226</f>
        <v>0</v>
      </c>
      <c r="E226" s="10" t="n">
        <f aca="false">IF(CAD_Contas!$A39="",0,CAD_Contas!$F39+SUMIFS(L_Valor,L_DestTipo,"CONTA",L_DestID,CAD_Contas!$A39,L_Data,"&lt;="&amp;REL_FIM,L_Status,"REALIZADO")-SUMIFS(L_Valor,L_OrigTipo,"CONTA",L_OrigID,CAD_Contas!$A39,L_Data,"&lt;="&amp;REL_FIM,L_Status,"REALIZADO")+SUMIFS(L_Valor,L_DestTipo,"CONTA",L_DestID,CAD_Contas!$A39,L_Data,"&lt;="&amp;REL_FIM,L_Status,"PROJETADO")-SUMIFS(L_Valor,L_OrigTipo,"CONTA",L_OrigID,CAD_Contas!$A39,L_Data,"&lt;="&amp;REL_FIM,L_Status,"PROJETADO"))</f>
        <v>0</v>
      </c>
    </row>
    <row r="227" customFormat="false" ht="15" hidden="false" customHeight="false" outlineLevel="0" collapsed="false">
      <c r="A227" s="9" t="str">
        <f aca="false">IF(CAD_Contas!$A40="","",CAD_Contas!$B40)</f>
        <v/>
      </c>
      <c r="B227" s="10" t="n">
        <f aca="false">IF(CAD_Contas!$A40="",0,SUMIFS(L_Valor,L_Data,"&gt;="&amp;REL_INI,L_Data,"&lt;="&amp;REL_FIM,L_Status,"REALIZADO",L_DestTipo,"CONTA",L_DestID,CAD_Contas!$A40))</f>
        <v>0</v>
      </c>
      <c r="C227" s="10" t="n">
        <f aca="false">IF(CAD_Contas!$A40="",0,SUMIFS(L_Valor,L_Data,"&gt;="&amp;REL_INI,L_Data,"&lt;="&amp;REL_FIM,L_Status,"REALIZADO",L_OrigTipo,"CONTA",L_OrigID,CAD_Contas!$A40))</f>
        <v>0</v>
      </c>
      <c r="D227" s="10" t="n">
        <f aca="false">$B227-$C227</f>
        <v>0</v>
      </c>
      <c r="E227" s="10" t="n">
        <f aca="false">IF(CAD_Contas!$A40="",0,CAD_Contas!$F40+SUMIFS(L_Valor,L_DestTipo,"CONTA",L_DestID,CAD_Contas!$A40,L_Data,"&lt;="&amp;REL_FIM,L_Status,"REALIZADO")-SUMIFS(L_Valor,L_OrigTipo,"CONTA",L_OrigID,CAD_Contas!$A40,L_Data,"&lt;="&amp;REL_FIM,L_Status,"REALIZADO")+SUMIFS(L_Valor,L_DestTipo,"CONTA",L_DestID,CAD_Contas!$A40,L_Data,"&lt;="&amp;REL_FIM,L_Status,"PROJETADO")-SUMIFS(L_Valor,L_OrigTipo,"CONTA",L_OrigID,CAD_Contas!$A40,L_Data,"&lt;="&amp;REL_FIM,L_Status,"PROJETADO"))</f>
        <v>0</v>
      </c>
    </row>
    <row r="228" customFormat="false" ht="15" hidden="false" customHeight="false" outlineLevel="0" collapsed="false">
      <c r="A228" s="9" t="str">
        <f aca="false">IF(CAD_Contas!$A41="","",CAD_Contas!$B41)</f>
        <v/>
      </c>
      <c r="B228" s="10" t="n">
        <f aca="false">IF(CAD_Contas!$A41="",0,SUMIFS(L_Valor,L_Data,"&gt;="&amp;REL_INI,L_Data,"&lt;="&amp;REL_FIM,L_Status,"REALIZADO",L_DestTipo,"CONTA",L_DestID,CAD_Contas!$A41))</f>
        <v>0</v>
      </c>
      <c r="C228" s="10" t="n">
        <f aca="false">IF(CAD_Contas!$A41="",0,SUMIFS(L_Valor,L_Data,"&gt;="&amp;REL_INI,L_Data,"&lt;="&amp;REL_FIM,L_Status,"REALIZADO",L_OrigTipo,"CONTA",L_OrigID,CAD_Contas!$A41))</f>
        <v>0</v>
      </c>
      <c r="D228" s="10" t="n">
        <f aca="false">$B228-$C228</f>
        <v>0</v>
      </c>
      <c r="E228" s="10" t="n">
        <f aca="false">IF(CAD_Contas!$A41="",0,CAD_Contas!$F41+SUMIFS(L_Valor,L_DestTipo,"CONTA",L_DestID,CAD_Contas!$A41,L_Data,"&lt;="&amp;REL_FIM,L_Status,"REALIZADO")-SUMIFS(L_Valor,L_OrigTipo,"CONTA",L_OrigID,CAD_Contas!$A41,L_Data,"&lt;="&amp;REL_FIM,L_Status,"REALIZADO")+SUMIFS(L_Valor,L_DestTipo,"CONTA",L_DestID,CAD_Contas!$A41,L_Data,"&lt;="&amp;REL_FIM,L_Status,"PROJETADO")-SUMIFS(L_Valor,L_OrigTipo,"CONTA",L_OrigID,CAD_Contas!$A41,L_Data,"&lt;="&amp;REL_FIM,L_Status,"PROJETADO"))</f>
        <v>0</v>
      </c>
    </row>
    <row r="229" customFormat="false" ht="15" hidden="false" customHeight="false" outlineLevel="0" collapsed="false">
      <c r="A229" s="9" t="str">
        <f aca="false">IF(CAD_Contas!$A42="","",CAD_Contas!$B42)</f>
        <v/>
      </c>
      <c r="B229" s="10" t="n">
        <f aca="false">IF(CAD_Contas!$A42="",0,SUMIFS(L_Valor,L_Data,"&gt;="&amp;REL_INI,L_Data,"&lt;="&amp;REL_FIM,L_Status,"REALIZADO",L_DestTipo,"CONTA",L_DestID,CAD_Contas!$A42))</f>
        <v>0</v>
      </c>
      <c r="C229" s="10" t="n">
        <f aca="false">IF(CAD_Contas!$A42="",0,SUMIFS(L_Valor,L_Data,"&gt;="&amp;REL_INI,L_Data,"&lt;="&amp;REL_FIM,L_Status,"REALIZADO",L_OrigTipo,"CONTA",L_OrigID,CAD_Contas!$A42))</f>
        <v>0</v>
      </c>
      <c r="D229" s="10" t="n">
        <f aca="false">$B229-$C229</f>
        <v>0</v>
      </c>
      <c r="E229" s="10" t="n">
        <f aca="false">IF(CAD_Contas!$A42="",0,CAD_Contas!$F42+SUMIFS(L_Valor,L_DestTipo,"CONTA",L_DestID,CAD_Contas!$A42,L_Data,"&lt;="&amp;REL_FIM,L_Status,"REALIZADO")-SUMIFS(L_Valor,L_OrigTipo,"CONTA",L_OrigID,CAD_Contas!$A42,L_Data,"&lt;="&amp;REL_FIM,L_Status,"REALIZADO")+SUMIFS(L_Valor,L_DestTipo,"CONTA",L_DestID,CAD_Contas!$A42,L_Data,"&lt;="&amp;REL_FIM,L_Status,"PROJETADO")-SUMIFS(L_Valor,L_OrigTipo,"CONTA",L_OrigID,CAD_Contas!$A42,L_Data,"&lt;="&amp;REL_FIM,L_Status,"PROJETADO"))</f>
        <v>0</v>
      </c>
    </row>
    <row r="230" customFormat="false" ht="15" hidden="false" customHeight="false" outlineLevel="0" collapsed="false">
      <c r="A230" s="9" t="str">
        <f aca="false">IF(CAD_Contas!$A43="","",CAD_Contas!$B43)</f>
        <v/>
      </c>
      <c r="B230" s="10" t="n">
        <f aca="false">IF(CAD_Contas!$A43="",0,SUMIFS(L_Valor,L_Data,"&gt;="&amp;REL_INI,L_Data,"&lt;="&amp;REL_FIM,L_Status,"REALIZADO",L_DestTipo,"CONTA",L_DestID,CAD_Contas!$A43))</f>
        <v>0</v>
      </c>
      <c r="C230" s="10" t="n">
        <f aca="false">IF(CAD_Contas!$A43="",0,SUMIFS(L_Valor,L_Data,"&gt;="&amp;REL_INI,L_Data,"&lt;="&amp;REL_FIM,L_Status,"REALIZADO",L_OrigTipo,"CONTA",L_OrigID,CAD_Contas!$A43))</f>
        <v>0</v>
      </c>
      <c r="D230" s="10" t="n">
        <f aca="false">$B230-$C230</f>
        <v>0</v>
      </c>
      <c r="E230" s="10" t="n">
        <f aca="false">IF(CAD_Contas!$A43="",0,CAD_Contas!$F43+SUMIFS(L_Valor,L_DestTipo,"CONTA",L_DestID,CAD_Contas!$A43,L_Data,"&lt;="&amp;REL_FIM,L_Status,"REALIZADO")-SUMIFS(L_Valor,L_OrigTipo,"CONTA",L_OrigID,CAD_Contas!$A43,L_Data,"&lt;="&amp;REL_FIM,L_Status,"REALIZADO")+SUMIFS(L_Valor,L_DestTipo,"CONTA",L_DestID,CAD_Contas!$A43,L_Data,"&lt;="&amp;REL_FIM,L_Status,"PROJETADO")-SUMIFS(L_Valor,L_OrigTipo,"CONTA",L_OrigID,CAD_Contas!$A43,L_Data,"&lt;="&amp;REL_FIM,L_Status,"PROJETADO"))</f>
        <v>0</v>
      </c>
    </row>
    <row r="231" customFormat="false" ht="15" hidden="false" customHeight="false" outlineLevel="0" collapsed="false">
      <c r="A231" s="9" t="str">
        <f aca="false">IF(CAD_Contas!$A44="","",CAD_Contas!$B44)</f>
        <v/>
      </c>
      <c r="B231" s="10" t="n">
        <f aca="false">IF(CAD_Contas!$A44="",0,SUMIFS(L_Valor,L_Data,"&gt;="&amp;REL_INI,L_Data,"&lt;="&amp;REL_FIM,L_Status,"REALIZADO",L_DestTipo,"CONTA",L_DestID,CAD_Contas!$A44))</f>
        <v>0</v>
      </c>
      <c r="C231" s="10" t="n">
        <f aca="false">IF(CAD_Contas!$A44="",0,SUMIFS(L_Valor,L_Data,"&gt;="&amp;REL_INI,L_Data,"&lt;="&amp;REL_FIM,L_Status,"REALIZADO",L_OrigTipo,"CONTA",L_OrigID,CAD_Contas!$A44))</f>
        <v>0</v>
      </c>
      <c r="D231" s="10" t="n">
        <f aca="false">$B231-$C231</f>
        <v>0</v>
      </c>
      <c r="E231" s="10" t="n">
        <f aca="false">IF(CAD_Contas!$A44="",0,CAD_Contas!$F44+SUMIFS(L_Valor,L_DestTipo,"CONTA",L_DestID,CAD_Contas!$A44,L_Data,"&lt;="&amp;REL_FIM,L_Status,"REALIZADO")-SUMIFS(L_Valor,L_OrigTipo,"CONTA",L_OrigID,CAD_Contas!$A44,L_Data,"&lt;="&amp;REL_FIM,L_Status,"REALIZADO")+SUMIFS(L_Valor,L_DestTipo,"CONTA",L_DestID,CAD_Contas!$A44,L_Data,"&lt;="&amp;REL_FIM,L_Status,"PROJETADO")-SUMIFS(L_Valor,L_OrigTipo,"CONTA",L_OrigID,CAD_Contas!$A44,L_Data,"&lt;="&amp;REL_FIM,L_Status,"PROJETADO"))</f>
        <v>0</v>
      </c>
    </row>
    <row r="233" customFormat="false" ht="19.5" hidden="false" customHeight="true" outlineLevel="0" collapsed="false">
      <c r="A233" s="3" t="s">
        <v>405</v>
      </c>
      <c r="B233" s="3"/>
      <c r="C233" s="3"/>
      <c r="D233" s="3"/>
      <c r="E233" s="3"/>
      <c r="F233" s="3"/>
      <c r="G233" s="3"/>
    </row>
    <row r="234" customFormat="false" ht="30" hidden="false" customHeight="true" outlineLevel="0" collapsed="false">
      <c r="A234" s="8" t="s">
        <v>406</v>
      </c>
      <c r="B234" s="8" t="s">
        <v>407</v>
      </c>
      <c r="C234" s="8" t="s">
        <v>408</v>
      </c>
      <c r="D234" s="8" t="s">
        <v>409</v>
      </c>
      <c r="E234" s="8" t="s">
        <v>410</v>
      </c>
    </row>
    <row r="235" customFormat="false" ht="15" hidden="false" customHeight="false" outlineLevel="0" collapsed="false">
      <c r="A235" s="9" t="str">
        <f aca="false">IF(CAD_Cartoes!$A5="","",CAD_Cartoes!$B5)</f>
        <v/>
      </c>
      <c r="B235" s="10" t="n">
        <f aca="false">IF(CAD_Cartoes!$A5="",0,SUMIFS(L_Valor,L_Data,"&gt;="&amp;REL_INI,L_Data,"&lt;="&amp;REL_FIM,L_Status,"REALIZADO",L_OrigTipo,"CARTAO",L_OrigID,CAD_Cartoes!$A5))</f>
        <v>0</v>
      </c>
      <c r="C235" s="10" t="n">
        <f aca="false">IF(CAD_Cartoes!$A5="",0,SUMIFS(L_Valor,L_Data,"&gt;="&amp;REL_INI,L_Data,"&lt;="&amp;REL_FIM,L_Status,"REALIZADO",L_DestTipo,"CARTAO",L_DestID,CAD_Cartoes!$A5))</f>
        <v>0</v>
      </c>
      <c r="D235" s="10" t="n">
        <f aca="false">IF(CAD_Cartoes!$A5="",0,CAD_Cartoes!$F5+SUMIFS(L_Valor,L_OrigTipo,"CARTAO",L_OrigID,CAD_Cartoes!$A5,L_Data,"&lt;="&amp;REL_FIM,L_Status,"REALIZADO")-SUMIFS(L_Valor,L_DestTipo,"CARTAO",L_DestID,CAD_Cartoes!$A5,L_Data,"&lt;="&amp;REL_FIM,L_Status,"REALIZADO"))</f>
        <v>0</v>
      </c>
      <c r="E235" s="10" t="n">
        <f aca="false">IF(CAD_Cartoes!$A5="",0,CAD_Cartoes!$N5)</f>
        <v>0</v>
      </c>
    </row>
    <row r="236" customFormat="false" ht="15" hidden="false" customHeight="false" outlineLevel="0" collapsed="false">
      <c r="A236" s="9" t="str">
        <f aca="false">IF(CAD_Cartoes!$A6="","",CAD_Cartoes!$B6)</f>
        <v/>
      </c>
      <c r="B236" s="10" t="n">
        <f aca="false">IF(CAD_Cartoes!$A6="",0,SUMIFS(L_Valor,L_Data,"&gt;="&amp;REL_INI,L_Data,"&lt;="&amp;REL_FIM,L_Status,"REALIZADO",L_OrigTipo,"CARTAO",L_OrigID,CAD_Cartoes!$A6))</f>
        <v>0</v>
      </c>
      <c r="C236" s="10" t="n">
        <f aca="false">IF(CAD_Cartoes!$A6="",0,SUMIFS(L_Valor,L_Data,"&gt;="&amp;REL_INI,L_Data,"&lt;="&amp;REL_FIM,L_Status,"REALIZADO",L_DestTipo,"CARTAO",L_DestID,CAD_Cartoes!$A6))</f>
        <v>0</v>
      </c>
      <c r="D236" s="10" t="n">
        <f aca="false">IF(CAD_Cartoes!$A6="",0,CAD_Cartoes!$F6+SUMIFS(L_Valor,L_OrigTipo,"CARTAO",L_OrigID,CAD_Cartoes!$A6,L_Data,"&lt;="&amp;REL_FIM,L_Status,"REALIZADO")-SUMIFS(L_Valor,L_DestTipo,"CARTAO",L_DestID,CAD_Cartoes!$A6,L_Data,"&lt;="&amp;REL_FIM,L_Status,"REALIZADO"))</f>
        <v>0</v>
      </c>
      <c r="E236" s="10" t="n">
        <f aca="false">IF(CAD_Cartoes!$A6="",0,CAD_Cartoes!$N6)</f>
        <v>0</v>
      </c>
    </row>
    <row r="237" customFormat="false" ht="15" hidden="false" customHeight="false" outlineLevel="0" collapsed="false">
      <c r="A237" s="9" t="str">
        <f aca="false">IF(CAD_Cartoes!$A7="","",CAD_Cartoes!$B7)</f>
        <v/>
      </c>
      <c r="B237" s="10" t="n">
        <f aca="false">IF(CAD_Cartoes!$A7="",0,SUMIFS(L_Valor,L_Data,"&gt;="&amp;REL_INI,L_Data,"&lt;="&amp;REL_FIM,L_Status,"REALIZADO",L_OrigTipo,"CARTAO",L_OrigID,CAD_Cartoes!$A7))</f>
        <v>0</v>
      </c>
      <c r="C237" s="10" t="n">
        <f aca="false">IF(CAD_Cartoes!$A7="",0,SUMIFS(L_Valor,L_Data,"&gt;="&amp;REL_INI,L_Data,"&lt;="&amp;REL_FIM,L_Status,"REALIZADO",L_DestTipo,"CARTAO",L_DestID,CAD_Cartoes!$A7))</f>
        <v>0</v>
      </c>
      <c r="D237" s="10" t="n">
        <f aca="false">IF(CAD_Cartoes!$A7="",0,CAD_Cartoes!$F7+SUMIFS(L_Valor,L_OrigTipo,"CARTAO",L_OrigID,CAD_Cartoes!$A7,L_Data,"&lt;="&amp;REL_FIM,L_Status,"REALIZADO")-SUMIFS(L_Valor,L_DestTipo,"CARTAO",L_DestID,CAD_Cartoes!$A7,L_Data,"&lt;="&amp;REL_FIM,L_Status,"REALIZADO"))</f>
        <v>0</v>
      </c>
      <c r="E237" s="10" t="n">
        <f aca="false">IF(CAD_Cartoes!$A7="",0,CAD_Cartoes!$N7)</f>
        <v>0</v>
      </c>
    </row>
    <row r="238" customFormat="false" ht="15" hidden="false" customHeight="false" outlineLevel="0" collapsed="false">
      <c r="A238" s="9" t="str">
        <f aca="false">IF(CAD_Cartoes!$A8="","",CAD_Cartoes!$B8)</f>
        <v/>
      </c>
      <c r="B238" s="10" t="n">
        <f aca="false">IF(CAD_Cartoes!$A8="",0,SUMIFS(L_Valor,L_Data,"&gt;="&amp;REL_INI,L_Data,"&lt;="&amp;REL_FIM,L_Status,"REALIZADO",L_OrigTipo,"CARTAO",L_OrigID,CAD_Cartoes!$A8))</f>
        <v>0</v>
      </c>
      <c r="C238" s="10" t="n">
        <f aca="false">IF(CAD_Cartoes!$A8="",0,SUMIFS(L_Valor,L_Data,"&gt;="&amp;REL_INI,L_Data,"&lt;="&amp;REL_FIM,L_Status,"REALIZADO",L_DestTipo,"CARTAO",L_DestID,CAD_Cartoes!$A8))</f>
        <v>0</v>
      </c>
      <c r="D238" s="10" t="n">
        <f aca="false">IF(CAD_Cartoes!$A8="",0,CAD_Cartoes!$F8+SUMIFS(L_Valor,L_OrigTipo,"CARTAO",L_OrigID,CAD_Cartoes!$A8,L_Data,"&lt;="&amp;REL_FIM,L_Status,"REALIZADO")-SUMIFS(L_Valor,L_DestTipo,"CARTAO",L_DestID,CAD_Cartoes!$A8,L_Data,"&lt;="&amp;REL_FIM,L_Status,"REALIZADO"))</f>
        <v>0</v>
      </c>
      <c r="E238" s="10" t="n">
        <f aca="false">IF(CAD_Cartoes!$A8="",0,CAD_Cartoes!$N8)</f>
        <v>0</v>
      </c>
    </row>
    <row r="239" customFormat="false" ht="15" hidden="false" customHeight="false" outlineLevel="0" collapsed="false">
      <c r="A239" s="9" t="str">
        <f aca="false">IF(CAD_Cartoes!$A9="","",CAD_Cartoes!$B9)</f>
        <v/>
      </c>
      <c r="B239" s="10" t="n">
        <f aca="false">IF(CAD_Cartoes!$A9="",0,SUMIFS(L_Valor,L_Data,"&gt;="&amp;REL_INI,L_Data,"&lt;="&amp;REL_FIM,L_Status,"REALIZADO",L_OrigTipo,"CARTAO",L_OrigID,CAD_Cartoes!$A9))</f>
        <v>0</v>
      </c>
      <c r="C239" s="10" t="n">
        <f aca="false">IF(CAD_Cartoes!$A9="",0,SUMIFS(L_Valor,L_Data,"&gt;="&amp;REL_INI,L_Data,"&lt;="&amp;REL_FIM,L_Status,"REALIZADO",L_DestTipo,"CARTAO",L_DestID,CAD_Cartoes!$A9))</f>
        <v>0</v>
      </c>
      <c r="D239" s="10" t="n">
        <f aca="false">IF(CAD_Cartoes!$A9="",0,CAD_Cartoes!$F9+SUMIFS(L_Valor,L_OrigTipo,"CARTAO",L_OrigID,CAD_Cartoes!$A9,L_Data,"&lt;="&amp;REL_FIM,L_Status,"REALIZADO")-SUMIFS(L_Valor,L_DestTipo,"CARTAO",L_DestID,CAD_Cartoes!$A9,L_Data,"&lt;="&amp;REL_FIM,L_Status,"REALIZADO"))</f>
        <v>0</v>
      </c>
      <c r="E239" s="10" t="n">
        <f aca="false">IF(CAD_Cartoes!$A9="",0,CAD_Cartoes!$N9)</f>
        <v>0</v>
      </c>
    </row>
    <row r="240" customFormat="false" ht="15" hidden="false" customHeight="false" outlineLevel="0" collapsed="false">
      <c r="A240" s="9" t="str">
        <f aca="false">IF(CAD_Cartoes!$A10="","",CAD_Cartoes!$B10)</f>
        <v/>
      </c>
      <c r="B240" s="10" t="n">
        <f aca="false">IF(CAD_Cartoes!$A10="",0,SUMIFS(L_Valor,L_Data,"&gt;="&amp;REL_INI,L_Data,"&lt;="&amp;REL_FIM,L_Status,"REALIZADO",L_OrigTipo,"CARTAO",L_OrigID,CAD_Cartoes!$A10))</f>
        <v>0</v>
      </c>
      <c r="C240" s="10" t="n">
        <f aca="false">IF(CAD_Cartoes!$A10="",0,SUMIFS(L_Valor,L_Data,"&gt;="&amp;REL_INI,L_Data,"&lt;="&amp;REL_FIM,L_Status,"REALIZADO",L_DestTipo,"CARTAO",L_DestID,CAD_Cartoes!$A10))</f>
        <v>0</v>
      </c>
      <c r="D240" s="10" t="n">
        <f aca="false">IF(CAD_Cartoes!$A10="",0,CAD_Cartoes!$F10+SUMIFS(L_Valor,L_OrigTipo,"CARTAO",L_OrigID,CAD_Cartoes!$A10,L_Data,"&lt;="&amp;REL_FIM,L_Status,"REALIZADO")-SUMIFS(L_Valor,L_DestTipo,"CARTAO",L_DestID,CAD_Cartoes!$A10,L_Data,"&lt;="&amp;REL_FIM,L_Status,"REALIZADO"))</f>
        <v>0</v>
      </c>
      <c r="E240" s="10" t="n">
        <f aca="false">IF(CAD_Cartoes!$A10="",0,CAD_Cartoes!$N10)</f>
        <v>0</v>
      </c>
    </row>
    <row r="241" customFormat="false" ht="15" hidden="false" customHeight="false" outlineLevel="0" collapsed="false">
      <c r="A241" s="9" t="str">
        <f aca="false">IF(CAD_Cartoes!$A11="","",CAD_Cartoes!$B11)</f>
        <v/>
      </c>
      <c r="B241" s="10" t="n">
        <f aca="false">IF(CAD_Cartoes!$A11="",0,SUMIFS(L_Valor,L_Data,"&gt;="&amp;REL_INI,L_Data,"&lt;="&amp;REL_FIM,L_Status,"REALIZADO",L_OrigTipo,"CARTAO",L_OrigID,CAD_Cartoes!$A11))</f>
        <v>0</v>
      </c>
      <c r="C241" s="10" t="n">
        <f aca="false">IF(CAD_Cartoes!$A11="",0,SUMIFS(L_Valor,L_Data,"&gt;="&amp;REL_INI,L_Data,"&lt;="&amp;REL_FIM,L_Status,"REALIZADO",L_DestTipo,"CARTAO",L_DestID,CAD_Cartoes!$A11))</f>
        <v>0</v>
      </c>
      <c r="D241" s="10" t="n">
        <f aca="false">IF(CAD_Cartoes!$A11="",0,CAD_Cartoes!$F11+SUMIFS(L_Valor,L_OrigTipo,"CARTAO",L_OrigID,CAD_Cartoes!$A11,L_Data,"&lt;="&amp;REL_FIM,L_Status,"REALIZADO")-SUMIFS(L_Valor,L_DestTipo,"CARTAO",L_DestID,CAD_Cartoes!$A11,L_Data,"&lt;="&amp;REL_FIM,L_Status,"REALIZADO"))</f>
        <v>0</v>
      </c>
      <c r="E241" s="10" t="n">
        <f aca="false">IF(CAD_Cartoes!$A11="",0,CAD_Cartoes!$N11)</f>
        <v>0</v>
      </c>
    </row>
    <row r="242" customFormat="false" ht="15" hidden="false" customHeight="false" outlineLevel="0" collapsed="false">
      <c r="A242" s="9" t="str">
        <f aca="false">IF(CAD_Cartoes!$A12="","",CAD_Cartoes!$B12)</f>
        <v/>
      </c>
      <c r="B242" s="10" t="n">
        <f aca="false">IF(CAD_Cartoes!$A12="",0,SUMIFS(L_Valor,L_Data,"&gt;="&amp;REL_INI,L_Data,"&lt;="&amp;REL_FIM,L_Status,"REALIZADO",L_OrigTipo,"CARTAO",L_OrigID,CAD_Cartoes!$A12))</f>
        <v>0</v>
      </c>
      <c r="C242" s="10" t="n">
        <f aca="false">IF(CAD_Cartoes!$A12="",0,SUMIFS(L_Valor,L_Data,"&gt;="&amp;REL_INI,L_Data,"&lt;="&amp;REL_FIM,L_Status,"REALIZADO",L_DestTipo,"CARTAO",L_DestID,CAD_Cartoes!$A12))</f>
        <v>0</v>
      </c>
      <c r="D242" s="10" t="n">
        <f aca="false">IF(CAD_Cartoes!$A12="",0,CAD_Cartoes!$F12+SUMIFS(L_Valor,L_OrigTipo,"CARTAO",L_OrigID,CAD_Cartoes!$A12,L_Data,"&lt;="&amp;REL_FIM,L_Status,"REALIZADO")-SUMIFS(L_Valor,L_DestTipo,"CARTAO",L_DestID,CAD_Cartoes!$A12,L_Data,"&lt;="&amp;REL_FIM,L_Status,"REALIZADO"))</f>
        <v>0</v>
      </c>
      <c r="E242" s="10" t="n">
        <f aca="false">IF(CAD_Cartoes!$A12="",0,CAD_Cartoes!$N12)</f>
        <v>0</v>
      </c>
    </row>
    <row r="243" customFormat="false" ht="15" hidden="false" customHeight="false" outlineLevel="0" collapsed="false">
      <c r="A243" s="9" t="str">
        <f aca="false">IF(CAD_Cartoes!$A13="","",CAD_Cartoes!$B13)</f>
        <v/>
      </c>
      <c r="B243" s="10" t="n">
        <f aca="false">IF(CAD_Cartoes!$A13="",0,SUMIFS(L_Valor,L_Data,"&gt;="&amp;REL_INI,L_Data,"&lt;="&amp;REL_FIM,L_Status,"REALIZADO",L_OrigTipo,"CARTAO",L_OrigID,CAD_Cartoes!$A13))</f>
        <v>0</v>
      </c>
      <c r="C243" s="10" t="n">
        <f aca="false">IF(CAD_Cartoes!$A13="",0,SUMIFS(L_Valor,L_Data,"&gt;="&amp;REL_INI,L_Data,"&lt;="&amp;REL_FIM,L_Status,"REALIZADO",L_DestTipo,"CARTAO",L_DestID,CAD_Cartoes!$A13))</f>
        <v>0</v>
      </c>
      <c r="D243" s="10" t="n">
        <f aca="false">IF(CAD_Cartoes!$A13="",0,CAD_Cartoes!$F13+SUMIFS(L_Valor,L_OrigTipo,"CARTAO",L_OrigID,CAD_Cartoes!$A13,L_Data,"&lt;="&amp;REL_FIM,L_Status,"REALIZADO")-SUMIFS(L_Valor,L_DestTipo,"CARTAO",L_DestID,CAD_Cartoes!$A13,L_Data,"&lt;="&amp;REL_FIM,L_Status,"REALIZADO"))</f>
        <v>0</v>
      </c>
      <c r="E243" s="10" t="n">
        <f aca="false">IF(CAD_Cartoes!$A13="",0,CAD_Cartoes!$N13)</f>
        <v>0</v>
      </c>
    </row>
    <row r="244" customFormat="false" ht="15" hidden="false" customHeight="false" outlineLevel="0" collapsed="false">
      <c r="A244" s="9" t="str">
        <f aca="false">IF(CAD_Cartoes!$A14="","",CAD_Cartoes!$B14)</f>
        <v/>
      </c>
      <c r="B244" s="10" t="n">
        <f aca="false">IF(CAD_Cartoes!$A14="",0,SUMIFS(L_Valor,L_Data,"&gt;="&amp;REL_INI,L_Data,"&lt;="&amp;REL_FIM,L_Status,"REALIZADO",L_OrigTipo,"CARTAO",L_OrigID,CAD_Cartoes!$A14))</f>
        <v>0</v>
      </c>
      <c r="C244" s="10" t="n">
        <f aca="false">IF(CAD_Cartoes!$A14="",0,SUMIFS(L_Valor,L_Data,"&gt;="&amp;REL_INI,L_Data,"&lt;="&amp;REL_FIM,L_Status,"REALIZADO",L_DestTipo,"CARTAO",L_DestID,CAD_Cartoes!$A14))</f>
        <v>0</v>
      </c>
      <c r="D244" s="10" t="n">
        <f aca="false">IF(CAD_Cartoes!$A14="",0,CAD_Cartoes!$F14+SUMIFS(L_Valor,L_OrigTipo,"CARTAO",L_OrigID,CAD_Cartoes!$A14,L_Data,"&lt;="&amp;REL_FIM,L_Status,"REALIZADO")-SUMIFS(L_Valor,L_DestTipo,"CARTAO",L_DestID,CAD_Cartoes!$A14,L_Data,"&lt;="&amp;REL_FIM,L_Status,"REALIZADO"))</f>
        <v>0</v>
      </c>
      <c r="E244" s="10" t="n">
        <f aca="false">IF(CAD_Cartoes!$A14="",0,CAD_Cartoes!$N14)</f>
        <v>0</v>
      </c>
    </row>
    <row r="245" customFormat="false" ht="15" hidden="false" customHeight="false" outlineLevel="0" collapsed="false">
      <c r="A245" s="9" t="str">
        <f aca="false">IF(CAD_Cartoes!$A15="","",CAD_Cartoes!$B15)</f>
        <v/>
      </c>
      <c r="B245" s="10" t="n">
        <f aca="false">IF(CAD_Cartoes!$A15="",0,SUMIFS(L_Valor,L_Data,"&gt;="&amp;REL_INI,L_Data,"&lt;="&amp;REL_FIM,L_Status,"REALIZADO",L_OrigTipo,"CARTAO",L_OrigID,CAD_Cartoes!$A15))</f>
        <v>0</v>
      </c>
      <c r="C245" s="10" t="n">
        <f aca="false">IF(CAD_Cartoes!$A15="",0,SUMIFS(L_Valor,L_Data,"&gt;="&amp;REL_INI,L_Data,"&lt;="&amp;REL_FIM,L_Status,"REALIZADO",L_DestTipo,"CARTAO",L_DestID,CAD_Cartoes!$A15))</f>
        <v>0</v>
      </c>
      <c r="D245" s="10" t="n">
        <f aca="false">IF(CAD_Cartoes!$A15="",0,CAD_Cartoes!$F15+SUMIFS(L_Valor,L_OrigTipo,"CARTAO",L_OrigID,CAD_Cartoes!$A15,L_Data,"&lt;="&amp;REL_FIM,L_Status,"REALIZADO")-SUMIFS(L_Valor,L_DestTipo,"CARTAO",L_DestID,CAD_Cartoes!$A15,L_Data,"&lt;="&amp;REL_FIM,L_Status,"REALIZADO"))</f>
        <v>0</v>
      </c>
      <c r="E245" s="10" t="n">
        <f aca="false">IF(CAD_Cartoes!$A15="",0,CAD_Cartoes!$N15)</f>
        <v>0</v>
      </c>
    </row>
    <row r="246" customFormat="false" ht="15" hidden="false" customHeight="false" outlineLevel="0" collapsed="false">
      <c r="A246" s="9" t="str">
        <f aca="false">IF(CAD_Cartoes!$A16="","",CAD_Cartoes!$B16)</f>
        <v/>
      </c>
      <c r="B246" s="10" t="n">
        <f aca="false">IF(CAD_Cartoes!$A16="",0,SUMIFS(L_Valor,L_Data,"&gt;="&amp;REL_INI,L_Data,"&lt;="&amp;REL_FIM,L_Status,"REALIZADO",L_OrigTipo,"CARTAO",L_OrigID,CAD_Cartoes!$A16))</f>
        <v>0</v>
      </c>
      <c r="C246" s="10" t="n">
        <f aca="false">IF(CAD_Cartoes!$A16="",0,SUMIFS(L_Valor,L_Data,"&gt;="&amp;REL_INI,L_Data,"&lt;="&amp;REL_FIM,L_Status,"REALIZADO",L_DestTipo,"CARTAO",L_DestID,CAD_Cartoes!$A16))</f>
        <v>0</v>
      </c>
      <c r="D246" s="10" t="n">
        <f aca="false">IF(CAD_Cartoes!$A16="",0,CAD_Cartoes!$F16+SUMIFS(L_Valor,L_OrigTipo,"CARTAO",L_OrigID,CAD_Cartoes!$A16,L_Data,"&lt;="&amp;REL_FIM,L_Status,"REALIZADO")-SUMIFS(L_Valor,L_DestTipo,"CARTAO",L_DestID,CAD_Cartoes!$A16,L_Data,"&lt;="&amp;REL_FIM,L_Status,"REALIZADO"))</f>
        <v>0</v>
      </c>
      <c r="E246" s="10" t="n">
        <f aca="false">IF(CAD_Cartoes!$A16="",0,CAD_Cartoes!$N16)</f>
        <v>0</v>
      </c>
    </row>
    <row r="247" customFormat="false" ht="15" hidden="false" customHeight="false" outlineLevel="0" collapsed="false">
      <c r="A247" s="9" t="str">
        <f aca="false">IF(CAD_Cartoes!$A17="","",CAD_Cartoes!$B17)</f>
        <v/>
      </c>
      <c r="B247" s="10" t="n">
        <f aca="false">IF(CAD_Cartoes!$A17="",0,SUMIFS(L_Valor,L_Data,"&gt;="&amp;REL_INI,L_Data,"&lt;="&amp;REL_FIM,L_Status,"REALIZADO",L_OrigTipo,"CARTAO",L_OrigID,CAD_Cartoes!$A17))</f>
        <v>0</v>
      </c>
      <c r="C247" s="10" t="n">
        <f aca="false">IF(CAD_Cartoes!$A17="",0,SUMIFS(L_Valor,L_Data,"&gt;="&amp;REL_INI,L_Data,"&lt;="&amp;REL_FIM,L_Status,"REALIZADO",L_DestTipo,"CARTAO",L_DestID,CAD_Cartoes!$A17))</f>
        <v>0</v>
      </c>
      <c r="D247" s="10" t="n">
        <f aca="false">IF(CAD_Cartoes!$A17="",0,CAD_Cartoes!$F17+SUMIFS(L_Valor,L_OrigTipo,"CARTAO",L_OrigID,CAD_Cartoes!$A17,L_Data,"&lt;="&amp;REL_FIM,L_Status,"REALIZADO")-SUMIFS(L_Valor,L_DestTipo,"CARTAO",L_DestID,CAD_Cartoes!$A17,L_Data,"&lt;="&amp;REL_FIM,L_Status,"REALIZADO"))</f>
        <v>0</v>
      </c>
      <c r="E247" s="10" t="n">
        <f aca="false">IF(CAD_Cartoes!$A17="",0,CAD_Cartoes!$N17)</f>
        <v>0</v>
      </c>
    </row>
    <row r="248" customFormat="false" ht="15" hidden="false" customHeight="false" outlineLevel="0" collapsed="false">
      <c r="A248" s="9" t="str">
        <f aca="false">IF(CAD_Cartoes!$A18="","",CAD_Cartoes!$B18)</f>
        <v/>
      </c>
      <c r="B248" s="10" t="n">
        <f aca="false">IF(CAD_Cartoes!$A18="",0,SUMIFS(L_Valor,L_Data,"&gt;="&amp;REL_INI,L_Data,"&lt;="&amp;REL_FIM,L_Status,"REALIZADO",L_OrigTipo,"CARTAO",L_OrigID,CAD_Cartoes!$A18))</f>
        <v>0</v>
      </c>
      <c r="C248" s="10" t="n">
        <f aca="false">IF(CAD_Cartoes!$A18="",0,SUMIFS(L_Valor,L_Data,"&gt;="&amp;REL_INI,L_Data,"&lt;="&amp;REL_FIM,L_Status,"REALIZADO",L_DestTipo,"CARTAO",L_DestID,CAD_Cartoes!$A18))</f>
        <v>0</v>
      </c>
      <c r="D248" s="10" t="n">
        <f aca="false">IF(CAD_Cartoes!$A18="",0,CAD_Cartoes!$F18+SUMIFS(L_Valor,L_OrigTipo,"CARTAO",L_OrigID,CAD_Cartoes!$A18,L_Data,"&lt;="&amp;REL_FIM,L_Status,"REALIZADO")-SUMIFS(L_Valor,L_DestTipo,"CARTAO",L_DestID,CAD_Cartoes!$A18,L_Data,"&lt;="&amp;REL_FIM,L_Status,"REALIZADO"))</f>
        <v>0</v>
      </c>
      <c r="E248" s="10" t="n">
        <f aca="false">IF(CAD_Cartoes!$A18="",0,CAD_Cartoes!$N18)</f>
        <v>0</v>
      </c>
    </row>
    <row r="249" customFormat="false" ht="15" hidden="false" customHeight="false" outlineLevel="0" collapsed="false">
      <c r="A249" s="9" t="str">
        <f aca="false">IF(CAD_Cartoes!$A19="","",CAD_Cartoes!$B19)</f>
        <v/>
      </c>
      <c r="B249" s="10" t="n">
        <f aca="false">IF(CAD_Cartoes!$A19="",0,SUMIFS(L_Valor,L_Data,"&gt;="&amp;REL_INI,L_Data,"&lt;="&amp;REL_FIM,L_Status,"REALIZADO",L_OrigTipo,"CARTAO",L_OrigID,CAD_Cartoes!$A19))</f>
        <v>0</v>
      </c>
      <c r="C249" s="10" t="n">
        <f aca="false">IF(CAD_Cartoes!$A19="",0,SUMIFS(L_Valor,L_Data,"&gt;="&amp;REL_INI,L_Data,"&lt;="&amp;REL_FIM,L_Status,"REALIZADO",L_DestTipo,"CARTAO",L_DestID,CAD_Cartoes!$A19))</f>
        <v>0</v>
      </c>
      <c r="D249" s="10" t="n">
        <f aca="false">IF(CAD_Cartoes!$A19="",0,CAD_Cartoes!$F19+SUMIFS(L_Valor,L_OrigTipo,"CARTAO",L_OrigID,CAD_Cartoes!$A19,L_Data,"&lt;="&amp;REL_FIM,L_Status,"REALIZADO")-SUMIFS(L_Valor,L_DestTipo,"CARTAO",L_DestID,CAD_Cartoes!$A19,L_Data,"&lt;="&amp;REL_FIM,L_Status,"REALIZADO"))</f>
        <v>0</v>
      </c>
      <c r="E249" s="10" t="n">
        <f aca="false">IF(CAD_Cartoes!$A19="",0,CAD_Cartoes!$N19)</f>
        <v>0</v>
      </c>
    </row>
    <row r="250" customFormat="false" ht="15" hidden="false" customHeight="false" outlineLevel="0" collapsed="false">
      <c r="A250" s="9" t="str">
        <f aca="false">IF(CAD_Cartoes!$A20="","",CAD_Cartoes!$B20)</f>
        <v/>
      </c>
      <c r="B250" s="10" t="n">
        <f aca="false">IF(CAD_Cartoes!$A20="",0,SUMIFS(L_Valor,L_Data,"&gt;="&amp;REL_INI,L_Data,"&lt;="&amp;REL_FIM,L_Status,"REALIZADO",L_OrigTipo,"CARTAO",L_OrigID,CAD_Cartoes!$A20))</f>
        <v>0</v>
      </c>
      <c r="C250" s="10" t="n">
        <f aca="false">IF(CAD_Cartoes!$A20="",0,SUMIFS(L_Valor,L_Data,"&gt;="&amp;REL_INI,L_Data,"&lt;="&amp;REL_FIM,L_Status,"REALIZADO",L_DestTipo,"CARTAO",L_DestID,CAD_Cartoes!$A20))</f>
        <v>0</v>
      </c>
      <c r="D250" s="10" t="n">
        <f aca="false">IF(CAD_Cartoes!$A20="",0,CAD_Cartoes!$F20+SUMIFS(L_Valor,L_OrigTipo,"CARTAO",L_OrigID,CAD_Cartoes!$A20,L_Data,"&lt;="&amp;REL_FIM,L_Status,"REALIZADO")-SUMIFS(L_Valor,L_DestTipo,"CARTAO",L_DestID,CAD_Cartoes!$A20,L_Data,"&lt;="&amp;REL_FIM,L_Status,"REALIZADO"))</f>
        <v>0</v>
      </c>
      <c r="E250" s="10" t="n">
        <f aca="false">IF(CAD_Cartoes!$A20="",0,CAD_Cartoes!$N20)</f>
        <v>0</v>
      </c>
    </row>
    <row r="251" customFormat="false" ht="15" hidden="false" customHeight="false" outlineLevel="0" collapsed="false">
      <c r="A251" s="9" t="str">
        <f aca="false">IF(CAD_Cartoes!$A21="","",CAD_Cartoes!$B21)</f>
        <v/>
      </c>
      <c r="B251" s="10" t="n">
        <f aca="false">IF(CAD_Cartoes!$A21="",0,SUMIFS(L_Valor,L_Data,"&gt;="&amp;REL_INI,L_Data,"&lt;="&amp;REL_FIM,L_Status,"REALIZADO",L_OrigTipo,"CARTAO",L_OrigID,CAD_Cartoes!$A21))</f>
        <v>0</v>
      </c>
      <c r="C251" s="10" t="n">
        <f aca="false">IF(CAD_Cartoes!$A21="",0,SUMIFS(L_Valor,L_Data,"&gt;="&amp;REL_INI,L_Data,"&lt;="&amp;REL_FIM,L_Status,"REALIZADO",L_DestTipo,"CARTAO",L_DestID,CAD_Cartoes!$A21))</f>
        <v>0</v>
      </c>
      <c r="D251" s="10" t="n">
        <f aca="false">IF(CAD_Cartoes!$A21="",0,CAD_Cartoes!$F21+SUMIFS(L_Valor,L_OrigTipo,"CARTAO",L_OrigID,CAD_Cartoes!$A21,L_Data,"&lt;="&amp;REL_FIM,L_Status,"REALIZADO")-SUMIFS(L_Valor,L_DestTipo,"CARTAO",L_DestID,CAD_Cartoes!$A21,L_Data,"&lt;="&amp;REL_FIM,L_Status,"REALIZADO"))</f>
        <v>0</v>
      </c>
      <c r="E251" s="10" t="n">
        <f aca="false">IF(CAD_Cartoes!$A21="",0,CAD_Cartoes!$N21)</f>
        <v>0</v>
      </c>
    </row>
    <row r="252" customFormat="false" ht="15" hidden="false" customHeight="false" outlineLevel="0" collapsed="false">
      <c r="A252" s="9" t="str">
        <f aca="false">IF(CAD_Cartoes!$A22="","",CAD_Cartoes!$B22)</f>
        <v/>
      </c>
      <c r="B252" s="10" t="n">
        <f aca="false">IF(CAD_Cartoes!$A22="",0,SUMIFS(L_Valor,L_Data,"&gt;="&amp;REL_INI,L_Data,"&lt;="&amp;REL_FIM,L_Status,"REALIZADO",L_OrigTipo,"CARTAO",L_OrigID,CAD_Cartoes!$A22))</f>
        <v>0</v>
      </c>
      <c r="C252" s="10" t="n">
        <f aca="false">IF(CAD_Cartoes!$A22="",0,SUMIFS(L_Valor,L_Data,"&gt;="&amp;REL_INI,L_Data,"&lt;="&amp;REL_FIM,L_Status,"REALIZADO",L_DestTipo,"CARTAO",L_DestID,CAD_Cartoes!$A22))</f>
        <v>0</v>
      </c>
      <c r="D252" s="10" t="n">
        <f aca="false">IF(CAD_Cartoes!$A22="",0,CAD_Cartoes!$F22+SUMIFS(L_Valor,L_OrigTipo,"CARTAO",L_OrigID,CAD_Cartoes!$A22,L_Data,"&lt;="&amp;REL_FIM,L_Status,"REALIZADO")-SUMIFS(L_Valor,L_DestTipo,"CARTAO",L_DestID,CAD_Cartoes!$A22,L_Data,"&lt;="&amp;REL_FIM,L_Status,"REALIZADO"))</f>
        <v>0</v>
      </c>
      <c r="E252" s="10" t="n">
        <f aca="false">IF(CAD_Cartoes!$A22="",0,CAD_Cartoes!$N22)</f>
        <v>0</v>
      </c>
    </row>
    <row r="253" customFormat="false" ht="15" hidden="false" customHeight="false" outlineLevel="0" collapsed="false">
      <c r="A253" s="9" t="str">
        <f aca="false">IF(CAD_Cartoes!$A23="","",CAD_Cartoes!$B23)</f>
        <v/>
      </c>
      <c r="B253" s="10" t="n">
        <f aca="false">IF(CAD_Cartoes!$A23="",0,SUMIFS(L_Valor,L_Data,"&gt;="&amp;REL_INI,L_Data,"&lt;="&amp;REL_FIM,L_Status,"REALIZADO",L_OrigTipo,"CARTAO",L_OrigID,CAD_Cartoes!$A23))</f>
        <v>0</v>
      </c>
      <c r="C253" s="10" t="n">
        <f aca="false">IF(CAD_Cartoes!$A23="",0,SUMIFS(L_Valor,L_Data,"&gt;="&amp;REL_INI,L_Data,"&lt;="&amp;REL_FIM,L_Status,"REALIZADO",L_DestTipo,"CARTAO",L_DestID,CAD_Cartoes!$A23))</f>
        <v>0</v>
      </c>
      <c r="D253" s="10" t="n">
        <f aca="false">IF(CAD_Cartoes!$A23="",0,CAD_Cartoes!$F23+SUMIFS(L_Valor,L_OrigTipo,"CARTAO",L_OrigID,CAD_Cartoes!$A23,L_Data,"&lt;="&amp;REL_FIM,L_Status,"REALIZADO")-SUMIFS(L_Valor,L_DestTipo,"CARTAO",L_DestID,CAD_Cartoes!$A23,L_Data,"&lt;="&amp;REL_FIM,L_Status,"REALIZADO"))</f>
        <v>0</v>
      </c>
      <c r="E253" s="10" t="n">
        <f aca="false">IF(CAD_Cartoes!$A23="",0,CAD_Cartoes!$N23)</f>
        <v>0</v>
      </c>
    </row>
    <row r="254" customFormat="false" ht="15" hidden="false" customHeight="false" outlineLevel="0" collapsed="false">
      <c r="A254" s="9" t="str">
        <f aca="false">IF(CAD_Cartoes!$A24="","",CAD_Cartoes!$B24)</f>
        <v/>
      </c>
      <c r="B254" s="10" t="n">
        <f aca="false">IF(CAD_Cartoes!$A24="",0,SUMIFS(L_Valor,L_Data,"&gt;="&amp;REL_INI,L_Data,"&lt;="&amp;REL_FIM,L_Status,"REALIZADO",L_OrigTipo,"CARTAO",L_OrigID,CAD_Cartoes!$A24))</f>
        <v>0</v>
      </c>
      <c r="C254" s="10" t="n">
        <f aca="false">IF(CAD_Cartoes!$A24="",0,SUMIFS(L_Valor,L_Data,"&gt;="&amp;REL_INI,L_Data,"&lt;="&amp;REL_FIM,L_Status,"REALIZADO",L_DestTipo,"CARTAO",L_DestID,CAD_Cartoes!$A24))</f>
        <v>0</v>
      </c>
      <c r="D254" s="10" t="n">
        <f aca="false">IF(CAD_Cartoes!$A24="",0,CAD_Cartoes!$F24+SUMIFS(L_Valor,L_OrigTipo,"CARTAO",L_OrigID,CAD_Cartoes!$A24,L_Data,"&lt;="&amp;REL_FIM,L_Status,"REALIZADO")-SUMIFS(L_Valor,L_DestTipo,"CARTAO",L_DestID,CAD_Cartoes!$A24,L_Data,"&lt;="&amp;REL_FIM,L_Status,"REALIZADO"))</f>
        <v>0</v>
      </c>
      <c r="E254" s="10" t="n">
        <f aca="false">IF(CAD_Cartoes!$A24="",0,CAD_Cartoes!$N24)</f>
        <v>0</v>
      </c>
    </row>
    <row r="255" customFormat="false" ht="15" hidden="false" customHeight="false" outlineLevel="0" collapsed="false">
      <c r="A255" s="9" t="str">
        <f aca="false">IF(CAD_Cartoes!$A25="","",CAD_Cartoes!$B25)</f>
        <v/>
      </c>
      <c r="B255" s="10" t="n">
        <f aca="false">IF(CAD_Cartoes!$A25="",0,SUMIFS(L_Valor,L_Data,"&gt;="&amp;REL_INI,L_Data,"&lt;="&amp;REL_FIM,L_Status,"REALIZADO",L_OrigTipo,"CARTAO",L_OrigID,CAD_Cartoes!$A25))</f>
        <v>0</v>
      </c>
      <c r="C255" s="10" t="n">
        <f aca="false">IF(CAD_Cartoes!$A25="",0,SUMIFS(L_Valor,L_Data,"&gt;="&amp;REL_INI,L_Data,"&lt;="&amp;REL_FIM,L_Status,"REALIZADO",L_DestTipo,"CARTAO",L_DestID,CAD_Cartoes!$A25))</f>
        <v>0</v>
      </c>
      <c r="D255" s="10" t="n">
        <f aca="false">IF(CAD_Cartoes!$A25="",0,CAD_Cartoes!$F25+SUMIFS(L_Valor,L_OrigTipo,"CARTAO",L_OrigID,CAD_Cartoes!$A25,L_Data,"&lt;="&amp;REL_FIM,L_Status,"REALIZADO")-SUMIFS(L_Valor,L_DestTipo,"CARTAO",L_DestID,CAD_Cartoes!$A25,L_Data,"&lt;="&amp;REL_FIM,L_Status,"REALIZADO"))</f>
        <v>0</v>
      </c>
      <c r="E255" s="10" t="n">
        <f aca="false">IF(CAD_Cartoes!$A25="",0,CAD_Cartoes!$N25)</f>
        <v>0</v>
      </c>
    </row>
    <row r="256" customFormat="false" ht="15" hidden="false" customHeight="false" outlineLevel="0" collapsed="false">
      <c r="A256" s="9" t="str">
        <f aca="false">IF(CAD_Cartoes!$A26="","",CAD_Cartoes!$B26)</f>
        <v/>
      </c>
      <c r="B256" s="10" t="n">
        <f aca="false">IF(CAD_Cartoes!$A26="",0,SUMIFS(L_Valor,L_Data,"&gt;="&amp;REL_INI,L_Data,"&lt;="&amp;REL_FIM,L_Status,"REALIZADO",L_OrigTipo,"CARTAO",L_OrigID,CAD_Cartoes!$A26))</f>
        <v>0</v>
      </c>
      <c r="C256" s="10" t="n">
        <f aca="false">IF(CAD_Cartoes!$A26="",0,SUMIFS(L_Valor,L_Data,"&gt;="&amp;REL_INI,L_Data,"&lt;="&amp;REL_FIM,L_Status,"REALIZADO",L_DestTipo,"CARTAO",L_DestID,CAD_Cartoes!$A26))</f>
        <v>0</v>
      </c>
      <c r="D256" s="10" t="n">
        <f aca="false">IF(CAD_Cartoes!$A26="",0,CAD_Cartoes!$F26+SUMIFS(L_Valor,L_OrigTipo,"CARTAO",L_OrigID,CAD_Cartoes!$A26,L_Data,"&lt;="&amp;REL_FIM,L_Status,"REALIZADO")-SUMIFS(L_Valor,L_DestTipo,"CARTAO",L_DestID,CAD_Cartoes!$A26,L_Data,"&lt;="&amp;REL_FIM,L_Status,"REALIZADO"))</f>
        <v>0</v>
      </c>
      <c r="E256" s="10" t="n">
        <f aca="false">IF(CAD_Cartoes!$A26="",0,CAD_Cartoes!$N26)</f>
        <v>0</v>
      </c>
    </row>
    <row r="257" customFormat="false" ht="15" hidden="false" customHeight="false" outlineLevel="0" collapsed="false">
      <c r="A257" s="9" t="str">
        <f aca="false">IF(CAD_Cartoes!$A27="","",CAD_Cartoes!$B27)</f>
        <v/>
      </c>
      <c r="B257" s="10" t="n">
        <f aca="false">IF(CAD_Cartoes!$A27="",0,SUMIFS(L_Valor,L_Data,"&gt;="&amp;REL_INI,L_Data,"&lt;="&amp;REL_FIM,L_Status,"REALIZADO",L_OrigTipo,"CARTAO",L_OrigID,CAD_Cartoes!$A27))</f>
        <v>0</v>
      </c>
      <c r="C257" s="10" t="n">
        <f aca="false">IF(CAD_Cartoes!$A27="",0,SUMIFS(L_Valor,L_Data,"&gt;="&amp;REL_INI,L_Data,"&lt;="&amp;REL_FIM,L_Status,"REALIZADO",L_DestTipo,"CARTAO",L_DestID,CAD_Cartoes!$A27))</f>
        <v>0</v>
      </c>
      <c r="D257" s="10" t="n">
        <f aca="false">IF(CAD_Cartoes!$A27="",0,CAD_Cartoes!$F27+SUMIFS(L_Valor,L_OrigTipo,"CARTAO",L_OrigID,CAD_Cartoes!$A27,L_Data,"&lt;="&amp;REL_FIM,L_Status,"REALIZADO")-SUMIFS(L_Valor,L_DestTipo,"CARTAO",L_DestID,CAD_Cartoes!$A27,L_Data,"&lt;="&amp;REL_FIM,L_Status,"REALIZADO"))</f>
        <v>0</v>
      </c>
      <c r="E257" s="10" t="n">
        <f aca="false">IF(CAD_Cartoes!$A27="",0,CAD_Cartoes!$N27)</f>
        <v>0</v>
      </c>
    </row>
    <row r="258" customFormat="false" ht="15" hidden="false" customHeight="false" outlineLevel="0" collapsed="false">
      <c r="A258" s="9" t="str">
        <f aca="false">IF(CAD_Cartoes!$A28="","",CAD_Cartoes!$B28)</f>
        <v/>
      </c>
      <c r="B258" s="10" t="n">
        <f aca="false">IF(CAD_Cartoes!$A28="",0,SUMIFS(L_Valor,L_Data,"&gt;="&amp;REL_INI,L_Data,"&lt;="&amp;REL_FIM,L_Status,"REALIZADO",L_OrigTipo,"CARTAO",L_OrigID,CAD_Cartoes!$A28))</f>
        <v>0</v>
      </c>
      <c r="C258" s="10" t="n">
        <f aca="false">IF(CAD_Cartoes!$A28="",0,SUMIFS(L_Valor,L_Data,"&gt;="&amp;REL_INI,L_Data,"&lt;="&amp;REL_FIM,L_Status,"REALIZADO",L_DestTipo,"CARTAO",L_DestID,CAD_Cartoes!$A28))</f>
        <v>0</v>
      </c>
      <c r="D258" s="10" t="n">
        <f aca="false">IF(CAD_Cartoes!$A28="",0,CAD_Cartoes!$F28+SUMIFS(L_Valor,L_OrigTipo,"CARTAO",L_OrigID,CAD_Cartoes!$A28,L_Data,"&lt;="&amp;REL_FIM,L_Status,"REALIZADO")-SUMIFS(L_Valor,L_DestTipo,"CARTAO",L_DestID,CAD_Cartoes!$A28,L_Data,"&lt;="&amp;REL_FIM,L_Status,"REALIZADO"))</f>
        <v>0</v>
      </c>
      <c r="E258" s="10" t="n">
        <f aca="false">IF(CAD_Cartoes!$A28="",0,CAD_Cartoes!$N28)</f>
        <v>0</v>
      </c>
    </row>
    <row r="259" customFormat="false" ht="15" hidden="false" customHeight="false" outlineLevel="0" collapsed="false">
      <c r="A259" s="9" t="str">
        <f aca="false">IF(CAD_Cartoes!$A29="","",CAD_Cartoes!$B29)</f>
        <v/>
      </c>
      <c r="B259" s="10" t="n">
        <f aca="false">IF(CAD_Cartoes!$A29="",0,SUMIFS(L_Valor,L_Data,"&gt;="&amp;REL_INI,L_Data,"&lt;="&amp;REL_FIM,L_Status,"REALIZADO",L_OrigTipo,"CARTAO",L_OrigID,CAD_Cartoes!$A29))</f>
        <v>0</v>
      </c>
      <c r="C259" s="10" t="n">
        <f aca="false">IF(CAD_Cartoes!$A29="",0,SUMIFS(L_Valor,L_Data,"&gt;="&amp;REL_INI,L_Data,"&lt;="&amp;REL_FIM,L_Status,"REALIZADO",L_DestTipo,"CARTAO",L_DestID,CAD_Cartoes!$A29))</f>
        <v>0</v>
      </c>
      <c r="D259" s="10" t="n">
        <f aca="false">IF(CAD_Cartoes!$A29="",0,CAD_Cartoes!$F29+SUMIFS(L_Valor,L_OrigTipo,"CARTAO",L_OrigID,CAD_Cartoes!$A29,L_Data,"&lt;="&amp;REL_FIM,L_Status,"REALIZADO")-SUMIFS(L_Valor,L_DestTipo,"CARTAO",L_DestID,CAD_Cartoes!$A29,L_Data,"&lt;="&amp;REL_FIM,L_Status,"REALIZADO"))</f>
        <v>0</v>
      </c>
      <c r="E259" s="10" t="n">
        <f aca="false">IF(CAD_Cartoes!$A29="",0,CAD_Cartoes!$N29)</f>
        <v>0</v>
      </c>
    </row>
    <row r="260" customFormat="false" ht="15" hidden="false" customHeight="false" outlineLevel="0" collapsed="false">
      <c r="A260" s="9" t="str">
        <f aca="false">IF(CAD_Cartoes!$A30="","",CAD_Cartoes!$B30)</f>
        <v/>
      </c>
      <c r="B260" s="10" t="n">
        <f aca="false">IF(CAD_Cartoes!$A30="",0,SUMIFS(L_Valor,L_Data,"&gt;="&amp;REL_INI,L_Data,"&lt;="&amp;REL_FIM,L_Status,"REALIZADO",L_OrigTipo,"CARTAO",L_OrigID,CAD_Cartoes!$A30))</f>
        <v>0</v>
      </c>
      <c r="C260" s="10" t="n">
        <f aca="false">IF(CAD_Cartoes!$A30="",0,SUMIFS(L_Valor,L_Data,"&gt;="&amp;REL_INI,L_Data,"&lt;="&amp;REL_FIM,L_Status,"REALIZADO",L_DestTipo,"CARTAO",L_DestID,CAD_Cartoes!$A30))</f>
        <v>0</v>
      </c>
      <c r="D260" s="10" t="n">
        <f aca="false">IF(CAD_Cartoes!$A30="",0,CAD_Cartoes!$F30+SUMIFS(L_Valor,L_OrigTipo,"CARTAO",L_OrigID,CAD_Cartoes!$A30,L_Data,"&lt;="&amp;REL_FIM,L_Status,"REALIZADO")-SUMIFS(L_Valor,L_DestTipo,"CARTAO",L_DestID,CAD_Cartoes!$A30,L_Data,"&lt;="&amp;REL_FIM,L_Status,"REALIZADO"))</f>
        <v>0</v>
      </c>
      <c r="E260" s="10" t="n">
        <f aca="false">IF(CAD_Cartoes!$A30="",0,CAD_Cartoes!$N30)</f>
        <v>0</v>
      </c>
    </row>
    <row r="261" customFormat="false" ht="15" hidden="false" customHeight="false" outlineLevel="0" collapsed="false">
      <c r="A261" s="9" t="str">
        <f aca="false">IF(CAD_Cartoes!$A31="","",CAD_Cartoes!$B31)</f>
        <v/>
      </c>
      <c r="B261" s="10" t="n">
        <f aca="false">IF(CAD_Cartoes!$A31="",0,SUMIFS(L_Valor,L_Data,"&gt;="&amp;REL_INI,L_Data,"&lt;="&amp;REL_FIM,L_Status,"REALIZADO",L_OrigTipo,"CARTAO",L_OrigID,CAD_Cartoes!$A31))</f>
        <v>0</v>
      </c>
      <c r="C261" s="10" t="n">
        <f aca="false">IF(CAD_Cartoes!$A31="",0,SUMIFS(L_Valor,L_Data,"&gt;="&amp;REL_INI,L_Data,"&lt;="&amp;REL_FIM,L_Status,"REALIZADO",L_DestTipo,"CARTAO",L_DestID,CAD_Cartoes!$A31))</f>
        <v>0</v>
      </c>
      <c r="D261" s="10" t="n">
        <f aca="false">IF(CAD_Cartoes!$A31="",0,CAD_Cartoes!$F31+SUMIFS(L_Valor,L_OrigTipo,"CARTAO",L_OrigID,CAD_Cartoes!$A31,L_Data,"&lt;="&amp;REL_FIM,L_Status,"REALIZADO")-SUMIFS(L_Valor,L_DestTipo,"CARTAO",L_DestID,CAD_Cartoes!$A31,L_Data,"&lt;="&amp;REL_FIM,L_Status,"REALIZADO"))</f>
        <v>0</v>
      </c>
      <c r="E261" s="10" t="n">
        <f aca="false">IF(CAD_Cartoes!$A31="",0,CAD_Cartoes!$N31)</f>
        <v>0</v>
      </c>
    </row>
    <row r="262" customFormat="false" ht="15" hidden="false" customHeight="false" outlineLevel="0" collapsed="false">
      <c r="A262" s="9" t="str">
        <f aca="false">IF(CAD_Cartoes!$A32="","",CAD_Cartoes!$B32)</f>
        <v/>
      </c>
      <c r="B262" s="10" t="n">
        <f aca="false">IF(CAD_Cartoes!$A32="",0,SUMIFS(L_Valor,L_Data,"&gt;="&amp;REL_INI,L_Data,"&lt;="&amp;REL_FIM,L_Status,"REALIZADO",L_OrigTipo,"CARTAO",L_OrigID,CAD_Cartoes!$A32))</f>
        <v>0</v>
      </c>
      <c r="C262" s="10" t="n">
        <f aca="false">IF(CAD_Cartoes!$A32="",0,SUMIFS(L_Valor,L_Data,"&gt;="&amp;REL_INI,L_Data,"&lt;="&amp;REL_FIM,L_Status,"REALIZADO",L_DestTipo,"CARTAO",L_DestID,CAD_Cartoes!$A32))</f>
        <v>0</v>
      </c>
      <c r="D262" s="10" t="n">
        <f aca="false">IF(CAD_Cartoes!$A32="",0,CAD_Cartoes!$F32+SUMIFS(L_Valor,L_OrigTipo,"CARTAO",L_OrigID,CAD_Cartoes!$A32,L_Data,"&lt;="&amp;REL_FIM,L_Status,"REALIZADO")-SUMIFS(L_Valor,L_DestTipo,"CARTAO",L_DestID,CAD_Cartoes!$A32,L_Data,"&lt;="&amp;REL_FIM,L_Status,"REALIZADO"))</f>
        <v>0</v>
      </c>
      <c r="E262" s="10" t="n">
        <f aca="false">IF(CAD_Cartoes!$A32="",0,CAD_Cartoes!$N32)</f>
        <v>0</v>
      </c>
    </row>
    <row r="263" customFormat="false" ht="15" hidden="false" customHeight="false" outlineLevel="0" collapsed="false">
      <c r="A263" s="9" t="str">
        <f aca="false">IF(CAD_Cartoes!$A33="","",CAD_Cartoes!$B33)</f>
        <v/>
      </c>
      <c r="B263" s="10" t="n">
        <f aca="false">IF(CAD_Cartoes!$A33="",0,SUMIFS(L_Valor,L_Data,"&gt;="&amp;REL_INI,L_Data,"&lt;="&amp;REL_FIM,L_Status,"REALIZADO",L_OrigTipo,"CARTAO",L_OrigID,CAD_Cartoes!$A33))</f>
        <v>0</v>
      </c>
      <c r="C263" s="10" t="n">
        <f aca="false">IF(CAD_Cartoes!$A33="",0,SUMIFS(L_Valor,L_Data,"&gt;="&amp;REL_INI,L_Data,"&lt;="&amp;REL_FIM,L_Status,"REALIZADO",L_DestTipo,"CARTAO",L_DestID,CAD_Cartoes!$A33))</f>
        <v>0</v>
      </c>
      <c r="D263" s="10" t="n">
        <f aca="false">IF(CAD_Cartoes!$A33="",0,CAD_Cartoes!$F33+SUMIFS(L_Valor,L_OrigTipo,"CARTAO",L_OrigID,CAD_Cartoes!$A33,L_Data,"&lt;="&amp;REL_FIM,L_Status,"REALIZADO")-SUMIFS(L_Valor,L_DestTipo,"CARTAO",L_DestID,CAD_Cartoes!$A33,L_Data,"&lt;="&amp;REL_FIM,L_Status,"REALIZADO"))</f>
        <v>0</v>
      </c>
      <c r="E263" s="10" t="n">
        <f aca="false">IF(CAD_Cartoes!$A33="",0,CAD_Cartoes!$N33)</f>
        <v>0</v>
      </c>
    </row>
    <row r="264" customFormat="false" ht="15" hidden="false" customHeight="false" outlineLevel="0" collapsed="false">
      <c r="A264" s="9" t="str">
        <f aca="false">IF(CAD_Cartoes!$A34="","",CAD_Cartoes!$B34)</f>
        <v/>
      </c>
      <c r="B264" s="10" t="n">
        <f aca="false">IF(CAD_Cartoes!$A34="",0,SUMIFS(L_Valor,L_Data,"&gt;="&amp;REL_INI,L_Data,"&lt;="&amp;REL_FIM,L_Status,"REALIZADO",L_OrigTipo,"CARTAO",L_OrigID,CAD_Cartoes!$A34))</f>
        <v>0</v>
      </c>
      <c r="C264" s="10" t="n">
        <f aca="false">IF(CAD_Cartoes!$A34="",0,SUMIFS(L_Valor,L_Data,"&gt;="&amp;REL_INI,L_Data,"&lt;="&amp;REL_FIM,L_Status,"REALIZADO",L_DestTipo,"CARTAO",L_DestID,CAD_Cartoes!$A34))</f>
        <v>0</v>
      </c>
      <c r="D264" s="10" t="n">
        <f aca="false">IF(CAD_Cartoes!$A34="",0,CAD_Cartoes!$F34+SUMIFS(L_Valor,L_OrigTipo,"CARTAO",L_OrigID,CAD_Cartoes!$A34,L_Data,"&lt;="&amp;REL_FIM,L_Status,"REALIZADO")-SUMIFS(L_Valor,L_DestTipo,"CARTAO",L_DestID,CAD_Cartoes!$A34,L_Data,"&lt;="&amp;REL_FIM,L_Status,"REALIZADO"))</f>
        <v>0</v>
      </c>
      <c r="E264" s="10" t="n">
        <f aca="false">IF(CAD_Cartoes!$A34="",0,CAD_Cartoes!$N34)</f>
        <v>0</v>
      </c>
    </row>
    <row r="265" customFormat="false" ht="15" hidden="false" customHeight="false" outlineLevel="0" collapsed="false">
      <c r="A265" s="9" t="str">
        <f aca="false">IF(CAD_Cartoes!$A35="","",CAD_Cartoes!$B35)</f>
        <v/>
      </c>
      <c r="B265" s="10" t="n">
        <f aca="false">IF(CAD_Cartoes!$A35="",0,SUMIFS(L_Valor,L_Data,"&gt;="&amp;REL_INI,L_Data,"&lt;="&amp;REL_FIM,L_Status,"REALIZADO",L_OrigTipo,"CARTAO",L_OrigID,CAD_Cartoes!$A35))</f>
        <v>0</v>
      </c>
      <c r="C265" s="10" t="n">
        <f aca="false">IF(CAD_Cartoes!$A35="",0,SUMIFS(L_Valor,L_Data,"&gt;="&amp;REL_INI,L_Data,"&lt;="&amp;REL_FIM,L_Status,"REALIZADO",L_DestTipo,"CARTAO",L_DestID,CAD_Cartoes!$A35))</f>
        <v>0</v>
      </c>
      <c r="D265" s="10" t="n">
        <f aca="false">IF(CAD_Cartoes!$A35="",0,CAD_Cartoes!$F35+SUMIFS(L_Valor,L_OrigTipo,"CARTAO",L_OrigID,CAD_Cartoes!$A35,L_Data,"&lt;="&amp;REL_FIM,L_Status,"REALIZADO")-SUMIFS(L_Valor,L_DestTipo,"CARTAO",L_DestID,CAD_Cartoes!$A35,L_Data,"&lt;="&amp;REL_FIM,L_Status,"REALIZADO"))</f>
        <v>0</v>
      </c>
      <c r="E265" s="10" t="n">
        <f aca="false">IF(CAD_Cartoes!$A35="",0,CAD_Cartoes!$N35)</f>
        <v>0</v>
      </c>
    </row>
    <row r="266" customFormat="false" ht="15" hidden="false" customHeight="false" outlineLevel="0" collapsed="false">
      <c r="A266" s="9" t="str">
        <f aca="false">IF(CAD_Cartoes!$A36="","",CAD_Cartoes!$B36)</f>
        <v/>
      </c>
      <c r="B266" s="10" t="n">
        <f aca="false">IF(CAD_Cartoes!$A36="",0,SUMIFS(L_Valor,L_Data,"&gt;="&amp;REL_INI,L_Data,"&lt;="&amp;REL_FIM,L_Status,"REALIZADO",L_OrigTipo,"CARTAO",L_OrigID,CAD_Cartoes!$A36))</f>
        <v>0</v>
      </c>
      <c r="C266" s="10" t="n">
        <f aca="false">IF(CAD_Cartoes!$A36="",0,SUMIFS(L_Valor,L_Data,"&gt;="&amp;REL_INI,L_Data,"&lt;="&amp;REL_FIM,L_Status,"REALIZADO",L_DestTipo,"CARTAO",L_DestID,CAD_Cartoes!$A36))</f>
        <v>0</v>
      </c>
      <c r="D266" s="10" t="n">
        <f aca="false">IF(CAD_Cartoes!$A36="",0,CAD_Cartoes!$F36+SUMIFS(L_Valor,L_OrigTipo,"CARTAO",L_OrigID,CAD_Cartoes!$A36,L_Data,"&lt;="&amp;REL_FIM,L_Status,"REALIZADO")-SUMIFS(L_Valor,L_DestTipo,"CARTAO",L_DestID,CAD_Cartoes!$A36,L_Data,"&lt;="&amp;REL_FIM,L_Status,"REALIZADO"))</f>
        <v>0</v>
      </c>
      <c r="E266" s="10" t="n">
        <f aca="false">IF(CAD_Cartoes!$A36="",0,CAD_Cartoes!$N36)</f>
        <v>0</v>
      </c>
    </row>
    <row r="267" customFormat="false" ht="15" hidden="false" customHeight="false" outlineLevel="0" collapsed="false">
      <c r="A267" s="9" t="str">
        <f aca="false">IF(CAD_Cartoes!$A37="","",CAD_Cartoes!$B37)</f>
        <v/>
      </c>
      <c r="B267" s="10" t="n">
        <f aca="false">IF(CAD_Cartoes!$A37="",0,SUMIFS(L_Valor,L_Data,"&gt;="&amp;REL_INI,L_Data,"&lt;="&amp;REL_FIM,L_Status,"REALIZADO",L_OrigTipo,"CARTAO",L_OrigID,CAD_Cartoes!$A37))</f>
        <v>0</v>
      </c>
      <c r="C267" s="10" t="n">
        <f aca="false">IF(CAD_Cartoes!$A37="",0,SUMIFS(L_Valor,L_Data,"&gt;="&amp;REL_INI,L_Data,"&lt;="&amp;REL_FIM,L_Status,"REALIZADO",L_DestTipo,"CARTAO",L_DestID,CAD_Cartoes!$A37))</f>
        <v>0</v>
      </c>
      <c r="D267" s="10" t="n">
        <f aca="false">IF(CAD_Cartoes!$A37="",0,CAD_Cartoes!$F37+SUMIFS(L_Valor,L_OrigTipo,"CARTAO",L_OrigID,CAD_Cartoes!$A37,L_Data,"&lt;="&amp;REL_FIM,L_Status,"REALIZADO")-SUMIFS(L_Valor,L_DestTipo,"CARTAO",L_DestID,CAD_Cartoes!$A37,L_Data,"&lt;="&amp;REL_FIM,L_Status,"REALIZADO"))</f>
        <v>0</v>
      </c>
      <c r="E267" s="10" t="n">
        <f aca="false">IF(CAD_Cartoes!$A37="",0,CAD_Cartoes!$N37)</f>
        <v>0</v>
      </c>
    </row>
    <row r="268" customFormat="false" ht="15" hidden="false" customHeight="false" outlineLevel="0" collapsed="false">
      <c r="A268" s="9" t="str">
        <f aca="false">IF(CAD_Cartoes!$A38="","",CAD_Cartoes!$B38)</f>
        <v/>
      </c>
      <c r="B268" s="10" t="n">
        <f aca="false">IF(CAD_Cartoes!$A38="",0,SUMIFS(L_Valor,L_Data,"&gt;="&amp;REL_INI,L_Data,"&lt;="&amp;REL_FIM,L_Status,"REALIZADO",L_OrigTipo,"CARTAO",L_OrigID,CAD_Cartoes!$A38))</f>
        <v>0</v>
      </c>
      <c r="C268" s="10" t="n">
        <f aca="false">IF(CAD_Cartoes!$A38="",0,SUMIFS(L_Valor,L_Data,"&gt;="&amp;REL_INI,L_Data,"&lt;="&amp;REL_FIM,L_Status,"REALIZADO",L_DestTipo,"CARTAO",L_DestID,CAD_Cartoes!$A38))</f>
        <v>0</v>
      </c>
      <c r="D268" s="10" t="n">
        <f aca="false">IF(CAD_Cartoes!$A38="",0,CAD_Cartoes!$F38+SUMIFS(L_Valor,L_OrigTipo,"CARTAO",L_OrigID,CAD_Cartoes!$A38,L_Data,"&lt;="&amp;REL_FIM,L_Status,"REALIZADO")-SUMIFS(L_Valor,L_DestTipo,"CARTAO",L_DestID,CAD_Cartoes!$A38,L_Data,"&lt;="&amp;REL_FIM,L_Status,"REALIZADO"))</f>
        <v>0</v>
      </c>
      <c r="E268" s="10" t="n">
        <f aca="false">IF(CAD_Cartoes!$A38="",0,CAD_Cartoes!$N38)</f>
        <v>0</v>
      </c>
    </row>
    <row r="269" customFormat="false" ht="15" hidden="false" customHeight="false" outlineLevel="0" collapsed="false">
      <c r="A269" s="9" t="str">
        <f aca="false">IF(CAD_Cartoes!$A39="","",CAD_Cartoes!$B39)</f>
        <v/>
      </c>
      <c r="B269" s="10" t="n">
        <f aca="false">IF(CAD_Cartoes!$A39="",0,SUMIFS(L_Valor,L_Data,"&gt;="&amp;REL_INI,L_Data,"&lt;="&amp;REL_FIM,L_Status,"REALIZADO",L_OrigTipo,"CARTAO",L_OrigID,CAD_Cartoes!$A39))</f>
        <v>0</v>
      </c>
      <c r="C269" s="10" t="n">
        <f aca="false">IF(CAD_Cartoes!$A39="",0,SUMIFS(L_Valor,L_Data,"&gt;="&amp;REL_INI,L_Data,"&lt;="&amp;REL_FIM,L_Status,"REALIZADO",L_DestTipo,"CARTAO",L_DestID,CAD_Cartoes!$A39))</f>
        <v>0</v>
      </c>
      <c r="D269" s="10" t="n">
        <f aca="false">IF(CAD_Cartoes!$A39="",0,CAD_Cartoes!$F39+SUMIFS(L_Valor,L_OrigTipo,"CARTAO",L_OrigID,CAD_Cartoes!$A39,L_Data,"&lt;="&amp;REL_FIM,L_Status,"REALIZADO")-SUMIFS(L_Valor,L_DestTipo,"CARTAO",L_DestID,CAD_Cartoes!$A39,L_Data,"&lt;="&amp;REL_FIM,L_Status,"REALIZADO"))</f>
        <v>0</v>
      </c>
      <c r="E269" s="10" t="n">
        <f aca="false">IF(CAD_Cartoes!$A39="",0,CAD_Cartoes!$N39)</f>
        <v>0</v>
      </c>
    </row>
    <row r="270" customFormat="false" ht="15" hidden="false" customHeight="false" outlineLevel="0" collapsed="false">
      <c r="A270" s="9" t="str">
        <f aca="false">IF(CAD_Cartoes!$A40="","",CAD_Cartoes!$B40)</f>
        <v/>
      </c>
      <c r="B270" s="10" t="n">
        <f aca="false">IF(CAD_Cartoes!$A40="",0,SUMIFS(L_Valor,L_Data,"&gt;="&amp;REL_INI,L_Data,"&lt;="&amp;REL_FIM,L_Status,"REALIZADO",L_OrigTipo,"CARTAO",L_OrigID,CAD_Cartoes!$A40))</f>
        <v>0</v>
      </c>
      <c r="C270" s="10" t="n">
        <f aca="false">IF(CAD_Cartoes!$A40="",0,SUMIFS(L_Valor,L_Data,"&gt;="&amp;REL_INI,L_Data,"&lt;="&amp;REL_FIM,L_Status,"REALIZADO",L_DestTipo,"CARTAO",L_DestID,CAD_Cartoes!$A40))</f>
        <v>0</v>
      </c>
      <c r="D270" s="10" t="n">
        <f aca="false">IF(CAD_Cartoes!$A40="",0,CAD_Cartoes!$F40+SUMIFS(L_Valor,L_OrigTipo,"CARTAO",L_OrigID,CAD_Cartoes!$A40,L_Data,"&lt;="&amp;REL_FIM,L_Status,"REALIZADO")-SUMIFS(L_Valor,L_DestTipo,"CARTAO",L_DestID,CAD_Cartoes!$A40,L_Data,"&lt;="&amp;REL_FIM,L_Status,"REALIZADO"))</f>
        <v>0</v>
      </c>
      <c r="E270" s="10" t="n">
        <f aca="false">IF(CAD_Cartoes!$A40="",0,CAD_Cartoes!$N40)</f>
        <v>0</v>
      </c>
    </row>
    <row r="271" customFormat="false" ht="15" hidden="false" customHeight="false" outlineLevel="0" collapsed="false">
      <c r="A271" s="9" t="str">
        <f aca="false">IF(CAD_Cartoes!$A41="","",CAD_Cartoes!$B41)</f>
        <v/>
      </c>
      <c r="B271" s="10" t="n">
        <f aca="false">IF(CAD_Cartoes!$A41="",0,SUMIFS(L_Valor,L_Data,"&gt;="&amp;REL_INI,L_Data,"&lt;="&amp;REL_FIM,L_Status,"REALIZADO",L_OrigTipo,"CARTAO",L_OrigID,CAD_Cartoes!$A41))</f>
        <v>0</v>
      </c>
      <c r="C271" s="10" t="n">
        <f aca="false">IF(CAD_Cartoes!$A41="",0,SUMIFS(L_Valor,L_Data,"&gt;="&amp;REL_INI,L_Data,"&lt;="&amp;REL_FIM,L_Status,"REALIZADO",L_DestTipo,"CARTAO",L_DestID,CAD_Cartoes!$A41))</f>
        <v>0</v>
      </c>
      <c r="D271" s="10" t="n">
        <f aca="false">IF(CAD_Cartoes!$A41="",0,CAD_Cartoes!$F41+SUMIFS(L_Valor,L_OrigTipo,"CARTAO",L_OrigID,CAD_Cartoes!$A41,L_Data,"&lt;="&amp;REL_FIM,L_Status,"REALIZADO")-SUMIFS(L_Valor,L_DestTipo,"CARTAO",L_DestID,CAD_Cartoes!$A41,L_Data,"&lt;="&amp;REL_FIM,L_Status,"REALIZADO"))</f>
        <v>0</v>
      </c>
      <c r="E271" s="10" t="n">
        <f aca="false">IF(CAD_Cartoes!$A41="",0,CAD_Cartoes!$N41)</f>
        <v>0</v>
      </c>
    </row>
    <row r="272" customFormat="false" ht="15" hidden="false" customHeight="false" outlineLevel="0" collapsed="false">
      <c r="A272" s="9" t="str">
        <f aca="false">IF(CAD_Cartoes!$A42="","",CAD_Cartoes!$B42)</f>
        <v/>
      </c>
      <c r="B272" s="10" t="n">
        <f aca="false">IF(CAD_Cartoes!$A42="",0,SUMIFS(L_Valor,L_Data,"&gt;="&amp;REL_INI,L_Data,"&lt;="&amp;REL_FIM,L_Status,"REALIZADO",L_OrigTipo,"CARTAO",L_OrigID,CAD_Cartoes!$A42))</f>
        <v>0</v>
      </c>
      <c r="C272" s="10" t="n">
        <f aca="false">IF(CAD_Cartoes!$A42="",0,SUMIFS(L_Valor,L_Data,"&gt;="&amp;REL_INI,L_Data,"&lt;="&amp;REL_FIM,L_Status,"REALIZADO",L_DestTipo,"CARTAO",L_DestID,CAD_Cartoes!$A42))</f>
        <v>0</v>
      </c>
      <c r="D272" s="10" t="n">
        <f aca="false">IF(CAD_Cartoes!$A42="",0,CAD_Cartoes!$F42+SUMIFS(L_Valor,L_OrigTipo,"CARTAO",L_OrigID,CAD_Cartoes!$A42,L_Data,"&lt;="&amp;REL_FIM,L_Status,"REALIZADO")-SUMIFS(L_Valor,L_DestTipo,"CARTAO",L_DestID,CAD_Cartoes!$A42,L_Data,"&lt;="&amp;REL_FIM,L_Status,"REALIZADO"))</f>
        <v>0</v>
      </c>
      <c r="E272" s="10" t="n">
        <f aca="false">IF(CAD_Cartoes!$A42="",0,CAD_Cartoes!$N42)</f>
        <v>0</v>
      </c>
    </row>
    <row r="273" customFormat="false" ht="15" hidden="false" customHeight="false" outlineLevel="0" collapsed="false">
      <c r="A273" s="9" t="str">
        <f aca="false">IF(CAD_Cartoes!$A43="","",CAD_Cartoes!$B43)</f>
        <v/>
      </c>
      <c r="B273" s="10" t="n">
        <f aca="false">IF(CAD_Cartoes!$A43="",0,SUMIFS(L_Valor,L_Data,"&gt;="&amp;REL_INI,L_Data,"&lt;="&amp;REL_FIM,L_Status,"REALIZADO",L_OrigTipo,"CARTAO",L_OrigID,CAD_Cartoes!$A43))</f>
        <v>0</v>
      </c>
      <c r="C273" s="10" t="n">
        <f aca="false">IF(CAD_Cartoes!$A43="",0,SUMIFS(L_Valor,L_Data,"&gt;="&amp;REL_INI,L_Data,"&lt;="&amp;REL_FIM,L_Status,"REALIZADO",L_DestTipo,"CARTAO",L_DestID,CAD_Cartoes!$A43))</f>
        <v>0</v>
      </c>
      <c r="D273" s="10" t="n">
        <f aca="false">IF(CAD_Cartoes!$A43="",0,CAD_Cartoes!$F43+SUMIFS(L_Valor,L_OrigTipo,"CARTAO",L_OrigID,CAD_Cartoes!$A43,L_Data,"&lt;="&amp;REL_FIM,L_Status,"REALIZADO")-SUMIFS(L_Valor,L_DestTipo,"CARTAO",L_DestID,CAD_Cartoes!$A43,L_Data,"&lt;="&amp;REL_FIM,L_Status,"REALIZADO"))</f>
        <v>0</v>
      </c>
      <c r="E273" s="10" t="n">
        <f aca="false">IF(CAD_Cartoes!$A43="",0,CAD_Cartoes!$N43)</f>
        <v>0</v>
      </c>
    </row>
    <row r="274" customFormat="false" ht="15" hidden="false" customHeight="false" outlineLevel="0" collapsed="false">
      <c r="A274" s="9" t="str">
        <f aca="false">IF(CAD_Cartoes!$A44="","",CAD_Cartoes!$B44)</f>
        <v/>
      </c>
      <c r="B274" s="10" t="n">
        <f aca="false">IF(CAD_Cartoes!$A44="",0,SUMIFS(L_Valor,L_Data,"&gt;="&amp;REL_INI,L_Data,"&lt;="&amp;REL_FIM,L_Status,"REALIZADO",L_OrigTipo,"CARTAO",L_OrigID,CAD_Cartoes!$A44))</f>
        <v>0</v>
      </c>
      <c r="C274" s="10" t="n">
        <f aca="false">IF(CAD_Cartoes!$A44="",0,SUMIFS(L_Valor,L_Data,"&gt;="&amp;REL_INI,L_Data,"&lt;="&amp;REL_FIM,L_Status,"REALIZADO",L_DestTipo,"CARTAO",L_DestID,CAD_Cartoes!$A44))</f>
        <v>0</v>
      </c>
      <c r="D274" s="10" t="n">
        <f aca="false">IF(CAD_Cartoes!$A44="",0,CAD_Cartoes!$F44+SUMIFS(L_Valor,L_OrigTipo,"CARTAO",L_OrigID,CAD_Cartoes!$A44,L_Data,"&lt;="&amp;REL_FIM,L_Status,"REALIZADO")-SUMIFS(L_Valor,L_DestTipo,"CARTAO",L_DestID,CAD_Cartoes!$A44,L_Data,"&lt;="&amp;REL_FIM,L_Status,"REALIZADO"))</f>
        <v>0</v>
      </c>
      <c r="E274" s="10" t="n">
        <f aca="false">IF(CAD_Cartoes!$A44="",0,CAD_Cartoes!$N44)</f>
        <v>0</v>
      </c>
    </row>
    <row r="276" customFormat="false" ht="19.5" hidden="false" customHeight="true" outlineLevel="0" collapsed="false">
      <c r="A276" s="3" t="s">
        <v>411</v>
      </c>
      <c r="B276" s="3"/>
      <c r="C276" s="3"/>
      <c r="D276" s="3"/>
      <c r="E276" s="3"/>
      <c r="F276" s="3"/>
      <c r="G276" s="3"/>
    </row>
    <row r="277" customFormat="false" ht="30" hidden="false" customHeight="true" outlineLevel="0" collapsed="false">
      <c r="A277" s="8" t="s">
        <v>148</v>
      </c>
      <c r="B277" s="8" t="s">
        <v>412</v>
      </c>
      <c r="C277" s="8" t="s">
        <v>84</v>
      </c>
    </row>
    <row r="278" customFormat="false" ht="15" hidden="false" customHeight="false" outlineLevel="0" collapsed="false">
      <c r="A278" s="9" t="s">
        <v>413</v>
      </c>
      <c r="B278" s="43" t="n">
        <f aca="false">COUNTIFS(P_VENC,"&gt;="&amp;REL_INI,P_VENC,"&lt;="&amp;REL_FIM,P_STATUS,"PAGA")</f>
        <v>0</v>
      </c>
      <c r="C278" s="10" t="n">
        <f aca="false">SUMIFS(P_VALOR,P_VENC,"&gt;="&amp;REL_INI,P_VENC,"&lt;="&amp;REL_FIM,P_STATUS,"PAGA")</f>
        <v>0</v>
      </c>
    </row>
    <row r="279" customFormat="false" ht="15" hidden="false" customHeight="false" outlineLevel="0" collapsed="false">
      <c r="A279" s="9" t="s">
        <v>414</v>
      </c>
      <c r="B279" s="43" t="n">
        <f aca="false">COUNTIFS(P_VENC,"&gt;="&amp;REL_INI,P_VENC,"&lt;="&amp;REL_FIM,P_STATUS,"ABERTA")</f>
        <v>0</v>
      </c>
      <c r="C279" s="10" t="n">
        <f aca="false">SUMIFS(P_VALOR,P_VENC,"&gt;="&amp;REL_INI,P_VENC,"&lt;="&amp;REL_FIM,P_STATUS,"ABERTA")</f>
        <v>0</v>
      </c>
    </row>
    <row r="280" customFormat="false" ht="15" hidden="false" customHeight="false" outlineLevel="0" collapsed="false">
      <c r="A280" s="9" t="s">
        <v>415</v>
      </c>
      <c r="B280" s="43" t="n">
        <f aca="false">COUNTIFS(P_VENC,"&gt;="&amp;REL_INI,P_VENC,"&lt;="&amp;REL_FIM,P_STATUS,"ATRASADA")</f>
        <v>0</v>
      </c>
      <c r="C280" s="10" t="n">
        <f aca="false">SUMIFS(P_VALOR,P_VENC,"&gt;="&amp;REL_INI,P_VENC,"&lt;="&amp;REL_FIM,P_STATUS,"ATRASADA")</f>
        <v>0</v>
      </c>
    </row>
    <row r="281" customFormat="false" ht="15" hidden="false" customHeight="false" outlineLevel="0" collapsed="false">
      <c r="A281" s="9" t="s">
        <v>416</v>
      </c>
      <c r="B281" s="43" t="n">
        <f aca="false">COUNTIFS(P_VENC,"&gt;="&amp;REL_INI,P_VENC,"&lt;="&amp;REL_FIM,P_STATUS,"PROJETADA")</f>
        <v>0</v>
      </c>
      <c r="C281" s="10" t="n">
        <f aca="false">SUMIFS(P_VALOR,P_VENC,"&gt;="&amp;REL_INI,P_VENC,"&lt;="&amp;REL_FIM,P_STATUS,"PROJETADA")</f>
        <v>0</v>
      </c>
    </row>
    <row r="282" customFormat="false" ht="15" hidden="false" customHeight="false" outlineLevel="0" collapsed="false">
      <c r="A282" s="9" t="s">
        <v>417</v>
      </c>
      <c r="B282" s="43" t="n">
        <f aca="false">COUNTIFS(P_VENC,"&gt;="&amp;REL_INI,P_VENC,"&lt;="&amp;REL_FIM,P_STATUS,"CANCELADA")</f>
        <v>0</v>
      </c>
      <c r="C282" s="10" t="n">
        <f aca="false">SUMIFS(P_VALOR,P_VENC,"&gt;="&amp;REL_INI,P_VENC,"&lt;="&amp;REL_FIM,P_STATUS,"CANCELADA")</f>
        <v>0</v>
      </c>
    </row>
    <row r="283" customFormat="false" ht="15" hidden="false" customHeight="false" outlineLevel="0" collapsed="false">
      <c r="A283" s="9" t="s">
        <v>418</v>
      </c>
      <c r="B283" s="43" t="n">
        <f aca="false">SUM($B278:$B282)</f>
        <v>0</v>
      </c>
      <c r="C283" s="10" t="n">
        <f aca="false">SUM($C278:$C282)</f>
        <v>0</v>
      </c>
    </row>
    <row r="285" customFormat="false" ht="19.5" hidden="false" customHeight="true" outlineLevel="0" collapsed="false">
      <c r="A285" s="3" t="s">
        <v>419</v>
      </c>
      <c r="B285" s="3"/>
      <c r="C285" s="3"/>
      <c r="D285" s="3"/>
      <c r="E285" s="3"/>
      <c r="F285" s="3"/>
      <c r="G285" s="3"/>
    </row>
    <row r="286" customFormat="false" ht="30" hidden="false" customHeight="true" outlineLevel="0" collapsed="false">
      <c r="A286" s="8" t="s">
        <v>375</v>
      </c>
      <c r="B286" s="8" t="s">
        <v>420</v>
      </c>
      <c r="C286" s="8" t="s">
        <v>421</v>
      </c>
      <c r="D286" s="8" t="s">
        <v>422</v>
      </c>
      <c r="E286" s="8" t="s">
        <v>206</v>
      </c>
    </row>
    <row r="287" customFormat="false" ht="15" hidden="false" customHeight="false" outlineLevel="0" collapsed="false">
      <c r="A287" s="9" t="str">
        <f aca="false">IF(CAD_Investimentos!$A5="","",CAD_Investimentos!$B5)</f>
        <v/>
      </c>
      <c r="B287" s="10" t="n">
        <f aca="false">IF(CAD_Investimentos!$A5="",0,SUMIFS(L_Valor,L_Data,"&gt;="&amp;REL_INI,L_Data,"&lt;="&amp;REL_FIM,L_Status,"REALIZADO",L_Tipo,"APORTE",L_DestID,CAD_Investimentos!$A5))</f>
        <v>0</v>
      </c>
      <c r="C287" s="10" t="n">
        <f aca="false">IF(CAD_Investimentos!$A5="",0,SUMIFS(L_Valor,L_Data,"&gt;="&amp;REL_INI,L_Data,"&lt;="&amp;REL_FIM,L_Status,"REALIZADO",L_Tipo,"RESGATE",L_OrigID,CAD_Investimentos!$A5))</f>
        <v>0</v>
      </c>
      <c r="D287" s="10" t="n">
        <f aca="false">IF(CAD_Investimentos!$A5="",0,SUMIFS(L_Valor,L_Data,"&gt;="&amp;REL_INI,L_Data,"&lt;="&amp;REL_FIM,L_Status,"REALIZADO",L_Tipo,"RENDIMENTO",L_DestID,CAD_Investimentos!$A5))</f>
        <v>0</v>
      </c>
      <c r="E287" s="10" t="n">
        <f aca="false">IF(CAD_Investimentos!$A5="",0,CAD_Investimentos!$O5)</f>
        <v>0</v>
      </c>
    </row>
    <row r="288" customFormat="false" ht="15" hidden="false" customHeight="false" outlineLevel="0" collapsed="false">
      <c r="A288" s="9" t="str">
        <f aca="false">IF(CAD_Investimentos!$A6="","",CAD_Investimentos!$B6)</f>
        <v/>
      </c>
      <c r="B288" s="10" t="n">
        <f aca="false">IF(CAD_Investimentos!$A6="",0,SUMIFS(L_Valor,L_Data,"&gt;="&amp;REL_INI,L_Data,"&lt;="&amp;REL_FIM,L_Status,"REALIZADO",L_Tipo,"APORTE",L_DestID,CAD_Investimentos!$A6))</f>
        <v>0</v>
      </c>
      <c r="C288" s="10" t="n">
        <f aca="false">IF(CAD_Investimentos!$A6="",0,SUMIFS(L_Valor,L_Data,"&gt;="&amp;REL_INI,L_Data,"&lt;="&amp;REL_FIM,L_Status,"REALIZADO",L_Tipo,"RESGATE",L_OrigID,CAD_Investimentos!$A6))</f>
        <v>0</v>
      </c>
      <c r="D288" s="10" t="n">
        <f aca="false">IF(CAD_Investimentos!$A6="",0,SUMIFS(L_Valor,L_Data,"&gt;="&amp;REL_INI,L_Data,"&lt;="&amp;REL_FIM,L_Status,"REALIZADO",L_Tipo,"RENDIMENTO",L_DestID,CAD_Investimentos!$A6))</f>
        <v>0</v>
      </c>
      <c r="E288" s="10" t="n">
        <f aca="false">IF(CAD_Investimentos!$A6="",0,CAD_Investimentos!$O6)</f>
        <v>0</v>
      </c>
    </row>
    <row r="289" customFormat="false" ht="15" hidden="false" customHeight="false" outlineLevel="0" collapsed="false">
      <c r="A289" s="9" t="str">
        <f aca="false">IF(CAD_Investimentos!$A7="","",CAD_Investimentos!$B7)</f>
        <v/>
      </c>
      <c r="B289" s="10" t="n">
        <f aca="false">IF(CAD_Investimentos!$A7="",0,SUMIFS(L_Valor,L_Data,"&gt;="&amp;REL_INI,L_Data,"&lt;="&amp;REL_FIM,L_Status,"REALIZADO",L_Tipo,"APORTE",L_DestID,CAD_Investimentos!$A7))</f>
        <v>0</v>
      </c>
      <c r="C289" s="10" t="n">
        <f aca="false">IF(CAD_Investimentos!$A7="",0,SUMIFS(L_Valor,L_Data,"&gt;="&amp;REL_INI,L_Data,"&lt;="&amp;REL_FIM,L_Status,"REALIZADO",L_Tipo,"RESGATE",L_OrigID,CAD_Investimentos!$A7))</f>
        <v>0</v>
      </c>
      <c r="D289" s="10" t="n">
        <f aca="false">IF(CAD_Investimentos!$A7="",0,SUMIFS(L_Valor,L_Data,"&gt;="&amp;REL_INI,L_Data,"&lt;="&amp;REL_FIM,L_Status,"REALIZADO",L_Tipo,"RENDIMENTO",L_DestID,CAD_Investimentos!$A7))</f>
        <v>0</v>
      </c>
      <c r="E289" s="10" t="n">
        <f aca="false">IF(CAD_Investimentos!$A7="",0,CAD_Investimentos!$O7)</f>
        <v>0</v>
      </c>
    </row>
    <row r="290" customFormat="false" ht="15" hidden="false" customHeight="false" outlineLevel="0" collapsed="false">
      <c r="A290" s="9" t="str">
        <f aca="false">IF(CAD_Investimentos!$A8="","",CAD_Investimentos!$B8)</f>
        <v/>
      </c>
      <c r="B290" s="10" t="n">
        <f aca="false">IF(CAD_Investimentos!$A8="",0,SUMIFS(L_Valor,L_Data,"&gt;="&amp;REL_INI,L_Data,"&lt;="&amp;REL_FIM,L_Status,"REALIZADO",L_Tipo,"APORTE",L_DestID,CAD_Investimentos!$A8))</f>
        <v>0</v>
      </c>
      <c r="C290" s="10" t="n">
        <f aca="false">IF(CAD_Investimentos!$A8="",0,SUMIFS(L_Valor,L_Data,"&gt;="&amp;REL_INI,L_Data,"&lt;="&amp;REL_FIM,L_Status,"REALIZADO",L_Tipo,"RESGATE",L_OrigID,CAD_Investimentos!$A8))</f>
        <v>0</v>
      </c>
      <c r="D290" s="10" t="n">
        <f aca="false">IF(CAD_Investimentos!$A8="",0,SUMIFS(L_Valor,L_Data,"&gt;="&amp;REL_INI,L_Data,"&lt;="&amp;REL_FIM,L_Status,"REALIZADO",L_Tipo,"RENDIMENTO",L_DestID,CAD_Investimentos!$A8))</f>
        <v>0</v>
      </c>
      <c r="E290" s="10" t="n">
        <f aca="false">IF(CAD_Investimentos!$A8="",0,CAD_Investimentos!$O8)</f>
        <v>0</v>
      </c>
    </row>
    <row r="291" customFormat="false" ht="15" hidden="false" customHeight="false" outlineLevel="0" collapsed="false">
      <c r="A291" s="9" t="str">
        <f aca="false">IF(CAD_Investimentos!$A9="","",CAD_Investimentos!$B9)</f>
        <v/>
      </c>
      <c r="B291" s="10" t="n">
        <f aca="false">IF(CAD_Investimentos!$A9="",0,SUMIFS(L_Valor,L_Data,"&gt;="&amp;REL_INI,L_Data,"&lt;="&amp;REL_FIM,L_Status,"REALIZADO",L_Tipo,"APORTE",L_DestID,CAD_Investimentos!$A9))</f>
        <v>0</v>
      </c>
      <c r="C291" s="10" t="n">
        <f aca="false">IF(CAD_Investimentos!$A9="",0,SUMIFS(L_Valor,L_Data,"&gt;="&amp;REL_INI,L_Data,"&lt;="&amp;REL_FIM,L_Status,"REALIZADO",L_Tipo,"RESGATE",L_OrigID,CAD_Investimentos!$A9))</f>
        <v>0</v>
      </c>
      <c r="D291" s="10" t="n">
        <f aca="false">IF(CAD_Investimentos!$A9="",0,SUMIFS(L_Valor,L_Data,"&gt;="&amp;REL_INI,L_Data,"&lt;="&amp;REL_FIM,L_Status,"REALIZADO",L_Tipo,"RENDIMENTO",L_DestID,CAD_Investimentos!$A9))</f>
        <v>0</v>
      </c>
      <c r="E291" s="10" t="n">
        <f aca="false">IF(CAD_Investimentos!$A9="",0,CAD_Investimentos!$O9)</f>
        <v>0</v>
      </c>
    </row>
    <row r="292" customFormat="false" ht="15" hidden="false" customHeight="false" outlineLevel="0" collapsed="false">
      <c r="A292" s="9" t="str">
        <f aca="false">IF(CAD_Investimentos!$A10="","",CAD_Investimentos!$B10)</f>
        <v/>
      </c>
      <c r="B292" s="10" t="n">
        <f aca="false">IF(CAD_Investimentos!$A10="",0,SUMIFS(L_Valor,L_Data,"&gt;="&amp;REL_INI,L_Data,"&lt;="&amp;REL_FIM,L_Status,"REALIZADO",L_Tipo,"APORTE",L_DestID,CAD_Investimentos!$A10))</f>
        <v>0</v>
      </c>
      <c r="C292" s="10" t="n">
        <f aca="false">IF(CAD_Investimentos!$A10="",0,SUMIFS(L_Valor,L_Data,"&gt;="&amp;REL_INI,L_Data,"&lt;="&amp;REL_FIM,L_Status,"REALIZADO",L_Tipo,"RESGATE",L_OrigID,CAD_Investimentos!$A10))</f>
        <v>0</v>
      </c>
      <c r="D292" s="10" t="n">
        <f aca="false">IF(CAD_Investimentos!$A10="",0,SUMIFS(L_Valor,L_Data,"&gt;="&amp;REL_INI,L_Data,"&lt;="&amp;REL_FIM,L_Status,"REALIZADO",L_Tipo,"RENDIMENTO",L_DestID,CAD_Investimentos!$A10))</f>
        <v>0</v>
      </c>
      <c r="E292" s="10" t="n">
        <f aca="false">IF(CAD_Investimentos!$A10="",0,CAD_Investimentos!$O10)</f>
        <v>0</v>
      </c>
    </row>
    <row r="293" customFormat="false" ht="15" hidden="false" customHeight="false" outlineLevel="0" collapsed="false">
      <c r="A293" s="9" t="str">
        <f aca="false">IF(CAD_Investimentos!$A11="","",CAD_Investimentos!$B11)</f>
        <v/>
      </c>
      <c r="B293" s="10" t="n">
        <f aca="false">IF(CAD_Investimentos!$A11="",0,SUMIFS(L_Valor,L_Data,"&gt;="&amp;REL_INI,L_Data,"&lt;="&amp;REL_FIM,L_Status,"REALIZADO",L_Tipo,"APORTE",L_DestID,CAD_Investimentos!$A11))</f>
        <v>0</v>
      </c>
      <c r="C293" s="10" t="n">
        <f aca="false">IF(CAD_Investimentos!$A11="",0,SUMIFS(L_Valor,L_Data,"&gt;="&amp;REL_INI,L_Data,"&lt;="&amp;REL_FIM,L_Status,"REALIZADO",L_Tipo,"RESGATE",L_OrigID,CAD_Investimentos!$A11))</f>
        <v>0</v>
      </c>
      <c r="D293" s="10" t="n">
        <f aca="false">IF(CAD_Investimentos!$A11="",0,SUMIFS(L_Valor,L_Data,"&gt;="&amp;REL_INI,L_Data,"&lt;="&amp;REL_FIM,L_Status,"REALIZADO",L_Tipo,"RENDIMENTO",L_DestID,CAD_Investimentos!$A11))</f>
        <v>0</v>
      </c>
      <c r="E293" s="10" t="n">
        <f aca="false">IF(CAD_Investimentos!$A11="",0,CAD_Investimentos!$O11)</f>
        <v>0</v>
      </c>
    </row>
    <row r="294" customFormat="false" ht="15" hidden="false" customHeight="false" outlineLevel="0" collapsed="false">
      <c r="A294" s="9" t="str">
        <f aca="false">IF(CAD_Investimentos!$A12="","",CAD_Investimentos!$B12)</f>
        <v/>
      </c>
      <c r="B294" s="10" t="n">
        <f aca="false">IF(CAD_Investimentos!$A12="",0,SUMIFS(L_Valor,L_Data,"&gt;="&amp;REL_INI,L_Data,"&lt;="&amp;REL_FIM,L_Status,"REALIZADO",L_Tipo,"APORTE",L_DestID,CAD_Investimentos!$A12))</f>
        <v>0</v>
      </c>
      <c r="C294" s="10" t="n">
        <f aca="false">IF(CAD_Investimentos!$A12="",0,SUMIFS(L_Valor,L_Data,"&gt;="&amp;REL_INI,L_Data,"&lt;="&amp;REL_FIM,L_Status,"REALIZADO",L_Tipo,"RESGATE",L_OrigID,CAD_Investimentos!$A12))</f>
        <v>0</v>
      </c>
      <c r="D294" s="10" t="n">
        <f aca="false">IF(CAD_Investimentos!$A12="",0,SUMIFS(L_Valor,L_Data,"&gt;="&amp;REL_INI,L_Data,"&lt;="&amp;REL_FIM,L_Status,"REALIZADO",L_Tipo,"RENDIMENTO",L_DestID,CAD_Investimentos!$A12))</f>
        <v>0</v>
      </c>
      <c r="E294" s="10" t="n">
        <f aca="false">IF(CAD_Investimentos!$A12="",0,CAD_Investimentos!$O12)</f>
        <v>0</v>
      </c>
    </row>
    <row r="295" customFormat="false" ht="15" hidden="false" customHeight="false" outlineLevel="0" collapsed="false">
      <c r="A295" s="9" t="str">
        <f aca="false">IF(CAD_Investimentos!$A13="","",CAD_Investimentos!$B13)</f>
        <v/>
      </c>
      <c r="B295" s="10" t="n">
        <f aca="false">IF(CAD_Investimentos!$A13="",0,SUMIFS(L_Valor,L_Data,"&gt;="&amp;REL_INI,L_Data,"&lt;="&amp;REL_FIM,L_Status,"REALIZADO",L_Tipo,"APORTE",L_DestID,CAD_Investimentos!$A13))</f>
        <v>0</v>
      </c>
      <c r="C295" s="10" t="n">
        <f aca="false">IF(CAD_Investimentos!$A13="",0,SUMIFS(L_Valor,L_Data,"&gt;="&amp;REL_INI,L_Data,"&lt;="&amp;REL_FIM,L_Status,"REALIZADO",L_Tipo,"RESGATE",L_OrigID,CAD_Investimentos!$A13))</f>
        <v>0</v>
      </c>
      <c r="D295" s="10" t="n">
        <f aca="false">IF(CAD_Investimentos!$A13="",0,SUMIFS(L_Valor,L_Data,"&gt;="&amp;REL_INI,L_Data,"&lt;="&amp;REL_FIM,L_Status,"REALIZADO",L_Tipo,"RENDIMENTO",L_DestID,CAD_Investimentos!$A13))</f>
        <v>0</v>
      </c>
      <c r="E295" s="10" t="n">
        <f aca="false">IF(CAD_Investimentos!$A13="",0,CAD_Investimentos!$O13)</f>
        <v>0</v>
      </c>
    </row>
    <row r="296" customFormat="false" ht="15" hidden="false" customHeight="false" outlineLevel="0" collapsed="false">
      <c r="A296" s="9" t="str">
        <f aca="false">IF(CAD_Investimentos!$A14="","",CAD_Investimentos!$B14)</f>
        <v/>
      </c>
      <c r="B296" s="10" t="n">
        <f aca="false">IF(CAD_Investimentos!$A14="",0,SUMIFS(L_Valor,L_Data,"&gt;="&amp;REL_INI,L_Data,"&lt;="&amp;REL_FIM,L_Status,"REALIZADO",L_Tipo,"APORTE",L_DestID,CAD_Investimentos!$A14))</f>
        <v>0</v>
      </c>
      <c r="C296" s="10" t="n">
        <f aca="false">IF(CAD_Investimentos!$A14="",0,SUMIFS(L_Valor,L_Data,"&gt;="&amp;REL_INI,L_Data,"&lt;="&amp;REL_FIM,L_Status,"REALIZADO",L_Tipo,"RESGATE",L_OrigID,CAD_Investimentos!$A14))</f>
        <v>0</v>
      </c>
      <c r="D296" s="10" t="n">
        <f aca="false">IF(CAD_Investimentos!$A14="",0,SUMIFS(L_Valor,L_Data,"&gt;="&amp;REL_INI,L_Data,"&lt;="&amp;REL_FIM,L_Status,"REALIZADO",L_Tipo,"RENDIMENTO",L_DestID,CAD_Investimentos!$A14))</f>
        <v>0</v>
      </c>
      <c r="E296" s="10" t="n">
        <f aca="false">IF(CAD_Investimentos!$A14="",0,CAD_Investimentos!$O14)</f>
        <v>0</v>
      </c>
    </row>
    <row r="297" customFormat="false" ht="15" hidden="false" customHeight="false" outlineLevel="0" collapsed="false">
      <c r="A297" s="9" t="str">
        <f aca="false">IF(CAD_Investimentos!$A15="","",CAD_Investimentos!$B15)</f>
        <v/>
      </c>
      <c r="B297" s="10" t="n">
        <f aca="false">IF(CAD_Investimentos!$A15="",0,SUMIFS(L_Valor,L_Data,"&gt;="&amp;REL_INI,L_Data,"&lt;="&amp;REL_FIM,L_Status,"REALIZADO",L_Tipo,"APORTE",L_DestID,CAD_Investimentos!$A15))</f>
        <v>0</v>
      </c>
      <c r="C297" s="10" t="n">
        <f aca="false">IF(CAD_Investimentos!$A15="",0,SUMIFS(L_Valor,L_Data,"&gt;="&amp;REL_INI,L_Data,"&lt;="&amp;REL_FIM,L_Status,"REALIZADO",L_Tipo,"RESGATE",L_OrigID,CAD_Investimentos!$A15))</f>
        <v>0</v>
      </c>
      <c r="D297" s="10" t="n">
        <f aca="false">IF(CAD_Investimentos!$A15="",0,SUMIFS(L_Valor,L_Data,"&gt;="&amp;REL_INI,L_Data,"&lt;="&amp;REL_FIM,L_Status,"REALIZADO",L_Tipo,"RENDIMENTO",L_DestID,CAD_Investimentos!$A15))</f>
        <v>0</v>
      </c>
      <c r="E297" s="10" t="n">
        <f aca="false">IF(CAD_Investimentos!$A15="",0,CAD_Investimentos!$O15)</f>
        <v>0</v>
      </c>
    </row>
    <row r="298" customFormat="false" ht="15" hidden="false" customHeight="false" outlineLevel="0" collapsed="false">
      <c r="A298" s="9" t="str">
        <f aca="false">IF(CAD_Investimentos!$A16="","",CAD_Investimentos!$B16)</f>
        <v/>
      </c>
      <c r="B298" s="10" t="n">
        <f aca="false">IF(CAD_Investimentos!$A16="",0,SUMIFS(L_Valor,L_Data,"&gt;="&amp;REL_INI,L_Data,"&lt;="&amp;REL_FIM,L_Status,"REALIZADO",L_Tipo,"APORTE",L_DestID,CAD_Investimentos!$A16))</f>
        <v>0</v>
      </c>
      <c r="C298" s="10" t="n">
        <f aca="false">IF(CAD_Investimentos!$A16="",0,SUMIFS(L_Valor,L_Data,"&gt;="&amp;REL_INI,L_Data,"&lt;="&amp;REL_FIM,L_Status,"REALIZADO",L_Tipo,"RESGATE",L_OrigID,CAD_Investimentos!$A16))</f>
        <v>0</v>
      </c>
      <c r="D298" s="10" t="n">
        <f aca="false">IF(CAD_Investimentos!$A16="",0,SUMIFS(L_Valor,L_Data,"&gt;="&amp;REL_INI,L_Data,"&lt;="&amp;REL_FIM,L_Status,"REALIZADO",L_Tipo,"RENDIMENTO",L_DestID,CAD_Investimentos!$A16))</f>
        <v>0</v>
      </c>
      <c r="E298" s="10" t="n">
        <f aca="false">IF(CAD_Investimentos!$A16="",0,CAD_Investimentos!$O16)</f>
        <v>0</v>
      </c>
    </row>
    <row r="299" customFormat="false" ht="15" hidden="false" customHeight="false" outlineLevel="0" collapsed="false">
      <c r="A299" s="9" t="str">
        <f aca="false">IF(CAD_Investimentos!$A17="","",CAD_Investimentos!$B17)</f>
        <v/>
      </c>
      <c r="B299" s="10" t="n">
        <f aca="false">IF(CAD_Investimentos!$A17="",0,SUMIFS(L_Valor,L_Data,"&gt;="&amp;REL_INI,L_Data,"&lt;="&amp;REL_FIM,L_Status,"REALIZADO",L_Tipo,"APORTE",L_DestID,CAD_Investimentos!$A17))</f>
        <v>0</v>
      </c>
      <c r="C299" s="10" t="n">
        <f aca="false">IF(CAD_Investimentos!$A17="",0,SUMIFS(L_Valor,L_Data,"&gt;="&amp;REL_INI,L_Data,"&lt;="&amp;REL_FIM,L_Status,"REALIZADO",L_Tipo,"RESGATE",L_OrigID,CAD_Investimentos!$A17))</f>
        <v>0</v>
      </c>
      <c r="D299" s="10" t="n">
        <f aca="false">IF(CAD_Investimentos!$A17="",0,SUMIFS(L_Valor,L_Data,"&gt;="&amp;REL_INI,L_Data,"&lt;="&amp;REL_FIM,L_Status,"REALIZADO",L_Tipo,"RENDIMENTO",L_DestID,CAD_Investimentos!$A17))</f>
        <v>0</v>
      </c>
      <c r="E299" s="10" t="n">
        <f aca="false">IF(CAD_Investimentos!$A17="",0,CAD_Investimentos!$O17)</f>
        <v>0</v>
      </c>
    </row>
    <row r="300" customFormat="false" ht="15" hidden="false" customHeight="false" outlineLevel="0" collapsed="false">
      <c r="A300" s="9" t="str">
        <f aca="false">IF(CAD_Investimentos!$A18="","",CAD_Investimentos!$B18)</f>
        <v/>
      </c>
      <c r="B300" s="10" t="n">
        <f aca="false">IF(CAD_Investimentos!$A18="",0,SUMIFS(L_Valor,L_Data,"&gt;="&amp;REL_INI,L_Data,"&lt;="&amp;REL_FIM,L_Status,"REALIZADO",L_Tipo,"APORTE",L_DestID,CAD_Investimentos!$A18))</f>
        <v>0</v>
      </c>
      <c r="C300" s="10" t="n">
        <f aca="false">IF(CAD_Investimentos!$A18="",0,SUMIFS(L_Valor,L_Data,"&gt;="&amp;REL_INI,L_Data,"&lt;="&amp;REL_FIM,L_Status,"REALIZADO",L_Tipo,"RESGATE",L_OrigID,CAD_Investimentos!$A18))</f>
        <v>0</v>
      </c>
      <c r="D300" s="10" t="n">
        <f aca="false">IF(CAD_Investimentos!$A18="",0,SUMIFS(L_Valor,L_Data,"&gt;="&amp;REL_INI,L_Data,"&lt;="&amp;REL_FIM,L_Status,"REALIZADO",L_Tipo,"RENDIMENTO",L_DestID,CAD_Investimentos!$A18))</f>
        <v>0</v>
      </c>
      <c r="E300" s="10" t="n">
        <f aca="false">IF(CAD_Investimentos!$A18="",0,CAD_Investimentos!$O18)</f>
        <v>0</v>
      </c>
    </row>
    <row r="301" customFormat="false" ht="15" hidden="false" customHeight="false" outlineLevel="0" collapsed="false">
      <c r="A301" s="9" t="str">
        <f aca="false">IF(CAD_Investimentos!$A19="","",CAD_Investimentos!$B19)</f>
        <v/>
      </c>
      <c r="B301" s="10" t="n">
        <f aca="false">IF(CAD_Investimentos!$A19="",0,SUMIFS(L_Valor,L_Data,"&gt;="&amp;REL_INI,L_Data,"&lt;="&amp;REL_FIM,L_Status,"REALIZADO",L_Tipo,"APORTE",L_DestID,CAD_Investimentos!$A19))</f>
        <v>0</v>
      </c>
      <c r="C301" s="10" t="n">
        <f aca="false">IF(CAD_Investimentos!$A19="",0,SUMIFS(L_Valor,L_Data,"&gt;="&amp;REL_INI,L_Data,"&lt;="&amp;REL_FIM,L_Status,"REALIZADO",L_Tipo,"RESGATE",L_OrigID,CAD_Investimentos!$A19))</f>
        <v>0</v>
      </c>
      <c r="D301" s="10" t="n">
        <f aca="false">IF(CAD_Investimentos!$A19="",0,SUMIFS(L_Valor,L_Data,"&gt;="&amp;REL_INI,L_Data,"&lt;="&amp;REL_FIM,L_Status,"REALIZADO",L_Tipo,"RENDIMENTO",L_DestID,CAD_Investimentos!$A19))</f>
        <v>0</v>
      </c>
      <c r="E301" s="10" t="n">
        <f aca="false">IF(CAD_Investimentos!$A19="",0,CAD_Investimentos!$O19)</f>
        <v>0</v>
      </c>
    </row>
    <row r="302" customFormat="false" ht="15" hidden="false" customHeight="false" outlineLevel="0" collapsed="false">
      <c r="A302" s="9" t="str">
        <f aca="false">IF(CAD_Investimentos!$A20="","",CAD_Investimentos!$B20)</f>
        <v/>
      </c>
      <c r="B302" s="10" t="n">
        <f aca="false">IF(CAD_Investimentos!$A20="",0,SUMIFS(L_Valor,L_Data,"&gt;="&amp;REL_INI,L_Data,"&lt;="&amp;REL_FIM,L_Status,"REALIZADO",L_Tipo,"APORTE",L_DestID,CAD_Investimentos!$A20))</f>
        <v>0</v>
      </c>
      <c r="C302" s="10" t="n">
        <f aca="false">IF(CAD_Investimentos!$A20="",0,SUMIFS(L_Valor,L_Data,"&gt;="&amp;REL_INI,L_Data,"&lt;="&amp;REL_FIM,L_Status,"REALIZADO",L_Tipo,"RESGATE",L_OrigID,CAD_Investimentos!$A20))</f>
        <v>0</v>
      </c>
      <c r="D302" s="10" t="n">
        <f aca="false">IF(CAD_Investimentos!$A20="",0,SUMIFS(L_Valor,L_Data,"&gt;="&amp;REL_INI,L_Data,"&lt;="&amp;REL_FIM,L_Status,"REALIZADO",L_Tipo,"RENDIMENTO",L_DestID,CAD_Investimentos!$A20))</f>
        <v>0</v>
      </c>
      <c r="E302" s="10" t="n">
        <f aca="false">IF(CAD_Investimentos!$A20="",0,CAD_Investimentos!$O20)</f>
        <v>0</v>
      </c>
    </row>
    <row r="303" customFormat="false" ht="15" hidden="false" customHeight="false" outlineLevel="0" collapsed="false">
      <c r="A303" s="9" t="str">
        <f aca="false">IF(CAD_Investimentos!$A21="","",CAD_Investimentos!$B21)</f>
        <v/>
      </c>
      <c r="B303" s="10" t="n">
        <f aca="false">IF(CAD_Investimentos!$A21="",0,SUMIFS(L_Valor,L_Data,"&gt;="&amp;REL_INI,L_Data,"&lt;="&amp;REL_FIM,L_Status,"REALIZADO",L_Tipo,"APORTE",L_DestID,CAD_Investimentos!$A21))</f>
        <v>0</v>
      </c>
      <c r="C303" s="10" t="n">
        <f aca="false">IF(CAD_Investimentos!$A21="",0,SUMIFS(L_Valor,L_Data,"&gt;="&amp;REL_INI,L_Data,"&lt;="&amp;REL_FIM,L_Status,"REALIZADO",L_Tipo,"RESGATE",L_OrigID,CAD_Investimentos!$A21))</f>
        <v>0</v>
      </c>
      <c r="D303" s="10" t="n">
        <f aca="false">IF(CAD_Investimentos!$A21="",0,SUMIFS(L_Valor,L_Data,"&gt;="&amp;REL_INI,L_Data,"&lt;="&amp;REL_FIM,L_Status,"REALIZADO",L_Tipo,"RENDIMENTO",L_DestID,CAD_Investimentos!$A21))</f>
        <v>0</v>
      </c>
      <c r="E303" s="10" t="n">
        <f aca="false">IF(CAD_Investimentos!$A21="",0,CAD_Investimentos!$O21)</f>
        <v>0</v>
      </c>
    </row>
    <row r="304" customFormat="false" ht="15" hidden="false" customHeight="false" outlineLevel="0" collapsed="false">
      <c r="A304" s="9" t="str">
        <f aca="false">IF(CAD_Investimentos!$A22="","",CAD_Investimentos!$B22)</f>
        <v/>
      </c>
      <c r="B304" s="10" t="n">
        <f aca="false">IF(CAD_Investimentos!$A22="",0,SUMIFS(L_Valor,L_Data,"&gt;="&amp;REL_INI,L_Data,"&lt;="&amp;REL_FIM,L_Status,"REALIZADO",L_Tipo,"APORTE",L_DestID,CAD_Investimentos!$A22))</f>
        <v>0</v>
      </c>
      <c r="C304" s="10" t="n">
        <f aca="false">IF(CAD_Investimentos!$A22="",0,SUMIFS(L_Valor,L_Data,"&gt;="&amp;REL_INI,L_Data,"&lt;="&amp;REL_FIM,L_Status,"REALIZADO",L_Tipo,"RESGATE",L_OrigID,CAD_Investimentos!$A22))</f>
        <v>0</v>
      </c>
      <c r="D304" s="10" t="n">
        <f aca="false">IF(CAD_Investimentos!$A22="",0,SUMIFS(L_Valor,L_Data,"&gt;="&amp;REL_INI,L_Data,"&lt;="&amp;REL_FIM,L_Status,"REALIZADO",L_Tipo,"RENDIMENTO",L_DestID,CAD_Investimentos!$A22))</f>
        <v>0</v>
      </c>
      <c r="E304" s="10" t="n">
        <f aca="false">IF(CAD_Investimentos!$A22="",0,CAD_Investimentos!$O22)</f>
        <v>0</v>
      </c>
    </row>
    <row r="305" customFormat="false" ht="15" hidden="false" customHeight="false" outlineLevel="0" collapsed="false">
      <c r="A305" s="9" t="str">
        <f aca="false">IF(CAD_Investimentos!$A23="","",CAD_Investimentos!$B23)</f>
        <v/>
      </c>
      <c r="B305" s="10" t="n">
        <f aca="false">IF(CAD_Investimentos!$A23="",0,SUMIFS(L_Valor,L_Data,"&gt;="&amp;REL_INI,L_Data,"&lt;="&amp;REL_FIM,L_Status,"REALIZADO",L_Tipo,"APORTE",L_DestID,CAD_Investimentos!$A23))</f>
        <v>0</v>
      </c>
      <c r="C305" s="10" t="n">
        <f aca="false">IF(CAD_Investimentos!$A23="",0,SUMIFS(L_Valor,L_Data,"&gt;="&amp;REL_INI,L_Data,"&lt;="&amp;REL_FIM,L_Status,"REALIZADO",L_Tipo,"RESGATE",L_OrigID,CAD_Investimentos!$A23))</f>
        <v>0</v>
      </c>
      <c r="D305" s="10" t="n">
        <f aca="false">IF(CAD_Investimentos!$A23="",0,SUMIFS(L_Valor,L_Data,"&gt;="&amp;REL_INI,L_Data,"&lt;="&amp;REL_FIM,L_Status,"REALIZADO",L_Tipo,"RENDIMENTO",L_DestID,CAD_Investimentos!$A23))</f>
        <v>0</v>
      </c>
      <c r="E305" s="10" t="n">
        <f aca="false">IF(CAD_Investimentos!$A23="",0,CAD_Investimentos!$O23)</f>
        <v>0</v>
      </c>
    </row>
    <row r="306" customFormat="false" ht="15" hidden="false" customHeight="false" outlineLevel="0" collapsed="false">
      <c r="A306" s="9" t="str">
        <f aca="false">IF(CAD_Investimentos!$A24="","",CAD_Investimentos!$B24)</f>
        <v/>
      </c>
      <c r="B306" s="10" t="n">
        <f aca="false">IF(CAD_Investimentos!$A24="",0,SUMIFS(L_Valor,L_Data,"&gt;="&amp;REL_INI,L_Data,"&lt;="&amp;REL_FIM,L_Status,"REALIZADO",L_Tipo,"APORTE",L_DestID,CAD_Investimentos!$A24))</f>
        <v>0</v>
      </c>
      <c r="C306" s="10" t="n">
        <f aca="false">IF(CAD_Investimentos!$A24="",0,SUMIFS(L_Valor,L_Data,"&gt;="&amp;REL_INI,L_Data,"&lt;="&amp;REL_FIM,L_Status,"REALIZADO",L_Tipo,"RESGATE",L_OrigID,CAD_Investimentos!$A24))</f>
        <v>0</v>
      </c>
      <c r="D306" s="10" t="n">
        <f aca="false">IF(CAD_Investimentos!$A24="",0,SUMIFS(L_Valor,L_Data,"&gt;="&amp;REL_INI,L_Data,"&lt;="&amp;REL_FIM,L_Status,"REALIZADO",L_Tipo,"RENDIMENTO",L_DestID,CAD_Investimentos!$A24))</f>
        <v>0</v>
      </c>
      <c r="E306" s="10" t="n">
        <f aca="false">IF(CAD_Investimentos!$A24="",0,CAD_Investimentos!$O24)</f>
        <v>0</v>
      </c>
    </row>
    <row r="307" customFormat="false" ht="15" hidden="false" customHeight="false" outlineLevel="0" collapsed="false">
      <c r="A307" s="9" t="str">
        <f aca="false">IF(CAD_Investimentos!$A25="","",CAD_Investimentos!$B25)</f>
        <v/>
      </c>
      <c r="B307" s="10" t="n">
        <f aca="false">IF(CAD_Investimentos!$A25="",0,SUMIFS(L_Valor,L_Data,"&gt;="&amp;REL_INI,L_Data,"&lt;="&amp;REL_FIM,L_Status,"REALIZADO",L_Tipo,"APORTE",L_DestID,CAD_Investimentos!$A25))</f>
        <v>0</v>
      </c>
      <c r="C307" s="10" t="n">
        <f aca="false">IF(CAD_Investimentos!$A25="",0,SUMIFS(L_Valor,L_Data,"&gt;="&amp;REL_INI,L_Data,"&lt;="&amp;REL_FIM,L_Status,"REALIZADO",L_Tipo,"RESGATE",L_OrigID,CAD_Investimentos!$A25))</f>
        <v>0</v>
      </c>
      <c r="D307" s="10" t="n">
        <f aca="false">IF(CAD_Investimentos!$A25="",0,SUMIFS(L_Valor,L_Data,"&gt;="&amp;REL_INI,L_Data,"&lt;="&amp;REL_FIM,L_Status,"REALIZADO",L_Tipo,"RENDIMENTO",L_DestID,CAD_Investimentos!$A25))</f>
        <v>0</v>
      </c>
      <c r="E307" s="10" t="n">
        <f aca="false">IF(CAD_Investimentos!$A25="",0,CAD_Investimentos!$O25)</f>
        <v>0</v>
      </c>
    </row>
    <row r="308" customFormat="false" ht="15" hidden="false" customHeight="false" outlineLevel="0" collapsed="false">
      <c r="A308" s="9" t="str">
        <f aca="false">IF(CAD_Investimentos!$A26="","",CAD_Investimentos!$B26)</f>
        <v/>
      </c>
      <c r="B308" s="10" t="n">
        <f aca="false">IF(CAD_Investimentos!$A26="",0,SUMIFS(L_Valor,L_Data,"&gt;="&amp;REL_INI,L_Data,"&lt;="&amp;REL_FIM,L_Status,"REALIZADO",L_Tipo,"APORTE",L_DestID,CAD_Investimentos!$A26))</f>
        <v>0</v>
      </c>
      <c r="C308" s="10" t="n">
        <f aca="false">IF(CAD_Investimentos!$A26="",0,SUMIFS(L_Valor,L_Data,"&gt;="&amp;REL_INI,L_Data,"&lt;="&amp;REL_FIM,L_Status,"REALIZADO",L_Tipo,"RESGATE",L_OrigID,CAD_Investimentos!$A26))</f>
        <v>0</v>
      </c>
      <c r="D308" s="10" t="n">
        <f aca="false">IF(CAD_Investimentos!$A26="",0,SUMIFS(L_Valor,L_Data,"&gt;="&amp;REL_INI,L_Data,"&lt;="&amp;REL_FIM,L_Status,"REALIZADO",L_Tipo,"RENDIMENTO",L_DestID,CAD_Investimentos!$A26))</f>
        <v>0</v>
      </c>
      <c r="E308" s="10" t="n">
        <f aca="false">IF(CAD_Investimentos!$A26="",0,CAD_Investimentos!$O26)</f>
        <v>0</v>
      </c>
    </row>
    <row r="309" customFormat="false" ht="15" hidden="false" customHeight="false" outlineLevel="0" collapsed="false">
      <c r="A309" s="9" t="str">
        <f aca="false">IF(CAD_Investimentos!$A27="","",CAD_Investimentos!$B27)</f>
        <v/>
      </c>
      <c r="B309" s="10" t="n">
        <f aca="false">IF(CAD_Investimentos!$A27="",0,SUMIFS(L_Valor,L_Data,"&gt;="&amp;REL_INI,L_Data,"&lt;="&amp;REL_FIM,L_Status,"REALIZADO",L_Tipo,"APORTE",L_DestID,CAD_Investimentos!$A27))</f>
        <v>0</v>
      </c>
      <c r="C309" s="10" t="n">
        <f aca="false">IF(CAD_Investimentos!$A27="",0,SUMIFS(L_Valor,L_Data,"&gt;="&amp;REL_INI,L_Data,"&lt;="&amp;REL_FIM,L_Status,"REALIZADO",L_Tipo,"RESGATE",L_OrigID,CAD_Investimentos!$A27))</f>
        <v>0</v>
      </c>
      <c r="D309" s="10" t="n">
        <f aca="false">IF(CAD_Investimentos!$A27="",0,SUMIFS(L_Valor,L_Data,"&gt;="&amp;REL_INI,L_Data,"&lt;="&amp;REL_FIM,L_Status,"REALIZADO",L_Tipo,"RENDIMENTO",L_DestID,CAD_Investimentos!$A27))</f>
        <v>0</v>
      </c>
      <c r="E309" s="10" t="n">
        <f aca="false">IF(CAD_Investimentos!$A27="",0,CAD_Investimentos!$O27)</f>
        <v>0</v>
      </c>
    </row>
    <row r="310" customFormat="false" ht="15" hidden="false" customHeight="false" outlineLevel="0" collapsed="false">
      <c r="A310" s="9" t="str">
        <f aca="false">IF(CAD_Investimentos!$A28="","",CAD_Investimentos!$B28)</f>
        <v/>
      </c>
      <c r="B310" s="10" t="n">
        <f aca="false">IF(CAD_Investimentos!$A28="",0,SUMIFS(L_Valor,L_Data,"&gt;="&amp;REL_INI,L_Data,"&lt;="&amp;REL_FIM,L_Status,"REALIZADO",L_Tipo,"APORTE",L_DestID,CAD_Investimentos!$A28))</f>
        <v>0</v>
      </c>
      <c r="C310" s="10" t="n">
        <f aca="false">IF(CAD_Investimentos!$A28="",0,SUMIFS(L_Valor,L_Data,"&gt;="&amp;REL_INI,L_Data,"&lt;="&amp;REL_FIM,L_Status,"REALIZADO",L_Tipo,"RESGATE",L_OrigID,CAD_Investimentos!$A28))</f>
        <v>0</v>
      </c>
      <c r="D310" s="10" t="n">
        <f aca="false">IF(CAD_Investimentos!$A28="",0,SUMIFS(L_Valor,L_Data,"&gt;="&amp;REL_INI,L_Data,"&lt;="&amp;REL_FIM,L_Status,"REALIZADO",L_Tipo,"RENDIMENTO",L_DestID,CAD_Investimentos!$A28))</f>
        <v>0</v>
      </c>
      <c r="E310" s="10" t="n">
        <f aca="false">IF(CAD_Investimentos!$A28="",0,CAD_Investimentos!$O28)</f>
        <v>0</v>
      </c>
    </row>
    <row r="311" customFormat="false" ht="15" hidden="false" customHeight="false" outlineLevel="0" collapsed="false">
      <c r="A311" s="9" t="str">
        <f aca="false">IF(CAD_Investimentos!$A29="","",CAD_Investimentos!$B29)</f>
        <v/>
      </c>
      <c r="B311" s="10" t="n">
        <f aca="false">IF(CAD_Investimentos!$A29="",0,SUMIFS(L_Valor,L_Data,"&gt;="&amp;REL_INI,L_Data,"&lt;="&amp;REL_FIM,L_Status,"REALIZADO",L_Tipo,"APORTE",L_DestID,CAD_Investimentos!$A29))</f>
        <v>0</v>
      </c>
      <c r="C311" s="10" t="n">
        <f aca="false">IF(CAD_Investimentos!$A29="",0,SUMIFS(L_Valor,L_Data,"&gt;="&amp;REL_INI,L_Data,"&lt;="&amp;REL_FIM,L_Status,"REALIZADO",L_Tipo,"RESGATE",L_OrigID,CAD_Investimentos!$A29))</f>
        <v>0</v>
      </c>
      <c r="D311" s="10" t="n">
        <f aca="false">IF(CAD_Investimentos!$A29="",0,SUMIFS(L_Valor,L_Data,"&gt;="&amp;REL_INI,L_Data,"&lt;="&amp;REL_FIM,L_Status,"REALIZADO",L_Tipo,"RENDIMENTO",L_DestID,CAD_Investimentos!$A29))</f>
        <v>0</v>
      </c>
      <c r="E311" s="10" t="n">
        <f aca="false">IF(CAD_Investimentos!$A29="",0,CAD_Investimentos!$O29)</f>
        <v>0</v>
      </c>
    </row>
    <row r="312" customFormat="false" ht="15" hidden="false" customHeight="false" outlineLevel="0" collapsed="false">
      <c r="A312" s="9" t="str">
        <f aca="false">IF(CAD_Investimentos!$A30="","",CAD_Investimentos!$B30)</f>
        <v/>
      </c>
      <c r="B312" s="10" t="n">
        <f aca="false">IF(CAD_Investimentos!$A30="",0,SUMIFS(L_Valor,L_Data,"&gt;="&amp;REL_INI,L_Data,"&lt;="&amp;REL_FIM,L_Status,"REALIZADO",L_Tipo,"APORTE",L_DestID,CAD_Investimentos!$A30))</f>
        <v>0</v>
      </c>
      <c r="C312" s="10" t="n">
        <f aca="false">IF(CAD_Investimentos!$A30="",0,SUMIFS(L_Valor,L_Data,"&gt;="&amp;REL_INI,L_Data,"&lt;="&amp;REL_FIM,L_Status,"REALIZADO",L_Tipo,"RESGATE",L_OrigID,CAD_Investimentos!$A30))</f>
        <v>0</v>
      </c>
      <c r="D312" s="10" t="n">
        <f aca="false">IF(CAD_Investimentos!$A30="",0,SUMIFS(L_Valor,L_Data,"&gt;="&amp;REL_INI,L_Data,"&lt;="&amp;REL_FIM,L_Status,"REALIZADO",L_Tipo,"RENDIMENTO",L_DestID,CAD_Investimentos!$A30))</f>
        <v>0</v>
      </c>
      <c r="E312" s="10" t="n">
        <f aca="false">IF(CAD_Investimentos!$A30="",0,CAD_Investimentos!$O30)</f>
        <v>0</v>
      </c>
    </row>
    <row r="313" customFormat="false" ht="15" hidden="false" customHeight="false" outlineLevel="0" collapsed="false">
      <c r="A313" s="9" t="str">
        <f aca="false">IF(CAD_Investimentos!$A31="","",CAD_Investimentos!$B31)</f>
        <v/>
      </c>
      <c r="B313" s="10" t="n">
        <f aca="false">IF(CAD_Investimentos!$A31="",0,SUMIFS(L_Valor,L_Data,"&gt;="&amp;REL_INI,L_Data,"&lt;="&amp;REL_FIM,L_Status,"REALIZADO",L_Tipo,"APORTE",L_DestID,CAD_Investimentos!$A31))</f>
        <v>0</v>
      </c>
      <c r="C313" s="10" t="n">
        <f aca="false">IF(CAD_Investimentos!$A31="",0,SUMIFS(L_Valor,L_Data,"&gt;="&amp;REL_INI,L_Data,"&lt;="&amp;REL_FIM,L_Status,"REALIZADO",L_Tipo,"RESGATE",L_OrigID,CAD_Investimentos!$A31))</f>
        <v>0</v>
      </c>
      <c r="D313" s="10" t="n">
        <f aca="false">IF(CAD_Investimentos!$A31="",0,SUMIFS(L_Valor,L_Data,"&gt;="&amp;REL_INI,L_Data,"&lt;="&amp;REL_FIM,L_Status,"REALIZADO",L_Tipo,"RENDIMENTO",L_DestID,CAD_Investimentos!$A31))</f>
        <v>0</v>
      </c>
      <c r="E313" s="10" t="n">
        <f aca="false">IF(CAD_Investimentos!$A31="",0,CAD_Investimentos!$O31)</f>
        <v>0</v>
      </c>
    </row>
    <row r="314" customFormat="false" ht="15" hidden="false" customHeight="false" outlineLevel="0" collapsed="false">
      <c r="A314" s="9" t="str">
        <f aca="false">IF(CAD_Investimentos!$A32="","",CAD_Investimentos!$B32)</f>
        <v/>
      </c>
      <c r="B314" s="10" t="n">
        <f aca="false">IF(CAD_Investimentos!$A32="",0,SUMIFS(L_Valor,L_Data,"&gt;="&amp;REL_INI,L_Data,"&lt;="&amp;REL_FIM,L_Status,"REALIZADO",L_Tipo,"APORTE",L_DestID,CAD_Investimentos!$A32))</f>
        <v>0</v>
      </c>
      <c r="C314" s="10" t="n">
        <f aca="false">IF(CAD_Investimentos!$A32="",0,SUMIFS(L_Valor,L_Data,"&gt;="&amp;REL_INI,L_Data,"&lt;="&amp;REL_FIM,L_Status,"REALIZADO",L_Tipo,"RESGATE",L_OrigID,CAD_Investimentos!$A32))</f>
        <v>0</v>
      </c>
      <c r="D314" s="10" t="n">
        <f aca="false">IF(CAD_Investimentos!$A32="",0,SUMIFS(L_Valor,L_Data,"&gt;="&amp;REL_INI,L_Data,"&lt;="&amp;REL_FIM,L_Status,"REALIZADO",L_Tipo,"RENDIMENTO",L_DestID,CAD_Investimentos!$A32))</f>
        <v>0</v>
      </c>
      <c r="E314" s="10" t="n">
        <f aca="false">IF(CAD_Investimentos!$A32="",0,CAD_Investimentos!$O32)</f>
        <v>0</v>
      </c>
    </row>
    <row r="315" customFormat="false" ht="15" hidden="false" customHeight="false" outlineLevel="0" collapsed="false">
      <c r="A315" s="9" t="str">
        <f aca="false">IF(CAD_Investimentos!$A33="","",CAD_Investimentos!$B33)</f>
        <v/>
      </c>
      <c r="B315" s="10" t="n">
        <f aca="false">IF(CAD_Investimentos!$A33="",0,SUMIFS(L_Valor,L_Data,"&gt;="&amp;REL_INI,L_Data,"&lt;="&amp;REL_FIM,L_Status,"REALIZADO",L_Tipo,"APORTE",L_DestID,CAD_Investimentos!$A33))</f>
        <v>0</v>
      </c>
      <c r="C315" s="10" t="n">
        <f aca="false">IF(CAD_Investimentos!$A33="",0,SUMIFS(L_Valor,L_Data,"&gt;="&amp;REL_INI,L_Data,"&lt;="&amp;REL_FIM,L_Status,"REALIZADO",L_Tipo,"RESGATE",L_OrigID,CAD_Investimentos!$A33))</f>
        <v>0</v>
      </c>
      <c r="D315" s="10" t="n">
        <f aca="false">IF(CAD_Investimentos!$A33="",0,SUMIFS(L_Valor,L_Data,"&gt;="&amp;REL_INI,L_Data,"&lt;="&amp;REL_FIM,L_Status,"REALIZADO",L_Tipo,"RENDIMENTO",L_DestID,CAD_Investimentos!$A33))</f>
        <v>0</v>
      </c>
      <c r="E315" s="10" t="n">
        <f aca="false">IF(CAD_Investimentos!$A33="",0,CAD_Investimentos!$O33)</f>
        <v>0</v>
      </c>
    </row>
    <row r="316" customFormat="false" ht="15" hidden="false" customHeight="false" outlineLevel="0" collapsed="false">
      <c r="A316" s="9" t="str">
        <f aca="false">IF(CAD_Investimentos!$A34="","",CAD_Investimentos!$B34)</f>
        <v/>
      </c>
      <c r="B316" s="10" t="n">
        <f aca="false">IF(CAD_Investimentos!$A34="",0,SUMIFS(L_Valor,L_Data,"&gt;="&amp;REL_INI,L_Data,"&lt;="&amp;REL_FIM,L_Status,"REALIZADO",L_Tipo,"APORTE",L_DestID,CAD_Investimentos!$A34))</f>
        <v>0</v>
      </c>
      <c r="C316" s="10" t="n">
        <f aca="false">IF(CAD_Investimentos!$A34="",0,SUMIFS(L_Valor,L_Data,"&gt;="&amp;REL_INI,L_Data,"&lt;="&amp;REL_FIM,L_Status,"REALIZADO",L_Tipo,"RESGATE",L_OrigID,CAD_Investimentos!$A34))</f>
        <v>0</v>
      </c>
      <c r="D316" s="10" t="n">
        <f aca="false">IF(CAD_Investimentos!$A34="",0,SUMIFS(L_Valor,L_Data,"&gt;="&amp;REL_INI,L_Data,"&lt;="&amp;REL_FIM,L_Status,"REALIZADO",L_Tipo,"RENDIMENTO",L_DestID,CAD_Investimentos!$A34))</f>
        <v>0</v>
      </c>
      <c r="E316" s="10" t="n">
        <f aca="false">IF(CAD_Investimentos!$A34="",0,CAD_Investimentos!$O34)</f>
        <v>0</v>
      </c>
    </row>
    <row r="317" customFormat="false" ht="15" hidden="false" customHeight="false" outlineLevel="0" collapsed="false">
      <c r="A317" s="9" t="str">
        <f aca="false">IF(CAD_Investimentos!$A35="","",CAD_Investimentos!$B35)</f>
        <v/>
      </c>
      <c r="B317" s="10" t="n">
        <f aca="false">IF(CAD_Investimentos!$A35="",0,SUMIFS(L_Valor,L_Data,"&gt;="&amp;REL_INI,L_Data,"&lt;="&amp;REL_FIM,L_Status,"REALIZADO",L_Tipo,"APORTE",L_DestID,CAD_Investimentos!$A35))</f>
        <v>0</v>
      </c>
      <c r="C317" s="10" t="n">
        <f aca="false">IF(CAD_Investimentos!$A35="",0,SUMIFS(L_Valor,L_Data,"&gt;="&amp;REL_INI,L_Data,"&lt;="&amp;REL_FIM,L_Status,"REALIZADO",L_Tipo,"RESGATE",L_OrigID,CAD_Investimentos!$A35))</f>
        <v>0</v>
      </c>
      <c r="D317" s="10" t="n">
        <f aca="false">IF(CAD_Investimentos!$A35="",0,SUMIFS(L_Valor,L_Data,"&gt;="&amp;REL_INI,L_Data,"&lt;="&amp;REL_FIM,L_Status,"REALIZADO",L_Tipo,"RENDIMENTO",L_DestID,CAD_Investimentos!$A35))</f>
        <v>0</v>
      </c>
      <c r="E317" s="10" t="n">
        <f aca="false">IF(CAD_Investimentos!$A35="",0,CAD_Investimentos!$O35)</f>
        <v>0</v>
      </c>
    </row>
    <row r="318" customFormat="false" ht="15" hidden="false" customHeight="false" outlineLevel="0" collapsed="false">
      <c r="A318" s="9" t="str">
        <f aca="false">IF(CAD_Investimentos!$A36="","",CAD_Investimentos!$B36)</f>
        <v/>
      </c>
      <c r="B318" s="10" t="n">
        <f aca="false">IF(CAD_Investimentos!$A36="",0,SUMIFS(L_Valor,L_Data,"&gt;="&amp;REL_INI,L_Data,"&lt;="&amp;REL_FIM,L_Status,"REALIZADO",L_Tipo,"APORTE",L_DestID,CAD_Investimentos!$A36))</f>
        <v>0</v>
      </c>
      <c r="C318" s="10" t="n">
        <f aca="false">IF(CAD_Investimentos!$A36="",0,SUMIFS(L_Valor,L_Data,"&gt;="&amp;REL_INI,L_Data,"&lt;="&amp;REL_FIM,L_Status,"REALIZADO",L_Tipo,"RESGATE",L_OrigID,CAD_Investimentos!$A36))</f>
        <v>0</v>
      </c>
      <c r="D318" s="10" t="n">
        <f aca="false">IF(CAD_Investimentos!$A36="",0,SUMIFS(L_Valor,L_Data,"&gt;="&amp;REL_INI,L_Data,"&lt;="&amp;REL_FIM,L_Status,"REALIZADO",L_Tipo,"RENDIMENTO",L_DestID,CAD_Investimentos!$A36))</f>
        <v>0</v>
      </c>
      <c r="E318" s="10" t="n">
        <f aca="false">IF(CAD_Investimentos!$A36="",0,CAD_Investimentos!$O36)</f>
        <v>0</v>
      </c>
    </row>
    <row r="319" customFormat="false" ht="15" hidden="false" customHeight="false" outlineLevel="0" collapsed="false">
      <c r="A319" s="9" t="str">
        <f aca="false">IF(CAD_Investimentos!$A37="","",CAD_Investimentos!$B37)</f>
        <v/>
      </c>
      <c r="B319" s="10" t="n">
        <f aca="false">IF(CAD_Investimentos!$A37="",0,SUMIFS(L_Valor,L_Data,"&gt;="&amp;REL_INI,L_Data,"&lt;="&amp;REL_FIM,L_Status,"REALIZADO",L_Tipo,"APORTE",L_DestID,CAD_Investimentos!$A37))</f>
        <v>0</v>
      </c>
      <c r="C319" s="10" t="n">
        <f aca="false">IF(CAD_Investimentos!$A37="",0,SUMIFS(L_Valor,L_Data,"&gt;="&amp;REL_INI,L_Data,"&lt;="&amp;REL_FIM,L_Status,"REALIZADO",L_Tipo,"RESGATE",L_OrigID,CAD_Investimentos!$A37))</f>
        <v>0</v>
      </c>
      <c r="D319" s="10" t="n">
        <f aca="false">IF(CAD_Investimentos!$A37="",0,SUMIFS(L_Valor,L_Data,"&gt;="&amp;REL_INI,L_Data,"&lt;="&amp;REL_FIM,L_Status,"REALIZADO",L_Tipo,"RENDIMENTO",L_DestID,CAD_Investimentos!$A37))</f>
        <v>0</v>
      </c>
      <c r="E319" s="10" t="n">
        <f aca="false">IF(CAD_Investimentos!$A37="",0,CAD_Investimentos!$O37)</f>
        <v>0</v>
      </c>
    </row>
    <row r="320" customFormat="false" ht="15" hidden="false" customHeight="false" outlineLevel="0" collapsed="false">
      <c r="A320" s="9" t="str">
        <f aca="false">IF(CAD_Investimentos!$A38="","",CAD_Investimentos!$B38)</f>
        <v/>
      </c>
      <c r="B320" s="10" t="n">
        <f aca="false">IF(CAD_Investimentos!$A38="",0,SUMIFS(L_Valor,L_Data,"&gt;="&amp;REL_INI,L_Data,"&lt;="&amp;REL_FIM,L_Status,"REALIZADO",L_Tipo,"APORTE",L_DestID,CAD_Investimentos!$A38))</f>
        <v>0</v>
      </c>
      <c r="C320" s="10" t="n">
        <f aca="false">IF(CAD_Investimentos!$A38="",0,SUMIFS(L_Valor,L_Data,"&gt;="&amp;REL_INI,L_Data,"&lt;="&amp;REL_FIM,L_Status,"REALIZADO",L_Tipo,"RESGATE",L_OrigID,CAD_Investimentos!$A38))</f>
        <v>0</v>
      </c>
      <c r="D320" s="10" t="n">
        <f aca="false">IF(CAD_Investimentos!$A38="",0,SUMIFS(L_Valor,L_Data,"&gt;="&amp;REL_INI,L_Data,"&lt;="&amp;REL_FIM,L_Status,"REALIZADO",L_Tipo,"RENDIMENTO",L_DestID,CAD_Investimentos!$A38))</f>
        <v>0</v>
      </c>
      <c r="E320" s="10" t="n">
        <f aca="false">IF(CAD_Investimentos!$A38="",0,CAD_Investimentos!$O38)</f>
        <v>0</v>
      </c>
    </row>
    <row r="321" customFormat="false" ht="15" hidden="false" customHeight="false" outlineLevel="0" collapsed="false">
      <c r="A321" s="9" t="str">
        <f aca="false">IF(CAD_Investimentos!$A39="","",CAD_Investimentos!$B39)</f>
        <v/>
      </c>
      <c r="B321" s="10" t="n">
        <f aca="false">IF(CAD_Investimentos!$A39="",0,SUMIFS(L_Valor,L_Data,"&gt;="&amp;REL_INI,L_Data,"&lt;="&amp;REL_FIM,L_Status,"REALIZADO",L_Tipo,"APORTE",L_DestID,CAD_Investimentos!$A39))</f>
        <v>0</v>
      </c>
      <c r="C321" s="10" t="n">
        <f aca="false">IF(CAD_Investimentos!$A39="",0,SUMIFS(L_Valor,L_Data,"&gt;="&amp;REL_INI,L_Data,"&lt;="&amp;REL_FIM,L_Status,"REALIZADO",L_Tipo,"RESGATE",L_OrigID,CAD_Investimentos!$A39))</f>
        <v>0</v>
      </c>
      <c r="D321" s="10" t="n">
        <f aca="false">IF(CAD_Investimentos!$A39="",0,SUMIFS(L_Valor,L_Data,"&gt;="&amp;REL_INI,L_Data,"&lt;="&amp;REL_FIM,L_Status,"REALIZADO",L_Tipo,"RENDIMENTO",L_DestID,CAD_Investimentos!$A39))</f>
        <v>0</v>
      </c>
      <c r="E321" s="10" t="n">
        <f aca="false">IF(CAD_Investimentos!$A39="",0,CAD_Investimentos!$O39)</f>
        <v>0</v>
      </c>
    </row>
    <row r="322" customFormat="false" ht="15" hidden="false" customHeight="false" outlineLevel="0" collapsed="false">
      <c r="A322" s="9" t="str">
        <f aca="false">IF(CAD_Investimentos!$A40="","",CAD_Investimentos!$B40)</f>
        <v/>
      </c>
      <c r="B322" s="10" t="n">
        <f aca="false">IF(CAD_Investimentos!$A40="",0,SUMIFS(L_Valor,L_Data,"&gt;="&amp;REL_INI,L_Data,"&lt;="&amp;REL_FIM,L_Status,"REALIZADO",L_Tipo,"APORTE",L_DestID,CAD_Investimentos!$A40))</f>
        <v>0</v>
      </c>
      <c r="C322" s="10" t="n">
        <f aca="false">IF(CAD_Investimentos!$A40="",0,SUMIFS(L_Valor,L_Data,"&gt;="&amp;REL_INI,L_Data,"&lt;="&amp;REL_FIM,L_Status,"REALIZADO",L_Tipo,"RESGATE",L_OrigID,CAD_Investimentos!$A40))</f>
        <v>0</v>
      </c>
      <c r="D322" s="10" t="n">
        <f aca="false">IF(CAD_Investimentos!$A40="",0,SUMIFS(L_Valor,L_Data,"&gt;="&amp;REL_INI,L_Data,"&lt;="&amp;REL_FIM,L_Status,"REALIZADO",L_Tipo,"RENDIMENTO",L_DestID,CAD_Investimentos!$A40))</f>
        <v>0</v>
      </c>
      <c r="E322" s="10" t="n">
        <f aca="false">IF(CAD_Investimentos!$A40="",0,CAD_Investimentos!$O40)</f>
        <v>0</v>
      </c>
    </row>
    <row r="323" customFormat="false" ht="15" hidden="false" customHeight="false" outlineLevel="0" collapsed="false">
      <c r="A323" s="9" t="str">
        <f aca="false">IF(CAD_Investimentos!$A41="","",CAD_Investimentos!$B41)</f>
        <v/>
      </c>
      <c r="B323" s="10" t="n">
        <f aca="false">IF(CAD_Investimentos!$A41="",0,SUMIFS(L_Valor,L_Data,"&gt;="&amp;REL_INI,L_Data,"&lt;="&amp;REL_FIM,L_Status,"REALIZADO",L_Tipo,"APORTE",L_DestID,CAD_Investimentos!$A41))</f>
        <v>0</v>
      </c>
      <c r="C323" s="10" t="n">
        <f aca="false">IF(CAD_Investimentos!$A41="",0,SUMIFS(L_Valor,L_Data,"&gt;="&amp;REL_INI,L_Data,"&lt;="&amp;REL_FIM,L_Status,"REALIZADO",L_Tipo,"RESGATE",L_OrigID,CAD_Investimentos!$A41))</f>
        <v>0</v>
      </c>
      <c r="D323" s="10" t="n">
        <f aca="false">IF(CAD_Investimentos!$A41="",0,SUMIFS(L_Valor,L_Data,"&gt;="&amp;REL_INI,L_Data,"&lt;="&amp;REL_FIM,L_Status,"REALIZADO",L_Tipo,"RENDIMENTO",L_DestID,CAD_Investimentos!$A41))</f>
        <v>0</v>
      </c>
      <c r="E323" s="10" t="n">
        <f aca="false">IF(CAD_Investimentos!$A41="",0,CAD_Investimentos!$O41)</f>
        <v>0</v>
      </c>
    </row>
    <row r="324" customFormat="false" ht="15" hidden="false" customHeight="false" outlineLevel="0" collapsed="false">
      <c r="A324" s="9" t="str">
        <f aca="false">IF(CAD_Investimentos!$A42="","",CAD_Investimentos!$B42)</f>
        <v/>
      </c>
      <c r="B324" s="10" t="n">
        <f aca="false">IF(CAD_Investimentos!$A42="",0,SUMIFS(L_Valor,L_Data,"&gt;="&amp;REL_INI,L_Data,"&lt;="&amp;REL_FIM,L_Status,"REALIZADO",L_Tipo,"APORTE",L_DestID,CAD_Investimentos!$A42))</f>
        <v>0</v>
      </c>
      <c r="C324" s="10" t="n">
        <f aca="false">IF(CAD_Investimentos!$A42="",0,SUMIFS(L_Valor,L_Data,"&gt;="&amp;REL_INI,L_Data,"&lt;="&amp;REL_FIM,L_Status,"REALIZADO",L_Tipo,"RESGATE",L_OrigID,CAD_Investimentos!$A42))</f>
        <v>0</v>
      </c>
      <c r="D324" s="10" t="n">
        <f aca="false">IF(CAD_Investimentos!$A42="",0,SUMIFS(L_Valor,L_Data,"&gt;="&amp;REL_INI,L_Data,"&lt;="&amp;REL_FIM,L_Status,"REALIZADO",L_Tipo,"RENDIMENTO",L_DestID,CAD_Investimentos!$A42))</f>
        <v>0</v>
      </c>
      <c r="E324" s="10" t="n">
        <f aca="false">IF(CAD_Investimentos!$A42="",0,CAD_Investimentos!$O42)</f>
        <v>0</v>
      </c>
    </row>
    <row r="325" customFormat="false" ht="15" hidden="false" customHeight="false" outlineLevel="0" collapsed="false">
      <c r="A325" s="9" t="str">
        <f aca="false">IF(CAD_Investimentos!$A43="","",CAD_Investimentos!$B43)</f>
        <v/>
      </c>
      <c r="B325" s="10" t="n">
        <f aca="false">IF(CAD_Investimentos!$A43="",0,SUMIFS(L_Valor,L_Data,"&gt;="&amp;REL_INI,L_Data,"&lt;="&amp;REL_FIM,L_Status,"REALIZADO",L_Tipo,"APORTE",L_DestID,CAD_Investimentos!$A43))</f>
        <v>0</v>
      </c>
      <c r="C325" s="10" t="n">
        <f aca="false">IF(CAD_Investimentos!$A43="",0,SUMIFS(L_Valor,L_Data,"&gt;="&amp;REL_INI,L_Data,"&lt;="&amp;REL_FIM,L_Status,"REALIZADO",L_Tipo,"RESGATE",L_OrigID,CAD_Investimentos!$A43))</f>
        <v>0</v>
      </c>
      <c r="D325" s="10" t="n">
        <f aca="false">IF(CAD_Investimentos!$A43="",0,SUMIFS(L_Valor,L_Data,"&gt;="&amp;REL_INI,L_Data,"&lt;="&amp;REL_FIM,L_Status,"REALIZADO",L_Tipo,"RENDIMENTO",L_DestID,CAD_Investimentos!$A43))</f>
        <v>0</v>
      </c>
      <c r="E325" s="10" t="n">
        <f aca="false">IF(CAD_Investimentos!$A43="",0,CAD_Investimentos!$O43)</f>
        <v>0</v>
      </c>
    </row>
    <row r="326" customFormat="false" ht="15" hidden="false" customHeight="false" outlineLevel="0" collapsed="false">
      <c r="A326" s="9" t="str">
        <f aca="false">IF(CAD_Investimentos!$A44="","",CAD_Investimentos!$B44)</f>
        <v/>
      </c>
      <c r="B326" s="10" t="n">
        <f aca="false">IF(CAD_Investimentos!$A44="",0,SUMIFS(L_Valor,L_Data,"&gt;="&amp;REL_INI,L_Data,"&lt;="&amp;REL_FIM,L_Status,"REALIZADO",L_Tipo,"APORTE",L_DestID,CAD_Investimentos!$A44))</f>
        <v>0</v>
      </c>
      <c r="C326" s="10" t="n">
        <f aca="false">IF(CAD_Investimentos!$A44="",0,SUMIFS(L_Valor,L_Data,"&gt;="&amp;REL_INI,L_Data,"&lt;="&amp;REL_FIM,L_Status,"REALIZADO",L_Tipo,"RESGATE",L_OrigID,CAD_Investimentos!$A44))</f>
        <v>0</v>
      </c>
      <c r="D326" s="10" t="n">
        <f aca="false">IF(CAD_Investimentos!$A44="",0,SUMIFS(L_Valor,L_Data,"&gt;="&amp;REL_INI,L_Data,"&lt;="&amp;REL_FIM,L_Status,"REALIZADO",L_Tipo,"RENDIMENTO",L_DestID,CAD_Investimentos!$A44))</f>
        <v>0</v>
      </c>
      <c r="E326" s="10" t="n">
        <f aca="false">IF(CAD_Investimentos!$A44="",0,CAD_Investimentos!$O44)</f>
        <v>0</v>
      </c>
    </row>
  </sheetData>
  <mergeCells count="9">
    <mergeCell ref="A1:G1"/>
    <mergeCell ref="A2:G2"/>
    <mergeCell ref="A7:G7"/>
    <mergeCell ref="A24:G24"/>
    <mergeCell ref="A67:G67"/>
    <mergeCell ref="A190:G190"/>
    <mergeCell ref="A233:G233"/>
    <mergeCell ref="A276:G276"/>
    <mergeCell ref="A285:G2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14" min="4" style="0" width="18"/>
  </cols>
  <sheetData>
    <row r="1" customFormat="false" ht="25.5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424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119</v>
      </c>
      <c r="B4" s="37" t="n">
        <v>2026</v>
      </c>
    </row>
    <row r="6" customFormat="false" ht="19.5" hidden="false" customHeight="true" outlineLevel="0" collapsed="false">
      <c r="A6" s="3" t="s">
        <v>425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30" hidden="false" customHeight="true" outlineLevel="0" collapsed="false">
      <c r="A7" s="8" t="s">
        <v>120</v>
      </c>
      <c r="B7" s="8" t="s">
        <v>324</v>
      </c>
      <c r="C7" s="8" t="s">
        <v>344</v>
      </c>
      <c r="D7" s="8" t="s">
        <v>231</v>
      </c>
      <c r="E7" s="8" t="s">
        <v>422</v>
      </c>
      <c r="F7" s="8" t="s">
        <v>388</v>
      </c>
      <c r="G7" s="8" t="s">
        <v>426</v>
      </c>
      <c r="H7" s="8" t="s">
        <v>420</v>
      </c>
      <c r="I7" s="8" t="s">
        <v>421</v>
      </c>
      <c r="J7" s="8" t="s">
        <v>427</v>
      </c>
      <c r="K7" s="8" t="s">
        <v>428</v>
      </c>
      <c r="L7" s="8" t="s">
        <v>429</v>
      </c>
      <c r="M7" s="8" t="s">
        <v>430</v>
      </c>
      <c r="N7" s="8" t="s">
        <v>431</v>
      </c>
    </row>
    <row r="8" customFormat="false" ht="15" hidden="false" customHeight="false" outlineLevel="0" collapsed="false">
      <c r="A8" s="9" t="str">
        <f aca="false">INDEX(LST_MESES,1)</f>
        <v>Janeiro</v>
      </c>
      <c r="B8" s="44" t="n">
        <f aca="false">DATE(RELA_ANO,1,1)</f>
        <v>46023</v>
      </c>
      <c r="C8" s="44" t="n">
        <f aca="false">EOMONTH($B8,0)</f>
        <v>46053</v>
      </c>
      <c r="D8" s="10" t="n">
        <f aca="false">SUMIFS(L_VRec,L_Data,"&gt;="&amp;$B8,L_Data,"&lt;="&amp;$C8,L_Status,"REALIZADO")+SUMIFS(L_VRec,L_Data,"&gt;="&amp;$B8,L_Data,"&lt;="&amp;$C8,L_Status,"PROJETADO")</f>
        <v>0</v>
      </c>
      <c r="E8" s="10" t="n">
        <f aca="false">SUMIFS(L_VRend,L_Data,"&gt;="&amp;$B8,L_Data,"&lt;="&amp;$C8,L_Status,"REALIZADO")+SUMIFS(L_VRend,L_Data,"&gt;="&amp;$B8,L_Data,"&lt;="&amp;$C8,L_Status,"PROJETADO")</f>
        <v>0</v>
      </c>
      <c r="F8" s="10" t="n">
        <f aca="false">SUMIFS(L_VDesp,L_Data,"&gt;="&amp;$B8,L_Data,"&lt;="&amp;$C8,L_Status,"REALIZADO")+SUMIFS(L_VDesp,L_Data,"&gt;="&amp;$B8,L_Data,"&lt;="&amp;$C8,L_Status,"PROJETADO")</f>
        <v>0</v>
      </c>
      <c r="G8" s="10" t="n">
        <f aca="false">$D8+$E8-$F8</f>
        <v>0</v>
      </c>
      <c r="H8" s="10" t="n">
        <f aca="false">SUMIFS(L_Valor,L_Data,"&gt;="&amp;$B8,L_Data,"&lt;="&amp;$C8,L_Status,"REALIZADO",L_Tipo,"APORTE")+SUMIFS(L_Valor,L_Data,"&gt;="&amp;$B8,L_Data,"&lt;="&amp;$C8,L_Status,"PROJETADO",L_Tipo,"APORTE")</f>
        <v>0</v>
      </c>
      <c r="I8" s="10" t="n">
        <f aca="false">SUMIFS(L_Valor,L_Data,"&gt;="&amp;$B8,L_Data,"&lt;="&amp;$C8,L_Status,"REALIZADO",L_Tipo,"RESGATE")+SUMIFS(L_Valor,L_Data,"&gt;="&amp;$B8,L_Data,"&lt;="&amp;$C8,L_Status,"PROJETADO",L_Tipo,"RESGATE")</f>
        <v>0</v>
      </c>
      <c r="J8" s="10" t="n">
        <f aca="false">$H8-$I8</f>
        <v>0</v>
      </c>
      <c r="K8" s="10" t="n">
        <f aca="false">SUMIFS(L_Ent,L_Data,"&gt;="&amp;$B8,L_Data,"&lt;="&amp;$C8,L_Status,"REALIZADO")+SUMIFS(L_Ent,L_Data,"&gt;="&amp;$B8,L_Data,"&lt;="&amp;$C8,L_Status,"PROJETADO")</f>
        <v>0</v>
      </c>
      <c r="L8" s="10" t="n">
        <f aca="false">SUMIFS(L_Sai,L_Data,"&gt;="&amp;$B8,L_Data,"&lt;="&amp;$C8,L_Status,"REALIZADO")+SUMIFS(L_Sai,L_Data,"&gt;="&amp;$B8,L_Data,"&lt;="&amp;$C8,L_Status,"PROJETADO")</f>
        <v>0</v>
      </c>
      <c r="M8" s="10" t="n">
        <f aca="false">$K8-$L8</f>
        <v>0</v>
      </c>
      <c r="N8" s="10" t="n">
        <f aca="false">SUM(C_SALDOINI)+SUMIFS(L_Ent,L_Data,"&lt;"&amp;$C8+1,L_Status,"REALIZADO")-SUMIFS(L_Sai,L_Data,"&lt;"&amp;$C8+1,L_Status,"REALIZADO")+SUMIFS(L_Ent,L_Data,"&lt;"&amp;$C8+1,L_Status,"PROJETADO")-SUMIFS(L_Sai,L_Data,"&lt;"&amp;$C8+1,L_Status,"PROJETADO")</f>
        <v>0</v>
      </c>
    </row>
    <row r="9" customFormat="false" ht="15" hidden="false" customHeight="false" outlineLevel="0" collapsed="false">
      <c r="A9" s="9" t="str">
        <f aca="false">INDEX(LST_MESES,2)</f>
        <v>Fevereiro</v>
      </c>
      <c r="B9" s="44" t="n">
        <f aca="false">DATE(RELA_ANO,2,1)</f>
        <v>46054</v>
      </c>
      <c r="C9" s="44" t="n">
        <f aca="false">EOMONTH($B9,0)</f>
        <v>46081</v>
      </c>
      <c r="D9" s="10" t="n">
        <f aca="false">SUMIFS(L_VRec,L_Data,"&gt;="&amp;$B9,L_Data,"&lt;="&amp;$C9,L_Status,"REALIZADO")+SUMIFS(L_VRec,L_Data,"&gt;="&amp;$B9,L_Data,"&lt;="&amp;$C9,L_Status,"PROJETADO")</f>
        <v>0</v>
      </c>
      <c r="E9" s="10" t="n">
        <f aca="false">SUMIFS(L_VRend,L_Data,"&gt;="&amp;$B9,L_Data,"&lt;="&amp;$C9,L_Status,"REALIZADO")+SUMIFS(L_VRend,L_Data,"&gt;="&amp;$B9,L_Data,"&lt;="&amp;$C9,L_Status,"PROJETADO")</f>
        <v>0</v>
      </c>
      <c r="F9" s="10" t="n">
        <f aca="false">SUMIFS(L_VDesp,L_Data,"&gt;="&amp;$B9,L_Data,"&lt;="&amp;$C9,L_Status,"REALIZADO")+SUMIFS(L_VDesp,L_Data,"&gt;="&amp;$B9,L_Data,"&lt;="&amp;$C9,L_Status,"PROJETADO")</f>
        <v>0</v>
      </c>
      <c r="G9" s="10" t="n">
        <f aca="false">$D9+$E9-$F9</f>
        <v>0</v>
      </c>
      <c r="H9" s="10" t="n">
        <f aca="false">SUMIFS(L_Valor,L_Data,"&gt;="&amp;$B9,L_Data,"&lt;="&amp;$C9,L_Status,"REALIZADO",L_Tipo,"APORTE")+SUMIFS(L_Valor,L_Data,"&gt;="&amp;$B9,L_Data,"&lt;="&amp;$C9,L_Status,"PROJETADO",L_Tipo,"APORTE")</f>
        <v>0</v>
      </c>
      <c r="I9" s="10" t="n">
        <f aca="false">SUMIFS(L_Valor,L_Data,"&gt;="&amp;$B9,L_Data,"&lt;="&amp;$C9,L_Status,"REALIZADO",L_Tipo,"RESGATE")+SUMIFS(L_Valor,L_Data,"&gt;="&amp;$B9,L_Data,"&lt;="&amp;$C9,L_Status,"PROJETADO",L_Tipo,"RESGATE")</f>
        <v>0</v>
      </c>
      <c r="J9" s="10" t="n">
        <f aca="false">$H9-$I9</f>
        <v>0</v>
      </c>
      <c r="K9" s="10" t="n">
        <f aca="false">SUMIFS(L_Ent,L_Data,"&gt;="&amp;$B9,L_Data,"&lt;="&amp;$C9,L_Status,"REALIZADO")+SUMIFS(L_Ent,L_Data,"&gt;="&amp;$B9,L_Data,"&lt;="&amp;$C9,L_Status,"PROJETADO")</f>
        <v>0</v>
      </c>
      <c r="L9" s="10" t="n">
        <f aca="false">SUMIFS(L_Sai,L_Data,"&gt;="&amp;$B9,L_Data,"&lt;="&amp;$C9,L_Status,"REALIZADO")+SUMIFS(L_Sai,L_Data,"&gt;="&amp;$B9,L_Data,"&lt;="&amp;$C9,L_Status,"PROJETADO")</f>
        <v>0</v>
      </c>
      <c r="M9" s="10" t="n">
        <f aca="false">$K9-$L9</f>
        <v>0</v>
      </c>
      <c r="N9" s="10" t="n">
        <f aca="false">SUM(C_SALDOINI)+SUMIFS(L_Ent,L_Data,"&lt;"&amp;$C9+1,L_Status,"REALIZADO")-SUMIFS(L_Sai,L_Data,"&lt;"&amp;$C9+1,L_Status,"REALIZADO")+SUMIFS(L_Ent,L_Data,"&lt;"&amp;$C9+1,L_Status,"PROJETADO")-SUMIFS(L_Sai,L_Data,"&lt;"&amp;$C9+1,L_Status,"PROJETADO")</f>
        <v>0</v>
      </c>
    </row>
    <row r="10" customFormat="false" ht="15" hidden="false" customHeight="false" outlineLevel="0" collapsed="false">
      <c r="A10" s="9" t="str">
        <f aca="false">INDEX(LST_MESES,3)</f>
        <v>Marco</v>
      </c>
      <c r="B10" s="44" t="n">
        <f aca="false">DATE(RELA_ANO,3,1)</f>
        <v>46082</v>
      </c>
      <c r="C10" s="44" t="n">
        <f aca="false">EOMONTH($B10,0)</f>
        <v>46112</v>
      </c>
      <c r="D10" s="10" t="n">
        <f aca="false">SUMIFS(L_VRec,L_Data,"&gt;="&amp;$B10,L_Data,"&lt;="&amp;$C10,L_Status,"REALIZADO")+SUMIFS(L_VRec,L_Data,"&gt;="&amp;$B10,L_Data,"&lt;="&amp;$C10,L_Status,"PROJETADO")</f>
        <v>0</v>
      </c>
      <c r="E10" s="10" t="n">
        <f aca="false">SUMIFS(L_VRend,L_Data,"&gt;="&amp;$B10,L_Data,"&lt;="&amp;$C10,L_Status,"REALIZADO")+SUMIFS(L_VRend,L_Data,"&gt;="&amp;$B10,L_Data,"&lt;="&amp;$C10,L_Status,"PROJETADO")</f>
        <v>0</v>
      </c>
      <c r="F10" s="10" t="n">
        <f aca="false">SUMIFS(L_VDesp,L_Data,"&gt;="&amp;$B10,L_Data,"&lt;="&amp;$C10,L_Status,"REALIZADO")+SUMIFS(L_VDesp,L_Data,"&gt;="&amp;$B10,L_Data,"&lt;="&amp;$C10,L_Status,"PROJETADO")</f>
        <v>0</v>
      </c>
      <c r="G10" s="10" t="n">
        <f aca="false">$D10+$E10-$F10</f>
        <v>0</v>
      </c>
      <c r="H10" s="10" t="n">
        <f aca="false">SUMIFS(L_Valor,L_Data,"&gt;="&amp;$B10,L_Data,"&lt;="&amp;$C10,L_Status,"REALIZADO",L_Tipo,"APORTE")+SUMIFS(L_Valor,L_Data,"&gt;="&amp;$B10,L_Data,"&lt;="&amp;$C10,L_Status,"PROJETADO",L_Tipo,"APORTE")</f>
        <v>0</v>
      </c>
      <c r="I10" s="10" t="n">
        <f aca="false">SUMIFS(L_Valor,L_Data,"&gt;="&amp;$B10,L_Data,"&lt;="&amp;$C10,L_Status,"REALIZADO",L_Tipo,"RESGATE")+SUMIFS(L_Valor,L_Data,"&gt;="&amp;$B10,L_Data,"&lt;="&amp;$C10,L_Status,"PROJETADO",L_Tipo,"RESGATE")</f>
        <v>0</v>
      </c>
      <c r="J10" s="10" t="n">
        <f aca="false">$H10-$I10</f>
        <v>0</v>
      </c>
      <c r="K10" s="10" t="n">
        <f aca="false">SUMIFS(L_Ent,L_Data,"&gt;="&amp;$B10,L_Data,"&lt;="&amp;$C10,L_Status,"REALIZADO")+SUMIFS(L_Ent,L_Data,"&gt;="&amp;$B10,L_Data,"&lt;="&amp;$C10,L_Status,"PROJETADO")</f>
        <v>0</v>
      </c>
      <c r="L10" s="10" t="n">
        <f aca="false">SUMIFS(L_Sai,L_Data,"&gt;="&amp;$B10,L_Data,"&lt;="&amp;$C10,L_Status,"REALIZADO")+SUMIFS(L_Sai,L_Data,"&gt;="&amp;$B10,L_Data,"&lt;="&amp;$C10,L_Status,"PROJETADO")</f>
        <v>0</v>
      </c>
      <c r="M10" s="10" t="n">
        <f aca="false">$K10-$L10</f>
        <v>0</v>
      </c>
      <c r="N10" s="10" t="n">
        <f aca="false">SUM(C_SALDOINI)+SUMIFS(L_Ent,L_Data,"&lt;"&amp;$C10+1,L_Status,"REALIZADO")-SUMIFS(L_Sai,L_Data,"&lt;"&amp;$C10+1,L_Status,"REALIZADO")+SUMIFS(L_Ent,L_Data,"&lt;"&amp;$C10+1,L_Status,"PROJETADO")-SUMIFS(L_Sai,L_Data,"&lt;"&amp;$C10+1,L_Status,"PROJETADO")</f>
        <v>0</v>
      </c>
    </row>
    <row r="11" customFormat="false" ht="15" hidden="false" customHeight="false" outlineLevel="0" collapsed="false">
      <c r="A11" s="9" t="str">
        <f aca="false">INDEX(LST_MESES,4)</f>
        <v>Abril</v>
      </c>
      <c r="B11" s="44" t="n">
        <f aca="false">DATE(RELA_ANO,4,1)</f>
        <v>46113</v>
      </c>
      <c r="C11" s="44" t="n">
        <f aca="false">EOMONTH($B11,0)</f>
        <v>46142</v>
      </c>
      <c r="D11" s="10" t="n">
        <f aca="false">SUMIFS(L_VRec,L_Data,"&gt;="&amp;$B11,L_Data,"&lt;="&amp;$C11,L_Status,"REALIZADO")+SUMIFS(L_VRec,L_Data,"&gt;="&amp;$B11,L_Data,"&lt;="&amp;$C11,L_Status,"PROJETADO")</f>
        <v>0</v>
      </c>
      <c r="E11" s="10" t="n">
        <f aca="false">SUMIFS(L_VRend,L_Data,"&gt;="&amp;$B11,L_Data,"&lt;="&amp;$C11,L_Status,"REALIZADO")+SUMIFS(L_VRend,L_Data,"&gt;="&amp;$B11,L_Data,"&lt;="&amp;$C11,L_Status,"PROJETADO")</f>
        <v>0</v>
      </c>
      <c r="F11" s="10" t="n">
        <f aca="false">SUMIFS(L_VDesp,L_Data,"&gt;="&amp;$B11,L_Data,"&lt;="&amp;$C11,L_Status,"REALIZADO")+SUMIFS(L_VDesp,L_Data,"&gt;="&amp;$B11,L_Data,"&lt;="&amp;$C11,L_Status,"PROJETADO")</f>
        <v>0</v>
      </c>
      <c r="G11" s="10" t="n">
        <f aca="false">$D11+$E11-$F11</f>
        <v>0</v>
      </c>
      <c r="H11" s="10" t="n">
        <f aca="false">SUMIFS(L_Valor,L_Data,"&gt;="&amp;$B11,L_Data,"&lt;="&amp;$C11,L_Status,"REALIZADO",L_Tipo,"APORTE")+SUMIFS(L_Valor,L_Data,"&gt;="&amp;$B11,L_Data,"&lt;="&amp;$C11,L_Status,"PROJETADO",L_Tipo,"APORTE")</f>
        <v>0</v>
      </c>
      <c r="I11" s="10" t="n">
        <f aca="false">SUMIFS(L_Valor,L_Data,"&gt;="&amp;$B11,L_Data,"&lt;="&amp;$C11,L_Status,"REALIZADO",L_Tipo,"RESGATE")+SUMIFS(L_Valor,L_Data,"&gt;="&amp;$B11,L_Data,"&lt;="&amp;$C11,L_Status,"PROJETADO",L_Tipo,"RESGATE")</f>
        <v>0</v>
      </c>
      <c r="J11" s="10" t="n">
        <f aca="false">$H11-$I11</f>
        <v>0</v>
      </c>
      <c r="K11" s="10" t="n">
        <f aca="false">SUMIFS(L_Ent,L_Data,"&gt;="&amp;$B11,L_Data,"&lt;="&amp;$C11,L_Status,"REALIZADO")+SUMIFS(L_Ent,L_Data,"&gt;="&amp;$B11,L_Data,"&lt;="&amp;$C11,L_Status,"PROJETADO")</f>
        <v>0</v>
      </c>
      <c r="L11" s="10" t="n">
        <f aca="false">SUMIFS(L_Sai,L_Data,"&gt;="&amp;$B11,L_Data,"&lt;="&amp;$C11,L_Status,"REALIZADO")+SUMIFS(L_Sai,L_Data,"&gt;="&amp;$B11,L_Data,"&lt;="&amp;$C11,L_Status,"PROJETADO")</f>
        <v>0</v>
      </c>
      <c r="M11" s="10" t="n">
        <f aca="false">$K11-$L11</f>
        <v>0</v>
      </c>
      <c r="N11" s="10" t="n">
        <f aca="false">SUM(C_SALDOINI)+SUMIFS(L_Ent,L_Data,"&lt;"&amp;$C11+1,L_Status,"REALIZADO")-SUMIFS(L_Sai,L_Data,"&lt;"&amp;$C11+1,L_Status,"REALIZADO")+SUMIFS(L_Ent,L_Data,"&lt;"&amp;$C11+1,L_Status,"PROJETADO")-SUMIFS(L_Sai,L_Data,"&lt;"&amp;$C11+1,L_Status,"PROJETADO")</f>
        <v>0</v>
      </c>
    </row>
    <row r="12" customFormat="false" ht="15" hidden="false" customHeight="false" outlineLevel="0" collapsed="false">
      <c r="A12" s="9" t="str">
        <f aca="false">INDEX(LST_MESES,5)</f>
        <v>Maio</v>
      </c>
      <c r="B12" s="44" t="n">
        <f aca="false">DATE(RELA_ANO,5,1)</f>
        <v>46143</v>
      </c>
      <c r="C12" s="44" t="n">
        <f aca="false">EOMONTH($B12,0)</f>
        <v>46173</v>
      </c>
      <c r="D12" s="10" t="n">
        <f aca="false">SUMIFS(L_VRec,L_Data,"&gt;="&amp;$B12,L_Data,"&lt;="&amp;$C12,L_Status,"REALIZADO")+SUMIFS(L_VRec,L_Data,"&gt;="&amp;$B12,L_Data,"&lt;="&amp;$C12,L_Status,"PROJETADO")</f>
        <v>0</v>
      </c>
      <c r="E12" s="10" t="n">
        <f aca="false">SUMIFS(L_VRend,L_Data,"&gt;="&amp;$B12,L_Data,"&lt;="&amp;$C12,L_Status,"REALIZADO")+SUMIFS(L_VRend,L_Data,"&gt;="&amp;$B12,L_Data,"&lt;="&amp;$C12,L_Status,"PROJETADO")</f>
        <v>0</v>
      </c>
      <c r="F12" s="10" t="n">
        <f aca="false">SUMIFS(L_VDesp,L_Data,"&gt;="&amp;$B12,L_Data,"&lt;="&amp;$C12,L_Status,"REALIZADO")+SUMIFS(L_VDesp,L_Data,"&gt;="&amp;$B12,L_Data,"&lt;="&amp;$C12,L_Status,"PROJETADO")</f>
        <v>0</v>
      </c>
      <c r="G12" s="10" t="n">
        <f aca="false">$D12+$E12-$F12</f>
        <v>0</v>
      </c>
      <c r="H12" s="10" t="n">
        <f aca="false">SUMIFS(L_Valor,L_Data,"&gt;="&amp;$B12,L_Data,"&lt;="&amp;$C12,L_Status,"REALIZADO",L_Tipo,"APORTE")+SUMIFS(L_Valor,L_Data,"&gt;="&amp;$B12,L_Data,"&lt;="&amp;$C12,L_Status,"PROJETADO",L_Tipo,"APORTE")</f>
        <v>0</v>
      </c>
      <c r="I12" s="10" t="n">
        <f aca="false">SUMIFS(L_Valor,L_Data,"&gt;="&amp;$B12,L_Data,"&lt;="&amp;$C12,L_Status,"REALIZADO",L_Tipo,"RESGATE")+SUMIFS(L_Valor,L_Data,"&gt;="&amp;$B12,L_Data,"&lt;="&amp;$C12,L_Status,"PROJETADO",L_Tipo,"RESGATE")</f>
        <v>0</v>
      </c>
      <c r="J12" s="10" t="n">
        <f aca="false">$H12-$I12</f>
        <v>0</v>
      </c>
      <c r="K12" s="10" t="n">
        <f aca="false">SUMIFS(L_Ent,L_Data,"&gt;="&amp;$B12,L_Data,"&lt;="&amp;$C12,L_Status,"REALIZADO")+SUMIFS(L_Ent,L_Data,"&gt;="&amp;$B12,L_Data,"&lt;="&amp;$C12,L_Status,"PROJETADO")</f>
        <v>0</v>
      </c>
      <c r="L12" s="10" t="n">
        <f aca="false">SUMIFS(L_Sai,L_Data,"&gt;="&amp;$B12,L_Data,"&lt;="&amp;$C12,L_Status,"REALIZADO")+SUMIFS(L_Sai,L_Data,"&gt;="&amp;$B12,L_Data,"&lt;="&amp;$C12,L_Status,"PROJETADO")</f>
        <v>0</v>
      </c>
      <c r="M12" s="10" t="n">
        <f aca="false">$K12-$L12</f>
        <v>0</v>
      </c>
      <c r="N12" s="10" t="n">
        <f aca="false">SUM(C_SALDOINI)+SUMIFS(L_Ent,L_Data,"&lt;"&amp;$C12+1,L_Status,"REALIZADO")-SUMIFS(L_Sai,L_Data,"&lt;"&amp;$C12+1,L_Status,"REALIZADO")+SUMIFS(L_Ent,L_Data,"&lt;"&amp;$C12+1,L_Status,"PROJETADO")-SUMIFS(L_Sai,L_Data,"&lt;"&amp;$C12+1,L_Status,"PROJETADO")</f>
        <v>0</v>
      </c>
    </row>
    <row r="13" customFormat="false" ht="15" hidden="false" customHeight="false" outlineLevel="0" collapsed="false">
      <c r="A13" s="9" t="str">
        <f aca="false">INDEX(LST_MESES,6)</f>
        <v>Junho</v>
      </c>
      <c r="B13" s="44" t="n">
        <f aca="false">DATE(RELA_ANO,6,1)</f>
        <v>46174</v>
      </c>
      <c r="C13" s="44" t="n">
        <f aca="false">EOMONTH($B13,0)</f>
        <v>46203</v>
      </c>
      <c r="D13" s="10" t="n">
        <f aca="false">SUMIFS(L_VRec,L_Data,"&gt;="&amp;$B13,L_Data,"&lt;="&amp;$C13,L_Status,"REALIZADO")+SUMIFS(L_VRec,L_Data,"&gt;="&amp;$B13,L_Data,"&lt;="&amp;$C13,L_Status,"PROJETADO")</f>
        <v>0</v>
      </c>
      <c r="E13" s="10" t="n">
        <f aca="false">SUMIFS(L_VRend,L_Data,"&gt;="&amp;$B13,L_Data,"&lt;="&amp;$C13,L_Status,"REALIZADO")+SUMIFS(L_VRend,L_Data,"&gt;="&amp;$B13,L_Data,"&lt;="&amp;$C13,L_Status,"PROJETADO")</f>
        <v>0</v>
      </c>
      <c r="F13" s="10" t="n">
        <f aca="false">SUMIFS(L_VDesp,L_Data,"&gt;="&amp;$B13,L_Data,"&lt;="&amp;$C13,L_Status,"REALIZADO")+SUMIFS(L_VDesp,L_Data,"&gt;="&amp;$B13,L_Data,"&lt;="&amp;$C13,L_Status,"PROJETADO")</f>
        <v>0</v>
      </c>
      <c r="G13" s="10" t="n">
        <f aca="false">$D13+$E13-$F13</f>
        <v>0</v>
      </c>
      <c r="H13" s="10" t="n">
        <f aca="false">SUMIFS(L_Valor,L_Data,"&gt;="&amp;$B13,L_Data,"&lt;="&amp;$C13,L_Status,"REALIZADO",L_Tipo,"APORTE")+SUMIFS(L_Valor,L_Data,"&gt;="&amp;$B13,L_Data,"&lt;="&amp;$C13,L_Status,"PROJETADO",L_Tipo,"APORTE")</f>
        <v>0</v>
      </c>
      <c r="I13" s="10" t="n">
        <f aca="false">SUMIFS(L_Valor,L_Data,"&gt;="&amp;$B13,L_Data,"&lt;="&amp;$C13,L_Status,"REALIZADO",L_Tipo,"RESGATE")+SUMIFS(L_Valor,L_Data,"&gt;="&amp;$B13,L_Data,"&lt;="&amp;$C13,L_Status,"PROJETADO",L_Tipo,"RESGATE")</f>
        <v>0</v>
      </c>
      <c r="J13" s="10" t="n">
        <f aca="false">$H13-$I13</f>
        <v>0</v>
      </c>
      <c r="K13" s="10" t="n">
        <f aca="false">SUMIFS(L_Ent,L_Data,"&gt;="&amp;$B13,L_Data,"&lt;="&amp;$C13,L_Status,"REALIZADO")+SUMIFS(L_Ent,L_Data,"&gt;="&amp;$B13,L_Data,"&lt;="&amp;$C13,L_Status,"PROJETADO")</f>
        <v>0</v>
      </c>
      <c r="L13" s="10" t="n">
        <f aca="false">SUMIFS(L_Sai,L_Data,"&gt;="&amp;$B13,L_Data,"&lt;="&amp;$C13,L_Status,"REALIZADO")+SUMIFS(L_Sai,L_Data,"&gt;="&amp;$B13,L_Data,"&lt;="&amp;$C13,L_Status,"PROJETADO")</f>
        <v>0</v>
      </c>
      <c r="M13" s="10" t="n">
        <f aca="false">$K13-$L13</f>
        <v>0</v>
      </c>
      <c r="N13" s="10" t="n">
        <f aca="false">SUM(C_SALDOINI)+SUMIFS(L_Ent,L_Data,"&lt;"&amp;$C13+1,L_Status,"REALIZADO")-SUMIFS(L_Sai,L_Data,"&lt;"&amp;$C13+1,L_Status,"REALIZADO")+SUMIFS(L_Ent,L_Data,"&lt;"&amp;$C13+1,L_Status,"PROJETADO")-SUMIFS(L_Sai,L_Data,"&lt;"&amp;$C13+1,L_Status,"PROJETADO")</f>
        <v>0</v>
      </c>
    </row>
    <row r="14" customFormat="false" ht="15" hidden="false" customHeight="false" outlineLevel="0" collapsed="false">
      <c r="A14" s="9" t="str">
        <f aca="false">INDEX(LST_MESES,7)</f>
        <v>Julho</v>
      </c>
      <c r="B14" s="44" t="n">
        <f aca="false">DATE(RELA_ANO,7,1)</f>
        <v>46204</v>
      </c>
      <c r="C14" s="44" t="n">
        <f aca="false">EOMONTH($B14,0)</f>
        <v>46234</v>
      </c>
      <c r="D14" s="10" t="n">
        <f aca="false">SUMIFS(L_VRec,L_Data,"&gt;="&amp;$B14,L_Data,"&lt;="&amp;$C14,L_Status,"REALIZADO")+SUMIFS(L_VRec,L_Data,"&gt;="&amp;$B14,L_Data,"&lt;="&amp;$C14,L_Status,"PROJETADO")</f>
        <v>0</v>
      </c>
      <c r="E14" s="10" t="n">
        <f aca="false">SUMIFS(L_VRend,L_Data,"&gt;="&amp;$B14,L_Data,"&lt;="&amp;$C14,L_Status,"REALIZADO")+SUMIFS(L_VRend,L_Data,"&gt;="&amp;$B14,L_Data,"&lt;="&amp;$C14,L_Status,"PROJETADO")</f>
        <v>0</v>
      </c>
      <c r="F14" s="10" t="n">
        <f aca="false">SUMIFS(L_VDesp,L_Data,"&gt;="&amp;$B14,L_Data,"&lt;="&amp;$C14,L_Status,"REALIZADO")+SUMIFS(L_VDesp,L_Data,"&gt;="&amp;$B14,L_Data,"&lt;="&amp;$C14,L_Status,"PROJETADO")</f>
        <v>0</v>
      </c>
      <c r="G14" s="10" t="n">
        <f aca="false">$D14+$E14-$F14</f>
        <v>0</v>
      </c>
      <c r="H14" s="10" t="n">
        <f aca="false">SUMIFS(L_Valor,L_Data,"&gt;="&amp;$B14,L_Data,"&lt;="&amp;$C14,L_Status,"REALIZADO",L_Tipo,"APORTE")+SUMIFS(L_Valor,L_Data,"&gt;="&amp;$B14,L_Data,"&lt;="&amp;$C14,L_Status,"PROJETADO",L_Tipo,"APORTE")</f>
        <v>0</v>
      </c>
      <c r="I14" s="10" t="n">
        <f aca="false">SUMIFS(L_Valor,L_Data,"&gt;="&amp;$B14,L_Data,"&lt;="&amp;$C14,L_Status,"REALIZADO",L_Tipo,"RESGATE")+SUMIFS(L_Valor,L_Data,"&gt;="&amp;$B14,L_Data,"&lt;="&amp;$C14,L_Status,"PROJETADO",L_Tipo,"RESGATE")</f>
        <v>0</v>
      </c>
      <c r="J14" s="10" t="n">
        <f aca="false">$H14-$I14</f>
        <v>0</v>
      </c>
      <c r="K14" s="10" t="n">
        <f aca="false">SUMIFS(L_Ent,L_Data,"&gt;="&amp;$B14,L_Data,"&lt;="&amp;$C14,L_Status,"REALIZADO")+SUMIFS(L_Ent,L_Data,"&gt;="&amp;$B14,L_Data,"&lt;="&amp;$C14,L_Status,"PROJETADO")</f>
        <v>0</v>
      </c>
      <c r="L14" s="10" t="n">
        <f aca="false">SUMIFS(L_Sai,L_Data,"&gt;="&amp;$B14,L_Data,"&lt;="&amp;$C14,L_Status,"REALIZADO")+SUMIFS(L_Sai,L_Data,"&gt;="&amp;$B14,L_Data,"&lt;="&amp;$C14,L_Status,"PROJETADO")</f>
        <v>0</v>
      </c>
      <c r="M14" s="10" t="n">
        <f aca="false">$K14-$L14</f>
        <v>0</v>
      </c>
      <c r="N14" s="10" t="n">
        <f aca="false">SUM(C_SALDOINI)+SUMIFS(L_Ent,L_Data,"&lt;"&amp;$C14+1,L_Status,"REALIZADO")-SUMIFS(L_Sai,L_Data,"&lt;"&amp;$C14+1,L_Status,"REALIZADO")+SUMIFS(L_Ent,L_Data,"&lt;"&amp;$C14+1,L_Status,"PROJETADO")-SUMIFS(L_Sai,L_Data,"&lt;"&amp;$C14+1,L_Status,"PROJETADO")</f>
        <v>0</v>
      </c>
    </row>
    <row r="15" customFormat="false" ht="15" hidden="false" customHeight="false" outlineLevel="0" collapsed="false">
      <c r="A15" s="9" t="str">
        <f aca="false">INDEX(LST_MESES,8)</f>
        <v>Agosto</v>
      </c>
      <c r="B15" s="44" t="n">
        <f aca="false">DATE(RELA_ANO,8,1)</f>
        <v>46235</v>
      </c>
      <c r="C15" s="44" t="n">
        <f aca="false">EOMONTH($B15,0)</f>
        <v>46265</v>
      </c>
      <c r="D15" s="10" t="n">
        <f aca="false">SUMIFS(L_VRec,L_Data,"&gt;="&amp;$B15,L_Data,"&lt;="&amp;$C15,L_Status,"REALIZADO")+SUMIFS(L_VRec,L_Data,"&gt;="&amp;$B15,L_Data,"&lt;="&amp;$C15,L_Status,"PROJETADO")</f>
        <v>0</v>
      </c>
      <c r="E15" s="10" t="n">
        <f aca="false">SUMIFS(L_VRend,L_Data,"&gt;="&amp;$B15,L_Data,"&lt;="&amp;$C15,L_Status,"REALIZADO")+SUMIFS(L_VRend,L_Data,"&gt;="&amp;$B15,L_Data,"&lt;="&amp;$C15,L_Status,"PROJETADO")</f>
        <v>0</v>
      </c>
      <c r="F15" s="10" t="n">
        <f aca="false">SUMIFS(L_VDesp,L_Data,"&gt;="&amp;$B15,L_Data,"&lt;="&amp;$C15,L_Status,"REALIZADO")+SUMIFS(L_VDesp,L_Data,"&gt;="&amp;$B15,L_Data,"&lt;="&amp;$C15,L_Status,"PROJETADO")</f>
        <v>0</v>
      </c>
      <c r="G15" s="10" t="n">
        <f aca="false">$D15+$E15-$F15</f>
        <v>0</v>
      </c>
      <c r="H15" s="10" t="n">
        <f aca="false">SUMIFS(L_Valor,L_Data,"&gt;="&amp;$B15,L_Data,"&lt;="&amp;$C15,L_Status,"REALIZADO",L_Tipo,"APORTE")+SUMIFS(L_Valor,L_Data,"&gt;="&amp;$B15,L_Data,"&lt;="&amp;$C15,L_Status,"PROJETADO",L_Tipo,"APORTE")</f>
        <v>0</v>
      </c>
      <c r="I15" s="10" t="n">
        <f aca="false">SUMIFS(L_Valor,L_Data,"&gt;="&amp;$B15,L_Data,"&lt;="&amp;$C15,L_Status,"REALIZADO",L_Tipo,"RESGATE")+SUMIFS(L_Valor,L_Data,"&gt;="&amp;$B15,L_Data,"&lt;="&amp;$C15,L_Status,"PROJETADO",L_Tipo,"RESGATE")</f>
        <v>0</v>
      </c>
      <c r="J15" s="10" t="n">
        <f aca="false">$H15-$I15</f>
        <v>0</v>
      </c>
      <c r="K15" s="10" t="n">
        <f aca="false">SUMIFS(L_Ent,L_Data,"&gt;="&amp;$B15,L_Data,"&lt;="&amp;$C15,L_Status,"REALIZADO")+SUMIFS(L_Ent,L_Data,"&gt;="&amp;$B15,L_Data,"&lt;="&amp;$C15,L_Status,"PROJETADO")</f>
        <v>0</v>
      </c>
      <c r="L15" s="10" t="n">
        <f aca="false">SUMIFS(L_Sai,L_Data,"&gt;="&amp;$B15,L_Data,"&lt;="&amp;$C15,L_Status,"REALIZADO")+SUMIFS(L_Sai,L_Data,"&gt;="&amp;$B15,L_Data,"&lt;="&amp;$C15,L_Status,"PROJETADO")</f>
        <v>0</v>
      </c>
      <c r="M15" s="10" t="n">
        <f aca="false">$K15-$L15</f>
        <v>0</v>
      </c>
      <c r="N15" s="10" t="n">
        <f aca="false">SUM(C_SALDOINI)+SUMIFS(L_Ent,L_Data,"&lt;"&amp;$C15+1,L_Status,"REALIZADO")-SUMIFS(L_Sai,L_Data,"&lt;"&amp;$C15+1,L_Status,"REALIZADO")+SUMIFS(L_Ent,L_Data,"&lt;"&amp;$C15+1,L_Status,"PROJETADO")-SUMIFS(L_Sai,L_Data,"&lt;"&amp;$C15+1,L_Status,"PROJETADO")</f>
        <v>0</v>
      </c>
    </row>
    <row r="16" customFormat="false" ht="15" hidden="false" customHeight="false" outlineLevel="0" collapsed="false">
      <c r="A16" s="9" t="str">
        <f aca="false">INDEX(LST_MESES,9)</f>
        <v>Setembro</v>
      </c>
      <c r="B16" s="44" t="n">
        <f aca="false">DATE(RELA_ANO,9,1)</f>
        <v>46266</v>
      </c>
      <c r="C16" s="44" t="n">
        <f aca="false">EOMONTH($B16,0)</f>
        <v>46295</v>
      </c>
      <c r="D16" s="10" t="n">
        <f aca="false">SUMIFS(L_VRec,L_Data,"&gt;="&amp;$B16,L_Data,"&lt;="&amp;$C16,L_Status,"REALIZADO")+SUMIFS(L_VRec,L_Data,"&gt;="&amp;$B16,L_Data,"&lt;="&amp;$C16,L_Status,"PROJETADO")</f>
        <v>0</v>
      </c>
      <c r="E16" s="10" t="n">
        <f aca="false">SUMIFS(L_VRend,L_Data,"&gt;="&amp;$B16,L_Data,"&lt;="&amp;$C16,L_Status,"REALIZADO")+SUMIFS(L_VRend,L_Data,"&gt;="&amp;$B16,L_Data,"&lt;="&amp;$C16,L_Status,"PROJETADO")</f>
        <v>0</v>
      </c>
      <c r="F16" s="10" t="n">
        <f aca="false">SUMIFS(L_VDesp,L_Data,"&gt;="&amp;$B16,L_Data,"&lt;="&amp;$C16,L_Status,"REALIZADO")+SUMIFS(L_VDesp,L_Data,"&gt;="&amp;$B16,L_Data,"&lt;="&amp;$C16,L_Status,"PROJETADO")</f>
        <v>0</v>
      </c>
      <c r="G16" s="10" t="n">
        <f aca="false">$D16+$E16-$F16</f>
        <v>0</v>
      </c>
      <c r="H16" s="10" t="n">
        <f aca="false">SUMIFS(L_Valor,L_Data,"&gt;="&amp;$B16,L_Data,"&lt;="&amp;$C16,L_Status,"REALIZADO",L_Tipo,"APORTE")+SUMIFS(L_Valor,L_Data,"&gt;="&amp;$B16,L_Data,"&lt;="&amp;$C16,L_Status,"PROJETADO",L_Tipo,"APORTE")</f>
        <v>0</v>
      </c>
      <c r="I16" s="10" t="n">
        <f aca="false">SUMIFS(L_Valor,L_Data,"&gt;="&amp;$B16,L_Data,"&lt;="&amp;$C16,L_Status,"REALIZADO",L_Tipo,"RESGATE")+SUMIFS(L_Valor,L_Data,"&gt;="&amp;$B16,L_Data,"&lt;="&amp;$C16,L_Status,"PROJETADO",L_Tipo,"RESGATE")</f>
        <v>0</v>
      </c>
      <c r="J16" s="10" t="n">
        <f aca="false">$H16-$I16</f>
        <v>0</v>
      </c>
      <c r="K16" s="10" t="n">
        <f aca="false">SUMIFS(L_Ent,L_Data,"&gt;="&amp;$B16,L_Data,"&lt;="&amp;$C16,L_Status,"REALIZADO")+SUMIFS(L_Ent,L_Data,"&gt;="&amp;$B16,L_Data,"&lt;="&amp;$C16,L_Status,"PROJETADO")</f>
        <v>0</v>
      </c>
      <c r="L16" s="10" t="n">
        <f aca="false">SUMIFS(L_Sai,L_Data,"&gt;="&amp;$B16,L_Data,"&lt;="&amp;$C16,L_Status,"REALIZADO")+SUMIFS(L_Sai,L_Data,"&gt;="&amp;$B16,L_Data,"&lt;="&amp;$C16,L_Status,"PROJETADO")</f>
        <v>0</v>
      </c>
      <c r="M16" s="10" t="n">
        <f aca="false">$K16-$L16</f>
        <v>0</v>
      </c>
      <c r="N16" s="10" t="n">
        <f aca="false">SUM(C_SALDOINI)+SUMIFS(L_Ent,L_Data,"&lt;"&amp;$C16+1,L_Status,"REALIZADO")-SUMIFS(L_Sai,L_Data,"&lt;"&amp;$C16+1,L_Status,"REALIZADO")+SUMIFS(L_Ent,L_Data,"&lt;"&amp;$C16+1,L_Status,"PROJETADO")-SUMIFS(L_Sai,L_Data,"&lt;"&amp;$C16+1,L_Status,"PROJETADO")</f>
        <v>0</v>
      </c>
    </row>
    <row r="17" customFormat="false" ht="15" hidden="false" customHeight="false" outlineLevel="0" collapsed="false">
      <c r="A17" s="9" t="str">
        <f aca="false">INDEX(LST_MESES,10)</f>
        <v>Outubro</v>
      </c>
      <c r="B17" s="44" t="n">
        <f aca="false">DATE(RELA_ANO,10,1)</f>
        <v>46296</v>
      </c>
      <c r="C17" s="44" t="n">
        <f aca="false">EOMONTH($B17,0)</f>
        <v>46326</v>
      </c>
      <c r="D17" s="10" t="n">
        <f aca="false">SUMIFS(L_VRec,L_Data,"&gt;="&amp;$B17,L_Data,"&lt;="&amp;$C17,L_Status,"REALIZADO")+SUMIFS(L_VRec,L_Data,"&gt;="&amp;$B17,L_Data,"&lt;="&amp;$C17,L_Status,"PROJETADO")</f>
        <v>0</v>
      </c>
      <c r="E17" s="10" t="n">
        <f aca="false">SUMIFS(L_VRend,L_Data,"&gt;="&amp;$B17,L_Data,"&lt;="&amp;$C17,L_Status,"REALIZADO")+SUMIFS(L_VRend,L_Data,"&gt;="&amp;$B17,L_Data,"&lt;="&amp;$C17,L_Status,"PROJETADO")</f>
        <v>0</v>
      </c>
      <c r="F17" s="10" t="n">
        <f aca="false">SUMIFS(L_VDesp,L_Data,"&gt;="&amp;$B17,L_Data,"&lt;="&amp;$C17,L_Status,"REALIZADO")+SUMIFS(L_VDesp,L_Data,"&gt;="&amp;$B17,L_Data,"&lt;="&amp;$C17,L_Status,"PROJETADO")</f>
        <v>0</v>
      </c>
      <c r="G17" s="10" t="n">
        <f aca="false">$D17+$E17-$F17</f>
        <v>0</v>
      </c>
      <c r="H17" s="10" t="n">
        <f aca="false">SUMIFS(L_Valor,L_Data,"&gt;="&amp;$B17,L_Data,"&lt;="&amp;$C17,L_Status,"REALIZADO",L_Tipo,"APORTE")+SUMIFS(L_Valor,L_Data,"&gt;="&amp;$B17,L_Data,"&lt;="&amp;$C17,L_Status,"PROJETADO",L_Tipo,"APORTE")</f>
        <v>0</v>
      </c>
      <c r="I17" s="10" t="n">
        <f aca="false">SUMIFS(L_Valor,L_Data,"&gt;="&amp;$B17,L_Data,"&lt;="&amp;$C17,L_Status,"REALIZADO",L_Tipo,"RESGATE")+SUMIFS(L_Valor,L_Data,"&gt;="&amp;$B17,L_Data,"&lt;="&amp;$C17,L_Status,"PROJETADO",L_Tipo,"RESGATE")</f>
        <v>0</v>
      </c>
      <c r="J17" s="10" t="n">
        <f aca="false">$H17-$I17</f>
        <v>0</v>
      </c>
      <c r="K17" s="10" t="n">
        <f aca="false">SUMIFS(L_Ent,L_Data,"&gt;="&amp;$B17,L_Data,"&lt;="&amp;$C17,L_Status,"REALIZADO")+SUMIFS(L_Ent,L_Data,"&gt;="&amp;$B17,L_Data,"&lt;="&amp;$C17,L_Status,"PROJETADO")</f>
        <v>0</v>
      </c>
      <c r="L17" s="10" t="n">
        <f aca="false">SUMIFS(L_Sai,L_Data,"&gt;="&amp;$B17,L_Data,"&lt;="&amp;$C17,L_Status,"REALIZADO")+SUMIFS(L_Sai,L_Data,"&gt;="&amp;$B17,L_Data,"&lt;="&amp;$C17,L_Status,"PROJETADO")</f>
        <v>0</v>
      </c>
      <c r="M17" s="10" t="n">
        <f aca="false">$K17-$L17</f>
        <v>0</v>
      </c>
      <c r="N17" s="10" t="n">
        <f aca="false">SUM(C_SALDOINI)+SUMIFS(L_Ent,L_Data,"&lt;"&amp;$C17+1,L_Status,"REALIZADO")-SUMIFS(L_Sai,L_Data,"&lt;"&amp;$C17+1,L_Status,"REALIZADO")+SUMIFS(L_Ent,L_Data,"&lt;"&amp;$C17+1,L_Status,"PROJETADO")-SUMIFS(L_Sai,L_Data,"&lt;"&amp;$C17+1,L_Status,"PROJETADO")</f>
        <v>0</v>
      </c>
    </row>
    <row r="18" customFormat="false" ht="15" hidden="false" customHeight="false" outlineLevel="0" collapsed="false">
      <c r="A18" s="9" t="str">
        <f aca="false">INDEX(LST_MESES,11)</f>
        <v>Novembro</v>
      </c>
      <c r="B18" s="44" t="n">
        <f aca="false">DATE(RELA_ANO,11,1)</f>
        <v>46327</v>
      </c>
      <c r="C18" s="44" t="n">
        <f aca="false">EOMONTH($B18,0)</f>
        <v>46356</v>
      </c>
      <c r="D18" s="10" t="n">
        <f aca="false">SUMIFS(L_VRec,L_Data,"&gt;="&amp;$B18,L_Data,"&lt;="&amp;$C18,L_Status,"REALIZADO")+SUMIFS(L_VRec,L_Data,"&gt;="&amp;$B18,L_Data,"&lt;="&amp;$C18,L_Status,"PROJETADO")</f>
        <v>0</v>
      </c>
      <c r="E18" s="10" t="n">
        <f aca="false">SUMIFS(L_VRend,L_Data,"&gt;="&amp;$B18,L_Data,"&lt;="&amp;$C18,L_Status,"REALIZADO")+SUMIFS(L_VRend,L_Data,"&gt;="&amp;$B18,L_Data,"&lt;="&amp;$C18,L_Status,"PROJETADO")</f>
        <v>0</v>
      </c>
      <c r="F18" s="10" t="n">
        <f aca="false">SUMIFS(L_VDesp,L_Data,"&gt;="&amp;$B18,L_Data,"&lt;="&amp;$C18,L_Status,"REALIZADO")+SUMIFS(L_VDesp,L_Data,"&gt;="&amp;$B18,L_Data,"&lt;="&amp;$C18,L_Status,"PROJETADO")</f>
        <v>0</v>
      </c>
      <c r="G18" s="10" t="n">
        <f aca="false">$D18+$E18-$F18</f>
        <v>0</v>
      </c>
      <c r="H18" s="10" t="n">
        <f aca="false">SUMIFS(L_Valor,L_Data,"&gt;="&amp;$B18,L_Data,"&lt;="&amp;$C18,L_Status,"REALIZADO",L_Tipo,"APORTE")+SUMIFS(L_Valor,L_Data,"&gt;="&amp;$B18,L_Data,"&lt;="&amp;$C18,L_Status,"PROJETADO",L_Tipo,"APORTE")</f>
        <v>0</v>
      </c>
      <c r="I18" s="10" t="n">
        <f aca="false">SUMIFS(L_Valor,L_Data,"&gt;="&amp;$B18,L_Data,"&lt;="&amp;$C18,L_Status,"REALIZADO",L_Tipo,"RESGATE")+SUMIFS(L_Valor,L_Data,"&gt;="&amp;$B18,L_Data,"&lt;="&amp;$C18,L_Status,"PROJETADO",L_Tipo,"RESGATE")</f>
        <v>0</v>
      </c>
      <c r="J18" s="10" t="n">
        <f aca="false">$H18-$I18</f>
        <v>0</v>
      </c>
      <c r="K18" s="10" t="n">
        <f aca="false">SUMIFS(L_Ent,L_Data,"&gt;="&amp;$B18,L_Data,"&lt;="&amp;$C18,L_Status,"REALIZADO")+SUMIFS(L_Ent,L_Data,"&gt;="&amp;$B18,L_Data,"&lt;="&amp;$C18,L_Status,"PROJETADO")</f>
        <v>0</v>
      </c>
      <c r="L18" s="10" t="n">
        <f aca="false">SUMIFS(L_Sai,L_Data,"&gt;="&amp;$B18,L_Data,"&lt;="&amp;$C18,L_Status,"REALIZADO")+SUMIFS(L_Sai,L_Data,"&gt;="&amp;$B18,L_Data,"&lt;="&amp;$C18,L_Status,"PROJETADO")</f>
        <v>0</v>
      </c>
      <c r="M18" s="10" t="n">
        <f aca="false">$K18-$L18</f>
        <v>0</v>
      </c>
      <c r="N18" s="10" t="n">
        <f aca="false">SUM(C_SALDOINI)+SUMIFS(L_Ent,L_Data,"&lt;"&amp;$C18+1,L_Status,"REALIZADO")-SUMIFS(L_Sai,L_Data,"&lt;"&amp;$C18+1,L_Status,"REALIZADO")+SUMIFS(L_Ent,L_Data,"&lt;"&amp;$C18+1,L_Status,"PROJETADO")-SUMIFS(L_Sai,L_Data,"&lt;"&amp;$C18+1,L_Status,"PROJETADO")</f>
        <v>0</v>
      </c>
    </row>
    <row r="19" customFormat="false" ht="15" hidden="false" customHeight="false" outlineLevel="0" collapsed="false">
      <c r="A19" s="9" t="str">
        <f aca="false">INDEX(LST_MESES,12)</f>
        <v>Dezembro</v>
      </c>
      <c r="B19" s="44" t="n">
        <f aca="false">DATE(RELA_ANO,12,1)</f>
        <v>46357</v>
      </c>
      <c r="C19" s="44" t="n">
        <f aca="false">EOMONTH($B19,0)</f>
        <v>46387</v>
      </c>
      <c r="D19" s="10" t="n">
        <f aca="false">SUMIFS(L_VRec,L_Data,"&gt;="&amp;$B19,L_Data,"&lt;="&amp;$C19,L_Status,"REALIZADO")+SUMIFS(L_VRec,L_Data,"&gt;="&amp;$B19,L_Data,"&lt;="&amp;$C19,L_Status,"PROJETADO")</f>
        <v>0</v>
      </c>
      <c r="E19" s="10" t="n">
        <f aca="false">SUMIFS(L_VRend,L_Data,"&gt;="&amp;$B19,L_Data,"&lt;="&amp;$C19,L_Status,"REALIZADO")+SUMIFS(L_VRend,L_Data,"&gt;="&amp;$B19,L_Data,"&lt;="&amp;$C19,L_Status,"PROJETADO")</f>
        <v>0</v>
      </c>
      <c r="F19" s="10" t="n">
        <f aca="false">SUMIFS(L_VDesp,L_Data,"&gt;="&amp;$B19,L_Data,"&lt;="&amp;$C19,L_Status,"REALIZADO")+SUMIFS(L_VDesp,L_Data,"&gt;="&amp;$B19,L_Data,"&lt;="&amp;$C19,L_Status,"PROJETADO")</f>
        <v>0</v>
      </c>
      <c r="G19" s="10" t="n">
        <f aca="false">$D19+$E19-$F19</f>
        <v>0</v>
      </c>
      <c r="H19" s="10" t="n">
        <f aca="false">SUMIFS(L_Valor,L_Data,"&gt;="&amp;$B19,L_Data,"&lt;="&amp;$C19,L_Status,"REALIZADO",L_Tipo,"APORTE")+SUMIFS(L_Valor,L_Data,"&gt;="&amp;$B19,L_Data,"&lt;="&amp;$C19,L_Status,"PROJETADO",L_Tipo,"APORTE")</f>
        <v>0</v>
      </c>
      <c r="I19" s="10" t="n">
        <f aca="false">SUMIFS(L_Valor,L_Data,"&gt;="&amp;$B19,L_Data,"&lt;="&amp;$C19,L_Status,"REALIZADO",L_Tipo,"RESGATE")+SUMIFS(L_Valor,L_Data,"&gt;="&amp;$B19,L_Data,"&lt;="&amp;$C19,L_Status,"PROJETADO",L_Tipo,"RESGATE")</f>
        <v>0</v>
      </c>
      <c r="J19" s="10" t="n">
        <f aca="false">$H19-$I19</f>
        <v>0</v>
      </c>
      <c r="K19" s="10" t="n">
        <f aca="false">SUMIFS(L_Ent,L_Data,"&gt;="&amp;$B19,L_Data,"&lt;="&amp;$C19,L_Status,"REALIZADO")+SUMIFS(L_Ent,L_Data,"&gt;="&amp;$B19,L_Data,"&lt;="&amp;$C19,L_Status,"PROJETADO")</f>
        <v>0</v>
      </c>
      <c r="L19" s="10" t="n">
        <f aca="false">SUMIFS(L_Sai,L_Data,"&gt;="&amp;$B19,L_Data,"&lt;="&amp;$C19,L_Status,"REALIZADO")+SUMIFS(L_Sai,L_Data,"&gt;="&amp;$B19,L_Data,"&lt;="&amp;$C19,L_Status,"PROJETADO")</f>
        <v>0</v>
      </c>
      <c r="M19" s="10" t="n">
        <f aca="false">$K19-$L19</f>
        <v>0</v>
      </c>
      <c r="N19" s="10" t="n">
        <f aca="false">SUM(C_SALDOINI)+SUMIFS(L_Ent,L_Data,"&lt;"&amp;$C19+1,L_Status,"REALIZADO")-SUMIFS(L_Sai,L_Data,"&lt;"&amp;$C19+1,L_Status,"REALIZADO")+SUMIFS(L_Ent,L_Data,"&lt;"&amp;$C19+1,L_Status,"PROJETADO")-SUMIFS(L_Sai,L_Data,"&lt;"&amp;$C19+1,L_Status,"PROJETADO")</f>
        <v>0</v>
      </c>
    </row>
    <row r="20" customFormat="false" ht="15" hidden="false" customHeight="false" outlineLevel="0" collapsed="false">
      <c r="A20" s="51" t="s">
        <v>432</v>
      </c>
      <c r="D20" s="48" t="n">
        <f aca="false">SUM(D8:D19)</f>
        <v>0</v>
      </c>
      <c r="E20" s="48" t="n">
        <f aca="false">SUM(E8:E19)</f>
        <v>0</v>
      </c>
      <c r="F20" s="48" t="n">
        <f aca="false">SUM(F8:F19)</f>
        <v>0</v>
      </c>
      <c r="G20" s="48" t="n">
        <f aca="false">SUM(G8:G19)</f>
        <v>0</v>
      </c>
      <c r="H20" s="48" t="n">
        <f aca="false">SUM(H8:H19)</f>
        <v>0</v>
      </c>
      <c r="I20" s="48" t="n">
        <f aca="false">SUM(I8:I19)</f>
        <v>0</v>
      </c>
      <c r="J20" s="48" t="n">
        <f aca="false">SUM(J8:J19)</f>
        <v>0</v>
      </c>
      <c r="K20" s="48" t="n">
        <f aca="false">SUM(K8:K19)</f>
        <v>0</v>
      </c>
      <c r="L20" s="48" t="n">
        <f aca="false">SUM(L8:L19)</f>
        <v>0</v>
      </c>
      <c r="M20" s="48" t="n">
        <f aca="false">SUM(M8:M19)</f>
        <v>0</v>
      </c>
    </row>
    <row r="21" customFormat="false" ht="15" hidden="false" customHeight="false" outlineLevel="0" collapsed="false">
      <c r="A21" s="51" t="s">
        <v>433</v>
      </c>
      <c r="D21" s="48" t="n">
        <f aca="false">AVERAGE(D8:D19)</f>
        <v>0</v>
      </c>
      <c r="E21" s="48" t="n">
        <f aca="false">AVERAGE(E8:E19)</f>
        <v>0</v>
      </c>
      <c r="F21" s="48" t="n">
        <f aca="false">AVERAGE(F8:F19)</f>
        <v>0</v>
      </c>
      <c r="G21" s="48" t="n">
        <f aca="false">AVERAGE(G8:G19)</f>
        <v>0</v>
      </c>
      <c r="H21" s="48" t="n">
        <f aca="false">AVERAGE(H8:H19)</f>
        <v>0</v>
      </c>
      <c r="I21" s="48" t="n">
        <f aca="false">AVERAGE(I8:I19)</f>
        <v>0</v>
      </c>
      <c r="J21" s="48" t="n">
        <f aca="false">AVERAGE(J8:J19)</f>
        <v>0</v>
      </c>
      <c r="K21" s="48" t="n">
        <f aca="false">AVERAGE(K8:K19)</f>
        <v>0</v>
      </c>
      <c r="L21" s="48" t="n">
        <f aca="false">AVERAGE(L8:L19)</f>
        <v>0</v>
      </c>
      <c r="M21" s="48" t="n">
        <f aca="false">AVERAGE(M8:M19)</f>
        <v>0</v>
      </c>
    </row>
    <row r="23" customFormat="false" ht="19.5" hidden="false" customHeight="true" outlineLevel="0" collapsed="false">
      <c r="A23" s="3" t="s">
        <v>434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30" hidden="false" customHeight="true" outlineLevel="0" collapsed="false">
      <c r="A24" s="8" t="s">
        <v>63</v>
      </c>
      <c r="B24" s="8" t="s">
        <v>435</v>
      </c>
      <c r="C24" s="8" t="s">
        <v>436</v>
      </c>
    </row>
    <row r="25" customFormat="false" ht="15" hidden="false" customHeight="false" outlineLevel="0" collapsed="false">
      <c r="A25" s="9" t="str">
        <f aca="false">IF(CAD_Categorias!$A5="","",CAD_Categorias!$B5)</f>
        <v>Alimentacao</v>
      </c>
      <c r="B25" s="10" t="n">
        <f aca="false">IF(CAD_Categorias!$A5="",0,SUMIFS(L_VDesp,L_Ano,RELA_ANO,L_CatID,CAD_Categorias!$A5,L_Status,"REALIZADO")+SUMIFS(L_VDesp,L_Ano,RELA_ANO,L_CatID,CAD_Categorias!$A5,L_Status,"PROJETADO"))</f>
        <v>0</v>
      </c>
      <c r="C25" s="11" t="n">
        <f aca="false">IF(SUM(RA_DESP)=0,0,$B25/SUM(RA_DESP))</f>
        <v>0</v>
      </c>
    </row>
    <row r="26" customFormat="false" ht="15" hidden="false" customHeight="false" outlineLevel="0" collapsed="false">
      <c r="A26" s="9" t="str">
        <f aca="false">IF(CAD_Categorias!$A6="","",CAD_Categorias!$B6)</f>
        <v>Transporte</v>
      </c>
      <c r="B26" s="10" t="n">
        <f aca="false">IF(CAD_Categorias!$A6="",0,SUMIFS(L_VDesp,L_Ano,RELA_ANO,L_CatID,CAD_Categorias!$A6,L_Status,"REALIZADO")+SUMIFS(L_VDesp,L_Ano,RELA_ANO,L_CatID,CAD_Categorias!$A6,L_Status,"PROJETADO"))</f>
        <v>0</v>
      </c>
      <c r="C26" s="11" t="n">
        <f aca="false">IF(SUM(RA_DESP)=0,0,$B26/SUM(RA_DESP))</f>
        <v>0</v>
      </c>
    </row>
    <row r="27" customFormat="false" ht="15" hidden="false" customHeight="false" outlineLevel="0" collapsed="false">
      <c r="A27" s="9" t="str">
        <f aca="false">IF(CAD_Categorias!$A7="","",CAD_Categorias!$B7)</f>
        <v>Moradia</v>
      </c>
      <c r="B27" s="10" t="n">
        <f aca="false">IF(CAD_Categorias!$A7="",0,SUMIFS(L_VDesp,L_Ano,RELA_ANO,L_CatID,CAD_Categorias!$A7,L_Status,"REALIZADO")+SUMIFS(L_VDesp,L_Ano,RELA_ANO,L_CatID,CAD_Categorias!$A7,L_Status,"PROJETADO"))</f>
        <v>0</v>
      </c>
      <c r="C27" s="11" t="n">
        <f aca="false">IF(SUM(RA_DESP)=0,0,$B27/SUM(RA_DESP))</f>
        <v>0</v>
      </c>
    </row>
    <row r="28" customFormat="false" ht="15" hidden="false" customHeight="false" outlineLevel="0" collapsed="false">
      <c r="A28" s="9" t="str">
        <f aca="false">IF(CAD_Categorias!$A8="","",CAD_Categorias!$B8)</f>
        <v>Saude</v>
      </c>
      <c r="B28" s="10" t="n">
        <f aca="false">IF(CAD_Categorias!$A8="",0,SUMIFS(L_VDesp,L_Ano,RELA_ANO,L_CatID,CAD_Categorias!$A8,L_Status,"REALIZADO")+SUMIFS(L_VDesp,L_Ano,RELA_ANO,L_CatID,CAD_Categorias!$A8,L_Status,"PROJETADO"))</f>
        <v>0</v>
      </c>
      <c r="C28" s="11" t="n">
        <f aca="false">IF(SUM(RA_DESP)=0,0,$B28/SUM(RA_DESP))</f>
        <v>0</v>
      </c>
    </row>
    <row r="29" customFormat="false" ht="15" hidden="false" customHeight="false" outlineLevel="0" collapsed="false">
      <c r="A29" s="9" t="str">
        <f aca="false">IF(CAD_Categorias!$A9="","",CAD_Categorias!$B9)</f>
        <v>Educacao</v>
      </c>
      <c r="B29" s="10" t="n">
        <f aca="false">IF(CAD_Categorias!$A9="",0,SUMIFS(L_VDesp,L_Ano,RELA_ANO,L_CatID,CAD_Categorias!$A9,L_Status,"REALIZADO")+SUMIFS(L_VDesp,L_Ano,RELA_ANO,L_CatID,CAD_Categorias!$A9,L_Status,"PROJETADO"))</f>
        <v>0</v>
      </c>
      <c r="C29" s="11" t="n">
        <f aca="false">IF(SUM(RA_DESP)=0,0,$B29/SUM(RA_DESP))</f>
        <v>0</v>
      </c>
    </row>
    <row r="30" customFormat="false" ht="15" hidden="false" customHeight="false" outlineLevel="0" collapsed="false">
      <c r="A30" s="9" t="str">
        <f aca="false">IF(CAD_Categorias!$A10="","",CAD_Categorias!$B10)</f>
        <v>Lazer</v>
      </c>
      <c r="B30" s="10" t="n">
        <f aca="false">IF(CAD_Categorias!$A10="",0,SUMIFS(L_VDesp,L_Ano,RELA_ANO,L_CatID,CAD_Categorias!$A10,L_Status,"REALIZADO")+SUMIFS(L_VDesp,L_Ano,RELA_ANO,L_CatID,CAD_Categorias!$A10,L_Status,"PROJETADO"))</f>
        <v>0</v>
      </c>
      <c r="C30" s="11" t="n">
        <f aca="false">IF(SUM(RA_DESP)=0,0,$B30/SUM(RA_DESP))</f>
        <v>0</v>
      </c>
    </row>
    <row r="31" customFormat="false" ht="15" hidden="false" customHeight="false" outlineLevel="0" collapsed="false">
      <c r="A31" s="9" t="str">
        <f aca="false">IF(CAD_Categorias!$A11="","",CAD_Categorias!$B11)</f>
        <v>Compras</v>
      </c>
      <c r="B31" s="10" t="n">
        <f aca="false">IF(CAD_Categorias!$A11="",0,SUMIFS(L_VDesp,L_Ano,RELA_ANO,L_CatID,CAD_Categorias!$A11,L_Status,"REALIZADO")+SUMIFS(L_VDesp,L_Ano,RELA_ANO,L_CatID,CAD_Categorias!$A11,L_Status,"PROJETADO"))</f>
        <v>0</v>
      </c>
      <c r="C31" s="11" t="n">
        <f aca="false">IF(SUM(RA_DESP)=0,0,$B31/SUM(RA_DESP))</f>
        <v>0</v>
      </c>
    </row>
    <row r="32" customFormat="false" ht="15" hidden="false" customHeight="false" outlineLevel="0" collapsed="false">
      <c r="A32" s="9" t="str">
        <f aca="false">IF(CAD_Categorias!$A12="","",CAD_Categorias!$B12)</f>
        <v>Dividas e Financiamentos</v>
      </c>
      <c r="B32" s="10" t="n">
        <f aca="false">IF(CAD_Categorias!$A12="",0,SUMIFS(L_VDesp,L_Ano,RELA_ANO,L_CatID,CAD_Categorias!$A12,L_Status,"REALIZADO")+SUMIFS(L_VDesp,L_Ano,RELA_ANO,L_CatID,CAD_Categorias!$A12,L_Status,"PROJETADO"))</f>
        <v>0</v>
      </c>
      <c r="C32" s="11" t="n">
        <f aca="false">IF(SUM(RA_DESP)=0,0,$B32/SUM(RA_DESP))</f>
        <v>0</v>
      </c>
    </row>
    <row r="33" customFormat="false" ht="15" hidden="false" customHeight="false" outlineLevel="0" collapsed="false">
      <c r="A33" s="9" t="str">
        <f aca="false">IF(CAD_Categorias!$A13="","",CAD_Categorias!$B13)</f>
        <v>Investimentos</v>
      </c>
      <c r="B33" s="10" t="n">
        <f aca="false">IF(CAD_Categorias!$A13="",0,SUMIFS(L_VDesp,L_Ano,RELA_ANO,L_CatID,CAD_Categorias!$A13,L_Status,"REALIZADO")+SUMIFS(L_VDesp,L_Ano,RELA_ANO,L_CatID,CAD_Categorias!$A13,L_Status,"PROJETADO"))</f>
        <v>0</v>
      </c>
      <c r="C33" s="11" t="n">
        <f aca="false">IF(SUM(RA_DESP)=0,0,$B33/SUM(RA_DESP))</f>
        <v>0</v>
      </c>
    </row>
    <row r="34" customFormat="false" ht="15" hidden="false" customHeight="false" outlineLevel="0" collapsed="false">
      <c r="A34" s="9" t="str">
        <f aca="false">IF(CAD_Categorias!$A14="","",CAD_Categorias!$B14)</f>
        <v>Receitas</v>
      </c>
      <c r="B34" s="10" t="n">
        <f aca="false">IF(CAD_Categorias!$A14="",0,SUMIFS(L_VDesp,L_Ano,RELA_ANO,L_CatID,CAD_Categorias!$A14,L_Status,"REALIZADO")+SUMIFS(L_VDesp,L_Ano,RELA_ANO,L_CatID,CAD_Categorias!$A14,L_Status,"PROJETADO"))</f>
        <v>0</v>
      </c>
      <c r="C34" s="11" t="n">
        <f aca="false">IF(SUM(RA_DESP)=0,0,$B34/SUM(RA_DESP))</f>
        <v>0</v>
      </c>
    </row>
    <row r="35" customFormat="false" ht="15" hidden="false" customHeight="false" outlineLevel="0" collapsed="false">
      <c r="A35" s="9" t="str">
        <f aca="false">IF(CAD_Categorias!$A15="","",CAD_Categorias!$B15)</f>
        <v>Impostos e Taxas</v>
      </c>
      <c r="B35" s="10" t="n">
        <f aca="false">IF(CAD_Categorias!$A15="",0,SUMIFS(L_VDesp,L_Ano,RELA_ANO,L_CatID,CAD_Categorias!$A15,L_Status,"REALIZADO")+SUMIFS(L_VDesp,L_Ano,RELA_ANO,L_CatID,CAD_Categorias!$A15,L_Status,"PROJETADO"))</f>
        <v>0</v>
      </c>
      <c r="C35" s="11" t="n">
        <f aca="false">IF(SUM(RA_DESP)=0,0,$B35/SUM(RA_DESP))</f>
        <v>0</v>
      </c>
    </row>
    <row r="36" customFormat="false" ht="15" hidden="false" customHeight="false" outlineLevel="0" collapsed="false">
      <c r="A36" s="9" t="str">
        <f aca="false">IF(CAD_Categorias!$A16="","",CAD_Categorias!$B16)</f>
        <v>Outros</v>
      </c>
      <c r="B36" s="10" t="n">
        <f aca="false">IF(CAD_Categorias!$A16="",0,SUMIFS(L_VDesp,L_Ano,RELA_ANO,L_CatID,CAD_Categorias!$A16,L_Status,"REALIZADO")+SUMIFS(L_VDesp,L_Ano,RELA_ANO,L_CatID,CAD_Categorias!$A16,L_Status,"PROJETADO"))</f>
        <v>0</v>
      </c>
      <c r="C36" s="11" t="n">
        <f aca="false">IF(SUM(RA_DESP)=0,0,$B36/SUM(RA_DESP))</f>
        <v>0</v>
      </c>
    </row>
    <row r="37" customFormat="false" ht="15" hidden="false" customHeight="false" outlineLevel="0" collapsed="false">
      <c r="A37" s="9" t="str">
        <f aca="false">IF(CAD_Categorias!$A17="","",CAD_Categorias!$B17)</f>
        <v>Transferencias</v>
      </c>
      <c r="B37" s="10" t="n">
        <f aca="false">IF(CAD_Categorias!$A17="",0,SUMIFS(L_VDesp,L_Ano,RELA_ANO,L_CatID,CAD_Categorias!$A17,L_Status,"REALIZADO")+SUMIFS(L_VDesp,L_Ano,RELA_ANO,L_CatID,CAD_Categorias!$A17,L_Status,"PROJETADO"))</f>
        <v>0</v>
      </c>
      <c r="C37" s="11" t="n">
        <f aca="false">IF(SUM(RA_DESP)=0,0,$B37/SUM(RA_DESP))</f>
        <v>0</v>
      </c>
    </row>
    <row r="38" customFormat="false" ht="15" hidden="false" customHeight="false" outlineLevel="0" collapsed="false">
      <c r="A38" s="9" t="str">
        <f aca="false">IF(CAD_Categorias!$A18="","",CAD_Categorias!$B18)</f>
        <v/>
      </c>
      <c r="B38" s="10" t="n">
        <f aca="false">IF(CAD_Categorias!$A18="",0,SUMIFS(L_VDesp,L_Ano,RELA_ANO,L_CatID,CAD_Categorias!$A18,L_Status,"REALIZADO")+SUMIFS(L_VDesp,L_Ano,RELA_ANO,L_CatID,CAD_Categorias!$A18,L_Status,"PROJETADO"))</f>
        <v>0</v>
      </c>
      <c r="C38" s="11" t="n">
        <f aca="false">IF(SUM(RA_DESP)=0,0,$B38/SUM(RA_DESP))</f>
        <v>0</v>
      </c>
    </row>
    <row r="39" customFormat="false" ht="15" hidden="false" customHeight="false" outlineLevel="0" collapsed="false">
      <c r="A39" s="9" t="str">
        <f aca="false">IF(CAD_Categorias!$A19="","",CAD_Categorias!$B19)</f>
        <v/>
      </c>
      <c r="B39" s="10" t="n">
        <f aca="false">IF(CAD_Categorias!$A19="",0,SUMIFS(L_VDesp,L_Ano,RELA_ANO,L_CatID,CAD_Categorias!$A19,L_Status,"REALIZADO")+SUMIFS(L_VDesp,L_Ano,RELA_ANO,L_CatID,CAD_Categorias!$A19,L_Status,"PROJETADO"))</f>
        <v>0</v>
      </c>
      <c r="C39" s="11" t="n">
        <f aca="false">IF(SUM(RA_DESP)=0,0,$B39/SUM(RA_DESP))</f>
        <v>0</v>
      </c>
    </row>
    <row r="40" customFormat="false" ht="15" hidden="false" customHeight="false" outlineLevel="0" collapsed="false">
      <c r="A40" s="9" t="str">
        <f aca="false">IF(CAD_Categorias!$A20="","",CAD_Categorias!$B20)</f>
        <v/>
      </c>
      <c r="B40" s="10" t="n">
        <f aca="false">IF(CAD_Categorias!$A20="",0,SUMIFS(L_VDesp,L_Ano,RELA_ANO,L_CatID,CAD_Categorias!$A20,L_Status,"REALIZADO")+SUMIFS(L_VDesp,L_Ano,RELA_ANO,L_CatID,CAD_Categorias!$A20,L_Status,"PROJETADO"))</f>
        <v>0</v>
      </c>
      <c r="C40" s="11" t="n">
        <f aca="false">IF(SUM(RA_DESP)=0,0,$B40/SUM(RA_DESP))</f>
        <v>0</v>
      </c>
    </row>
    <row r="41" customFormat="false" ht="15" hidden="false" customHeight="false" outlineLevel="0" collapsed="false">
      <c r="A41" s="9" t="str">
        <f aca="false">IF(CAD_Categorias!$A21="","",CAD_Categorias!$B21)</f>
        <v/>
      </c>
      <c r="B41" s="10" t="n">
        <f aca="false">IF(CAD_Categorias!$A21="",0,SUMIFS(L_VDesp,L_Ano,RELA_ANO,L_CatID,CAD_Categorias!$A21,L_Status,"REALIZADO")+SUMIFS(L_VDesp,L_Ano,RELA_ANO,L_CatID,CAD_Categorias!$A21,L_Status,"PROJETADO"))</f>
        <v>0</v>
      </c>
      <c r="C41" s="11" t="n">
        <f aca="false">IF(SUM(RA_DESP)=0,0,$B41/SUM(RA_DESP))</f>
        <v>0</v>
      </c>
    </row>
    <row r="42" customFormat="false" ht="15" hidden="false" customHeight="false" outlineLevel="0" collapsed="false">
      <c r="A42" s="9" t="str">
        <f aca="false">IF(CAD_Categorias!$A22="","",CAD_Categorias!$B22)</f>
        <v/>
      </c>
      <c r="B42" s="10" t="n">
        <f aca="false">IF(CAD_Categorias!$A22="",0,SUMIFS(L_VDesp,L_Ano,RELA_ANO,L_CatID,CAD_Categorias!$A22,L_Status,"REALIZADO")+SUMIFS(L_VDesp,L_Ano,RELA_ANO,L_CatID,CAD_Categorias!$A22,L_Status,"PROJETADO"))</f>
        <v>0</v>
      </c>
      <c r="C42" s="11" t="n">
        <f aca="false">IF(SUM(RA_DESP)=0,0,$B42/SUM(RA_DESP))</f>
        <v>0</v>
      </c>
    </row>
    <row r="43" customFormat="false" ht="15" hidden="false" customHeight="false" outlineLevel="0" collapsed="false">
      <c r="A43" s="9" t="str">
        <f aca="false">IF(CAD_Categorias!$A23="","",CAD_Categorias!$B23)</f>
        <v/>
      </c>
      <c r="B43" s="10" t="n">
        <f aca="false">IF(CAD_Categorias!$A23="",0,SUMIFS(L_VDesp,L_Ano,RELA_ANO,L_CatID,CAD_Categorias!$A23,L_Status,"REALIZADO")+SUMIFS(L_VDesp,L_Ano,RELA_ANO,L_CatID,CAD_Categorias!$A23,L_Status,"PROJETADO"))</f>
        <v>0</v>
      </c>
      <c r="C43" s="11" t="n">
        <f aca="false">IF(SUM(RA_DESP)=0,0,$B43/SUM(RA_DESP))</f>
        <v>0</v>
      </c>
    </row>
    <row r="44" customFormat="false" ht="15" hidden="false" customHeight="false" outlineLevel="0" collapsed="false">
      <c r="A44" s="9" t="str">
        <f aca="false">IF(CAD_Categorias!$A24="","",CAD_Categorias!$B24)</f>
        <v/>
      </c>
      <c r="B44" s="10" t="n">
        <f aca="false">IF(CAD_Categorias!$A24="",0,SUMIFS(L_VDesp,L_Ano,RELA_ANO,L_CatID,CAD_Categorias!$A24,L_Status,"REALIZADO")+SUMIFS(L_VDesp,L_Ano,RELA_ANO,L_CatID,CAD_Categorias!$A24,L_Status,"PROJETADO"))</f>
        <v>0</v>
      </c>
      <c r="C44" s="11" t="n">
        <f aca="false">IF(SUM(RA_DESP)=0,0,$B44/SUM(RA_DESP))</f>
        <v>0</v>
      </c>
    </row>
    <row r="45" customFormat="false" ht="15" hidden="false" customHeight="false" outlineLevel="0" collapsed="false">
      <c r="A45" s="9" t="str">
        <f aca="false">IF(CAD_Categorias!$A25="","",CAD_Categorias!$B25)</f>
        <v/>
      </c>
      <c r="B45" s="10" t="n">
        <f aca="false">IF(CAD_Categorias!$A25="",0,SUMIFS(L_VDesp,L_Ano,RELA_ANO,L_CatID,CAD_Categorias!$A25,L_Status,"REALIZADO")+SUMIFS(L_VDesp,L_Ano,RELA_ANO,L_CatID,CAD_Categorias!$A25,L_Status,"PROJETADO"))</f>
        <v>0</v>
      </c>
      <c r="C45" s="11" t="n">
        <f aca="false">IF(SUM(RA_DESP)=0,0,$B45/SUM(RA_DESP))</f>
        <v>0</v>
      </c>
    </row>
    <row r="46" customFormat="false" ht="15" hidden="false" customHeight="false" outlineLevel="0" collapsed="false">
      <c r="A46" s="9" t="str">
        <f aca="false">IF(CAD_Categorias!$A26="","",CAD_Categorias!$B26)</f>
        <v/>
      </c>
      <c r="B46" s="10" t="n">
        <f aca="false">IF(CAD_Categorias!$A26="",0,SUMIFS(L_VDesp,L_Ano,RELA_ANO,L_CatID,CAD_Categorias!$A26,L_Status,"REALIZADO")+SUMIFS(L_VDesp,L_Ano,RELA_ANO,L_CatID,CAD_Categorias!$A26,L_Status,"PROJETADO"))</f>
        <v>0</v>
      </c>
      <c r="C46" s="11" t="n">
        <f aca="false">IF(SUM(RA_DESP)=0,0,$B46/SUM(RA_DESP))</f>
        <v>0</v>
      </c>
    </row>
    <row r="47" customFormat="false" ht="15" hidden="false" customHeight="false" outlineLevel="0" collapsed="false">
      <c r="A47" s="9" t="str">
        <f aca="false">IF(CAD_Categorias!$A27="","",CAD_Categorias!$B27)</f>
        <v/>
      </c>
      <c r="B47" s="10" t="n">
        <f aca="false">IF(CAD_Categorias!$A27="",0,SUMIFS(L_VDesp,L_Ano,RELA_ANO,L_CatID,CAD_Categorias!$A27,L_Status,"REALIZADO")+SUMIFS(L_VDesp,L_Ano,RELA_ANO,L_CatID,CAD_Categorias!$A27,L_Status,"PROJETADO"))</f>
        <v>0</v>
      </c>
      <c r="C47" s="11" t="n">
        <f aca="false">IF(SUM(RA_DESP)=0,0,$B47/SUM(RA_DESP))</f>
        <v>0</v>
      </c>
    </row>
    <row r="48" customFormat="false" ht="15" hidden="false" customHeight="false" outlineLevel="0" collapsed="false">
      <c r="A48" s="9" t="str">
        <f aca="false">IF(CAD_Categorias!$A28="","",CAD_Categorias!$B28)</f>
        <v/>
      </c>
      <c r="B48" s="10" t="n">
        <f aca="false">IF(CAD_Categorias!$A28="",0,SUMIFS(L_VDesp,L_Ano,RELA_ANO,L_CatID,CAD_Categorias!$A28,L_Status,"REALIZADO")+SUMIFS(L_VDesp,L_Ano,RELA_ANO,L_CatID,CAD_Categorias!$A28,L_Status,"PROJETADO"))</f>
        <v>0</v>
      </c>
      <c r="C48" s="11" t="n">
        <f aca="false">IF(SUM(RA_DESP)=0,0,$B48/SUM(RA_DESP))</f>
        <v>0</v>
      </c>
    </row>
    <row r="49" customFormat="false" ht="15" hidden="false" customHeight="false" outlineLevel="0" collapsed="false">
      <c r="A49" s="9" t="str">
        <f aca="false">IF(CAD_Categorias!$A29="","",CAD_Categorias!$B29)</f>
        <v/>
      </c>
      <c r="B49" s="10" t="n">
        <f aca="false">IF(CAD_Categorias!$A29="",0,SUMIFS(L_VDesp,L_Ano,RELA_ANO,L_CatID,CAD_Categorias!$A29,L_Status,"REALIZADO")+SUMIFS(L_VDesp,L_Ano,RELA_ANO,L_CatID,CAD_Categorias!$A29,L_Status,"PROJETADO"))</f>
        <v>0</v>
      </c>
      <c r="C49" s="11" t="n">
        <f aca="false">IF(SUM(RA_DESP)=0,0,$B49/SUM(RA_DESP))</f>
        <v>0</v>
      </c>
    </row>
    <row r="50" customFormat="false" ht="15" hidden="false" customHeight="false" outlineLevel="0" collapsed="false">
      <c r="A50" s="9" t="str">
        <f aca="false">IF(CAD_Categorias!$A30="","",CAD_Categorias!$B30)</f>
        <v/>
      </c>
      <c r="B50" s="10" t="n">
        <f aca="false">IF(CAD_Categorias!$A30="",0,SUMIFS(L_VDesp,L_Ano,RELA_ANO,L_CatID,CAD_Categorias!$A30,L_Status,"REALIZADO")+SUMIFS(L_VDesp,L_Ano,RELA_ANO,L_CatID,CAD_Categorias!$A30,L_Status,"PROJETADO"))</f>
        <v>0</v>
      </c>
      <c r="C50" s="11" t="n">
        <f aca="false">IF(SUM(RA_DESP)=0,0,$B50/SUM(RA_DESP))</f>
        <v>0</v>
      </c>
    </row>
    <row r="51" customFormat="false" ht="15" hidden="false" customHeight="false" outlineLevel="0" collapsed="false">
      <c r="A51" s="9" t="str">
        <f aca="false">IF(CAD_Categorias!$A31="","",CAD_Categorias!$B31)</f>
        <v/>
      </c>
      <c r="B51" s="10" t="n">
        <f aca="false">IF(CAD_Categorias!$A31="",0,SUMIFS(L_VDesp,L_Ano,RELA_ANO,L_CatID,CAD_Categorias!$A31,L_Status,"REALIZADO")+SUMIFS(L_VDesp,L_Ano,RELA_ANO,L_CatID,CAD_Categorias!$A31,L_Status,"PROJETADO"))</f>
        <v>0</v>
      </c>
      <c r="C51" s="11" t="n">
        <f aca="false">IF(SUM(RA_DESP)=0,0,$B51/SUM(RA_DESP))</f>
        <v>0</v>
      </c>
    </row>
    <row r="52" customFormat="false" ht="15" hidden="false" customHeight="false" outlineLevel="0" collapsed="false">
      <c r="A52" s="9" t="str">
        <f aca="false">IF(CAD_Categorias!$A32="","",CAD_Categorias!$B32)</f>
        <v/>
      </c>
      <c r="B52" s="10" t="n">
        <f aca="false">IF(CAD_Categorias!$A32="",0,SUMIFS(L_VDesp,L_Ano,RELA_ANO,L_CatID,CAD_Categorias!$A32,L_Status,"REALIZADO")+SUMIFS(L_VDesp,L_Ano,RELA_ANO,L_CatID,CAD_Categorias!$A32,L_Status,"PROJETADO"))</f>
        <v>0</v>
      </c>
      <c r="C52" s="11" t="n">
        <f aca="false">IF(SUM(RA_DESP)=0,0,$B52/SUM(RA_DESP))</f>
        <v>0</v>
      </c>
    </row>
    <row r="53" customFormat="false" ht="15" hidden="false" customHeight="false" outlineLevel="0" collapsed="false">
      <c r="A53" s="9" t="str">
        <f aca="false">IF(CAD_Categorias!$A33="","",CAD_Categorias!$B33)</f>
        <v/>
      </c>
      <c r="B53" s="10" t="n">
        <f aca="false">IF(CAD_Categorias!$A33="",0,SUMIFS(L_VDesp,L_Ano,RELA_ANO,L_CatID,CAD_Categorias!$A33,L_Status,"REALIZADO")+SUMIFS(L_VDesp,L_Ano,RELA_ANO,L_CatID,CAD_Categorias!$A33,L_Status,"PROJETADO"))</f>
        <v>0</v>
      </c>
      <c r="C53" s="11" t="n">
        <f aca="false">IF(SUM(RA_DESP)=0,0,$B53/SUM(RA_DESP))</f>
        <v>0</v>
      </c>
    </row>
    <row r="54" customFormat="false" ht="15" hidden="false" customHeight="false" outlineLevel="0" collapsed="false">
      <c r="A54" s="9" t="str">
        <f aca="false">IF(CAD_Categorias!$A34="","",CAD_Categorias!$B34)</f>
        <v/>
      </c>
      <c r="B54" s="10" t="n">
        <f aca="false">IF(CAD_Categorias!$A34="",0,SUMIFS(L_VDesp,L_Ano,RELA_ANO,L_CatID,CAD_Categorias!$A34,L_Status,"REALIZADO")+SUMIFS(L_VDesp,L_Ano,RELA_ANO,L_CatID,CAD_Categorias!$A34,L_Status,"PROJETADO"))</f>
        <v>0</v>
      </c>
      <c r="C54" s="11" t="n">
        <f aca="false">IF(SUM(RA_DESP)=0,0,$B54/SUM(RA_DESP))</f>
        <v>0</v>
      </c>
    </row>
    <row r="55" customFormat="false" ht="15" hidden="false" customHeight="false" outlineLevel="0" collapsed="false">
      <c r="A55" s="9" t="str">
        <f aca="false">IF(CAD_Categorias!$A35="","",CAD_Categorias!$B35)</f>
        <v/>
      </c>
      <c r="B55" s="10" t="n">
        <f aca="false">IF(CAD_Categorias!$A35="",0,SUMIFS(L_VDesp,L_Ano,RELA_ANO,L_CatID,CAD_Categorias!$A35,L_Status,"REALIZADO")+SUMIFS(L_VDesp,L_Ano,RELA_ANO,L_CatID,CAD_Categorias!$A35,L_Status,"PROJETADO"))</f>
        <v>0</v>
      </c>
      <c r="C55" s="11" t="n">
        <f aca="false">IF(SUM(RA_DESP)=0,0,$B55/SUM(RA_DESP))</f>
        <v>0</v>
      </c>
    </row>
    <row r="56" customFormat="false" ht="15" hidden="false" customHeight="false" outlineLevel="0" collapsed="false">
      <c r="A56" s="9" t="str">
        <f aca="false">IF(CAD_Categorias!$A36="","",CAD_Categorias!$B36)</f>
        <v/>
      </c>
      <c r="B56" s="10" t="n">
        <f aca="false">IF(CAD_Categorias!$A36="",0,SUMIFS(L_VDesp,L_Ano,RELA_ANO,L_CatID,CAD_Categorias!$A36,L_Status,"REALIZADO")+SUMIFS(L_VDesp,L_Ano,RELA_ANO,L_CatID,CAD_Categorias!$A36,L_Status,"PROJETADO"))</f>
        <v>0</v>
      </c>
      <c r="C56" s="11" t="n">
        <f aca="false">IF(SUM(RA_DESP)=0,0,$B56/SUM(RA_DESP))</f>
        <v>0</v>
      </c>
    </row>
    <row r="57" customFormat="false" ht="15" hidden="false" customHeight="false" outlineLevel="0" collapsed="false">
      <c r="A57" s="9" t="str">
        <f aca="false">IF(CAD_Categorias!$A37="","",CAD_Categorias!$B37)</f>
        <v/>
      </c>
      <c r="B57" s="10" t="n">
        <f aca="false">IF(CAD_Categorias!$A37="",0,SUMIFS(L_VDesp,L_Ano,RELA_ANO,L_CatID,CAD_Categorias!$A37,L_Status,"REALIZADO")+SUMIFS(L_VDesp,L_Ano,RELA_ANO,L_CatID,CAD_Categorias!$A37,L_Status,"PROJETADO"))</f>
        <v>0</v>
      </c>
      <c r="C57" s="11" t="n">
        <f aca="false">IF(SUM(RA_DESP)=0,0,$B57/SUM(RA_DESP))</f>
        <v>0</v>
      </c>
    </row>
    <row r="58" customFormat="false" ht="15" hidden="false" customHeight="false" outlineLevel="0" collapsed="false">
      <c r="A58" s="9" t="str">
        <f aca="false">IF(CAD_Categorias!$A38="","",CAD_Categorias!$B38)</f>
        <v/>
      </c>
      <c r="B58" s="10" t="n">
        <f aca="false">IF(CAD_Categorias!$A38="",0,SUMIFS(L_VDesp,L_Ano,RELA_ANO,L_CatID,CAD_Categorias!$A38,L_Status,"REALIZADO")+SUMIFS(L_VDesp,L_Ano,RELA_ANO,L_CatID,CAD_Categorias!$A38,L_Status,"PROJETADO"))</f>
        <v>0</v>
      </c>
      <c r="C58" s="11" t="n">
        <f aca="false">IF(SUM(RA_DESP)=0,0,$B58/SUM(RA_DESP))</f>
        <v>0</v>
      </c>
    </row>
    <row r="59" customFormat="false" ht="15" hidden="false" customHeight="false" outlineLevel="0" collapsed="false">
      <c r="A59" s="9" t="str">
        <f aca="false">IF(CAD_Categorias!$A39="","",CAD_Categorias!$B39)</f>
        <v/>
      </c>
      <c r="B59" s="10" t="n">
        <f aca="false">IF(CAD_Categorias!$A39="",0,SUMIFS(L_VDesp,L_Ano,RELA_ANO,L_CatID,CAD_Categorias!$A39,L_Status,"REALIZADO")+SUMIFS(L_VDesp,L_Ano,RELA_ANO,L_CatID,CAD_Categorias!$A39,L_Status,"PROJETADO"))</f>
        <v>0</v>
      </c>
      <c r="C59" s="11" t="n">
        <f aca="false">IF(SUM(RA_DESP)=0,0,$B59/SUM(RA_DESP))</f>
        <v>0</v>
      </c>
    </row>
    <row r="60" customFormat="false" ht="15" hidden="false" customHeight="false" outlineLevel="0" collapsed="false">
      <c r="A60" s="9" t="str">
        <f aca="false">IF(CAD_Categorias!$A40="","",CAD_Categorias!$B40)</f>
        <v/>
      </c>
      <c r="B60" s="10" t="n">
        <f aca="false">IF(CAD_Categorias!$A40="",0,SUMIFS(L_VDesp,L_Ano,RELA_ANO,L_CatID,CAD_Categorias!$A40,L_Status,"REALIZADO")+SUMIFS(L_VDesp,L_Ano,RELA_ANO,L_CatID,CAD_Categorias!$A40,L_Status,"PROJETADO"))</f>
        <v>0</v>
      </c>
      <c r="C60" s="11" t="n">
        <f aca="false">IF(SUM(RA_DESP)=0,0,$B60/SUM(RA_DESP))</f>
        <v>0</v>
      </c>
    </row>
    <row r="61" customFormat="false" ht="15" hidden="false" customHeight="false" outlineLevel="0" collapsed="false">
      <c r="A61" s="9" t="str">
        <f aca="false">IF(CAD_Categorias!$A41="","",CAD_Categorias!$B41)</f>
        <v/>
      </c>
      <c r="B61" s="10" t="n">
        <f aca="false">IF(CAD_Categorias!$A41="",0,SUMIFS(L_VDesp,L_Ano,RELA_ANO,L_CatID,CAD_Categorias!$A41,L_Status,"REALIZADO")+SUMIFS(L_VDesp,L_Ano,RELA_ANO,L_CatID,CAD_Categorias!$A41,L_Status,"PROJETADO"))</f>
        <v>0</v>
      </c>
      <c r="C61" s="11" t="n">
        <f aca="false">IF(SUM(RA_DESP)=0,0,$B61/SUM(RA_DESP))</f>
        <v>0</v>
      </c>
    </row>
    <row r="62" customFormat="false" ht="15" hidden="false" customHeight="false" outlineLevel="0" collapsed="false">
      <c r="A62" s="9" t="str">
        <f aca="false">IF(CAD_Categorias!$A42="","",CAD_Categorias!$B42)</f>
        <v/>
      </c>
      <c r="B62" s="10" t="n">
        <f aca="false">IF(CAD_Categorias!$A42="",0,SUMIFS(L_VDesp,L_Ano,RELA_ANO,L_CatID,CAD_Categorias!$A42,L_Status,"REALIZADO")+SUMIFS(L_VDesp,L_Ano,RELA_ANO,L_CatID,CAD_Categorias!$A42,L_Status,"PROJETADO"))</f>
        <v>0</v>
      </c>
      <c r="C62" s="11" t="n">
        <f aca="false">IF(SUM(RA_DESP)=0,0,$B62/SUM(RA_DESP))</f>
        <v>0</v>
      </c>
    </row>
    <row r="63" customFormat="false" ht="15" hidden="false" customHeight="false" outlineLevel="0" collapsed="false">
      <c r="A63" s="9" t="str">
        <f aca="false">IF(CAD_Categorias!$A43="","",CAD_Categorias!$B43)</f>
        <v/>
      </c>
      <c r="B63" s="10" t="n">
        <f aca="false">IF(CAD_Categorias!$A43="",0,SUMIFS(L_VDesp,L_Ano,RELA_ANO,L_CatID,CAD_Categorias!$A43,L_Status,"REALIZADO")+SUMIFS(L_VDesp,L_Ano,RELA_ANO,L_CatID,CAD_Categorias!$A43,L_Status,"PROJETADO"))</f>
        <v>0</v>
      </c>
      <c r="C63" s="11" t="n">
        <f aca="false">IF(SUM(RA_DESP)=0,0,$B63/SUM(RA_DESP))</f>
        <v>0</v>
      </c>
    </row>
    <row r="64" customFormat="false" ht="15" hidden="false" customHeight="false" outlineLevel="0" collapsed="false">
      <c r="A64" s="9" t="str">
        <f aca="false">IF(CAD_Categorias!$A44="","",CAD_Categorias!$B44)</f>
        <v/>
      </c>
      <c r="B64" s="10" t="n">
        <f aca="false">IF(CAD_Categorias!$A44="",0,SUMIFS(L_VDesp,L_Ano,RELA_ANO,L_CatID,CAD_Categorias!$A44,L_Status,"REALIZADO")+SUMIFS(L_VDesp,L_Ano,RELA_ANO,L_CatID,CAD_Categorias!$A44,L_Status,"PROJETADO"))</f>
        <v>0</v>
      </c>
      <c r="C64" s="11" t="n">
        <f aca="false">IF(SUM(RA_DESP)=0,0,$B64/SUM(RA_DESP))</f>
        <v>0</v>
      </c>
    </row>
    <row r="66" customFormat="false" ht="19.5" hidden="false" customHeight="true" outlineLevel="0" collapsed="false">
      <c r="A66" s="3" t="s">
        <v>437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A67" s="49" t="s">
        <v>438</v>
      </c>
      <c r="B67" s="50" t="n">
        <f aca="false">SUM(RA_REC)</f>
        <v>0</v>
      </c>
    </row>
    <row r="68" customFormat="false" ht="15" hidden="false" customHeight="false" outlineLevel="0" collapsed="false">
      <c r="A68" s="49" t="s">
        <v>439</v>
      </c>
      <c r="B68" s="50" t="n">
        <f aca="false">SUM(RA_DESP)</f>
        <v>0</v>
      </c>
    </row>
    <row r="69" customFormat="false" ht="15" hidden="false" customHeight="false" outlineLevel="0" collapsed="false">
      <c r="A69" s="49" t="s">
        <v>440</v>
      </c>
      <c r="B69" s="50" t="n">
        <f aca="false">SUM(RA_RESULT)</f>
        <v>0</v>
      </c>
    </row>
    <row r="70" customFormat="false" ht="15" hidden="false" customHeight="false" outlineLevel="0" collapsed="false">
      <c r="A70" s="47" t="s">
        <v>441</v>
      </c>
      <c r="B70" s="10" t="n">
        <f aca="false">AVERAGE(RA_DESP)</f>
        <v>0</v>
      </c>
    </row>
    <row r="71" customFormat="false" ht="15" hidden="false" customHeight="false" outlineLevel="0" collapsed="false">
      <c r="A71" s="47" t="s">
        <v>442</v>
      </c>
      <c r="B71" s="10" t="n">
        <f aca="false">MAX(RA_DESP)</f>
        <v>0</v>
      </c>
    </row>
    <row r="72" customFormat="false" ht="15" hidden="false" customHeight="false" outlineLevel="0" collapsed="false">
      <c r="A72" s="47" t="s">
        <v>443</v>
      </c>
      <c r="B72" s="9" t="str">
        <f aca="false">INDEX(RA_MES,MATCH(MAX(RA_DESP),RA_DESP,0))</f>
        <v>Janeiro</v>
      </c>
    </row>
    <row r="73" customFormat="false" ht="15" hidden="false" customHeight="false" outlineLevel="0" collapsed="false">
      <c r="A73" s="47" t="s">
        <v>444</v>
      </c>
      <c r="B73" s="10" t="n">
        <f aca="false">MIN(RA_DESP)</f>
        <v>0</v>
      </c>
    </row>
    <row r="74" customFormat="false" ht="15" hidden="false" customHeight="false" outlineLevel="0" collapsed="false">
      <c r="A74" s="47" t="s">
        <v>445</v>
      </c>
      <c r="B74" s="9" t="str">
        <f aca="false">INDEX(RA_MES,MATCH(MIN(RA_DESP),RA_DESP,0))</f>
        <v>Janeiro</v>
      </c>
    </row>
    <row r="75" customFormat="false" ht="15" hidden="false" customHeight="false" outlineLevel="0" collapsed="false">
      <c r="A75" s="47" t="s">
        <v>446</v>
      </c>
      <c r="B75" s="9" t="str">
        <f aca="false">IF(MAX(RA_CAT_TOT)=0,"-",INDEX(RA_CAT_NOME,MATCH(MAX(RA_CAT_TOT),RA_CAT_TOT,0)))</f>
        <v>-</v>
      </c>
    </row>
    <row r="76" customFormat="false" ht="15" hidden="false" customHeight="false" outlineLevel="0" collapsed="false">
      <c r="A76" s="47" t="s">
        <v>447</v>
      </c>
      <c r="B76" s="10" t="n">
        <f aca="false">MAX(RA_CAT_TOT)</f>
        <v>0</v>
      </c>
    </row>
    <row r="77" customFormat="false" ht="15" hidden="false" customHeight="false" outlineLevel="0" collapsed="false">
      <c r="A77" s="47" t="s">
        <v>448</v>
      </c>
      <c r="B77" s="11" t="n">
        <f aca="false">IF(SUM(RA_REC)=0,0,SUM(RA_RESULT)/SUM(RA_REC))</f>
        <v>0</v>
      </c>
    </row>
    <row r="78" customFormat="false" ht="15" hidden="false" customHeight="false" outlineLevel="0" collapsed="false">
      <c r="A78" s="47" t="s">
        <v>449</v>
      </c>
      <c r="B78" s="10" t="n">
        <f aca="false">SUM(C_SALDOINI)+SUMIFS(L_Ent,L_Data,"&lt;"&amp;DATE(RELA_ANO,12,31)+1,L_Status,"REALIZADO")-SUMIFS(L_Sai,L_Data,"&lt;"&amp;DATE(RELA_ANO,12,31)+1,L_Status,"REALIZADO")+SUMIFS(L_Ent,L_Data,"&lt;"&amp;DATE(RELA_ANO,12,31)+1,L_Status,"PROJETADO")-SUMIFS(L_Sai,L_Data,"&lt;"&amp;DATE(RELA_ANO,12,31)+1,L_Status,"PROJETADO")</f>
        <v>0</v>
      </c>
    </row>
    <row r="79" customFormat="false" ht="15" hidden="false" customHeight="false" outlineLevel="0" collapsed="false">
      <c r="A79" s="47" t="s">
        <v>450</v>
      </c>
      <c r="B79" s="10" t="n">
        <f aca="false">SUM(I_VALINI)+SUMIFS(L_EfInv,L_Data,"&lt;="&amp;DATE(RELA_ANO,12,31),L_Status,"REALIZADO")+SUMIFS(L_EfInv,L_Data,"&lt;="&amp;DATE(RELA_ANO,12,31),L_Status,"PROJETADO")</f>
        <v>0</v>
      </c>
    </row>
    <row r="80" customFormat="false" ht="15" hidden="false" customHeight="false" outlineLevel="0" collapsed="false">
      <c r="A80" s="47" t="s">
        <v>451</v>
      </c>
      <c r="B80" s="10" t="n">
        <f aca="false">SUM(I_VALINI)+SUMIFS(L_EfInv,L_Data,"&lt;="&amp;DATE(RELA_ANO,12,31),L_Status,"REALIZADO")+SUMIFS(L_EfInv,L_Data,"&lt;="&amp;DATE(RELA_ANO,12,31),L_Status,"PROJETADO")-(SUM(I_VALINI)+SUMIFS(L_EfInv,L_Data,"&lt;="&amp;DATE(RELA_ANO,1,1)-1,L_Status,"REALIZADO")+SUMIFS(L_EfInv,L_Data,"&lt;="&amp;DATE(RELA_ANO,1,1)-1,L_Status,"PROJETADO"))</f>
        <v>0</v>
      </c>
    </row>
    <row r="81" customFormat="false" ht="15" hidden="false" customHeight="false" outlineLevel="0" collapsed="false">
      <c r="A81" s="47" t="s">
        <v>452</v>
      </c>
      <c r="B81" s="10" t="n">
        <f aca="false">SUM(K_DIVINI)+SUMIFS(L_EfCartao,L_Data,"&lt;="&amp;DATE(RELA_ANO,12,31),L_Status,"REALIZADO")+SUMIFS(L_EfCartao,L_Data,"&lt;="&amp;DATE(RELA_ANO,12,31),L_Status,"PROJETADO")</f>
        <v>0</v>
      </c>
    </row>
    <row r="82" customFormat="false" ht="15" hidden="false" customHeight="false" outlineLevel="0" collapsed="false">
      <c r="A82" s="47" t="s">
        <v>453</v>
      </c>
      <c r="B82" s="10" t="n">
        <f aca="false">SUM(K_DIVINI)+SUMIFS(L_EfCartao,L_Data,"&lt;="&amp;DATE(RELA_ANO,12,31),L_Status,"REALIZADO")+SUMIFS(L_EfCartao,L_Data,"&lt;="&amp;DATE(RELA_ANO,12,31),L_Status,"PROJETADO")-(SUM(K_DIVINI)+SUMIFS(L_EfCartao,L_Data,"&lt;="&amp;DATE(RELA_ANO,1,1)-1,L_Status,"REALIZADO")+SUMIFS(L_EfCartao,L_Data,"&lt;="&amp;DATE(RELA_ANO,1,1)-1,L_Status,"PROJETADO"))</f>
        <v>0</v>
      </c>
    </row>
    <row r="83" customFormat="false" ht="15" hidden="false" customHeight="false" outlineLevel="0" collapsed="false">
      <c r="A83" s="47" t="s">
        <v>454</v>
      </c>
      <c r="B83" s="10" t="n">
        <f aca="false">SUMIFS(P_VALOR,P_VENC,"&gt;"&amp;DATE(RELA_ANO,12,31))</f>
        <v>0</v>
      </c>
    </row>
    <row r="84" customFormat="false" ht="15" hidden="false" customHeight="false" outlineLevel="0" collapsed="false">
      <c r="A84" s="49" t="s">
        <v>455</v>
      </c>
      <c r="B84" s="50" t="n">
        <f aca="false">IFERROR(INDEX(PT_PLTOTAL,MATCH(RELA_ANO*100+12,PT_COMP,0)),"fora da grade")</f>
        <v>0</v>
      </c>
    </row>
  </sheetData>
  <mergeCells count="5">
    <mergeCell ref="A1:N1"/>
    <mergeCell ref="A2:N2"/>
    <mergeCell ref="A6:N6"/>
    <mergeCell ref="A23:N23"/>
    <mergeCell ref="A66:N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7" min="3" style="0" width="18"/>
    <col collapsed="false" customWidth="true" hidden="false" outlineLevel="0" max="9" min="8" style="0" width="19"/>
    <col collapsed="false" customWidth="true" hidden="false" outlineLevel="0" max="10" min="10" style="0" width="18"/>
  </cols>
  <sheetData>
    <row r="1" customFormat="false" ht="25.5" hidden="false" customHeight="true" outlineLevel="0" collapsed="false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457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458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8" t="s">
        <v>459</v>
      </c>
      <c r="B5" s="8" t="s">
        <v>84</v>
      </c>
    </row>
    <row r="6" customFormat="false" ht="15" hidden="false" customHeight="false" outlineLevel="0" collapsed="false">
      <c r="A6" s="51" t="s">
        <v>460</v>
      </c>
      <c r="B6" s="52"/>
    </row>
    <row r="7" customFormat="false" ht="15" hidden="false" customHeight="false" outlineLevel="0" collapsed="false">
      <c r="A7" s="47" t="s">
        <v>461</v>
      </c>
      <c r="B7" s="10" t="n">
        <f aca="false">SUM(C_SALDO)</f>
        <v>0</v>
      </c>
    </row>
    <row r="8" customFormat="false" ht="15" hidden="false" customHeight="false" outlineLevel="0" collapsed="false">
      <c r="A8" s="47" t="s">
        <v>229</v>
      </c>
      <c r="B8" s="10" t="n">
        <f aca="false">SUM(I_SALDO)</f>
        <v>0</v>
      </c>
    </row>
    <row r="9" customFormat="false" ht="15" hidden="false" customHeight="false" outlineLevel="0" collapsed="false">
      <c r="A9" s="49" t="s">
        <v>462</v>
      </c>
      <c r="B9" s="50" t="n">
        <f aca="false">$B7+$B8</f>
        <v>0</v>
      </c>
    </row>
    <row r="10" customFormat="false" ht="15" hidden="false" customHeight="false" outlineLevel="0" collapsed="false">
      <c r="A10" s="47" t="s">
        <v>463</v>
      </c>
      <c r="B10" s="10" t="n">
        <f aca="false">SUM(B_VALOR)</f>
        <v>0</v>
      </c>
    </row>
    <row r="11" customFormat="false" ht="15" hidden="false" customHeight="false" outlineLevel="0" collapsed="false">
      <c r="A11" s="49" t="s">
        <v>464</v>
      </c>
      <c r="B11" s="50" t="n">
        <f aca="false">$B9+$B10</f>
        <v>0</v>
      </c>
    </row>
    <row r="12" customFormat="false" ht="15" hidden="false" customHeight="false" outlineLevel="0" collapsed="false">
      <c r="A12" s="51" t="s">
        <v>465</v>
      </c>
      <c r="B12" s="52"/>
    </row>
    <row r="13" customFormat="false" ht="15" hidden="false" customHeight="false" outlineLevel="0" collapsed="false">
      <c r="A13" s="47" t="s">
        <v>466</v>
      </c>
      <c r="B13" s="10" t="n">
        <f aca="false">SUM(K_DIVIDA)</f>
        <v>0</v>
      </c>
    </row>
    <row r="14" customFormat="false" ht="15" hidden="false" customHeight="false" outlineLevel="0" collapsed="false">
      <c r="A14" s="47" t="s">
        <v>467</v>
      </c>
      <c r="B14" s="10" t="n">
        <f aca="false">SUM(CM_DEVEDOR)</f>
        <v>0</v>
      </c>
    </row>
    <row r="15" customFormat="false" ht="15" hidden="false" customHeight="false" outlineLevel="0" collapsed="false">
      <c r="A15" s="49" t="s">
        <v>468</v>
      </c>
      <c r="B15" s="50" t="n">
        <f aca="false">$B13+$B14</f>
        <v>0</v>
      </c>
    </row>
    <row r="16" customFormat="false" ht="15" hidden="false" customHeight="false" outlineLevel="0" collapsed="false">
      <c r="A16" s="51" t="s">
        <v>469</v>
      </c>
      <c r="B16" s="52"/>
    </row>
    <row r="17" customFormat="false" ht="15" hidden="false" customHeight="false" outlineLevel="0" collapsed="false">
      <c r="A17" s="49" t="s">
        <v>470</v>
      </c>
      <c r="B17" s="50" t="n">
        <f aca="false">$B9-$B15</f>
        <v>0</v>
      </c>
    </row>
    <row r="18" customFormat="false" ht="15" hidden="false" customHeight="false" outlineLevel="0" collapsed="false">
      <c r="A18" s="49" t="s">
        <v>471</v>
      </c>
      <c r="B18" s="50" t="n">
        <f aca="false">$B11-$B15</f>
        <v>0</v>
      </c>
    </row>
    <row r="19" customFormat="false" ht="15" hidden="false" customHeight="false" outlineLevel="0" collapsed="false">
      <c r="A19" s="47" t="s">
        <v>472</v>
      </c>
      <c r="B19" s="10" t="n">
        <f aca="false">SUM(M_RESERV)</f>
        <v>0</v>
      </c>
    </row>
    <row r="20" customFormat="false" ht="15" hidden="false" customHeight="false" outlineLevel="0" collapsed="false">
      <c r="A20" s="47" t="s">
        <v>473</v>
      </c>
      <c r="B20" s="10" t="n">
        <f aca="false">SUM(C_DISP)</f>
        <v>0</v>
      </c>
    </row>
    <row r="22" customFormat="false" ht="19.5" hidden="false" customHeight="true" outlineLevel="0" collapsed="false">
      <c r="A22" s="3" t="s">
        <v>474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30" hidden="false" customHeight="true" outlineLevel="0" collapsed="false">
      <c r="A23" s="8" t="s">
        <v>343</v>
      </c>
      <c r="B23" s="8" t="s">
        <v>475</v>
      </c>
      <c r="C23" s="8" t="s">
        <v>476</v>
      </c>
      <c r="D23" s="8" t="s">
        <v>229</v>
      </c>
      <c r="E23" s="8" t="s">
        <v>477</v>
      </c>
      <c r="F23" s="8" t="s">
        <v>478</v>
      </c>
      <c r="G23" s="8" t="s">
        <v>479</v>
      </c>
      <c r="H23" s="8" t="s">
        <v>480</v>
      </c>
      <c r="I23" s="8" t="s">
        <v>481</v>
      </c>
      <c r="J23" s="8" t="s">
        <v>482</v>
      </c>
    </row>
    <row r="24" customFormat="false" ht="15" hidden="false" customHeight="false" outlineLevel="0" collapsed="false">
      <c r="A24" s="43" t="n">
        <f aca="false">YEAR($B24)*100+MONTH($B24)</f>
        <v>202601</v>
      </c>
      <c r="B24" s="44" t="n">
        <f aca="false">EOMONTH(EDATE(EOMONTH(CFG_INICIO,0)+1,0),0)</f>
        <v>46053</v>
      </c>
      <c r="C24" s="10" t="n">
        <f aca="false">SUM(C_SALDOINI)+SUMIFS(L_EfConta,L_Data,"&lt;="&amp;$B24,L_Status,"REALIZADO")+SUMIFS(L_EfConta,L_Data,"&lt;="&amp;$B24,L_Status,"PROJETADO")</f>
        <v>0</v>
      </c>
      <c r="D24" s="10" t="n">
        <f aca="false">SUM(I_VALINI)+SUMIFS(L_EfInv,L_Data,"&lt;="&amp;$B24,L_Status,"REALIZADO")+SUMIFS(L_EfInv,L_Data,"&lt;="&amp;$B24,L_Status,"PROJETADO")</f>
        <v>0</v>
      </c>
      <c r="E24" s="10" t="n">
        <f aca="false">SUM(B_VALOR)</f>
        <v>0</v>
      </c>
      <c r="F24" s="10" t="n">
        <f aca="false">SUM(K_DIVINI)+SUMIFS(L_EfCartao,L_Data,"&lt;="&amp;$B24,L_Status,"REALIZADO")+SUMIFS(L_EfCartao,L_Data,"&lt;="&amp;$B24,L_Status,"PROJETADO")</f>
        <v>0</v>
      </c>
      <c r="G24" s="10" t="n">
        <f aca="false">SUMIFS(P_VALOR,P_VENC,"&gt;"&amp;$B24)+SUMIFS(P_VALOR,P_VENC,"&lt;="&amp;$B24,P_STATUS,"ATRASADA")</f>
        <v>0</v>
      </c>
      <c r="H24" s="10" t="n">
        <f aca="false">$C24+$D24-$F24-$G24</f>
        <v>0</v>
      </c>
      <c r="I24" s="10" t="n">
        <f aca="false">$H24+$E24</f>
        <v>0</v>
      </c>
      <c r="J24" s="10" t="n">
        <f aca="false">0</f>
        <v>0</v>
      </c>
    </row>
    <row r="25" customFormat="false" ht="15" hidden="false" customHeight="false" outlineLevel="0" collapsed="false">
      <c r="A25" s="43" t="n">
        <f aca="false">YEAR($B25)*100+MONTH($B25)</f>
        <v>202602</v>
      </c>
      <c r="B25" s="44" t="n">
        <f aca="false">EOMONTH(EDATE(EOMONTH(CFG_INICIO,0)+1,1),0)</f>
        <v>46081</v>
      </c>
      <c r="C25" s="10" t="n">
        <f aca="false">SUM(C_SALDOINI)+SUMIFS(L_EfConta,L_Data,"&lt;="&amp;$B25,L_Status,"REALIZADO")+SUMIFS(L_EfConta,L_Data,"&lt;="&amp;$B25,L_Status,"PROJETADO")</f>
        <v>0</v>
      </c>
      <c r="D25" s="10" t="n">
        <f aca="false">SUM(I_VALINI)+SUMIFS(L_EfInv,L_Data,"&lt;="&amp;$B25,L_Status,"REALIZADO")+SUMIFS(L_EfInv,L_Data,"&lt;="&amp;$B25,L_Status,"PROJETADO")</f>
        <v>0</v>
      </c>
      <c r="E25" s="10" t="n">
        <f aca="false">SUM(B_VALOR)</f>
        <v>0</v>
      </c>
      <c r="F25" s="10" t="n">
        <f aca="false">SUM(K_DIVINI)+SUMIFS(L_EfCartao,L_Data,"&lt;="&amp;$B25,L_Status,"REALIZADO")+SUMIFS(L_EfCartao,L_Data,"&lt;="&amp;$B25,L_Status,"PROJETADO")</f>
        <v>0</v>
      </c>
      <c r="G25" s="10" t="n">
        <f aca="false">SUMIFS(P_VALOR,P_VENC,"&gt;"&amp;$B25)+SUMIFS(P_VALOR,P_VENC,"&lt;="&amp;$B25,P_STATUS,"ATRASADA")</f>
        <v>0</v>
      </c>
      <c r="H25" s="10" t="n">
        <f aca="false">$C25+$D25-$F25-$G25</f>
        <v>0</v>
      </c>
      <c r="I25" s="10" t="n">
        <f aca="false">$H25+$E25</f>
        <v>0</v>
      </c>
      <c r="J25" s="10" t="n">
        <f aca="false">$I25-$I24</f>
        <v>0</v>
      </c>
    </row>
    <row r="26" customFormat="false" ht="15" hidden="false" customHeight="false" outlineLevel="0" collapsed="false">
      <c r="A26" s="43" t="n">
        <f aca="false">YEAR($B26)*100+MONTH($B26)</f>
        <v>202603</v>
      </c>
      <c r="B26" s="44" t="n">
        <f aca="false">EOMONTH(EDATE(EOMONTH(CFG_INICIO,0)+1,2),0)</f>
        <v>46112</v>
      </c>
      <c r="C26" s="10" t="n">
        <f aca="false">SUM(C_SALDOINI)+SUMIFS(L_EfConta,L_Data,"&lt;="&amp;$B26,L_Status,"REALIZADO")+SUMIFS(L_EfConta,L_Data,"&lt;="&amp;$B26,L_Status,"PROJETADO")</f>
        <v>0</v>
      </c>
      <c r="D26" s="10" t="n">
        <f aca="false">SUM(I_VALINI)+SUMIFS(L_EfInv,L_Data,"&lt;="&amp;$B26,L_Status,"REALIZADO")+SUMIFS(L_EfInv,L_Data,"&lt;="&amp;$B26,L_Status,"PROJETADO")</f>
        <v>0</v>
      </c>
      <c r="E26" s="10" t="n">
        <f aca="false">SUM(B_VALOR)</f>
        <v>0</v>
      </c>
      <c r="F26" s="10" t="n">
        <f aca="false">SUM(K_DIVINI)+SUMIFS(L_EfCartao,L_Data,"&lt;="&amp;$B26,L_Status,"REALIZADO")+SUMIFS(L_EfCartao,L_Data,"&lt;="&amp;$B26,L_Status,"PROJETADO")</f>
        <v>0</v>
      </c>
      <c r="G26" s="10" t="n">
        <f aca="false">SUMIFS(P_VALOR,P_VENC,"&gt;"&amp;$B26)+SUMIFS(P_VALOR,P_VENC,"&lt;="&amp;$B26,P_STATUS,"ATRASADA")</f>
        <v>0</v>
      </c>
      <c r="H26" s="10" t="n">
        <f aca="false">$C26+$D26-$F26-$G26</f>
        <v>0</v>
      </c>
      <c r="I26" s="10" t="n">
        <f aca="false">$H26+$E26</f>
        <v>0</v>
      </c>
      <c r="J26" s="10" t="n">
        <f aca="false">$I26-$I25</f>
        <v>0</v>
      </c>
    </row>
    <row r="27" customFormat="false" ht="15" hidden="false" customHeight="false" outlineLevel="0" collapsed="false">
      <c r="A27" s="43" t="n">
        <f aca="false">YEAR($B27)*100+MONTH($B27)</f>
        <v>202604</v>
      </c>
      <c r="B27" s="44" t="n">
        <f aca="false">EOMONTH(EDATE(EOMONTH(CFG_INICIO,0)+1,3),0)</f>
        <v>46142</v>
      </c>
      <c r="C27" s="10" t="n">
        <f aca="false">SUM(C_SALDOINI)+SUMIFS(L_EfConta,L_Data,"&lt;="&amp;$B27,L_Status,"REALIZADO")+SUMIFS(L_EfConta,L_Data,"&lt;="&amp;$B27,L_Status,"PROJETADO")</f>
        <v>0</v>
      </c>
      <c r="D27" s="10" t="n">
        <f aca="false">SUM(I_VALINI)+SUMIFS(L_EfInv,L_Data,"&lt;="&amp;$B27,L_Status,"REALIZADO")+SUMIFS(L_EfInv,L_Data,"&lt;="&amp;$B27,L_Status,"PROJETADO")</f>
        <v>0</v>
      </c>
      <c r="E27" s="10" t="n">
        <f aca="false">SUM(B_VALOR)</f>
        <v>0</v>
      </c>
      <c r="F27" s="10" t="n">
        <f aca="false">SUM(K_DIVINI)+SUMIFS(L_EfCartao,L_Data,"&lt;="&amp;$B27,L_Status,"REALIZADO")+SUMIFS(L_EfCartao,L_Data,"&lt;="&amp;$B27,L_Status,"PROJETADO")</f>
        <v>0</v>
      </c>
      <c r="G27" s="10" t="n">
        <f aca="false">SUMIFS(P_VALOR,P_VENC,"&gt;"&amp;$B27)+SUMIFS(P_VALOR,P_VENC,"&lt;="&amp;$B27,P_STATUS,"ATRASADA")</f>
        <v>0</v>
      </c>
      <c r="H27" s="10" t="n">
        <f aca="false">$C27+$D27-$F27-$G27</f>
        <v>0</v>
      </c>
      <c r="I27" s="10" t="n">
        <f aca="false">$H27+$E27</f>
        <v>0</v>
      </c>
      <c r="J27" s="10" t="n">
        <f aca="false">$I27-$I26</f>
        <v>0</v>
      </c>
    </row>
    <row r="28" customFormat="false" ht="15" hidden="false" customHeight="false" outlineLevel="0" collapsed="false">
      <c r="A28" s="43" t="n">
        <f aca="false">YEAR($B28)*100+MONTH($B28)</f>
        <v>202605</v>
      </c>
      <c r="B28" s="44" t="n">
        <f aca="false">EOMONTH(EDATE(EOMONTH(CFG_INICIO,0)+1,4),0)</f>
        <v>46173</v>
      </c>
      <c r="C28" s="10" t="n">
        <f aca="false">SUM(C_SALDOINI)+SUMIFS(L_EfConta,L_Data,"&lt;="&amp;$B28,L_Status,"REALIZADO")+SUMIFS(L_EfConta,L_Data,"&lt;="&amp;$B28,L_Status,"PROJETADO")</f>
        <v>0</v>
      </c>
      <c r="D28" s="10" t="n">
        <f aca="false">SUM(I_VALINI)+SUMIFS(L_EfInv,L_Data,"&lt;="&amp;$B28,L_Status,"REALIZADO")+SUMIFS(L_EfInv,L_Data,"&lt;="&amp;$B28,L_Status,"PROJETADO")</f>
        <v>0</v>
      </c>
      <c r="E28" s="10" t="n">
        <f aca="false">SUM(B_VALOR)</f>
        <v>0</v>
      </c>
      <c r="F28" s="10" t="n">
        <f aca="false">SUM(K_DIVINI)+SUMIFS(L_EfCartao,L_Data,"&lt;="&amp;$B28,L_Status,"REALIZADO")+SUMIFS(L_EfCartao,L_Data,"&lt;="&amp;$B28,L_Status,"PROJETADO")</f>
        <v>0</v>
      </c>
      <c r="G28" s="10" t="n">
        <f aca="false">SUMIFS(P_VALOR,P_VENC,"&gt;"&amp;$B28)+SUMIFS(P_VALOR,P_VENC,"&lt;="&amp;$B28,P_STATUS,"ATRASADA")</f>
        <v>0</v>
      </c>
      <c r="H28" s="10" t="n">
        <f aca="false">$C28+$D28-$F28-$G28</f>
        <v>0</v>
      </c>
      <c r="I28" s="10" t="n">
        <f aca="false">$H28+$E28</f>
        <v>0</v>
      </c>
      <c r="J28" s="10" t="n">
        <f aca="false">$I28-$I27</f>
        <v>0</v>
      </c>
    </row>
    <row r="29" customFormat="false" ht="15" hidden="false" customHeight="false" outlineLevel="0" collapsed="false">
      <c r="A29" s="43" t="n">
        <f aca="false">YEAR($B29)*100+MONTH($B29)</f>
        <v>202606</v>
      </c>
      <c r="B29" s="44" t="n">
        <f aca="false">EOMONTH(EDATE(EOMONTH(CFG_INICIO,0)+1,5),0)</f>
        <v>46203</v>
      </c>
      <c r="C29" s="10" t="n">
        <f aca="false">SUM(C_SALDOINI)+SUMIFS(L_EfConta,L_Data,"&lt;="&amp;$B29,L_Status,"REALIZADO")+SUMIFS(L_EfConta,L_Data,"&lt;="&amp;$B29,L_Status,"PROJETADO")</f>
        <v>0</v>
      </c>
      <c r="D29" s="10" t="n">
        <f aca="false">SUM(I_VALINI)+SUMIFS(L_EfInv,L_Data,"&lt;="&amp;$B29,L_Status,"REALIZADO")+SUMIFS(L_EfInv,L_Data,"&lt;="&amp;$B29,L_Status,"PROJETADO")</f>
        <v>0</v>
      </c>
      <c r="E29" s="10" t="n">
        <f aca="false">SUM(B_VALOR)</f>
        <v>0</v>
      </c>
      <c r="F29" s="10" t="n">
        <f aca="false">SUM(K_DIVINI)+SUMIFS(L_EfCartao,L_Data,"&lt;="&amp;$B29,L_Status,"REALIZADO")+SUMIFS(L_EfCartao,L_Data,"&lt;="&amp;$B29,L_Status,"PROJETADO")</f>
        <v>0</v>
      </c>
      <c r="G29" s="10" t="n">
        <f aca="false">SUMIFS(P_VALOR,P_VENC,"&gt;"&amp;$B29)+SUMIFS(P_VALOR,P_VENC,"&lt;="&amp;$B29,P_STATUS,"ATRASADA")</f>
        <v>0</v>
      </c>
      <c r="H29" s="10" t="n">
        <f aca="false">$C29+$D29-$F29-$G29</f>
        <v>0</v>
      </c>
      <c r="I29" s="10" t="n">
        <f aca="false">$H29+$E29</f>
        <v>0</v>
      </c>
      <c r="J29" s="10" t="n">
        <f aca="false">$I29-$I28</f>
        <v>0</v>
      </c>
    </row>
    <row r="30" customFormat="false" ht="15" hidden="false" customHeight="false" outlineLevel="0" collapsed="false">
      <c r="A30" s="43" t="n">
        <f aca="false">YEAR($B30)*100+MONTH($B30)</f>
        <v>202607</v>
      </c>
      <c r="B30" s="44" t="n">
        <f aca="false">EOMONTH(EDATE(EOMONTH(CFG_INICIO,0)+1,6),0)</f>
        <v>46234</v>
      </c>
      <c r="C30" s="10" t="n">
        <f aca="false">SUM(C_SALDOINI)+SUMIFS(L_EfConta,L_Data,"&lt;="&amp;$B30,L_Status,"REALIZADO")+SUMIFS(L_EfConta,L_Data,"&lt;="&amp;$B30,L_Status,"PROJETADO")</f>
        <v>0</v>
      </c>
      <c r="D30" s="10" t="n">
        <f aca="false">SUM(I_VALINI)+SUMIFS(L_EfInv,L_Data,"&lt;="&amp;$B30,L_Status,"REALIZADO")+SUMIFS(L_EfInv,L_Data,"&lt;="&amp;$B30,L_Status,"PROJETADO")</f>
        <v>0</v>
      </c>
      <c r="E30" s="10" t="n">
        <f aca="false">SUM(B_VALOR)</f>
        <v>0</v>
      </c>
      <c r="F30" s="10" t="n">
        <f aca="false">SUM(K_DIVINI)+SUMIFS(L_EfCartao,L_Data,"&lt;="&amp;$B30,L_Status,"REALIZADO")+SUMIFS(L_EfCartao,L_Data,"&lt;="&amp;$B30,L_Status,"PROJETADO")</f>
        <v>0</v>
      </c>
      <c r="G30" s="10" t="n">
        <f aca="false">SUMIFS(P_VALOR,P_VENC,"&gt;"&amp;$B30)+SUMIFS(P_VALOR,P_VENC,"&lt;="&amp;$B30,P_STATUS,"ATRASADA")</f>
        <v>0</v>
      </c>
      <c r="H30" s="10" t="n">
        <f aca="false">$C30+$D30-$F30-$G30</f>
        <v>0</v>
      </c>
      <c r="I30" s="10" t="n">
        <f aca="false">$H30+$E30</f>
        <v>0</v>
      </c>
      <c r="J30" s="10" t="n">
        <f aca="false">$I30-$I29</f>
        <v>0</v>
      </c>
    </row>
    <row r="31" customFormat="false" ht="15" hidden="false" customHeight="false" outlineLevel="0" collapsed="false">
      <c r="A31" s="43" t="n">
        <f aca="false">YEAR($B31)*100+MONTH($B31)</f>
        <v>202608</v>
      </c>
      <c r="B31" s="44" t="n">
        <f aca="false">EOMONTH(EDATE(EOMONTH(CFG_INICIO,0)+1,7),0)</f>
        <v>46265</v>
      </c>
      <c r="C31" s="10" t="n">
        <f aca="false">SUM(C_SALDOINI)+SUMIFS(L_EfConta,L_Data,"&lt;="&amp;$B31,L_Status,"REALIZADO")+SUMIFS(L_EfConta,L_Data,"&lt;="&amp;$B31,L_Status,"PROJETADO")</f>
        <v>0</v>
      </c>
      <c r="D31" s="10" t="n">
        <f aca="false">SUM(I_VALINI)+SUMIFS(L_EfInv,L_Data,"&lt;="&amp;$B31,L_Status,"REALIZADO")+SUMIFS(L_EfInv,L_Data,"&lt;="&amp;$B31,L_Status,"PROJETADO")</f>
        <v>0</v>
      </c>
      <c r="E31" s="10" t="n">
        <f aca="false">SUM(B_VALOR)</f>
        <v>0</v>
      </c>
      <c r="F31" s="10" t="n">
        <f aca="false">SUM(K_DIVINI)+SUMIFS(L_EfCartao,L_Data,"&lt;="&amp;$B31,L_Status,"REALIZADO")+SUMIFS(L_EfCartao,L_Data,"&lt;="&amp;$B31,L_Status,"PROJETADO")</f>
        <v>0</v>
      </c>
      <c r="G31" s="10" t="n">
        <f aca="false">SUMIFS(P_VALOR,P_VENC,"&gt;"&amp;$B31)+SUMIFS(P_VALOR,P_VENC,"&lt;="&amp;$B31,P_STATUS,"ATRASADA")</f>
        <v>0</v>
      </c>
      <c r="H31" s="10" t="n">
        <f aca="false">$C31+$D31-$F31-$G31</f>
        <v>0</v>
      </c>
      <c r="I31" s="10" t="n">
        <f aca="false">$H31+$E31</f>
        <v>0</v>
      </c>
      <c r="J31" s="10" t="n">
        <f aca="false">$I31-$I30</f>
        <v>0</v>
      </c>
    </row>
    <row r="32" customFormat="false" ht="15" hidden="false" customHeight="false" outlineLevel="0" collapsed="false">
      <c r="A32" s="43" t="n">
        <f aca="false">YEAR($B32)*100+MONTH($B32)</f>
        <v>202609</v>
      </c>
      <c r="B32" s="44" t="n">
        <f aca="false">EOMONTH(EDATE(EOMONTH(CFG_INICIO,0)+1,8),0)</f>
        <v>46295</v>
      </c>
      <c r="C32" s="10" t="n">
        <f aca="false">SUM(C_SALDOINI)+SUMIFS(L_EfConta,L_Data,"&lt;="&amp;$B32,L_Status,"REALIZADO")+SUMIFS(L_EfConta,L_Data,"&lt;="&amp;$B32,L_Status,"PROJETADO")</f>
        <v>0</v>
      </c>
      <c r="D32" s="10" t="n">
        <f aca="false">SUM(I_VALINI)+SUMIFS(L_EfInv,L_Data,"&lt;="&amp;$B32,L_Status,"REALIZADO")+SUMIFS(L_EfInv,L_Data,"&lt;="&amp;$B32,L_Status,"PROJETADO")</f>
        <v>0</v>
      </c>
      <c r="E32" s="10" t="n">
        <f aca="false">SUM(B_VALOR)</f>
        <v>0</v>
      </c>
      <c r="F32" s="10" t="n">
        <f aca="false">SUM(K_DIVINI)+SUMIFS(L_EfCartao,L_Data,"&lt;="&amp;$B32,L_Status,"REALIZADO")+SUMIFS(L_EfCartao,L_Data,"&lt;="&amp;$B32,L_Status,"PROJETADO")</f>
        <v>0</v>
      </c>
      <c r="G32" s="10" t="n">
        <f aca="false">SUMIFS(P_VALOR,P_VENC,"&gt;"&amp;$B32)+SUMIFS(P_VALOR,P_VENC,"&lt;="&amp;$B32,P_STATUS,"ATRASADA")</f>
        <v>0</v>
      </c>
      <c r="H32" s="10" t="n">
        <f aca="false">$C32+$D32-$F32-$G32</f>
        <v>0</v>
      </c>
      <c r="I32" s="10" t="n">
        <f aca="false">$H32+$E32</f>
        <v>0</v>
      </c>
      <c r="J32" s="10" t="n">
        <f aca="false">$I32-$I31</f>
        <v>0</v>
      </c>
    </row>
    <row r="33" customFormat="false" ht="15" hidden="false" customHeight="false" outlineLevel="0" collapsed="false">
      <c r="A33" s="43" t="n">
        <f aca="false">YEAR($B33)*100+MONTH($B33)</f>
        <v>202610</v>
      </c>
      <c r="B33" s="44" t="n">
        <f aca="false">EOMONTH(EDATE(EOMONTH(CFG_INICIO,0)+1,9),0)</f>
        <v>46326</v>
      </c>
      <c r="C33" s="10" t="n">
        <f aca="false">SUM(C_SALDOINI)+SUMIFS(L_EfConta,L_Data,"&lt;="&amp;$B33,L_Status,"REALIZADO")+SUMIFS(L_EfConta,L_Data,"&lt;="&amp;$B33,L_Status,"PROJETADO")</f>
        <v>0</v>
      </c>
      <c r="D33" s="10" t="n">
        <f aca="false">SUM(I_VALINI)+SUMIFS(L_EfInv,L_Data,"&lt;="&amp;$B33,L_Status,"REALIZADO")+SUMIFS(L_EfInv,L_Data,"&lt;="&amp;$B33,L_Status,"PROJETADO")</f>
        <v>0</v>
      </c>
      <c r="E33" s="10" t="n">
        <f aca="false">SUM(B_VALOR)</f>
        <v>0</v>
      </c>
      <c r="F33" s="10" t="n">
        <f aca="false">SUM(K_DIVINI)+SUMIFS(L_EfCartao,L_Data,"&lt;="&amp;$B33,L_Status,"REALIZADO")+SUMIFS(L_EfCartao,L_Data,"&lt;="&amp;$B33,L_Status,"PROJETADO")</f>
        <v>0</v>
      </c>
      <c r="G33" s="10" t="n">
        <f aca="false">SUMIFS(P_VALOR,P_VENC,"&gt;"&amp;$B33)+SUMIFS(P_VALOR,P_VENC,"&lt;="&amp;$B33,P_STATUS,"ATRASADA")</f>
        <v>0</v>
      </c>
      <c r="H33" s="10" t="n">
        <f aca="false">$C33+$D33-$F33-$G33</f>
        <v>0</v>
      </c>
      <c r="I33" s="10" t="n">
        <f aca="false">$H33+$E33</f>
        <v>0</v>
      </c>
      <c r="J33" s="10" t="n">
        <f aca="false">$I33-$I32</f>
        <v>0</v>
      </c>
    </row>
    <row r="34" customFormat="false" ht="15" hidden="false" customHeight="false" outlineLevel="0" collapsed="false">
      <c r="A34" s="43" t="n">
        <f aca="false">YEAR($B34)*100+MONTH($B34)</f>
        <v>202611</v>
      </c>
      <c r="B34" s="44" t="n">
        <f aca="false">EOMONTH(EDATE(EOMONTH(CFG_INICIO,0)+1,10),0)</f>
        <v>46356</v>
      </c>
      <c r="C34" s="10" t="n">
        <f aca="false">SUM(C_SALDOINI)+SUMIFS(L_EfConta,L_Data,"&lt;="&amp;$B34,L_Status,"REALIZADO")+SUMIFS(L_EfConta,L_Data,"&lt;="&amp;$B34,L_Status,"PROJETADO")</f>
        <v>0</v>
      </c>
      <c r="D34" s="10" t="n">
        <f aca="false">SUM(I_VALINI)+SUMIFS(L_EfInv,L_Data,"&lt;="&amp;$B34,L_Status,"REALIZADO")+SUMIFS(L_EfInv,L_Data,"&lt;="&amp;$B34,L_Status,"PROJETADO")</f>
        <v>0</v>
      </c>
      <c r="E34" s="10" t="n">
        <f aca="false">SUM(B_VALOR)</f>
        <v>0</v>
      </c>
      <c r="F34" s="10" t="n">
        <f aca="false">SUM(K_DIVINI)+SUMIFS(L_EfCartao,L_Data,"&lt;="&amp;$B34,L_Status,"REALIZADO")+SUMIFS(L_EfCartao,L_Data,"&lt;="&amp;$B34,L_Status,"PROJETADO")</f>
        <v>0</v>
      </c>
      <c r="G34" s="10" t="n">
        <f aca="false">SUMIFS(P_VALOR,P_VENC,"&gt;"&amp;$B34)+SUMIFS(P_VALOR,P_VENC,"&lt;="&amp;$B34,P_STATUS,"ATRASADA")</f>
        <v>0</v>
      </c>
      <c r="H34" s="10" t="n">
        <f aca="false">$C34+$D34-$F34-$G34</f>
        <v>0</v>
      </c>
      <c r="I34" s="10" t="n">
        <f aca="false">$H34+$E34</f>
        <v>0</v>
      </c>
      <c r="J34" s="10" t="n">
        <f aca="false">$I34-$I33</f>
        <v>0</v>
      </c>
    </row>
    <row r="35" customFormat="false" ht="15" hidden="false" customHeight="false" outlineLevel="0" collapsed="false">
      <c r="A35" s="43" t="n">
        <f aca="false">YEAR($B35)*100+MONTH($B35)</f>
        <v>202612</v>
      </c>
      <c r="B35" s="44" t="n">
        <f aca="false">EOMONTH(EDATE(EOMONTH(CFG_INICIO,0)+1,11),0)</f>
        <v>46387</v>
      </c>
      <c r="C35" s="10" t="n">
        <f aca="false">SUM(C_SALDOINI)+SUMIFS(L_EfConta,L_Data,"&lt;="&amp;$B35,L_Status,"REALIZADO")+SUMIFS(L_EfConta,L_Data,"&lt;="&amp;$B35,L_Status,"PROJETADO")</f>
        <v>0</v>
      </c>
      <c r="D35" s="10" t="n">
        <f aca="false">SUM(I_VALINI)+SUMIFS(L_EfInv,L_Data,"&lt;="&amp;$B35,L_Status,"REALIZADO")+SUMIFS(L_EfInv,L_Data,"&lt;="&amp;$B35,L_Status,"PROJETADO")</f>
        <v>0</v>
      </c>
      <c r="E35" s="10" t="n">
        <f aca="false">SUM(B_VALOR)</f>
        <v>0</v>
      </c>
      <c r="F35" s="10" t="n">
        <f aca="false">SUM(K_DIVINI)+SUMIFS(L_EfCartao,L_Data,"&lt;="&amp;$B35,L_Status,"REALIZADO")+SUMIFS(L_EfCartao,L_Data,"&lt;="&amp;$B35,L_Status,"PROJETADO")</f>
        <v>0</v>
      </c>
      <c r="G35" s="10" t="n">
        <f aca="false">SUMIFS(P_VALOR,P_VENC,"&gt;"&amp;$B35)+SUMIFS(P_VALOR,P_VENC,"&lt;="&amp;$B35,P_STATUS,"ATRASADA")</f>
        <v>0</v>
      </c>
      <c r="H35" s="10" t="n">
        <f aca="false">$C35+$D35-$F35-$G35</f>
        <v>0</v>
      </c>
      <c r="I35" s="10" t="n">
        <f aca="false">$H35+$E35</f>
        <v>0</v>
      </c>
      <c r="J35" s="10" t="n">
        <f aca="false">$I35-$I34</f>
        <v>0</v>
      </c>
    </row>
    <row r="36" customFormat="false" ht="15" hidden="false" customHeight="false" outlineLevel="0" collapsed="false">
      <c r="A36" s="43" t="n">
        <f aca="false">YEAR($B36)*100+MONTH($B36)</f>
        <v>202701</v>
      </c>
      <c r="B36" s="44" t="n">
        <f aca="false">EOMONTH(EDATE(EOMONTH(CFG_INICIO,0)+1,12),0)</f>
        <v>46418</v>
      </c>
      <c r="C36" s="10" t="n">
        <f aca="false">SUM(C_SALDOINI)+SUMIFS(L_EfConta,L_Data,"&lt;="&amp;$B36,L_Status,"REALIZADO")+SUMIFS(L_EfConta,L_Data,"&lt;="&amp;$B36,L_Status,"PROJETADO")</f>
        <v>0</v>
      </c>
      <c r="D36" s="10" t="n">
        <f aca="false">SUM(I_VALINI)+SUMIFS(L_EfInv,L_Data,"&lt;="&amp;$B36,L_Status,"REALIZADO")+SUMIFS(L_EfInv,L_Data,"&lt;="&amp;$B36,L_Status,"PROJETADO")</f>
        <v>0</v>
      </c>
      <c r="E36" s="10" t="n">
        <f aca="false">SUM(B_VALOR)</f>
        <v>0</v>
      </c>
      <c r="F36" s="10" t="n">
        <f aca="false">SUM(K_DIVINI)+SUMIFS(L_EfCartao,L_Data,"&lt;="&amp;$B36,L_Status,"REALIZADO")+SUMIFS(L_EfCartao,L_Data,"&lt;="&amp;$B36,L_Status,"PROJETADO")</f>
        <v>0</v>
      </c>
      <c r="G36" s="10" t="n">
        <f aca="false">SUMIFS(P_VALOR,P_VENC,"&gt;"&amp;$B36)+SUMIFS(P_VALOR,P_VENC,"&lt;="&amp;$B36,P_STATUS,"ATRASADA")</f>
        <v>0</v>
      </c>
      <c r="H36" s="10" t="n">
        <f aca="false">$C36+$D36-$F36-$G36</f>
        <v>0</v>
      </c>
      <c r="I36" s="10" t="n">
        <f aca="false">$H36+$E36</f>
        <v>0</v>
      </c>
      <c r="J36" s="10" t="n">
        <f aca="false">$I36-$I35</f>
        <v>0</v>
      </c>
    </row>
    <row r="37" customFormat="false" ht="15" hidden="false" customHeight="false" outlineLevel="0" collapsed="false">
      <c r="A37" s="43" t="n">
        <f aca="false">YEAR($B37)*100+MONTH($B37)</f>
        <v>202702</v>
      </c>
      <c r="B37" s="44" t="n">
        <f aca="false">EOMONTH(EDATE(EOMONTH(CFG_INICIO,0)+1,13),0)</f>
        <v>46446</v>
      </c>
      <c r="C37" s="10" t="n">
        <f aca="false">SUM(C_SALDOINI)+SUMIFS(L_EfConta,L_Data,"&lt;="&amp;$B37,L_Status,"REALIZADO")+SUMIFS(L_EfConta,L_Data,"&lt;="&amp;$B37,L_Status,"PROJETADO")</f>
        <v>0</v>
      </c>
      <c r="D37" s="10" t="n">
        <f aca="false">SUM(I_VALINI)+SUMIFS(L_EfInv,L_Data,"&lt;="&amp;$B37,L_Status,"REALIZADO")+SUMIFS(L_EfInv,L_Data,"&lt;="&amp;$B37,L_Status,"PROJETADO")</f>
        <v>0</v>
      </c>
      <c r="E37" s="10" t="n">
        <f aca="false">SUM(B_VALOR)</f>
        <v>0</v>
      </c>
      <c r="F37" s="10" t="n">
        <f aca="false">SUM(K_DIVINI)+SUMIFS(L_EfCartao,L_Data,"&lt;="&amp;$B37,L_Status,"REALIZADO")+SUMIFS(L_EfCartao,L_Data,"&lt;="&amp;$B37,L_Status,"PROJETADO")</f>
        <v>0</v>
      </c>
      <c r="G37" s="10" t="n">
        <f aca="false">SUMIFS(P_VALOR,P_VENC,"&gt;"&amp;$B37)+SUMIFS(P_VALOR,P_VENC,"&lt;="&amp;$B37,P_STATUS,"ATRASADA")</f>
        <v>0</v>
      </c>
      <c r="H37" s="10" t="n">
        <f aca="false">$C37+$D37-$F37-$G37</f>
        <v>0</v>
      </c>
      <c r="I37" s="10" t="n">
        <f aca="false">$H37+$E37</f>
        <v>0</v>
      </c>
      <c r="J37" s="10" t="n">
        <f aca="false">$I37-$I36</f>
        <v>0</v>
      </c>
    </row>
    <row r="38" customFormat="false" ht="15" hidden="false" customHeight="false" outlineLevel="0" collapsed="false">
      <c r="A38" s="43" t="n">
        <f aca="false">YEAR($B38)*100+MONTH($B38)</f>
        <v>202703</v>
      </c>
      <c r="B38" s="44" t="n">
        <f aca="false">EOMONTH(EDATE(EOMONTH(CFG_INICIO,0)+1,14),0)</f>
        <v>46477</v>
      </c>
      <c r="C38" s="10" t="n">
        <f aca="false">SUM(C_SALDOINI)+SUMIFS(L_EfConta,L_Data,"&lt;="&amp;$B38,L_Status,"REALIZADO")+SUMIFS(L_EfConta,L_Data,"&lt;="&amp;$B38,L_Status,"PROJETADO")</f>
        <v>0</v>
      </c>
      <c r="D38" s="10" t="n">
        <f aca="false">SUM(I_VALINI)+SUMIFS(L_EfInv,L_Data,"&lt;="&amp;$B38,L_Status,"REALIZADO")+SUMIFS(L_EfInv,L_Data,"&lt;="&amp;$B38,L_Status,"PROJETADO")</f>
        <v>0</v>
      </c>
      <c r="E38" s="10" t="n">
        <f aca="false">SUM(B_VALOR)</f>
        <v>0</v>
      </c>
      <c r="F38" s="10" t="n">
        <f aca="false">SUM(K_DIVINI)+SUMIFS(L_EfCartao,L_Data,"&lt;="&amp;$B38,L_Status,"REALIZADO")+SUMIFS(L_EfCartao,L_Data,"&lt;="&amp;$B38,L_Status,"PROJETADO")</f>
        <v>0</v>
      </c>
      <c r="G38" s="10" t="n">
        <f aca="false">SUMIFS(P_VALOR,P_VENC,"&gt;"&amp;$B38)+SUMIFS(P_VALOR,P_VENC,"&lt;="&amp;$B38,P_STATUS,"ATRASADA")</f>
        <v>0</v>
      </c>
      <c r="H38" s="10" t="n">
        <f aca="false">$C38+$D38-$F38-$G38</f>
        <v>0</v>
      </c>
      <c r="I38" s="10" t="n">
        <f aca="false">$H38+$E38</f>
        <v>0</v>
      </c>
      <c r="J38" s="10" t="n">
        <f aca="false">$I38-$I37</f>
        <v>0</v>
      </c>
    </row>
    <row r="39" customFormat="false" ht="15" hidden="false" customHeight="false" outlineLevel="0" collapsed="false">
      <c r="A39" s="43" t="n">
        <f aca="false">YEAR($B39)*100+MONTH($B39)</f>
        <v>202704</v>
      </c>
      <c r="B39" s="44" t="n">
        <f aca="false">EOMONTH(EDATE(EOMONTH(CFG_INICIO,0)+1,15),0)</f>
        <v>46507</v>
      </c>
      <c r="C39" s="10" t="n">
        <f aca="false">SUM(C_SALDOINI)+SUMIFS(L_EfConta,L_Data,"&lt;="&amp;$B39,L_Status,"REALIZADO")+SUMIFS(L_EfConta,L_Data,"&lt;="&amp;$B39,L_Status,"PROJETADO")</f>
        <v>0</v>
      </c>
      <c r="D39" s="10" t="n">
        <f aca="false">SUM(I_VALINI)+SUMIFS(L_EfInv,L_Data,"&lt;="&amp;$B39,L_Status,"REALIZADO")+SUMIFS(L_EfInv,L_Data,"&lt;="&amp;$B39,L_Status,"PROJETADO")</f>
        <v>0</v>
      </c>
      <c r="E39" s="10" t="n">
        <f aca="false">SUM(B_VALOR)</f>
        <v>0</v>
      </c>
      <c r="F39" s="10" t="n">
        <f aca="false">SUM(K_DIVINI)+SUMIFS(L_EfCartao,L_Data,"&lt;="&amp;$B39,L_Status,"REALIZADO")+SUMIFS(L_EfCartao,L_Data,"&lt;="&amp;$B39,L_Status,"PROJETADO")</f>
        <v>0</v>
      </c>
      <c r="G39" s="10" t="n">
        <f aca="false">SUMIFS(P_VALOR,P_VENC,"&gt;"&amp;$B39)+SUMIFS(P_VALOR,P_VENC,"&lt;="&amp;$B39,P_STATUS,"ATRASADA")</f>
        <v>0</v>
      </c>
      <c r="H39" s="10" t="n">
        <f aca="false">$C39+$D39-$F39-$G39</f>
        <v>0</v>
      </c>
      <c r="I39" s="10" t="n">
        <f aca="false">$H39+$E39</f>
        <v>0</v>
      </c>
      <c r="J39" s="10" t="n">
        <f aca="false">$I39-$I38</f>
        <v>0</v>
      </c>
    </row>
    <row r="40" customFormat="false" ht="15" hidden="false" customHeight="false" outlineLevel="0" collapsed="false">
      <c r="A40" s="43" t="n">
        <f aca="false">YEAR($B40)*100+MONTH($B40)</f>
        <v>202705</v>
      </c>
      <c r="B40" s="44" t="n">
        <f aca="false">EOMONTH(EDATE(EOMONTH(CFG_INICIO,0)+1,16),0)</f>
        <v>46538</v>
      </c>
      <c r="C40" s="10" t="n">
        <f aca="false">SUM(C_SALDOINI)+SUMIFS(L_EfConta,L_Data,"&lt;="&amp;$B40,L_Status,"REALIZADO")+SUMIFS(L_EfConta,L_Data,"&lt;="&amp;$B40,L_Status,"PROJETADO")</f>
        <v>0</v>
      </c>
      <c r="D40" s="10" t="n">
        <f aca="false">SUM(I_VALINI)+SUMIFS(L_EfInv,L_Data,"&lt;="&amp;$B40,L_Status,"REALIZADO")+SUMIFS(L_EfInv,L_Data,"&lt;="&amp;$B40,L_Status,"PROJETADO")</f>
        <v>0</v>
      </c>
      <c r="E40" s="10" t="n">
        <f aca="false">SUM(B_VALOR)</f>
        <v>0</v>
      </c>
      <c r="F40" s="10" t="n">
        <f aca="false">SUM(K_DIVINI)+SUMIFS(L_EfCartao,L_Data,"&lt;="&amp;$B40,L_Status,"REALIZADO")+SUMIFS(L_EfCartao,L_Data,"&lt;="&amp;$B40,L_Status,"PROJETADO")</f>
        <v>0</v>
      </c>
      <c r="G40" s="10" t="n">
        <f aca="false">SUMIFS(P_VALOR,P_VENC,"&gt;"&amp;$B40)+SUMIFS(P_VALOR,P_VENC,"&lt;="&amp;$B40,P_STATUS,"ATRASADA")</f>
        <v>0</v>
      </c>
      <c r="H40" s="10" t="n">
        <f aca="false">$C40+$D40-$F40-$G40</f>
        <v>0</v>
      </c>
      <c r="I40" s="10" t="n">
        <f aca="false">$H40+$E40</f>
        <v>0</v>
      </c>
      <c r="J40" s="10" t="n">
        <f aca="false">$I40-$I39</f>
        <v>0</v>
      </c>
    </row>
    <row r="41" customFormat="false" ht="15" hidden="false" customHeight="false" outlineLevel="0" collapsed="false">
      <c r="A41" s="43" t="n">
        <f aca="false">YEAR($B41)*100+MONTH($B41)</f>
        <v>202706</v>
      </c>
      <c r="B41" s="44" t="n">
        <f aca="false">EOMONTH(EDATE(EOMONTH(CFG_INICIO,0)+1,17),0)</f>
        <v>46568</v>
      </c>
      <c r="C41" s="10" t="n">
        <f aca="false">SUM(C_SALDOINI)+SUMIFS(L_EfConta,L_Data,"&lt;="&amp;$B41,L_Status,"REALIZADO")+SUMIFS(L_EfConta,L_Data,"&lt;="&amp;$B41,L_Status,"PROJETADO")</f>
        <v>0</v>
      </c>
      <c r="D41" s="10" t="n">
        <f aca="false">SUM(I_VALINI)+SUMIFS(L_EfInv,L_Data,"&lt;="&amp;$B41,L_Status,"REALIZADO")+SUMIFS(L_EfInv,L_Data,"&lt;="&amp;$B41,L_Status,"PROJETADO")</f>
        <v>0</v>
      </c>
      <c r="E41" s="10" t="n">
        <f aca="false">SUM(B_VALOR)</f>
        <v>0</v>
      </c>
      <c r="F41" s="10" t="n">
        <f aca="false">SUM(K_DIVINI)+SUMIFS(L_EfCartao,L_Data,"&lt;="&amp;$B41,L_Status,"REALIZADO")+SUMIFS(L_EfCartao,L_Data,"&lt;="&amp;$B41,L_Status,"PROJETADO")</f>
        <v>0</v>
      </c>
      <c r="G41" s="10" t="n">
        <f aca="false">SUMIFS(P_VALOR,P_VENC,"&gt;"&amp;$B41)+SUMIFS(P_VALOR,P_VENC,"&lt;="&amp;$B41,P_STATUS,"ATRASADA")</f>
        <v>0</v>
      </c>
      <c r="H41" s="10" t="n">
        <f aca="false">$C41+$D41-$F41-$G41</f>
        <v>0</v>
      </c>
      <c r="I41" s="10" t="n">
        <f aca="false">$H41+$E41</f>
        <v>0</v>
      </c>
      <c r="J41" s="10" t="n">
        <f aca="false">$I41-$I40</f>
        <v>0</v>
      </c>
    </row>
    <row r="42" customFormat="false" ht="15" hidden="false" customHeight="false" outlineLevel="0" collapsed="false">
      <c r="A42" s="43" t="n">
        <f aca="false">YEAR($B42)*100+MONTH($B42)</f>
        <v>202707</v>
      </c>
      <c r="B42" s="44" t="n">
        <f aca="false">EOMONTH(EDATE(EOMONTH(CFG_INICIO,0)+1,18),0)</f>
        <v>46599</v>
      </c>
      <c r="C42" s="10" t="n">
        <f aca="false">SUM(C_SALDOINI)+SUMIFS(L_EfConta,L_Data,"&lt;="&amp;$B42,L_Status,"REALIZADO")+SUMIFS(L_EfConta,L_Data,"&lt;="&amp;$B42,L_Status,"PROJETADO")</f>
        <v>0</v>
      </c>
      <c r="D42" s="10" t="n">
        <f aca="false">SUM(I_VALINI)+SUMIFS(L_EfInv,L_Data,"&lt;="&amp;$B42,L_Status,"REALIZADO")+SUMIFS(L_EfInv,L_Data,"&lt;="&amp;$B42,L_Status,"PROJETADO")</f>
        <v>0</v>
      </c>
      <c r="E42" s="10" t="n">
        <f aca="false">SUM(B_VALOR)</f>
        <v>0</v>
      </c>
      <c r="F42" s="10" t="n">
        <f aca="false">SUM(K_DIVINI)+SUMIFS(L_EfCartao,L_Data,"&lt;="&amp;$B42,L_Status,"REALIZADO")+SUMIFS(L_EfCartao,L_Data,"&lt;="&amp;$B42,L_Status,"PROJETADO")</f>
        <v>0</v>
      </c>
      <c r="G42" s="10" t="n">
        <f aca="false">SUMIFS(P_VALOR,P_VENC,"&gt;"&amp;$B42)+SUMIFS(P_VALOR,P_VENC,"&lt;="&amp;$B42,P_STATUS,"ATRASADA")</f>
        <v>0</v>
      </c>
      <c r="H42" s="10" t="n">
        <f aca="false">$C42+$D42-$F42-$G42</f>
        <v>0</v>
      </c>
      <c r="I42" s="10" t="n">
        <f aca="false">$H42+$E42</f>
        <v>0</v>
      </c>
      <c r="J42" s="10" t="n">
        <f aca="false">$I42-$I41</f>
        <v>0</v>
      </c>
    </row>
    <row r="43" customFormat="false" ht="15" hidden="false" customHeight="false" outlineLevel="0" collapsed="false">
      <c r="A43" s="43" t="n">
        <f aca="false">YEAR($B43)*100+MONTH($B43)</f>
        <v>202708</v>
      </c>
      <c r="B43" s="44" t="n">
        <f aca="false">EOMONTH(EDATE(EOMONTH(CFG_INICIO,0)+1,19),0)</f>
        <v>46630</v>
      </c>
      <c r="C43" s="10" t="n">
        <f aca="false">SUM(C_SALDOINI)+SUMIFS(L_EfConta,L_Data,"&lt;="&amp;$B43,L_Status,"REALIZADO")+SUMIFS(L_EfConta,L_Data,"&lt;="&amp;$B43,L_Status,"PROJETADO")</f>
        <v>0</v>
      </c>
      <c r="D43" s="10" t="n">
        <f aca="false">SUM(I_VALINI)+SUMIFS(L_EfInv,L_Data,"&lt;="&amp;$B43,L_Status,"REALIZADO")+SUMIFS(L_EfInv,L_Data,"&lt;="&amp;$B43,L_Status,"PROJETADO")</f>
        <v>0</v>
      </c>
      <c r="E43" s="10" t="n">
        <f aca="false">SUM(B_VALOR)</f>
        <v>0</v>
      </c>
      <c r="F43" s="10" t="n">
        <f aca="false">SUM(K_DIVINI)+SUMIFS(L_EfCartao,L_Data,"&lt;="&amp;$B43,L_Status,"REALIZADO")+SUMIFS(L_EfCartao,L_Data,"&lt;="&amp;$B43,L_Status,"PROJETADO")</f>
        <v>0</v>
      </c>
      <c r="G43" s="10" t="n">
        <f aca="false">SUMIFS(P_VALOR,P_VENC,"&gt;"&amp;$B43)+SUMIFS(P_VALOR,P_VENC,"&lt;="&amp;$B43,P_STATUS,"ATRASADA")</f>
        <v>0</v>
      </c>
      <c r="H43" s="10" t="n">
        <f aca="false">$C43+$D43-$F43-$G43</f>
        <v>0</v>
      </c>
      <c r="I43" s="10" t="n">
        <f aca="false">$H43+$E43</f>
        <v>0</v>
      </c>
      <c r="J43" s="10" t="n">
        <f aca="false">$I43-$I42</f>
        <v>0</v>
      </c>
    </row>
    <row r="44" customFormat="false" ht="15" hidden="false" customHeight="false" outlineLevel="0" collapsed="false">
      <c r="A44" s="43" t="n">
        <f aca="false">YEAR($B44)*100+MONTH($B44)</f>
        <v>202709</v>
      </c>
      <c r="B44" s="44" t="n">
        <f aca="false">EOMONTH(EDATE(EOMONTH(CFG_INICIO,0)+1,20),0)</f>
        <v>46660</v>
      </c>
      <c r="C44" s="10" t="n">
        <f aca="false">SUM(C_SALDOINI)+SUMIFS(L_EfConta,L_Data,"&lt;="&amp;$B44,L_Status,"REALIZADO")+SUMIFS(L_EfConta,L_Data,"&lt;="&amp;$B44,L_Status,"PROJETADO")</f>
        <v>0</v>
      </c>
      <c r="D44" s="10" t="n">
        <f aca="false">SUM(I_VALINI)+SUMIFS(L_EfInv,L_Data,"&lt;="&amp;$B44,L_Status,"REALIZADO")+SUMIFS(L_EfInv,L_Data,"&lt;="&amp;$B44,L_Status,"PROJETADO")</f>
        <v>0</v>
      </c>
      <c r="E44" s="10" t="n">
        <f aca="false">SUM(B_VALOR)</f>
        <v>0</v>
      </c>
      <c r="F44" s="10" t="n">
        <f aca="false">SUM(K_DIVINI)+SUMIFS(L_EfCartao,L_Data,"&lt;="&amp;$B44,L_Status,"REALIZADO")+SUMIFS(L_EfCartao,L_Data,"&lt;="&amp;$B44,L_Status,"PROJETADO")</f>
        <v>0</v>
      </c>
      <c r="G44" s="10" t="n">
        <f aca="false">SUMIFS(P_VALOR,P_VENC,"&gt;"&amp;$B44)+SUMIFS(P_VALOR,P_VENC,"&lt;="&amp;$B44,P_STATUS,"ATRASADA")</f>
        <v>0</v>
      </c>
      <c r="H44" s="10" t="n">
        <f aca="false">$C44+$D44-$F44-$G44</f>
        <v>0</v>
      </c>
      <c r="I44" s="10" t="n">
        <f aca="false">$H44+$E44</f>
        <v>0</v>
      </c>
      <c r="J44" s="10" t="n">
        <f aca="false">$I44-$I43</f>
        <v>0</v>
      </c>
    </row>
    <row r="45" customFormat="false" ht="15" hidden="false" customHeight="false" outlineLevel="0" collapsed="false">
      <c r="A45" s="43" t="n">
        <f aca="false">YEAR($B45)*100+MONTH($B45)</f>
        <v>202710</v>
      </c>
      <c r="B45" s="44" t="n">
        <f aca="false">EOMONTH(EDATE(EOMONTH(CFG_INICIO,0)+1,21),0)</f>
        <v>46691</v>
      </c>
      <c r="C45" s="10" t="n">
        <f aca="false">SUM(C_SALDOINI)+SUMIFS(L_EfConta,L_Data,"&lt;="&amp;$B45,L_Status,"REALIZADO")+SUMIFS(L_EfConta,L_Data,"&lt;="&amp;$B45,L_Status,"PROJETADO")</f>
        <v>0</v>
      </c>
      <c r="D45" s="10" t="n">
        <f aca="false">SUM(I_VALINI)+SUMIFS(L_EfInv,L_Data,"&lt;="&amp;$B45,L_Status,"REALIZADO")+SUMIFS(L_EfInv,L_Data,"&lt;="&amp;$B45,L_Status,"PROJETADO")</f>
        <v>0</v>
      </c>
      <c r="E45" s="10" t="n">
        <f aca="false">SUM(B_VALOR)</f>
        <v>0</v>
      </c>
      <c r="F45" s="10" t="n">
        <f aca="false">SUM(K_DIVINI)+SUMIFS(L_EfCartao,L_Data,"&lt;="&amp;$B45,L_Status,"REALIZADO")+SUMIFS(L_EfCartao,L_Data,"&lt;="&amp;$B45,L_Status,"PROJETADO")</f>
        <v>0</v>
      </c>
      <c r="G45" s="10" t="n">
        <f aca="false">SUMIFS(P_VALOR,P_VENC,"&gt;"&amp;$B45)+SUMIFS(P_VALOR,P_VENC,"&lt;="&amp;$B45,P_STATUS,"ATRASADA")</f>
        <v>0</v>
      </c>
      <c r="H45" s="10" t="n">
        <f aca="false">$C45+$D45-$F45-$G45</f>
        <v>0</v>
      </c>
      <c r="I45" s="10" t="n">
        <f aca="false">$H45+$E45</f>
        <v>0</v>
      </c>
      <c r="J45" s="10" t="n">
        <f aca="false">$I45-$I44</f>
        <v>0</v>
      </c>
    </row>
    <row r="46" customFormat="false" ht="15" hidden="false" customHeight="false" outlineLevel="0" collapsed="false">
      <c r="A46" s="43" t="n">
        <f aca="false">YEAR($B46)*100+MONTH($B46)</f>
        <v>202711</v>
      </c>
      <c r="B46" s="44" t="n">
        <f aca="false">EOMONTH(EDATE(EOMONTH(CFG_INICIO,0)+1,22),0)</f>
        <v>46721</v>
      </c>
      <c r="C46" s="10" t="n">
        <f aca="false">SUM(C_SALDOINI)+SUMIFS(L_EfConta,L_Data,"&lt;="&amp;$B46,L_Status,"REALIZADO")+SUMIFS(L_EfConta,L_Data,"&lt;="&amp;$B46,L_Status,"PROJETADO")</f>
        <v>0</v>
      </c>
      <c r="D46" s="10" t="n">
        <f aca="false">SUM(I_VALINI)+SUMIFS(L_EfInv,L_Data,"&lt;="&amp;$B46,L_Status,"REALIZADO")+SUMIFS(L_EfInv,L_Data,"&lt;="&amp;$B46,L_Status,"PROJETADO")</f>
        <v>0</v>
      </c>
      <c r="E46" s="10" t="n">
        <f aca="false">SUM(B_VALOR)</f>
        <v>0</v>
      </c>
      <c r="F46" s="10" t="n">
        <f aca="false">SUM(K_DIVINI)+SUMIFS(L_EfCartao,L_Data,"&lt;="&amp;$B46,L_Status,"REALIZADO")+SUMIFS(L_EfCartao,L_Data,"&lt;="&amp;$B46,L_Status,"PROJETADO")</f>
        <v>0</v>
      </c>
      <c r="G46" s="10" t="n">
        <f aca="false">SUMIFS(P_VALOR,P_VENC,"&gt;"&amp;$B46)+SUMIFS(P_VALOR,P_VENC,"&lt;="&amp;$B46,P_STATUS,"ATRASADA")</f>
        <v>0</v>
      </c>
      <c r="H46" s="10" t="n">
        <f aca="false">$C46+$D46-$F46-$G46</f>
        <v>0</v>
      </c>
      <c r="I46" s="10" t="n">
        <f aca="false">$H46+$E46</f>
        <v>0</v>
      </c>
      <c r="J46" s="10" t="n">
        <f aca="false">$I46-$I45</f>
        <v>0</v>
      </c>
    </row>
    <row r="47" customFormat="false" ht="15" hidden="false" customHeight="false" outlineLevel="0" collapsed="false">
      <c r="A47" s="43" t="n">
        <f aca="false">YEAR($B47)*100+MONTH($B47)</f>
        <v>202712</v>
      </c>
      <c r="B47" s="44" t="n">
        <f aca="false">EOMONTH(EDATE(EOMONTH(CFG_INICIO,0)+1,23),0)</f>
        <v>46752</v>
      </c>
      <c r="C47" s="10" t="n">
        <f aca="false">SUM(C_SALDOINI)+SUMIFS(L_EfConta,L_Data,"&lt;="&amp;$B47,L_Status,"REALIZADO")+SUMIFS(L_EfConta,L_Data,"&lt;="&amp;$B47,L_Status,"PROJETADO")</f>
        <v>0</v>
      </c>
      <c r="D47" s="10" t="n">
        <f aca="false">SUM(I_VALINI)+SUMIFS(L_EfInv,L_Data,"&lt;="&amp;$B47,L_Status,"REALIZADO")+SUMIFS(L_EfInv,L_Data,"&lt;="&amp;$B47,L_Status,"PROJETADO")</f>
        <v>0</v>
      </c>
      <c r="E47" s="10" t="n">
        <f aca="false">SUM(B_VALOR)</f>
        <v>0</v>
      </c>
      <c r="F47" s="10" t="n">
        <f aca="false">SUM(K_DIVINI)+SUMIFS(L_EfCartao,L_Data,"&lt;="&amp;$B47,L_Status,"REALIZADO")+SUMIFS(L_EfCartao,L_Data,"&lt;="&amp;$B47,L_Status,"PROJETADO")</f>
        <v>0</v>
      </c>
      <c r="G47" s="10" t="n">
        <f aca="false">SUMIFS(P_VALOR,P_VENC,"&gt;"&amp;$B47)+SUMIFS(P_VALOR,P_VENC,"&lt;="&amp;$B47,P_STATUS,"ATRASADA")</f>
        <v>0</v>
      </c>
      <c r="H47" s="10" t="n">
        <f aca="false">$C47+$D47-$F47-$G47</f>
        <v>0</v>
      </c>
      <c r="I47" s="10" t="n">
        <f aca="false">$H47+$E47</f>
        <v>0</v>
      </c>
      <c r="J47" s="10" t="n">
        <f aca="false">$I47-$I46</f>
        <v>0</v>
      </c>
    </row>
    <row r="48" customFormat="false" ht="15" hidden="false" customHeight="false" outlineLevel="0" collapsed="false">
      <c r="A48" s="43" t="n">
        <f aca="false">YEAR($B48)*100+MONTH($B48)</f>
        <v>202801</v>
      </c>
      <c r="B48" s="44" t="n">
        <f aca="false">EOMONTH(EDATE(EOMONTH(CFG_INICIO,0)+1,24),0)</f>
        <v>46783</v>
      </c>
      <c r="C48" s="10" t="n">
        <f aca="false">SUM(C_SALDOINI)+SUMIFS(L_EfConta,L_Data,"&lt;="&amp;$B48,L_Status,"REALIZADO")+SUMIFS(L_EfConta,L_Data,"&lt;="&amp;$B48,L_Status,"PROJETADO")</f>
        <v>0</v>
      </c>
      <c r="D48" s="10" t="n">
        <f aca="false">SUM(I_VALINI)+SUMIFS(L_EfInv,L_Data,"&lt;="&amp;$B48,L_Status,"REALIZADO")+SUMIFS(L_EfInv,L_Data,"&lt;="&amp;$B48,L_Status,"PROJETADO")</f>
        <v>0</v>
      </c>
      <c r="E48" s="10" t="n">
        <f aca="false">SUM(B_VALOR)</f>
        <v>0</v>
      </c>
      <c r="F48" s="10" t="n">
        <f aca="false">SUM(K_DIVINI)+SUMIFS(L_EfCartao,L_Data,"&lt;="&amp;$B48,L_Status,"REALIZADO")+SUMIFS(L_EfCartao,L_Data,"&lt;="&amp;$B48,L_Status,"PROJETADO")</f>
        <v>0</v>
      </c>
      <c r="G48" s="10" t="n">
        <f aca="false">SUMIFS(P_VALOR,P_VENC,"&gt;"&amp;$B48)+SUMIFS(P_VALOR,P_VENC,"&lt;="&amp;$B48,P_STATUS,"ATRASADA")</f>
        <v>0</v>
      </c>
      <c r="H48" s="10" t="n">
        <f aca="false">$C48+$D48-$F48-$G48</f>
        <v>0</v>
      </c>
      <c r="I48" s="10" t="n">
        <f aca="false">$H48+$E48</f>
        <v>0</v>
      </c>
      <c r="J48" s="10" t="n">
        <f aca="false">$I48-$I47</f>
        <v>0</v>
      </c>
    </row>
    <row r="49" customFormat="false" ht="15" hidden="false" customHeight="false" outlineLevel="0" collapsed="false">
      <c r="A49" s="43" t="n">
        <f aca="false">YEAR($B49)*100+MONTH($B49)</f>
        <v>202802</v>
      </c>
      <c r="B49" s="44" t="n">
        <f aca="false">EOMONTH(EDATE(EOMONTH(CFG_INICIO,0)+1,25),0)</f>
        <v>46812</v>
      </c>
      <c r="C49" s="10" t="n">
        <f aca="false">SUM(C_SALDOINI)+SUMIFS(L_EfConta,L_Data,"&lt;="&amp;$B49,L_Status,"REALIZADO")+SUMIFS(L_EfConta,L_Data,"&lt;="&amp;$B49,L_Status,"PROJETADO")</f>
        <v>0</v>
      </c>
      <c r="D49" s="10" t="n">
        <f aca="false">SUM(I_VALINI)+SUMIFS(L_EfInv,L_Data,"&lt;="&amp;$B49,L_Status,"REALIZADO")+SUMIFS(L_EfInv,L_Data,"&lt;="&amp;$B49,L_Status,"PROJETADO")</f>
        <v>0</v>
      </c>
      <c r="E49" s="10" t="n">
        <f aca="false">SUM(B_VALOR)</f>
        <v>0</v>
      </c>
      <c r="F49" s="10" t="n">
        <f aca="false">SUM(K_DIVINI)+SUMIFS(L_EfCartao,L_Data,"&lt;="&amp;$B49,L_Status,"REALIZADO")+SUMIFS(L_EfCartao,L_Data,"&lt;="&amp;$B49,L_Status,"PROJETADO")</f>
        <v>0</v>
      </c>
      <c r="G49" s="10" t="n">
        <f aca="false">SUMIFS(P_VALOR,P_VENC,"&gt;"&amp;$B49)+SUMIFS(P_VALOR,P_VENC,"&lt;="&amp;$B49,P_STATUS,"ATRASADA")</f>
        <v>0</v>
      </c>
      <c r="H49" s="10" t="n">
        <f aca="false">$C49+$D49-$F49-$G49</f>
        <v>0</v>
      </c>
      <c r="I49" s="10" t="n">
        <f aca="false">$H49+$E49</f>
        <v>0</v>
      </c>
      <c r="J49" s="10" t="n">
        <f aca="false">$I49-$I48</f>
        <v>0</v>
      </c>
    </row>
    <row r="50" customFormat="false" ht="15" hidden="false" customHeight="false" outlineLevel="0" collapsed="false">
      <c r="A50" s="43" t="n">
        <f aca="false">YEAR($B50)*100+MONTH($B50)</f>
        <v>202803</v>
      </c>
      <c r="B50" s="44" t="n">
        <f aca="false">EOMONTH(EDATE(EOMONTH(CFG_INICIO,0)+1,26),0)</f>
        <v>46843</v>
      </c>
      <c r="C50" s="10" t="n">
        <f aca="false">SUM(C_SALDOINI)+SUMIFS(L_EfConta,L_Data,"&lt;="&amp;$B50,L_Status,"REALIZADO")+SUMIFS(L_EfConta,L_Data,"&lt;="&amp;$B50,L_Status,"PROJETADO")</f>
        <v>0</v>
      </c>
      <c r="D50" s="10" t="n">
        <f aca="false">SUM(I_VALINI)+SUMIFS(L_EfInv,L_Data,"&lt;="&amp;$B50,L_Status,"REALIZADO")+SUMIFS(L_EfInv,L_Data,"&lt;="&amp;$B50,L_Status,"PROJETADO")</f>
        <v>0</v>
      </c>
      <c r="E50" s="10" t="n">
        <f aca="false">SUM(B_VALOR)</f>
        <v>0</v>
      </c>
      <c r="F50" s="10" t="n">
        <f aca="false">SUM(K_DIVINI)+SUMIFS(L_EfCartao,L_Data,"&lt;="&amp;$B50,L_Status,"REALIZADO")+SUMIFS(L_EfCartao,L_Data,"&lt;="&amp;$B50,L_Status,"PROJETADO")</f>
        <v>0</v>
      </c>
      <c r="G50" s="10" t="n">
        <f aca="false">SUMIFS(P_VALOR,P_VENC,"&gt;"&amp;$B50)+SUMIFS(P_VALOR,P_VENC,"&lt;="&amp;$B50,P_STATUS,"ATRASADA")</f>
        <v>0</v>
      </c>
      <c r="H50" s="10" t="n">
        <f aca="false">$C50+$D50-$F50-$G50</f>
        <v>0</v>
      </c>
      <c r="I50" s="10" t="n">
        <f aca="false">$H50+$E50</f>
        <v>0</v>
      </c>
      <c r="J50" s="10" t="n">
        <f aca="false">$I50-$I49</f>
        <v>0</v>
      </c>
    </row>
    <row r="51" customFormat="false" ht="15" hidden="false" customHeight="false" outlineLevel="0" collapsed="false">
      <c r="A51" s="43" t="n">
        <f aca="false">YEAR($B51)*100+MONTH($B51)</f>
        <v>202804</v>
      </c>
      <c r="B51" s="44" t="n">
        <f aca="false">EOMONTH(EDATE(EOMONTH(CFG_INICIO,0)+1,27),0)</f>
        <v>46873</v>
      </c>
      <c r="C51" s="10" t="n">
        <f aca="false">SUM(C_SALDOINI)+SUMIFS(L_EfConta,L_Data,"&lt;="&amp;$B51,L_Status,"REALIZADO")+SUMIFS(L_EfConta,L_Data,"&lt;="&amp;$B51,L_Status,"PROJETADO")</f>
        <v>0</v>
      </c>
      <c r="D51" s="10" t="n">
        <f aca="false">SUM(I_VALINI)+SUMIFS(L_EfInv,L_Data,"&lt;="&amp;$B51,L_Status,"REALIZADO")+SUMIFS(L_EfInv,L_Data,"&lt;="&amp;$B51,L_Status,"PROJETADO")</f>
        <v>0</v>
      </c>
      <c r="E51" s="10" t="n">
        <f aca="false">SUM(B_VALOR)</f>
        <v>0</v>
      </c>
      <c r="F51" s="10" t="n">
        <f aca="false">SUM(K_DIVINI)+SUMIFS(L_EfCartao,L_Data,"&lt;="&amp;$B51,L_Status,"REALIZADO")+SUMIFS(L_EfCartao,L_Data,"&lt;="&amp;$B51,L_Status,"PROJETADO")</f>
        <v>0</v>
      </c>
      <c r="G51" s="10" t="n">
        <f aca="false">SUMIFS(P_VALOR,P_VENC,"&gt;"&amp;$B51)+SUMIFS(P_VALOR,P_VENC,"&lt;="&amp;$B51,P_STATUS,"ATRASADA")</f>
        <v>0</v>
      </c>
      <c r="H51" s="10" t="n">
        <f aca="false">$C51+$D51-$F51-$G51</f>
        <v>0</v>
      </c>
      <c r="I51" s="10" t="n">
        <f aca="false">$H51+$E51</f>
        <v>0</v>
      </c>
      <c r="J51" s="10" t="n">
        <f aca="false">$I51-$I50</f>
        <v>0</v>
      </c>
    </row>
    <row r="52" customFormat="false" ht="15" hidden="false" customHeight="false" outlineLevel="0" collapsed="false">
      <c r="A52" s="43" t="n">
        <f aca="false">YEAR($B52)*100+MONTH($B52)</f>
        <v>202805</v>
      </c>
      <c r="B52" s="44" t="n">
        <f aca="false">EOMONTH(EDATE(EOMONTH(CFG_INICIO,0)+1,28),0)</f>
        <v>46904</v>
      </c>
      <c r="C52" s="10" t="n">
        <f aca="false">SUM(C_SALDOINI)+SUMIFS(L_EfConta,L_Data,"&lt;="&amp;$B52,L_Status,"REALIZADO")+SUMIFS(L_EfConta,L_Data,"&lt;="&amp;$B52,L_Status,"PROJETADO")</f>
        <v>0</v>
      </c>
      <c r="D52" s="10" t="n">
        <f aca="false">SUM(I_VALINI)+SUMIFS(L_EfInv,L_Data,"&lt;="&amp;$B52,L_Status,"REALIZADO")+SUMIFS(L_EfInv,L_Data,"&lt;="&amp;$B52,L_Status,"PROJETADO")</f>
        <v>0</v>
      </c>
      <c r="E52" s="10" t="n">
        <f aca="false">SUM(B_VALOR)</f>
        <v>0</v>
      </c>
      <c r="F52" s="10" t="n">
        <f aca="false">SUM(K_DIVINI)+SUMIFS(L_EfCartao,L_Data,"&lt;="&amp;$B52,L_Status,"REALIZADO")+SUMIFS(L_EfCartao,L_Data,"&lt;="&amp;$B52,L_Status,"PROJETADO")</f>
        <v>0</v>
      </c>
      <c r="G52" s="10" t="n">
        <f aca="false">SUMIFS(P_VALOR,P_VENC,"&gt;"&amp;$B52)+SUMIFS(P_VALOR,P_VENC,"&lt;="&amp;$B52,P_STATUS,"ATRASADA")</f>
        <v>0</v>
      </c>
      <c r="H52" s="10" t="n">
        <f aca="false">$C52+$D52-$F52-$G52</f>
        <v>0</v>
      </c>
      <c r="I52" s="10" t="n">
        <f aca="false">$H52+$E52</f>
        <v>0</v>
      </c>
      <c r="J52" s="10" t="n">
        <f aca="false">$I52-$I51</f>
        <v>0</v>
      </c>
    </row>
    <row r="53" customFormat="false" ht="15" hidden="false" customHeight="false" outlineLevel="0" collapsed="false">
      <c r="A53" s="43" t="n">
        <f aca="false">YEAR($B53)*100+MONTH($B53)</f>
        <v>202806</v>
      </c>
      <c r="B53" s="44" t="n">
        <f aca="false">EOMONTH(EDATE(EOMONTH(CFG_INICIO,0)+1,29),0)</f>
        <v>46934</v>
      </c>
      <c r="C53" s="10" t="n">
        <f aca="false">SUM(C_SALDOINI)+SUMIFS(L_EfConta,L_Data,"&lt;="&amp;$B53,L_Status,"REALIZADO")+SUMIFS(L_EfConta,L_Data,"&lt;="&amp;$B53,L_Status,"PROJETADO")</f>
        <v>0</v>
      </c>
      <c r="D53" s="10" t="n">
        <f aca="false">SUM(I_VALINI)+SUMIFS(L_EfInv,L_Data,"&lt;="&amp;$B53,L_Status,"REALIZADO")+SUMIFS(L_EfInv,L_Data,"&lt;="&amp;$B53,L_Status,"PROJETADO")</f>
        <v>0</v>
      </c>
      <c r="E53" s="10" t="n">
        <f aca="false">SUM(B_VALOR)</f>
        <v>0</v>
      </c>
      <c r="F53" s="10" t="n">
        <f aca="false">SUM(K_DIVINI)+SUMIFS(L_EfCartao,L_Data,"&lt;="&amp;$B53,L_Status,"REALIZADO")+SUMIFS(L_EfCartao,L_Data,"&lt;="&amp;$B53,L_Status,"PROJETADO")</f>
        <v>0</v>
      </c>
      <c r="G53" s="10" t="n">
        <f aca="false">SUMIFS(P_VALOR,P_VENC,"&gt;"&amp;$B53)+SUMIFS(P_VALOR,P_VENC,"&lt;="&amp;$B53,P_STATUS,"ATRASADA")</f>
        <v>0</v>
      </c>
      <c r="H53" s="10" t="n">
        <f aca="false">$C53+$D53-$F53-$G53</f>
        <v>0</v>
      </c>
      <c r="I53" s="10" t="n">
        <f aca="false">$H53+$E53</f>
        <v>0</v>
      </c>
      <c r="J53" s="10" t="n">
        <f aca="false">$I53-$I52</f>
        <v>0</v>
      </c>
    </row>
  </sheetData>
  <mergeCells count="4">
    <mergeCell ref="A1:J1"/>
    <mergeCell ref="A2:J2"/>
    <mergeCell ref="A4:J4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483</v>
      </c>
      <c r="B1" s="1"/>
      <c r="C1" s="1"/>
    </row>
    <row r="2" customFormat="false" ht="15" hidden="false" customHeight="false" outlineLevel="0" collapsed="false">
      <c r="A2" s="2" t="s">
        <v>484</v>
      </c>
      <c r="B2" s="2"/>
      <c r="C2" s="2"/>
    </row>
    <row r="4" customFormat="false" ht="19.5" hidden="false" customHeight="true" outlineLevel="0" collapsed="false">
      <c r="A4" s="3" t="s">
        <v>485</v>
      </c>
      <c r="B4" s="3"/>
      <c r="C4" s="3"/>
    </row>
    <row r="5" customFormat="false" ht="15" hidden="false" customHeight="false" outlineLevel="0" collapsed="false">
      <c r="A5" s="49" t="s">
        <v>486</v>
      </c>
      <c r="B5" s="19" t="str">
        <f aca="false">IF(MAX(RM_CAT_REAL)=0,"-",INDEX(RM_CAT_NOME,MATCH(MAX(RM_CAT_REAL),RM_CAT_REAL,0)))</f>
        <v>-</v>
      </c>
      <c r="C5" s="53" t="s">
        <v>487</v>
      </c>
    </row>
    <row r="6" customFormat="false" ht="15" hidden="false" customHeight="false" outlineLevel="0" collapsed="false">
      <c r="A6" s="47" t="s">
        <v>488</v>
      </c>
      <c r="B6" s="10" t="n">
        <f aca="false">MAX(RM_CAT_REAL)</f>
        <v>0</v>
      </c>
    </row>
    <row r="7" customFormat="false" ht="15" hidden="false" customHeight="false" outlineLevel="0" collapsed="false">
      <c r="A7" s="49" t="s">
        <v>489</v>
      </c>
      <c r="B7" s="19" t="str">
        <f aca="false">IF(MAX(RA_CAT_TOT)=0,"-",INDEX(RA_CAT_NOME,MATCH(MAX(RA_CAT_TOT),RA_CAT_TOT,0)))</f>
        <v>-</v>
      </c>
    </row>
    <row r="8" customFormat="false" ht="15" hidden="false" customHeight="false" outlineLevel="0" collapsed="false">
      <c r="A8" s="47" t="s">
        <v>490</v>
      </c>
      <c r="B8" s="10" t="n">
        <f aca="false">MAX(RA_CAT_TOT)</f>
        <v>0</v>
      </c>
    </row>
    <row r="10" customFormat="false" ht="19.5" hidden="false" customHeight="true" outlineLevel="0" collapsed="false">
      <c r="A10" s="3" t="s">
        <v>491</v>
      </c>
      <c r="B10" s="3"/>
      <c r="C10" s="3"/>
    </row>
    <row r="11" customFormat="false" ht="15" hidden="false" customHeight="false" outlineLevel="0" collapsed="false">
      <c r="A11" s="47" t="s">
        <v>492</v>
      </c>
      <c r="B11" s="10" t="n">
        <f aca="false">SUMIFS(L_VRec,L_Data,"&gt;="&amp;EDATE(CFG_HOJE,-6),L_Data,"&lt;="&amp;CFG_HOJE,L_Status,"REALIZADO")/6</f>
        <v>0</v>
      </c>
    </row>
    <row r="12" customFormat="false" ht="15" hidden="false" customHeight="false" outlineLevel="0" collapsed="false">
      <c r="A12" s="47" t="s">
        <v>493</v>
      </c>
      <c r="B12" s="10" t="n">
        <f aca="false">SUMIFS(L_VDesp,L_Data,"&gt;="&amp;EDATE(CFG_HOJE,-6),L_Data,"&lt;"&amp;DATE(YEAR(CFG_HOJE),MONTH(CFG_HOJE),1),L_Status,"REALIZADO")/6</f>
        <v>0</v>
      </c>
    </row>
    <row r="13" customFormat="false" ht="15" hidden="false" customHeight="false" outlineLevel="0" collapsed="false">
      <c r="A13" s="47" t="s">
        <v>494</v>
      </c>
      <c r="B13" s="10" t="n">
        <f aca="false">SUMIFS(L_VDesp,L_Data,"&gt;="&amp;DATE(YEAR(CFG_HOJE),MONTH(CFG_HOJE),1),L_Data,"&lt;="&amp;EOMONTH(CFG_HOJE,0),L_Status,"REALIZADO")</f>
        <v>0</v>
      </c>
    </row>
    <row r="14" customFormat="false" ht="15" hidden="false" customHeight="false" outlineLevel="0" collapsed="false">
      <c r="A14" s="47" t="s">
        <v>495</v>
      </c>
      <c r="B14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0</v>
      </c>
      <c r="C14" s="53" t="s">
        <v>496</v>
      </c>
    </row>
    <row r="15" customFormat="false" ht="15" hidden="false" customHeight="false" outlineLevel="0" collapsed="false">
      <c r="A15" s="49" t="s">
        <v>497</v>
      </c>
      <c r="B15" s="54" t="n">
        <f aca="false">IF(SUMIFS(L_VRec,L_Data,"&gt;="&amp;EDATE(CFG_HOJE,-6),L_Data,"&lt;="&amp;CFG_HOJE,L_Status,"REALIZADO")/6=0,0,1-(SUMIFS(L_VDesp,L_Data,"&gt;="&amp;EDATE(CFG_HOJE,-6),L_Data,"&lt;="&amp;CFG_HOJE,L_Status,"REALIZADO")/6)/(SUMIFS(L_VRec,L_Data,"&gt;="&amp;EDATE(CFG_HOJE,-6),L_Data,"&lt;="&amp;CFG_HOJE,L_Status,"REALIZADO")/6))</f>
        <v>0</v>
      </c>
    </row>
    <row r="17" customFormat="false" ht="19.5" hidden="false" customHeight="true" outlineLevel="0" collapsed="false">
      <c r="A17" s="3" t="s">
        <v>498</v>
      </c>
      <c r="B17" s="3"/>
      <c r="C17" s="3"/>
    </row>
    <row r="18" customFormat="false" ht="15" hidden="false" customHeight="false" outlineLevel="0" collapsed="false">
      <c r="A18" s="49" t="s">
        <v>499</v>
      </c>
      <c r="B18" s="50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0</v>
      </c>
    </row>
    <row r="19" customFormat="false" ht="15" hidden="false" customHeight="false" outlineLevel="0" collapsed="false">
      <c r="A19" s="49" t="s">
        <v>500</v>
      </c>
      <c r="B19" s="54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</v>
      </c>
      <c r="C19" s="53" t="s">
        <v>501</v>
      </c>
    </row>
    <row r="20" customFormat="false" ht="15" hidden="false" customHeight="false" outlineLevel="0" collapsed="false">
      <c r="A20" s="47" t="s">
        <v>502</v>
      </c>
      <c r="B20" s="10" t="n">
        <f aca="false">SUMIFS(P_VALOR,P_STATUS,"PROJETADA")+SUMIFS(P_VALOR,P_STATUS,"ABERTA")+SUMIFS(P_VALOR,P_STATUS,"ATRASADA")</f>
        <v>0</v>
      </c>
    </row>
    <row r="21" customFormat="false" ht="15" hidden="false" customHeight="false" outlineLevel="0" collapsed="false">
      <c r="A21" s="47" t="s">
        <v>503</v>
      </c>
      <c r="B21" s="10" t="n">
        <f aca="false">MAX(PJ_SAIDAS)</f>
        <v>0</v>
      </c>
    </row>
    <row r="22" customFormat="false" ht="15" hidden="false" customHeight="false" outlineLevel="0" collapsed="false">
      <c r="A22" s="47" t="s">
        <v>504</v>
      </c>
      <c r="B22" s="43" t="str">
        <f aca="false">IF(MAX(PJ_SAIDAS)=0,"-",INDEX(PJ_COMP,MATCH(MAX(PJ_SAIDAS),PJ_SAIDAS,0)))</f>
        <v>-</v>
      </c>
    </row>
    <row r="23" customFormat="false" ht="15" hidden="false" customHeight="false" outlineLevel="0" collapsed="false">
      <c r="A23" s="49" t="s">
        <v>505</v>
      </c>
      <c r="B23" s="50" t="n">
        <f aca="false">MIN(PJ_SALDO)</f>
        <v>0</v>
      </c>
    </row>
    <row r="24" customFormat="false" ht="15" hidden="false" customHeight="false" outlineLevel="0" collapsed="false">
      <c r="A24" s="47" t="s">
        <v>506</v>
      </c>
      <c r="B24" s="43" t="n">
        <f aca="false">INDEX(PJ_COMP,MATCH(MIN(PJ_SALDO),PJ_SALDO,0))</f>
        <v>202609</v>
      </c>
    </row>
    <row r="26" customFormat="false" ht="19.5" hidden="false" customHeight="true" outlineLevel="0" collapsed="false">
      <c r="A26" s="3" t="s">
        <v>507</v>
      </c>
      <c r="B26" s="3"/>
      <c r="C26" s="3"/>
    </row>
    <row r="27" customFormat="false" ht="15" hidden="false" customHeight="false" outlineLevel="0" collapsed="false">
      <c r="A27" s="49" t="s">
        <v>508</v>
      </c>
      <c r="B27" s="50" t="n">
        <f aca="false">PAT_PL_FIN</f>
        <v>0</v>
      </c>
    </row>
    <row r="28" customFormat="false" ht="15" hidden="false" customHeight="false" outlineLevel="0" collapsed="false">
      <c r="A28" s="49" t="s">
        <v>509</v>
      </c>
      <c r="B28" s="50" t="n">
        <f aca="false">PAT_PL_TOTAL</f>
        <v>0</v>
      </c>
    </row>
    <row r="29" customFormat="false" ht="15" hidden="false" customHeight="false" outlineLevel="0" collapsed="false">
      <c r="A29" s="47" t="s">
        <v>510</v>
      </c>
      <c r="B29" s="10" t="n">
        <f aca="false">IFERROR(INDEX(PT_PLTOTAL,MATCH(YEAR(EDATE(CFG_HOJE,-6))*100+MONTH(EDATE(CFG_HOJE,-6)),PT_COMP,0)),0)</f>
        <v>0</v>
      </c>
    </row>
    <row r="30" customFormat="false" ht="15" hidden="false" customHeight="false" outlineLevel="0" collapsed="false">
      <c r="A30" s="47" t="s">
        <v>511</v>
      </c>
      <c r="B30" s="10" t="n">
        <f aca="false">IFERROR(INDEX(PT_PLTOTAL,MATCH(YEAR(CFG_HOJE)*100+MONTH(CFG_HOJE),PT_COMP,0)),0)-IFERROR(INDEX(PT_PLTOTAL,MATCH(YEAR(EDATE(CFG_HOJE,-6))*100+MONTH(EDATE(CFG_HOJE,-6)),PT_COMP,0)),0)</f>
        <v>0</v>
      </c>
    </row>
    <row r="31" customFormat="false" ht="15" hidden="false" customHeight="false" outlineLevel="0" collapsed="false">
      <c r="A31" s="49" t="s">
        <v>512</v>
      </c>
      <c r="B31" s="19" t="str">
        <f aca="false">IF($B30&gt;0,"CRESCENTE",IF($B30&lt;0,"DECRESCENTE","ESTAVEL"))</f>
        <v>ESTAVEL</v>
      </c>
    </row>
    <row r="33" customFormat="false" ht="19.5" hidden="false" customHeight="true" outlineLevel="0" collapsed="false">
      <c r="A33" s="3" t="s">
        <v>513</v>
      </c>
      <c r="B33" s="3"/>
      <c r="C33" s="3"/>
    </row>
    <row r="34" customFormat="false" ht="15" hidden="false" customHeight="false" outlineLevel="0" collapsed="false">
      <c r="A34" s="49" t="s">
        <v>514</v>
      </c>
      <c r="B34" s="50" t="n">
        <f aca="false">SUM(I_SALDO)</f>
        <v>0</v>
      </c>
    </row>
    <row r="35" customFormat="false" ht="15" hidden="false" customHeight="false" outlineLevel="0" collapsed="false">
      <c r="A35" s="47" t="s">
        <v>515</v>
      </c>
      <c r="B35" s="10" t="n">
        <f aca="false">SUM(I_REND)</f>
        <v>0</v>
      </c>
    </row>
    <row r="36" customFormat="false" ht="15" hidden="false" customHeight="false" outlineLevel="0" collapsed="false">
      <c r="A36" s="47" t="s">
        <v>516</v>
      </c>
      <c r="B36" s="10" t="n">
        <f aca="false">SUM(I_RENDPROJ)</f>
        <v>0</v>
      </c>
      <c r="C36" s="53" t="s">
        <v>517</v>
      </c>
    </row>
    <row r="37" customFormat="false" ht="15" hidden="false" customHeight="false" outlineLevel="0" collapsed="false">
      <c r="A37" s="47" t="s">
        <v>518</v>
      </c>
      <c r="B37" s="43" t="n">
        <f aca="false">COUNTIFS(I_VENC,"&gt;="&amp;CFG_HOJE,I_VENC,"&lt;="&amp;CFG_HOJE+CFG_DIAS_INV)</f>
        <v>0</v>
      </c>
    </row>
    <row r="38" customFormat="false" ht="15" hidden="false" customHeight="false" outlineLevel="0" collapsed="false">
      <c r="A38" s="47" t="s">
        <v>519</v>
      </c>
      <c r="B38" s="43" t="n">
        <f aca="false">COUNTIF(M_STATUS,"Ativa")</f>
        <v>0</v>
      </c>
    </row>
    <row r="39" customFormat="false" ht="15" hidden="false" customHeight="false" outlineLevel="0" collapsed="false">
      <c r="A39" s="47" t="s">
        <v>520</v>
      </c>
      <c r="B39" s="43" t="n">
        <f aca="false">SUMPRODUCT((M_STATUS="Ativa")*(M_PCT&gt;=0.8))</f>
        <v>0</v>
      </c>
    </row>
    <row r="40" customFormat="false" ht="15" hidden="false" customHeight="false" outlineLevel="0" collapsed="false">
      <c r="A40" s="47" t="s">
        <v>521</v>
      </c>
      <c r="B40" s="10" t="n">
        <f aca="false">SUM(M_RESERV)</f>
        <v>0</v>
      </c>
    </row>
    <row r="41" customFormat="false" ht="15" hidden="false" customHeight="false" outlineLevel="0" collapsed="false">
      <c r="A41" s="47" t="s">
        <v>522</v>
      </c>
      <c r="B41" s="10" t="n">
        <f aca="false">SUMIFS(M_FALTA,M_STATUS,"Ativa")</f>
        <v>0</v>
      </c>
    </row>
  </sheetData>
  <mergeCells count="7">
    <mergeCell ref="A1:C1"/>
    <mergeCell ref="A2:C2"/>
    <mergeCell ref="A4:C4"/>
    <mergeCell ref="A10:C10"/>
    <mergeCell ref="A17:C17"/>
    <mergeCell ref="A26:C26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9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523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524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525</v>
      </c>
      <c r="B4" s="55" t="n">
        <f aca="false">COUNTIF($D$8:$D$47,"ALERTA")+COUNTIF($G$51:$G$90,"ALERTA")+COUNTIF($D$94:$D$96,"ALERTA")+COUNTIF($E$100:$E$139,"ALERTA")+COUNTIF($E$143:$E$182,"ALERTA")+COUNTIF($D$186:$D$193,"ALERTA")</f>
        <v>0</v>
      </c>
    </row>
    <row r="6" customFormat="false" ht="19.5" hidden="false" customHeight="true" outlineLevel="0" collapsed="false">
      <c r="A6" s="3" t="s">
        <v>526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33</v>
      </c>
      <c r="B7" s="8" t="s">
        <v>174</v>
      </c>
      <c r="C7" s="8" t="s">
        <v>527</v>
      </c>
      <c r="D7" s="8" t="s">
        <v>44</v>
      </c>
    </row>
    <row r="8" customFormat="false" ht="15" hidden="false" customHeight="false" outlineLevel="0" collapsed="false">
      <c r="A8" s="9" t="str">
        <f aca="false">IF(CAD_Contas!$A5="","",CAD_Contas!$B5)</f>
        <v/>
      </c>
      <c r="B8" s="10" t="str">
        <f aca="false">IF(CAD_Contas!$A5="","",CAD_Contas!$L5)</f>
        <v/>
      </c>
      <c r="C8" s="10" t="str">
        <f aca="false">IF(CAD_Contas!$A5="","",CFG_SALDO_MIN)</f>
        <v/>
      </c>
      <c r="D8" s="9" t="str">
        <f aca="false">IF($A8="","",IF($B8&lt;$C8,"ALERTA","OK"))</f>
        <v/>
      </c>
    </row>
    <row r="9" customFormat="false" ht="15" hidden="false" customHeight="false" outlineLevel="0" collapsed="false">
      <c r="A9" s="9" t="str">
        <f aca="false">IF(CAD_Contas!$A6="","",CAD_Contas!$B6)</f>
        <v/>
      </c>
      <c r="B9" s="10" t="str">
        <f aca="false">IF(CAD_Contas!$A6="","",CAD_Contas!$L6)</f>
        <v/>
      </c>
      <c r="C9" s="10" t="str">
        <f aca="false">IF(CAD_Contas!$A6="","",CFG_SALDO_MIN)</f>
        <v/>
      </c>
      <c r="D9" s="9" t="str">
        <f aca="false">IF($A9="","",IF($B9&lt;$C9,"ALERTA","OK"))</f>
        <v/>
      </c>
    </row>
    <row r="10" customFormat="false" ht="15" hidden="false" customHeight="false" outlineLevel="0" collapsed="false">
      <c r="A10" s="9" t="str">
        <f aca="false">IF(CAD_Contas!$A7="","",CAD_Contas!$B7)</f>
        <v/>
      </c>
      <c r="B10" s="10" t="str">
        <f aca="false">IF(CAD_Contas!$A7="","",CAD_Contas!$L7)</f>
        <v/>
      </c>
      <c r="C10" s="10" t="str">
        <f aca="false">IF(CAD_Contas!$A7="","",CFG_SALDO_MIN)</f>
        <v/>
      </c>
      <c r="D10" s="9" t="str">
        <f aca="false">IF($A10="","",IF($B10&lt;$C10,"ALERTA","OK"))</f>
        <v/>
      </c>
    </row>
    <row r="11" customFormat="false" ht="15" hidden="false" customHeight="false" outlineLevel="0" collapsed="false">
      <c r="A11" s="9" t="str">
        <f aca="false">IF(CAD_Contas!$A8="","",CAD_Contas!$B8)</f>
        <v/>
      </c>
      <c r="B11" s="10" t="str">
        <f aca="false">IF(CAD_Contas!$A8="","",CAD_Contas!$L8)</f>
        <v/>
      </c>
      <c r="C11" s="10" t="str">
        <f aca="false">IF(CAD_Contas!$A8="","",CFG_SALDO_MIN)</f>
        <v/>
      </c>
      <c r="D11" s="9" t="str">
        <f aca="false">IF($A11="","",IF($B11&lt;$C11,"ALERTA","OK"))</f>
        <v/>
      </c>
    </row>
    <row r="12" customFormat="false" ht="15" hidden="false" customHeight="false" outlineLevel="0" collapsed="false">
      <c r="A12" s="9" t="str">
        <f aca="false">IF(CAD_Contas!$A9="","",CAD_Contas!$B9)</f>
        <v/>
      </c>
      <c r="B12" s="10" t="str">
        <f aca="false">IF(CAD_Contas!$A9="","",CAD_Contas!$L9)</f>
        <v/>
      </c>
      <c r="C12" s="10" t="str">
        <f aca="false">IF(CAD_Contas!$A9="","",CFG_SALDO_MIN)</f>
        <v/>
      </c>
      <c r="D12" s="9" t="str">
        <f aca="false">IF($A12="","",IF($B12&lt;$C12,"ALERTA","OK"))</f>
        <v/>
      </c>
    </row>
    <row r="13" customFormat="false" ht="15" hidden="false" customHeight="false" outlineLevel="0" collapsed="false">
      <c r="A13" s="9" t="str">
        <f aca="false">IF(CAD_Contas!$A10="","",CAD_Contas!$B10)</f>
        <v/>
      </c>
      <c r="B13" s="10" t="str">
        <f aca="false">IF(CAD_Contas!$A10="","",CAD_Contas!$L10)</f>
        <v/>
      </c>
      <c r="C13" s="10" t="str">
        <f aca="false">IF(CAD_Contas!$A10="","",CFG_SALDO_MIN)</f>
        <v/>
      </c>
      <c r="D13" s="9" t="str">
        <f aca="false">IF($A13="","",IF($B13&lt;$C13,"ALERTA","OK"))</f>
        <v/>
      </c>
    </row>
    <row r="14" customFormat="false" ht="15" hidden="false" customHeight="false" outlineLevel="0" collapsed="false">
      <c r="A14" s="9" t="str">
        <f aca="false">IF(CAD_Contas!$A11="","",CAD_Contas!$B11)</f>
        <v/>
      </c>
      <c r="B14" s="10" t="str">
        <f aca="false">IF(CAD_Contas!$A11="","",CAD_Contas!$L11)</f>
        <v/>
      </c>
      <c r="C14" s="10" t="str">
        <f aca="false">IF(CAD_Contas!$A11="","",CFG_SALDO_MIN)</f>
        <v/>
      </c>
      <c r="D14" s="9" t="str">
        <f aca="false">IF($A14="","",IF($B14&lt;$C14,"ALERTA","OK"))</f>
        <v/>
      </c>
    </row>
    <row r="15" customFormat="false" ht="15" hidden="false" customHeight="false" outlineLevel="0" collapsed="false">
      <c r="A15" s="9" t="str">
        <f aca="false">IF(CAD_Contas!$A12="","",CAD_Contas!$B12)</f>
        <v/>
      </c>
      <c r="B15" s="10" t="str">
        <f aca="false">IF(CAD_Contas!$A12="","",CAD_Contas!$L12)</f>
        <v/>
      </c>
      <c r="C15" s="10" t="str">
        <f aca="false">IF(CAD_Contas!$A12="","",CFG_SALDO_MIN)</f>
        <v/>
      </c>
      <c r="D15" s="9" t="str">
        <f aca="false">IF($A15="","",IF($B15&lt;$C15,"ALERTA","OK"))</f>
        <v/>
      </c>
    </row>
    <row r="16" customFormat="false" ht="15" hidden="false" customHeight="false" outlineLevel="0" collapsed="false">
      <c r="A16" s="9" t="str">
        <f aca="false">IF(CAD_Contas!$A13="","",CAD_Contas!$B13)</f>
        <v/>
      </c>
      <c r="B16" s="10" t="str">
        <f aca="false">IF(CAD_Contas!$A13="","",CAD_Contas!$L13)</f>
        <v/>
      </c>
      <c r="C16" s="10" t="str">
        <f aca="false">IF(CAD_Contas!$A13="","",CFG_SALDO_MIN)</f>
        <v/>
      </c>
      <c r="D16" s="9" t="str">
        <f aca="false">IF($A16="","",IF($B16&lt;$C16,"ALERTA","OK"))</f>
        <v/>
      </c>
    </row>
    <row r="17" customFormat="false" ht="15" hidden="false" customHeight="false" outlineLevel="0" collapsed="false">
      <c r="A17" s="9" t="str">
        <f aca="false">IF(CAD_Contas!$A14="","",CAD_Contas!$B14)</f>
        <v/>
      </c>
      <c r="B17" s="10" t="str">
        <f aca="false">IF(CAD_Contas!$A14="","",CAD_Contas!$L14)</f>
        <v/>
      </c>
      <c r="C17" s="10" t="str">
        <f aca="false">IF(CAD_Contas!$A14="","",CFG_SALDO_MIN)</f>
        <v/>
      </c>
      <c r="D17" s="9" t="str">
        <f aca="false">IF($A17="","",IF($B17&lt;$C17,"ALERTA","OK"))</f>
        <v/>
      </c>
    </row>
    <row r="18" customFormat="false" ht="15" hidden="false" customHeight="false" outlineLevel="0" collapsed="false">
      <c r="A18" s="9" t="str">
        <f aca="false">IF(CAD_Contas!$A15="","",CAD_Contas!$B15)</f>
        <v/>
      </c>
      <c r="B18" s="10" t="str">
        <f aca="false">IF(CAD_Contas!$A15="","",CAD_Contas!$L15)</f>
        <v/>
      </c>
      <c r="C18" s="10" t="str">
        <f aca="false">IF(CAD_Contas!$A15="","",CFG_SALDO_MIN)</f>
        <v/>
      </c>
      <c r="D18" s="9" t="str">
        <f aca="false">IF($A18="","",IF($B18&lt;$C18,"ALERTA","OK"))</f>
        <v/>
      </c>
    </row>
    <row r="19" customFormat="false" ht="15" hidden="false" customHeight="false" outlineLevel="0" collapsed="false">
      <c r="A19" s="9" t="str">
        <f aca="false">IF(CAD_Contas!$A16="","",CAD_Contas!$B16)</f>
        <v/>
      </c>
      <c r="B19" s="10" t="str">
        <f aca="false">IF(CAD_Contas!$A16="","",CAD_Contas!$L16)</f>
        <v/>
      </c>
      <c r="C19" s="10" t="str">
        <f aca="false">IF(CAD_Contas!$A16="","",CFG_SALDO_MIN)</f>
        <v/>
      </c>
      <c r="D19" s="9" t="str">
        <f aca="false">IF($A19="","",IF($B19&lt;$C19,"ALERTA","OK"))</f>
        <v/>
      </c>
    </row>
    <row r="20" customFormat="false" ht="15" hidden="false" customHeight="false" outlineLevel="0" collapsed="false">
      <c r="A20" s="9" t="str">
        <f aca="false">IF(CAD_Contas!$A17="","",CAD_Contas!$B17)</f>
        <v/>
      </c>
      <c r="B20" s="10" t="str">
        <f aca="false">IF(CAD_Contas!$A17="","",CAD_Contas!$L17)</f>
        <v/>
      </c>
      <c r="C20" s="10" t="str">
        <f aca="false">IF(CAD_Contas!$A17="","",CFG_SALDO_MIN)</f>
        <v/>
      </c>
      <c r="D20" s="9" t="str">
        <f aca="false">IF($A20="","",IF($B20&lt;$C20,"ALERTA","OK"))</f>
        <v/>
      </c>
    </row>
    <row r="21" customFormat="false" ht="15" hidden="false" customHeight="false" outlineLevel="0" collapsed="false">
      <c r="A21" s="9" t="str">
        <f aca="false">IF(CAD_Contas!$A18="","",CAD_Contas!$B18)</f>
        <v/>
      </c>
      <c r="B21" s="10" t="str">
        <f aca="false">IF(CAD_Contas!$A18="","",CAD_Contas!$L18)</f>
        <v/>
      </c>
      <c r="C21" s="10" t="str">
        <f aca="false">IF(CAD_Contas!$A18="","",CFG_SALDO_MIN)</f>
        <v/>
      </c>
      <c r="D21" s="9" t="str">
        <f aca="false">IF($A21="","",IF($B21&lt;$C21,"ALERTA","OK"))</f>
        <v/>
      </c>
    </row>
    <row r="22" customFormat="false" ht="15" hidden="false" customHeight="false" outlineLevel="0" collapsed="false">
      <c r="A22" s="9" t="str">
        <f aca="false">IF(CAD_Contas!$A19="","",CAD_Contas!$B19)</f>
        <v/>
      </c>
      <c r="B22" s="10" t="str">
        <f aca="false">IF(CAD_Contas!$A19="","",CAD_Contas!$L19)</f>
        <v/>
      </c>
      <c r="C22" s="10" t="str">
        <f aca="false">IF(CAD_Contas!$A19="","",CFG_SALDO_MIN)</f>
        <v/>
      </c>
      <c r="D22" s="9" t="str">
        <f aca="false">IF($A22="","",IF($B22&lt;$C22,"ALERTA","OK"))</f>
        <v/>
      </c>
    </row>
    <row r="23" customFormat="false" ht="15" hidden="false" customHeight="false" outlineLevel="0" collapsed="false">
      <c r="A23" s="9" t="str">
        <f aca="false">IF(CAD_Contas!$A20="","",CAD_Contas!$B20)</f>
        <v/>
      </c>
      <c r="B23" s="10" t="str">
        <f aca="false">IF(CAD_Contas!$A20="","",CAD_Contas!$L20)</f>
        <v/>
      </c>
      <c r="C23" s="10" t="str">
        <f aca="false">IF(CAD_Contas!$A20="","",CFG_SALDO_MIN)</f>
        <v/>
      </c>
      <c r="D23" s="9" t="str">
        <f aca="false">IF($A23="","",IF($B23&lt;$C23,"ALERTA","OK"))</f>
        <v/>
      </c>
    </row>
    <row r="24" customFormat="false" ht="15" hidden="false" customHeight="false" outlineLevel="0" collapsed="false">
      <c r="A24" s="9" t="str">
        <f aca="false">IF(CAD_Contas!$A21="","",CAD_Contas!$B21)</f>
        <v/>
      </c>
      <c r="B24" s="10" t="str">
        <f aca="false">IF(CAD_Contas!$A21="","",CAD_Contas!$L21)</f>
        <v/>
      </c>
      <c r="C24" s="10" t="str">
        <f aca="false">IF(CAD_Contas!$A21="","",CFG_SALDO_MIN)</f>
        <v/>
      </c>
      <c r="D24" s="9" t="str">
        <f aca="false">IF($A24="","",IF($B24&lt;$C24,"ALERTA","OK"))</f>
        <v/>
      </c>
    </row>
    <row r="25" customFormat="false" ht="15" hidden="false" customHeight="false" outlineLevel="0" collapsed="false">
      <c r="A25" s="9" t="str">
        <f aca="false">IF(CAD_Contas!$A22="","",CAD_Contas!$B22)</f>
        <v/>
      </c>
      <c r="B25" s="10" t="str">
        <f aca="false">IF(CAD_Contas!$A22="","",CAD_Contas!$L22)</f>
        <v/>
      </c>
      <c r="C25" s="10" t="str">
        <f aca="false">IF(CAD_Contas!$A22="","",CFG_SALDO_MIN)</f>
        <v/>
      </c>
      <c r="D25" s="9" t="str">
        <f aca="false">IF($A25="","",IF($B25&lt;$C25,"ALERTA","OK"))</f>
        <v/>
      </c>
    </row>
    <row r="26" customFormat="false" ht="15" hidden="false" customHeight="false" outlineLevel="0" collapsed="false">
      <c r="A26" s="9" t="str">
        <f aca="false">IF(CAD_Contas!$A23="","",CAD_Contas!$B23)</f>
        <v/>
      </c>
      <c r="B26" s="10" t="str">
        <f aca="false">IF(CAD_Contas!$A23="","",CAD_Contas!$L23)</f>
        <v/>
      </c>
      <c r="C26" s="10" t="str">
        <f aca="false">IF(CAD_Contas!$A23="","",CFG_SALDO_MIN)</f>
        <v/>
      </c>
      <c r="D26" s="9" t="str">
        <f aca="false">IF($A26="","",IF($B26&lt;$C26,"ALERTA","OK"))</f>
        <v/>
      </c>
    </row>
    <row r="27" customFormat="false" ht="15" hidden="false" customHeight="false" outlineLevel="0" collapsed="false">
      <c r="A27" s="9" t="str">
        <f aca="false">IF(CAD_Contas!$A24="","",CAD_Contas!$B24)</f>
        <v/>
      </c>
      <c r="B27" s="10" t="str">
        <f aca="false">IF(CAD_Contas!$A24="","",CAD_Contas!$L24)</f>
        <v/>
      </c>
      <c r="C27" s="10" t="str">
        <f aca="false">IF(CAD_Contas!$A24="","",CFG_SALDO_MIN)</f>
        <v/>
      </c>
      <c r="D27" s="9" t="str">
        <f aca="false">IF($A27="","",IF($B27&lt;$C27,"ALERTA","OK"))</f>
        <v/>
      </c>
    </row>
    <row r="28" customFormat="false" ht="15" hidden="false" customHeight="false" outlineLevel="0" collapsed="false">
      <c r="A28" s="9" t="str">
        <f aca="false">IF(CAD_Contas!$A25="","",CAD_Contas!$B25)</f>
        <v/>
      </c>
      <c r="B28" s="10" t="str">
        <f aca="false">IF(CAD_Contas!$A25="","",CAD_Contas!$L25)</f>
        <v/>
      </c>
      <c r="C28" s="10" t="str">
        <f aca="false">IF(CAD_Contas!$A25="","",CFG_SALDO_MIN)</f>
        <v/>
      </c>
      <c r="D28" s="9" t="str">
        <f aca="false">IF($A28="","",IF($B28&lt;$C28,"ALERTA","OK"))</f>
        <v/>
      </c>
    </row>
    <row r="29" customFormat="false" ht="15" hidden="false" customHeight="false" outlineLevel="0" collapsed="false">
      <c r="A29" s="9" t="str">
        <f aca="false">IF(CAD_Contas!$A26="","",CAD_Contas!$B26)</f>
        <v/>
      </c>
      <c r="B29" s="10" t="str">
        <f aca="false">IF(CAD_Contas!$A26="","",CAD_Contas!$L26)</f>
        <v/>
      </c>
      <c r="C29" s="10" t="str">
        <f aca="false">IF(CAD_Contas!$A26="","",CFG_SALDO_MIN)</f>
        <v/>
      </c>
      <c r="D29" s="9" t="str">
        <f aca="false">IF($A29="","",IF($B29&lt;$C29,"ALERTA","OK"))</f>
        <v/>
      </c>
    </row>
    <row r="30" customFormat="false" ht="15" hidden="false" customHeight="false" outlineLevel="0" collapsed="false">
      <c r="A30" s="9" t="str">
        <f aca="false">IF(CAD_Contas!$A27="","",CAD_Contas!$B27)</f>
        <v/>
      </c>
      <c r="B30" s="10" t="str">
        <f aca="false">IF(CAD_Contas!$A27="","",CAD_Contas!$L27)</f>
        <v/>
      </c>
      <c r="C30" s="10" t="str">
        <f aca="false">IF(CAD_Contas!$A27="","",CFG_SALDO_MIN)</f>
        <v/>
      </c>
      <c r="D30" s="9" t="str">
        <f aca="false">IF($A30="","",IF($B30&lt;$C30,"ALERTA","OK"))</f>
        <v/>
      </c>
    </row>
    <row r="31" customFormat="false" ht="15" hidden="false" customHeight="false" outlineLevel="0" collapsed="false">
      <c r="A31" s="9" t="str">
        <f aca="false">IF(CAD_Contas!$A28="","",CAD_Contas!$B28)</f>
        <v/>
      </c>
      <c r="B31" s="10" t="str">
        <f aca="false">IF(CAD_Contas!$A28="","",CAD_Contas!$L28)</f>
        <v/>
      </c>
      <c r="C31" s="10" t="str">
        <f aca="false">IF(CAD_Contas!$A28="","",CFG_SALDO_MIN)</f>
        <v/>
      </c>
      <c r="D31" s="9" t="str">
        <f aca="false">IF($A31="","",IF($B31&lt;$C31,"ALERTA","OK"))</f>
        <v/>
      </c>
    </row>
    <row r="32" customFormat="false" ht="15" hidden="false" customHeight="false" outlineLevel="0" collapsed="false">
      <c r="A32" s="9" t="str">
        <f aca="false">IF(CAD_Contas!$A29="","",CAD_Contas!$B29)</f>
        <v/>
      </c>
      <c r="B32" s="10" t="str">
        <f aca="false">IF(CAD_Contas!$A29="","",CAD_Contas!$L29)</f>
        <v/>
      </c>
      <c r="C32" s="10" t="str">
        <f aca="false">IF(CAD_Contas!$A29="","",CFG_SALDO_MIN)</f>
        <v/>
      </c>
      <c r="D32" s="9" t="str">
        <f aca="false">IF($A32="","",IF($B32&lt;$C32,"ALERTA","OK"))</f>
        <v/>
      </c>
    </row>
    <row r="33" customFormat="false" ht="15" hidden="false" customHeight="false" outlineLevel="0" collapsed="false">
      <c r="A33" s="9" t="str">
        <f aca="false">IF(CAD_Contas!$A30="","",CAD_Contas!$B30)</f>
        <v/>
      </c>
      <c r="B33" s="10" t="str">
        <f aca="false">IF(CAD_Contas!$A30="","",CAD_Contas!$L30)</f>
        <v/>
      </c>
      <c r="C33" s="10" t="str">
        <f aca="false">IF(CAD_Contas!$A30="","",CFG_SALDO_MIN)</f>
        <v/>
      </c>
      <c r="D33" s="9" t="str">
        <f aca="false">IF($A33="","",IF($B33&lt;$C33,"ALERTA","OK"))</f>
        <v/>
      </c>
    </row>
    <row r="34" customFormat="false" ht="15" hidden="false" customHeight="false" outlineLevel="0" collapsed="false">
      <c r="A34" s="9" t="str">
        <f aca="false">IF(CAD_Contas!$A31="","",CAD_Contas!$B31)</f>
        <v/>
      </c>
      <c r="B34" s="10" t="str">
        <f aca="false">IF(CAD_Contas!$A31="","",CAD_Contas!$L31)</f>
        <v/>
      </c>
      <c r="C34" s="10" t="str">
        <f aca="false">IF(CAD_Contas!$A31="","",CFG_SALDO_MIN)</f>
        <v/>
      </c>
      <c r="D34" s="9" t="str">
        <f aca="false">IF($A34="","",IF($B34&lt;$C34,"ALERTA","OK"))</f>
        <v/>
      </c>
    </row>
    <row r="35" customFormat="false" ht="15" hidden="false" customHeight="false" outlineLevel="0" collapsed="false">
      <c r="A35" s="9" t="str">
        <f aca="false">IF(CAD_Contas!$A32="","",CAD_Contas!$B32)</f>
        <v/>
      </c>
      <c r="B35" s="10" t="str">
        <f aca="false">IF(CAD_Contas!$A32="","",CAD_Contas!$L32)</f>
        <v/>
      </c>
      <c r="C35" s="10" t="str">
        <f aca="false">IF(CAD_Contas!$A32="","",CFG_SALDO_MIN)</f>
        <v/>
      </c>
      <c r="D35" s="9" t="str">
        <f aca="false">IF($A35="","",IF($B35&lt;$C35,"ALERTA","OK"))</f>
        <v/>
      </c>
    </row>
    <row r="36" customFormat="false" ht="15" hidden="false" customHeight="false" outlineLevel="0" collapsed="false">
      <c r="A36" s="9" t="str">
        <f aca="false">IF(CAD_Contas!$A33="","",CAD_Contas!$B33)</f>
        <v/>
      </c>
      <c r="B36" s="10" t="str">
        <f aca="false">IF(CAD_Contas!$A33="","",CAD_Contas!$L33)</f>
        <v/>
      </c>
      <c r="C36" s="10" t="str">
        <f aca="false">IF(CAD_Contas!$A33="","",CFG_SALDO_MIN)</f>
        <v/>
      </c>
      <c r="D36" s="9" t="str">
        <f aca="false">IF($A36="","",IF($B36&lt;$C36,"ALERTA","OK"))</f>
        <v/>
      </c>
    </row>
    <row r="37" customFormat="false" ht="15" hidden="false" customHeight="false" outlineLevel="0" collapsed="false">
      <c r="A37" s="9" t="str">
        <f aca="false">IF(CAD_Contas!$A34="","",CAD_Contas!$B34)</f>
        <v/>
      </c>
      <c r="B37" s="10" t="str">
        <f aca="false">IF(CAD_Contas!$A34="","",CAD_Contas!$L34)</f>
        <v/>
      </c>
      <c r="C37" s="10" t="str">
        <f aca="false">IF(CAD_Contas!$A34="","",CFG_SALDO_MIN)</f>
        <v/>
      </c>
      <c r="D37" s="9" t="str">
        <f aca="false">IF($A37="","",IF($B37&lt;$C37,"ALERTA","OK"))</f>
        <v/>
      </c>
    </row>
    <row r="38" customFormat="false" ht="15" hidden="false" customHeight="false" outlineLevel="0" collapsed="false">
      <c r="A38" s="9" t="str">
        <f aca="false">IF(CAD_Contas!$A35="","",CAD_Contas!$B35)</f>
        <v/>
      </c>
      <c r="B38" s="10" t="str">
        <f aca="false">IF(CAD_Contas!$A35="","",CAD_Contas!$L35)</f>
        <v/>
      </c>
      <c r="C38" s="10" t="str">
        <f aca="false">IF(CAD_Contas!$A35="","",CFG_SALDO_MIN)</f>
        <v/>
      </c>
      <c r="D38" s="9" t="str">
        <f aca="false">IF($A38="","",IF($B38&lt;$C38,"ALERTA","OK"))</f>
        <v/>
      </c>
    </row>
    <row r="39" customFormat="false" ht="15" hidden="false" customHeight="false" outlineLevel="0" collapsed="false">
      <c r="A39" s="9" t="str">
        <f aca="false">IF(CAD_Contas!$A36="","",CAD_Contas!$B36)</f>
        <v/>
      </c>
      <c r="B39" s="10" t="str">
        <f aca="false">IF(CAD_Contas!$A36="","",CAD_Contas!$L36)</f>
        <v/>
      </c>
      <c r="C39" s="10" t="str">
        <f aca="false">IF(CAD_Contas!$A36="","",CFG_SALDO_MIN)</f>
        <v/>
      </c>
      <c r="D39" s="9" t="str">
        <f aca="false">IF($A39="","",IF($B39&lt;$C39,"ALERTA","OK"))</f>
        <v/>
      </c>
    </row>
    <row r="40" customFormat="false" ht="15" hidden="false" customHeight="false" outlineLevel="0" collapsed="false">
      <c r="A40" s="9" t="str">
        <f aca="false">IF(CAD_Contas!$A37="","",CAD_Contas!$B37)</f>
        <v/>
      </c>
      <c r="B40" s="10" t="str">
        <f aca="false">IF(CAD_Contas!$A37="","",CAD_Contas!$L37)</f>
        <v/>
      </c>
      <c r="C40" s="10" t="str">
        <f aca="false">IF(CAD_Contas!$A37="","",CFG_SALDO_MIN)</f>
        <v/>
      </c>
      <c r="D40" s="9" t="str">
        <f aca="false">IF($A40="","",IF($B40&lt;$C40,"ALERTA","OK"))</f>
        <v/>
      </c>
    </row>
    <row r="41" customFormat="false" ht="15" hidden="false" customHeight="false" outlineLevel="0" collapsed="false">
      <c r="A41" s="9" t="str">
        <f aca="false">IF(CAD_Contas!$A38="","",CAD_Contas!$B38)</f>
        <v/>
      </c>
      <c r="B41" s="10" t="str">
        <f aca="false">IF(CAD_Contas!$A38="","",CAD_Contas!$L38)</f>
        <v/>
      </c>
      <c r="C41" s="10" t="str">
        <f aca="false">IF(CAD_Contas!$A38="","",CFG_SALDO_MIN)</f>
        <v/>
      </c>
      <c r="D41" s="9" t="str">
        <f aca="false">IF($A41="","",IF($B41&lt;$C41,"ALERTA","OK"))</f>
        <v/>
      </c>
    </row>
    <row r="42" customFormat="false" ht="15" hidden="false" customHeight="false" outlineLevel="0" collapsed="false">
      <c r="A42" s="9" t="str">
        <f aca="false">IF(CAD_Contas!$A39="","",CAD_Contas!$B39)</f>
        <v/>
      </c>
      <c r="B42" s="10" t="str">
        <f aca="false">IF(CAD_Contas!$A39="","",CAD_Contas!$L39)</f>
        <v/>
      </c>
      <c r="C42" s="10" t="str">
        <f aca="false">IF(CAD_Contas!$A39="","",CFG_SALDO_MIN)</f>
        <v/>
      </c>
      <c r="D42" s="9" t="str">
        <f aca="false">IF($A42="","",IF($B42&lt;$C42,"ALERTA","OK"))</f>
        <v/>
      </c>
    </row>
    <row r="43" customFormat="false" ht="15" hidden="false" customHeight="false" outlineLevel="0" collapsed="false">
      <c r="A43" s="9" t="str">
        <f aca="false">IF(CAD_Contas!$A40="","",CAD_Contas!$B40)</f>
        <v/>
      </c>
      <c r="B43" s="10" t="str">
        <f aca="false">IF(CAD_Contas!$A40="","",CAD_Contas!$L40)</f>
        <v/>
      </c>
      <c r="C43" s="10" t="str">
        <f aca="false">IF(CAD_Contas!$A40="","",CFG_SALDO_MIN)</f>
        <v/>
      </c>
      <c r="D43" s="9" t="str">
        <f aca="false">IF($A43="","",IF($B43&lt;$C43,"ALERTA","OK"))</f>
        <v/>
      </c>
    </row>
    <row r="44" customFormat="false" ht="15" hidden="false" customHeight="false" outlineLevel="0" collapsed="false">
      <c r="A44" s="9" t="str">
        <f aca="false">IF(CAD_Contas!$A41="","",CAD_Contas!$B41)</f>
        <v/>
      </c>
      <c r="B44" s="10" t="str">
        <f aca="false">IF(CAD_Contas!$A41="","",CAD_Contas!$L41)</f>
        <v/>
      </c>
      <c r="C44" s="10" t="str">
        <f aca="false">IF(CAD_Contas!$A41="","",CFG_SALDO_MIN)</f>
        <v/>
      </c>
      <c r="D44" s="9" t="str">
        <f aca="false">IF($A44="","",IF($B44&lt;$C44,"ALERTA","OK"))</f>
        <v/>
      </c>
    </row>
    <row r="45" customFormat="false" ht="15" hidden="false" customHeight="false" outlineLevel="0" collapsed="false">
      <c r="A45" s="9" t="str">
        <f aca="false">IF(CAD_Contas!$A42="","",CAD_Contas!$B42)</f>
        <v/>
      </c>
      <c r="B45" s="10" t="str">
        <f aca="false">IF(CAD_Contas!$A42="","",CAD_Contas!$L42)</f>
        <v/>
      </c>
      <c r="C45" s="10" t="str">
        <f aca="false">IF(CAD_Contas!$A42="","",CFG_SALDO_MIN)</f>
        <v/>
      </c>
      <c r="D45" s="9" t="str">
        <f aca="false">IF($A45="","",IF($B45&lt;$C45,"ALERTA","OK"))</f>
        <v/>
      </c>
    </row>
    <row r="46" customFormat="false" ht="15" hidden="false" customHeight="false" outlineLevel="0" collapsed="false">
      <c r="A46" s="9" t="str">
        <f aca="false">IF(CAD_Contas!$A43="","",CAD_Contas!$B43)</f>
        <v/>
      </c>
      <c r="B46" s="10" t="str">
        <f aca="false">IF(CAD_Contas!$A43="","",CAD_Contas!$L43)</f>
        <v/>
      </c>
      <c r="C46" s="10" t="str">
        <f aca="false">IF(CAD_Contas!$A43="","",CFG_SALDO_MIN)</f>
        <v/>
      </c>
      <c r="D46" s="9" t="str">
        <f aca="false">IF($A46="","",IF($B46&lt;$C46,"ALERTA","OK"))</f>
        <v/>
      </c>
    </row>
    <row r="47" customFormat="false" ht="15" hidden="false" customHeight="false" outlineLevel="0" collapsed="false">
      <c r="A47" s="9" t="str">
        <f aca="false">IF(CAD_Contas!$A44="","",CAD_Contas!$B44)</f>
        <v/>
      </c>
      <c r="B47" s="10" t="str">
        <f aca="false">IF(CAD_Contas!$A44="","",CAD_Contas!$L44)</f>
        <v/>
      </c>
      <c r="C47" s="10" t="str">
        <f aca="false">IF(CAD_Contas!$A44="","",CFG_SALDO_MIN)</f>
        <v/>
      </c>
      <c r="D47" s="9" t="str">
        <f aca="false">IF($A47="","",IF($B47&lt;$C47,"ALERTA","OK"))</f>
        <v/>
      </c>
    </row>
    <row r="49" customFormat="false" ht="19.5" hidden="false" customHeight="true" outlineLevel="0" collapsed="false">
      <c r="A49" s="3" t="s">
        <v>528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406</v>
      </c>
      <c r="B50" s="8" t="s">
        <v>186</v>
      </c>
      <c r="C50" s="8" t="s">
        <v>179</v>
      </c>
      <c r="D50" s="8" t="s">
        <v>529</v>
      </c>
      <c r="E50" s="8" t="s">
        <v>530</v>
      </c>
      <c r="F50" s="8" t="s">
        <v>531</v>
      </c>
      <c r="G50" s="8" t="s">
        <v>44</v>
      </c>
    </row>
    <row r="51" customFormat="false" ht="15" hidden="false" customHeight="false" outlineLevel="0" collapsed="false">
      <c r="A51" s="9" t="str">
        <f aca="false">IF(CAD_Cartoes!$A5="","",CAD_Cartoes!$B5)</f>
        <v/>
      </c>
      <c r="B51" s="10" t="str">
        <f aca="false">IF(CAD_Cartoes!$A5="","",CAD_Cartoes!$L5)</f>
        <v/>
      </c>
      <c r="C51" s="10" t="str">
        <f aca="false">IF(CAD_Cartoes!$A5="","",CAD_Cartoes!$E5)</f>
        <v/>
      </c>
      <c r="D51" s="11" t="str">
        <f aca="false">IF(CAD_Cartoes!$A5="","",CAD_Cartoes!$M5)</f>
        <v/>
      </c>
      <c r="E51" s="44" t="str">
        <f aca="false">IF(CAD_Cartoes!$A5="","",CAD_Cartoes!$Q5)</f>
        <v/>
      </c>
      <c r="F51" s="43" t="str">
        <f aca="false">IF($A51="","",$E51-CFG_HOJE)</f>
        <v/>
      </c>
      <c r="G51" s="9" t="str">
        <f aca="false">IF($A51="","",IF($D51&gt;=CFG_PCT_CARTAO,"ALERTA",IF(AND($F51&gt;=0,$F51&lt;=CFG_DIAS_ALERTA),"ALERTA","OK")))</f>
        <v/>
      </c>
    </row>
    <row r="52" customFormat="false" ht="15" hidden="false" customHeight="false" outlineLevel="0" collapsed="false">
      <c r="A52" s="9" t="str">
        <f aca="false">IF(CAD_Cartoes!$A6="","",CAD_Cartoes!$B6)</f>
        <v/>
      </c>
      <c r="B52" s="10" t="str">
        <f aca="false">IF(CAD_Cartoes!$A6="","",CAD_Cartoes!$L6)</f>
        <v/>
      </c>
      <c r="C52" s="10" t="str">
        <f aca="false">IF(CAD_Cartoes!$A6="","",CAD_Cartoes!$E6)</f>
        <v/>
      </c>
      <c r="D52" s="11" t="str">
        <f aca="false">IF(CAD_Cartoes!$A6="","",CAD_Cartoes!$M6)</f>
        <v/>
      </c>
      <c r="E52" s="44" t="str">
        <f aca="false">IF(CAD_Cartoes!$A6="","",CAD_Cartoes!$Q6)</f>
        <v/>
      </c>
      <c r="F52" s="43" t="str">
        <f aca="false">IF($A52="","",$E52-CFG_HOJE)</f>
        <v/>
      </c>
      <c r="G52" s="9" t="str">
        <f aca="false">IF($A52="","",IF($D52&gt;=CFG_PCT_CARTAO,"ALERTA",IF(AND($F52&gt;=0,$F52&lt;=CFG_DIAS_ALERTA),"ALERTA","OK")))</f>
        <v/>
      </c>
    </row>
    <row r="53" customFormat="false" ht="15" hidden="false" customHeight="false" outlineLevel="0" collapsed="false">
      <c r="A53" s="9" t="str">
        <f aca="false">IF(CAD_Cartoes!$A7="","",CAD_Cartoes!$B7)</f>
        <v/>
      </c>
      <c r="B53" s="10" t="str">
        <f aca="false">IF(CAD_Cartoes!$A7="","",CAD_Cartoes!$L7)</f>
        <v/>
      </c>
      <c r="C53" s="10" t="str">
        <f aca="false">IF(CAD_Cartoes!$A7="","",CAD_Cartoes!$E7)</f>
        <v/>
      </c>
      <c r="D53" s="11" t="str">
        <f aca="false">IF(CAD_Cartoes!$A7="","",CAD_Cartoes!$M7)</f>
        <v/>
      </c>
      <c r="E53" s="44" t="str">
        <f aca="false">IF(CAD_Cartoes!$A7="","",CAD_Cartoes!$Q7)</f>
        <v/>
      </c>
      <c r="F53" s="43" t="str">
        <f aca="false">IF($A53="","",$E53-CFG_HOJE)</f>
        <v/>
      </c>
      <c r="G53" s="9" t="str">
        <f aca="false">IF($A53="","",IF($D53&gt;=CFG_PCT_CARTAO,"ALERTA",IF(AND($F53&gt;=0,$F53&lt;=CFG_DIAS_ALERTA),"ALERTA","OK")))</f>
        <v/>
      </c>
    </row>
    <row r="54" customFormat="false" ht="15" hidden="false" customHeight="false" outlineLevel="0" collapsed="false">
      <c r="A54" s="9" t="str">
        <f aca="false">IF(CAD_Cartoes!$A8="","",CAD_Cartoes!$B8)</f>
        <v/>
      </c>
      <c r="B54" s="10" t="str">
        <f aca="false">IF(CAD_Cartoes!$A8="","",CAD_Cartoes!$L8)</f>
        <v/>
      </c>
      <c r="C54" s="10" t="str">
        <f aca="false">IF(CAD_Cartoes!$A8="","",CAD_Cartoes!$E8)</f>
        <v/>
      </c>
      <c r="D54" s="11" t="str">
        <f aca="false">IF(CAD_Cartoes!$A8="","",CAD_Cartoes!$M8)</f>
        <v/>
      </c>
      <c r="E54" s="44" t="str">
        <f aca="false">IF(CAD_Cartoes!$A8="","",CAD_Cartoes!$Q8)</f>
        <v/>
      </c>
      <c r="F54" s="43" t="str">
        <f aca="false">IF($A54="","",$E54-CFG_HOJE)</f>
        <v/>
      </c>
      <c r="G54" s="9" t="str">
        <f aca="false">IF($A54="","",IF($D54&gt;=CFG_PCT_CARTAO,"ALERTA",IF(AND($F54&gt;=0,$F54&lt;=CFG_DIAS_ALERTA),"ALERTA","OK")))</f>
        <v/>
      </c>
    </row>
    <row r="55" customFormat="false" ht="15" hidden="false" customHeight="false" outlineLevel="0" collapsed="false">
      <c r="A55" s="9" t="str">
        <f aca="false">IF(CAD_Cartoes!$A9="","",CAD_Cartoes!$B9)</f>
        <v/>
      </c>
      <c r="B55" s="10" t="str">
        <f aca="false">IF(CAD_Cartoes!$A9="","",CAD_Cartoes!$L9)</f>
        <v/>
      </c>
      <c r="C55" s="10" t="str">
        <f aca="false">IF(CAD_Cartoes!$A9="","",CAD_Cartoes!$E9)</f>
        <v/>
      </c>
      <c r="D55" s="11" t="str">
        <f aca="false">IF(CAD_Cartoes!$A9="","",CAD_Cartoes!$M9)</f>
        <v/>
      </c>
      <c r="E55" s="44" t="str">
        <f aca="false">IF(CAD_Cartoes!$A9="","",CAD_Cartoes!$Q9)</f>
        <v/>
      </c>
      <c r="F55" s="43" t="str">
        <f aca="false">IF($A55="","",$E55-CFG_HOJE)</f>
        <v/>
      </c>
      <c r="G55" s="9" t="str">
        <f aca="false">IF($A55="","",IF($D55&gt;=CFG_PCT_CARTAO,"ALERTA",IF(AND($F55&gt;=0,$F55&lt;=CFG_DIAS_ALERTA),"ALERTA","OK")))</f>
        <v/>
      </c>
    </row>
    <row r="56" customFormat="false" ht="15" hidden="false" customHeight="false" outlineLevel="0" collapsed="false">
      <c r="A56" s="9" t="str">
        <f aca="false">IF(CAD_Cartoes!$A10="","",CAD_Cartoes!$B10)</f>
        <v/>
      </c>
      <c r="B56" s="10" t="str">
        <f aca="false">IF(CAD_Cartoes!$A10="","",CAD_Cartoes!$L10)</f>
        <v/>
      </c>
      <c r="C56" s="10" t="str">
        <f aca="false">IF(CAD_Cartoes!$A10="","",CAD_Cartoes!$E10)</f>
        <v/>
      </c>
      <c r="D56" s="11" t="str">
        <f aca="false">IF(CAD_Cartoes!$A10="","",CAD_Cartoes!$M10)</f>
        <v/>
      </c>
      <c r="E56" s="44" t="str">
        <f aca="false">IF(CAD_Cartoes!$A10="","",CAD_Cartoes!$Q10)</f>
        <v/>
      </c>
      <c r="F56" s="43" t="str">
        <f aca="false">IF($A56="","",$E56-CFG_HOJE)</f>
        <v/>
      </c>
      <c r="G56" s="9" t="str">
        <f aca="false">IF($A56="","",IF($D56&gt;=CFG_PCT_CARTAO,"ALERTA",IF(AND($F56&gt;=0,$F56&lt;=CFG_DIAS_ALERTA),"ALERTA","OK")))</f>
        <v/>
      </c>
    </row>
    <row r="57" customFormat="false" ht="15" hidden="false" customHeight="false" outlineLevel="0" collapsed="false">
      <c r="A57" s="9" t="str">
        <f aca="false">IF(CAD_Cartoes!$A11="","",CAD_Cartoes!$B11)</f>
        <v/>
      </c>
      <c r="B57" s="10" t="str">
        <f aca="false">IF(CAD_Cartoes!$A11="","",CAD_Cartoes!$L11)</f>
        <v/>
      </c>
      <c r="C57" s="10" t="str">
        <f aca="false">IF(CAD_Cartoes!$A11="","",CAD_Cartoes!$E11)</f>
        <v/>
      </c>
      <c r="D57" s="11" t="str">
        <f aca="false">IF(CAD_Cartoes!$A11="","",CAD_Cartoes!$M11)</f>
        <v/>
      </c>
      <c r="E57" s="44" t="str">
        <f aca="false">IF(CAD_Cartoes!$A11="","",CAD_Cartoes!$Q11)</f>
        <v/>
      </c>
      <c r="F57" s="43" t="str">
        <f aca="false">IF($A57="","",$E57-CFG_HOJE)</f>
        <v/>
      </c>
      <c r="G57" s="9" t="str">
        <f aca="false">IF($A57="","",IF($D57&gt;=CFG_PCT_CARTAO,"ALERTA",IF(AND($F57&gt;=0,$F57&lt;=CFG_DIAS_ALERTA),"ALERTA","OK")))</f>
        <v/>
      </c>
    </row>
    <row r="58" customFormat="false" ht="15" hidden="false" customHeight="false" outlineLevel="0" collapsed="false">
      <c r="A58" s="9" t="str">
        <f aca="false">IF(CAD_Cartoes!$A12="","",CAD_Cartoes!$B12)</f>
        <v/>
      </c>
      <c r="B58" s="10" t="str">
        <f aca="false">IF(CAD_Cartoes!$A12="","",CAD_Cartoes!$L12)</f>
        <v/>
      </c>
      <c r="C58" s="10" t="str">
        <f aca="false">IF(CAD_Cartoes!$A12="","",CAD_Cartoes!$E12)</f>
        <v/>
      </c>
      <c r="D58" s="11" t="str">
        <f aca="false">IF(CAD_Cartoes!$A12="","",CAD_Cartoes!$M12)</f>
        <v/>
      </c>
      <c r="E58" s="44" t="str">
        <f aca="false">IF(CAD_Cartoes!$A12="","",CAD_Cartoes!$Q12)</f>
        <v/>
      </c>
      <c r="F58" s="43" t="str">
        <f aca="false">IF($A58="","",$E58-CFG_HOJE)</f>
        <v/>
      </c>
      <c r="G58" s="9" t="str">
        <f aca="false">IF($A58="","",IF($D58&gt;=CFG_PCT_CARTAO,"ALERTA",IF(AND($F58&gt;=0,$F58&lt;=CFG_DIAS_ALERTA),"ALERTA","OK")))</f>
        <v/>
      </c>
    </row>
    <row r="59" customFormat="false" ht="15" hidden="false" customHeight="false" outlineLevel="0" collapsed="false">
      <c r="A59" s="9" t="str">
        <f aca="false">IF(CAD_Cartoes!$A13="","",CAD_Cartoes!$B13)</f>
        <v/>
      </c>
      <c r="B59" s="10" t="str">
        <f aca="false">IF(CAD_Cartoes!$A13="","",CAD_Cartoes!$L13)</f>
        <v/>
      </c>
      <c r="C59" s="10" t="str">
        <f aca="false">IF(CAD_Cartoes!$A13="","",CAD_Cartoes!$E13)</f>
        <v/>
      </c>
      <c r="D59" s="11" t="str">
        <f aca="false">IF(CAD_Cartoes!$A13="","",CAD_Cartoes!$M13)</f>
        <v/>
      </c>
      <c r="E59" s="44" t="str">
        <f aca="false">IF(CAD_Cartoes!$A13="","",CAD_Cartoes!$Q13)</f>
        <v/>
      </c>
      <c r="F59" s="43" t="str">
        <f aca="false">IF($A59="","",$E59-CFG_HOJE)</f>
        <v/>
      </c>
      <c r="G59" s="9" t="str">
        <f aca="false">IF($A59="","",IF($D59&gt;=CFG_PCT_CARTAO,"ALERTA",IF(AND($F59&gt;=0,$F59&lt;=CFG_DIAS_ALERTA),"ALERTA","OK")))</f>
        <v/>
      </c>
    </row>
    <row r="60" customFormat="false" ht="15" hidden="false" customHeight="false" outlineLevel="0" collapsed="false">
      <c r="A60" s="9" t="str">
        <f aca="false">IF(CAD_Cartoes!$A14="","",CAD_Cartoes!$B14)</f>
        <v/>
      </c>
      <c r="B60" s="10" t="str">
        <f aca="false">IF(CAD_Cartoes!$A14="","",CAD_Cartoes!$L14)</f>
        <v/>
      </c>
      <c r="C60" s="10" t="str">
        <f aca="false">IF(CAD_Cartoes!$A14="","",CAD_Cartoes!$E14)</f>
        <v/>
      </c>
      <c r="D60" s="11" t="str">
        <f aca="false">IF(CAD_Cartoes!$A14="","",CAD_Cartoes!$M14)</f>
        <v/>
      </c>
      <c r="E60" s="44" t="str">
        <f aca="false">IF(CAD_Cartoes!$A14="","",CAD_Cartoes!$Q14)</f>
        <v/>
      </c>
      <c r="F60" s="43" t="str">
        <f aca="false">IF($A60="","",$E60-CFG_HOJE)</f>
        <v/>
      </c>
      <c r="G60" s="9" t="str">
        <f aca="false">IF($A60="","",IF($D60&gt;=CFG_PCT_CARTAO,"ALERTA",IF(AND($F60&gt;=0,$F60&lt;=CFG_DIAS_ALERTA),"ALERTA","OK")))</f>
        <v/>
      </c>
    </row>
    <row r="61" customFormat="false" ht="15" hidden="false" customHeight="false" outlineLevel="0" collapsed="false">
      <c r="A61" s="9" t="str">
        <f aca="false">IF(CAD_Cartoes!$A15="","",CAD_Cartoes!$B15)</f>
        <v/>
      </c>
      <c r="B61" s="10" t="str">
        <f aca="false">IF(CAD_Cartoes!$A15="","",CAD_Cartoes!$L15)</f>
        <v/>
      </c>
      <c r="C61" s="10" t="str">
        <f aca="false">IF(CAD_Cartoes!$A15="","",CAD_Cartoes!$E15)</f>
        <v/>
      </c>
      <c r="D61" s="11" t="str">
        <f aca="false">IF(CAD_Cartoes!$A15="","",CAD_Cartoes!$M15)</f>
        <v/>
      </c>
      <c r="E61" s="44" t="str">
        <f aca="false">IF(CAD_Cartoes!$A15="","",CAD_Cartoes!$Q15)</f>
        <v/>
      </c>
      <c r="F61" s="43" t="str">
        <f aca="false">IF($A61="","",$E61-CFG_HOJE)</f>
        <v/>
      </c>
      <c r="G61" s="9" t="str">
        <f aca="false">IF($A61="","",IF($D61&gt;=CFG_PCT_CARTAO,"ALERTA",IF(AND($F61&gt;=0,$F61&lt;=CFG_DIAS_ALERTA),"ALERTA","OK")))</f>
        <v/>
      </c>
    </row>
    <row r="62" customFormat="false" ht="15" hidden="false" customHeight="false" outlineLevel="0" collapsed="false">
      <c r="A62" s="9" t="str">
        <f aca="false">IF(CAD_Cartoes!$A16="","",CAD_Cartoes!$B16)</f>
        <v/>
      </c>
      <c r="B62" s="10" t="str">
        <f aca="false">IF(CAD_Cartoes!$A16="","",CAD_Cartoes!$L16)</f>
        <v/>
      </c>
      <c r="C62" s="10" t="str">
        <f aca="false">IF(CAD_Cartoes!$A16="","",CAD_Cartoes!$E16)</f>
        <v/>
      </c>
      <c r="D62" s="11" t="str">
        <f aca="false">IF(CAD_Cartoes!$A16="","",CAD_Cartoes!$M16)</f>
        <v/>
      </c>
      <c r="E62" s="44" t="str">
        <f aca="false">IF(CAD_Cartoes!$A16="","",CAD_Cartoes!$Q16)</f>
        <v/>
      </c>
      <c r="F62" s="43" t="str">
        <f aca="false">IF($A62="","",$E62-CFG_HOJE)</f>
        <v/>
      </c>
      <c r="G62" s="9" t="str">
        <f aca="false">IF($A62="","",IF($D62&gt;=CFG_PCT_CARTAO,"ALERTA",IF(AND($F62&gt;=0,$F62&lt;=CFG_DIAS_ALERTA),"ALERTA","OK")))</f>
        <v/>
      </c>
    </row>
    <row r="63" customFormat="false" ht="15" hidden="false" customHeight="false" outlineLevel="0" collapsed="false">
      <c r="A63" s="9" t="str">
        <f aca="false">IF(CAD_Cartoes!$A17="","",CAD_Cartoes!$B17)</f>
        <v/>
      </c>
      <c r="B63" s="10" t="str">
        <f aca="false">IF(CAD_Cartoes!$A17="","",CAD_Cartoes!$L17)</f>
        <v/>
      </c>
      <c r="C63" s="10" t="str">
        <f aca="false">IF(CAD_Cartoes!$A17="","",CAD_Cartoes!$E17)</f>
        <v/>
      </c>
      <c r="D63" s="11" t="str">
        <f aca="false">IF(CAD_Cartoes!$A17="","",CAD_Cartoes!$M17)</f>
        <v/>
      </c>
      <c r="E63" s="44" t="str">
        <f aca="false">IF(CAD_Cartoes!$A17="","",CAD_Cartoes!$Q17)</f>
        <v/>
      </c>
      <c r="F63" s="43" t="str">
        <f aca="false">IF($A63="","",$E63-CFG_HOJE)</f>
        <v/>
      </c>
      <c r="G63" s="9" t="str">
        <f aca="false">IF($A63="","",IF($D63&gt;=CFG_PCT_CARTAO,"ALERTA",IF(AND($F63&gt;=0,$F63&lt;=CFG_DIAS_ALERTA),"ALERTA","OK")))</f>
        <v/>
      </c>
    </row>
    <row r="64" customFormat="false" ht="15" hidden="false" customHeight="false" outlineLevel="0" collapsed="false">
      <c r="A64" s="9" t="str">
        <f aca="false">IF(CAD_Cartoes!$A18="","",CAD_Cartoes!$B18)</f>
        <v/>
      </c>
      <c r="B64" s="10" t="str">
        <f aca="false">IF(CAD_Cartoes!$A18="","",CAD_Cartoes!$L18)</f>
        <v/>
      </c>
      <c r="C64" s="10" t="str">
        <f aca="false">IF(CAD_Cartoes!$A18="","",CAD_Cartoes!$E18)</f>
        <v/>
      </c>
      <c r="D64" s="11" t="str">
        <f aca="false">IF(CAD_Cartoes!$A18="","",CAD_Cartoes!$M18)</f>
        <v/>
      </c>
      <c r="E64" s="44" t="str">
        <f aca="false">IF(CAD_Cartoes!$A18="","",CAD_Cartoes!$Q18)</f>
        <v/>
      </c>
      <c r="F64" s="43" t="str">
        <f aca="false">IF($A64="","",$E64-CFG_HOJE)</f>
        <v/>
      </c>
      <c r="G64" s="9" t="str">
        <f aca="false">IF($A64="","",IF($D64&gt;=CFG_PCT_CARTAO,"ALERTA",IF(AND($F64&gt;=0,$F64&lt;=CFG_DIAS_ALERTA),"ALERTA","OK")))</f>
        <v/>
      </c>
    </row>
    <row r="65" customFormat="false" ht="15" hidden="false" customHeight="false" outlineLevel="0" collapsed="false">
      <c r="A65" s="9" t="str">
        <f aca="false">IF(CAD_Cartoes!$A19="","",CAD_Cartoes!$B19)</f>
        <v/>
      </c>
      <c r="B65" s="10" t="str">
        <f aca="false">IF(CAD_Cartoes!$A19="","",CAD_Cartoes!$L19)</f>
        <v/>
      </c>
      <c r="C65" s="10" t="str">
        <f aca="false">IF(CAD_Cartoes!$A19="","",CAD_Cartoes!$E19)</f>
        <v/>
      </c>
      <c r="D65" s="11" t="str">
        <f aca="false">IF(CAD_Cartoes!$A19="","",CAD_Cartoes!$M19)</f>
        <v/>
      </c>
      <c r="E65" s="44" t="str">
        <f aca="false">IF(CAD_Cartoes!$A19="","",CAD_Cartoes!$Q19)</f>
        <v/>
      </c>
      <c r="F65" s="43" t="str">
        <f aca="false">IF($A65="","",$E65-CFG_HOJE)</f>
        <v/>
      </c>
      <c r="G65" s="9" t="str">
        <f aca="false">IF($A65="","",IF($D65&gt;=CFG_PCT_CARTAO,"ALERTA",IF(AND($F65&gt;=0,$F65&lt;=CFG_DIAS_ALERTA),"ALERTA","OK")))</f>
        <v/>
      </c>
    </row>
    <row r="66" customFormat="false" ht="15" hidden="false" customHeight="false" outlineLevel="0" collapsed="false">
      <c r="A66" s="9" t="str">
        <f aca="false">IF(CAD_Cartoes!$A20="","",CAD_Cartoes!$B20)</f>
        <v/>
      </c>
      <c r="B66" s="10" t="str">
        <f aca="false">IF(CAD_Cartoes!$A20="","",CAD_Cartoes!$L20)</f>
        <v/>
      </c>
      <c r="C66" s="10" t="str">
        <f aca="false">IF(CAD_Cartoes!$A20="","",CAD_Cartoes!$E20)</f>
        <v/>
      </c>
      <c r="D66" s="11" t="str">
        <f aca="false">IF(CAD_Cartoes!$A20="","",CAD_Cartoes!$M20)</f>
        <v/>
      </c>
      <c r="E66" s="44" t="str">
        <f aca="false">IF(CAD_Cartoes!$A20="","",CAD_Cartoes!$Q20)</f>
        <v/>
      </c>
      <c r="F66" s="43" t="str">
        <f aca="false">IF($A66="","",$E66-CFG_HOJE)</f>
        <v/>
      </c>
      <c r="G66" s="9" t="str">
        <f aca="false">IF($A66="","",IF($D66&gt;=CFG_PCT_CARTAO,"ALERTA",IF(AND($F66&gt;=0,$F66&lt;=CFG_DIAS_ALERTA),"ALERTA","OK")))</f>
        <v/>
      </c>
    </row>
    <row r="67" customFormat="false" ht="15" hidden="false" customHeight="false" outlineLevel="0" collapsed="false">
      <c r="A67" s="9" t="str">
        <f aca="false">IF(CAD_Cartoes!$A21="","",CAD_Cartoes!$B21)</f>
        <v/>
      </c>
      <c r="B67" s="10" t="str">
        <f aca="false">IF(CAD_Cartoes!$A21="","",CAD_Cartoes!$L21)</f>
        <v/>
      </c>
      <c r="C67" s="10" t="str">
        <f aca="false">IF(CAD_Cartoes!$A21="","",CAD_Cartoes!$E21)</f>
        <v/>
      </c>
      <c r="D67" s="11" t="str">
        <f aca="false">IF(CAD_Cartoes!$A21="","",CAD_Cartoes!$M21)</f>
        <v/>
      </c>
      <c r="E67" s="44" t="str">
        <f aca="false">IF(CAD_Cartoes!$A21="","",CAD_Cartoes!$Q21)</f>
        <v/>
      </c>
      <c r="F67" s="43" t="str">
        <f aca="false">IF($A67="","",$E67-CFG_HOJE)</f>
        <v/>
      </c>
      <c r="G67" s="9" t="str">
        <f aca="false">IF($A67="","",IF($D67&gt;=CFG_PCT_CARTAO,"ALERTA",IF(AND($F67&gt;=0,$F67&lt;=CFG_DIAS_ALERTA),"ALERTA","OK")))</f>
        <v/>
      </c>
    </row>
    <row r="68" customFormat="false" ht="15" hidden="false" customHeight="false" outlineLevel="0" collapsed="false">
      <c r="A68" s="9" t="str">
        <f aca="false">IF(CAD_Cartoes!$A22="","",CAD_Cartoes!$B22)</f>
        <v/>
      </c>
      <c r="B68" s="10" t="str">
        <f aca="false">IF(CAD_Cartoes!$A22="","",CAD_Cartoes!$L22)</f>
        <v/>
      </c>
      <c r="C68" s="10" t="str">
        <f aca="false">IF(CAD_Cartoes!$A22="","",CAD_Cartoes!$E22)</f>
        <v/>
      </c>
      <c r="D68" s="11" t="str">
        <f aca="false">IF(CAD_Cartoes!$A22="","",CAD_Cartoes!$M22)</f>
        <v/>
      </c>
      <c r="E68" s="44" t="str">
        <f aca="false">IF(CAD_Cartoes!$A22="","",CAD_Cartoes!$Q22)</f>
        <v/>
      </c>
      <c r="F68" s="43" t="str">
        <f aca="false">IF($A68="","",$E68-CFG_HOJE)</f>
        <v/>
      </c>
      <c r="G68" s="9" t="str">
        <f aca="false">IF($A68="","",IF($D68&gt;=CFG_PCT_CARTAO,"ALERTA",IF(AND($F68&gt;=0,$F68&lt;=CFG_DIAS_ALERTA),"ALERTA","OK")))</f>
        <v/>
      </c>
    </row>
    <row r="69" customFormat="false" ht="15" hidden="false" customHeight="false" outlineLevel="0" collapsed="false">
      <c r="A69" s="9" t="str">
        <f aca="false">IF(CAD_Cartoes!$A23="","",CAD_Cartoes!$B23)</f>
        <v/>
      </c>
      <c r="B69" s="10" t="str">
        <f aca="false">IF(CAD_Cartoes!$A23="","",CAD_Cartoes!$L23)</f>
        <v/>
      </c>
      <c r="C69" s="10" t="str">
        <f aca="false">IF(CAD_Cartoes!$A23="","",CAD_Cartoes!$E23)</f>
        <v/>
      </c>
      <c r="D69" s="11" t="str">
        <f aca="false">IF(CAD_Cartoes!$A23="","",CAD_Cartoes!$M23)</f>
        <v/>
      </c>
      <c r="E69" s="44" t="str">
        <f aca="false">IF(CAD_Cartoes!$A23="","",CAD_Cartoes!$Q23)</f>
        <v/>
      </c>
      <c r="F69" s="43" t="str">
        <f aca="false">IF($A69="","",$E69-CFG_HOJE)</f>
        <v/>
      </c>
      <c r="G69" s="9" t="str">
        <f aca="false">IF($A69="","",IF($D69&gt;=CFG_PCT_CARTAO,"ALERTA",IF(AND($F69&gt;=0,$F69&lt;=CFG_DIAS_ALERTA),"ALERTA","OK")))</f>
        <v/>
      </c>
    </row>
    <row r="70" customFormat="false" ht="15" hidden="false" customHeight="false" outlineLevel="0" collapsed="false">
      <c r="A70" s="9" t="str">
        <f aca="false">IF(CAD_Cartoes!$A24="","",CAD_Cartoes!$B24)</f>
        <v/>
      </c>
      <c r="B70" s="10" t="str">
        <f aca="false">IF(CAD_Cartoes!$A24="","",CAD_Cartoes!$L24)</f>
        <v/>
      </c>
      <c r="C70" s="10" t="str">
        <f aca="false">IF(CAD_Cartoes!$A24="","",CAD_Cartoes!$E24)</f>
        <v/>
      </c>
      <c r="D70" s="11" t="str">
        <f aca="false">IF(CAD_Cartoes!$A24="","",CAD_Cartoes!$M24)</f>
        <v/>
      </c>
      <c r="E70" s="44" t="str">
        <f aca="false">IF(CAD_Cartoes!$A24="","",CAD_Cartoes!$Q24)</f>
        <v/>
      </c>
      <c r="F70" s="43" t="str">
        <f aca="false">IF($A70="","",$E70-CFG_HOJE)</f>
        <v/>
      </c>
      <c r="G70" s="9" t="str">
        <f aca="false">IF($A70="","",IF($D70&gt;=CFG_PCT_CARTAO,"ALERTA",IF(AND($F70&gt;=0,$F70&lt;=CFG_DIAS_ALERTA),"ALERTA","OK")))</f>
        <v/>
      </c>
    </row>
    <row r="71" customFormat="false" ht="15" hidden="false" customHeight="false" outlineLevel="0" collapsed="false">
      <c r="A71" s="9" t="str">
        <f aca="false">IF(CAD_Cartoes!$A25="","",CAD_Cartoes!$B25)</f>
        <v/>
      </c>
      <c r="B71" s="10" t="str">
        <f aca="false">IF(CAD_Cartoes!$A25="","",CAD_Cartoes!$L25)</f>
        <v/>
      </c>
      <c r="C71" s="10" t="str">
        <f aca="false">IF(CAD_Cartoes!$A25="","",CAD_Cartoes!$E25)</f>
        <v/>
      </c>
      <c r="D71" s="11" t="str">
        <f aca="false">IF(CAD_Cartoes!$A25="","",CAD_Cartoes!$M25)</f>
        <v/>
      </c>
      <c r="E71" s="44" t="str">
        <f aca="false">IF(CAD_Cartoes!$A25="","",CAD_Cartoes!$Q25)</f>
        <v/>
      </c>
      <c r="F71" s="43" t="str">
        <f aca="false">IF($A71="","",$E71-CFG_HOJE)</f>
        <v/>
      </c>
      <c r="G71" s="9" t="str">
        <f aca="false">IF($A71="","",IF($D71&gt;=CFG_PCT_CARTAO,"ALERTA",IF(AND($F71&gt;=0,$F71&lt;=CFG_DIAS_ALERTA),"ALERTA","OK")))</f>
        <v/>
      </c>
    </row>
    <row r="72" customFormat="false" ht="15" hidden="false" customHeight="false" outlineLevel="0" collapsed="false">
      <c r="A72" s="9" t="str">
        <f aca="false">IF(CAD_Cartoes!$A26="","",CAD_Cartoes!$B26)</f>
        <v/>
      </c>
      <c r="B72" s="10" t="str">
        <f aca="false">IF(CAD_Cartoes!$A26="","",CAD_Cartoes!$L26)</f>
        <v/>
      </c>
      <c r="C72" s="10" t="str">
        <f aca="false">IF(CAD_Cartoes!$A26="","",CAD_Cartoes!$E26)</f>
        <v/>
      </c>
      <c r="D72" s="11" t="str">
        <f aca="false">IF(CAD_Cartoes!$A26="","",CAD_Cartoes!$M26)</f>
        <v/>
      </c>
      <c r="E72" s="44" t="str">
        <f aca="false">IF(CAD_Cartoes!$A26="","",CAD_Cartoes!$Q26)</f>
        <v/>
      </c>
      <c r="F72" s="43" t="str">
        <f aca="false">IF($A72="","",$E72-CFG_HOJE)</f>
        <v/>
      </c>
      <c r="G72" s="9" t="str">
        <f aca="false">IF($A72="","",IF($D72&gt;=CFG_PCT_CARTAO,"ALERTA",IF(AND($F72&gt;=0,$F72&lt;=CFG_DIAS_ALERTA),"ALERTA","OK")))</f>
        <v/>
      </c>
    </row>
    <row r="73" customFormat="false" ht="15" hidden="false" customHeight="false" outlineLevel="0" collapsed="false">
      <c r="A73" s="9" t="str">
        <f aca="false">IF(CAD_Cartoes!$A27="","",CAD_Cartoes!$B27)</f>
        <v/>
      </c>
      <c r="B73" s="10" t="str">
        <f aca="false">IF(CAD_Cartoes!$A27="","",CAD_Cartoes!$L27)</f>
        <v/>
      </c>
      <c r="C73" s="10" t="str">
        <f aca="false">IF(CAD_Cartoes!$A27="","",CAD_Cartoes!$E27)</f>
        <v/>
      </c>
      <c r="D73" s="11" t="str">
        <f aca="false">IF(CAD_Cartoes!$A27="","",CAD_Cartoes!$M27)</f>
        <v/>
      </c>
      <c r="E73" s="44" t="str">
        <f aca="false">IF(CAD_Cartoes!$A27="","",CAD_Cartoes!$Q27)</f>
        <v/>
      </c>
      <c r="F73" s="43" t="str">
        <f aca="false">IF($A73="","",$E73-CFG_HOJE)</f>
        <v/>
      </c>
      <c r="G73" s="9" t="str">
        <f aca="false">IF($A73="","",IF($D73&gt;=CFG_PCT_CARTAO,"ALERTA",IF(AND($F73&gt;=0,$F73&lt;=CFG_DIAS_ALERTA),"ALERTA","OK")))</f>
        <v/>
      </c>
    </row>
    <row r="74" customFormat="false" ht="15" hidden="false" customHeight="false" outlineLevel="0" collapsed="false">
      <c r="A74" s="9" t="str">
        <f aca="false">IF(CAD_Cartoes!$A28="","",CAD_Cartoes!$B28)</f>
        <v/>
      </c>
      <c r="B74" s="10" t="str">
        <f aca="false">IF(CAD_Cartoes!$A28="","",CAD_Cartoes!$L28)</f>
        <v/>
      </c>
      <c r="C74" s="10" t="str">
        <f aca="false">IF(CAD_Cartoes!$A28="","",CAD_Cartoes!$E28)</f>
        <v/>
      </c>
      <c r="D74" s="11" t="str">
        <f aca="false">IF(CAD_Cartoes!$A28="","",CAD_Cartoes!$M28)</f>
        <v/>
      </c>
      <c r="E74" s="44" t="str">
        <f aca="false">IF(CAD_Cartoes!$A28="","",CAD_Cartoes!$Q28)</f>
        <v/>
      </c>
      <c r="F74" s="43" t="str">
        <f aca="false">IF($A74="","",$E74-CFG_HOJE)</f>
        <v/>
      </c>
      <c r="G74" s="9" t="str">
        <f aca="false">IF($A74="","",IF($D74&gt;=CFG_PCT_CARTAO,"ALERTA",IF(AND($F74&gt;=0,$F74&lt;=CFG_DIAS_ALERTA),"ALERTA","OK")))</f>
        <v/>
      </c>
    </row>
    <row r="75" customFormat="false" ht="15" hidden="false" customHeight="false" outlineLevel="0" collapsed="false">
      <c r="A75" s="9" t="str">
        <f aca="false">IF(CAD_Cartoes!$A29="","",CAD_Cartoes!$B29)</f>
        <v/>
      </c>
      <c r="B75" s="10" t="str">
        <f aca="false">IF(CAD_Cartoes!$A29="","",CAD_Cartoes!$L29)</f>
        <v/>
      </c>
      <c r="C75" s="10" t="str">
        <f aca="false">IF(CAD_Cartoes!$A29="","",CAD_Cartoes!$E29)</f>
        <v/>
      </c>
      <c r="D75" s="11" t="str">
        <f aca="false">IF(CAD_Cartoes!$A29="","",CAD_Cartoes!$M29)</f>
        <v/>
      </c>
      <c r="E75" s="44" t="str">
        <f aca="false">IF(CAD_Cartoes!$A29="","",CAD_Cartoes!$Q29)</f>
        <v/>
      </c>
      <c r="F75" s="43" t="str">
        <f aca="false">IF($A75="","",$E75-CFG_HOJE)</f>
        <v/>
      </c>
      <c r="G75" s="9" t="str">
        <f aca="false">IF($A75="","",IF($D75&gt;=CFG_PCT_CARTAO,"ALERTA",IF(AND($F75&gt;=0,$F75&lt;=CFG_DIAS_ALERTA),"ALERTA","OK")))</f>
        <v/>
      </c>
    </row>
    <row r="76" customFormat="false" ht="15" hidden="false" customHeight="false" outlineLevel="0" collapsed="false">
      <c r="A76" s="9" t="str">
        <f aca="false">IF(CAD_Cartoes!$A30="","",CAD_Cartoes!$B30)</f>
        <v/>
      </c>
      <c r="B76" s="10" t="str">
        <f aca="false">IF(CAD_Cartoes!$A30="","",CAD_Cartoes!$L30)</f>
        <v/>
      </c>
      <c r="C76" s="10" t="str">
        <f aca="false">IF(CAD_Cartoes!$A30="","",CAD_Cartoes!$E30)</f>
        <v/>
      </c>
      <c r="D76" s="11" t="str">
        <f aca="false">IF(CAD_Cartoes!$A30="","",CAD_Cartoes!$M30)</f>
        <v/>
      </c>
      <c r="E76" s="44" t="str">
        <f aca="false">IF(CAD_Cartoes!$A30="","",CAD_Cartoes!$Q30)</f>
        <v/>
      </c>
      <c r="F76" s="43" t="str">
        <f aca="false">IF($A76="","",$E76-CFG_HOJE)</f>
        <v/>
      </c>
      <c r="G76" s="9" t="str">
        <f aca="false">IF($A76="","",IF($D76&gt;=CFG_PCT_CARTAO,"ALERTA",IF(AND($F76&gt;=0,$F76&lt;=CFG_DIAS_ALERTA),"ALERTA","OK")))</f>
        <v/>
      </c>
    </row>
    <row r="77" customFormat="false" ht="15" hidden="false" customHeight="false" outlineLevel="0" collapsed="false">
      <c r="A77" s="9" t="str">
        <f aca="false">IF(CAD_Cartoes!$A31="","",CAD_Cartoes!$B31)</f>
        <v/>
      </c>
      <c r="B77" s="10" t="str">
        <f aca="false">IF(CAD_Cartoes!$A31="","",CAD_Cartoes!$L31)</f>
        <v/>
      </c>
      <c r="C77" s="10" t="str">
        <f aca="false">IF(CAD_Cartoes!$A31="","",CAD_Cartoes!$E31)</f>
        <v/>
      </c>
      <c r="D77" s="11" t="str">
        <f aca="false">IF(CAD_Cartoes!$A31="","",CAD_Cartoes!$M31)</f>
        <v/>
      </c>
      <c r="E77" s="44" t="str">
        <f aca="false">IF(CAD_Cartoes!$A31="","",CAD_Cartoes!$Q31)</f>
        <v/>
      </c>
      <c r="F77" s="43" t="str">
        <f aca="false">IF($A77="","",$E77-CFG_HOJE)</f>
        <v/>
      </c>
      <c r="G77" s="9" t="str">
        <f aca="false">IF($A77="","",IF($D77&gt;=CFG_PCT_CARTAO,"ALERTA",IF(AND($F77&gt;=0,$F77&lt;=CFG_DIAS_ALERTA),"ALERTA","OK")))</f>
        <v/>
      </c>
    </row>
    <row r="78" customFormat="false" ht="15" hidden="false" customHeight="false" outlineLevel="0" collapsed="false">
      <c r="A78" s="9" t="str">
        <f aca="false">IF(CAD_Cartoes!$A32="","",CAD_Cartoes!$B32)</f>
        <v/>
      </c>
      <c r="B78" s="10" t="str">
        <f aca="false">IF(CAD_Cartoes!$A32="","",CAD_Cartoes!$L32)</f>
        <v/>
      </c>
      <c r="C78" s="10" t="str">
        <f aca="false">IF(CAD_Cartoes!$A32="","",CAD_Cartoes!$E32)</f>
        <v/>
      </c>
      <c r="D78" s="11" t="str">
        <f aca="false">IF(CAD_Cartoes!$A32="","",CAD_Cartoes!$M32)</f>
        <v/>
      </c>
      <c r="E78" s="44" t="str">
        <f aca="false">IF(CAD_Cartoes!$A32="","",CAD_Cartoes!$Q32)</f>
        <v/>
      </c>
      <c r="F78" s="43" t="str">
        <f aca="false">IF($A78="","",$E78-CFG_HOJE)</f>
        <v/>
      </c>
      <c r="G78" s="9" t="str">
        <f aca="false">IF($A78="","",IF($D78&gt;=CFG_PCT_CARTAO,"ALERTA",IF(AND($F78&gt;=0,$F78&lt;=CFG_DIAS_ALERTA),"ALERTA","OK")))</f>
        <v/>
      </c>
    </row>
    <row r="79" customFormat="false" ht="15" hidden="false" customHeight="false" outlineLevel="0" collapsed="false">
      <c r="A79" s="9" t="str">
        <f aca="false">IF(CAD_Cartoes!$A33="","",CAD_Cartoes!$B33)</f>
        <v/>
      </c>
      <c r="B79" s="10" t="str">
        <f aca="false">IF(CAD_Cartoes!$A33="","",CAD_Cartoes!$L33)</f>
        <v/>
      </c>
      <c r="C79" s="10" t="str">
        <f aca="false">IF(CAD_Cartoes!$A33="","",CAD_Cartoes!$E33)</f>
        <v/>
      </c>
      <c r="D79" s="11" t="str">
        <f aca="false">IF(CAD_Cartoes!$A33="","",CAD_Cartoes!$M33)</f>
        <v/>
      </c>
      <c r="E79" s="44" t="str">
        <f aca="false">IF(CAD_Cartoes!$A33="","",CAD_Cartoes!$Q33)</f>
        <v/>
      </c>
      <c r="F79" s="43" t="str">
        <f aca="false">IF($A79="","",$E79-CFG_HOJE)</f>
        <v/>
      </c>
      <c r="G79" s="9" t="str">
        <f aca="false">IF($A79="","",IF($D79&gt;=CFG_PCT_CARTAO,"ALERTA",IF(AND($F79&gt;=0,$F79&lt;=CFG_DIAS_ALERTA),"ALERTA","OK")))</f>
        <v/>
      </c>
    </row>
    <row r="80" customFormat="false" ht="15" hidden="false" customHeight="false" outlineLevel="0" collapsed="false">
      <c r="A80" s="9" t="str">
        <f aca="false">IF(CAD_Cartoes!$A34="","",CAD_Cartoes!$B34)</f>
        <v/>
      </c>
      <c r="B80" s="10" t="str">
        <f aca="false">IF(CAD_Cartoes!$A34="","",CAD_Cartoes!$L34)</f>
        <v/>
      </c>
      <c r="C80" s="10" t="str">
        <f aca="false">IF(CAD_Cartoes!$A34="","",CAD_Cartoes!$E34)</f>
        <v/>
      </c>
      <c r="D80" s="11" t="str">
        <f aca="false">IF(CAD_Cartoes!$A34="","",CAD_Cartoes!$M34)</f>
        <v/>
      </c>
      <c r="E80" s="44" t="str">
        <f aca="false">IF(CAD_Cartoes!$A34="","",CAD_Cartoes!$Q34)</f>
        <v/>
      </c>
      <c r="F80" s="43" t="str">
        <f aca="false">IF($A80="","",$E80-CFG_HOJE)</f>
        <v/>
      </c>
      <c r="G80" s="9" t="str">
        <f aca="false">IF($A80="","",IF($D80&gt;=CFG_PCT_CARTAO,"ALERTA",IF(AND($F80&gt;=0,$F80&lt;=CFG_DIAS_ALERTA),"ALERTA","OK")))</f>
        <v/>
      </c>
    </row>
    <row r="81" customFormat="false" ht="15" hidden="false" customHeight="false" outlineLevel="0" collapsed="false">
      <c r="A81" s="9" t="str">
        <f aca="false">IF(CAD_Cartoes!$A35="","",CAD_Cartoes!$B35)</f>
        <v/>
      </c>
      <c r="B81" s="10" t="str">
        <f aca="false">IF(CAD_Cartoes!$A35="","",CAD_Cartoes!$L35)</f>
        <v/>
      </c>
      <c r="C81" s="10" t="str">
        <f aca="false">IF(CAD_Cartoes!$A35="","",CAD_Cartoes!$E35)</f>
        <v/>
      </c>
      <c r="D81" s="11" t="str">
        <f aca="false">IF(CAD_Cartoes!$A35="","",CAD_Cartoes!$M35)</f>
        <v/>
      </c>
      <c r="E81" s="44" t="str">
        <f aca="false">IF(CAD_Cartoes!$A35="","",CAD_Cartoes!$Q35)</f>
        <v/>
      </c>
      <c r="F81" s="43" t="str">
        <f aca="false">IF($A81="","",$E81-CFG_HOJE)</f>
        <v/>
      </c>
      <c r="G81" s="9" t="str">
        <f aca="false">IF($A81="","",IF($D81&gt;=CFG_PCT_CARTAO,"ALERTA",IF(AND($F81&gt;=0,$F81&lt;=CFG_DIAS_ALERTA),"ALERTA","OK")))</f>
        <v/>
      </c>
    </row>
    <row r="82" customFormat="false" ht="15" hidden="false" customHeight="false" outlineLevel="0" collapsed="false">
      <c r="A82" s="9" t="str">
        <f aca="false">IF(CAD_Cartoes!$A36="","",CAD_Cartoes!$B36)</f>
        <v/>
      </c>
      <c r="B82" s="10" t="str">
        <f aca="false">IF(CAD_Cartoes!$A36="","",CAD_Cartoes!$L36)</f>
        <v/>
      </c>
      <c r="C82" s="10" t="str">
        <f aca="false">IF(CAD_Cartoes!$A36="","",CAD_Cartoes!$E36)</f>
        <v/>
      </c>
      <c r="D82" s="11" t="str">
        <f aca="false">IF(CAD_Cartoes!$A36="","",CAD_Cartoes!$M36)</f>
        <v/>
      </c>
      <c r="E82" s="44" t="str">
        <f aca="false">IF(CAD_Cartoes!$A36="","",CAD_Cartoes!$Q36)</f>
        <v/>
      </c>
      <c r="F82" s="43" t="str">
        <f aca="false">IF($A82="","",$E82-CFG_HOJE)</f>
        <v/>
      </c>
      <c r="G82" s="9" t="str">
        <f aca="false">IF($A82="","",IF($D82&gt;=CFG_PCT_CARTAO,"ALERTA",IF(AND($F82&gt;=0,$F82&lt;=CFG_DIAS_ALERTA),"ALERTA","OK")))</f>
        <v/>
      </c>
    </row>
    <row r="83" customFormat="false" ht="15" hidden="false" customHeight="false" outlineLevel="0" collapsed="false">
      <c r="A83" s="9" t="str">
        <f aca="false">IF(CAD_Cartoes!$A37="","",CAD_Cartoes!$B37)</f>
        <v/>
      </c>
      <c r="B83" s="10" t="str">
        <f aca="false">IF(CAD_Cartoes!$A37="","",CAD_Cartoes!$L37)</f>
        <v/>
      </c>
      <c r="C83" s="10" t="str">
        <f aca="false">IF(CAD_Cartoes!$A37="","",CAD_Cartoes!$E37)</f>
        <v/>
      </c>
      <c r="D83" s="11" t="str">
        <f aca="false">IF(CAD_Cartoes!$A37="","",CAD_Cartoes!$M37)</f>
        <v/>
      </c>
      <c r="E83" s="44" t="str">
        <f aca="false">IF(CAD_Cartoes!$A37="","",CAD_Cartoes!$Q37)</f>
        <v/>
      </c>
      <c r="F83" s="43" t="str">
        <f aca="false">IF($A83="","",$E83-CFG_HOJE)</f>
        <v/>
      </c>
      <c r="G83" s="9" t="str">
        <f aca="false">IF($A83="","",IF($D83&gt;=CFG_PCT_CARTAO,"ALERTA",IF(AND($F83&gt;=0,$F83&lt;=CFG_DIAS_ALERTA),"ALERTA","OK")))</f>
        <v/>
      </c>
    </row>
    <row r="84" customFormat="false" ht="15" hidden="false" customHeight="false" outlineLevel="0" collapsed="false">
      <c r="A84" s="9" t="str">
        <f aca="false">IF(CAD_Cartoes!$A38="","",CAD_Cartoes!$B38)</f>
        <v/>
      </c>
      <c r="B84" s="10" t="str">
        <f aca="false">IF(CAD_Cartoes!$A38="","",CAD_Cartoes!$L38)</f>
        <v/>
      </c>
      <c r="C84" s="10" t="str">
        <f aca="false">IF(CAD_Cartoes!$A38="","",CAD_Cartoes!$E38)</f>
        <v/>
      </c>
      <c r="D84" s="11" t="str">
        <f aca="false">IF(CAD_Cartoes!$A38="","",CAD_Cartoes!$M38)</f>
        <v/>
      </c>
      <c r="E84" s="44" t="str">
        <f aca="false">IF(CAD_Cartoes!$A38="","",CAD_Cartoes!$Q38)</f>
        <v/>
      </c>
      <c r="F84" s="43" t="str">
        <f aca="false">IF($A84="","",$E84-CFG_HOJE)</f>
        <v/>
      </c>
      <c r="G84" s="9" t="str">
        <f aca="false">IF($A84="","",IF($D84&gt;=CFG_PCT_CARTAO,"ALERTA",IF(AND($F84&gt;=0,$F84&lt;=CFG_DIAS_ALERTA),"ALERTA","OK")))</f>
        <v/>
      </c>
    </row>
    <row r="85" customFormat="false" ht="15" hidden="false" customHeight="false" outlineLevel="0" collapsed="false">
      <c r="A85" s="9" t="str">
        <f aca="false">IF(CAD_Cartoes!$A39="","",CAD_Cartoes!$B39)</f>
        <v/>
      </c>
      <c r="B85" s="10" t="str">
        <f aca="false">IF(CAD_Cartoes!$A39="","",CAD_Cartoes!$L39)</f>
        <v/>
      </c>
      <c r="C85" s="10" t="str">
        <f aca="false">IF(CAD_Cartoes!$A39="","",CAD_Cartoes!$E39)</f>
        <v/>
      </c>
      <c r="D85" s="11" t="str">
        <f aca="false">IF(CAD_Cartoes!$A39="","",CAD_Cartoes!$M39)</f>
        <v/>
      </c>
      <c r="E85" s="44" t="str">
        <f aca="false">IF(CAD_Cartoes!$A39="","",CAD_Cartoes!$Q39)</f>
        <v/>
      </c>
      <c r="F85" s="43" t="str">
        <f aca="false">IF($A85="","",$E85-CFG_HOJE)</f>
        <v/>
      </c>
      <c r="G85" s="9" t="str">
        <f aca="false">IF($A85="","",IF($D85&gt;=CFG_PCT_CARTAO,"ALERTA",IF(AND($F85&gt;=0,$F85&lt;=CFG_DIAS_ALERTA),"ALERTA","OK")))</f>
        <v/>
      </c>
    </row>
    <row r="86" customFormat="false" ht="15" hidden="false" customHeight="false" outlineLevel="0" collapsed="false">
      <c r="A86" s="9" t="str">
        <f aca="false">IF(CAD_Cartoes!$A40="","",CAD_Cartoes!$B40)</f>
        <v/>
      </c>
      <c r="B86" s="10" t="str">
        <f aca="false">IF(CAD_Cartoes!$A40="","",CAD_Cartoes!$L40)</f>
        <v/>
      </c>
      <c r="C86" s="10" t="str">
        <f aca="false">IF(CAD_Cartoes!$A40="","",CAD_Cartoes!$E40)</f>
        <v/>
      </c>
      <c r="D86" s="11" t="str">
        <f aca="false">IF(CAD_Cartoes!$A40="","",CAD_Cartoes!$M40)</f>
        <v/>
      </c>
      <c r="E86" s="44" t="str">
        <f aca="false">IF(CAD_Cartoes!$A40="","",CAD_Cartoes!$Q40)</f>
        <v/>
      </c>
      <c r="F86" s="43" t="str">
        <f aca="false">IF($A86="","",$E86-CFG_HOJE)</f>
        <v/>
      </c>
      <c r="G86" s="9" t="str">
        <f aca="false">IF($A86="","",IF($D86&gt;=CFG_PCT_CARTAO,"ALERTA",IF(AND($F86&gt;=0,$F86&lt;=CFG_DIAS_ALERTA),"ALERTA","OK")))</f>
        <v/>
      </c>
    </row>
    <row r="87" customFormat="false" ht="15" hidden="false" customHeight="false" outlineLevel="0" collapsed="false">
      <c r="A87" s="9" t="str">
        <f aca="false">IF(CAD_Cartoes!$A41="","",CAD_Cartoes!$B41)</f>
        <v/>
      </c>
      <c r="B87" s="10" t="str">
        <f aca="false">IF(CAD_Cartoes!$A41="","",CAD_Cartoes!$L41)</f>
        <v/>
      </c>
      <c r="C87" s="10" t="str">
        <f aca="false">IF(CAD_Cartoes!$A41="","",CAD_Cartoes!$E41)</f>
        <v/>
      </c>
      <c r="D87" s="11" t="str">
        <f aca="false">IF(CAD_Cartoes!$A41="","",CAD_Cartoes!$M41)</f>
        <v/>
      </c>
      <c r="E87" s="44" t="str">
        <f aca="false">IF(CAD_Cartoes!$A41="","",CAD_Cartoes!$Q41)</f>
        <v/>
      </c>
      <c r="F87" s="43" t="str">
        <f aca="false">IF($A87="","",$E87-CFG_HOJE)</f>
        <v/>
      </c>
      <c r="G87" s="9" t="str">
        <f aca="false">IF($A87="","",IF($D87&gt;=CFG_PCT_CARTAO,"ALERTA",IF(AND($F87&gt;=0,$F87&lt;=CFG_DIAS_ALERTA),"ALERTA","OK")))</f>
        <v/>
      </c>
    </row>
    <row r="88" customFormat="false" ht="15" hidden="false" customHeight="false" outlineLevel="0" collapsed="false">
      <c r="A88" s="9" t="str">
        <f aca="false">IF(CAD_Cartoes!$A42="","",CAD_Cartoes!$B42)</f>
        <v/>
      </c>
      <c r="B88" s="10" t="str">
        <f aca="false">IF(CAD_Cartoes!$A42="","",CAD_Cartoes!$L42)</f>
        <v/>
      </c>
      <c r="C88" s="10" t="str">
        <f aca="false">IF(CAD_Cartoes!$A42="","",CAD_Cartoes!$E42)</f>
        <v/>
      </c>
      <c r="D88" s="11" t="str">
        <f aca="false">IF(CAD_Cartoes!$A42="","",CAD_Cartoes!$M42)</f>
        <v/>
      </c>
      <c r="E88" s="44" t="str">
        <f aca="false">IF(CAD_Cartoes!$A42="","",CAD_Cartoes!$Q42)</f>
        <v/>
      </c>
      <c r="F88" s="43" t="str">
        <f aca="false">IF($A88="","",$E88-CFG_HOJE)</f>
        <v/>
      </c>
      <c r="G88" s="9" t="str">
        <f aca="false">IF($A88="","",IF($D88&gt;=CFG_PCT_CARTAO,"ALERTA",IF(AND($F88&gt;=0,$F88&lt;=CFG_DIAS_ALERTA),"ALERTA","OK")))</f>
        <v/>
      </c>
    </row>
    <row r="89" customFormat="false" ht="15" hidden="false" customHeight="false" outlineLevel="0" collapsed="false">
      <c r="A89" s="9" t="str">
        <f aca="false">IF(CAD_Cartoes!$A43="","",CAD_Cartoes!$B43)</f>
        <v/>
      </c>
      <c r="B89" s="10" t="str">
        <f aca="false">IF(CAD_Cartoes!$A43="","",CAD_Cartoes!$L43)</f>
        <v/>
      </c>
      <c r="C89" s="10" t="str">
        <f aca="false">IF(CAD_Cartoes!$A43="","",CAD_Cartoes!$E43)</f>
        <v/>
      </c>
      <c r="D89" s="11" t="str">
        <f aca="false">IF(CAD_Cartoes!$A43="","",CAD_Cartoes!$M43)</f>
        <v/>
      </c>
      <c r="E89" s="44" t="str">
        <f aca="false">IF(CAD_Cartoes!$A43="","",CAD_Cartoes!$Q43)</f>
        <v/>
      </c>
      <c r="F89" s="43" t="str">
        <f aca="false">IF($A89="","",$E89-CFG_HOJE)</f>
        <v/>
      </c>
      <c r="G89" s="9" t="str">
        <f aca="false">IF($A89="","",IF($D89&gt;=CFG_PCT_CARTAO,"ALERTA",IF(AND($F89&gt;=0,$F89&lt;=CFG_DIAS_ALERTA),"ALERTA","OK")))</f>
        <v/>
      </c>
    </row>
    <row r="90" customFormat="false" ht="15" hidden="false" customHeight="false" outlineLevel="0" collapsed="false">
      <c r="A90" s="9" t="str">
        <f aca="false">IF(CAD_Cartoes!$A44="","",CAD_Cartoes!$B44)</f>
        <v/>
      </c>
      <c r="B90" s="10" t="str">
        <f aca="false">IF(CAD_Cartoes!$A44="","",CAD_Cartoes!$L44)</f>
        <v/>
      </c>
      <c r="C90" s="10" t="str">
        <f aca="false">IF(CAD_Cartoes!$A44="","",CAD_Cartoes!$E44)</f>
        <v/>
      </c>
      <c r="D90" s="11" t="str">
        <f aca="false">IF(CAD_Cartoes!$A44="","",CAD_Cartoes!$M44)</f>
        <v/>
      </c>
      <c r="E90" s="44" t="str">
        <f aca="false">IF(CAD_Cartoes!$A44="","",CAD_Cartoes!$Q44)</f>
        <v/>
      </c>
      <c r="F90" s="43" t="str">
        <f aca="false">IF($A90="","",$E90-CFG_HOJE)</f>
        <v/>
      </c>
      <c r="G90" s="9" t="str">
        <f aca="false">IF($A90="","",IF($D90&gt;=CFG_PCT_CARTAO,"ALERTA",IF(AND($F90&gt;=0,$F90&lt;=CFG_DIAS_ALERTA),"ALERTA","OK")))</f>
        <v/>
      </c>
    </row>
    <row r="92" customFormat="false" ht="19.5" hidden="false" customHeight="true" outlineLevel="0" collapsed="false">
      <c r="A92" s="3" t="s">
        <v>532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533</v>
      </c>
      <c r="B93" s="8" t="s">
        <v>412</v>
      </c>
      <c r="C93" s="8" t="s">
        <v>84</v>
      </c>
      <c r="D93" s="8" t="s">
        <v>44</v>
      </c>
    </row>
    <row r="94" customFormat="false" ht="15" hidden="false" customHeight="false" outlineLevel="0" collapsed="false">
      <c r="A94" s="9" t="s">
        <v>534</v>
      </c>
      <c r="B94" s="43" t="n">
        <f aca="false">COUNTIF(P_STATUS,"ATRASADA")</f>
        <v>0</v>
      </c>
      <c r="C94" s="10" t="n">
        <f aca="false">SUMIFS(P_VALOR,P_STATUS,"ATRASADA")</f>
        <v>0</v>
      </c>
      <c r="D94" s="9" t="str">
        <f aca="false">IF($B94&gt;0,"ALERTA","OK")</f>
        <v>OK</v>
      </c>
    </row>
    <row r="95" customFormat="false" ht="15" hidden="false" customHeight="false" outlineLevel="0" collapsed="false">
      <c r="A95" s="9" t="s">
        <v>535</v>
      </c>
      <c r="B95" s="43" t="n">
        <f aca="false">COUNTIFS(P_VENC,"&gt;="&amp;CFG_HOJE,P_VENC,"&lt;="&amp;CFG_HOJE+CFG_DIAS_ALERTA,P_STATUS,"ABERTA")</f>
        <v>0</v>
      </c>
      <c r="C95" s="10" t="n">
        <f aca="false">SUMIFS(P_VALOR,P_VENC,"&gt;="&amp;CFG_HOJE,P_VENC,"&lt;="&amp;CFG_HOJE+CFG_DIAS_ALERTA,P_STATUS,"ABERTA")</f>
        <v>0</v>
      </c>
      <c r="D95" s="9" t="str">
        <f aca="false">IF($B95&gt;0,"ALERTA","OK")</f>
        <v>OK</v>
      </c>
    </row>
    <row r="96" customFormat="false" ht="15" hidden="false" customHeight="false" outlineLevel="0" collapsed="false">
      <c r="A96" s="9" t="s">
        <v>536</v>
      </c>
      <c r="B96" s="43" t="n">
        <f aca="false">COUNTIF(P_STATUS,"ABERTA")</f>
        <v>0</v>
      </c>
      <c r="C96" s="10" t="n">
        <f aca="false">SUMIFS(P_VALOR,P_STATUS,"ABERTA")</f>
        <v>0</v>
      </c>
      <c r="D96" s="9" t="str">
        <f aca="false">IF($B96&gt;0,"ALERTA","OK")</f>
        <v>OK</v>
      </c>
    </row>
    <row r="98" customFormat="false" ht="19.5" hidden="false" customHeight="true" outlineLevel="0" collapsed="false">
      <c r="A98" s="3" t="s">
        <v>537</v>
      </c>
      <c r="B98" s="3"/>
      <c r="C98" s="3"/>
      <c r="D98" s="3"/>
      <c r="E98" s="3"/>
      <c r="F98" s="3"/>
      <c r="G98" s="3"/>
    </row>
    <row r="99" customFormat="false" ht="30" hidden="false" customHeight="true" outlineLevel="0" collapsed="false">
      <c r="A99" s="8" t="s">
        <v>375</v>
      </c>
      <c r="B99" s="8" t="s">
        <v>206</v>
      </c>
      <c r="C99" s="8" t="s">
        <v>138</v>
      </c>
      <c r="D99" s="8" t="s">
        <v>538</v>
      </c>
      <c r="E99" s="8" t="s">
        <v>44</v>
      </c>
    </row>
    <row r="100" customFormat="false" ht="15" hidden="false" customHeight="false" outlineLevel="0" collapsed="false">
      <c r="A100" s="9" t="str">
        <f aca="false">IF(CAD_Investimentos!$A5="","",CAD_Investimentos!$B5)</f>
        <v/>
      </c>
      <c r="B100" s="10" t="str">
        <f aca="false">IF(CAD_Investimentos!$A5="","",CAD_Investimentos!$O5)</f>
        <v/>
      </c>
      <c r="C100" s="44" t="str">
        <f aca="false">IF(CAD_Investimentos!$A5="","",CAD_Investimentos!$K5)</f>
        <v/>
      </c>
      <c r="D100" s="43" t="str">
        <f aca="false">IF(OR($A100="",$C100=""),"",$C100-CFG_HOJE)</f>
        <v/>
      </c>
      <c r="E100" s="9" t="str">
        <f aca="false">IF(OR($A100="",$C100=""),"",IF(AND($D100&gt;=0,$D100&lt;=CFG_DIAS_INV),"ALERTA","OK"))</f>
        <v/>
      </c>
    </row>
    <row r="101" customFormat="false" ht="15" hidden="false" customHeight="false" outlineLevel="0" collapsed="false">
      <c r="A101" s="9" t="str">
        <f aca="false">IF(CAD_Investimentos!$A6="","",CAD_Investimentos!$B6)</f>
        <v/>
      </c>
      <c r="B101" s="10" t="str">
        <f aca="false">IF(CAD_Investimentos!$A6="","",CAD_Investimentos!$O6)</f>
        <v/>
      </c>
      <c r="C101" s="44" t="str">
        <f aca="false">IF(CAD_Investimentos!$A6="","",CAD_Investimentos!$K6)</f>
        <v/>
      </c>
      <c r="D101" s="43" t="str">
        <f aca="false">IF(OR($A101="",$C101=""),"",$C101-CFG_HOJE)</f>
        <v/>
      </c>
      <c r="E101" s="9" t="str">
        <f aca="false">IF(OR($A101="",$C101=""),"",IF(AND($D101&gt;=0,$D101&lt;=CFG_DIAS_INV),"ALERTA","OK"))</f>
        <v/>
      </c>
    </row>
    <row r="102" customFormat="false" ht="15" hidden="false" customHeight="false" outlineLevel="0" collapsed="false">
      <c r="A102" s="9" t="str">
        <f aca="false">IF(CAD_Investimentos!$A7="","",CAD_Investimentos!$B7)</f>
        <v/>
      </c>
      <c r="B102" s="10" t="str">
        <f aca="false">IF(CAD_Investimentos!$A7="","",CAD_Investimentos!$O7)</f>
        <v/>
      </c>
      <c r="C102" s="44" t="str">
        <f aca="false">IF(CAD_Investimentos!$A7="","",CAD_Investimentos!$K7)</f>
        <v/>
      </c>
      <c r="D102" s="43" t="str">
        <f aca="false">IF(OR($A102="",$C102=""),"",$C102-CFG_HOJE)</f>
        <v/>
      </c>
      <c r="E102" s="9" t="str">
        <f aca="false">IF(OR($A102="",$C102=""),"",IF(AND($D102&gt;=0,$D102&lt;=CFG_DIAS_INV),"ALERTA","OK"))</f>
        <v/>
      </c>
    </row>
    <row r="103" customFormat="false" ht="15" hidden="false" customHeight="false" outlineLevel="0" collapsed="false">
      <c r="A103" s="9" t="str">
        <f aca="false">IF(CAD_Investimentos!$A8="","",CAD_Investimentos!$B8)</f>
        <v/>
      </c>
      <c r="B103" s="10" t="str">
        <f aca="false">IF(CAD_Investimentos!$A8="","",CAD_Investimentos!$O8)</f>
        <v/>
      </c>
      <c r="C103" s="44" t="str">
        <f aca="false">IF(CAD_Investimentos!$A8="","",CAD_Investimentos!$K8)</f>
        <v/>
      </c>
      <c r="D103" s="43" t="str">
        <f aca="false">IF(OR($A103="",$C103=""),"",$C103-CFG_HOJE)</f>
        <v/>
      </c>
      <c r="E103" s="9" t="str">
        <f aca="false">IF(OR($A103="",$C103=""),"",IF(AND($D103&gt;=0,$D103&lt;=CFG_DIAS_INV),"ALERTA","OK"))</f>
        <v/>
      </c>
    </row>
    <row r="104" customFormat="false" ht="15" hidden="false" customHeight="false" outlineLevel="0" collapsed="false">
      <c r="A104" s="9" t="str">
        <f aca="false">IF(CAD_Investimentos!$A9="","",CAD_Investimentos!$B9)</f>
        <v/>
      </c>
      <c r="B104" s="10" t="str">
        <f aca="false">IF(CAD_Investimentos!$A9="","",CAD_Investimentos!$O9)</f>
        <v/>
      </c>
      <c r="C104" s="44" t="str">
        <f aca="false">IF(CAD_Investimentos!$A9="","",CAD_Investimentos!$K9)</f>
        <v/>
      </c>
      <c r="D104" s="43" t="str">
        <f aca="false">IF(OR($A104="",$C104=""),"",$C104-CFG_HOJE)</f>
        <v/>
      </c>
      <c r="E104" s="9" t="str">
        <f aca="false">IF(OR($A104="",$C104=""),"",IF(AND($D104&gt;=0,$D104&lt;=CFG_DIAS_INV),"ALERTA","OK"))</f>
        <v/>
      </c>
    </row>
    <row r="105" customFormat="false" ht="15" hidden="false" customHeight="false" outlineLevel="0" collapsed="false">
      <c r="A105" s="9" t="str">
        <f aca="false">IF(CAD_Investimentos!$A10="","",CAD_Investimentos!$B10)</f>
        <v/>
      </c>
      <c r="B105" s="10" t="str">
        <f aca="false">IF(CAD_Investimentos!$A10="","",CAD_Investimentos!$O10)</f>
        <v/>
      </c>
      <c r="C105" s="44" t="str">
        <f aca="false">IF(CAD_Investimentos!$A10="","",CAD_Investimentos!$K10)</f>
        <v/>
      </c>
      <c r="D105" s="43" t="str">
        <f aca="false">IF(OR($A105="",$C105=""),"",$C105-CFG_HOJE)</f>
        <v/>
      </c>
      <c r="E105" s="9" t="str">
        <f aca="false">IF(OR($A105="",$C105=""),"",IF(AND($D105&gt;=0,$D105&lt;=CFG_DIAS_INV),"ALERTA","OK"))</f>
        <v/>
      </c>
    </row>
    <row r="106" customFormat="false" ht="15" hidden="false" customHeight="false" outlineLevel="0" collapsed="false">
      <c r="A106" s="9" t="str">
        <f aca="false">IF(CAD_Investimentos!$A11="","",CAD_Investimentos!$B11)</f>
        <v/>
      </c>
      <c r="B106" s="10" t="str">
        <f aca="false">IF(CAD_Investimentos!$A11="","",CAD_Investimentos!$O11)</f>
        <v/>
      </c>
      <c r="C106" s="44" t="str">
        <f aca="false">IF(CAD_Investimentos!$A11="","",CAD_Investimentos!$K11)</f>
        <v/>
      </c>
      <c r="D106" s="43" t="str">
        <f aca="false">IF(OR($A106="",$C106=""),"",$C106-CFG_HOJE)</f>
        <v/>
      </c>
      <c r="E106" s="9" t="str">
        <f aca="false">IF(OR($A106="",$C106=""),"",IF(AND($D106&gt;=0,$D106&lt;=CFG_DIAS_INV),"ALERTA","OK"))</f>
        <v/>
      </c>
    </row>
    <row r="107" customFormat="false" ht="15" hidden="false" customHeight="false" outlineLevel="0" collapsed="false">
      <c r="A107" s="9" t="str">
        <f aca="false">IF(CAD_Investimentos!$A12="","",CAD_Investimentos!$B12)</f>
        <v/>
      </c>
      <c r="B107" s="10" t="str">
        <f aca="false">IF(CAD_Investimentos!$A12="","",CAD_Investimentos!$O12)</f>
        <v/>
      </c>
      <c r="C107" s="44" t="str">
        <f aca="false">IF(CAD_Investimentos!$A12="","",CAD_Investimentos!$K12)</f>
        <v/>
      </c>
      <c r="D107" s="43" t="str">
        <f aca="false">IF(OR($A107="",$C107=""),"",$C107-CFG_HOJE)</f>
        <v/>
      </c>
      <c r="E107" s="9" t="str">
        <f aca="false">IF(OR($A107="",$C107=""),"",IF(AND($D107&gt;=0,$D107&lt;=CFG_DIAS_INV),"ALERTA","OK"))</f>
        <v/>
      </c>
    </row>
    <row r="108" customFormat="false" ht="15" hidden="false" customHeight="false" outlineLevel="0" collapsed="false">
      <c r="A108" s="9" t="str">
        <f aca="false">IF(CAD_Investimentos!$A13="","",CAD_Investimentos!$B13)</f>
        <v/>
      </c>
      <c r="B108" s="10" t="str">
        <f aca="false">IF(CAD_Investimentos!$A13="","",CAD_Investimentos!$O13)</f>
        <v/>
      </c>
      <c r="C108" s="44" t="str">
        <f aca="false">IF(CAD_Investimentos!$A13="","",CAD_Investimentos!$K13)</f>
        <v/>
      </c>
      <c r="D108" s="43" t="str">
        <f aca="false">IF(OR($A108="",$C108=""),"",$C108-CFG_HOJE)</f>
        <v/>
      </c>
      <c r="E108" s="9" t="str">
        <f aca="false">IF(OR($A108="",$C108=""),"",IF(AND($D108&gt;=0,$D108&lt;=CFG_DIAS_INV),"ALERTA","OK"))</f>
        <v/>
      </c>
    </row>
    <row r="109" customFormat="false" ht="15" hidden="false" customHeight="false" outlineLevel="0" collapsed="false">
      <c r="A109" s="9" t="str">
        <f aca="false">IF(CAD_Investimentos!$A14="","",CAD_Investimentos!$B14)</f>
        <v/>
      </c>
      <c r="B109" s="10" t="str">
        <f aca="false">IF(CAD_Investimentos!$A14="","",CAD_Investimentos!$O14)</f>
        <v/>
      </c>
      <c r="C109" s="44" t="str">
        <f aca="false">IF(CAD_Investimentos!$A14="","",CAD_Investimentos!$K14)</f>
        <v/>
      </c>
      <c r="D109" s="43" t="str">
        <f aca="false">IF(OR($A109="",$C109=""),"",$C109-CFG_HOJE)</f>
        <v/>
      </c>
      <c r="E109" s="9" t="str">
        <f aca="false">IF(OR($A109="",$C109=""),"",IF(AND($D109&gt;=0,$D109&lt;=CFG_DIAS_INV),"ALERTA","OK"))</f>
        <v/>
      </c>
    </row>
    <row r="110" customFormat="false" ht="15" hidden="false" customHeight="false" outlineLevel="0" collapsed="false">
      <c r="A110" s="9" t="str">
        <f aca="false">IF(CAD_Investimentos!$A15="","",CAD_Investimentos!$B15)</f>
        <v/>
      </c>
      <c r="B110" s="10" t="str">
        <f aca="false">IF(CAD_Investimentos!$A15="","",CAD_Investimentos!$O15)</f>
        <v/>
      </c>
      <c r="C110" s="44" t="str">
        <f aca="false">IF(CAD_Investimentos!$A15="","",CAD_Investimentos!$K15)</f>
        <v/>
      </c>
      <c r="D110" s="43" t="str">
        <f aca="false">IF(OR($A110="",$C110=""),"",$C110-CFG_HOJE)</f>
        <v/>
      </c>
      <c r="E110" s="9" t="str">
        <f aca="false">IF(OR($A110="",$C110=""),"",IF(AND($D110&gt;=0,$D110&lt;=CFG_DIAS_INV),"ALERTA","OK"))</f>
        <v/>
      </c>
    </row>
    <row r="111" customFormat="false" ht="15" hidden="false" customHeight="false" outlineLevel="0" collapsed="false">
      <c r="A111" s="9" t="str">
        <f aca="false">IF(CAD_Investimentos!$A16="","",CAD_Investimentos!$B16)</f>
        <v/>
      </c>
      <c r="B111" s="10" t="str">
        <f aca="false">IF(CAD_Investimentos!$A16="","",CAD_Investimentos!$O16)</f>
        <v/>
      </c>
      <c r="C111" s="44" t="str">
        <f aca="false">IF(CAD_Investimentos!$A16="","",CAD_Investimentos!$K16)</f>
        <v/>
      </c>
      <c r="D111" s="43" t="str">
        <f aca="false">IF(OR($A111="",$C111=""),"",$C111-CFG_HOJE)</f>
        <v/>
      </c>
      <c r="E111" s="9" t="str">
        <f aca="false">IF(OR($A111="",$C111=""),"",IF(AND($D111&gt;=0,$D111&lt;=CFG_DIAS_INV),"ALERTA","OK"))</f>
        <v/>
      </c>
    </row>
    <row r="112" customFormat="false" ht="15" hidden="false" customHeight="false" outlineLevel="0" collapsed="false">
      <c r="A112" s="9" t="str">
        <f aca="false">IF(CAD_Investimentos!$A17="","",CAD_Investimentos!$B17)</f>
        <v/>
      </c>
      <c r="B112" s="10" t="str">
        <f aca="false">IF(CAD_Investimentos!$A17="","",CAD_Investimentos!$O17)</f>
        <v/>
      </c>
      <c r="C112" s="44" t="str">
        <f aca="false">IF(CAD_Investimentos!$A17="","",CAD_Investimentos!$K17)</f>
        <v/>
      </c>
      <c r="D112" s="43" t="str">
        <f aca="false">IF(OR($A112="",$C112=""),"",$C112-CFG_HOJE)</f>
        <v/>
      </c>
      <c r="E112" s="9" t="str">
        <f aca="false">IF(OR($A112="",$C112=""),"",IF(AND($D112&gt;=0,$D112&lt;=CFG_DIAS_INV),"ALERTA","OK"))</f>
        <v/>
      </c>
    </row>
    <row r="113" customFormat="false" ht="15" hidden="false" customHeight="false" outlineLevel="0" collapsed="false">
      <c r="A113" s="9" t="str">
        <f aca="false">IF(CAD_Investimentos!$A18="","",CAD_Investimentos!$B18)</f>
        <v/>
      </c>
      <c r="B113" s="10" t="str">
        <f aca="false">IF(CAD_Investimentos!$A18="","",CAD_Investimentos!$O18)</f>
        <v/>
      </c>
      <c r="C113" s="44" t="str">
        <f aca="false">IF(CAD_Investimentos!$A18="","",CAD_Investimentos!$K18)</f>
        <v/>
      </c>
      <c r="D113" s="43" t="str">
        <f aca="false">IF(OR($A113="",$C113=""),"",$C113-CFG_HOJE)</f>
        <v/>
      </c>
      <c r="E113" s="9" t="str">
        <f aca="false">IF(OR($A113="",$C113=""),"",IF(AND($D113&gt;=0,$D113&lt;=CFG_DIAS_INV),"ALERTA","OK"))</f>
        <v/>
      </c>
    </row>
    <row r="114" customFormat="false" ht="15" hidden="false" customHeight="false" outlineLevel="0" collapsed="false">
      <c r="A114" s="9" t="str">
        <f aca="false">IF(CAD_Investimentos!$A19="","",CAD_Investimentos!$B19)</f>
        <v/>
      </c>
      <c r="B114" s="10" t="str">
        <f aca="false">IF(CAD_Investimentos!$A19="","",CAD_Investimentos!$O19)</f>
        <v/>
      </c>
      <c r="C114" s="44" t="str">
        <f aca="false">IF(CAD_Investimentos!$A19="","",CAD_Investimentos!$K19)</f>
        <v/>
      </c>
      <c r="D114" s="43" t="str">
        <f aca="false">IF(OR($A114="",$C114=""),"",$C114-CFG_HOJE)</f>
        <v/>
      </c>
      <c r="E114" s="9" t="str">
        <f aca="false">IF(OR($A114="",$C114=""),"",IF(AND($D114&gt;=0,$D114&lt;=CFG_DIAS_INV),"ALERTA","OK"))</f>
        <v/>
      </c>
    </row>
    <row r="115" customFormat="false" ht="15" hidden="false" customHeight="false" outlineLevel="0" collapsed="false">
      <c r="A115" s="9" t="str">
        <f aca="false">IF(CAD_Investimentos!$A20="","",CAD_Investimentos!$B20)</f>
        <v/>
      </c>
      <c r="B115" s="10" t="str">
        <f aca="false">IF(CAD_Investimentos!$A20="","",CAD_Investimentos!$O20)</f>
        <v/>
      </c>
      <c r="C115" s="44" t="str">
        <f aca="false">IF(CAD_Investimentos!$A20="","",CAD_Investimentos!$K20)</f>
        <v/>
      </c>
      <c r="D115" s="43" t="str">
        <f aca="false">IF(OR($A115="",$C115=""),"",$C115-CFG_HOJE)</f>
        <v/>
      </c>
      <c r="E115" s="9" t="str">
        <f aca="false">IF(OR($A115="",$C115=""),"",IF(AND($D115&gt;=0,$D115&lt;=CFG_DIAS_INV),"ALERTA","OK"))</f>
        <v/>
      </c>
    </row>
    <row r="116" customFormat="false" ht="15" hidden="false" customHeight="false" outlineLevel="0" collapsed="false">
      <c r="A116" s="9" t="str">
        <f aca="false">IF(CAD_Investimentos!$A21="","",CAD_Investimentos!$B21)</f>
        <v/>
      </c>
      <c r="B116" s="10" t="str">
        <f aca="false">IF(CAD_Investimentos!$A21="","",CAD_Investimentos!$O21)</f>
        <v/>
      </c>
      <c r="C116" s="44" t="str">
        <f aca="false">IF(CAD_Investimentos!$A21="","",CAD_Investimentos!$K21)</f>
        <v/>
      </c>
      <c r="D116" s="43" t="str">
        <f aca="false">IF(OR($A116="",$C116=""),"",$C116-CFG_HOJE)</f>
        <v/>
      </c>
      <c r="E116" s="9" t="str">
        <f aca="false">IF(OR($A116="",$C116=""),"",IF(AND($D116&gt;=0,$D116&lt;=CFG_DIAS_INV),"ALERTA","OK"))</f>
        <v/>
      </c>
    </row>
    <row r="117" customFormat="false" ht="15" hidden="false" customHeight="false" outlineLevel="0" collapsed="false">
      <c r="A117" s="9" t="str">
        <f aca="false">IF(CAD_Investimentos!$A22="","",CAD_Investimentos!$B22)</f>
        <v/>
      </c>
      <c r="B117" s="10" t="str">
        <f aca="false">IF(CAD_Investimentos!$A22="","",CAD_Investimentos!$O22)</f>
        <v/>
      </c>
      <c r="C117" s="44" t="str">
        <f aca="false">IF(CAD_Investimentos!$A22="","",CAD_Investimentos!$K22)</f>
        <v/>
      </c>
      <c r="D117" s="43" t="str">
        <f aca="false">IF(OR($A117="",$C117=""),"",$C117-CFG_HOJE)</f>
        <v/>
      </c>
      <c r="E117" s="9" t="str">
        <f aca="false">IF(OR($A117="",$C117=""),"",IF(AND($D117&gt;=0,$D117&lt;=CFG_DIAS_INV),"ALERTA","OK"))</f>
        <v/>
      </c>
    </row>
    <row r="118" customFormat="false" ht="15" hidden="false" customHeight="false" outlineLevel="0" collapsed="false">
      <c r="A118" s="9" t="str">
        <f aca="false">IF(CAD_Investimentos!$A23="","",CAD_Investimentos!$B23)</f>
        <v/>
      </c>
      <c r="B118" s="10" t="str">
        <f aca="false">IF(CAD_Investimentos!$A23="","",CAD_Investimentos!$O23)</f>
        <v/>
      </c>
      <c r="C118" s="44" t="str">
        <f aca="false">IF(CAD_Investimentos!$A23="","",CAD_Investimentos!$K23)</f>
        <v/>
      </c>
      <c r="D118" s="43" t="str">
        <f aca="false">IF(OR($A118="",$C118=""),"",$C118-CFG_HOJE)</f>
        <v/>
      </c>
      <c r="E118" s="9" t="str">
        <f aca="false">IF(OR($A118="",$C118=""),"",IF(AND($D118&gt;=0,$D118&lt;=CFG_DIAS_INV),"ALERTA","OK"))</f>
        <v/>
      </c>
    </row>
    <row r="119" customFormat="false" ht="15" hidden="false" customHeight="false" outlineLevel="0" collapsed="false">
      <c r="A119" s="9" t="str">
        <f aca="false">IF(CAD_Investimentos!$A24="","",CAD_Investimentos!$B24)</f>
        <v/>
      </c>
      <c r="B119" s="10" t="str">
        <f aca="false">IF(CAD_Investimentos!$A24="","",CAD_Investimentos!$O24)</f>
        <v/>
      </c>
      <c r="C119" s="44" t="str">
        <f aca="false">IF(CAD_Investimentos!$A24="","",CAD_Investimentos!$K24)</f>
        <v/>
      </c>
      <c r="D119" s="43" t="str">
        <f aca="false">IF(OR($A119="",$C119=""),"",$C119-CFG_HOJE)</f>
        <v/>
      </c>
      <c r="E119" s="9" t="str">
        <f aca="false">IF(OR($A119="",$C119=""),"",IF(AND($D119&gt;=0,$D119&lt;=CFG_DIAS_INV),"ALERTA","OK"))</f>
        <v/>
      </c>
    </row>
    <row r="120" customFormat="false" ht="15" hidden="false" customHeight="false" outlineLevel="0" collapsed="false">
      <c r="A120" s="9" t="str">
        <f aca="false">IF(CAD_Investimentos!$A25="","",CAD_Investimentos!$B25)</f>
        <v/>
      </c>
      <c r="B120" s="10" t="str">
        <f aca="false">IF(CAD_Investimentos!$A25="","",CAD_Investimentos!$O25)</f>
        <v/>
      </c>
      <c r="C120" s="44" t="str">
        <f aca="false">IF(CAD_Investimentos!$A25="","",CAD_Investimentos!$K25)</f>
        <v/>
      </c>
      <c r="D120" s="43" t="str">
        <f aca="false">IF(OR($A120="",$C120=""),"",$C120-CFG_HOJE)</f>
        <v/>
      </c>
      <c r="E120" s="9" t="str">
        <f aca="false">IF(OR($A120="",$C120=""),"",IF(AND($D120&gt;=0,$D120&lt;=CFG_DIAS_INV),"ALERTA","OK"))</f>
        <v/>
      </c>
    </row>
    <row r="121" customFormat="false" ht="15" hidden="false" customHeight="false" outlineLevel="0" collapsed="false">
      <c r="A121" s="9" t="str">
        <f aca="false">IF(CAD_Investimentos!$A26="","",CAD_Investimentos!$B26)</f>
        <v/>
      </c>
      <c r="B121" s="10" t="str">
        <f aca="false">IF(CAD_Investimentos!$A26="","",CAD_Investimentos!$O26)</f>
        <v/>
      </c>
      <c r="C121" s="44" t="str">
        <f aca="false">IF(CAD_Investimentos!$A26="","",CAD_Investimentos!$K26)</f>
        <v/>
      </c>
      <c r="D121" s="43" t="str">
        <f aca="false">IF(OR($A121="",$C121=""),"",$C121-CFG_HOJE)</f>
        <v/>
      </c>
      <c r="E121" s="9" t="str">
        <f aca="false">IF(OR($A121="",$C121=""),"",IF(AND($D121&gt;=0,$D121&lt;=CFG_DIAS_INV),"ALERTA","OK"))</f>
        <v/>
      </c>
    </row>
    <row r="122" customFormat="false" ht="15" hidden="false" customHeight="false" outlineLevel="0" collapsed="false">
      <c r="A122" s="9" t="str">
        <f aca="false">IF(CAD_Investimentos!$A27="","",CAD_Investimentos!$B27)</f>
        <v/>
      </c>
      <c r="B122" s="10" t="str">
        <f aca="false">IF(CAD_Investimentos!$A27="","",CAD_Investimentos!$O27)</f>
        <v/>
      </c>
      <c r="C122" s="44" t="str">
        <f aca="false">IF(CAD_Investimentos!$A27="","",CAD_Investimentos!$K27)</f>
        <v/>
      </c>
      <c r="D122" s="43" t="str">
        <f aca="false">IF(OR($A122="",$C122=""),"",$C122-CFG_HOJE)</f>
        <v/>
      </c>
      <c r="E122" s="9" t="str">
        <f aca="false">IF(OR($A122="",$C122=""),"",IF(AND($D122&gt;=0,$D122&lt;=CFG_DIAS_INV),"ALERTA","OK"))</f>
        <v/>
      </c>
    </row>
    <row r="123" customFormat="false" ht="15" hidden="false" customHeight="false" outlineLevel="0" collapsed="false">
      <c r="A123" s="9" t="str">
        <f aca="false">IF(CAD_Investimentos!$A28="","",CAD_Investimentos!$B28)</f>
        <v/>
      </c>
      <c r="B123" s="10" t="str">
        <f aca="false">IF(CAD_Investimentos!$A28="","",CAD_Investimentos!$O28)</f>
        <v/>
      </c>
      <c r="C123" s="44" t="str">
        <f aca="false">IF(CAD_Investimentos!$A28="","",CAD_Investimentos!$K28)</f>
        <v/>
      </c>
      <c r="D123" s="43" t="str">
        <f aca="false">IF(OR($A123="",$C123=""),"",$C123-CFG_HOJE)</f>
        <v/>
      </c>
      <c r="E123" s="9" t="str">
        <f aca="false">IF(OR($A123="",$C123=""),"",IF(AND($D123&gt;=0,$D123&lt;=CFG_DIAS_INV),"ALERTA","OK"))</f>
        <v/>
      </c>
    </row>
    <row r="124" customFormat="false" ht="15" hidden="false" customHeight="false" outlineLevel="0" collapsed="false">
      <c r="A124" s="9" t="str">
        <f aca="false">IF(CAD_Investimentos!$A29="","",CAD_Investimentos!$B29)</f>
        <v/>
      </c>
      <c r="B124" s="10" t="str">
        <f aca="false">IF(CAD_Investimentos!$A29="","",CAD_Investimentos!$O29)</f>
        <v/>
      </c>
      <c r="C124" s="44" t="str">
        <f aca="false">IF(CAD_Investimentos!$A29="","",CAD_Investimentos!$K29)</f>
        <v/>
      </c>
      <c r="D124" s="43" t="str">
        <f aca="false">IF(OR($A124="",$C124=""),"",$C124-CFG_HOJE)</f>
        <v/>
      </c>
      <c r="E124" s="9" t="str">
        <f aca="false">IF(OR($A124="",$C124=""),"",IF(AND($D124&gt;=0,$D124&lt;=CFG_DIAS_INV),"ALERTA","OK"))</f>
        <v/>
      </c>
    </row>
    <row r="125" customFormat="false" ht="15" hidden="false" customHeight="false" outlineLevel="0" collapsed="false">
      <c r="A125" s="9" t="str">
        <f aca="false">IF(CAD_Investimentos!$A30="","",CAD_Investimentos!$B30)</f>
        <v/>
      </c>
      <c r="B125" s="10" t="str">
        <f aca="false">IF(CAD_Investimentos!$A30="","",CAD_Investimentos!$O30)</f>
        <v/>
      </c>
      <c r="C125" s="44" t="str">
        <f aca="false">IF(CAD_Investimentos!$A30="","",CAD_Investimentos!$K30)</f>
        <v/>
      </c>
      <c r="D125" s="43" t="str">
        <f aca="false">IF(OR($A125="",$C125=""),"",$C125-CFG_HOJE)</f>
        <v/>
      </c>
      <c r="E125" s="9" t="str">
        <f aca="false">IF(OR($A125="",$C125=""),"",IF(AND($D125&gt;=0,$D125&lt;=CFG_DIAS_INV),"ALERTA","OK"))</f>
        <v/>
      </c>
    </row>
    <row r="126" customFormat="false" ht="15" hidden="false" customHeight="false" outlineLevel="0" collapsed="false">
      <c r="A126" s="9" t="str">
        <f aca="false">IF(CAD_Investimentos!$A31="","",CAD_Investimentos!$B31)</f>
        <v/>
      </c>
      <c r="B126" s="10" t="str">
        <f aca="false">IF(CAD_Investimentos!$A31="","",CAD_Investimentos!$O31)</f>
        <v/>
      </c>
      <c r="C126" s="44" t="str">
        <f aca="false">IF(CAD_Investimentos!$A31="","",CAD_Investimentos!$K31)</f>
        <v/>
      </c>
      <c r="D126" s="43" t="str">
        <f aca="false">IF(OR($A126="",$C126=""),"",$C126-CFG_HOJE)</f>
        <v/>
      </c>
      <c r="E126" s="9" t="str">
        <f aca="false">IF(OR($A126="",$C126=""),"",IF(AND($D126&gt;=0,$D126&lt;=CFG_DIAS_INV),"ALERTA","OK"))</f>
        <v/>
      </c>
    </row>
    <row r="127" customFormat="false" ht="15" hidden="false" customHeight="false" outlineLevel="0" collapsed="false">
      <c r="A127" s="9" t="str">
        <f aca="false">IF(CAD_Investimentos!$A32="","",CAD_Investimentos!$B32)</f>
        <v/>
      </c>
      <c r="B127" s="10" t="str">
        <f aca="false">IF(CAD_Investimentos!$A32="","",CAD_Investimentos!$O32)</f>
        <v/>
      </c>
      <c r="C127" s="44" t="str">
        <f aca="false">IF(CAD_Investimentos!$A32="","",CAD_Investimentos!$K32)</f>
        <v/>
      </c>
      <c r="D127" s="43" t="str">
        <f aca="false">IF(OR($A127="",$C127=""),"",$C127-CFG_HOJE)</f>
        <v/>
      </c>
      <c r="E127" s="9" t="str">
        <f aca="false">IF(OR($A127="",$C127=""),"",IF(AND($D127&gt;=0,$D127&lt;=CFG_DIAS_INV),"ALERTA","OK"))</f>
        <v/>
      </c>
    </row>
    <row r="128" customFormat="false" ht="15" hidden="false" customHeight="false" outlineLevel="0" collapsed="false">
      <c r="A128" s="9" t="str">
        <f aca="false">IF(CAD_Investimentos!$A33="","",CAD_Investimentos!$B33)</f>
        <v/>
      </c>
      <c r="B128" s="10" t="str">
        <f aca="false">IF(CAD_Investimentos!$A33="","",CAD_Investimentos!$O33)</f>
        <v/>
      </c>
      <c r="C128" s="44" t="str">
        <f aca="false">IF(CAD_Investimentos!$A33="","",CAD_Investimentos!$K33)</f>
        <v/>
      </c>
      <c r="D128" s="43" t="str">
        <f aca="false">IF(OR($A128="",$C128=""),"",$C128-CFG_HOJE)</f>
        <v/>
      </c>
      <c r="E128" s="9" t="str">
        <f aca="false">IF(OR($A128="",$C128=""),"",IF(AND($D128&gt;=0,$D128&lt;=CFG_DIAS_INV),"ALERTA","OK"))</f>
        <v/>
      </c>
    </row>
    <row r="129" customFormat="false" ht="15" hidden="false" customHeight="false" outlineLevel="0" collapsed="false">
      <c r="A129" s="9" t="str">
        <f aca="false">IF(CAD_Investimentos!$A34="","",CAD_Investimentos!$B34)</f>
        <v/>
      </c>
      <c r="B129" s="10" t="str">
        <f aca="false">IF(CAD_Investimentos!$A34="","",CAD_Investimentos!$O34)</f>
        <v/>
      </c>
      <c r="C129" s="44" t="str">
        <f aca="false">IF(CAD_Investimentos!$A34="","",CAD_Investimentos!$K34)</f>
        <v/>
      </c>
      <c r="D129" s="43" t="str">
        <f aca="false">IF(OR($A129="",$C129=""),"",$C129-CFG_HOJE)</f>
        <v/>
      </c>
      <c r="E129" s="9" t="str">
        <f aca="false">IF(OR($A129="",$C129=""),"",IF(AND($D129&gt;=0,$D129&lt;=CFG_DIAS_INV),"ALERTA","OK"))</f>
        <v/>
      </c>
    </row>
    <row r="130" customFormat="false" ht="15" hidden="false" customHeight="false" outlineLevel="0" collapsed="false">
      <c r="A130" s="9" t="str">
        <f aca="false">IF(CAD_Investimentos!$A35="","",CAD_Investimentos!$B35)</f>
        <v/>
      </c>
      <c r="B130" s="10" t="str">
        <f aca="false">IF(CAD_Investimentos!$A35="","",CAD_Investimentos!$O35)</f>
        <v/>
      </c>
      <c r="C130" s="44" t="str">
        <f aca="false">IF(CAD_Investimentos!$A35="","",CAD_Investimentos!$K35)</f>
        <v/>
      </c>
      <c r="D130" s="43" t="str">
        <f aca="false">IF(OR($A130="",$C130=""),"",$C130-CFG_HOJE)</f>
        <v/>
      </c>
      <c r="E130" s="9" t="str">
        <f aca="false">IF(OR($A130="",$C130=""),"",IF(AND($D130&gt;=0,$D130&lt;=CFG_DIAS_INV),"ALERTA","OK"))</f>
        <v/>
      </c>
    </row>
    <row r="131" customFormat="false" ht="15" hidden="false" customHeight="false" outlineLevel="0" collapsed="false">
      <c r="A131" s="9" t="str">
        <f aca="false">IF(CAD_Investimentos!$A36="","",CAD_Investimentos!$B36)</f>
        <v/>
      </c>
      <c r="B131" s="10" t="str">
        <f aca="false">IF(CAD_Investimentos!$A36="","",CAD_Investimentos!$O36)</f>
        <v/>
      </c>
      <c r="C131" s="44" t="str">
        <f aca="false">IF(CAD_Investimentos!$A36="","",CAD_Investimentos!$K36)</f>
        <v/>
      </c>
      <c r="D131" s="43" t="str">
        <f aca="false">IF(OR($A131="",$C131=""),"",$C131-CFG_HOJE)</f>
        <v/>
      </c>
      <c r="E131" s="9" t="str">
        <f aca="false">IF(OR($A131="",$C131=""),"",IF(AND($D131&gt;=0,$D131&lt;=CFG_DIAS_INV),"ALERTA","OK"))</f>
        <v/>
      </c>
    </row>
    <row r="132" customFormat="false" ht="15" hidden="false" customHeight="false" outlineLevel="0" collapsed="false">
      <c r="A132" s="9" t="str">
        <f aca="false">IF(CAD_Investimentos!$A37="","",CAD_Investimentos!$B37)</f>
        <v/>
      </c>
      <c r="B132" s="10" t="str">
        <f aca="false">IF(CAD_Investimentos!$A37="","",CAD_Investimentos!$O37)</f>
        <v/>
      </c>
      <c r="C132" s="44" t="str">
        <f aca="false">IF(CAD_Investimentos!$A37="","",CAD_Investimentos!$K37)</f>
        <v/>
      </c>
      <c r="D132" s="43" t="str">
        <f aca="false">IF(OR($A132="",$C132=""),"",$C132-CFG_HOJE)</f>
        <v/>
      </c>
      <c r="E132" s="9" t="str">
        <f aca="false">IF(OR($A132="",$C132=""),"",IF(AND($D132&gt;=0,$D132&lt;=CFG_DIAS_INV),"ALERTA","OK"))</f>
        <v/>
      </c>
    </row>
    <row r="133" customFormat="false" ht="15" hidden="false" customHeight="false" outlineLevel="0" collapsed="false">
      <c r="A133" s="9" t="str">
        <f aca="false">IF(CAD_Investimentos!$A38="","",CAD_Investimentos!$B38)</f>
        <v/>
      </c>
      <c r="B133" s="10" t="str">
        <f aca="false">IF(CAD_Investimentos!$A38="","",CAD_Investimentos!$O38)</f>
        <v/>
      </c>
      <c r="C133" s="44" t="str">
        <f aca="false">IF(CAD_Investimentos!$A38="","",CAD_Investimentos!$K38)</f>
        <v/>
      </c>
      <c r="D133" s="43" t="str">
        <f aca="false">IF(OR($A133="",$C133=""),"",$C133-CFG_HOJE)</f>
        <v/>
      </c>
      <c r="E133" s="9" t="str">
        <f aca="false">IF(OR($A133="",$C133=""),"",IF(AND($D133&gt;=0,$D133&lt;=CFG_DIAS_INV),"ALERTA","OK"))</f>
        <v/>
      </c>
    </row>
    <row r="134" customFormat="false" ht="15" hidden="false" customHeight="false" outlineLevel="0" collapsed="false">
      <c r="A134" s="9" t="str">
        <f aca="false">IF(CAD_Investimentos!$A39="","",CAD_Investimentos!$B39)</f>
        <v/>
      </c>
      <c r="B134" s="10" t="str">
        <f aca="false">IF(CAD_Investimentos!$A39="","",CAD_Investimentos!$O39)</f>
        <v/>
      </c>
      <c r="C134" s="44" t="str">
        <f aca="false">IF(CAD_Investimentos!$A39="","",CAD_Investimentos!$K39)</f>
        <v/>
      </c>
      <c r="D134" s="43" t="str">
        <f aca="false">IF(OR($A134="",$C134=""),"",$C134-CFG_HOJE)</f>
        <v/>
      </c>
      <c r="E134" s="9" t="str">
        <f aca="false">IF(OR($A134="",$C134=""),"",IF(AND($D134&gt;=0,$D134&lt;=CFG_DIAS_INV),"ALERTA","OK"))</f>
        <v/>
      </c>
    </row>
    <row r="135" customFormat="false" ht="15" hidden="false" customHeight="false" outlineLevel="0" collapsed="false">
      <c r="A135" s="9" t="str">
        <f aca="false">IF(CAD_Investimentos!$A40="","",CAD_Investimentos!$B40)</f>
        <v/>
      </c>
      <c r="B135" s="10" t="str">
        <f aca="false">IF(CAD_Investimentos!$A40="","",CAD_Investimentos!$O40)</f>
        <v/>
      </c>
      <c r="C135" s="44" t="str">
        <f aca="false">IF(CAD_Investimentos!$A40="","",CAD_Investimentos!$K40)</f>
        <v/>
      </c>
      <c r="D135" s="43" t="str">
        <f aca="false">IF(OR($A135="",$C135=""),"",$C135-CFG_HOJE)</f>
        <v/>
      </c>
      <c r="E135" s="9" t="str">
        <f aca="false">IF(OR($A135="",$C135=""),"",IF(AND($D135&gt;=0,$D135&lt;=CFG_DIAS_INV),"ALERTA","OK"))</f>
        <v/>
      </c>
    </row>
    <row r="136" customFormat="false" ht="15" hidden="false" customHeight="false" outlineLevel="0" collapsed="false">
      <c r="A136" s="9" t="str">
        <f aca="false">IF(CAD_Investimentos!$A41="","",CAD_Investimentos!$B41)</f>
        <v/>
      </c>
      <c r="B136" s="10" t="str">
        <f aca="false">IF(CAD_Investimentos!$A41="","",CAD_Investimentos!$O41)</f>
        <v/>
      </c>
      <c r="C136" s="44" t="str">
        <f aca="false">IF(CAD_Investimentos!$A41="","",CAD_Investimentos!$K41)</f>
        <v/>
      </c>
      <c r="D136" s="43" t="str">
        <f aca="false">IF(OR($A136="",$C136=""),"",$C136-CFG_HOJE)</f>
        <v/>
      </c>
      <c r="E136" s="9" t="str">
        <f aca="false">IF(OR($A136="",$C136=""),"",IF(AND($D136&gt;=0,$D136&lt;=CFG_DIAS_INV),"ALERTA","OK"))</f>
        <v/>
      </c>
    </row>
    <row r="137" customFormat="false" ht="15" hidden="false" customHeight="false" outlineLevel="0" collapsed="false">
      <c r="A137" s="9" t="str">
        <f aca="false">IF(CAD_Investimentos!$A42="","",CAD_Investimentos!$B42)</f>
        <v/>
      </c>
      <c r="B137" s="10" t="str">
        <f aca="false">IF(CAD_Investimentos!$A42="","",CAD_Investimentos!$O42)</f>
        <v/>
      </c>
      <c r="C137" s="44" t="str">
        <f aca="false">IF(CAD_Investimentos!$A42="","",CAD_Investimentos!$K42)</f>
        <v/>
      </c>
      <c r="D137" s="43" t="str">
        <f aca="false">IF(OR($A137="",$C137=""),"",$C137-CFG_HOJE)</f>
        <v/>
      </c>
      <c r="E137" s="9" t="str">
        <f aca="false">IF(OR($A137="",$C137=""),"",IF(AND($D137&gt;=0,$D137&lt;=CFG_DIAS_INV),"ALERTA","OK"))</f>
        <v/>
      </c>
    </row>
    <row r="138" customFormat="false" ht="15" hidden="false" customHeight="false" outlineLevel="0" collapsed="false">
      <c r="A138" s="9" t="str">
        <f aca="false">IF(CAD_Investimentos!$A43="","",CAD_Investimentos!$B43)</f>
        <v/>
      </c>
      <c r="B138" s="10" t="str">
        <f aca="false">IF(CAD_Investimentos!$A43="","",CAD_Investimentos!$O43)</f>
        <v/>
      </c>
      <c r="C138" s="44" t="str">
        <f aca="false">IF(CAD_Investimentos!$A43="","",CAD_Investimentos!$K43)</f>
        <v/>
      </c>
      <c r="D138" s="43" t="str">
        <f aca="false">IF(OR($A138="",$C138=""),"",$C138-CFG_HOJE)</f>
        <v/>
      </c>
      <c r="E138" s="9" t="str">
        <f aca="false">IF(OR($A138="",$C138=""),"",IF(AND($D138&gt;=0,$D138&lt;=CFG_DIAS_INV),"ALERTA","OK"))</f>
        <v/>
      </c>
    </row>
    <row r="139" customFormat="false" ht="15" hidden="false" customHeight="false" outlineLevel="0" collapsed="false">
      <c r="A139" s="9" t="str">
        <f aca="false">IF(CAD_Investimentos!$A44="","",CAD_Investimentos!$B44)</f>
        <v/>
      </c>
      <c r="B139" s="10" t="str">
        <f aca="false">IF(CAD_Investimentos!$A44="","",CAD_Investimentos!$O44)</f>
        <v/>
      </c>
      <c r="C139" s="44" t="str">
        <f aca="false">IF(CAD_Investimentos!$A44="","",CAD_Investimentos!$K44)</f>
        <v/>
      </c>
      <c r="D139" s="43" t="str">
        <f aca="false">IF(OR($A139="",$C139=""),"",$C139-CFG_HOJE)</f>
        <v/>
      </c>
      <c r="E139" s="9" t="str">
        <f aca="false">IF(OR($A139="",$C139=""),"",IF(AND($D139&gt;=0,$D139&lt;=CFG_DIAS_INV),"ALERTA","OK"))</f>
        <v/>
      </c>
    </row>
    <row r="141" customFormat="false" ht="19.5" hidden="false" customHeight="true" outlineLevel="0" collapsed="false">
      <c r="A141" s="3" t="s">
        <v>539</v>
      </c>
      <c r="B141" s="3"/>
      <c r="C141" s="3"/>
      <c r="D141" s="3"/>
      <c r="E141" s="3"/>
      <c r="F141" s="3"/>
      <c r="G141" s="3"/>
    </row>
    <row r="142" customFormat="false" ht="30" hidden="false" customHeight="true" outlineLevel="0" collapsed="false">
      <c r="A142" s="8" t="s">
        <v>39</v>
      </c>
      <c r="B142" s="8" t="s">
        <v>316</v>
      </c>
      <c r="C142" s="8" t="s">
        <v>540</v>
      </c>
      <c r="D142" s="8" t="s">
        <v>541</v>
      </c>
      <c r="E142" s="8" t="s">
        <v>44</v>
      </c>
    </row>
    <row r="143" customFormat="false" ht="15" hidden="false" customHeight="false" outlineLevel="0" collapsed="false">
      <c r="A143" s="9" t="str">
        <f aca="false">IF(CAD_Metas!$A5="","",CAD_Metas!$B5)</f>
        <v/>
      </c>
      <c r="B143" s="11" t="str">
        <f aca="false">IF(CAD_Metas!$A5="","",CAD_Metas!$I5)</f>
        <v/>
      </c>
      <c r="C143" s="44" t="str">
        <f aca="false">IF(CAD_Metas!$A5="","",CAD_Metas!$D5)</f>
        <v/>
      </c>
      <c r="D143" s="9" t="str">
        <f aca="false">IF(CAD_Metas!$A5="","",CAD_Metas!$O5)</f>
        <v/>
      </c>
      <c r="E143" s="9" t="str">
        <f aca="false">IF($A143="","",IF(OR($D143="PRAZO VENCIDO",$D143="EM RISCO"),"ALERTA","OK"))</f>
        <v/>
      </c>
    </row>
    <row r="144" customFormat="false" ht="15" hidden="false" customHeight="false" outlineLevel="0" collapsed="false">
      <c r="A144" s="9" t="str">
        <f aca="false">IF(CAD_Metas!$A6="","",CAD_Metas!$B6)</f>
        <v/>
      </c>
      <c r="B144" s="11" t="str">
        <f aca="false">IF(CAD_Metas!$A6="","",CAD_Metas!$I6)</f>
        <v/>
      </c>
      <c r="C144" s="44" t="str">
        <f aca="false">IF(CAD_Metas!$A6="","",CAD_Metas!$D6)</f>
        <v/>
      </c>
      <c r="D144" s="9" t="str">
        <f aca="false">IF(CAD_Metas!$A6="","",CAD_Metas!$O6)</f>
        <v/>
      </c>
      <c r="E144" s="9" t="str">
        <f aca="false">IF($A144="","",IF(OR($D144="PRAZO VENCIDO",$D144="EM RISCO"),"ALERTA","OK"))</f>
        <v/>
      </c>
    </row>
    <row r="145" customFormat="false" ht="15" hidden="false" customHeight="false" outlineLevel="0" collapsed="false">
      <c r="A145" s="9" t="str">
        <f aca="false">IF(CAD_Metas!$A7="","",CAD_Metas!$B7)</f>
        <v/>
      </c>
      <c r="B145" s="11" t="str">
        <f aca="false">IF(CAD_Metas!$A7="","",CAD_Metas!$I7)</f>
        <v/>
      </c>
      <c r="C145" s="44" t="str">
        <f aca="false">IF(CAD_Metas!$A7="","",CAD_Metas!$D7)</f>
        <v/>
      </c>
      <c r="D145" s="9" t="str">
        <f aca="false">IF(CAD_Metas!$A7="","",CAD_Metas!$O7)</f>
        <v/>
      </c>
      <c r="E145" s="9" t="str">
        <f aca="false">IF($A145="","",IF(OR($D145="PRAZO VENCIDO",$D145="EM RISCO"),"ALERTA","OK"))</f>
        <v/>
      </c>
    </row>
    <row r="146" customFormat="false" ht="15" hidden="false" customHeight="false" outlineLevel="0" collapsed="false">
      <c r="A146" s="9" t="str">
        <f aca="false">IF(CAD_Metas!$A8="","",CAD_Metas!$B8)</f>
        <v/>
      </c>
      <c r="B146" s="11" t="str">
        <f aca="false">IF(CAD_Metas!$A8="","",CAD_Metas!$I8)</f>
        <v/>
      </c>
      <c r="C146" s="44" t="str">
        <f aca="false">IF(CAD_Metas!$A8="","",CAD_Metas!$D8)</f>
        <v/>
      </c>
      <c r="D146" s="9" t="str">
        <f aca="false">IF(CAD_Metas!$A8="","",CAD_Metas!$O8)</f>
        <v/>
      </c>
      <c r="E146" s="9" t="str">
        <f aca="false">IF($A146="","",IF(OR($D146="PRAZO VENCIDO",$D146="EM RISCO"),"ALERTA","OK"))</f>
        <v/>
      </c>
    </row>
    <row r="147" customFormat="false" ht="15" hidden="false" customHeight="false" outlineLevel="0" collapsed="false">
      <c r="A147" s="9" t="str">
        <f aca="false">IF(CAD_Metas!$A9="","",CAD_Metas!$B9)</f>
        <v/>
      </c>
      <c r="B147" s="11" t="str">
        <f aca="false">IF(CAD_Metas!$A9="","",CAD_Metas!$I9)</f>
        <v/>
      </c>
      <c r="C147" s="44" t="str">
        <f aca="false">IF(CAD_Metas!$A9="","",CAD_Metas!$D9)</f>
        <v/>
      </c>
      <c r="D147" s="9" t="str">
        <f aca="false">IF(CAD_Metas!$A9="","",CAD_Metas!$O9)</f>
        <v/>
      </c>
      <c r="E147" s="9" t="str">
        <f aca="false">IF($A147="","",IF(OR($D147="PRAZO VENCIDO",$D147="EM RISCO"),"ALERTA","OK"))</f>
        <v/>
      </c>
    </row>
    <row r="148" customFormat="false" ht="15" hidden="false" customHeight="false" outlineLevel="0" collapsed="false">
      <c r="A148" s="9" t="str">
        <f aca="false">IF(CAD_Metas!$A10="","",CAD_Metas!$B10)</f>
        <v/>
      </c>
      <c r="B148" s="11" t="str">
        <f aca="false">IF(CAD_Metas!$A10="","",CAD_Metas!$I10)</f>
        <v/>
      </c>
      <c r="C148" s="44" t="str">
        <f aca="false">IF(CAD_Metas!$A10="","",CAD_Metas!$D10)</f>
        <v/>
      </c>
      <c r="D148" s="9" t="str">
        <f aca="false">IF(CAD_Metas!$A10="","",CAD_Metas!$O10)</f>
        <v/>
      </c>
      <c r="E148" s="9" t="str">
        <f aca="false">IF($A148="","",IF(OR($D148="PRAZO VENCIDO",$D148="EM RISCO"),"ALERTA","OK"))</f>
        <v/>
      </c>
    </row>
    <row r="149" customFormat="false" ht="15" hidden="false" customHeight="false" outlineLevel="0" collapsed="false">
      <c r="A149" s="9" t="str">
        <f aca="false">IF(CAD_Metas!$A11="","",CAD_Metas!$B11)</f>
        <v/>
      </c>
      <c r="B149" s="11" t="str">
        <f aca="false">IF(CAD_Metas!$A11="","",CAD_Metas!$I11)</f>
        <v/>
      </c>
      <c r="C149" s="44" t="str">
        <f aca="false">IF(CAD_Metas!$A11="","",CAD_Metas!$D11)</f>
        <v/>
      </c>
      <c r="D149" s="9" t="str">
        <f aca="false">IF(CAD_Metas!$A11="","",CAD_Metas!$O11)</f>
        <v/>
      </c>
      <c r="E149" s="9" t="str">
        <f aca="false">IF($A149="","",IF(OR($D149="PRAZO VENCIDO",$D149="EM RISCO"),"ALERTA","OK"))</f>
        <v/>
      </c>
    </row>
    <row r="150" customFormat="false" ht="15" hidden="false" customHeight="false" outlineLevel="0" collapsed="false">
      <c r="A150" s="9" t="str">
        <f aca="false">IF(CAD_Metas!$A12="","",CAD_Metas!$B12)</f>
        <v/>
      </c>
      <c r="B150" s="11" t="str">
        <f aca="false">IF(CAD_Metas!$A12="","",CAD_Metas!$I12)</f>
        <v/>
      </c>
      <c r="C150" s="44" t="str">
        <f aca="false">IF(CAD_Metas!$A12="","",CAD_Metas!$D12)</f>
        <v/>
      </c>
      <c r="D150" s="9" t="str">
        <f aca="false">IF(CAD_Metas!$A12="","",CAD_Metas!$O12)</f>
        <v/>
      </c>
      <c r="E150" s="9" t="str">
        <f aca="false">IF($A150="","",IF(OR($D150="PRAZO VENCIDO",$D150="EM RISCO"),"ALERTA","OK"))</f>
        <v/>
      </c>
    </row>
    <row r="151" customFormat="false" ht="15" hidden="false" customHeight="false" outlineLevel="0" collapsed="false">
      <c r="A151" s="9" t="str">
        <f aca="false">IF(CAD_Metas!$A13="","",CAD_Metas!$B13)</f>
        <v/>
      </c>
      <c r="B151" s="11" t="str">
        <f aca="false">IF(CAD_Metas!$A13="","",CAD_Metas!$I13)</f>
        <v/>
      </c>
      <c r="C151" s="44" t="str">
        <f aca="false">IF(CAD_Metas!$A13="","",CAD_Metas!$D13)</f>
        <v/>
      </c>
      <c r="D151" s="9" t="str">
        <f aca="false">IF(CAD_Metas!$A13="","",CAD_Metas!$O13)</f>
        <v/>
      </c>
      <c r="E151" s="9" t="str">
        <f aca="false">IF($A151="","",IF(OR($D151="PRAZO VENCIDO",$D151="EM RISCO"),"ALERTA","OK"))</f>
        <v/>
      </c>
    </row>
    <row r="152" customFormat="false" ht="15" hidden="false" customHeight="false" outlineLevel="0" collapsed="false">
      <c r="A152" s="9" t="str">
        <f aca="false">IF(CAD_Metas!$A14="","",CAD_Metas!$B14)</f>
        <v/>
      </c>
      <c r="B152" s="11" t="str">
        <f aca="false">IF(CAD_Metas!$A14="","",CAD_Metas!$I14)</f>
        <v/>
      </c>
      <c r="C152" s="44" t="str">
        <f aca="false">IF(CAD_Metas!$A14="","",CAD_Metas!$D14)</f>
        <v/>
      </c>
      <c r="D152" s="9" t="str">
        <f aca="false">IF(CAD_Metas!$A14="","",CAD_Metas!$O14)</f>
        <v/>
      </c>
      <c r="E152" s="9" t="str">
        <f aca="false">IF($A152="","",IF(OR($D152="PRAZO VENCIDO",$D152="EM RISCO"),"ALERTA","OK"))</f>
        <v/>
      </c>
    </row>
    <row r="153" customFormat="false" ht="15" hidden="false" customHeight="false" outlineLevel="0" collapsed="false">
      <c r="A153" s="9" t="str">
        <f aca="false">IF(CAD_Metas!$A15="","",CAD_Metas!$B15)</f>
        <v/>
      </c>
      <c r="B153" s="11" t="str">
        <f aca="false">IF(CAD_Metas!$A15="","",CAD_Metas!$I15)</f>
        <v/>
      </c>
      <c r="C153" s="44" t="str">
        <f aca="false">IF(CAD_Metas!$A15="","",CAD_Metas!$D15)</f>
        <v/>
      </c>
      <c r="D153" s="9" t="str">
        <f aca="false">IF(CAD_Metas!$A15="","",CAD_Metas!$O15)</f>
        <v/>
      </c>
      <c r="E153" s="9" t="str">
        <f aca="false">IF($A153="","",IF(OR($D153="PRAZO VENCIDO",$D153="EM RISCO"),"ALERTA","OK"))</f>
        <v/>
      </c>
    </row>
    <row r="154" customFormat="false" ht="15" hidden="false" customHeight="false" outlineLevel="0" collapsed="false">
      <c r="A154" s="9" t="str">
        <f aca="false">IF(CAD_Metas!$A16="","",CAD_Metas!$B16)</f>
        <v/>
      </c>
      <c r="B154" s="11" t="str">
        <f aca="false">IF(CAD_Metas!$A16="","",CAD_Metas!$I16)</f>
        <v/>
      </c>
      <c r="C154" s="44" t="str">
        <f aca="false">IF(CAD_Metas!$A16="","",CAD_Metas!$D16)</f>
        <v/>
      </c>
      <c r="D154" s="9" t="str">
        <f aca="false">IF(CAD_Metas!$A16="","",CAD_Metas!$O16)</f>
        <v/>
      </c>
      <c r="E154" s="9" t="str">
        <f aca="false">IF($A154="","",IF(OR($D154="PRAZO VENCIDO",$D154="EM RISCO"),"ALERTA","OK"))</f>
        <v/>
      </c>
    </row>
    <row r="155" customFormat="false" ht="15" hidden="false" customHeight="false" outlineLevel="0" collapsed="false">
      <c r="A155" s="9" t="str">
        <f aca="false">IF(CAD_Metas!$A17="","",CAD_Metas!$B17)</f>
        <v/>
      </c>
      <c r="B155" s="11" t="str">
        <f aca="false">IF(CAD_Metas!$A17="","",CAD_Metas!$I17)</f>
        <v/>
      </c>
      <c r="C155" s="44" t="str">
        <f aca="false">IF(CAD_Metas!$A17="","",CAD_Metas!$D17)</f>
        <v/>
      </c>
      <c r="D155" s="9" t="str">
        <f aca="false">IF(CAD_Metas!$A17="","",CAD_Metas!$O17)</f>
        <v/>
      </c>
      <c r="E155" s="9" t="str">
        <f aca="false">IF($A155="","",IF(OR($D155="PRAZO VENCIDO",$D155="EM RISCO"),"ALERTA","OK"))</f>
        <v/>
      </c>
    </row>
    <row r="156" customFormat="false" ht="15" hidden="false" customHeight="false" outlineLevel="0" collapsed="false">
      <c r="A156" s="9" t="str">
        <f aca="false">IF(CAD_Metas!$A18="","",CAD_Metas!$B18)</f>
        <v/>
      </c>
      <c r="B156" s="11" t="str">
        <f aca="false">IF(CAD_Metas!$A18="","",CAD_Metas!$I18)</f>
        <v/>
      </c>
      <c r="C156" s="44" t="str">
        <f aca="false">IF(CAD_Metas!$A18="","",CAD_Metas!$D18)</f>
        <v/>
      </c>
      <c r="D156" s="9" t="str">
        <f aca="false">IF(CAD_Metas!$A18="","",CAD_Metas!$O18)</f>
        <v/>
      </c>
      <c r="E156" s="9" t="str">
        <f aca="false">IF($A156="","",IF(OR($D156="PRAZO VENCIDO",$D156="EM RISCO"),"ALERTA","OK"))</f>
        <v/>
      </c>
    </row>
    <row r="157" customFormat="false" ht="15" hidden="false" customHeight="false" outlineLevel="0" collapsed="false">
      <c r="A157" s="9" t="str">
        <f aca="false">IF(CAD_Metas!$A19="","",CAD_Metas!$B19)</f>
        <v/>
      </c>
      <c r="B157" s="11" t="str">
        <f aca="false">IF(CAD_Metas!$A19="","",CAD_Metas!$I19)</f>
        <v/>
      </c>
      <c r="C157" s="44" t="str">
        <f aca="false">IF(CAD_Metas!$A19="","",CAD_Metas!$D19)</f>
        <v/>
      </c>
      <c r="D157" s="9" t="str">
        <f aca="false">IF(CAD_Metas!$A19="","",CAD_Metas!$O19)</f>
        <v/>
      </c>
      <c r="E157" s="9" t="str">
        <f aca="false">IF($A157="","",IF(OR($D157="PRAZO VENCIDO",$D157="EM RISCO"),"ALERTA","OK"))</f>
        <v/>
      </c>
    </row>
    <row r="158" customFormat="false" ht="15" hidden="false" customHeight="false" outlineLevel="0" collapsed="false">
      <c r="A158" s="9" t="str">
        <f aca="false">IF(CAD_Metas!$A20="","",CAD_Metas!$B20)</f>
        <v/>
      </c>
      <c r="B158" s="11" t="str">
        <f aca="false">IF(CAD_Metas!$A20="","",CAD_Metas!$I20)</f>
        <v/>
      </c>
      <c r="C158" s="44" t="str">
        <f aca="false">IF(CAD_Metas!$A20="","",CAD_Metas!$D20)</f>
        <v/>
      </c>
      <c r="D158" s="9" t="str">
        <f aca="false">IF(CAD_Metas!$A20="","",CAD_Metas!$O20)</f>
        <v/>
      </c>
      <c r="E158" s="9" t="str">
        <f aca="false">IF($A158="","",IF(OR($D158="PRAZO VENCIDO",$D158="EM RISCO"),"ALERTA","OK"))</f>
        <v/>
      </c>
    </row>
    <row r="159" customFormat="false" ht="15" hidden="false" customHeight="false" outlineLevel="0" collapsed="false">
      <c r="A159" s="9" t="str">
        <f aca="false">IF(CAD_Metas!$A21="","",CAD_Metas!$B21)</f>
        <v/>
      </c>
      <c r="B159" s="11" t="str">
        <f aca="false">IF(CAD_Metas!$A21="","",CAD_Metas!$I21)</f>
        <v/>
      </c>
      <c r="C159" s="44" t="str">
        <f aca="false">IF(CAD_Metas!$A21="","",CAD_Metas!$D21)</f>
        <v/>
      </c>
      <c r="D159" s="9" t="str">
        <f aca="false">IF(CAD_Metas!$A21="","",CAD_Metas!$O21)</f>
        <v/>
      </c>
      <c r="E159" s="9" t="str">
        <f aca="false">IF($A159="","",IF(OR($D159="PRAZO VENCIDO",$D159="EM RISCO"),"ALERTA","OK"))</f>
        <v/>
      </c>
    </row>
    <row r="160" customFormat="false" ht="15" hidden="false" customHeight="false" outlineLevel="0" collapsed="false">
      <c r="A160" s="9" t="str">
        <f aca="false">IF(CAD_Metas!$A22="","",CAD_Metas!$B22)</f>
        <v/>
      </c>
      <c r="B160" s="11" t="str">
        <f aca="false">IF(CAD_Metas!$A22="","",CAD_Metas!$I22)</f>
        <v/>
      </c>
      <c r="C160" s="44" t="str">
        <f aca="false">IF(CAD_Metas!$A22="","",CAD_Metas!$D22)</f>
        <v/>
      </c>
      <c r="D160" s="9" t="str">
        <f aca="false">IF(CAD_Metas!$A22="","",CAD_Metas!$O22)</f>
        <v/>
      </c>
      <c r="E160" s="9" t="str">
        <f aca="false">IF($A160="","",IF(OR($D160="PRAZO VENCIDO",$D160="EM RISCO"),"ALERTA","OK"))</f>
        <v/>
      </c>
    </row>
    <row r="161" customFormat="false" ht="15" hidden="false" customHeight="false" outlineLevel="0" collapsed="false">
      <c r="A161" s="9" t="str">
        <f aca="false">IF(CAD_Metas!$A23="","",CAD_Metas!$B23)</f>
        <v/>
      </c>
      <c r="B161" s="11" t="str">
        <f aca="false">IF(CAD_Metas!$A23="","",CAD_Metas!$I23)</f>
        <v/>
      </c>
      <c r="C161" s="44" t="str">
        <f aca="false">IF(CAD_Metas!$A23="","",CAD_Metas!$D23)</f>
        <v/>
      </c>
      <c r="D161" s="9" t="str">
        <f aca="false">IF(CAD_Metas!$A23="","",CAD_Metas!$O23)</f>
        <v/>
      </c>
      <c r="E161" s="9" t="str">
        <f aca="false">IF($A161="","",IF(OR($D161="PRAZO VENCIDO",$D161="EM RISCO"),"ALERTA","OK"))</f>
        <v/>
      </c>
    </row>
    <row r="162" customFormat="false" ht="15" hidden="false" customHeight="false" outlineLevel="0" collapsed="false">
      <c r="A162" s="9" t="str">
        <f aca="false">IF(CAD_Metas!$A24="","",CAD_Metas!$B24)</f>
        <v/>
      </c>
      <c r="B162" s="11" t="str">
        <f aca="false">IF(CAD_Metas!$A24="","",CAD_Metas!$I24)</f>
        <v/>
      </c>
      <c r="C162" s="44" t="str">
        <f aca="false">IF(CAD_Metas!$A24="","",CAD_Metas!$D24)</f>
        <v/>
      </c>
      <c r="D162" s="9" t="str">
        <f aca="false">IF(CAD_Metas!$A24="","",CAD_Metas!$O24)</f>
        <v/>
      </c>
      <c r="E162" s="9" t="str">
        <f aca="false">IF($A162="","",IF(OR($D162="PRAZO VENCIDO",$D162="EM RISCO"),"ALERTA","OK"))</f>
        <v/>
      </c>
    </row>
    <row r="163" customFormat="false" ht="15" hidden="false" customHeight="false" outlineLevel="0" collapsed="false">
      <c r="A163" s="9" t="str">
        <f aca="false">IF(CAD_Metas!$A25="","",CAD_Metas!$B25)</f>
        <v/>
      </c>
      <c r="B163" s="11" t="str">
        <f aca="false">IF(CAD_Metas!$A25="","",CAD_Metas!$I25)</f>
        <v/>
      </c>
      <c r="C163" s="44" t="str">
        <f aca="false">IF(CAD_Metas!$A25="","",CAD_Metas!$D25)</f>
        <v/>
      </c>
      <c r="D163" s="9" t="str">
        <f aca="false">IF(CAD_Metas!$A25="","",CAD_Metas!$O25)</f>
        <v/>
      </c>
      <c r="E163" s="9" t="str">
        <f aca="false">IF($A163="","",IF(OR($D163="PRAZO VENCIDO",$D163="EM RISCO"),"ALERTA","OK"))</f>
        <v/>
      </c>
    </row>
    <row r="164" customFormat="false" ht="15" hidden="false" customHeight="false" outlineLevel="0" collapsed="false">
      <c r="A164" s="9" t="str">
        <f aca="false">IF(CAD_Metas!$A26="","",CAD_Metas!$B26)</f>
        <v/>
      </c>
      <c r="B164" s="11" t="str">
        <f aca="false">IF(CAD_Metas!$A26="","",CAD_Metas!$I26)</f>
        <v/>
      </c>
      <c r="C164" s="44" t="str">
        <f aca="false">IF(CAD_Metas!$A26="","",CAD_Metas!$D26)</f>
        <v/>
      </c>
      <c r="D164" s="9" t="str">
        <f aca="false">IF(CAD_Metas!$A26="","",CAD_Metas!$O26)</f>
        <v/>
      </c>
      <c r="E164" s="9" t="str">
        <f aca="false">IF($A164="","",IF(OR($D164="PRAZO VENCIDO",$D164="EM RISCO"),"ALERTA","OK"))</f>
        <v/>
      </c>
    </row>
    <row r="165" customFormat="false" ht="15" hidden="false" customHeight="false" outlineLevel="0" collapsed="false">
      <c r="A165" s="9" t="str">
        <f aca="false">IF(CAD_Metas!$A27="","",CAD_Metas!$B27)</f>
        <v/>
      </c>
      <c r="B165" s="11" t="str">
        <f aca="false">IF(CAD_Metas!$A27="","",CAD_Metas!$I27)</f>
        <v/>
      </c>
      <c r="C165" s="44" t="str">
        <f aca="false">IF(CAD_Metas!$A27="","",CAD_Metas!$D27)</f>
        <v/>
      </c>
      <c r="D165" s="9" t="str">
        <f aca="false">IF(CAD_Metas!$A27="","",CAD_Metas!$O27)</f>
        <v/>
      </c>
      <c r="E165" s="9" t="str">
        <f aca="false">IF($A165="","",IF(OR($D165="PRAZO VENCIDO",$D165="EM RISCO"),"ALERTA","OK"))</f>
        <v/>
      </c>
    </row>
    <row r="166" customFormat="false" ht="15" hidden="false" customHeight="false" outlineLevel="0" collapsed="false">
      <c r="A166" s="9" t="str">
        <f aca="false">IF(CAD_Metas!$A28="","",CAD_Metas!$B28)</f>
        <v/>
      </c>
      <c r="B166" s="11" t="str">
        <f aca="false">IF(CAD_Metas!$A28="","",CAD_Metas!$I28)</f>
        <v/>
      </c>
      <c r="C166" s="44" t="str">
        <f aca="false">IF(CAD_Metas!$A28="","",CAD_Metas!$D28)</f>
        <v/>
      </c>
      <c r="D166" s="9" t="str">
        <f aca="false">IF(CAD_Metas!$A28="","",CAD_Metas!$O28)</f>
        <v/>
      </c>
      <c r="E166" s="9" t="str">
        <f aca="false">IF($A166="","",IF(OR($D166="PRAZO VENCIDO",$D166="EM RISCO"),"ALERTA","OK"))</f>
        <v/>
      </c>
    </row>
    <row r="167" customFormat="false" ht="15" hidden="false" customHeight="false" outlineLevel="0" collapsed="false">
      <c r="A167" s="9" t="str">
        <f aca="false">IF(CAD_Metas!$A29="","",CAD_Metas!$B29)</f>
        <v/>
      </c>
      <c r="B167" s="11" t="str">
        <f aca="false">IF(CAD_Metas!$A29="","",CAD_Metas!$I29)</f>
        <v/>
      </c>
      <c r="C167" s="44" t="str">
        <f aca="false">IF(CAD_Metas!$A29="","",CAD_Metas!$D29)</f>
        <v/>
      </c>
      <c r="D167" s="9" t="str">
        <f aca="false">IF(CAD_Metas!$A29="","",CAD_Metas!$O29)</f>
        <v/>
      </c>
      <c r="E167" s="9" t="str">
        <f aca="false">IF($A167="","",IF(OR($D167="PRAZO VENCIDO",$D167="EM RISCO"),"ALERTA","OK"))</f>
        <v/>
      </c>
    </row>
    <row r="168" customFormat="false" ht="15" hidden="false" customHeight="false" outlineLevel="0" collapsed="false">
      <c r="A168" s="9" t="str">
        <f aca="false">IF(CAD_Metas!$A30="","",CAD_Metas!$B30)</f>
        <v/>
      </c>
      <c r="B168" s="11" t="str">
        <f aca="false">IF(CAD_Metas!$A30="","",CAD_Metas!$I30)</f>
        <v/>
      </c>
      <c r="C168" s="44" t="str">
        <f aca="false">IF(CAD_Metas!$A30="","",CAD_Metas!$D30)</f>
        <v/>
      </c>
      <c r="D168" s="9" t="str">
        <f aca="false">IF(CAD_Metas!$A30="","",CAD_Metas!$O30)</f>
        <v/>
      </c>
      <c r="E168" s="9" t="str">
        <f aca="false">IF($A168="","",IF(OR($D168="PRAZO VENCIDO",$D168="EM RISCO"),"ALERTA","OK"))</f>
        <v/>
      </c>
    </row>
    <row r="169" customFormat="false" ht="15" hidden="false" customHeight="false" outlineLevel="0" collapsed="false">
      <c r="A169" s="9" t="str">
        <f aca="false">IF(CAD_Metas!$A31="","",CAD_Metas!$B31)</f>
        <v/>
      </c>
      <c r="B169" s="11" t="str">
        <f aca="false">IF(CAD_Metas!$A31="","",CAD_Metas!$I31)</f>
        <v/>
      </c>
      <c r="C169" s="44" t="str">
        <f aca="false">IF(CAD_Metas!$A31="","",CAD_Metas!$D31)</f>
        <v/>
      </c>
      <c r="D169" s="9" t="str">
        <f aca="false">IF(CAD_Metas!$A31="","",CAD_Metas!$O31)</f>
        <v/>
      </c>
      <c r="E169" s="9" t="str">
        <f aca="false">IF($A169="","",IF(OR($D169="PRAZO VENCIDO",$D169="EM RISCO"),"ALERTA","OK"))</f>
        <v/>
      </c>
    </row>
    <row r="170" customFormat="false" ht="15" hidden="false" customHeight="false" outlineLevel="0" collapsed="false">
      <c r="A170" s="9" t="str">
        <f aca="false">IF(CAD_Metas!$A32="","",CAD_Metas!$B32)</f>
        <v/>
      </c>
      <c r="B170" s="11" t="str">
        <f aca="false">IF(CAD_Metas!$A32="","",CAD_Metas!$I32)</f>
        <v/>
      </c>
      <c r="C170" s="44" t="str">
        <f aca="false">IF(CAD_Metas!$A32="","",CAD_Metas!$D32)</f>
        <v/>
      </c>
      <c r="D170" s="9" t="str">
        <f aca="false">IF(CAD_Metas!$A32="","",CAD_Metas!$O32)</f>
        <v/>
      </c>
      <c r="E170" s="9" t="str">
        <f aca="false">IF($A170="","",IF(OR($D170="PRAZO VENCIDO",$D170="EM RISCO"),"ALERTA","OK"))</f>
        <v/>
      </c>
    </row>
    <row r="171" customFormat="false" ht="15" hidden="false" customHeight="false" outlineLevel="0" collapsed="false">
      <c r="A171" s="9" t="str">
        <f aca="false">IF(CAD_Metas!$A33="","",CAD_Metas!$B33)</f>
        <v/>
      </c>
      <c r="B171" s="11" t="str">
        <f aca="false">IF(CAD_Metas!$A33="","",CAD_Metas!$I33)</f>
        <v/>
      </c>
      <c r="C171" s="44" t="str">
        <f aca="false">IF(CAD_Metas!$A33="","",CAD_Metas!$D33)</f>
        <v/>
      </c>
      <c r="D171" s="9" t="str">
        <f aca="false">IF(CAD_Metas!$A33="","",CAD_Metas!$O33)</f>
        <v/>
      </c>
      <c r="E171" s="9" t="str">
        <f aca="false">IF($A171="","",IF(OR($D171="PRAZO VENCIDO",$D171="EM RISCO"),"ALERTA","OK"))</f>
        <v/>
      </c>
    </row>
    <row r="172" customFormat="false" ht="15" hidden="false" customHeight="false" outlineLevel="0" collapsed="false">
      <c r="A172" s="9" t="str">
        <f aca="false">IF(CAD_Metas!$A34="","",CAD_Metas!$B34)</f>
        <v/>
      </c>
      <c r="B172" s="11" t="str">
        <f aca="false">IF(CAD_Metas!$A34="","",CAD_Metas!$I34)</f>
        <v/>
      </c>
      <c r="C172" s="44" t="str">
        <f aca="false">IF(CAD_Metas!$A34="","",CAD_Metas!$D34)</f>
        <v/>
      </c>
      <c r="D172" s="9" t="str">
        <f aca="false">IF(CAD_Metas!$A34="","",CAD_Metas!$O34)</f>
        <v/>
      </c>
      <c r="E172" s="9" t="str">
        <f aca="false">IF($A172="","",IF(OR($D172="PRAZO VENCIDO",$D172="EM RISCO"),"ALERTA","OK"))</f>
        <v/>
      </c>
    </row>
    <row r="173" customFormat="false" ht="15" hidden="false" customHeight="false" outlineLevel="0" collapsed="false">
      <c r="A173" s="9" t="str">
        <f aca="false">IF(CAD_Metas!$A35="","",CAD_Metas!$B35)</f>
        <v/>
      </c>
      <c r="B173" s="11" t="str">
        <f aca="false">IF(CAD_Metas!$A35="","",CAD_Metas!$I35)</f>
        <v/>
      </c>
      <c r="C173" s="44" t="str">
        <f aca="false">IF(CAD_Metas!$A35="","",CAD_Metas!$D35)</f>
        <v/>
      </c>
      <c r="D173" s="9" t="str">
        <f aca="false">IF(CAD_Metas!$A35="","",CAD_Metas!$O35)</f>
        <v/>
      </c>
      <c r="E173" s="9" t="str">
        <f aca="false">IF($A173="","",IF(OR($D173="PRAZO VENCIDO",$D173="EM RISCO"),"ALERTA","OK"))</f>
        <v/>
      </c>
    </row>
    <row r="174" customFormat="false" ht="15" hidden="false" customHeight="false" outlineLevel="0" collapsed="false">
      <c r="A174" s="9" t="str">
        <f aca="false">IF(CAD_Metas!$A36="","",CAD_Metas!$B36)</f>
        <v/>
      </c>
      <c r="B174" s="11" t="str">
        <f aca="false">IF(CAD_Metas!$A36="","",CAD_Metas!$I36)</f>
        <v/>
      </c>
      <c r="C174" s="44" t="str">
        <f aca="false">IF(CAD_Metas!$A36="","",CAD_Metas!$D36)</f>
        <v/>
      </c>
      <c r="D174" s="9" t="str">
        <f aca="false">IF(CAD_Metas!$A36="","",CAD_Metas!$O36)</f>
        <v/>
      </c>
      <c r="E174" s="9" t="str">
        <f aca="false">IF($A174="","",IF(OR($D174="PRAZO VENCIDO",$D174="EM RISCO"),"ALERTA","OK"))</f>
        <v/>
      </c>
    </row>
    <row r="175" customFormat="false" ht="15" hidden="false" customHeight="false" outlineLevel="0" collapsed="false">
      <c r="A175" s="9" t="str">
        <f aca="false">IF(CAD_Metas!$A37="","",CAD_Metas!$B37)</f>
        <v/>
      </c>
      <c r="B175" s="11" t="str">
        <f aca="false">IF(CAD_Metas!$A37="","",CAD_Metas!$I37)</f>
        <v/>
      </c>
      <c r="C175" s="44" t="str">
        <f aca="false">IF(CAD_Metas!$A37="","",CAD_Metas!$D37)</f>
        <v/>
      </c>
      <c r="D175" s="9" t="str">
        <f aca="false">IF(CAD_Metas!$A37="","",CAD_Metas!$O37)</f>
        <v/>
      </c>
      <c r="E175" s="9" t="str">
        <f aca="false">IF($A175="","",IF(OR($D175="PRAZO VENCIDO",$D175="EM RISCO"),"ALERTA","OK"))</f>
        <v/>
      </c>
    </row>
    <row r="176" customFormat="false" ht="15" hidden="false" customHeight="false" outlineLevel="0" collapsed="false">
      <c r="A176" s="9" t="str">
        <f aca="false">IF(CAD_Metas!$A38="","",CAD_Metas!$B38)</f>
        <v/>
      </c>
      <c r="B176" s="11" t="str">
        <f aca="false">IF(CAD_Metas!$A38="","",CAD_Metas!$I38)</f>
        <v/>
      </c>
      <c r="C176" s="44" t="str">
        <f aca="false">IF(CAD_Metas!$A38="","",CAD_Metas!$D38)</f>
        <v/>
      </c>
      <c r="D176" s="9" t="str">
        <f aca="false">IF(CAD_Metas!$A38="","",CAD_Metas!$O38)</f>
        <v/>
      </c>
      <c r="E176" s="9" t="str">
        <f aca="false">IF($A176="","",IF(OR($D176="PRAZO VENCIDO",$D176="EM RISCO"),"ALERTA","OK"))</f>
        <v/>
      </c>
    </row>
    <row r="177" customFormat="false" ht="15" hidden="false" customHeight="false" outlineLevel="0" collapsed="false">
      <c r="A177" s="9" t="str">
        <f aca="false">IF(CAD_Metas!$A39="","",CAD_Metas!$B39)</f>
        <v/>
      </c>
      <c r="B177" s="11" t="str">
        <f aca="false">IF(CAD_Metas!$A39="","",CAD_Metas!$I39)</f>
        <v/>
      </c>
      <c r="C177" s="44" t="str">
        <f aca="false">IF(CAD_Metas!$A39="","",CAD_Metas!$D39)</f>
        <v/>
      </c>
      <c r="D177" s="9" t="str">
        <f aca="false">IF(CAD_Metas!$A39="","",CAD_Metas!$O39)</f>
        <v/>
      </c>
      <c r="E177" s="9" t="str">
        <f aca="false">IF($A177="","",IF(OR($D177="PRAZO VENCIDO",$D177="EM RISCO"),"ALERTA","OK"))</f>
        <v/>
      </c>
    </row>
    <row r="178" customFormat="false" ht="15" hidden="false" customHeight="false" outlineLevel="0" collapsed="false">
      <c r="A178" s="9" t="str">
        <f aca="false">IF(CAD_Metas!$A40="","",CAD_Metas!$B40)</f>
        <v/>
      </c>
      <c r="B178" s="11" t="str">
        <f aca="false">IF(CAD_Metas!$A40="","",CAD_Metas!$I40)</f>
        <v/>
      </c>
      <c r="C178" s="44" t="str">
        <f aca="false">IF(CAD_Metas!$A40="","",CAD_Metas!$D40)</f>
        <v/>
      </c>
      <c r="D178" s="9" t="str">
        <f aca="false">IF(CAD_Metas!$A40="","",CAD_Metas!$O40)</f>
        <v/>
      </c>
      <c r="E178" s="9" t="str">
        <f aca="false">IF($A178="","",IF(OR($D178="PRAZO VENCIDO",$D178="EM RISCO"),"ALERTA","OK"))</f>
        <v/>
      </c>
    </row>
    <row r="179" customFormat="false" ht="15" hidden="false" customHeight="false" outlineLevel="0" collapsed="false">
      <c r="A179" s="9" t="str">
        <f aca="false">IF(CAD_Metas!$A41="","",CAD_Metas!$B41)</f>
        <v/>
      </c>
      <c r="B179" s="11" t="str">
        <f aca="false">IF(CAD_Metas!$A41="","",CAD_Metas!$I41)</f>
        <v/>
      </c>
      <c r="C179" s="44" t="str">
        <f aca="false">IF(CAD_Metas!$A41="","",CAD_Metas!$D41)</f>
        <v/>
      </c>
      <c r="D179" s="9" t="str">
        <f aca="false">IF(CAD_Metas!$A41="","",CAD_Metas!$O41)</f>
        <v/>
      </c>
      <c r="E179" s="9" t="str">
        <f aca="false">IF($A179="","",IF(OR($D179="PRAZO VENCIDO",$D179="EM RISCO"),"ALERTA","OK"))</f>
        <v/>
      </c>
    </row>
    <row r="180" customFormat="false" ht="15" hidden="false" customHeight="false" outlineLevel="0" collapsed="false">
      <c r="A180" s="9" t="str">
        <f aca="false">IF(CAD_Metas!$A42="","",CAD_Metas!$B42)</f>
        <v/>
      </c>
      <c r="B180" s="11" t="str">
        <f aca="false">IF(CAD_Metas!$A42="","",CAD_Metas!$I42)</f>
        <v/>
      </c>
      <c r="C180" s="44" t="str">
        <f aca="false">IF(CAD_Metas!$A42="","",CAD_Metas!$D42)</f>
        <v/>
      </c>
      <c r="D180" s="9" t="str">
        <f aca="false">IF(CAD_Metas!$A42="","",CAD_Metas!$O42)</f>
        <v/>
      </c>
      <c r="E180" s="9" t="str">
        <f aca="false">IF($A180="","",IF(OR($D180="PRAZO VENCIDO",$D180="EM RISCO"),"ALERTA","OK"))</f>
        <v/>
      </c>
    </row>
    <row r="181" customFormat="false" ht="15" hidden="false" customHeight="false" outlineLevel="0" collapsed="false">
      <c r="A181" s="9" t="str">
        <f aca="false">IF(CAD_Metas!$A43="","",CAD_Metas!$B43)</f>
        <v/>
      </c>
      <c r="B181" s="11" t="str">
        <f aca="false">IF(CAD_Metas!$A43="","",CAD_Metas!$I43)</f>
        <v/>
      </c>
      <c r="C181" s="44" t="str">
        <f aca="false">IF(CAD_Metas!$A43="","",CAD_Metas!$D43)</f>
        <v/>
      </c>
      <c r="D181" s="9" t="str">
        <f aca="false">IF(CAD_Metas!$A43="","",CAD_Metas!$O43)</f>
        <v/>
      </c>
      <c r="E181" s="9" t="str">
        <f aca="false">IF($A181="","",IF(OR($D181="PRAZO VENCIDO",$D181="EM RISCO"),"ALERTA","OK"))</f>
        <v/>
      </c>
    </row>
    <row r="182" customFormat="false" ht="15" hidden="false" customHeight="false" outlineLevel="0" collapsed="false">
      <c r="A182" s="9" t="str">
        <f aca="false">IF(CAD_Metas!$A44="","",CAD_Metas!$B44)</f>
        <v/>
      </c>
      <c r="B182" s="11" t="str">
        <f aca="false">IF(CAD_Metas!$A44="","",CAD_Metas!$I44)</f>
        <v/>
      </c>
      <c r="C182" s="44" t="str">
        <f aca="false">IF(CAD_Metas!$A44="","",CAD_Metas!$D44)</f>
        <v/>
      </c>
      <c r="D182" s="9" t="str">
        <f aca="false">IF(CAD_Metas!$A44="","",CAD_Metas!$O44)</f>
        <v/>
      </c>
      <c r="E182" s="9" t="str">
        <f aca="false">IF($A182="","",IF(OR($D182="PRAZO VENCIDO",$D182="EM RISCO"),"ALERTA","OK"))</f>
        <v/>
      </c>
    </row>
    <row r="184" customFormat="false" ht="19.5" hidden="false" customHeight="true" outlineLevel="0" collapsed="false">
      <c r="A184" s="3" t="s">
        <v>542</v>
      </c>
      <c r="B184" s="3"/>
      <c r="C184" s="3"/>
      <c r="D184" s="3"/>
      <c r="E184" s="3"/>
      <c r="F184" s="3"/>
      <c r="G184" s="3"/>
    </row>
    <row r="185" customFormat="false" ht="30" hidden="false" customHeight="true" outlineLevel="0" collapsed="false">
      <c r="A185" s="8" t="s">
        <v>543</v>
      </c>
      <c r="B185" s="8" t="s">
        <v>544</v>
      </c>
      <c r="C185" s="8" t="s">
        <v>179</v>
      </c>
      <c r="D185" s="8" t="s">
        <v>44</v>
      </c>
    </row>
    <row r="186" customFormat="false" ht="15" hidden="false" customHeight="false" outlineLevel="0" collapsed="false">
      <c r="A186" s="9" t="s">
        <v>505</v>
      </c>
      <c r="B186" s="10" t="n">
        <f aca="false">MIN(PJ_SALDO)</f>
        <v>0</v>
      </c>
      <c r="C186" s="10" t="n">
        <f aca="false">0</f>
        <v>0</v>
      </c>
      <c r="D186" s="9" t="str">
        <f aca="false">IF($B186&lt;$C186,"ALERTA","OK")</f>
        <v>OK</v>
      </c>
    </row>
    <row r="187" customFormat="false" ht="15" hidden="false" customHeight="false" outlineLevel="0" collapsed="false">
      <c r="A187" s="9" t="s">
        <v>545</v>
      </c>
      <c r="B187" s="10" t="n">
        <f aca="false">MIN(FX_SALDOFIM)</f>
        <v>0</v>
      </c>
      <c r="C187" s="10" t="n">
        <f aca="false">0</f>
        <v>0</v>
      </c>
      <c r="D187" s="9" t="str">
        <f aca="false">IF($B187&lt;$C187,"ALERTA","OK")</f>
        <v>OK</v>
      </c>
    </row>
    <row r="188" customFormat="false" ht="15" hidden="false" customHeight="false" outlineLevel="0" collapsed="false">
      <c r="A188" s="9" t="s">
        <v>500</v>
      </c>
      <c r="B188" s="11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</v>
      </c>
      <c r="C188" s="11" t="n">
        <f aca="false">CFG_PCT_RENDA</f>
        <v>0.4</v>
      </c>
      <c r="D188" s="9" t="str">
        <f aca="false">IF($B188&gt;$C188,"ALERTA","OK")</f>
        <v>OK</v>
      </c>
    </row>
    <row r="189" customFormat="false" ht="15" hidden="false" customHeight="false" outlineLevel="0" collapsed="false">
      <c r="A189" s="9" t="s">
        <v>546</v>
      </c>
      <c r="B189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0</v>
      </c>
      <c r="C189" s="11" t="n">
        <f aca="false">CFG_PCT_DESP</f>
        <v>0.25</v>
      </c>
      <c r="D189" s="9" t="str">
        <f aca="false">IF($B189&gt;$C189,"ALERTA","OK")</f>
        <v>OK</v>
      </c>
    </row>
    <row r="190" customFormat="false" ht="15" hidden="false" customHeight="false" outlineLevel="0" collapsed="false">
      <c r="A190" s="9" t="s">
        <v>547</v>
      </c>
      <c r="B190" s="43" t="n">
        <f aca="false">SUMPRODUCT((LEFT(L_Valid,4)="ERRO")*1)</f>
        <v>0</v>
      </c>
      <c r="C190" s="43" t="n">
        <f aca="false">0</f>
        <v>0</v>
      </c>
      <c r="D190" s="9" t="str">
        <f aca="false">IF($B190&gt;$C190,"ALERTA","OK")</f>
        <v>OK</v>
      </c>
    </row>
    <row r="191" customFormat="false" ht="15" hidden="false" customHeight="false" outlineLevel="0" collapsed="false">
      <c r="A191" s="9" t="s">
        <v>548</v>
      </c>
      <c r="B191" s="43" t="n">
        <f aca="false">SUMPRODUCT((LEFT(MM_VALID,4)="ERRO")*1)</f>
        <v>0</v>
      </c>
      <c r="C191" s="43" t="n">
        <f aca="false">0</f>
        <v>0</v>
      </c>
      <c r="D191" s="9" t="str">
        <f aca="false">IF($B191&gt;$C191,"ALERTA","OK")</f>
        <v>OK</v>
      </c>
    </row>
    <row r="192" customFormat="false" ht="15" hidden="false" customHeight="false" outlineLevel="0" collapsed="false">
      <c r="A192" s="9" t="s">
        <v>549</v>
      </c>
      <c r="B192" s="43" t="n">
        <f aca="false">SUMPRODUCT((P_QTDREAL&gt;1)*1)</f>
        <v>0</v>
      </c>
      <c r="C192" s="43" t="n">
        <f aca="false">0</f>
        <v>0</v>
      </c>
      <c r="D192" s="9" t="str">
        <f aca="false">IF($B192&gt;$C192,"ALERTA","OK")</f>
        <v>OK</v>
      </c>
    </row>
    <row r="193" customFormat="false" ht="15" hidden="false" customHeight="false" outlineLevel="0" collapsed="false">
      <c r="A193" s="9" t="s">
        <v>550</v>
      </c>
      <c r="B193" s="43" t="n">
        <f aca="false">SUMPRODUCT((P_QTDREAL&gt;0)*(P_QTDPROJ&gt;0)*1)</f>
        <v>0</v>
      </c>
      <c r="C193" s="43" t="n">
        <f aca="false">0</f>
        <v>0</v>
      </c>
      <c r="D193" s="9" t="str">
        <f aca="false">IF($B193&gt;$C193,"ALERTA","OK")</f>
        <v>OK</v>
      </c>
    </row>
  </sheetData>
  <mergeCells count="8">
    <mergeCell ref="A1:G1"/>
    <mergeCell ref="A2:G2"/>
    <mergeCell ref="A6:G6"/>
    <mergeCell ref="A49:G49"/>
    <mergeCell ref="A92:G92"/>
    <mergeCell ref="A98:G98"/>
    <mergeCell ref="A141:G141"/>
    <mergeCell ref="A184:G184"/>
  </mergeCells>
  <conditionalFormatting sqref="D8:D47">
    <cfRule type="cellIs" priority="2" operator="equal" aboveAverage="0" equalAverage="0" bottom="0" percent="0" rank="0" text="" dxfId="7">
      <formula>"ALERTA"</formula>
    </cfRule>
  </conditionalFormatting>
  <conditionalFormatting sqref="G51:G90">
    <cfRule type="cellIs" priority="3" operator="equal" aboveAverage="0" equalAverage="0" bottom="0" percent="0" rank="0" text="" dxfId="7">
      <formula>"ALERTA"</formula>
    </cfRule>
  </conditionalFormatting>
  <conditionalFormatting sqref="D94:D96">
    <cfRule type="cellIs" priority="4" operator="equal" aboveAverage="0" equalAverage="0" bottom="0" percent="0" rank="0" text="" dxfId="7">
      <formula>"ALERTA"</formula>
    </cfRule>
  </conditionalFormatting>
  <conditionalFormatting sqref="E100:E139">
    <cfRule type="cellIs" priority="5" operator="equal" aboveAverage="0" equalAverage="0" bottom="0" percent="0" rank="0" text="" dxfId="7">
      <formula>"ALERTA"</formula>
    </cfRule>
  </conditionalFormatting>
  <conditionalFormatting sqref="E143:E182">
    <cfRule type="cellIs" priority="6" operator="equal" aboveAverage="0" equalAverage="0" bottom="0" percent="0" rank="0" text="" dxfId="7">
      <formula>"ALERTA"</formula>
    </cfRule>
  </conditionalFormatting>
  <conditionalFormatting sqref="D186:D193">
    <cfRule type="cellIs" priority="7" operator="equal" aboveAverage="0" equalAverage="0" bottom="0" percent="0" rank="0" text="" dxfId="7">
      <formula>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1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5" min="1" style="0" width="17"/>
  </cols>
  <sheetData>
    <row r="1" customFormat="false" ht="25.5" hidden="false" customHeight="true" outlineLevel="0" collapsed="false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552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A4" s="3" t="s">
        <v>553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12" t="s">
        <v>140</v>
      </c>
      <c r="B5" s="14"/>
      <c r="C5" s="16" t="s">
        <v>100</v>
      </c>
      <c r="D5" s="24" t="str">
        <f aca="false">IFERROR(INDEX(CM_ID,MATCH($B$5,CM_NOME,0)),"NAO ENCONTRADO")</f>
        <v>NAO ENCONTRADO</v>
      </c>
    </row>
    <row r="6" customFormat="false" ht="15" hidden="false" customHeight="false" outlineLevel="0" collapsed="false">
      <c r="A6" s="12" t="s">
        <v>554</v>
      </c>
      <c r="B6" s="56" t="n">
        <f aca="false">IFERROR(INDEX(CM_QTD,MATCH($D$5,CM_ID,0)),0)</f>
        <v>0</v>
      </c>
    </row>
    <row r="7" customFormat="false" ht="15" hidden="false" customHeight="false" outlineLevel="0" collapsed="false">
      <c r="A7" s="12" t="s">
        <v>555</v>
      </c>
      <c r="B7" s="57" t="n">
        <f aca="false">IFERROR(INDEX(CM_VLRPARC,MATCH($D$5,CM_ID,0)),0)</f>
        <v>0</v>
      </c>
    </row>
    <row r="8" customFormat="false" ht="15" hidden="false" customHeight="false" outlineLevel="0" collapsed="false">
      <c r="A8" s="12" t="s">
        <v>556</v>
      </c>
      <c r="B8" s="46" t="str">
        <f aca="false">IFERROR(INDEX(CAD_Compromissos!$J$5:$J$44,MATCH($D$5,CM_ID,0)),"")</f>
        <v/>
      </c>
    </row>
    <row r="9" customFormat="false" ht="15" hidden="false" customHeight="false" outlineLevel="0" collapsed="false">
      <c r="A9" s="12" t="s">
        <v>296</v>
      </c>
      <c r="B9" s="58" t="str">
        <f aca="false">IFERROR(INDEX(CAD_Compromissos!$L$5:$L$44,MATCH($D$5,CM_ID,0)),"")</f>
        <v/>
      </c>
    </row>
    <row r="11" customFormat="false" ht="30" hidden="false" customHeight="true" outlineLevel="0" collapsed="false">
      <c r="A11" s="8" t="s">
        <v>92</v>
      </c>
      <c r="B11" s="8" t="s">
        <v>137</v>
      </c>
      <c r="C11" s="8" t="s">
        <v>138</v>
      </c>
      <c r="D11" s="8" t="s">
        <v>139</v>
      </c>
    </row>
    <row r="12" customFormat="false" ht="15" hidden="false" customHeight="false" outlineLevel="0" collapsed="false">
      <c r="A12" s="27" t="str">
        <f aca="false">IF(OR(1&gt;N($B$6),NOT(ISNUMBER($B$8))),"",$D$5)</f>
        <v/>
      </c>
      <c r="B12" s="59" t="str">
        <f aca="false">IF(OR(1&gt;N($B$6),NOT(ISNUMBER($B$8))),"",1)</f>
        <v/>
      </c>
      <c r="C12" s="26" t="str">
        <f aca="false">IF(OR(1&gt;N($B$6),NOT(ISNUMBER($B$8))),"",IF(IF($B$9="Mensal",1,IF($B$9="Bimestral",2,IF($B$9="Trimestral",3,IF($B$9="Semestral",6,IF($B$9="Anual",12,0)))))&gt;0,EDATE($B$8,0*IF($B$9="Mensal",1,IF($B$9="Bimestral",2,IF($B$9="Trimestral",3,IF($B$9="Semestral",6,IF($B$9="Anual",12,0)))))),$B$8+0*IF($B$9="Diario",1,IF($B$9="Semanal",7,IF($B$9="Quinzenal",15,0)))))</f>
        <v/>
      </c>
      <c r="D12" s="28" t="str">
        <f aca="false">IF(OR(1&gt;N($B$6),NOT(ISNUMBER($B$8))),"",$B$7)</f>
        <v/>
      </c>
    </row>
    <row r="13" customFormat="false" ht="15" hidden="false" customHeight="false" outlineLevel="0" collapsed="false">
      <c r="A13" s="27" t="str">
        <f aca="false">IF(OR(2&gt;N($B$6),NOT(ISNUMBER($B$8))),"",$D$5)</f>
        <v/>
      </c>
      <c r="B13" s="59" t="str">
        <f aca="false">IF(OR(2&gt;N($B$6),NOT(ISNUMBER($B$8))),"",2)</f>
        <v/>
      </c>
      <c r="C13" s="26" t="str">
        <f aca="false">IF(OR(2&gt;N($B$6),NOT(ISNUMBER($B$8))),"",IF(IF($B$9="Mensal",1,IF($B$9="Bimestral",2,IF($B$9="Trimestral",3,IF($B$9="Semestral",6,IF($B$9="Anual",12,0)))))&gt;0,EDATE($B$8,1*IF($B$9="Mensal",1,IF($B$9="Bimestral",2,IF($B$9="Trimestral",3,IF($B$9="Semestral",6,IF($B$9="Anual",12,0)))))),$B$8+1*IF($B$9="Diario",1,IF($B$9="Semanal",7,IF($B$9="Quinzenal",15,0)))))</f>
        <v/>
      </c>
      <c r="D13" s="28" t="str">
        <f aca="false">IF(OR(2&gt;N($B$6),NOT(ISNUMBER($B$8))),"",$B$7)</f>
        <v/>
      </c>
    </row>
    <row r="14" customFormat="false" ht="15" hidden="false" customHeight="false" outlineLevel="0" collapsed="false">
      <c r="A14" s="27" t="str">
        <f aca="false">IF(OR(3&gt;N($B$6),NOT(ISNUMBER($B$8))),"",$D$5)</f>
        <v/>
      </c>
      <c r="B14" s="59" t="str">
        <f aca="false">IF(OR(3&gt;N($B$6),NOT(ISNUMBER($B$8))),"",3)</f>
        <v/>
      </c>
      <c r="C14" s="26" t="str">
        <f aca="false">IF(OR(3&gt;N($B$6),NOT(ISNUMBER($B$8))),"",IF(IF($B$9="Mensal",1,IF($B$9="Bimestral",2,IF($B$9="Trimestral",3,IF($B$9="Semestral",6,IF($B$9="Anual",12,0)))))&gt;0,EDATE($B$8,2*IF($B$9="Mensal",1,IF($B$9="Bimestral",2,IF($B$9="Trimestral",3,IF($B$9="Semestral",6,IF($B$9="Anual",12,0)))))),$B$8+2*IF($B$9="Diario",1,IF($B$9="Semanal",7,IF($B$9="Quinzenal",15,0)))))</f>
        <v/>
      </c>
      <c r="D14" s="28" t="str">
        <f aca="false">IF(OR(3&gt;N($B$6),NOT(ISNUMBER($B$8))),"",$B$7)</f>
        <v/>
      </c>
    </row>
    <row r="15" customFormat="false" ht="15" hidden="false" customHeight="false" outlineLevel="0" collapsed="false">
      <c r="A15" s="27" t="str">
        <f aca="false">IF(OR(4&gt;N($B$6),NOT(ISNUMBER($B$8))),"",$D$5)</f>
        <v/>
      </c>
      <c r="B15" s="59" t="str">
        <f aca="false">IF(OR(4&gt;N($B$6),NOT(ISNUMBER($B$8))),"",4)</f>
        <v/>
      </c>
      <c r="C15" s="26" t="str">
        <f aca="false">IF(OR(4&gt;N($B$6),NOT(ISNUMBER($B$8))),"",IF(IF($B$9="Mensal",1,IF($B$9="Bimestral",2,IF($B$9="Trimestral",3,IF($B$9="Semestral",6,IF($B$9="Anual",12,0)))))&gt;0,EDATE($B$8,3*IF($B$9="Mensal",1,IF($B$9="Bimestral",2,IF($B$9="Trimestral",3,IF($B$9="Semestral",6,IF($B$9="Anual",12,0)))))),$B$8+3*IF($B$9="Diario",1,IF($B$9="Semanal",7,IF($B$9="Quinzenal",15,0)))))</f>
        <v/>
      </c>
      <c r="D15" s="28" t="str">
        <f aca="false">IF(OR(4&gt;N($B$6),NOT(ISNUMBER($B$8))),"",$B$7)</f>
        <v/>
      </c>
    </row>
    <row r="16" customFormat="false" ht="15" hidden="false" customHeight="false" outlineLevel="0" collapsed="false">
      <c r="A16" s="27" t="str">
        <f aca="false">IF(OR(5&gt;N($B$6),NOT(ISNUMBER($B$8))),"",$D$5)</f>
        <v/>
      </c>
      <c r="B16" s="59" t="str">
        <f aca="false">IF(OR(5&gt;N($B$6),NOT(ISNUMBER($B$8))),"",5)</f>
        <v/>
      </c>
      <c r="C16" s="26" t="str">
        <f aca="false">IF(OR(5&gt;N($B$6),NOT(ISNUMBER($B$8))),"",IF(IF($B$9="Mensal",1,IF($B$9="Bimestral",2,IF($B$9="Trimestral",3,IF($B$9="Semestral",6,IF($B$9="Anual",12,0)))))&gt;0,EDATE($B$8,4*IF($B$9="Mensal",1,IF($B$9="Bimestral",2,IF($B$9="Trimestral",3,IF($B$9="Semestral",6,IF($B$9="Anual",12,0)))))),$B$8+4*IF($B$9="Diario",1,IF($B$9="Semanal",7,IF($B$9="Quinzenal",15,0)))))</f>
        <v/>
      </c>
      <c r="D16" s="28" t="str">
        <f aca="false">IF(OR(5&gt;N($B$6),NOT(ISNUMBER($B$8))),"",$B$7)</f>
        <v/>
      </c>
    </row>
    <row r="17" customFormat="false" ht="15" hidden="false" customHeight="false" outlineLevel="0" collapsed="false">
      <c r="A17" s="27" t="str">
        <f aca="false">IF(OR(6&gt;N($B$6),NOT(ISNUMBER($B$8))),"",$D$5)</f>
        <v/>
      </c>
      <c r="B17" s="59" t="str">
        <f aca="false">IF(OR(6&gt;N($B$6),NOT(ISNUMBER($B$8))),"",6)</f>
        <v/>
      </c>
      <c r="C17" s="26" t="str">
        <f aca="false">IF(OR(6&gt;N($B$6),NOT(ISNUMBER($B$8))),"",IF(IF($B$9="Mensal",1,IF($B$9="Bimestral",2,IF($B$9="Trimestral",3,IF($B$9="Semestral",6,IF($B$9="Anual",12,0)))))&gt;0,EDATE($B$8,5*IF($B$9="Mensal",1,IF($B$9="Bimestral",2,IF($B$9="Trimestral",3,IF($B$9="Semestral",6,IF($B$9="Anual",12,0)))))),$B$8+5*IF($B$9="Diario",1,IF($B$9="Semanal",7,IF($B$9="Quinzenal",15,0)))))</f>
        <v/>
      </c>
      <c r="D17" s="28" t="str">
        <f aca="false">IF(OR(6&gt;N($B$6),NOT(ISNUMBER($B$8))),"",$B$7)</f>
        <v/>
      </c>
    </row>
    <row r="18" customFormat="false" ht="15" hidden="false" customHeight="false" outlineLevel="0" collapsed="false">
      <c r="A18" s="27" t="str">
        <f aca="false">IF(OR(7&gt;N($B$6),NOT(ISNUMBER($B$8))),"",$D$5)</f>
        <v/>
      </c>
      <c r="B18" s="59" t="str">
        <f aca="false">IF(OR(7&gt;N($B$6),NOT(ISNUMBER($B$8))),"",7)</f>
        <v/>
      </c>
      <c r="C18" s="26" t="str">
        <f aca="false">IF(OR(7&gt;N($B$6),NOT(ISNUMBER($B$8))),"",IF(IF($B$9="Mensal",1,IF($B$9="Bimestral",2,IF($B$9="Trimestral",3,IF($B$9="Semestral",6,IF($B$9="Anual",12,0)))))&gt;0,EDATE($B$8,6*IF($B$9="Mensal",1,IF($B$9="Bimestral",2,IF($B$9="Trimestral",3,IF($B$9="Semestral",6,IF($B$9="Anual",12,0)))))),$B$8+6*IF($B$9="Diario",1,IF($B$9="Semanal",7,IF($B$9="Quinzenal",15,0)))))</f>
        <v/>
      </c>
      <c r="D18" s="28" t="str">
        <f aca="false">IF(OR(7&gt;N($B$6),NOT(ISNUMBER($B$8))),"",$B$7)</f>
        <v/>
      </c>
    </row>
    <row r="19" customFormat="false" ht="15" hidden="false" customHeight="false" outlineLevel="0" collapsed="false">
      <c r="A19" s="27" t="str">
        <f aca="false">IF(OR(8&gt;N($B$6),NOT(ISNUMBER($B$8))),"",$D$5)</f>
        <v/>
      </c>
      <c r="B19" s="59" t="str">
        <f aca="false">IF(OR(8&gt;N($B$6),NOT(ISNUMBER($B$8))),"",8)</f>
        <v/>
      </c>
      <c r="C19" s="26" t="str">
        <f aca="false">IF(OR(8&gt;N($B$6),NOT(ISNUMBER($B$8))),"",IF(IF($B$9="Mensal",1,IF($B$9="Bimestral",2,IF($B$9="Trimestral",3,IF($B$9="Semestral",6,IF($B$9="Anual",12,0)))))&gt;0,EDATE($B$8,7*IF($B$9="Mensal",1,IF($B$9="Bimestral",2,IF($B$9="Trimestral",3,IF($B$9="Semestral",6,IF($B$9="Anual",12,0)))))),$B$8+7*IF($B$9="Diario",1,IF($B$9="Semanal",7,IF($B$9="Quinzenal",15,0)))))</f>
        <v/>
      </c>
      <c r="D19" s="28" t="str">
        <f aca="false">IF(OR(8&gt;N($B$6),NOT(ISNUMBER($B$8))),"",$B$7)</f>
        <v/>
      </c>
    </row>
    <row r="20" customFormat="false" ht="15" hidden="false" customHeight="false" outlineLevel="0" collapsed="false">
      <c r="A20" s="27" t="str">
        <f aca="false">IF(OR(9&gt;N($B$6),NOT(ISNUMBER($B$8))),"",$D$5)</f>
        <v/>
      </c>
      <c r="B20" s="59" t="str">
        <f aca="false">IF(OR(9&gt;N($B$6),NOT(ISNUMBER($B$8))),"",9)</f>
        <v/>
      </c>
      <c r="C20" s="26" t="str">
        <f aca="false">IF(OR(9&gt;N($B$6),NOT(ISNUMBER($B$8))),"",IF(IF($B$9="Mensal",1,IF($B$9="Bimestral",2,IF($B$9="Trimestral",3,IF($B$9="Semestral",6,IF($B$9="Anual",12,0)))))&gt;0,EDATE($B$8,8*IF($B$9="Mensal",1,IF($B$9="Bimestral",2,IF($B$9="Trimestral",3,IF($B$9="Semestral",6,IF($B$9="Anual",12,0)))))),$B$8+8*IF($B$9="Diario",1,IF($B$9="Semanal",7,IF($B$9="Quinzenal",15,0)))))</f>
        <v/>
      </c>
      <c r="D20" s="28" t="str">
        <f aca="false">IF(OR(9&gt;N($B$6),NOT(ISNUMBER($B$8))),"",$B$7)</f>
        <v/>
      </c>
    </row>
    <row r="21" customFormat="false" ht="15" hidden="false" customHeight="false" outlineLevel="0" collapsed="false">
      <c r="A21" s="27" t="str">
        <f aca="false">IF(OR(10&gt;N($B$6),NOT(ISNUMBER($B$8))),"",$D$5)</f>
        <v/>
      </c>
      <c r="B21" s="59" t="str">
        <f aca="false">IF(OR(10&gt;N($B$6),NOT(ISNUMBER($B$8))),"",10)</f>
        <v/>
      </c>
      <c r="C21" s="26" t="str">
        <f aca="false">IF(OR(10&gt;N($B$6),NOT(ISNUMBER($B$8))),"",IF(IF($B$9="Mensal",1,IF($B$9="Bimestral",2,IF($B$9="Trimestral",3,IF($B$9="Semestral",6,IF($B$9="Anual",12,0)))))&gt;0,EDATE($B$8,9*IF($B$9="Mensal",1,IF($B$9="Bimestral",2,IF($B$9="Trimestral",3,IF($B$9="Semestral",6,IF($B$9="Anual",12,0)))))),$B$8+9*IF($B$9="Diario",1,IF($B$9="Semanal",7,IF($B$9="Quinzenal",15,0)))))</f>
        <v/>
      </c>
      <c r="D21" s="28" t="str">
        <f aca="false">IF(OR(10&gt;N($B$6),NOT(ISNUMBER($B$8))),"",$B$7)</f>
        <v/>
      </c>
    </row>
    <row r="22" customFormat="false" ht="15" hidden="false" customHeight="false" outlineLevel="0" collapsed="false">
      <c r="A22" s="27" t="str">
        <f aca="false">IF(OR(11&gt;N($B$6),NOT(ISNUMBER($B$8))),"",$D$5)</f>
        <v/>
      </c>
      <c r="B22" s="59" t="str">
        <f aca="false">IF(OR(11&gt;N($B$6),NOT(ISNUMBER($B$8))),"",11)</f>
        <v/>
      </c>
      <c r="C22" s="26" t="str">
        <f aca="false">IF(OR(11&gt;N($B$6),NOT(ISNUMBER($B$8))),"",IF(IF($B$9="Mensal",1,IF($B$9="Bimestral",2,IF($B$9="Trimestral",3,IF($B$9="Semestral",6,IF($B$9="Anual",12,0)))))&gt;0,EDATE($B$8,10*IF($B$9="Mensal",1,IF($B$9="Bimestral",2,IF($B$9="Trimestral",3,IF($B$9="Semestral",6,IF($B$9="Anual",12,0)))))),$B$8+10*IF($B$9="Diario",1,IF($B$9="Semanal",7,IF($B$9="Quinzenal",15,0)))))</f>
        <v/>
      </c>
      <c r="D22" s="28" t="str">
        <f aca="false">IF(OR(11&gt;N($B$6),NOT(ISNUMBER($B$8))),"",$B$7)</f>
        <v/>
      </c>
    </row>
    <row r="23" customFormat="false" ht="15" hidden="false" customHeight="false" outlineLevel="0" collapsed="false">
      <c r="A23" s="27" t="str">
        <f aca="false">IF(OR(12&gt;N($B$6),NOT(ISNUMBER($B$8))),"",$D$5)</f>
        <v/>
      </c>
      <c r="B23" s="59" t="str">
        <f aca="false">IF(OR(12&gt;N($B$6),NOT(ISNUMBER($B$8))),"",12)</f>
        <v/>
      </c>
      <c r="C23" s="26" t="str">
        <f aca="false">IF(OR(12&gt;N($B$6),NOT(ISNUMBER($B$8))),"",IF(IF($B$9="Mensal",1,IF($B$9="Bimestral",2,IF($B$9="Trimestral",3,IF($B$9="Semestral",6,IF($B$9="Anual",12,0)))))&gt;0,EDATE($B$8,11*IF($B$9="Mensal",1,IF($B$9="Bimestral",2,IF($B$9="Trimestral",3,IF($B$9="Semestral",6,IF($B$9="Anual",12,0)))))),$B$8+11*IF($B$9="Diario",1,IF($B$9="Semanal",7,IF($B$9="Quinzenal",15,0)))))</f>
        <v/>
      </c>
      <c r="D23" s="28" t="str">
        <f aca="false">IF(OR(12&gt;N($B$6),NOT(ISNUMBER($B$8))),"",$B$7)</f>
        <v/>
      </c>
    </row>
    <row r="24" customFormat="false" ht="15" hidden="false" customHeight="false" outlineLevel="0" collapsed="false">
      <c r="A24" s="27" t="str">
        <f aca="false">IF(OR(13&gt;N($B$6),NOT(ISNUMBER($B$8))),"",$D$5)</f>
        <v/>
      </c>
      <c r="B24" s="59" t="str">
        <f aca="false">IF(OR(13&gt;N($B$6),NOT(ISNUMBER($B$8))),"",13)</f>
        <v/>
      </c>
      <c r="C24" s="26" t="str">
        <f aca="false">IF(OR(13&gt;N($B$6),NOT(ISNUMBER($B$8))),"",IF(IF($B$9="Mensal",1,IF($B$9="Bimestral",2,IF($B$9="Trimestral",3,IF($B$9="Semestral",6,IF($B$9="Anual",12,0)))))&gt;0,EDATE($B$8,12*IF($B$9="Mensal",1,IF($B$9="Bimestral",2,IF($B$9="Trimestral",3,IF($B$9="Semestral",6,IF($B$9="Anual",12,0)))))),$B$8+12*IF($B$9="Diario",1,IF($B$9="Semanal",7,IF($B$9="Quinzenal",15,0)))))</f>
        <v/>
      </c>
      <c r="D24" s="28" t="str">
        <f aca="false">IF(OR(13&gt;N($B$6),NOT(ISNUMBER($B$8))),"",$B$7)</f>
        <v/>
      </c>
    </row>
    <row r="25" customFormat="false" ht="15" hidden="false" customHeight="false" outlineLevel="0" collapsed="false">
      <c r="A25" s="27" t="str">
        <f aca="false">IF(OR(14&gt;N($B$6),NOT(ISNUMBER($B$8))),"",$D$5)</f>
        <v/>
      </c>
      <c r="B25" s="59" t="str">
        <f aca="false">IF(OR(14&gt;N($B$6),NOT(ISNUMBER($B$8))),"",14)</f>
        <v/>
      </c>
      <c r="C25" s="26" t="str">
        <f aca="false">IF(OR(14&gt;N($B$6),NOT(ISNUMBER($B$8))),"",IF(IF($B$9="Mensal",1,IF($B$9="Bimestral",2,IF($B$9="Trimestral",3,IF($B$9="Semestral",6,IF($B$9="Anual",12,0)))))&gt;0,EDATE($B$8,13*IF($B$9="Mensal",1,IF($B$9="Bimestral",2,IF($B$9="Trimestral",3,IF($B$9="Semestral",6,IF($B$9="Anual",12,0)))))),$B$8+13*IF($B$9="Diario",1,IF($B$9="Semanal",7,IF($B$9="Quinzenal",15,0)))))</f>
        <v/>
      </c>
      <c r="D25" s="28" t="str">
        <f aca="false">IF(OR(14&gt;N($B$6),NOT(ISNUMBER($B$8))),"",$B$7)</f>
        <v/>
      </c>
    </row>
    <row r="26" customFormat="false" ht="15" hidden="false" customHeight="false" outlineLevel="0" collapsed="false">
      <c r="A26" s="27" t="str">
        <f aca="false">IF(OR(15&gt;N($B$6),NOT(ISNUMBER($B$8))),"",$D$5)</f>
        <v/>
      </c>
      <c r="B26" s="59" t="str">
        <f aca="false">IF(OR(15&gt;N($B$6),NOT(ISNUMBER($B$8))),"",15)</f>
        <v/>
      </c>
      <c r="C26" s="26" t="str">
        <f aca="false">IF(OR(15&gt;N($B$6),NOT(ISNUMBER($B$8))),"",IF(IF($B$9="Mensal",1,IF($B$9="Bimestral",2,IF($B$9="Trimestral",3,IF($B$9="Semestral",6,IF($B$9="Anual",12,0)))))&gt;0,EDATE($B$8,14*IF($B$9="Mensal",1,IF($B$9="Bimestral",2,IF($B$9="Trimestral",3,IF($B$9="Semestral",6,IF($B$9="Anual",12,0)))))),$B$8+14*IF($B$9="Diario",1,IF($B$9="Semanal",7,IF($B$9="Quinzenal",15,0)))))</f>
        <v/>
      </c>
      <c r="D26" s="28" t="str">
        <f aca="false">IF(OR(15&gt;N($B$6),NOT(ISNUMBER($B$8))),"",$B$7)</f>
        <v/>
      </c>
    </row>
    <row r="27" customFormat="false" ht="15" hidden="false" customHeight="false" outlineLevel="0" collapsed="false">
      <c r="A27" s="27" t="str">
        <f aca="false">IF(OR(16&gt;N($B$6),NOT(ISNUMBER($B$8))),"",$D$5)</f>
        <v/>
      </c>
      <c r="B27" s="59" t="str">
        <f aca="false">IF(OR(16&gt;N($B$6),NOT(ISNUMBER($B$8))),"",16)</f>
        <v/>
      </c>
      <c r="C27" s="26" t="str">
        <f aca="false">IF(OR(16&gt;N($B$6),NOT(ISNUMBER($B$8))),"",IF(IF($B$9="Mensal",1,IF($B$9="Bimestral",2,IF($B$9="Trimestral",3,IF($B$9="Semestral",6,IF($B$9="Anual",12,0)))))&gt;0,EDATE($B$8,15*IF($B$9="Mensal",1,IF($B$9="Bimestral",2,IF($B$9="Trimestral",3,IF($B$9="Semestral",6,IF($B$9="Anual",12,0)))))),$B$8+15*IF($B$9="Diario",1,IF($B$9="Semanal",7,IF($B$9="Quinzenal",15,0)))))</f>
        <v/>
      </c>
      <c r="D27" s="28" t="str">
        <f aca="false">IF(OR(16&gt;N($B$6),NOT(ISNUMBER($B$8))),"",$B$7)</f>
        <v/>
      </c>
    </row>
    <row r="28" customFormat="false" ht="15" hidden="false" customHeight="false" outlineLevel="0" collapsed="false">
      <c r="A28" s="27" t="str">
        <f aca="false">IF(OR(17&gt;N($B$6),NOT(ISNUMBER($B$8))),"",$D$5)</f>
        <v/>
      </c>
      <c r="B28" s="59" t="str">
        <f aca="false">IF(OR(17&gt;N($B$6),NOT(ISNUMBER($B$8))),"",17)</f>
        <v/>
      </c>
      <c r="C28" s="26" t="str">
        <f aca="false">IF(OR(17&gt;N($B$6),NOT(ISNUMBER($B$8))),"",IF(IF($B$9="Mensal",1,IF($B$9="Bimestral",2,IF($B$9="Trimestral",3,IF($B$9="Semestral",6,IF($B$9="Anual",12,0)))))&gt;0,EDATE($B$8,16*IF($B$9="Mensal",1,IF($B$9="Bimestral",2,IF($B$9="Trimestral",3,IF($B$9="Semestral",6,IF($B$9="Anual",12,0)))))),$B$8+16*IF($B$9="Diario",1,IF($B$9="Semanal",7,IF($B$9="Quinzenal",15,0)))))</f>
        <v/>
      </c>
      <c r="D28" s="28" t="str">
        <f aca="false">IF(OR(17&gt;N($B$6),NOT(ISNUMBER($B$8))),"",$B$7)</f>
        <v/>
      </c>
    </row>
    <row r="29" customFormat="false" ht="15" hidden="false" customHeight="false" outlineLevel="0" collapsed="false">
      <c r="A29" s="27" t="str">
        <f aca="false">IF(OR(18&gt;N($B$6),NOT(ISNUMBER($B$8))),"",$D$5)</f>
        <v/>
      </c>
      <c r="B29" s="59" t="str">
        <f aca="false">IF(OR(18&gt;N($B$6),NOT(ISNUMBER($B$8))),"",18)</f>
        <v/>
      </c>
      <c r="C29" s="26" t="str">
        <f aca="false">IF(OR(18&gt;N($B$6),NOT(ISNUMBER($B$8))),"",IF(IF($B$9="Mensal",1,IF($B$9="Bimestral",2,IF($B$9="Trimestral",3,IF($B$9="Semestral",6,IF($B$9="Anual",12,0)))))&gt;0,EDATE($B$8,17*IF($B$9="Mensal",1,IF($B$9="Bimestral",2,IF($B$9="Trimestral",3,IF($B$9="Semestral",6,IF($B$9="Anual",12,0)))))),$B$8+17*IF($B$9="Diario",1,IF($B$9="Semanal",7,IF($B$9="Quinzenal",15,0)))))</f>
        <v/>
      </c>
      <c r="D29" s="28" t="str">
        <f aca="false">IF(OR(18&gt;N($B$6),NOT(ISNUMBER($B$8))),"",$B$7)</f>
        <v/>
      </c>
    </row>
    <row r="30" customFormat="false" ht="15" hidden="false" customHeight="false" outlineLevel="0" collapsed="false">
      <c r="A30" s="27" t="str">
        <f aca="false">IF(OR(19&gt;N($B$6),NOT(ISNUMBER($B$8))),"",$D$5)</f>
        <v/>
      </c>
      <c r="B30" s="59" t="str">
        <f aca="false">IF(OR(19&gt;N($B$6),NOT(ISNUMBER($B$8))),"",19)</f>
        <v/>
      </c>
      <c r="C30" s="26" t="str">
        <f aca="false">IF(OR(19&gt;N($B$6),NOT(ISNUMBER($B$8))),"",IF(IF($B$9="Mensal",1,IF($B$9="Bimestral",2,IF($B$9="Trimestral",3,IF($B$9="Semestral",6,IF($B$9="Anual",12,0)))))&gt;0,EDATE($B$8,18*IF($B$9="Mensal",1,IF($B$9="Bimestral",2,IF($B$9="Trimestral",3,IF($B$9="Semestral",6,IF($B$9="Anual",12,0)))))),$B$8+18*IF($B$9="Diario",1,IF($B$9="Semanal",7,IF($B$9="Quinzenal",15,0)))))</f>
        <v/>
      </c>
      <c r="D30" s="28" t="str">
        <f aca="false">IF(OR(19&gt;N($B$6),NOT(ISNUMBER($B$8))),"",$B$7)</f>
        <v/>
      </c>
    </row>
    <row r="31" customFormat="false" ht="15" hidden="false" customHeight="false" outlineLevel="0" collapsed="false">
      <c r="A31" s="27" t="str">
        <f aca="false">IF(OR(20&gt;N($B$6),NOT(ISNUMBER($B$8))),"",$D$5)</f>
        <v/>
      </c>
      <c r="B31" s="59" t="str">
        <f aca="false">IF(OR(20&gt;N($B$6),NOT(ISNUMBER($B$8))),"",20)</f>
        <v/>
      </c>
      <c r="C31" s="26" t="str">
        <f aca="false">IF(OR(20&gt;N($B$6),NOT(ISNUMBER($B$8))),"",IF(IF($B$9="Mensal",1,IF($B$9="Bimestral",2,IF($B$9="Trimestral",3,IF($B$9="Semestral",6,IF($B$9="Anual",12,0)))))&gt;0,EDATE($B$8,19*IF($B$9="Mensal",1,IF($B$9="Bimestral",2,IF($B$9="Trimestral",3,IF($B$9="Semestral",6,IF($B$9="Anual",12,0)))))),$B$8+19*IF($B$9="Diario",1,IF($B$9="Semanal",7,IF($B$9="Quinzenal",15,0)))))</f>
        <v/>
      </c>
      <c r="D31" s="28" t="str">
        <f aca="false">IF(OR(20&gt;N($B$6),NOT(ISNUMBER($B$8))),"",$B$7)</f>
        <v/>
      </c>
    </row>
    <row r="32" customFormat="false" ht="15" hidden="false" customHeight="false" outlineLevel="0" collapsed="false">
      <c r="A32" s="27" t="str">
        <f aca="false">IF(OR(21&gt;N($B$6),NOT(ISNUMBER($B$8))),"",$D$5)</f>
        <v/>
      </c>
      <c r="B32" s="59" t="str">
        <f aca="false">IF(OR(21&gt;N($B$6),NOT(ISNUMBER($B$8))),"",21)</f>
        <v/>
      </c>
      <c r="C32" s="26" t="str">
        <f aca="false">IF(OR(21&gt;N($B$6),NOT(ISNUMBER($B$8))),"",IF(IF($B$9="Mensal",1,IF($B$9="Bimestral",2,IF($B$9="Trimestral",3,IF($B$9="Semestral",6,IF($B$9="Anual",12,0)))))&gt;0,EDATE($B$8,20*IF($B$9="Mensal",1,IF($B$9="Bimestral",2,IF($B$9="Trimestral",3,IF($B$9="Semestral",6,IF($B$9="Anual",12,0)))))),$B$8+20*IF($B$9="Diario",1,IF($B$9="Semanal",7,IF($B$9="Quinzenal",15,0)))))</f>
        <v/>
      </c>
      <c r="D32" s="28" t="str">
        <f aca="false">IF(OR(21&gt;N($B$6),NOT(ISNUMBER($B$8))),"",$B$7)</f>
        <v/>
      </c>
    </row>
    <row r="33" customFormat="false" ht="15" hidden="false" customHeight="false" outlineLevel="0" collapsed="false">
      <c r="A33" s="27" t="str">
        <f aca="false">IF(OR(22&gt;N($B$6),NOT(ISNUMBER($B$8))),"",$D$5)</f>
        <v/>
      </c>
      <c r="B33" s="59" t="str">
        <f aca="false">IF(OR(22&gt;N($B$6),NOT(ISNUMBER($B$8))),"",22)</f>
        <v/>
      </c>
      <c r="C33" s="26" t="str">
        <f aca="false">IF(OR(22&gt;N($B$6),NOT(ISNUMBER($B$8))),"",IF(IF($B$9="Mensal",1,IF($B$9="Bimestral",2,IF($B$9="Trimestral",3,IF($B$9="Semestral",6,IF($B$9="Anual",12,0)))))&gt;0,EDATE($B$8,21*IF($B$9="Mensal",1,IF($B$9="Bimestral",2,IF($B$9="Trimestral",3,IF($B$9="Semestral",6,IF($B$9="Anual",12,0)))))),$B$8+21*IF($B$9="Diario",1,IF($B$9="Semanal",7,IF($B$9="Quinzenal",15,0)))))</f>
        <v/>
      </c>
      <c r="D33" s="28" t="str">
        <f aca="false">IF(OR(22&gt;N($B$6),NOT(ISNUMBER($B$8))),"",$B$7)</f>
        <v/>
      </c>
    </row>
    <row r="34" customFormat="false" ht="15" hidden="false" customHeight="false" outlineLevel="0" collapsed="false">
      <c r="A34" s="27" t="str">
        <f aca="false">IF(OR(23&gt;N($B$6),NOT(ISNUMBER($B$8))),"",$D$5)</f>
        <v/>
      </c>
      <c r="B34" s="59" t="str">
        <f aca="false">IF(OR(23&gt;N($B$6),NOT(ISNUMBER($B$8))),"",23)</f>
        <v/>
      </c>
      <c r="C34" s="26" t="str">
        <f aca="false">IF(OR(23&gt;N($B$6),NOT(ISNUMBER($B$8))),"",IF(IF($B$9="Mensal",1,IF($B$9="Bimestral",2,IF($B$9="Trimestral",3,IF($B$9="Semestral",6,IF($B$9="Anual",12,0)))))&gt;0,EDATE($B$8,22*IF($B$9="Mensal",1,IF($B$9="Bimestral",2,IF($B$9="Trimestral",3,IF($B$9="Semestral",6,IF($B$9="Anual",12,0)))))),$B$8+22*IF($B$9="Diario",1,IF($B$9="Semanal",7,IF($B$9="Quinzenal",15,0)))))</f>
        <v/>
      </c>
      <c r="D34" s="28" t="str">
        <f aca="false">IF(OR(23&gt;N($B$6),NOT(ISNUMBER($B$8))),"",$B$7)</f>
        <v/>
      </c>
    </row>
    <row r="35" customFormat="false" ht="15" hidden="false" customHeight="false" outlineLevel="0" collapsed="false">
      <c r="A35" s="27" t="str">
        <f aca="false">IF(OR(24&gt;N($B$6),NOT(ISNUMBER($B$8))),"",$D$5)</f>
        <v/>
      </c>
      <c r="B35" s="59" t="str">
        <f aca="false">IF(OR(24&gt;N($B$6),NOT(ISNUMBER($B$8))),"",24)</f>
        <v/>
      </c>
      <c r="C35" s="26" t="str">
        <f aca="false">IF(OR(24&gt;N($B$6),NOT(ISNUMBER($B$8))),"",IF(IF($B$9="Mensal",1,IF($B$9="Bimestral",2,IF($B$9="Trimestral",3,IF($B$9="Semestral",6,IF($B$9="Anual",12,0)))))&gt;0,EDATE($B$8,23*IF($B$9="Mensal",1,IF($B$9="Bimestral",2,IF($B$9="Trimestral",3,IF($B$9="Semestral",6,IF($B$9="Anual",12,0)))))),$B$8+23*IF($B$9="Diario",1,IF($B$9="Semanal",7,IF($B$9="Quinzenal",15,0)))))</f>
        <v/>
      </c>
      <c r="D35" s="28" t="str">
        <f aca="false">IF(OR(24&gt;N($B$6),NOT(ISNUMBER($B$8))),"",$B$7)</f>
        <v/>
      </c>
    </row>
    <row r="36" customFormat="false" ht="15" hidden="false" customHeight="false" outlineLevel="0" collapsed="false">
      <c r="A36" s="27" t="str">
        <f aca="false">IF(OR(25&gt;N($B$6),NOT(ISNUMBER($B$8))),"",$D$5)</f>
        <v/>
      </c>
      <c r="B36" s="59" t="str">
        <f aca="false">IF(OR(25&gt;N($B$6),NOT(ISNUMBER($B$8))),"",25)</f>
        <v/>
      </c>
      <c r="C36" s="26" t="str">
        <f aca="false">IF(OR(25&gt;N($B$6),NOT(ISNUMBER($B$8))),"",IF(IF($B$9="Mensal",1,IF($B$9="Bimestral",2,IF($B$9="Trimestral",3,IF($B$9="Semestral",6,IF($B$9="Anual",12,0)))))&gt;0,EDATE($B$8,24*IF($B$9="Mensal",1,IF($B$9="Bimestral",2,IF($B$9="Trimestral",3,IF($B$9="Semestral",6,IF($B$9="Anual",12,0)))))),$B$8+24*IF($B$9="Diario",1,IF($B$9="Semanal",7,IF($B$9="Quinzenal",15,0)))))</f>
        <v/>
      </c>
      <c r="D36" s="28" t="str">
        <f aca="false">IF(OR(25&gt;N($B$6),NOT(ISNUMBER($B$8))),"",$B$7)</f>
        <v/>
      </c>
    </row>
    <row r="37" customFormat="false" ht="15" hidden="false" customHeight="false" outlineLevel="0" collapsed="false">
      <c r="A37" s="27" t="str">
        <f aca="false">IF(OR(26&gt;N($B$6),NOT(ISNUMBER($B$8))),"",$D$5)</f>
        <v/>
      </c>
      <c r="B37" s="59" t="str">
        <f aca="false">IF(OR(26&gt;N($B$6),NOT(ISNUMBER($B$8))),"",26)</f>
        <v/>
      </c>
      <c r="C37" s="26" t="str">
        <f aca="false">IF(OR(26&gt;N($B$6),NOT(ISNUMBER($B$8))),"",IF(IF($B$9="Mensal",1,IF($B$9="Bimestral",2,IF($B$9="Trimestral",3,IF($B$9="Semestral",6,IF($B$9="Anual",12,0)))))&gt;0,EDATE($B$8,25*IF($B$9="Mensal",1,IF($B$9="Bimestral",2,IF($B$9="Trimestral",3,IF($B$9="Semestral",6,IF($B$9="Anual",12,0)))))),$B$8+25*IF($B$9="Diario",1,IF($B$9="Semanal",7,IF($B$9="Quinzenal",15,0)))))</f>
        <v/>
      </c>
      <c r="D37" s="28" t="str">
        <f aca="false">IF(OR(26&gt;N($B$6),NOT(ISNUMBER($B$8))),"",$B$7)</f>
        <v/>
      </c>
    </row>
    <row r="38" customFormat="false" ht="15" hidden="false" customHeight="false" outlineLevel="0" collapsed="false">
      <c r="A38" s="27" t="str">
        <f aca="false">IF(OR(27&gt;N($B$6),NOT(ISNUMBER($B$8))),"",$D$5)</f>
        <v/>
      </c>
      <c r="B38" s="59" t="str">
        <f aca="false">IF(OR(27&gt;N($B$6),NOT(ISNUMBER($B$8))),"",27)</f>
        <v/>
      </c>
      <c r="C38" s="26" t="str">
        <f aca="false">IF(OR(27&gt;N($B$6),NOT(ISNUMBER($B$8))),"",IF(IF($B$9="Mensal",1,IF($B$9="Bimestral",2,IF($B$9="Trimestral",3,IF($B$9="Semestral",6,IF($B$9="Anual",12,0)))))&gt;0,EDATE($B$8,26*IF($B$9="Mensal",1,IF($B$9="Bimestral",2,IF($B$9="Trimestral",3,IF($B$9="Semestral",6,IF($B$9="Anual",12,0)))))),$B$8+26*IF($B$9="Diario",1,IF($B$9="Semanal",7,IF($B$9="Quinzenal",15,0)))))</f>
        <v/>
      </c>
      <c r="D38" s="28" t="str">
        <f aca="false">IF(OR(27&gt;N($B$6),NOT(ISNUMBER($B$8))),"",$B$7)</f>
        <v/>
      </c>
    </row>
    <row r="39" customFormat="false" ht="15" hidden="false" customHeight="false" outlineLevel="0" collapsed="false">
      <c r="A39" s="27" t="str">
        <f aca="false">IF(OR(28&gt;N($B$6),NOT(ISNUMBER($B$8))),"",$D$5)</f>
        <v/>
      </c>
      <c r="B39" s="59" t="str">
        <f aca="false">IF(OR(28&gt;N($B$6),NOT(ISNUMBER($B$8))),"",28)</f>
        <v/>
      </c>
      <c r="C39" s="26" t="str">
        <f aca="false">IF(OR(28&gt;N($B$6),NOT(ISNUMBER($B$8))),"",IF(IF($B$9="Mensal",1,IF($B$9="Bimestral",2,IF($B$9="Trimestral",3,IF($B$9="Semestral",6,IF($B$9="Anual",12,0)))))&gt;0,EDATE($B$8,27*IF($B$9="Mensal",1,IF($B$9="Bimestral",2,IF($B$9="Trimestral",3,IF($B$9="Semestral",6,IF($B$9="Anual",12,0)))))),$B$8+27*IF($B$9="Diario",1,IF($B$9="Semanal",7,IF($B$9="Quinzenal",15,0)))))</f>
        <v/>
      </c>
      <c r="D39" s="28" t="str">
        <f aca="false">IF(OR(28&gt;N($B$6),NOT(ISNUMBER($B$8))),"",$B$7)</f>
        <v/>
      </c>
    </row>
    <row r="40" customFormat="false" ht="15" hidden="false" customHeight="false" outlineLevel="0" collapsed="false">
      <c r="A40" s="27" t="str">
        <f aca="false">IF(OR(29&gt;N($B$6),NOT(ISNUMBER($B$8))),"",$D$5)</f>
        <v/>
      </c>
      <c r="B40" s="59" t="str">
        <f aca="false">IF(OR(29&gt;N($B$6),NOT(ISNUMBER($B$8))),"",29)</f>
        <v/>
      </c>
      <c r="C40" s="26" t="str">
        <f aca="false">IF(OR(29&gt;N($B$6),NOT(ISNUMBER($B$8))),"",IF(IF($B$9="Mensal",1,IF($B$9="Bimestral",2,IF($B$9="Trimestral",3,IF($B$9="Semestral",6,IF($B$9="Anual",12,0)))))&gt;0,EDATE($B$8,28*IF($B$9="Mensal",1,IF($B$9="Bimestral",2,IF($B$9="Trimestral",3,IF($B$9="Semestral",6,IF($B$9="Anual",12,0)))))),$B$8+28*IF($B$9="Diario",1,IF($B$9="Semanal",7,IF($B$9="Quinzenal",15,0)))))</f>
        <v/>
      </c>
      <c r="D40" s="28" t="str">
        <f aca="false">IF(OR(29&gt;N($B$6),NOT(ISNUMBER($B$8))),"",$B$7)</f>
        <v/>
      </c>
    </row>
    <row r="41" customFormat="false" ht="15" hidden="false" customHeight="false" outlineLevel="0" collapsed="false">
      <c r="A41" s="27" t="str">
        <f aca="false">IF(OR(30&gt;N($B$6),NOT(ISNUMBER($B$8))),"",$D$5)</f>
        <v/>
      </c>
      <c r="B41" s="59" t="str">
        <f aca="false">IF(OR(30&gt;N($B$6),NOT(ISNUMBER($B$8))),"",30)</f>
        <v/>
      </c>
      <c r="C41" s="26" t="str">
        <f aca="false">IF(OR(30&gt;N($B$6),NOT(ISNUMBER($B$8))),"",IF(IF($B$9="Mensal",1,IF($B$9="Bimestral",2,IF($B$9="Trimestral",3,IF($B$9="Semestral",6,IF($B$9="Anual",12,0)))))&gt;0,EDATE($B$8,29*IF($B$9="Mensal",1,IF($B$9="Bimestral",2,IF($B$9="Trimestral",3,IF($B$9="Semestral",6,IF($B$9="Anual",12,0)))))),$B$8+29*IF($B$9="Diario",1,IF($B$9="Semanal",7,IF($B$9="Quinzenal",15,0)))))</f>
        <v/>
      </c>
      <c r="D41" s="28" t="str">
        <f aca="false">IF(OR(30&gt;N($B$6),NOT(ISNUMBER($B$8))),"",$B$7)</f>
        <v/>
      </c>
    </row>
    <row r="42" customFormat="false" ht="15" hidden="false" customHeight="false" outlineLevel="0" collapsed="false">
      <c r="A42" s="27" t="str">
        <f aca="false">IF(OR(31&gt;N($B$6),NOT(ISNUMBER($B$8))),"",$D$5)</f>
        <v/>
      </c>
      <c r="B42" s="59" t="str">
        <f aca="false">IF(OR(31&gt;N($B$6),NOT(ISNUMBER($B$8))),"",31)</f>
        <v/>
      </c>
      <c r="C42" s="26" t="str">
        <f aca="false">IF(OR(31&gt;N($B$6),NOT(ISNUMBER($B$8))),"",IF(IF($B$9="Mensal",1,IF($B$9="Bimestral",2,IF($B$9="Trimestral",3,IF($B$9="Semestral",6,IF($B$9="Anual",12,0)))))&gt;0,EDATE($B$8,30*IF($B$9="Mensal",1,IF($B$9="Bimestral",2,IF($B$9="Trimestral",3,IF($B$9="Semestral",6,IF($B$9="Anual",12,0)))))),$B$8+30*IF($B$9="Diario",1,IF($B$9="Semanal",7,IF($B$9="Quinzenal",15,0)))))</f>
        <v/>
      </c>
      <c r="D42" s="28" t="str">
        <f aca="false">IF(OR(31&gt;N($B$6),NOT(ISNUMBER($B$8))),"",$B$7)</f>
        <v/>
      </c>
    </row>
    <row r="43" customFormat="false" ht="15" hidden="false" customHeight="false" outlineLevel="0" collapsed="false">
      <c r="A43" s="27" t="str">
        <f aca="false">IF(OR(32&gt;N($B$6),NOT(ISNUMBER($B$8))),"",$D$5)</f>
        <v/>
      </c>
      <c r="B43" s="59" t="str">
        <f aca="false">IF(OR(32&gt;N($B$6),NOT(ISNUMBER($B$8))),"",32)</f>
        <v/>
      </c>
      <c r="C43" s="26" t="str">
        <f aca="false">IF(OR(32&gt;N($B$6),NOT(ISNUMBER($B$8))),"",IF(IF($B$9="Mensal",1,IF($B$9="Bimestral",2,IF($B$9="Trimestral",3,IF($B$9="Semestral",6,IF($B$9="Anual",12,0)))))&gt;0,EDATE($B$8,31*IF($B$9="Mensal",1,IF($B$9="Bimestral",2,IF($B$9="Trimestral",3,IF($B$9="Semestral",6,IF($B$9="Anual",12,0)))))),$B$8+31*IF($B$9="Diario",1,IF($B$9="Semanal",7,IF($B$9="Quinzenal",15,0)))))</f>
        <v/>
      </c>
      <c r="D43" s="28" t="str">
        <f aca="false">IF(OR(32&gt;N($B$6),NOT(ISNUMBER($B$8))),"",$B$7)</f>
        <v/>
      </c>
    </row>
    <row r="44" customFormat="false" ht="15" hidden="false" customHeight="false" outlineLevel="0" collapsed="false">
      <c r="A44" s="27" t="str">
        <f aca="false">IF(OR(33&gt;N($B$6),NOT(ISNUMBER($B$8))),"",$D$5)</f>
        <v/>
      </c>
      <c r="B44" s="59" t="str">
        <f aca="false">IF(OR(33&gt;N($B$6),NOT(ISNUMBER($B$8))),"",33)</f>
        <v/>
      </c>
      <c r="C44" s="26" t="str">
        <f aca="false">IF(OR(33&gt;N($B$6),NOT(ISNUMBER($B$8))),"",IF(IF($B$9="Mensal",1,IF($B$9="Bimestral",2,IF($B$9="Trimestral",3,IF($B$9="Semestral",6,IF($B$9="Anual",12,0)))))&gt;0,EDATE($B$8,32*IF($B$9="Mensal",1,IF($B$9="Bimestral",2,IF($B$9="Trimestral",3,IF($B$9="Semestral",6,IF($B$9="Anual",12,0)))))),$B$8+32*IF($B$9="Diario",1,IF($B$9="Semanal",7,IF($B$9="Quinzenal",15,0)))))</f>
        <v/>
      </c>
      <c r="D44" s="28" t="str">
        <f aca="false">IF(OR(33&gt;N($B$6),NOT(ISNUMBER($B$8))),"",$B$7)</f>
        <v/>
      </c>
    </row>
    <row r="45" customFormat="false" ht="15" hidden="false" customHeight="false" outlineLevel="0" collapsed="false">
      <c r="A45" s="27" t="str">
        <f aca="false">IF(OR(34&gt;N($B$6),NOT(ISNUMBER($B$8))),"",$D$5)</f>
        <v/>
      </c>
      <c r="B45" s="59" t="str">
        <f aca="false">IF(OR(34&gt;N($B$6),NOT(ISNUMBER($B$8))),"",34)</f>
        <v/>
      </c>
      <c r="C45" s="26" t="str">
        <f aca="false">IF(OR(34&gt;N($B$6),NOT(ISNUMBER($B$8))),"",IF(IF($B$9="Mensal",1,IF($B$9="Bimestral",2,IF($B$9="Trimestral",3,IF($B$9="Semestral",6,IF($B$9="Anual",12,0)))))&gt;0,EDATE($B$8,33*IF($B$9="Mensal",1,IF($B$9="Bimestral",2,IF($B$9="Trimestral",3,IF($B$9="Semestral",6,IF($B$9="Anual",12,0)))))),$B$8+33*IF($B$9="Diario",1,IF($B$9="Semanal",7,IF($B$9="Quinzenal",15,0)))))</f>
        <v/>
      </c>
      <c r="D45" s="28" t="str">
        <f aca="false">IF(OR(34&gt;N($B$6),NOT(ISNUMBER($B$8))),"",$B$7)</f>
        <v/>
      </c>
    </row>
    <row r="46" customFormat="false" ht="15" hidden="false" customHeight="false" outlineLevel="0" collapsed="false">
      <c r="A46" s="27" t="str">
        <f aca="false">IF(OR(35&gt;N($B$6),NOT(ISNUMBER($B$8))),"",$D$5)</f>
        <v/>
      </c>
      <c r="B46" s="59" t="str">
        <f aca="false">IF(OR(35&gt;N($B$6),NOT(ISNUMBER($B$8))),"",35)</f>
        <v/>
      </c>
      <c r="C46" s="26" t="str">
        <f aca="false">IF(OR(35&gt;N($B$6),NOT(ISNUMBER($B$8))),"",IF(IF($B$9="Mensal",1,IF($B$9="Bimestral",2,IF($B$9="Trimestral",3,IF($B$9="Semestral",6,IF($B$9="Anual",12,0)))))&gt;0,EDATE($B$8,34*IF($B$9="Mensal",1,IF($B$9="Bimestral",2,IF($B$9="Trimestral",3,IF($B$9="Semestral",6,IF($B$9="Anual",12,0)))))),$B$8+34*IF($B$9="Diario",1,IF($B$9="Semanal",7,IF($B$9="Quinzenal",15,0)))))</f>
        <v/>
      </c>
      <c r="D46" s="28" t="str">
        <f aca="false">IF(OR(35&gt;N($B$6),NOT(ISNUMBER($B$8))),"",$B$7)</f>
        <v/>
      </c>
    </row>
    <row r="47" customFormat="false" ht="15" hidden="false" customHeight="false" outlineLevel="0" collapsed="false">
      <c r="A47" s="27" t="str">
        <f aca="false">IF(OR(36&gt;N($B$6),NOT(ISNUMBER($B$8))),"",$D$5)</f>
        <v/>
      </c>
      <c r="B47" s="59" t="str">
        <f aca="false">IF(OR(36&gt;N($B$6),NOT(ISNUMBER($B$8))),"",36)</f>
        <v/>
      </c>
      <c r="C47" s="26" t="str">
        <f aca="false">IF(OR(36&gt;N($B$6),NOT(ISNUMBER($B$8))),"",IF(IF($B$9="Mensal",1,IF($B$9="Bimestral",2,IF($B$9="Trimestral",3,IF($B$9="Semestral",6,IF($B$9="Anual",12,0)))))&gt;0,EDATE($B$8,35*IF($B$9="Mensal",1,IF($B$9="Bimestral",2,IF($B$9="Trimestral",3,IF($B$9="Semestral",6,IF($B$9="Anual",12,0)))))),$B$8+35*IF($B$9="Diario",1,IF($B$9="Semanal",7,IF($B$9="Quinzenal",15,0)))))</f>
        <v/>
      </c>
      <c r="D47" s="28" t="str">
        <f aca="false">IF(OR(36&gt;N($B$6),NOT(ISNUMBER($B$8))),"",$B$7)</f>
        <v/>
      </c>
    </row>
    <row r="48" customFormat="false" ht="15" hidden="false" customHeight="false" outlineLevel="0" collapsed="false">
      <c r="A48" s="27" t="str">
        <f aca="false">IF(OR(37&gt;N($B$6),NOT(ISNUMBER($B$8))),"",$D$5)</f>
        <v/>
      </c>
      <c r="B48" s="59" t="str">
        <f aca="false">IF(OR(37&gt;N($B$6),NOT(ISNUMBER($B$8))),"",37)</f>
        <v/>
      </c>
      <c r="C48" s="26" t="str">
        <f aca="false">IF(OR(37&gt;N($B$6),NOT(ISNUMBER($B$8))),"",IF(IF($B$9="Mensal",1,IF($B$9="Bimestral",2,IF($B$9="Trimestral",3,IF($B$9="Semestral",6,IF($B$9="Anual",12,0)))))&gt;0,EDATE($B$8,36*IF($B$9="Mensal",1,IF($B$9="Bimestral",2,IF($B$9="Trimestral",3,IF($B$9="Semestral",6,IF($B$9="Anual",12,0)))))),$B$8+36*IF($B$9="Diario",1,IF($B$9="Semanal",7,IF($B$9="Quinzenal",15,0)))))</f>
        <v/>
      </c>
      <c r="D48" s="28" t="str">
        <f aca="false">IF(OR(37&gt;N($B$6),NOT(ISNUMBER($B$8))),"",$B$7)</f>
        <v/>
      </c>
    </row>
    <row r="49" customFormat="false" ht="15" hidden="false" customHeight="false" outlineLevel="0" collapsed="false">
      <c r="A49" s="27" t="str">
        <f aca="false">IF(OR(38&gt;N($B$6),NOT(ISNUMBER($B$8))),"",$D$5)</f>
        <v/>
      </c>
      <c r="B49" s="59" t="str">
        <f aca="false">IF(OR(38&gt;N($B$6),NOT(ISNUMBER($B$8))),"",38)</f>
        <v/>
      </c>
      <c r="C49" s="26" t="str">
        <f aca="false">IF(OR(38&gt;N($B$6),NOT(ISNUMBER($B$8))),"",IF(IF($B$9="Mensal",1,IF($B$9="Bimestral",2,IF($B$9="Trimestral",3,IF($B$9="Semestral",6,IF($B$9="Anual",12,0)))))&gt;0,EDATE($B$8,37*IF($B$9="Mensal",1,IF($B$9="Bimestral",2,IF($B$9="Trimestral",3,IF($B$9="Semestral",6,IF($B$9="Anual",12,0)))))),$B$8+37*IF($B$9="Diario",1,IF($B$9="Semanal",7,IF($B$9="Quinzenal",15,0)))))</f>
        <v/>
      </c>
      <c r="D49" s="28" t="str">
        <f aca="false">IF(OR(38&gt;N($B$6),NOT(ISNUMBER($B$8))),"",$B$7)</f>
        <v/>
      </c>
    </row>
    <row r="50" customFormat="false" ht="15" hidden="false" customHeight="false" outlineLevel="0" collapsed="false">
      <c r="A50" s="27" t="str">
        <f aca="false">IF(OR(39&gt;N($B$6),NOT(ISNUMBER($B$8))),"",$D$5)</f>
        <v/>
      </c>
      <c r="B50" s="59" t="str">
        <f aca="false">IF(OR(39&gt;N($B$6),NOT(ISNUMBER($B$8))),"",39)</f>
        <v/>
      </c>
      <c r="C50" s="26" t="str">
        <f aca="false">IF(OR(39&gt;N($B$6),NOT(ISNUMBER($B$8))),"",IF(IF($B$9="Mensal",1,IF($B$9="Bimestral",2,IF($B$9="Trimestral",3,IF($B$9="Semestral",6,IF($B$9="Anual",12,0)))))&gt;0,EDATE($B$8,38*IF($B$9="Mensal",1,IF($B$9="Bimestral",2,IF($B$9="Trimestral",3,IF($B$9="Semestral",6,IF($B$9="Anual",12,0)))))),$B$8+38*IF($B$9="Diario",1,IF($B$9="Semanal",7,IF($B$9="Quinzenal",15,0)))))</f>
        <v/>
      </c>
      <c r="D50" s="28" t="str">
        <f aca="false">IF(OR(39&gt;N($B$6),NOT(ISNUMBER($B$8))),"",$B$7)</f>
        <v/>
      </c>
    </row>
    <row r="51" customFormat="false" ht="15" hidden="false" customHeight="false" outlineLevel="0" collapsed="false">
      <c r="A51" s="27" t="str">
        <f aca="false">IF(OR(40&gt;N($B$6),NOT(ISNUMBER($B$8))),"",$D$5)</f>
        <v/>
      </c>
      <c r="B51" s="59" t="str">
        <f aca="false">IF(OR(40&gt;N($B$6),NOT(ISNUMBER($B$8))),"",40)</f>
        <v/>
      </c>
      <c r="C51" s="26" t="str">
        <f aca="false">IF(OR(40&gt;N($B$6),NOT(ISNUMBER($B$8))),"",IF(IF($B$9="Mensal",1,IF($B$9="Bimestral",2,IF($B$9="Trimestral",3,IF($B$9="Semestral",6,IF($B$9="Anual",12,0)))))&gt;0,EDATE($B$8,39*IF($B$9="Mensal",1,IF($B$9="Bimestral",2,IF($B$9="Trimestral",3,IF($B$9="Semestral",6,IF($B$9="Anual",12,0)))))),$B$8+39*IF($B$9="Diario",1,IF($B$9="Semanal",7,IF($B$9="Quinzenal",15,0)))))</f>
        <v/>
      </c>
      <c r="D51" s="28" t="str">
        <f aca="false">IF(OR(40&gt;N($B$6),NOT(ISNUMBER($B$8))),"",$B$7)</f>
        <v/>
      </c>
    </row>
    <row r="52" customFormat="false" ht="15" hidden="false" customHeight="false" outlineLevel="0" collapsed="false">
      <c r="A52" s="27" t="str">
        <f aca="false">IF(OR(41&gt;N($B$6),NOT(ISNUMBER($B$8))),"",$D$5)</f>
        <v/>
      </c>
      <c r="B52" s="59" t="str">
        <f aca="false">IF(OR(41&gt;N($B$6),NOT(ISNUMBER($B$8))),"",41)</f>
        <v/>
      </c>
      <c r="C52" s="26" t="str">
        <f aca="false">IF(OR(41&gt;N($B$6),NOT(ISNUMBER($B$8))),"",IF(IF($B$9="Mensal",1,IF($B$9="Bimestral",2,IF($B$9="Trimestral",3,IF($B$9="Semestral",6,IF($B$9="Anual",12,0)))))&gt;0,EDATE($B$8,40*IF($B$9="Mensal",1,IF($B$9="Bimestral",2,IF($B$9="Trimestral",3,IF($B$9="Semestral",6,IF($B$9="Anual",12,0)))))),$B$8+40*IF($B$9="Diario",1,IF($B$9="Semanal",7,IF($B$9="Quinzenal",15,0)))))</f>
        <v/>
      </c>
      <c r="D52" s="28" t="str">
        <f aca="false">IF(OR(41&gt;N($B$6),NOT(ISNUMBER($B$8))),"",$B$7)</f>
        <v/>
      </c>
    </row>
    <row r="53" customFormat="false" ht="15" hidden="false" customHeight="false" outlineLevel="0" collapsed="false">
      <c r="A53" s="27" t="str">
        <f aca="false">IF(OR(42&gt;N($B$6),NOT(ISNUMBER($B$8))),"",$D$5)</f>
        <v/>
      </c>
      <c r="B53" s="59" t="str">
        <f aca="false">IF(OR(42&gt;N($B$6),NOT(ISNUMBER($B$8))),"",42)</f>
        <v/>
      </c>
      <c r="C53" s="26" t="str">
        <f aca="false">IF(OR(42&gt;N($B$6),NOT(ISNUMBER($B$8))),"",IF(IF($B$9="Mensal",1,IF($B$9="Bimestral",2,IF($B$9="Trimestral",3,IF($B$9="Semestral",6,IF($B$9="Anual",12,0)))))&gt;0,EDATE($B$8,41*IF($B$9="Mensal",1,IF($B$9="Bimestral",2,IF($B$9="Trimestral",3,IF($B$9="Semestral",6,IF($B$9="Anual",12,0)))))),$B$8+41*IF($B$9="Diario",1,IF($B$9="Semanal",7,IF($B$9="Quinzenal",15,0)))))</f>
        <v/>
      </c>
      <c r="D53" s="28" t="str">
        <f aca="false">IF(OR(42&gt;N($B$6),NOT(ISNUMBER($B$8))),"",$B$7)</f>
        <v/>
      </c>
    </row>
    <row r="54" customFormat="false" ht="15" hidden="false" customHeight="false" outlineLevel="0" collapsed="false">
      <c r="A54" s="27" t="str">
        <f aca="false">IF(OR(43&gt;N($B$6),NOT(ISNUMBER($B$8))),"",$D$5)</f>
        <v/>
      </c>
      <c r="B54" s="59" t="str">
        <f aca="false">IF(OR(43&gt;N($B$6),NOT(ISNUMBER($B$8))),"",43)</f>
        <v/>
      </c>
      <c r="C54" s="26" t="str">
        <f aca="false">IF(OR(43&gt;N($B$6),NOT(ISNUMBER($B$8))),"",IF(IF($B$9="Mensal",1,IF($B$9="Bimestral",2,IF($B$9="Trimestral",3,IF($B$9="Semestral",6,IF($B$9="Anual",12,0)))))&gt;0,EDATE($B$8,42*IF($B$9="Mensal",1,IF($B$9="Bimestral",2,IF($B$9="Trimestral",3,IF($B$9="Semestral",6,IF($B$9="Anual",12,0)))))),$B$8+42*IF($B$9="Diario",1,IF($B$9="Semanal",7,IF($B$9="Quinzenal",15,0)))))</f>
        <v/>
      </c>
      <c r="D54" s="28" t="str">
        <f aca="false">IF(OR(43&gt;N($B$6),NOT(ISNUMBER($B$8))),"",$B$7)</f>
        <v/>
      </c>
    </row>
    <row r="55" customFormat="false" ht="15" hidden="false" customHeight="false" outlineLevel="0" collapsed="false">
      <c r="A55" s="27" t="str">
        <f aca="false">IF(OR(44&gt;N($B$6),NOT(ISNUMBER($B$8))),"",$D$5)</f>
        <v/>
      </c>
      <c r="B55" s="59" t="str">
        <f aca="false">IF(OR(44&gt;N($B$6),NOT(ISNUMBER($B$8))),"",44)</f>
        <v/>
      </c>
      <c r="C55" s="26" t="str">
        <f aca="false">IF(OR(44&gt;N($B$6),NOT(ISNUMBER($B$8))),"",IF(IF($B$9="Mensal",1,IF($B$9="Bimestral",2,IF($B$9="Trimestral",3,IF($B$9="Semestral",6,IF($B$9="Anual",12,0)))))&gt;0,EDATE($B$8,43*IF($B$9="Mensal",1,IF($B$9="Bimestral",2,IF($B$9="Trimestral",3,IF($B$9="Semestral",6,IF($B$9="Anual",12,0)))))),$B$8+43*IF($B$9="Diario",1,IF($B$9="Semanal",7,IF($B$9="Quinzenal",15,0)))))</f>
        <v/>
      </c>
      <c r="D55" s="28" t="str">
        <f aca="false">IF(OR(44&gt;N($B$6),NOT(ISNUMBER($B$8))),"",$B$7)</f>
        <v/>
      </c>
    </row>
    <row r="56" customFormat="false" ht="15" hidden="false" customHeight="false" outlineLevel="0" collapsed="false">
      <c r="A56" s="27" t="str">
        <f aca="false">IF(OR(45&gt;N($B$6),NOT(ISNUMBER($B$8))),"",$D$5)</f>
        <v/>
      </c>
      <c r="B56" s="59" t="str">
        <f aca="false">IF(OR(45&gt;N($B$6),NOT(ISNUMBER($B$8))),"",45)</f>
        <v/>
      </c>
      <c r="C56" s="26" t="str">
        <f aca="false">IF(OR(45&gt;N($B$6),NOT(ISNUMBER($B$8))),"",IF(IF($B$9="Mensal",1,IF($B$9="Bimestral",2,IF($B$9="Trimestral",3,IF($B$9="Semestral",6,IF($B$9="Anual",12,0)))))&gt;0,EDATE($B$8,44*IF($B$9="Mensal",1,IF($B$9="Bimestral",2,IF($B$9="Trimestral",3,IF($B$9="Semestral",6,IF($B$9="Anual",12,0)))))),$B$8+44*IF($B$9="Diario",1,IF($B$9="Semanal",7,IF($B$9="Quinzenal",15,0)))))</f>
        <v/>
      </c>
      <c r="D56" s="28" t="str">
        <f aca="false">IF(OR(45&gt;N($B$6),NOT(ISNUMBER($B$8))),"",$B$7)</f>
        <v/>
      </c>
    </row>
    <row r="57" customFormat="false" ht="15" hidden="false" customHeight="false" outlineLevel="0" collapsed="false">
      <c r="A57" s="27" t="str">
        <f aca="false">IF(OR(46&gt;N($B$6),NOT(ISNUMBER($B$8))),"",$D$5)</f>
        <v/>
      </c>
      <c r="B57" s="59" t="str">
        <f aca="false">IF(OR(46&gt;N($B$6),NOT(ISNUMBER($B$8))),"",46)</f>
        <v/>
      </c>
      <c r="C57" s="26" t="str">
        <f aca="false">IF(OR(46&gt;N($B$6),NOT(ISNUMBER($B$8))),"",IF(IF($B$9="Mensal",1,IF($B$9="Bimestral",2,IF($B$9="Trimestral",3,IF($B$9="Semestral",6,IF($B$9="Anual",12,0)))))&gt;0,EDATE($B$8,45*IF($B$9="Mensal",1,IF($B$9="Bimestral",2,IF($B$9="Trimestral",3,IF($B$9="Semestral",6,IF($B$9="Anual",12,0)))))),$B$8+45*IF($B$9="Diario",1,IF($B$9="Semanal",7,IF($B$9="Quinzenal",15,0)))))</f>
        <v/>
      </c>
      <c r="D57" s="28" t="str">
        <f aca="false">IF(OR(46&gt;N($B$6),NOT(ISNUMBER($B$8))),"",$B$7)</f>
        <v/>
      </c>
    </row>
    <row r="58" customFormat="false" ht="15" hidden="false" customHeight="false" outlineLevel="0" collapsed="false">
      <c r="A58" s="27" t="str">
        <f aca="false">IF(OR(47&gt;N($B$6),NOT(ISNUMBER($B$8))),"",$D$5)</f>
        <v/>
      </c>
      <c r="B58" s="59" t="str">
        <f aca="false">IF(OR(47&gt;N($B$6),NOT(ISNUMBER($B$8))),"",47)</f>
        <v/>
      </c>
      <c r="C58" s="26" t="str">
        <f aca="false">IF(OR(47&gt;N($B$6),NOT(ISNUMBER($B$8))),"",IF(IF($B$9="Mensal",1,IF($B$9="Bimestral",2,IF($B$9="Trimestral",3,IF($B$9="Semestral",6,IF($B$9="Anual",12,0)))))&gt;0,EDATE($B$8,46*IF($B$9="Mensal",1,IF($B$9="Bimestral",2,IF($B$9="Trimestral",3,IF($B$9="Semestral",6,IF($B$9="Anual",12,0)))))),$B$8+46*IF($B$9="Diario",1,IF($B$9="Semanal",7,IF($B$9="Quinzenal",15,0)))))</f>
        <v/>
      </c>
      <c r="D58" s="28" t="str">
        <f aca="false">IF(OR(47&gt;N($B$6),NOT(ISNUMBER($B$8))),"",$B$7)</f>
        <v/>
      </c>
    </row>
    <row r="59" customFormat="false" ht="15" hidden="false" customHeight="false" outlineLevel="0" collapsed="false">
      <c r="A59" s="27" t="str">
        <f aca="false">IF(OR(48&gt;N($B$6),NOT(ISNUMBER($B$8))),"",$D$5)</f>
        <v/>
      </c>
      <c r="B59" s="59" t="str">
        <f aca="false">IF(OR(48&gt;N($B$6),NOT(ISNUMBER($B$8))),"",48)</f>
        <v/>
      </c>
      <c r="C59" s="26" t="str">
        <f aca="false">IF(OR(48&gt;N($B$6),NOT(ISNUMBER($B$8))),"",IF(IF($B$9="Mensal",1,IF($B$9="Bimestral",2,IF($B$9="Trimestral",3,IF($B$9="Semestral",6,IF($B$9="Anual",12,0)))))&gt;0,EDATE($B$8,47*IF($B$9="Mensal",1,IF($B$9="Bimestral",2,IF($B$9="Trimestral",3,IF($B$9="Semestral",6,IF($B$9="Anual",12,0)))))),$B$8+47*IF($B$9="Diario",1,IF($B$9="Semanal",7,IF($B$9="Quinzenal",15,0)))))</f>
        <v/>
      </c>
      <c r="D59" s="28" t="str">
        <f aca="false">IF(OR(48&gt;N($B$6),NOT(ISNUMBER($B$8))),"",$B$7)</f>
        <v/>
      </c>
    </row>
    <row r="60" customFormat="false" ht="15" hidden="false" customHeight="false" outlineLevel="0" collapsed="false">
      <c r="A60" s="27" t="str">
        <f aca="false">IF(OR(49&gt;N($B$6),NOT(ISNUMBER($B$8))),"",$D$5)</f>
        <v/>
      </c>
      <c r="B60" s="59" t="str">
        <f aca="false">IF(OR(49&gt;N($B$6),NOT(ISNUMBER($B$8))),"",49)</f>
        <v/>
      </c>
      <c r="C60" s="26" t="str">
        <f aca="false">IF(OR(49&gt;N($B$6),NOT(ISNUMBER($B$8))),"",IF(IF($B$9="Mensal",1,IF($B$9="Bimestral",2,IF($B$9="Trimestral",3,IF($B$9="Semestral",6,IF($B$9="Anual",12,0)))))&gt;0,EDATE($B$8,48*IF($B$9="Mensal",1,IF($B$9="Bimestral",2,IF($B$9="Trimestral",3,IF($B$9="Semestral",6,IF($B$9="Anual",12,0)))))),$B$8+48*IF($B$9="Diario",1,IF($B$9="Semanal",7,IF($B$9="Quinzenal",15,0)))))</f>
        <v/>
      </c>
      <c r="D60" s="28" t="str">
        <f aca="false">IF(OR(49&gt;N($B$6),NOT(ISNUMBER($B$8))),"",$B$7)</f>
        <v/>
      </c>
    </row>
    <row r="61" customFormat="false" ht="15" hidden="false" customHeight="false" outlineLevel="0" collapsed="false">
      <c r="A61" s="27" t="str">
        <f aca="false">IF(OR(50&gt;N($B$6),NOT(ISNUMBER($B$8))),"",$D$5)</f>
        <v/>
      </c>
      <c r="B61" s="59" t="str">
        <f aca="false">IF(OR(50&gt;N($B$6),NOT(ISNUMBER($B$8))),"",50)</f>
        <v/>
      </c>
      <c r="C61" s="26" t="str">
        <f aca="false">IF(OR(50&gt;N($B$6),NOT(ISNUMBER($B$8))),"",IF(IF($B$9="Mensal",1,IF($B$9="Bimestral",2,IF($B$9="Trimestral",3,IF($B$9="Semestral",6,IF($B$9="Anual",12,0)))))&gt;0,EDATE($B$8,49*IF($B$9="Mensal",1,IF($B$9="Bimestral",2,IF($B$9="Trimestral",3,IF($B$9="Semestral",6,IF($B$9="Anual",12,0)))))),$B$8+49*IF($B$9="Diario",1,IF($B$9="Semanal",7,IF($B$9="Quinzenal",15,0)))))</f>
        <v/>
      </c>
      <c r="D61" s="28" t="str">
        <f aca="false">IF(OR(50&gt;N($B$6),NOT(ISNUMBER($B$8))),"",$B$7)</f>
        <v/>
      </c>
    </row>
    <row r="62" customFormat="false" ht="15" hidden="false" customHeight="false" outlineLevel="0" collapsed="false">
      <c r="A62" s="27" t="str">
        <f aca="false">IF(OR(51&gt;N($B$6),NOT(ISNUMBER($B$8))),"",$D$5)</f>
        <v/>
      </c>
      <c r="B62" s="59" t="str">
        <f aca="false">IF(OR(51&gt;N($B$6),NOT(ISNUMBER($B$8))),"",51)</f>
        <v/>
      </c>
      <c r="C62" s="26" t="str">
        <f aca="false">IF(OR(51&gt;N($B$6),NOT(ISNUMBER($B$8))),"",IF(IF($B$9="Mensal",1,IF($B$9="Bimestral",2,IF($B$9="Trimestral",3,IF($B$9="Semestral",6,IF($B$9="Anual",12,0)))))&gt;0,EDATE($B$8,50*IF($B$9="Mensal",1,IF($B$9="Bimestral",2,IF($B$9="Trimestral",3,IF($B$9="Semestral",6,IF($B$9="Anual",12,0)))))),$B$8+50*IF($B$9="Diario",1,IF($B$9="Semanal",7,IF($B$9="Quinzenal",15,0)))))</f>
        <v/>
      </c>
      <c r="D62" s="28" t="str">
        <f aca="false">IF(OR(51&gt;N($B$6),NOT(ISNUMBER($B$8))),"",$B$7)</f>
        <v/>
      </c>
    </row>
    <row r="63" customFormat="false" ht="15" hidden="false" customHeight="false" outlineLevel="0" collapsed="false">
      <c r="A63" s="27" t="str">
        <f aca="false">IF(OR(52&gt;N($B$6),NOT(ISNUMBER($B$8))),"",$D$5)</f>
        <v/>
      </c>
      <c r="B63" s="59" t="str">
        <f aca="false">IF(OR(52&gt;N($B$6),NOT(ISNUMBER($B$8))),"",52)</f>
        <v/>
      </c>
      <c r="C63" s="26" t="str">
        <f aca="false">IF(OR(52&gt;N($B$6),NOT(ISNUMBER($B$8))),"",IF(IF($B$9="Mensal",1,IF($B$9="Bimestral",2,IF($B$9="Trimestral",3,IF($B$9="Semestral",6,IF($B$9="Anual",12,0)))))&gt;0,EDATE($B$8,51*IF($B$9="Mensal",1,IF($B$9="Bimestral",2,IF($B$9="Trimestral",3,IF($B$9="Semestral",6,IF($B$9="Anual",12,0)))))),$B$8+51*IF($B$9="Diario",1,IF($B$9="Semanal",7,IF($B$9="Quinzenal",15,0)))))</f>
        <v/>
      </c>
      <c r="D63" s="28" t="str">
        <f aca="false">IF(OR(52&gt;N($B$6),NOT(ISNUMBER($B$8))),"",$B$7)</f>
        <v/>
      </c>
    </row>
    <row r="64" customFormat="false" ht="15" hidden="false" customHeight="false" outlineLevel="0" collapsed="false">
      <c r="A64" s="27" t="str">
        <f aca="false">IF(OR(53&gt;N($B$6),NOT(ISNUMBER($B$8))),"",$D$5)</f>
        <v/>
      </c>
      <c r="B64" s="59" t="str">
        <f aca="false">IF(OR(53&gt;N($B$6),NOT(ISNUMBER($B$8))),"",53)</f>
        <v/>
      </c>
      <c r="C64" s="26" t="str">
        <f aca="false">IF(OR(53&gt;N($B$6),NOT(ISNUMBER($B$8))),"",IF(IF($B$9="Mensal",1,IF($B$9="Bimestral",2,IF($B$9="Trimestral",3,IF($B$9="Semestral",6,IF($B$9="Anual",12,0)))))&gt;0,EDATE($B$8,52*IF($B$9="Mensal",1,IF($B$9="Bimestral",2,IF($B$9="Trimestral",3,IF($B$9="Semestral",6,IF($B$9="Anual",12,0)))))),$B$8+52*IF($B$9="Diario",1,IF($B$9="Semanal",7,IF($B$9="Quinzenal",15,0)))))</f>
        <v/>
      </c>
      <c r="D64" s="28" t="str">
        <f aca="false">IF(OR(53&gt;N($B$6),NOT(ISNUMBER($B$8))),"",$B$7)</f>
        <v/>
      </c>
    </row>
    <row r="65" customFormat="false" ht="15" hidden="false" customHeight="false" outlineLevel="0" collapsed="false">
      <c r="A65" s="27" t="str">
        <f aca="false">IF(OR(54&gt;N($B$6),NOT(ISNUMBER($B$8))),"",$D$5)</f>
        <v/>
      </c>
      <c r="B65" s="59" t="str">
        <f aca="false">IF(OR(54&gt;N($B$6),NOT(ISNUMBER($B$8))),"",54)</f>
        <v/>
      </c>
      <c r="C65" s="26" t="str">
        <f aca="false">IF(OR(54&gt;N($B$6),NOT(ISNUMBER($B$8))),"",IF(IF($B$9="Mensal",1,IF($B$9="Bimestral",2,IF($B$9="Trimestral",3,IF($B$9="Semestral",6,IF($B$9="Anual",12,0)))))&gt;0,EDATE($B$8,53*IF($B$9="Mensal",1,IF($B$9="Bimestral",2,IF($B$9="Trimestral",3,IF($B$9="Semestral",6,IF($B$9="Anual",12,0)))))),$B$8+53*IF($B$9="Diario",1,IF($B$9="Semanal",7,IF($B$9="Quinzenal",15,0)))))</f>
        <v/>
      </c>
      <c r="D65" s="28" t="str">
        <f aca="false">IF(OR(54&gt;N($B$6),NOT(ISNUMBER($B$8))),"",$B$7)</f>
        <v/>
      </c>
    </row>
    <row r="66" customFormat="false" ht="15" hidden="false" customHeight="false" outlineLevel="0" collapsed="false">
      <c r="A66" s="27" t="str">
        <f aca="false">IF(OR(55&gt;N($B$6),NOT(ISNUMBER($B$8))),"",$D$5)</f>
        <v/>
      </c>
      <c r="B66" s="59" t="str">
        <f aca="false">IF(OR(55&gt;N($B$6),NOT(ISNUMBER($B$8))),"",55)</f>
        <v/>
      </c>
      <c r="C66" s="26" t="str">
        <f aca="false">IF(OR(55&gt;N($B$6),NOT(ISNUMBER($B$8))),"",IF(IF($B$9="Mensal",1,IF($B$9="Bimestral",2,IF($B$9="Trimestral",3,IF($B$9="Semestral",6,IF($B$9="Anual",12,0)))))&gt;0,EDATE($B$8,54*IF($B$9="Mensal",1,IF($B$9="Bimestral",2,IF($B$9="Trimestral",3,IF($B$9="Semestral",6,IF($B$9="Anual",12,0)))))),$B$8+54*IF($B$9="Diario",1,IF($B$9="Semanal",7,IF($B$9="Quinzenal",15,0)))))</f>
        <v/>
      </c>
      <c r="D66" s="28" t="str">
        <f aca="false">IF(OR(55&gt;N($B$6),NOT(ISNUMBER($B$8))),"",$B$7)</f>
        <v/>
      </c>
    </row>
    <row r="67" customFormat="false" ht="15" hidden="false" customHeight="false" outlineLevel="0" collapsed="false">
      <c r="A67" s="27" t="str">
        <f aca="false">IF(OR(56&gt;N($B$6),NOT(ISNUMBER($B$8))),"",$D$5)</f>
        <v/>
      </c>
      <c r="B67" s="59" t="str">
        <f aca="false">IF(OR(56&gt;N($B$6),NOT(ISNUMBER($B$8))),"",56)</f>
        <v/>
      </c>
      <c r="C67" s="26" t="str">
        <f aca="false">IF(OR(56&gt;N($B$6),NOT(ISNUMBER($B$8))),"",IF(IF($B$9="Mensal",1,IF($B$9="Bimestral",2,IF($B$9="Trimestral",3,IF($B$9="Semestral",6,IF($B$9="Anual",12,0)))))&gt;0,EDATE($B$8,55*IF($B$9="Mensal",1,IF($B$9="Bimestral",2,IF($B$9="Trimestral",3,IF($B$9="Semestral",6,IF($B$9="Anual",12,0)))))),$B$8+55*IF($B$9="Diario",1,IF($B$9="Semanal",7,IF($B$9="Quinzenal",15,0)))))</f>
        <v/>
      </c>
      <c r="D67" s="28" t="str">
        <f aca="false">IF(OR(56&gt;N($B$6),NOT(ISNUMBER($B$8))),"",$B$7)</f>
        <v/>
      </c>
    </row>
    <row r="68" customFormat="false" ht="15" hidden="false" customHeight="false" outlineLevel="0" collapsed="false">
      <c r="A68" s="27" t="str">
        <f aca="false">IF(OR(57&gt;N($B$6),NOT(ISNUMBER($B$8))),"",$D$5)</f>
        <v/>
      </c>
      <c r="B68" s="59" t="str">
        <f aca="false">IF(OR(57&gt;N($B$6),NOT(ISNUMBER($B$8))),"",57)</f>
        <v/>
      </c>
      <c r="C68" s="26" t="str">
        <f aca="false">IF(OR(57&gt;N($B$6),NOT(ISNUMBER($B$8))),"",IF(IF($B$9="Mensal",1,IF($B$9="Bimestral",2,IF($B$9="Trimestral",3,IF($B$9="Semestral",6,IF($B$9="Anual",12,0)))))&gt;0,EDATE($B$8,56*IF($B$9="Mensal",1,IF($B$9="Bimestral",2,IF($B$9="Trimestral",3,IF($B$9="Semestral",6,IF($B$9="Anual",12,0)))))),$B$8+56*IF($B$9="Diario",1,IF($B$9="Semanal",7,IF($B$9="Quinzenal",15,0)))))</f>
        <v/>
      </c>
      <c r="D68" s="28" t="str">
        <f aca="false">IF(OR(57&gt;N($B$6),NOT(ISNUMBER($B$8))),"",$B$7)</f>
        <v/>
      </c>
    </row>
    <row r="69" customFormat="false" ht="15" hidden="false" customHeight="false" outlineLevel="0" collapsed="false">
      <c r="A69" s="27" t="str">
        <f aca="false">IF(OR(58&gt;N($B$6),NOT(ISNUMBER($B$8))),"",$D$5)</f>
        <v/>
      </c>
      <c r="B69" s="59" t="str">
        <f aca="false">IF(OR(58&gt;N($B$6),NOT(ISNUMBER($B$8))),"",58)</f>
        <v/>
      </c>
      <c r="C69" s="26" t="str">
        <f aca="false">IF(OR(58&gt;N($B$6),NOT(ISNUMBER($B$8))),"",IF(IF($B$9="Mensal",1,IF($B$9="Bimestral",2,IF($B$9="Trimestral",3,IF($B$9="Semestral",6,IF($B$9="Anual",12,0)))))&gt;0,EDATE($B$8,57*IF($B$9="Mensal",1,IF($B$9="Bimestral",2,IF($B$9="Trimestral",3,IF($B$9="Semestral",6,IF($B$9="Anual",12,0)))))),$B$8+57*IF($B$9="Diario",1,IF($B$9="Semanal",7,IF($B$9="Quinzenal",15,0)))))</f>
        <v/>
      </c>
      <c r="D69" s="28" t="str">
        <f aca="false">IF(OR(58&gt;N($B$6),NOT(ISNUMBER($B$8))),"",$B$7)</f>
        <v/>
      </c>
    </row>
    <row r="70" customFormat="false" ht="15" hidden="false" customHeight="false" outlineLevel="0" collapsed="false">
      <c r="A70" s="27" t="str">
        <f aca="false">IF(OR(59&gt;N($B$6),NOT(ISNUMBER($B$8))),"",$D$5)</f>
        <v/>
      </c>
      <c r="B70" s="59" t="str">
        <f aca="false">IF(OR(59&gt;N($B$6),NOT(ISNUMBER($B$8))),"",59)</f>
        <v/>
      </c>
      <c r="C70" s="26" t="str">
        <f aca="false">IF(OR(59&gt;N($B$6),NOT(ISNUMBER($B$8))),"",IF(IF($B$9="Mensal",1,IF($B$9="Bimestral",2,IF($B$9="Trimestral",3,IF($B$9="Semestral",6,IF($B$9="Anual",12,0)))))&gt;0,EDATE($B$8,58*IF($B$9="Mensal",1,IF($B$9="Bimestral",2,IF($B$9="Trimestral",3,IF($B$9="Semestral",6,IF($B$9="Anual",12,0)))))),$B$8+58*IF($B$9="Diario",1,IF($B$9="Semanal",7,IF($B$9="Quinzenal",15,0)))))</f>
        <v/>
      </c>
      <c r="D70" s="28" t="str">
        <f aca="false">IF(OR(59&gt;N($B$6),NOT(ISNUMBER($B$8))),"",$B$7)</f>
        <v/>
      </c>
    </row>
    <row r="71" customFormat="false" ht="15" hidden="false" customHeight="false" outlineLevel="0" collapsed="false">
      <c r="A71" s="27" t="str">
        <f aca="false">IF(OR(60&gt;N($B$6),NOT(ISNUMBER($B$8))),"",$D$5)</f>
        <v/>
      </c>
      <c r="B71" s="59" t="str">
        <f aca="false">IF(OR(60&gt;N($B$6),NOT(ISNUMBER($B$8))),"",60)</f>
        <v/>
      </c>
      <c r="C71" s="26" t="str">
        <f aca="false">IF(OR(60&gt;N($B$6),NOT(ISNUMBER($B$8))),"",IF(IF($B$9="Mensal",1,IF($B$9="Bimestral",2,IF($B$9="Trimestral",3,IF($B$9="Semestral",6,IF($B$9="Anual",12,0)))))&gt;0,EDATE($B$8,59*IF($B$9="Mensal",1,IF($B$9="Bimestral",2,IF($B$9="Trimestral",3,IF($B$9="Semestral",6,IF($B$9="Anual",12,0)))))),$B$8+59*IF($B$9="Diario",1,IF($B$9="Semanal",7,IF($B$9="Quinzenal",15,0)))))</f>
        <v/>
      </c>
      <c r="D71" s="28" t="str">
        <f aca="false">IF(OR(60&gt;N($B$6),NOT(ISNUMBER($B$8))),"",$B$7)</f>
        <v/>
      </c>
    </row>
    <row r="72" customFormat="false" ht="15" hidden="false" customHeight="false" outlineLevel="0" collapsed="false">
      <c r="A72" s="27" t="str">
        <f aca="false">IF(OR(61&gt;N($B$6),NOT(ISNUMBER($B$8))),"",$D$5)</f>
        <v/>
      </c>
      <c r="B72" s="59" t="str">
        <f aca="false">IF(OR(61&gt;N($B$6),NOT(ISNUMBER($B$8))),"",61)</f>
        <v/>
      </c>
      <c r="C72" s="26" t="str">
        <f aca="false">IF(OR(61&gt;N($B$6),NOT(ISNUMBER($B$8))),"",IF(IF($B$9="Mensal",1,IF($B$9="Bimestral",2,IF($B$9="Trimestral",3,IF($B$9="Semestral",6,IF($B$9="Anual",12,0)))))&gt;0,EDATE($B$8,60*IF($B$9="Mensal",1,IF($B$9="Bimestral",2,IF($B$9="Trimestral",3,IF($B$9="Semestral",6,IF($B$9="Anual",12,0)))))),$B$8+60*IF($B$9="Diario",1,IF($B$9="Semanal",7,IF($B$9="Quinzenal",15,0)))))</f>
        <v/>
      </c>
      <c r="D72" s="28" t="str">
        <f aca="false">IF(OR(61&gt;N($B$6),NOT(ISNUMBER($B$8))),"",$B$7)</f>
        <v/>
      </c>
    </row>
    <row r="73" customFormat="false" ht="15" hidden="false" customHeight="false" outlineLevel="0" collapsed="false">
      <c r="A73" s="27" t="str">
        <f aca="false">IF(OR(62&gt;N($B$6),NOT(ISNUMBER($B$8))),"",$D$5)</f>
        <v/>
      </c>
      <c r="B73" s="59" t="str">
        <f aca="false">IF(OR(62&gt;N($B$6),NOT(ISNUMBER($B$8))),"",62)</f>
        <v/>
      </c>
      <c r="C73" s="26" t="str">
        <f aca="false">IF(OR(62&gt;N($B$6),NOT(ISNUMBER($B$8))),"",IF(IF($B$9="Mensal",1,IF($B$9="Bimestral",2,IF($B$9="Trimestral",3,IF($B$9="Semestral",6,IF($B$9="Anual",12,0)))))&gt;0,EDATE($B$8,61*IF($B$9="Mensal",1,IF($B$9="Bimestral",2,IF($B$9="Trimestral",3,IF($B$9="Semestral",6,IF($B$9="Anual",12,0)))))),$B$8+61*IF($B$9="Diario",1,IF($B$9="Semanal",7,IF($B$9="Quinzenal",15,0)))))</f>
        <v/>
      </c>
      <c r="D73" s="28" t="str">
        <f aca="false">IF(OR(62&gt;N($B$6),NOT(ISNUMBER($B$8))),"",$B$7)</f>
        <v/>
      </c>
    </row>
    <row r="74" customFormat="false" ht="15" hidden="false" customHeight="false" outlineLevel="0" collapsed="false">
      <c r="A74" s="27" t="str">
        <f aca="false">IF(OR(63&gt;N($B$6),NOT(ISNUMBER($B$8))),"",$D$5)</f>
        <v/>
      </c>
      <c r="B74" s="59" t="str">
        <f aca="false">IF(OR(63&gt;N($B$6),NOT(ISNUMBER($B$8))),"",63)</f>
        <v/>
      </c>
      <c r="C74" s="26" t="str">
        <f aca="false">IF(OR(63&gt;N($B$6),NOT(ISNUMBER($B$8))),"",IF(IF($B$9="Mensal",1,IF($B$9="Bimestral",2,IF($B$9="Trimestral",3,IF($B$9="Semestral",6,IF($B$9="Anual",12,0)))))&gt;0,EDATE($B$8,62*IF($B$9="Mensal",1,IF($B$9="Bimestral",2,IF($B$9="Trimestral",3,IF($B$9="Semestral",6,IF($B$9="Anual",12,0)))))),$B$8+62*IF($B$9="Diario",1,IF($B$9="Semanal",7,IF($B$9="Quinzenal",15,0)))))</f>
        <v/>
      </c>
      <c r="D74" s="28" t="str">
        <f aca="false">IF(OR(63&gt;N($B$6),NOT(ISNUMBER($B$8))),"",$B$7)</f>
        <v/>
      </c>
    </row>
    <row r="75" customFormat="false" ht="15" hidden="false" customHeight="false" outlineLevel="0" collapsed="false">
      <c r="A75" s="27" t="str">
        <f aca="false">IF(OR(64&gt;N($B$6),NOT(ISNUMBER($B$8))),"",$D$5)</f>
        <v/>
      </c>
      <c r="B75" s="59" t="str">
        <f aca="false">IF(OR(64&gt;N($B$6),NOT(ISNUMBER($B$8))),"",64)</f>
        <v/>
      </c>
      <c r="C75" s="26" t="str">
        <f aca="false">IF(OR(64&gt;N($B$6),NOT(ISNUMBER($B$8))),"",IF(IF($B$9="Mensal",1,IF($B$9="Bimestral",2,IF($B$9="Trimestral",3,IF($B$9="Semestral",6,IF($B$9="Anual",12,0)))))&gt;0,EDATE($B$8,63*IF($B$9="Mensal",1,IF($B$9="Bimestral",2,IF($B$9="Trimestral",3,IF($B$9="Semestral",6,IF($B$9="Anual",12,0)))))),$B$8+63*IF($B$9="Diario",1,IF($B$9="Semanal",7,IF($B$9="Quinzenal",15,0)))))</f>
        <v/>
      </c>
      <c r="D75" s="28" t="str">
        <f aca="false">IF(OR(64&gt;N($B$6),NOT(ISNUMBER($B$8))),"",$B$7)</f>
        <v/>
      </c>
    </row>
    <row r="76" customFormat="false" ht="15" hidden="false" customHeight="false" outlineLevel="0" collapsed="false">
      <c r="A76" s="27" t="str">
        <f aca="false">IF(OR(65&gt;N($B$6),NOT(ISNUMBER($B$8))),"",$D$5)</f>
        <v/>
      </c>
      <c r="B76" s="59" t="str">
        <f aca="false">IF(OR(65&gt;N($B$6),NOT(ISNUMBER($B$8))),"",65)</f>
        <v/>
      </c>
      <c r="C76" s="26" t="str">
        <f aca="false">IF(OR(65&gt;N($B$6),NOT(ISNUMBER($B$8))),"",IF(IF($B$9="Mensal",1,IF($B$9="Bimestral",2,IF($B$9="Trimestral",3,IF($B$9="Semestral",6,IF($B$9="Anual",12,0)))))&gt;0,EDATE($B$8,64*IF($B$9="Mensal",1,IF($B$9="Bimestral",2,IF($B$9="Trimestral",3,IF($B$9="Semestral",6,IF($B$9="Anual",12,0)))))),$B$8+64*IF($B$9="Diario",1,IF($B$9="Semanal",7,IF($B$9="Quinzenal",15,0)))))</f>
        <v/>
      </c>
      <c r="D76" s="28" t="str">
        <f aca="false">IF(OR(65&gt;N($B$6),NOT(ISNUMBER($B$8))),"",$B$7)</f>
        <v/>
      </c>
    </row>
    <row r="77" customFormat="false" ht="15" hidden="false" customHeight="false" outlineLevel="0" collapsed="false">
      <c r="A77" s="27" t="str">
        <f aca="false">IF(OR(66&gt;N($B$6),NOT(ISNUMBER($B$8))),"",$D$5)</f>
        <v/>
      </c>
      <c r="B77" s="59" t="str">
        <f aca="false">IF(OR(66&gt;N($B$6),NOT(ISNUMBER($B$8))),"",66)</f>
        <v/>
      </c>
      <c r="C77" s="26" t="str">
        <f aca="false">IF(OR(66&gt;N($B$6),NOT(ISNUMBER($B$8))),"",IF(IF($B$9="Mensal",1,IF($B$9="Bimestral",2,IF($B$9="Trimestral",3,IF($B$9="Semestral",6,IF($B$9="Anual",12,0)))))&gt;0,EDATE($B$8,65*IF($B$9="Mensal",1,IF($B$9="Bimestral",2,IF($B$9="Trimestral",3,IF($B$9="Semestral",6,IF($B$9="Anual",12,0)))))),$B$8+65*IF($B$9="Diario",1,IF($B$9="Semanal",7,IF($B$9="Quinzenal",15,0)))))</f>
        <v/>
      </c>
      <c r="D77" s="28" t="str">
        <f aca="false">IF(OR(66&gt;N($B$6),NOT(ISNUMBER($B$8))),"",$B$7)</f>
        <v/>
      </c>
    </row>
    <row r="78" customFormat="false" ht="15" hidden="false" customHeight="false" outlineLevel="0" collapsed="false">
      <c r="A78" s="27" t="str">
        <f aca="false">IF(OR(67&gt;N($B$6),NOT(ISNUMBER($B$8))),"",$D$5)</f>
        <v/>
      </c>
      <c r="B78" s="59" t="str">
        <f aca="false">IF(OR(67&gt;N($B$6),NOT(ISNUMBER($B$8))),"",67)</f>
        <v/>
      </c>
      <c r="C78" s="26" t="str">
        <f aca="false">IF(OR(67&gt;N($B$6),NOT(ISNUMBER($B$8))),"",IF(IF($B$9="Mensal",1,IF($B$9="Bimestral",2,IF($B$9="Trimestral",3,IF($B$9="Semestral",6,IF($B$9="Anual",12,0)))))&gt;0,EDATE($B$8,66*IF($B$9="Mensal",1,IF($B$9="Bimestral",2,IF($B$9="Trimestral",3,IF($B$9="Semestral",6,IF($B$9="Anual",12,0)))))),$B$8+66*IF($B$9="Diario",1,IF($B$9="Semanal",7,IF($B$9="Quinzenal",15,0)))))</f>
        <v/>
      </c>
      <c r="D78" s="28" t="str">
        <f aca="false">IF(OR(67&gt;N($B$6),NOT(ISNUMBER($B$8))),"",$B$7)</f>
        <v/>
      </c>
    </row>
    <row r="79" customFormat="false" ht="15" hidden="false" customHeight="false" outlineLevel="0" collapsed="false">
      <c r="A79" s="27" t="str">
        <f aca="false">IF(OR(68&gt;N($B$6),NOT(ISNUMBER($B$8))),"",$D$5)</f>
        <v/>
      </c>
      <c r="B79" s="59" t="str">
        <f aca="false">IF(OR(68&gt;N($B$6),NOT(ISNUMBER($B$8))),"",68)</f>
        <v/>
      </c>
      <c r="C79" s="26" t="str">
        <f aca="false">IF(OR(68&gt;N($B$6),NOT(ISNUMBER($B$8))),"",IF(IF($B$9="Mensal",1,IF($B$9="Bimestral",2,IF($B$9="Trimestral",3,IF($B$9="Semestral",6,IF($B$9="Anual",12,0)))))&gt;0,EDATE($B$8,67*IF($B$9="Mensal",1,IF($B$9="Bimestral",2,IF($B$9="Trimestral",3,IF($B$9="Semestral",6,IF($B$9="Anual",12,0)))))),$B$8+67*IF($B$9="Diario",1,IF($B$9="Semanal",7,IF($B$9="Quinzenal",15,0)))))</f>
        <v/>
      </c>
      <c r="D79" s="28" t="str">
        <f aca="false">IF(OR(68&gt;N($B$6),NOT(ISNUMBER($B$8))),"",$B$7)</f>
        <v/>
      </c>
    </row>
    <row r="80" customFormat="false" ht="15" hidden="false" customHeight="false" outlineLevel="0" collapsed="false">
      <c r="A80" s="27" t="str">
        <f aca="false">IF(OR(69&gt;N($B$6),NOT(ISNUMBER($B$8))),"",$D$5)</f>
        <v/>
      </c>
      <c r="B80" s="59" t="str">
        <f aca="false">IF(OR(69&gt;N($B$6),NOT(ISNUMBER($B$8))),"",69)</f>
        <v/>
      </c>
      <c r="C80" s="26" t="str">
        <f aca="false">IF(OR(69&gt;N($B$6),NOT(ISNUMBER($B$8))),"",IF(IF($B$9="Mensal",1,IF($B$9="Bimestral",2,IF($B$9="Trimestral",3,IF($B$9="Semestral",6,IF($B$9="Anual",12,0)))))&gt;0,EDATE($B$8,68*IF($B$9="Mensal",1,IF($B$9="Bimestral",2,IF($B$9="Trimestral",3,IF($B$9="Semestral",6,IF($B$9="Anual",12,0)))))),$B$8+68*IF($B$9="Diario",1,IF($B$9="Semanal",7,IF($B$9="Quinzenal",15,0)))))</f>
        <v/>
      </c>
      <c r="D80" s="28" t="str">
        <f aca="false">IF(OR(69&gt;N($B$6),NOT(ISNUMBER($B$8))),"",$B$7)</f>
        <v/>
      </c>
    </row>
    <row r="81" customFormat="false" ht="15" hidden="false" customHeight="false" outlineLevel="0" collapsed="false">
      <c r="A81" s="27" t="str">
        <f aca="false">IF(OR(70&gt;N($B$6),NOT(ISNUMBER($B$8))),"",$D$5)</f>
        <v/>
      </c>
      <c r="B81" s="59" t="str">
        <f aca="false">IF(OR(70&gt;N($B$6),NOT(ISNUMBER($B$8))),"",70)</f>
        <v/>
      </c>
      <c r="C81" s="26" t="str">
        <f aca="false">IF(OR(70&gt;N($B$6),NOT(ISNUMBER($B$8))),"",IF(IF($B$9="Mensal",1,IF($B$9="Bimestral",2,IF($B$9="Trimestral",3,IF($B$9="Semestral",6,IF($B$9="Anual",12,0)))))&gt;0,EDATE($B$8,69*IF($B$9="Mensal",1,IF($B$9="Bimestral",2,IF($B$9="Trimestral",3,IF($B$9="Semestral",6,IF($B$9="Anual",12,0)))))),$B$8+69*IF($B$9="Diario",1,IF($B$9="Semanal",7,IF($B$9="Quinzenal",15,0)))))</f>
        <v/>
      </c>
      <c r="D81" s="28" t="str">
        <f aca="false">IF(OR(70&gt;N($B$6),NOT(ISNUMBER($B$8))),"",$B$7)</f>
        <v/>
      </c>
    </row>
    <row r="82" customFormat="false" ht="15" hidden="false" customHeight="false" outlineLevel="0" collapsed="false">
      <c r="A82" s="27" t="str">
        <f aca="false">IF(OR(71&gt;N($B$6),NOT(ISNUMBER($B$8))),"",$D$5)</f>
        <v/>
      </c>
      <c r="B82" s="59" t="str">
        <f aca="false">IF(OR(71&gt;N($B$6),NOT(ISNUMBER($B$8))),"",71)</f>
        <v/>
      </c>
      <c r="C82" s="26" t="str">
        <f aca="false">IF(OR(71&gt;N($B$6),NOT(ISNUMBER($B$8))),"",IF(IF($B$9="Mensal",1,IF($B$9="Bimestral",2,IF($B$9="Trimestral",3,IF($B$9="Semestral",6,IF($B$9="Anual",12,0)))))&gt;0,EDATE($B$8,70*IF($B$9="Mensal",1,IF($B$9="Bimestral",2,IF($B$9="Trimestral",3,IF($B$9="Semestral",6,IF($B$9="Anual",12,0)))))),$B$8+70*IF($B$9="Diario",1,IF($B$9="Semanal",7,IF($B$9="Quinzenal",15,0)))))</f>
        <v/>
      </c>
      <c r="D82" s="28" t="str">
        <f aca="false">IF(OR(71&gt;N($B$6),NOT(ISNUMBER($B$8))),"",$B$7)</f>
        <v/>
      </c>
    </row>
    <row r="83" customFormat="false" ht="15" hidden="false" customHeight="false" outlineLevel="0" collapsed="false">
      <c r="A83" s="27" t="str">
        <f aca="false">IF(OR(72&gt;N($B$6),NOT(ISNUMBER($B$8))),"",$D$5)</f>
        <v/>
      </c>
      <c r="B83" s="59" t="str">
        <f aca="false">IF(OR(72&gt;N($B$6),NOT(ISNUMBER($B$8))),"",72)</f>
        <v/>
      </c>
      <c r="C83" s="26" t="str">
        <f aca="false">IF(OR(72&gt;N($B$6),NOT(ISNUMBER($B$8))),"",IF(IF($B$9="Mensal",1,IF($B$9="Bimestral",2,IF($B$9="Trimestral",3,IF($B$9="Semestral",6,IF($B$9="Anual",12,0)))))&gt;0,EDATE($B$8,71*IF($B$9="Mensal",1,IF($B$9="Bimestral",2,IF($B$9="Trimestral",3,IF($B$9="Semestral",6,IF($B$9="Anual",12,0)))))),$B$8+71*IF($B$9="Diario",1,IF($B$9="Semanal",7,IF($B$9="Quinzenal",15,0)))))</f>
        <v/>
      </c>
      <c r="D83" s="28" t="str">
        <f aca="false">IF(OR(72&gt;N($B$6),NOT(ISNUMBER($B$8))),"",$B$7)</f>
        <v/>
      </c>
    </row>
    <row r="84" customFormat="false" ht="15" hidden="false" customHeight="false" outlineLevel="0" collapsed="false">
      <c r="A84" s="27" t="str">
        <f aca="false">IF(OR(73&gt;N($B$6),NOT(ISNUMBER($B$8))),"",$D$5)</f>
        <v/>
      </c>
      <c r="B84" s="59" t="str">
        <f aca="false">IF(OR(73&gt;N($B$6),NOT(ISNUMBER($B$8))),"",73)</f>
        <v/>
      </c>
      <c r="C84" s="26" t="str">
        <f aca="false">IF(OR(73&gt;N($B$6),NOT(ISNUMBER($B$8))),"",IF(IF($B$9="Mensal",1,IF($B$9="Bimestral",2,IF($B$9="Trimestral",3,IF($B$9="Semestral",6,IF($B$9="Anual",12,0)))))&gt;0,EDATE($B$8,72*IF($B$9="Mensal",1,IF($B$9="Bimestral",2,IF($B$9="Trimestral",3,IF($B$9="Semestral",6,IF($B$9="Anual",12,0)))))),$B$8+72*IF($B$9="Diario",1,IF($B$9="Semanal",7,IF($B$9="Quinzenal",15,0)))))</f>
        <v/>
      </c>
      <c r="D84" s="28" t="str">
        <f aca="false">IF(OR(73&gt;N($B$6),NOT(ISNUMBER($B$8))),"",$B$7)</f>
        <v/>
      </c>
    </row>
    <row r="85" customFormat="false" ht="15" hidden="false" customHeight="false" outlineLevel="0" collapsed="false">
      <c r="A85" s="27" t="str">
        <f aca="false">IF(OR(74&gt;N($B$6),NOT(ISNUMBER($B$8))),"",$D$5)</f>
        <v/>
      </c>
      <c r="B85" s="59" t="str">
        <f aca="false">IF(OR(74&gt;N($B$6),NOT(ISNUMBER($B$8))),"",74)</f>
        <v/>
      </c>
      <c r="C85" s="26" t="str">
        <f aca="false">IF(OR(74&gt;N($B$6),NOT(ISNUMBER($B$8))),"",IF(IF($B$9="Mensal",1,IF($B$9="Bimestral",2,IF($B$9="Trimestral",3,IF($B$9="Semestral",6,IF($B$9="Anual",12,0)))))&gt;0,EDATE($B$8,73*IF($B$9="Mensal",1,IF($B$9="Bimestral",2,IF($B$9="Trimestral",3,IF($B$9="Semestral",6,IF($B$9="Anual",12,0)))))),$B$8+73*IF($B$9="Diario",1,IF($B$9="Semanal",7,IF($B$9="Quinzenal",15,0)))))</f>
        <v/>
      </c>
      <c r="D85" s="28" t="str">
        <f aca="false">IF(OR(74&gt;N($B$6),NOT(ISNUMBER($B$8))),"",$B$7)</f>
        <v/>
      </c>
    </row>
    <row r="86" customFormat="false" ht="15" hidden="false" customHeight="false" outlineLevel="0" collapsed="false">
      <c r="A86" s="27" t="str">
        <f aca="false">IF(OR(75&gt;N($B$6),NOT(ISNUMBER($B$8))),"",$D$5)</f>
        <v/>
      </c>
      <c r="B86" s="59" t="str">
        <f aca="false">IF(OR(75&gt;N($B$6),NOT(ISNUMBER($B$8))),"",75)</f>
        <v/>
      </c>
      <c r="C86" s="26" t="str">
        <f aca="false">IF(OR(75&gt;N($B$6),NOT(ISNUMBER($B$8))),"",IF(IF($B$9="Mensal",1,IF($B$9="Bimestral",2,IF($B$9="Trimestral",3,IF($B$9="Semestral",6,IF($B$9="Anual",12,0)))))&gt;0,EDATE($B$8,74*IF($B$9="Mensal",1,IF($B$9="Bimestral",2,IF($B$9="Trimestral",3,IF($B$9="Semestral",6,IF($B$9="Anual",12,0)))))),$B$8+74*IF($B$9="Diario",1,IF($B$9="Semanal",7,IF($B$9="Quinzenal",15,0)))))</f>
        <v/>
      </c>
      <c r="D86" s="28" t="str">
        <f aca="false">IF(OR(75&gt;N($B$6),NOT(ISNUMBER($B$8))),"",$B$7)</f>
        <v/>
      </c>
    </row>
    <row r="87" customFormat="false" ht="15" hidden="false" customHeight="false" outlineLevel="0" collapsed="false">
      <c r="A87" s="27" t="str">
        <f aca="false">IF(OR(76&gt;N($B$6),NOT(ISNUMBER($B$8))),"",$D$5)</f>
        <v/>
      </c>
      <c r="B87" s="59" t="str">
        <f aca="false">IF(OR(76&gt;N($B$6),NOT(ISNUMBER($B$8))),"",76)</f>
        <v/>
      </c>
      <c r="C87" s="26" t="str">
        <f aca="false">IF(OR(76&gt;N($B$6),NOT(ISNUMBER($B$8))),"",IF(IF($B$9="Mensal",1,IF($B$9="Bimestral",2,IF($B$9="Trimestral",3,IF($B$9="Semestral",6,IF($B$9="Anual",12,0)))))&gt;0,EDATE($B$8,75*IF($B$9="Mensal",1,IF($B$9="Bimestral",2,IF($B$9="Trimestral",3,IF($B$9="Semestral",6,IF($B$9="Anual",12,0)))))),$B$8+75*IF($B$9="Diario",1,IF($B$9="Semanal",7,IF($B$9="Quinzenal",15,0)))))</f>
        <v/>
      </c>
      <c r="D87" s="28" t="str">
        <f aca="false">IF(OR(76&gt;N($B$6),NOT(ISNUMBER($B$8))),"",$B$7)</f>
        <v/>
      </c>
    </row>
    <row r="88" customFormat="false" ht="15" hidden="false" customHeight="false" outlineLevel="0" collapsed="false">
      <c r="A88" s="27" t="str">
        <f aca="false">IF(OR(77&gt;N($B$6),NOT(ISNUMBER($B$8))),"",$D$5)</f>
        <v/>
      </c>
      <c r="B88" s="59" t="str">
        <f aca="false">IF(OR(77&gt;N($B$6),NOT(ISNUMBER($B$8))),"",77)</f>
        <v/>
      </c>
      <c r="C88" s="26" t="str">
        <f aca="false">IF(OR(77&gt;N($B$6),NOT(ISNUMBER($B$8))),"",IF(IF($B$9="Mensal",1,IF($B$9="Bimestral",2,IF($B$9="Trimestral",3,IF($B$9="Semestral",6,IF($B$9="Anual",12,0)))))&gt;0,EDATE($B$8,76*IF($B$9="Mensal",1,IF($B$9="Bimestral",2,IF($B$9="Trimestral",3,IF($B$9="Semestral",6,IF($B$9="Anual",12,0)))))),$B$8+76*IF($B$9="Diario",1,IF($B$9="Semanal",7,IF($B$9="Quinzenal",15,0)))))</f>
        <v/>
      </c>
      <c r="D88" s="28" t="str">
        <f aca="false">IF(OR(77&gt;N($B$6),NOT(ISNUMBER($B$8))),"",$B$7)</f>
        <v/>
      </c>
    </row>
    <row r="89" customFormat="false" ht="15" hidden="false" customHeight="false" outlineLevel="0" collapsed="false">
      <c r="A89" s="27" t="str">
        <f aca="false">IF(OR(78&gt;N($B$6),NOT(ISNUMBER($B$8))),"",$D$5)</f>
        <v/>
      </c>
      <c r="B89" s="59" t="str">
        <f aca="false">IF(OR(78&gt;N($B$6),NOT(ISNUMBER($B$8))),"",78)</f>
        <v/>
      </c>
      <c r="C89" s="26" t="str">
        <f aca="false">IF(OR(78&gt;N($B$6),NOT(ISNUMBER($B$8))),"",IF(IF($B$9="Mensal",1,IF($B$9="Bimestral",2,IF($B$9="Trimestral",3,IF($B$9="Semestral",6,IF($B$9="Anual",12,0)))))&gt;0,EDATE($B$8,77*IF($B$9="Mensal",1,IF($B$9="Bimestral",2,IF($B$9="Trimestral",3,IF($B$9="Semestral",6,IF($B$9="Anual",12,0)))))),$B$8+77*IF($B$9="Diario",1,IF($B$9="Semanal",7,IF($B$9="Quinzenal",15,0)))))</f>
        <v/>
      </c>
      <c r="D89" s="28" t="str">
        <f aca="false">IF(OR(78&gt;N($B$6),NOT(ISNUMBER($B$8))),"",$B$7)</f>
        <v/>
      </c>
    </row>
    <row r="90" customFormat="false" ht="15" hidden="false" customHeight="false" outlineLevel="0" collapsed="false">
      <c r="A90" s="27" t="str">
        <f aca="false">IF(OR(79&gt;N($B$6),NOT(ISNUMBER($B$8))),"",$D$5)</f>
        <v/>
      </c>
      <c r="B90" s="59" t="str">
        <f aca="false">IF(OR(79&gt;N($B$6),NOT(ISNUMBER($B$8))),"",79)</f>
        <v/>
      </c>
      <c r="C90" s="26" t="str">
        <f aca="false">IF(OR(79&gt;N($B$6),NOT(ISNUMBER($B$8))),"",IF(IF($B$9="Mensal",1,IF($B$9="Bimestral",2,IF($B$9="Trimestral",3,IF($B$9="Semestral",6,IF($B$9="Anual",12,0)))))&gt;0,EDATE($B$8,78*IF($B$9="Mensal",1,IF($B$9="Bimestral",2,IF($B$9="Trimestral",3,IF($B$9="Semestral",6,IF($B$9="Anual",12,0)))))),$B$8+78*IF($B$9="Diario",1,IF($B$9="Semanal",7,IF($B$9="Quinzenal",15,0)))))</f>
        <v/>
      </c>
      <c r="D90" s="28" t="str">
        <f aca="false">IF(OR(79&gt;N($B$6),NOT(ISNUMBER($B$8))),"",$B$7)</f>
        <v/>
      </c>
    </row>
    <row r="91" customFormat="false" ht="15" hidden="false" customHeight="false" outlineLevel="0" collapsed="false">
      <c r="A91" s="27" t="str">
        <f aca="false">IF(OR(80&gt;N($B$6),NOT(ISNUMBER($B$8))),"",$D$5)</f>
        <v/>
      </c>
      <c r="B91" s="59" t="str">
        <f aca="false">IF(OR(80&gt;N($B$6),NOT(ISNUMBER($B$8))),"",80)</f>
        <v/>
      </c>
      <c r="C91" s="26" t="str">
        <f aca="false">IF(OR(80&gt;N($B$6),NOT(ISNUMBER($B$8))),"",IF(IF($B$9="Mensal",1,IF($B$9="Bimestral",2,IF($B$9="Trimestral",3,IF($B$9="Semestral",6,IF($B$9="Anual",12,0)))))&gt;0,EDATE($B$8,79*IF($B$9="Mensal",1,IF($B$9="Bimestral",2,IF($B$9="Trimestral",3,IF($B$9="Semestral",6,IF($B$9="Anual",12,0)))))),$B$8+79*IF($B$9="Diario",1,IF($B$9="Semanal",7,IF($B$9="Quinzenal",15,0)))))</f>
        <v/>
      </c>
      <c r="D91" s="28" t="str">
        <f aca="false">IF(OR(80&gt;N($B$6),NOT(ISNUMBER($B$8))),"",$B$7)</f>
        <v/>
      </c>
    </row>
    <row r="92" customFormat="false" ht="15" hidden="false" customHeight="false" outlineLevel="0" collapsed="false">
      <c r="A92" s="27" t="str">
        <f aca="false">IF(OR(81&gt;N($B$6),NOT(ISNUMBER($B$8))),"",$D$5)</f>
        <v/>
      </c>
      <c r="B92" s="59" t="str">
        <f aca="false">IF(OR(81&gt;N($B$6),NOT(ISNUMBER($B$8))),"",81)</f>
        <v/>
      </c>
      <c r="C92" s="26" t="str">
        <f aca="false">IF(OR(81&gt;N($B$6),NOT(ISNUMBER($B$8))),"",IF(IF($B$9="Mensal",1,IF($B$9="Bimestral",2,IF($B$9="Trimestral",3,IF($B$9="Semestral",6,IF($B$9="Anual",12,0)))))&gt;0,EDATE($B$8,80*IF($B$9="Mensal",1,IF($B$9="Bimestral",2,IF($B$9="Trimestral",3,IF($B$9="Semestral",6,IF($B$9="Anual",12,0)))))),$B$8+80*IF($B$9="Diario",1,IF($B$9="Semanal",7,IF($B$9="Quinzenal",15,0)))))</f>
        <v/>
      </c>
      <c r="D92" s="28" t="str">
        <f aca="false">IF(OR(81&gt;N($B$6),NOT(ISNUMBER($B$8))),"",$B$7)</f>
        <v/>
      </c>
    </row>
    <row r="93" customFormat="false" ht="15" hidden="false" customHeight="false" outlineLevel="0" collapsed="false">
      <c r="A93" s="27" t="str">
        <f aca="false">IF(OR(82&gt;N($B$6),NOT(ISNUMBER($B$8))),"",$D$5)</f>
        <v/>
      </c>
      <c r="B93" s="59" t="str">
        <f aca="false">IF(OR(82&gt;N($B$6),NOT(ISNUMBER($B$8))),"",82)</f>
        <v/>
      </c>
      <c r="C93" s="26" t="str">
        <f aca="false">IF(OR(82&gt;N($B$6),NOT(ISNUMBER($B$8))),"",IF(IF($B$9="Mensal",1,IF($B$9="Bimestral",2,IF($B$9="Trimestral",3,IF($B$9="Semestral",6,IF($B$9="Anual",12,0)))))&gt;0,EDATE($B$8,81*IF($B$9="Mensal",1,IF($B$9="Bimestral",2,IF($B$9="Trimestral",3,IF($B$9="Semestral",6,IF($B$9="Anual",12,0)))))),$B$8+81*IF($B$9="Diario",1,IF($B$9="Semanal",7,IF($B$9="Quinzenal",15,0)))))</f>
        <v/>
      </c>
      <c r="D93" s="28" t="str">
        <f aca="false">IF(OR(82&gt;N($B$6),NOT(ISNUMBER($B$8))),"",$B$7)</f>
        <v/>
      </c>
    </row>
    <row r="94" customFormat="false" ht="15" hidden="false" customHeight="false" outlineLevel="0" collapsed="false">
      <c r="A94" s="27" t="str">
        <f aca="false">IF(OR(83&gt;N($B$6),NOT(ISNUMBER($B$8))),"",$D$5)</f>
        <v/>
      </c>
      <c r="B94" s="59" t="str">
        <f aca="false">IF(OR(83&gt;N($B$6),NOT(ISNUMBER($B$8))),"",83)</f>
        <v/>
      </c>
      <c r="C94" s="26" t="str">
        <f aca="false">IF(OR(83&gt;N($B$6),NOT(ISNUMBER($B$8))),"",IF(IF($B$9="Mensal",1,IF($B$9="Bimestral",2,IF($B$9="Trimestral",3,IF($B$9="Semestral",6,IF($B$9="Anual",12,0)))))&gt;0,EDATE($B$8,82*IF($B$9="Mensal",1,IF($B$9="Bimestral",2,IF($B$9="Trimestral",3,IF($B$9="Semestral",6,IF($B$9="Anual",12,0)))))),$B$8+82*IF($B$9="Diario",1,IF($B$9="Semanal",7,IF($B$9="Quinzenal",15,0)))))</f>
        <v/>
      </c>
      <c r="D94" s="28" t="str">
        <f aca="false">IF(OR(83&gt;N($B$6),NOT(ISNUMBER($B$8))),"",$B$7)</f>
        <v/>
      </c>
    </row>
    <row r="95" customFormat="false" ht="15" hidden="false" customHeight="false" outlineLevel="0" collapsed="false">
      <c r="A95" s="27" t="str">
        <f aca="false">IF(OR(84&gt;N($B$6),NOT(ISNUMBER($B$8))),"",$D$5)</f>
        <v/>
      </c>
      <c r="B95" s="59" t="str">
        <f aca="false">IF(OR(84&gt;N($B$6),NOT(ISNUMBER($B$8))),"",84)</f>
        <v/>
      </c>
      <c r="C95" s="26" t="str">
        <f aca="false">IF(OR(84&gt;N($B$6),NOT(ISNUMBER($B$8))),"",IF(IF($B$9="Mensal",1,IF($B$9="Bimestral",2,IF($B$9="Trimestral",3,IF($B$9="Semestral",6,IF($B$9="Anual",12,0)))))&gt;0,EDATE($B$8,83*IF($B$9="Mensal",1,IF($B$9="Bimestral",2,IF($B$9="Trimestral",3,IF($B$9="Semestral",6,IF($B$9="Anual",12,0)))))),$B$8+83*IF($B$9="Diario",1,IF($B$9="Semanal",7,IF($B$9="Quinzenal",15,0)))))</f>
        <v/>
      </c>
      <c r="D95" s="28" t="str">
        <f aca="false">IF(OR(84&gt;N($B$6),NOT(ISNUMBER($B$8))),"",$B$7)</f>
        <v/>
      </c>
    </row>
    <row r="96" customFormat="false" ht="15" hidden="false" customHeight="false" outlineLevel="0" collapsed="false">
      <c r="A96" s="27" t="str">
        <f aca="false">IF(OR(85&gt;N($B$6),NOT(ISNUMBER($B$8))),"",$D$5)</f>
        <v/>
      </c>
      <c r="B96" s="59" t="str">
        <f aca="false">IF(OR(85&gt;N($B$6),NOT(ISNUMBER($B$8))),"",85)</f>
        <v/>
      </c>
      <c r="C96" s="26" t="str">
        <f aca="false">IF(OR(85&gt;N($B$6),NOT(ISNUMBER($B$8))),"",IF(IF($B$9="Mensal",1,IF($B$9="Bimestral",2,IF($B$9="Trimestral",3,IF($B$9="Semestral",6,IF($B$9="Anual",12,0)))))&gt;0,EDATE($B$8,84*IF($B$9="Mensal",1,IF($B$9="Bimestral",2,IF($B$9="Trimestral",3,IF($B$9="Semestral",6,IF($B$9="Anual",12,0)))))),$B$8+84*IF($B$9="Diario",1,IF($B$9="Semanal",7,IF($B$9="Quinzenal",15,0)))))</f>
        <v/>
      </c>
      <c r="D96" s="28" t="str">
        <f aca="false">IF(OR(85&gt;N($B$6),NOT(ISNUMBER($B$8))),"",$B$7)</f>
        <v/>
      </c>
    </row>
    <row r="97" customFormat="false" ht="15" hidden="false" customHeight="false" outlineLevel="0" collapsed="false">
      <c r="A97" s="27" t="str">
        <f aca="false">IF(OR(86&gt;N($B$6),NOT(ISNUMBER($B$8))),"",$D$5)</f>
        <v/>
      </c>
      <c r="B97" s="59" t="str">
        <f aca="false">IF(OR(86&gt;N($B$6),NOT(ISNUMBER($B$8))),"",86)</f>
        <v/>
      </c>
      <c r="C97" s="26" t="str">
        <f aca="false">IF(OR(86&gt;N($B$6),NOT(ISNUMBER($B$8))),"",IF(IF($B$9="Mensal",1,IF($B$9="Bimestral",2,IF($B$9="Trimestral",3,IF($B$9="Semestral",6,IF($B$9="Anual",12,0)))))&gt;0,EDATE($B$8,85*IF($B$9="Mensal",1,IF($B$9="Bimestral",2,IF($B$9="Trimestral",3,IF($B$9="Semestral",6,IF($B$9="Anual",12,0)))))),$B$8+85*IF($B$9="Diario",1,IF($B$9="Semanal",7,IF($B$9="Quinzenal",15,0)))))</f>
        <v/>
      </c>
      <c r="D97" s="28" t="str">
        <f aca="false">IF(OR(86&gt;N($B$6),NOT(ISNUMBER($B$8))),"",$B$7)</f>
        <v/>
      </c>
    </row>
    <row r="98" customFormat="false" ht="15" hidden="false" customHeight="false" outlineLevel="0" collapsed="false">
      <c r="A98" s="27" t="str">
        <f aca="false">IF(OR(87&gt;N($B$6),NOT(ISNUMBER($B$8))),"",$D$5)</f>
        <v/>
      </c>
      <c r="B98" s="59" t="str">
        <f aca="false">IF(OR(87&gt;N($B$6),NOT(ISNUMBER($B$8))),"",87)</f>
        <v/>
      </c>
      <c r="C98" s="26" t="str">
        <f aca="false">IF(OR(87&gt;N($B$6),NOT(ISNUMBER($B$8))),"",IF(IF($B$9="Mensal",1,IF($B$9="Bimestral",2,IF($B$9="Trimestral",3,IF($B$9="Semestral",6,IF($B$9="Anual",12,0)))))&gt;0,EDATE($B$8,86*IF($B$9="Mensal",1,IF($B$9="Bimestral",2,IF($B$9="Trimestral",3,IF($B$9="Semestral",6,IF($B$9="Anual",12,0)))))),$B$8+86*IF($B$9="Diario",1,IF($B$9="Semanal",7,IF($B$9="Quinzenal",15,0)))))</f>
        <v/>
      </c>
      <c r="D98" s="28" t="str">
        <f aca="false">IF(OR(87&gt;N($B$6),NOT(ISNUMBER($B$8))),"",$B$7)</f>
        <v/>
      </c>
    </row>
    <row r="99" customFormat="false" ht="15" hidden="false" customHeight="false" outlineLevel="0" collapsed="false">
      <c r="A99" s="27" t="str">
        <f aca="false">IF(OR(88&gt;N($B$6),NOT(ISNUMBER($B$8))),"",$D$5)</f>
        <v/>
      </c>
      <c r="B99" s="59" t="str">
        <f aca="false">IF(OR(88&gt;N($B$6),NOT(ISNUMBER($B$8))),"",88)</f>
        <v/>
      </c>
      <c r="C99" s="26" t="str">
        <f aca="false">IF(OR(88&gt;N($B$6),NOT(ISNUMBER($B$8))),"",IF(IF($B$9="Mensal",1,IF($B$9="Bimestral",2,IF($B$9="Trimestral",3,IF($B$9="Semestral",6,IF($B$9="Anual",12,0)))))&gt;0,EDATE($B$8,87*IF($B$9="Mensal",1,IF($B$9="Bimestral",2,IF($B$9="Trimestral",3,IF($B$9="Semestral",6,IF($B$9="Anual",12,0)))))),$B$8+87*IF($B$9="Diario",1,IF($B$9="Semanal",7,IF($B$9="Quinzenal",15,0)))))</f>
        <v/>
      </c>
      <c r="D99" s="28" t="str">
        <f aca="false">IF(OR(88&gt;N($B$6),NOT(ISNUMBER($B$8))),"",$B$7)</f>
        <v/>
      </c>
    </row>
    <row r="100" customFormat="false" ht="15" hidden="false" customHeight="false" outlineLevel="0" collapsed="false">
      <c r="A100" s="27" t="str">
        <f aca="false">IF(OR(89&gt;N($B$6),NOT(ISNUMBER($B$8))),"",$D$5)</f>
        <v/>
      </c>
      <c r="B100" s="59" t="str">
        <f aca="false">IF(OR(89&gt;N($B$6),NOT(ISNUMBER($B$8))),"",89)</f>
        <v/>
      </c>
      <c r="C100" s="26" t="str">
        <f aca="false">IF(OR(89&gt;N($B$6),NOT(ISNUMBER($B$8))),"",IF(IF($B$9="Mensal",1,IF($B$9="Bimestral",2,IF($B$9="Trimestral",3,IF($B$9="Semestral",6,IF($B$9="Anual",12,0)))))&gt;0,EDATE($B$8,88*IF($B$9="Mensal",1,IF($B$9="Bimestral",2,IF($B$9="Trimestral",3,IF($B$9="Semestral",6,IF($B$9="Anual",12,0)))))),$B$8+88*IF($B$9="Diario",1,IF($B$9="Semanal",7,IF($B$9="Quinzenal",15,0)))))</f>
        <v/>
      </c>
      <c r="D100" s="28" t="str">
        <f aca="false">IF(OR(89&gt;N($B$6),NOT(ISNUMBER($B$8))),"",$B$7)</f>
        <v/>
      </c>
    </row>
    <row r="101" customFormat="false" ht="15" hidden="false" customHeight="false" outlineLevel="0" collapsed="false">
      <c r="A101" s="27" t="str">
        <f aca="false">IF(OR(90&gt;N($B$6),NOT(ISNUMBER($B$8))),"",$D$5)</f>
        <v/>
      </c>
      <c r="B101" s="59" t="str">
        <f aca="false">IF(OR(90&gt;N($B$6),NOT(ISNUMBER($B$8))),"",90)</f>
        <v/>
      </c>
      <c r="C101" s="26" t="str">
        <f aca="false">IF(OR(90&gt;N($B$6),NOT(ISNUMBER($B$8))),"",IF(IF($B$9="Mensal",1,IF($B$9="Bimestral",2,IF($B$9="Trimestral",3,IF($B$9="Semestral",6,IF($B$9="Anual",12,0)))))&gt;0,EDATE($B$8,89*IF($B$9="Mensal",1,IF($B$9="Bimestral",2,IF($B$9="Trimestral",3,IF($B$9="Semestral",6,IF($B$9="Anual",12,0)))))),$B$8+89*IF($B$9="Diario",1,IF($B$9="Semanal",7,IF($B$9="Quinzenal",15,0)))))</f>
        <v/>
      </c>
      <c r="D101" s="28" t="str">
        <f aca="false">IF(OR(90&gt;N($B$6),NOT(ISNUMBER($B$8))),"",$B$7)</f>
        <v/>
      </c>
    </row>
    <row r="102" customFormat="false" ht="15" hidden="false" customHeight="false" outlineLevel="0" collapsed="false">
      <c r="A102" s="27" t="str">
        <f aca="false">IF(OR(91&gt;N($B$6),NOT(ISNUMBER($B$8))),"",$D$5)</f>
        <v/>
      </c>
      <c r="B102" s="59" t="str">
        <f aca="false">IF(OR(91&gt;N($B$6),NOT(ISNUMBER($B$8))),"",91)</f>
        <v/>
      </c>
      <c r="C102" s="26" t="str">
        <f aca="false">IF(OR(91&gt;N($B$6),NOT(ISNUMBER($B$8))),"",IF(IF($B$9="Mensal",1,IF($B$9="Bimestral",2,IF($B$9="Trimestral",3,IF($B$9="Semestral",6,IF($B$9="Anual",12,0)))))&gt;0,EDATE($B$8,90*IF($B$9="Mensal",1,IF($B$9="Bimestral",2,IF($B$9="Trimestral",3,IF($B$9="Semestral",6,IF($B$9="Anual",12,0)))))),$B$8+90*IF($B$9="Diario",1,IF($B$9="Semanal",7,IF($B$9="Quinzenal",15,0)))))</f>
        <v/>
      </c>
      <c r="D102" s="28" t="str">
        <f aca="false">IF(OR(91&gt;N($B$6),NOT(ISNUMBER($B$8))),"",$B$7)</f>
        <v/>
      </c>
    </row>
    <row r="103" customFormat="false" ht="15" hidden="false" customHeight="false" outlineLevel="0" collapsed="false">
      <c r="A103" s="27" t="str">
        <f aca="false">IF(OR(92&gt;N($B$6),NOT(ISNUMBER($B$8))),"",$D$5)</f>
        <v/>
      </c>
      <c r="B103" s="59" t="str">
        <f aca="false">IF(OR(92&gt;N($B$6),NOT(ISNUMBER($B$8))),"",92)</f>
        <v/>
      </c>
      <c r="C103" s="26" t="str">
        <f aca="false">IF(OR(92&gt;N($B$6),NOT(ISNUMBER($B$8))),"",IF(IF($B$9="Mensal",1,IF($B$9="Bimestral",2,IF($B$9="Trimestral",3,IF($B$9="Semestral",6,IF($B$9="Anual",12,0)))))&gt;0,EDATE($B$8,91*IF($B$9="Mensal",1,IF($B$9="Bimestral",2,IF($B$9="Trimestral",3,IF($B$9="Semestral",6,IF($B$9="Anual",12,0)))))),$B$8+91*IF($B$9="Diario",1,IF($B$9="Semanal",7,IF($B$9="Quinzenal",15,0)))))</f>
        <v/>
      </c>
      <c r="D103" s="28" t="str">
        <f aca="false">IF(OR(92&gt;N($B$6),NOT(ISNUMBER($B$8))),"",$B$7)</f>
        <v/>
      </c>
    </row>
    <row r="104" customFormat="false" ht="15" hidden="false" customHeight="false" outlineLevel="0" collapsed="false">
      <c r="A104" s="27" t="str">
        <f aca="false">IF(OR(93&gt;N($B$6),NOT(ISNUMBER($B$8))),"",$D$5)</f>
        <v/>
      </c>
      <c r="B104" s="59" t="str">
        <f aca="false">IF(OR(93&gt;N($B$6),NOT(ISNUMBER($B$8))),"",93)</f>
        <v/>
      </c>
      <c r="C104" s="26" t="str">
        <f aca="false">IF(OR(93&gt;N($B$6),NOT(ISNUMBER($B$8))),"",IF(IF($B$9="Mensal",1,IF($B$9="Bimestral",2,IF($B$9="Trimestral",3,IF($B$9="Semestral",6,IF($B$9="Anual",12,0)))))&gt;0,EDATE($B$8,92*IF($B$9="Mensal",1,IF($B$9="Bimestral",2,IF($B$9="Trimestral",3,IF($B$9="Semestral",6,IF($B$9="Anual",12,0)))))),$B$8+92*IF($B$9="Diario",1,IF($B$9="Semanal",7,IF($B$9="Quinzenal",15,0)))))</f>
        <v/>
      </c>
      <c r="D104" s="28" t="str">
        <f aca="false">IF(OR(93&gt;N($B$6),NOT(ISNUMBER($B$8))),"",$B$7)</f>
        <v/>
      </c>
    </row>
    <row r="105" customFormat="false" ht="15" hidden="false" customHeight="false" outlineLevel="0" collapsed="false">
      <c r="A105" s="27" t="str">
        <f aca="false">IF(OR(94&gt;N($B$6),NOT(ISNUMBER($B$8))),"",$D$5)</f>
        <v/>
      </c>
      <c r="B105" s="59" t="str">
        <f aca="false">IF(OR(94&gt;N($B$6),NOT(ISNUMBER($B$8))),"",94)</f>
        <v/>
      </c>
      <c r="C105" s="26" t="str">
        <f aca="false">IF(OR(94&gt;N($B$6),NOT(ISNUMBER($B$8))),"",IF(IF($B$9="Mensal",1,IF($B$9="Bimestral",2,IF($B$9="Trimestral",3,IF($B$9="Semestral",6,IF($B$9="Anual",12,0)))))&gt;0,EDATE($B$8,93*IF($B$9="Mensal",1,IF($B$9="Bimestral",2,IF($B$9="Trimestral",3,IF($B$9="Semestral",6,IF($B$9="Anual",12,0)))))),$B$8+93*IF($B$9="Diario",1,IF($B$9="Semanal",7,IF($B$9="Quinzenal",15,0)))))</f>
        <v/>
      </c>
      <c r="D105" s="28" t="str">
        <f aca="false">IF(OR(94&gt;N($B$6),NOT(ISNUMBER($B$8))),"",$B$7)</f>
        <v/>
      </c>
    </row>
    <row r="106" customFormat="false" ht="15" hidden="false" customHeight="false" outlineLevel="0" collapsed="false">
      <c r="A106" s="27" t="str">
        <f aca="false">IF(OR(95&gt;N($B$6),NOT(ISNUMBER($B$8))),"",$D$5)</f>
        <v/>
      </c>
      <c r="B106" s="59" t="str">
        <f aca="false">IF(OR(95&gt;N($B$6),NOT(ISNUMBER($B$8))),"",95)</f>
        <v/>
      </c>
      <c r="C106" s="26" t="str">
        <f aca="false">IF(OR(95&gt;N($B$6),NOT(ISNUMBER($B$8))),"",IF(IF($B$9="Mensal",1,IF($B$9="Bimestral",2,IF($B$9="Trimestral",3,IF($B$9="Semestral",6,IF($B$9="Anual",12,0)))))&gt;0,EDATE($B$8,94*IF($B$9="Mensal",1,IF($B$9="Bimestral",2,IF($B$9="Trimestral",3,IF($B$9="Semestral",6,IF($B$9="Anual",12,0)))))),$B$8+94*IF($B$9="Diario",1,IF($B$9="Semanal",7,IF($B$9="Quinzenal",15,0)))))</f>
        <v/>
      </c>
      <c r="D106" s="28" t="str">
        <f aca="false">IF(OR(95&gt;N($B$6),NOT(ISNUMBER($B$8))),"",$B$7)</f>
        <v/>
      </c>
    </row>
    <row r="107" customFormat="false" ht="15" hidden="false" customHeight="false" outlineLevel="0" collapsed="false">
      <c r="A107" s="27" t="str">
        <f aca="false">IF(OR(96&gt;N($B$6),NOT(ISNUMBER($B$8))),"",$D$5)</f>
        <v/>
      </c>
      <c r="B107" s="59" t="str">
        <f aca="false">IF(OR(96&gt;N($B$6),NOT(ISNUMBER($B$8))),"",96)</f>
        <v/>
      </c>
      <c r="C107" s="26" t="str">
        <f aca="false">IF(OR(96&gt;N($B$6),NOT(ISNUMBER($B$8))),"",IF(IF($B$9="Mensal",1,IF($B$9="Bimestral",2,IF($B$9="Trimestral",3,IF($B$9="Semestral",6,IF($B$9="Anual",12,0)))))&gt;0,EDATE($B$8,95*IF($B$9="Mensal",1,IF($B$9="Bimestral",2,IF($B$9="Trimestral",3,IF($B$9="Semestral",6,IF($B$9="Anual",12,0)))))),$B$8+95*IF($B$9="Diario",1,IF($B$9="Semanal",7,IF($B$9="Quinzenal",15,0)))))</f>
        <v/>
      </c>
      <c r="D107" s="28" t="str">
        <f aca="false">IF(OR(96&gt;N($B$6),NOT(ISNUMBER($B$8))),"",$B$7)</f>
        <v/>
      </c>
    </row>
    <row r="108" customFormat="false" ht="15" hidden="false" customHeight="false" outlineLevel="0" collapsed="false">
      <c r="A108" s="27" t="str">
        <f aca="false">IF(OR(97&gt;N($B$6),NOT(ISNUMBER($B$8))),"",$D$5)</f>
        <v/>
      </c>
      <c r="B108" s="59" t="str">
        <f aca="false">IF(OR(97&gt;N($B$6),NOT(ISNUMBER($B$8))),"",97)</f>
        <v/>
      </c>
      <c r="C108" s="26" t="str">
        <f aca="false">IF(OR(97&gt;N($B$6),NOT(ISNUMBER($B$8))),"",IF(IF($B$9="Mensal",1,IF($B$9="Bimestral",2,IF($B$9="Trimestral",3,IF($B$9="Semestral",6,IF($B$9="Anual",12,0)))))&gt;0,EDATE($B$8,96*IF($B$9="Mensal",1,IF($B$9="Bimestral",2,IF($B$9="Trimestral",3,IF($B$9="Semestral",6,IF($B$9="Anual",12,0)))))),$B$8+96*IF($B$9="Diario",1,IF($B$9="Semanal",7,IF($B$9="Quinzenal",15,0)))))</f>
        <v/>
      </c>
      <c r="D108" s="28" t="str">
        <f aca="false">IF(OR(97&gt;N($B$6),NOT(ISNUMBER($B$8))),"",$B$7)</f>
        <v/>
      </c>
    </row>
    <row r="109" customFormat="false" ht="15" hidden="false" customHeight="false" outlineLevel="0" collapsed="false">
      <c r="A109" s="27" t="str">
        <f aca="false">IF(OR(98&gt;N($B$6),NOT(ISNUMBER($B$8))),"",$D$5)</f>
        <v/>
      </c>
      <c r="B109" s="59" t="str">
        <f aca="false">IF(OR(98&gt;N($B$6),NOT(ISNUMBER($B$8))),"",98)</f>
        <v/>
      </c>
      <c r="C109" s="26" t="str">
        <f aca="false">IF(OR(98&gt;N($B$6),NOT(ISNUMBER($B$8))),"",IF(IF($B$9="Mensal",1,IF($B$9="Bimestral",2,IF($B$9="Trimestral",3,IF($B$9="Semestral",6,IF($B$9="Anual",12,0)))))&gt;0,EDATE($B$8,97*IF($B$9="Mensal",1,IF($B$9="Bimestral",2,IF($B$9="Trimestral",3,IF($B$9="Semestral",6,IF($B$9="Anual",12,0)))))),$B$8+97*IF($B$9="Diario",1,IF($B$9="Semanal",7,IF($B$9="Quinzenal",15,0)))))</f>
        <v/>
      </c>
      <c r="D109" s="28" t="str">
        <f aca="false">IF(OR(98&gt;N($B$6),NOT(ISNUMBER($B$8))),"",$B$7)</f>
        <v/>
      </c>
    </row>
    <row r="110" customFormat="false" ht="15" hidden="false" customHeight="false" outlineLevel="0" collapsed="false">
      <c r="A110" s="27" t="str">
        <f aca="false">IF(OR(99&gt;N($B$6),NOT(ISNUMBER($B$8))),"",$D$5)</f>
        <v/>
      </c>
      <c r="B110" s="59" t="str">
        <f aca="false">IF(OR(99&gt;N($B$6),NOT(ISNUMBER($B$8))),"",99)</f>
        <v/>
      </c>
      <c r="C110" s="26" t="str">
        <f aca="false">IF(OR(99&gt;N($B$6),NOT(ISNUMBER($B$8))),"",IF(IF($B$9="Mensal",1,IF($B$9="Bimestral",2,IF($B$9="Trimestral",3,IF($B$9="Semestral",6,IF($B$9="Anual",12,0)))))&gt;0,EDATE($B$8,98*IF($B$9="Mensal",1,IF($B$9="Bimestral",2,IF($B$9="Trimestral",3,IF($B$9="Semestral",6,IF($B$9="Anual",12,0)))))),$B$8+98*IF($B$9="Diario",1,IF($B$9="Semanal",7,IF($B$9="Quinzenal",15,0)))))</f>
        <v/>
      </c>
      <c r="D110" s="28" t="str">
        <f aca="false">IF(OR(99&gt;N($B$6),NOT(ISNUMBER($B$8))),"",$B$7)</f>
        <v/>
      </c>
    </row>
    <row r="111" customFormat="false" ht="15" hidden="false" customHeight="false" outlineLevel="0" collapsed="false">
      <c r="A111" s="27" t="str">
        <f aca="false">IF(OR(100&gt;N($B$6),NOT(ISNUMBER($B$8))),"",$D$5)</f>
        <v/>
      </c>
      <c r="B111" s="59" t="str">
        <f aca="false">IF(OR(100&gt;N($B$6),NOT(ISNUMBER($B$8))),"",100)</f>
        <v/>
      </c>
      <c r="C111" s="26" t="str">
        <f aca="false">IF(OR(100&gt;N($B$6),NOT(ISNUMBER($B$8))),"",IF(IF($B$9="Mensal",1,IF($B$9="Bimestral",2,IF($B$9="Trimestral",3,IF($B$9="Semestral",6,IF($B$9="Anual",12,0)))))&gt;0,EDATE($B$8,99*IF($B$9="Mensal",1,IF($B$9="Bimestral",2,IF($B$9="Trimestral",3,IF($B$9="Semestral",6,IF($B$9="Anual",12,0)))))),$B$8+99*IF($B$9="Diario",1,IF($B$9="Semanal",7,IF($B$9="Quinzenal",15,0)))))</f>
        <v/>
      </c>
      <c r="D111" s="28" t="str">
        <f aca="false">IF(OR(100&gt;N($B$6),NOT(ISNUMBER($B$8))),"",$B$7)</f>
        <v/>
      </c>
    </row>
    <row r="112" customFormat="false" ht="15" hidden="false" customHeight="false" outlineLevel="0" collapsed="false">
      <c r="A112" s="27" t="str">
        <f aca="false">IF(OR(101&gt;N($B$6),NOT(ISNUMBER($B$8))),"",$D$5)</f>
        <v/>
      </c>
      <c r="B112" s="59" t="str">
        <f aca="false">IF(OR(101&gt;N($B$6),NOT(ISNUMBER($B$8))),"",101)</f>
        <v/>
      </c>
      <c r="C112" s="26" t="str">
        <f aca="false">IF(OR(101&gt;N($B$6),NOT(ISNUMBER($B$8))),"",IF(IF($B$9="Mensal",1,IF($B$9="Bimestral",2,IF($B$9="Trimestral",3,IF($B$9="Semestral",6,IF($B$9="Anual",12,0)))))&gt;0,EDATE($B$8,100*IF($B$9="Mensal",1,IF($B$9="Bimestral",2,IF($B$9="Trimestral",3,IF($B$9="Semestral",6,IF($B$9="Anual",12,0)))))),$B$8+100*IF($B$9="Diario",1,IF($B$9="Semanal",7,IF($B$9="Quinzenal",15,0)))))</f>
        <v/>
      </c>
      <c r="D112" s="28" t="str">
        <f aca="false">IF(OR(101&gt;N($B$6),NOT(ISNUMBER($B$8))),"",$B$7)</f>
        <v/>
      </c>
    </row>
    <row r="113" customFormat="false" ht="15" hidden="false" customHeight="false" outlineLevel="0" collapsed="false">
      <c r="A113" s="27" t="str">
        <f aca="false">IF(OR(102&gt;N($B$6),NOT(ISNUMBER($B$8))),"",$D$5)</f>
        <v/>
      </c>
      <c r="B113" s="59" t="str">
        <f aca="false">IF(OR(102&gt;N($B$6),NOT(ISNUMBER($B$8))),"",102)</f>
        <v/>
      </c>
      <c r="C113" s="26" t="str">
        <f aca="false">IF(OR(102&gt;N($B$6),NOT(ISNUMBER($B$8))),"",IF(IF($B$9="Mensal",1,IF($B$9="Bimestral",2,IF($B$9="Trimestral",3,IF($B$9="Semestral",6,IF($B$9="Anual",12,0)))))&gt;0,EDATE($B$8,101*IF($B$9="Mensal",1,IF($B$9="Bimestral",2,IF($B$9="Trimestral",3,IF($B$9="Semestral",6,IF($B$9="Anual",12,0)))))),$B$8+101*IF($B$9="Diario",1,IF($B$9="Semanal",7,IF($B$9="Quinzenal",15,0)))))</f>
        <v/>
      </c>
      <c r="D113" s="28" t="str">
        <f aca="false">IF(OR(102&gt;N($B$6),NOT(ISNUMBER($B$8))),"",$B$7)</f>
        <v/>
      </c>
    </row>
    <row r="114" customFormat="false" ht="15" hidden="false" customHeight="false" outlineLevel="0" collapsed="false">
      <c r="A114" s="27" t="str">
        <f aca="false">IF(OR(103&gt;N($B$6),NOT(ISNUMBER($B$8))),"",$D$5)</f>
        <v/>
      </c>
      <c r="B114" s="59" t="str">
        <f aca="false">IF(OR(103&gt;N($B$6),NOT(ISNUMBER($B$8))),"",103)</f>
        <v/>
      </c>
      <c r="C114" s="26" t="str">
        <f aca="false">IF(OR(103&gt;N($B$6),NOT(ISNUMBER($B$8))),"",IF(IF($B$9="Mensal",1,IF($B$9="Bimestral",2,IF($B$9="Trimestral",3,IF($B$9="Semestral",6,IF($B$9="Anual",12,0)))))&gt;0,EDATE($B$8,102*IF($B$9="Mensal",1,IF($B$9="Bimestral",2,IF($B$9="Trimestral",3,IF($B$9="Semestral",6,IF($B$9="Anual",12,0)))))),$B$8+102*IF($B$9="Diario",1,IF($B$9="Semanal",7,IF($B$9="Quinzenal",15,0)))))</f>
        <v/>
      </c>
      <c r="D114" s="28" t="str">
        <f aca="false">IF(OR(103&gt;N($B$6),NOT(ISNUMBER($B$8))),"",$B$7)</f>
        <v/>
      </c>
    </row>
    <row r="115" customFormat="false" ht="15" hidden="false" customHeight="false" outlineLevel="0" collapsed="false">
      <c r="A115" s="27" t="str">
        <f aca="false">IF(OR(104&gt;N($B$6),NOT(ISNUMBER($B$8))),"",$D$5)</f>
        <v/>
      </c>
      <c r="B115" s="59" t="str">
        <f aca="false">IF(OR(104&gt;N($B$6),NOT(ISNUMBER($B$8))),"",104)</f>
        <v/>
      </c>
      <c r="C115" s="26" t="str">
        <f aca="false">IF(OR(104&gt;N($B$6),NOT(ISNUMBER($B$8))),"",IF(IF($B$9="Mensal",1,IF($B$9="Bimestral",2,IF($B$9="Trimestral",3,IF($B$9="Semestral",6,IF($B$9="Anual",12,0)))))&gt;0,EDATE($B$8,103*IF($B$9="Mensal",1,IF($B$9="Bimestral",2,IF($B$9="Trimestral",3,IF($B$9="Semestral",6,IF($B$9="Anual",12,0)))))),$B$8+103*IF($B$9="Diario",1,IF($B$9="Semanal",7,IF($B$9="Quinzenal",15,0)))))</f>
        <v/>
      </c>
      <c r="D115" s="28" t="str">
        <f aca="false">IF(OR(104&gt;N($B$6),NOT(ISNUMBER($B$8))),"",$B$7)</f>
        <v/>
      </c>
    </row>
    <row r="116" customFormat="false" ht="15" hidden="false" customHeight="false" outlineLevel="0" collapsed="false">
      <c r="A116" s="27" t="str">
        <f aca="false">IF(OR(105&gt;N($B$6),NOT(ISNUMBER($B$8))),"",$D$5)</f>
        <v/>
      </c>
      <c r="B116" s="59" t="str">
        <f aca="false">IF(OR(105&gt;N($B$6),NOT(ISNUMBER($B$8))),"",105)</f>
        <v/>
      </c>
      <c r="C116" s="26" t="str">
        <f aca="false">IF(OR(105&gt;N($B$6),NOT(ISNUMBER($B$8))),"",IF(IF($B$9="Mensal",1,IF($B$9="Bimestral",2,IF($B$9="Trimestral",3,IF($B$9="Semestral",6,IF($B$9="Anual",12,0)))))&gt;0,EDATE($B$8,104*IF($B$9="Mensal",1,IF($B$9="Bimestral",2,IF($B$9="Trimestral",3,IF($B$9="Semestral",6,IF($B$9="Anual",12,0)))))),$B$8+104*IF($B$9="Diario",1,IF($B$9="Semanal",7,IF($B$9="Quinzenal",15,0)))))</f>
        <v/>
      </c>
      <c r="D116" s="28" t="str">
        <f aca="false">IF(OR(105&gt;N($B$6),NOT(ISNUMBER($B$8))),"",$B$7)</f>
        <v/>
      </c>
    </row>
    <row r="117" customFormat="false" ht="15" hidden="false" customHeight="false" outlineLevel="0" collapsed="false">
      <c r="A117" s="27" t="str">
        <f aca="false">IF(OR(106&gt;N($B$6),NOT(ISNUMBER($B$8))),"",$D$5)</f>
        <v/>
      </c>
      <c r="B117" s="59" t="str">
        <f aca="false">IF(OR(106&gt;N($B$6),NOT(ISNUMBER($B$8))),"",106)</f>
        <v/>
      </c>
      <c r="C117" s="26" t="str">
        <f aca="false">IF(OR(106&gt;N($B$6),NOT(ISNUMBER($B$8))),"",IF(IF($B$9="Mensal",1,IF($B$9="Bimestral",2,IF($B$9="Trimestral",3,IF($B$9="Semestral",6,IF($B$9="Anual",12,0)))))&gt;0,EDATE($B$8,105*IF($B$9="Mensal",1,IF($B$9="Bimestral",2,IF($B$9="Trimestral",3,IF($B$9="Semestral",6,IF($B$9="Anual",12,0)))))),$B$8+105*IF($B$9="Diario",1,IF($B$9="Semanal",7,IF($B$9="Quinzenal",15,0)))))</f>
        <v/>
      </c>
      <c r="D117" s="28" t="str">
        <f aca="false">IF(OR(106&gt;N($B$6),NOT(ISNUMBER($B$8))),"",$B$7)</f>
        <v/>
      </c>
    </row>
    <row r="118" customFormat="false" ht="15" hidden="false" customHeight="false" outlineLevel="0" collapsed="false">
      <c r="A118" s="27" t="str">
        <f aca="false">IF(OR(107&gt;N($B$6),NOT(ISNUMBER($B$8))),"",$D$5)</f>
        <v/>
      </c>
      <c r="B118" s="59" t="str">
        <f aca="false">IF(OR(107&gt;N($B$6),NOT(ISNUMBER($B$8))),"",107)</f>
        <v/>
      </c>
      <c r="C118" s="26" t="str">
        <f aca="false">IF(OR(107&gt;N($B$6),NOT(ISNUMBER($B$8))),"",IF(IF($B$9="Mensal",1,IF($B$9="Bimestral",2,IF($B$9="Trimestral",3,IF($B$9="Semestral",6,IF($B$9="Anual",12,0)))))&gt;0,EDATE($B$8,106*IF($B$9="Mensal",1,IF($B$9="Bimestral",2,IF($B$9="Trimestral",3,IF($B$9="Semestral",6,IF($B$9="Anual",12,0)))))),$B$8+106*IF($B$9="Diario",1,IF($B$9="Semanal",7,IF($B$9="Quinzenal",15,0)))))</f>
        <v/>
      </c>
      <c r="D118" s="28" t="str">
        <f aca="false">IF(OR(107&gt;N($B$6),NOT(ISNUMBER($B$8))),"",$B$7)</f>
        <v/>
      </c>
    </row>
    <row r="119" customFormat="false" ht="15" hidden="false" customHeight="false" outlineLevel="0" collapsed="false">
      <c r="A119" s="27" t="str">
        <f aca="false">IF(OR(108&gt;N($B$6),NOT(ISNUMBER($B$8))),"",$D$5)</f>
        <v/>
      </c>
      <c r="B119" s="59" t="str">
        <f aca="false">IF(OR(108&gt;N($B$6),NOT(ISNUMBER($B$8))),"",108)</f>
        <v/>
      </c>
      <c r="C119" s="26" t="str">
        <f aca="false">IF(OR(108&gt;N($B$6),NOT(ISNUMBER($B$8))),"",IF(IF($B$9="Mensal",1,IF($B$9="Bimestral",2,IF($B$9="Trimestral",3,IF($B$9="Semestral",6,IF($B$9="Anual",12,0)))))&gt;0,EDATE($B$8,107*IF($B$9="Mensal",1,IF($B$9="Bimestral",2,IF($B$9="Trimestral",3,IF($B$9="Semestral",6,IF($B$9="Anual",12,0)))))),$B$8+107*IF($B$9="Diario",1,IF($B$9="Semanal",7,IF($B$9="Quinzenal",15,0)))))</f>
        <v/>
      </c>
      <c r="D119" s="28" t="str">
        <f aca="false">IF(OR(108&gt;N($B$6),NOT(ISNUMBER($B$8))),"",$B$7)</f>
        <v/>
      </c>
    </row>
    <row r="120" customFormat="false" ht="15" hidden="false" customHeight="false" outlineLevel="0" collapsed="false">
      <c r="A120" s="27" t="str">
        <f aca="false">IF(OR(109&gt;N($B$6),NOT(ISNUMBER($B$8))),"",$D$5)</f>
        <v/>
      </c>
      <c r="B120" s="59" t="str">
        <f aca="false">IF(OR(109&gt;N($B$6),NOT(ISNUMBER($B$8))),"",109)</f>
        <v/>
      </c>
      <c r="C120" s="26" t="str">
        <f aca="false">IF(OR(109&gt;N($B$6),NOT(ISNUMBER($B$8))),"",IF(IF($B$9="Mensal",1,IF($B$9="Bimestral",2,IF($B$9="Trimestral",3,IF($B$9="Semestral",6,IF($B$9="Anual",12,0)))))&gt;0,EDATE($B$8,108*IF($B$9="Mensal",1,IF($B$9="Bimestral",2,IF($B$9="Trimestral",3,IF($B$9="Semestral",6,IF($B$9="Anual",12,0)))))),$B$8+108*IF($B$9="Diario",1,IF($B$9="Semanal",7,IF($B$9="Quinzenal",15,0)))))</f>
        <v/>
      </c>
      <c r="D120" s="28" t="str">
        <f aca="false">IF(OR(109&gt;N($B$6),NOT(ISNUMBER($B$8))),"",$B$7)</f>
        <v/>
      </c>
    </row>
    <row r="121" customFormat="false" ht="15" hidden="false" customHeight="false" outlineLevel="0" collapsed="false">
      <c r="A121" s="27" t="str">
        <f aca="false">IF(OR(110&gt;N($B$6),NOT(ISNUMBER($B$8))),"",$D$5)</f>
        <v/>
      </c>
      <c r="B121" s="59" t="str">
        <f aca="false">IF(OR(110&gt;N($B$6),NOT(ISNUMBER($B$8))),"",110)</f>
        <v/>
      </c>
      <c r="C121" s="26" t="str">
        <f aca="false">IF(OR(110&gt;N($B$6),NOT(ISNUMBER($B$8))),"",IF(IF($B$9="Mensal",1,IF($B$9="Bimestral",2,IF($B$9="Trimestral",3,IF($B$9="Semestral",6,IF($B$9="Anual",12,0)))))&gt;0,EDATE($B$8,109*IF($B$9="Mensal",1,IF($B$9="Bimestral",2,IF($B$9="Trimestral",3,IF($B$9="Semestral",6,IF($B$9="Anual",12,0)))))),$B$8+109*IF($B$9="Diario",1,IF($B$9="Semanal",7,IF($B$9="Quinzenal",15,0)))))</f>
        <v/>
      </c>
      <c r="D121" s="28" t="str">
        <f aca="false">IF(OR(110&gt;N($B$6),NOT(ISNUMBER($B$8))),"",$B$7)</f>
        <v/>
      </c>
    </row>
    <row r="122" customFormat="false" ht="15" hidden="false" customHeight="false" outlineLevel="0" collapsed="false">
      <c r="A122" s="27" t="str">
        <f aca="false">IF(OR(111&gt;N($B$6),NOT(ISNUMBER($B$8))),"",$D$5)</f>
        <v/>
      </c>
      <c r="B122" s="59" t="str">
        <f aca="false">IF(OR(111&gt;N($B$6),NOT(ISNUMBER($B$8))),"",111)</f>
        <v/>
      </c>
      <c r="C122" s="26" t="str">
        <f aca="false">IF(OR(111&gt;N($B$6),NOT(ISNUMBER($B$8))),"",IF(IF($B$9="Mensal",1,IF($B$9="Bimestral",2,IF($B$9="Trimestral",3,IF($B$9="Semestral",6,IF($B$9="Anual",12,0)))))&gt;0,EDATE($B$8,110*IF($B$9="Mensal",1,IF($B$9="Bimestral",2,IF($B$9="Trimestral",3,IF($B$9="Semestral",6,IF($B$9="Anual",12,0)))))),$B$8+110*IF($B$9="Diario",1,IF($B$9="Semanal",7,IF($B$9="Quinzenal",15,0)))))</f>
        <v/>
      </c>
      <c r="D122" s="28" t="str">
        <f aca="false">IF(OR(111&gt;N($B$6),NOT(ISNUMBER($B$8))),"",$B$7)</f>
        <v/>
      </c>
    </row>
    <row r="123" customFormat="false" ht="15" hidden="false" customHeight="false" outlineLevel="0" collapsed="false">
      <c r="A123" s="27" t="str">
        <f aca="false">IF(OR(112&gt;N($B$6),NOT(ISNUMBER($B$8))),"",$D$5)</f>
        <v/>
      </c>
      <c r="B123" s="59" t="str">
        <f aca="false">IF(OR(112&gt;N($B$6),NOT(ISNUMBER($B$8))),"",112)</f>
        <v/>
      </c>
      <c r="C123" s="26" t="str">
        <f aca="false">IF(OR(112&gt;N($B$6),NOT(ISNUMBER($B$8))),"",IF(IF($B$9="Mensal",1,IF($B$9="Bimestral",2,IF($B$9="Trimestral",3,IF($B$9="Semestral",6,IF($B$9="Anual",12,0)))))&gt;0,EDATE($B$8,111*IF($B$9="Mensal",1,IF($B$9="Bimestral",2,IF($B$9="Trimestral",3,IF($B$9="Semestral",6,IF($B$9="Anual",12,0)))))),$B$8+111*IF($B$9="Diario",1,IF($B$9="Semanal",7,IF($B$9="Quinzenal",15,0)))))</f>
        <v/>
      </c>
      <c r="D123" s="28" t="str">
        <f aca="false">IF(OR(112&gt;N($B$6),NOT(ISNUMBER($B$8))),"",$B$7)</f>
        <v/>
      </c>
    </row>
    <row r="124" customFormat="false" ht="15" hidden="false" customHeight="false" outlineLevel="0" collapsed="false">
      <c r="A124" s="27" t="str">
        <f aca="false">IF(OR(113&gt;N($B$6),NOT(ISNUMBER($B$8))),"",$D$5)</f>
        <v/>
      </c>
      <c r="B124" s="59" t="str">
        <f aca="false">IF(OR(113&gt;N($B$6),NOT(ISNUMBER($B$8))),"",113)</f>
        <v/>
      </c>
      <c r="C124" s="26" t="str">
        <f aca="false">IF(OR(113&gt;N($B$6),NOT(ISNUMBER($B$8))),"",IF(IF($B$9="Mensal",1,IF($B$9="Bimestral",2,IF($B$9="Trimestral",3,IF($B$9="Semestral",6,IF($B$9="Anual",12,0)))))&gt;0,EDATE($B$8,112*IF($B$9="Mensal",1,IF($B$9="Bimestral",2,IF($B$9="Trimestral",3,IF($B$9="Semestral",6,IF($B$9="Anual",12,0)))))),$B$8+112*IF($B$9="Diario",1,IF($B$9="Semanal",7,IF($B$9="Quinzenal",15,0)))))</f>
        <v/>
      </c>
      <c r="D124" s="28" t="str">
        <f aca="false">IF(OR(113&gt;N($B$6),NOT(ISNUMBER($B$8))),"",$B$7)</f>
        <v/>
      </c>
    </row>
    <row r="125" customFormat="false" ht="15" hidden="false" customHeight="false" outlineLevel="0" collapsed="false">
      <c r="A125" s="27" t="str">
        <f aca="false">IF(OR(114&gt;N($B$6),NOT(ISNUMBER($B$8))),"",$D$5)</f>
        <v/>
      </c>
      <c r="B125" s="59" t="str">
        <f aca="false">IF(OR(114&gt;N($B$6),NOT(ISNUMBER($B$8))),"",114)</f>
        <v/>
      </c>
      <c r="C125" s="26" t="str">
        <f aca="false">IF(OR(114&gt;N($B$6),NOT(ISNUMBER($B$8))),"",IF(IF($B$9="Mensal",1,IF($B$9="Bimestral",2,IF($B$9="Trimestral",3,IF($B$9="Semestral",6,IF($B$9="Anual",12,0)))))&gt;0,EDATE($B$8,113*IF($B$9="Mensal",1,IF($B$9="Bimestral",2,IF($B$9="Trimestral",3,IF($B$9="Semestral",6,IF($B$9="Anual",12,0)))))),$B$8+113*IF($B$9="Diario",1,IF($B$9="Semanal",7,IF($B$9="Quinzenal",15,0)))))</f>
        <v/>
      </c>
      <c r="D125" s="28" t="str">
        <f aca="false">IF(OR(114&gt;N($B$6),NOT(ISNUMBER($B$8))),"",$B$7)</f>
        <v/>
      </c>
    </row>
    <row r="126" customFormat="false" ht="15" hidden="false" customHeight="false" outlineLevel="0" collapsed="false">
      <c r="A126" s="27" t="str">
        <f aca="false">IF(OR(115&gt;N($B$6),NOT(ISNUMBER($B$8))),"",$D$5)</f>
        <v/>
      </c>
      <c r="B126" s="59" t="str">
        <f aca="false">IF(OR(115&gt;N($B$6),NOT(ISNUMBER($B$8))),"",115)</f>
        <v/>
      </c>
      <c r="C126" s="26" t="str">
        <f aca="false">IF(OR(115&gt;N($B$6),NOT(ISNUMBER($B$8))),"",IF(IF($B$9="Mensal",1,IF($B$9="Bimestral",2,IF($B$9="Trimestral",3,IF($B$9="Semestral",6,IF($B$9="Anual",12,0)))))&gt;0,EDATE($B$8,114*IF($B$9="Mensal",1,IF($B$9="Bimestral",2,IF($B$9="Trimestral",3,IF($B$9="Semestral",6,IF($B$9="Anual",12,0)))))),$B$8+114*IF($B$9="Diario",1,IF($B$9="Semanal",7,IF($B$9="Quinzenal",15,0)))))</f>
        <v/>
      </c>
      <c r="D126" s="28" t="str">
        <f aca="false">IF(OR(115&gt;N($B$6),NOT(ISNUMBER($B$8))),"",$B$7)</f>
        <v/>
      </c>
    </row>
    <row r="127" customFormat="false" ht="15" hidden="false" customHeight="false" outlineLevel="0" collapsed="false">
      <c r="A127" s="27" t="str">
        <f aca="false">IF(OR(116&gt;N($B$6),NOT(ISNUMBER($B$8))),"",$D$5)</f>
        <v/>
      </c>
      <c r="B127" s="59" t="str">
        <f aca="false">IF(OR(116&gt;N($B$6),NOT(ISNUMBER($B$8))),"",116)</f>
        <v/>
      </c>
      <c r="C127" s="26" t="str">
        <f aca="false">IF(OR(116&gt;N($B$6),NOT(ISNUMBER($B$8))),"",IF(IF($B$9="Mensal",1,IF($B$9="Bimestral",2,IF($B$9="Trimestral",3,IF($B$9="Semestral",6,IF($B$9="Anual",12,0)))))&gt;0,EDATE($B$8,115*IF($B$9="Mensal",1,IF($B$9="Bimestral",2,IF($B$9="Trimestral",3,IF($B$9="Semestral",6,IF($B$9="Anual",12,0)))))),$B$8+115*IF($B$9="Diario",1,IF($B$9="Semanal",7,IF($B$9="Quinzenal",15,0)))))</f>
        <v/>
      </c>
      <c r="D127" s="28" t="str">
        <f aca="false">IF(OR(116&gt;N($B$6),NOT(ISNUMBER($B$8))),"",$B$7)</f>
        <v/>
      </c>
    </row>
    <row r="128" customFormat="false" ht="15" hidden="false" customHeight="false" outlineLevel="0" collapsed="false">
      <c r="A128" s="27" t="str">
        <f aca="false">IF(OR(117&gt;N($B$6),NOT(ISNUMBER($B$8))),"",$D$5)</f>
        <v/>
      </c>
      <c r="B128" s="59" t="str">
        <f aca="false">IF(OR(117&gt;N($B$6),NOT(ISNUMBER($B$8))),"",117)</f>
        <v/>
      </c>
      <c r="C128" s="26" t="str">
        <f aca="false">IF(OR(117&gt;N($B$6),NOT(ISNUMBER($B$8))),"",IF(IF($B$9="Mensal",1,IF($B$9="Bimestral",2,IF($B$9="Trimestral",3,IF($B$9="Semestral",6,IF($B$9="Anual",12,0)))))&gt;0,EDATE($B$8,116*IF($B$9="Mensal",1,IF($B$9="Bimestral",2,IF($B$9="Trimestral",3,IF($B$9="Semestral",6,IF($B$9="Anual",12,0)))))),$B$8+116*IF($B$9="Diario",1,IF($B$9="Semanal",7,IF($B$9="Quinzenal",15,0)))))</f>
        <v/>
      </c>
      <c r="D128" s="28" t="str">
        <f aca="false">IF(OR(117&gt;N($B$6),NOT(ISNUMBER($B$8))),"",$B$7)</f>
        <v/>
      </c>
    </row>
    <row r="129" customFormat="false" ht="15" hidden="false" customHeight="false" outlineLevel="0" collapsed="false">
      <c r="A129" s="27" t="str">
        <f aca="false">IF(OR(118&gt;N($B$6),NOT(ISNUMBER($B$8))),"",$D$5)</f>
        <v/>
      </c>
      <c r="B129" s="59" t="str">
        <f aca="false">IF(OR(118&gt;N($B$6),NOT(ISNUMBER($B$8))),"",118)</f>
        <v/>
      </c>
      <c r="C129" s="26" t="str">
        <f aca="false">IF(OR(118&gt;N($B$6),NOT(ISNUMBER($B$8))),"",IF(IF($B$9="Mensal",1,IF($B$9="Bimestral",2,IF($B$9="Trimestral",3,IF($B$9="Semestral",6,IF($B$9="Anual",12,0)))))&gt;0,EDATE($B$8,117*IF($B$9="Mensal",1,IF($B$9="Bimestral",2,IF($B$9="Trimestral",3,IF($B$9="Semestral",6,IF($B$9="Anual",12,0)))))),$B$8+117*IF($B$9="Diario",1,IF($B$9="Semanal",7,IF($B$9="Quinzenal",15,0)))))</f>
        <v/>
      </c>
      <c r="D129" s="28" t="str">
        <f aca="false">IF(OR(118&gt;N($B$6),NOT(ISNUMBER($B$8))),"",$B$7)</f>
        <v/>
      </c>
    </row>
    <row r="130" customFormat="false" ht="15" hidden="false" customHeight="false" outlineLevel="0" collapsed="false">
      <c r="A130" s="27" t="str">
        <f aca="false">IF(OR(119&gt;N($B$6),NOT(ISNUMBER($B$8))),"",$D$5)</f>
        <v/>
      </c>
      <c r="B130" s="59" t="str">
        <f aca="false">IF(OR(119&gt;N($B$6),NOT(ISNUMBER($B$8))),"",119)</f>
        <v/>
      </c>
      <c r="C130" s="26" t="str">
        <f aca="false">IF(OR(119&gt;N($B$6),NOT(ISNUMBER($B$8))),"",IF(IF($B$9="Mensal",1,IF($B$9="Bimestral",2,IF($B$9="Trimestral",3,IF($B$9="Semestral",6,IF($B$9="Anual",12,0)))))&gt;0,EDATE($B$8,118*IF($B$9="Mensal",1,IF($B$9="Bimestral",2,IF($B$9="Trimestral",3,IF($B$9="Semestral",6,IF($B$9="Anual",12,0)))))),$B$8+118*IF($B$9="Diario",1,IF($B$9="Semanal",7,IF($B$9="Quinzenal",15,0)))))</f>
        <v/>
      </c>
      <c r="D130" s="28" t="str">
        <f aca="false">IF(OR(119&gt;N($B$6),NOT(ISNUMBER($B$8))),"",$B$7)</f>
        <v/>
      </c>
    </row>
    <row r="131" customFormat="false" ht="15" hidden="false" customHeight="false" outlineLevel="0" collapsed="false">
      <c r="A131" s="27" t="str">
        <f aca="false">IF(OR(120&gt;N($B$6),NOT(ISNUMBER($B$8))),"",$D$5)</f>
        <v/>
      </c>
      <c r="B131" s="59" t="str">
        <f aca="false">IF(OR(120&gt;N($B$6),NOT(ISNUMBER($B$8))),"",120)</f>
        <v/>
      </c>
      <c r="C131" s="26" t="str">
        <f aca="false">IF(OR(120&gt;N($B$6),NOT(ISNUMBER($B$8))),"",IF(IF($B$9="Mensal",1,IF($B$9="Bimestral",2,IF($B$9="Trimestral",3,IF($B$9="Semestral",6,IF($B$9="Anual",12,0)))))&gt;0,EDATE($B$8,119*IF($B$9="Mensal",1,IF($B$9="Bimestral",2,IF($B$9="Trimestral",3,IF($B$9="Semestral",6,IF($B$9="Anual",12,0)))))),$B$8+119*IF($B$9="Diario",1,IF($B$9="Semanal",7,IF($B$9="Quinzenal",15,0)))))</f>
        <v/>
      </c>
      <c r="D131" s="28" t="str">
        <f aca="false">IF(OR(120&gt;N($B$6),NOT(ISNUMBER($B$8))),"",$B$7)</f>
        <v/>
      </c>
    </row>
    <row r="133" customFormat="false" ht="19.5" hidden="false" customHeight="true" outlineLevel="0" collapsed="false">
      <c r="A133" s="3" t="s">
        <v>557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5" hidden="false" customHeight="false" outlineLevel="0" collapsed="false">
      <c r="A134" s="12" t="s">
        <v>558</v>
      </c>
      <c r="B134" s="14"/>
      <c r="C134" s="16" t="s">
        <v>48</v>
      </c>
      <c r="D134" s="24" t="n">
        <f aca="false">IFERROR(INDEX(R_DESC,MATCH($B$134,R_ID,0)),"NAO ENCONTRADA")</f>
        <v>0</v>
      </c>
    </row>
    <row r="135" customFormat="false" ht="15" hidden="false" customHeight="false" outlineLevel="0" collapsed="false">
      <c r="A135" s="12" t="s">
        <v>50</v>
      </c>
      <c r="B135" s="58" t="n">
        <f aca="false">IFERROR(INDEX(CAD_Recorrencias!$C$5:$C$44,MATCH($B$134,R_ID,0)),"")</f>
        <v>0</v>
      </c>
    </row>
    <row r="136" customFormat="false" ht="15" hidden="false" customHeight="false" outlineLevel="0" collapsed="false">
      <c r="A136" s="12" t="s">
        <v>84</v>
      </c>
      <c r="B136" s="57" t="n">
        <f aca="false">IFERROR(INDEX(CAD_Recorrencias!$D$5:$D$44,MATCH($B$134,R_ID,0)),"")</f>
        <v>0</v>
      </c>
    </row>
    <row r="137" customFormat="false" ht="15" hidden="false" customHeight="false" outlineLevel="0" collapsed="false">
      <c r="A137" s="12" t="s">
        <v>296</v>
      </c>
      <c r="B137" s="58" t="n">
        <f aca="false">IFERROR(INDEX(CAD_Recorrencias!$E$5:$E$44,MATCH($B$134,R_ID,0)),"")</f>
        <v>0</v>
      </c>
    </row>
    <row r="138" customFormat="false" ht="15" hidden="false" customHeight="false" outlineLevel="0" collapsed="false">
      <c r="A138" s="12" t="s">
        <v>323</v>
      </c>
      <c r="B138" s="56" t="n">
        <f aca="false">IFERROR(INDEX(CAD_Recorrencias!$F$5:$F$44,MATCH($B$134,R_ID,0)),"")</f>
        <v>0</v>
      </c>
    </row>
    <row r="139" customFormat="false" ht="15" hidden="false" customHeight="false" outlineLevel="0" collapsed="false">
      <c r="A139" s="12" t="s">
        <v>559</v>
      </c>
      <c r="B139" s="46" t="n">
        <f aca="false">IFERROR(INDEX(CAD_Recorrencias!$G$5:$G$44,MATCH($B$134,R_ID,0)),"")</f>
        <v>0</v>
      </c>
    </row>
    <row r="140" customFormat="false" ht="15" hidden="false" customHeight="false" outlineLevel="0" collapsed="false">
      <c r="A140" s="12" t="s">
        <v>560</v>
      </c>
      <c r="B140" s="56" t="n">
        <f aca="false">IFERROR(INDEX(CAD_Recorrencias!$H$5:$H$44,MATCH($B$134,R_ID,0)),"")</f>
        <v>0</v>
      </c>
    </row>
    <row r="141" customFormat="false" ht="15" hidden="false" customHeight="false" outlineLevel="0" collapsed="false">
      <c r="A141" s="12" t="s">
        <v>89</v>
      </c>
      <c r="B141" s="58" t="n">
        <f aca="false">IFERROR(INDEX(CAD_Recorrencias!$J$5:$J$44,MATCH($B$134,R_ID,0)),"")</f>
        <v>0</v>
      </c>
    </row>
    <row r="142" customFormat="false" ht="15" hidden="false" customHeight="false" outlineLevel="0" collapsed="false">
      <c r="A142" s="12" t="s">
        <v>90</v>
      </c>
      <c r="B142" s="58" t="n">
        <f aca="false">IFERROR(INDEX(CAD_Recorrencias!$K$5:$K$44,MATCH($B$134,R_ID,0)),"")</f>
        <v>0</v>
      </c>
    </row>
    <row r="143" customFormat="false" ht="15" hidden="false" customHeight="false" outlineLevel="0" collapsed="false">
      <c r="A143" s="12" t="s">
        <v>85</v>
      </c>
      <c r="B143" s="58" t="n">
        <f aca="false">IFERROR(INDEX(CAD_Recorrencias!$L$5:$L$44,MATCH($B$134,R_ID,0)),"")</f>
        <v>0</v>
      </c>
    </row>
    <row r="144" customFormat="false" ht="15" hidden="false" customHeight="false" outlineLevel="0" collapsed="false">
      <c r="A144" s="12" t="s">
        <v>86</v>
      </c>
      <c r="B144" s="58" t="n">
        <f aca="false">IFERROR(INDEX(CAD_Recorrencias!$M$5:$M$44,MATCH($B$134,R_ID,0)),"")</f>
        <v>0</v>
      </c>
    </row>
    <row r="145" customFormat="false" ht="15" hidden="false" customHeight="false" outlineLevel="0" collapsed="false">
      <c r="A145" s="12" t="s">
        <v>87</v>
      </c>
      <c r="B145" s="58" t="n">
        <f aca="false">IFERROR(INDEX(CAD_Recorrencias!$N$5:$N$44,MATCH($B$134,R_ID,0)),"")</f>
        <v>0</v>
      </c>
    </row>
    <row r="146" customFormat="false" ht="15" hidden="false" customHeight="false" outlineLevel="0" collapsed="false">
      <c r="A146" s="12" t="s">
        <v>88</v>
      </c>
      <c r="B146" s="58" t="n">
        <f aca="false">IFERROR(INDEX(CAD_Recorrencias!$O$5:$O$44,MATCH($B$134,R_ID,0)),"")</f>
        <v>0</v>
      </c>
    </row>
    <row r="147" customFormat="false" ht="15" hidden="false" customHeight="false" outlineLevel="0" collapsed="false">
      <c r="A147" s="12" t="s">
        <v>67</v>
      </c>
      <c r="B147" s="58" t="n">
        <f aca="false">IFERROR(INDEX(CAD_Recorrencias!$P$5:$P$44,MATCH($B$134,R_ID,0)),"")</f>
        <v>0</v>
      </c>
    </row>
    <row r="149" customFormat="false" ht="30" hidden="false" customHeight="true" outlineLevel="0" collapsed="false">
      <c r="A149" s="8" t="s">
        <v>47</v>
      </c>
      <c r="B149" s="8" t="s">
        <v>48</v>
      </c>
      <c r="C149" s="8" t="s">
        <v>83</v>
      </c>
      <c r="D149" s="8" t="s">
        <v>52</v>
      </c>
      <c r="E149" s="8" t="s">
        <v>84</v>
      </c>
      <c r="F149" s="8" t="s">
        <v>85</v>
      </c>
      <c r="G149" s="8" t="s">
        <v>86</v>
      </c>
      <c r="H149" s="8" t="s">
        <v>87</v>
      </c>
      <c r="I149" s="8" t="s">
        <v>88</v>
      </c>
      <c r="J149" s="8" t="s">
        <v>89</v>
      </c>
      <c r="K149" s="8" t="s">
        <v>90</v>
      </c>
      <c r="L149" s="8" t="s">
        <v>91</v>
      </c>
      <c r="M149" s="8" t="s">
        <v>92</v>
      </c>
      <c r="N149" s="8" t="s">
        <v>93</v>
      </c>
      <c r="O149" s="8" t="s">
        <v>94</v>
      </c>
      <c r="P149" s="8" t="s">
        <v>95</v>
      </c>
      <c r="Q149" s="8" t="s">
        <v>96</v>
      </c>
      <c r="R149" s="8" t="s">
        <v>76</v>
      </c>
    </row>
    <row r="150" customFormat="false" ht="15" hidden="false" customHeight="false" outlineLevel="0" collapsed="false">
      <c r="A150" s="26" t="str">
        <f aca="false">IF(OR(1&gt;N($B$140),NOT(ISNUMBER($B$139))),"",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)</f>
        <v/>
      </c>
      <c r="B150" s="27" t="str">
        <f aca="false">IF(OR(1&gt;N($B$140),NOT(ISNUMBER($B$139))),"",$D$134)</f>
        <v/>
      </c>
      <c r="C150" s="27" t="str">
        <f aca="false">IF(OR(1&gt;N($B$140),NOT(ISNUMBER($B$139))),"",$B$135)</f>
        <v/>
      </c>
      <c r="D150" s="27" t="str">
        <f aca="false">IF(OR(1&gt;N($B$140),NOT(ISNUMBER($B$139))),"",IF(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&lt;=CFG_HOJE,"REALIZADO","PROJETADO"))</f>
        <v/>
      </c>
      <c r="E150" s="28" t="str">
        <f aca="false">IF(OR(1&gt;N($B$140),NOT(ISNUMBER($B$139))),"",$B$136)</f>
        <v/>
      </c>
      <c r="F150" s="27" t="str">
        <f aca="false">IF(OR(1&gt;N($B$140),NOT(ISNUMBER($B$139))),"",$B$143)</f>
        <v/>
      </c>
      <c r="G150" s="27" t="str">
        <f aca="false">IF(OR(1&gt;N($B$140),NOT(ISNUMBER($B$139))),"",$B$144)</f>
        <v/>
      </c>
      <c r="H150" s="27" t="str">
        <f aca="false">IF(OR(1&gt;N($B$140),NOT(ISNUMBER($B$139))),"",$B$145)</f>
        <v/>
      </c>
      <c r="I150" s="27" t="str">
        <f aca="false">IF(OR(1&gt;N($B$140),NOT(ISNUMBER($B$139))),"",$B$146)</f>
        <v/>
      </c>
      <c r="J150" s="27" t="str">
        <f aca="false">IF(OR(1&gt;N($B$140),NOT(ISNUMBER($B$139))),"",$B$141)</f>
        <v/>
      </c>
      <c r="K150" s="27" t="str">
        <f aca="false">IF(OR(1&gt;N($B$140),NOT(ISNUMBER($B$139))),"",$B$142)</f>
        <v/>
      </c>
      <c r="L150" s="27" t="str">
        <f aca="false">IF(OR(1&gt;N($B$140),NOT(ISNUMBER($B$139))),"",$B$147)</f>
        <v/>
      </c>
      <c r="M150" s="27" t="str">
        <f aca="false">""</f>
        <v/>
      </c>
      <c r="N150" s="27" t="str">
        <f aca="false">""</f>
        <v/>
      </c>
      <c r="O150" s="27" t="str">
        <f aca="false">""</f>
        <v/>
      </c>
      <c r="P150" s="27" t="str">
        <f aca="false">IF(OR(1&gt;N($B$140),NOT(ISNUMBER($B$139))),"",$B$134)</f>
        <v/>
      </c>
      <c r="Q150" s="27" t="str">
        <f aca="false">""</f>
        <v/>
      </c>
      <c r="R150" s="27" t="str">
        <f aca="false">IF(OR(1&gt;N($B$140),NOT(ISNUMBER($B$139))),"","Gerado pela recorrencia "&amp;$B$134)</f>
        <v/>
      </c>
    </row>
    <row r="151" customFormat="false" ht="15" hidden="false" customHeight="false" outlineLevel="0" collapsed="false">
      <c r="A151" s="26" t="str">
        <f aca="false">IF(OR(2&gt;N($B$140),NOT(ISNUMBER($B$139))),"",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)</f>
        <v/>
      </c>
      <c r="B151" s="27" t="str">
        <f aca="false">IF(OR(2&gt;N($B$140),NOT(ISNUMBER($B$139))),"",$D$134)</f>
        <v/>
      </c>
      <c r="C151" s="27" t="str">
        <f aca="false">IF(OR(2&gt;N($B$140),NOT(ISNUMBER($B$139))),"",$B$135)</f>
        <v/>
      </c>
      <c r="D151" s="27" t="str">
        <f aca="false">IF(OR(2&gt;N($B$140),NOT(ISNUMBER($B$139))),"",IF(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&lt;=CFG_HOJE,"REALIZADO","PROJETADO"))</f>
        <v/>
      </c>
      <c r="E151" s="28" t="str">
        <f aca="false">IF(OR(2&gt;N($B$140),NOT(ISNUMBER($B$139))),"",$B$136)</f>
        <v/>
      </c>
      <c r="F151" s="27" t="str">
        <f aca="false">IF(OR(2&gt;N($B$140),NOT(ISNUMBER($B$139))),"",$B$143)</f>
        <v/>
      </c>
      <c r="G151" s="27" t="str">
        <f aca="false">IF(OR(2&gt;N($B$140),NOT(ISNUMBER($B$139))),"",$B$144)</f>
        <v/>
      </c>
      <c r="H151" s="27" t="str">
        <f aca="false">IF(OR(2&gt;N($B$140),NOT(ISNUMBER($B$139))),"",$B$145)</f>
        <v/>
      </c>
      <c r="I151" s="27" t="str">
        <f aca="false">IF(OR(2&gt;N($B$140),NOT(ISNUMBER($B$139))),"",$B$146)</f>
        <v/>
      </c>
      <c r="J151" s="27" t="str">
        <f aca="false">IF(OR(2&gt;N($B$140),NOT(ISNUMBER($B$139))),"",$B$141)</f>
        <v/>
      </c>
      <c r="K151" s="27" t="str">
        <f aca="false">IF(OR(2&gt;N($B$140),NOT(ISNUMBER($B$139))),"",$B$142)</f>
        <v/>
      </c>
      <c r="L151" s="27" t="str">
        <f aca="false">IF(OR(2&gt;N($B$140),NOT(ISNUMBER($B$139))),"",$B$147)</f>
        <v/>
      </c>
      <c r="M151" s="27" t="str">
        <f aca="false">""</f>
        <v/>
      </c>
      <c r="N151" s="27" t="str">
        <f aca="false">""</f>
        <v/>
      </c>
      <c r="O151" s="27" t="str">
        <f aca="false">""</f>
        <v/>
      </c>
      <c r="P151" s="27" t="str">
        <f aca="false">IF(OR(2&gt;N($B$140),NOT(ISNUMBER($B$139))),"",$B$134)</f>
        <v/>
      </c>
      <c r="Q151" s="27" t="str">
        <f aca="false">""</f>
        <v/>
      </c>
      <c r="R151" s="27" t="str">
        <f aca="false">IF(OR(2&gt;N($B$140),NOT(ISNUMBER($B$139))),"","Gerado pela recorrencia "&amp;$B$134)</f>
        <v/>
      </c>
    </row>
    <row r="152" customFormat="false" ht="15" hidden="false" customHeight="false" outlineLevel="0" collapsed="false">
      <c r="A152" s="26" t="str">
        <f aca="false">IF(OR(3&gt;N($B$140),NOT(ISNUMBER($B$139))),"",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)</f>
        <v/>
      </c>
      <c r="B152" s="27" t="str">
        <f aca="false">IF(OR(3&gt;N($B$140),NOT(ISNUMBER($B$139))),"",$D$134)</f>
        <v/>
      </c>
      <c r="C152" s="27" t="str">
        <f aca="false">IF(OR(3&gt;N($B$140),NOT(ISNUMBER($B$139))),"",$B$135)</f>
        <v/>
      </c>
      <c r="D152" s="27" t="str">
        <f aca="false">IF(OR(3&gt;N($B$140),NOT(ISNUMBER($B$139))),"",IF(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&lt;=CFG_HOJE,"REALIZADO","PROJETADO"))</f>
        <v/>
      </c>
      <c r="E152" s="28" t="str">
        <f aca="false">IF(OR(3&gt;N($B$140),NOT(ISNUMBER($B$139))),"",$B$136)</f>
        <v/>
      </c>
      <c r="F152" s="27" t="str">
        <f aca="false">IF(OR(3&gt;N($B$140),NOT(ISNUMBER($B$139))),"",$B$143)</f>
        <v/>
      </c>
      <c r="G152" s="27" t="str">
        <f aca="false">IF(OR(3&gt;N($B$140),NOT(ISNUMBER($B$139))),"",$B$144)</f>
        <v/>
      </c>
      <c r="H152" s="27" t="str">
        <f aca="false">IF(OR(3&gt;N($B$140),NOT(ISNUMBER($B$139))),"",$B$145)</f>
        <v/>
      </c>
      <c r="I152" s="27" t="str">
        <f aca="false">IF(OR(3&gt;N($B$140),NOT(ISNUMBER($B$139))),"",$B$146)</f>
        <v/>
      </c>
      <c r="J152" s="27" t="str">
        <f aca="false">IF(OR(3&gt;N($B$140),NOT(ISNUMBER($B$139))),"",$B$141)</f>
        <v/>
      </c>
      <c r="K152" s="27" t="str">
        <f aca="false">IF(OR(3&gt;N($B$140),NOT(ISNUMBER($B$139))),"",$B$142)</f>
        <v/>
      </c>
      <c r="L152" s="27" t="str">
        <f aca="false">IF(OR(3&gt;N($B$140),NOT(ISNUMBER($B$139))),"",$B$147)</f>
        <v/>
      </c>
      <c r="M152" s="27" t="str">
        <f aca="false">""</f>
        <v/>
      </c>
      <c r="N152" s="27" t="str">
        <f aca="false">""</f>
        <v/>
      </c>
      <c r="O152" s="27" t="str">
        <f aca="false">""</f>
        <v/>
      </c>
      <c r="P152" s="27" t="str">
        <f aca="false">IF(OR(3&gt;N($B$140),NOT(ISNUMBER($B$139))),"",$B$134)</f>
        <v/>
      </c>
      <c r="Q152" s="27" t="str">
        <f aca="false">""</f>
        <v/>
      </c>
      <c r="R152" s="27" t="str">
        <f aca="false">IF(OR(3&gt;N($B$140),NOT(ISNUMBER($B$139))),"","Gerado pela recorrencia "&amp;$B$134)</f>
        <v/>
      </c>
    </row>
    <row r="153" customFormat="false" ht="15" hidden="false" customHeight="false" outlineLevel="0" collapsed="false">
      <c r="A153" s="26" t="str">
        <f aca="false">IF(OR(4&gt;N($B$140),NOT(ISNUMBER($B$139))),"",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)</f>
        <v/>
      </c>
      <c r="B153" s="27" t="str">
        <f aca="false">IF(OR(4&gt;N($B$140),NOT(ISNUMBER($B$139))),"",$D$134)</f>
        <v/>
      </c>
      <c r="C153" s="27" t="str">
        <f aca="false">IF(OR(4&gt;N($B$140),NOT(ISNUMBER($B$139))),"",$B$135)</f>
        <v/>
      </c>
      <c r="D153" s="27" t="str">
        <f aca="false">IF(OR(4&gt;N($B$140),NOT(ISNUMBER($B$139))),"",IF(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&lt;=CFG_HOJE,"REALIZADO","PROJETADO"))</f>
        <v/>
      </c>
      <c r="E153" s="28" t="str">
        <f aca="false">IF(OR(4&gt;N($B$140),NOT(ISNUMBER($B$139))),"",$B$136)</f>
        <v/>
      </c>
      <c r="F153" s="27" t="str">
        <f aca="false">IF(OR(4&gt;N($B$140),NOT(ISNUMBER($B$139))),"",$B$143)</f>
        <v/>
      </c>
      <c r="G153" s="27" t="str">
        <f aca="false">IF(OR(4&gt;N($B$140),NOT(ISNUMBER($B$139))),"",$B$144)</f>
        <v/>
      </c>
      <c r="H153" s="27" t="str">
        <f aca="false">IF(OR(4&gt;N($B$140),NOT(ISNUMBER($B$139))),"",$B$145)</f>
        <v/>
      </c>
      <c r="I153" s="27" t="str">
        <f aca="false">IF(OR(4&gt;N($B$140),NOT(ISNUMBER($B$139))),"",$B$146)</f>
        <v/>
      </c>
      <c r="J153" s="27" t="str">
        <f aca="false">IF(OR(4&gt;N($B$140),NOT(ISNUMBER($B$139))),"",$B$141)</f>
        <v/>
      </c>
      <c r="K153" s="27" t="str">
        <f aca="false">IF(OR(4&gt;N($B$140),NOT(ISNUMBER($B$139))),"",$B$142)</f>
        <v/>
      </c>
      <c r="L153" s="27" t="str">
        <f aca="false">IF(OR(4&gt;N($B$140),NOT(ISNUMBER($B$139))),"",$B$147)</f>
        <v/>
      </c>
      <c r="M153" s="27" t="str">
        <f aca="false">""</f>
        <v/>
      </c>
      <c r="N153" s="27" t="str">
        <f aca="false">""</f>
        <v/>
      </c>
      <c r="O153" s="27" t="str">
        <f aca="false">""</f>
        <v/>
      </c>
      <c r="P153" s="27" t="str">
        <f aca="false">IF(OR(4&gt;N($B$140),NOT(ISNUMBER($B$139))),"",$B$134)</f>
        <v/>
      </c>
      <c r="Q153" s="27" t="str">
        <f aca="false">""</f>
        <v/>
      </c>
      <c r="R153" s="27" t="str">
        <f aca="false">IF(OR(4&gt;N($B$140),NOT(ISNUMBER($B$139))),"","Gerado pela recorrencia "&amp;$B$134)</f>
        <v/>
      </c>
    </row>
    <row r="154" customFormat="false" ht="15" hidden="false" customHeight="false" outlineLevel="0" collapsed="false">
      <c r="A154" s="26" t="str">
        <f aca="false">IF(OR(5&gt;N($B$140),NOT(ISNUMBER($B$139))),"",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)</f>
        <v/>
      </c>
      <c r="B154" s="27" t="str">
        <f aca="false">IF(OR(5&gt;N($B$140),NOT(ISNUMBER($B$139))),"",$D$134)</f>
        <v/>
      </c>
      <c r="C154" s="27" t="str">
        <f aca="false">IF(OR(5&gt;N($B$140),NOT(ISNUMBER($B$139))),"",$B$135)</f>
        <v/>
      </c>
      <c r="D154" s="27" t="str">
        <f aca="false">IF(OR(5&gt;N($B$140),NOT(ISNUMBER($B$139))),"",IF(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&lt;=CFG_HOJE,"REALIZADO","PROJETADO"))</f>
        <v/>
      </c>
      <c r="E154" s="28" t="str">
        <f aca="false">IF(OR(5&gt;N($B$140),NOT(ISNUMBER($B$139))),"",$B$136)</f>
        <v/>
      </c>
      <c r="F154" s="27" t="str">
        <f aca="false">IF(OR(5&gt;N($B$140),NOT(ISNUMBER($B$139))),"",$B$143)</f>
        <v/>
      </c>
      <c r="G154" s="27" t="str">
        <f aca="false">IF(OR(5&gt;N($B$140),NOT(ISNUMBER($B$139))),"",$B$144)</f>
        <v/>
      </c>
      <c r="H154" s="27" t="str">
        <f aca="false">IF(OR(5&gt;N($B$140),NOT(ISNUMBER($B$139))),"",$B$145)</f>
        <v/>
      </c>
      <c r="I154" s="27" t="str">
        <f aca="false">IF(OR(5&gt;N($B$140),NOT(ISNUMBER($B$139))),"",$B$146)</f>
        <v/>
      </c>
      <c r="J154" s="27" t="str">
        <f aca="false">IF(OR(5&gt;N($B$140),NOT(ISNUMBER($B$139))),"",$B$141)</f>
        <v/>
      </c>
      <c r="K154" s="27" t="str">
        <f aca="false">IF(OR(5&gt;N($B$140),NOT(ISNUMBER($B$139))),"",$B$142)</f>
        <v/>
      </c>
      <c r="L154" s="27" t="str">
        <f aca="false">IF(OR(5&gt;N($B$140),NOT(ISNUMBER($B$139))),"",$B$147)</f>
        <v/>
      </c>
      <c r="M154" s="27" t="str">
        <f aca="false">""</f>
        <v/>
      </c>
      <c r="N154" s="27" t="str">
        <f aca="false">""</f>
        <v/>
      </c>
      <c r="O154" s="27" t="str">
        <f aca="false">""</f>
        <v/>
      </c>
      <c r="P154" s="27" t="str">
        <f aca="false">IF(OR(5&gt;N($B$140),NOT(ISNUMBER($B$139))),"",$B$134)</f>
        <v/>
      </c>
      <c r="Q154" s="27" t="str">
        <f aca="false">""</f>
        <v/>
      </c>
      <c r="R154" s="27" t="str">
        <f aca="false">IF(OR(5&gt;N($B$140),NOT(ISNUMBER($B$139))),"","Gerado pela recorrencia "&amp;$B$134)</f>
        <v/>
      </c>
    </row>
    <row r="155" customFormat="false" ht="15" hidden="false" customHeight="false" outlineLevel="0" collapsed="false">
      <c r="A155" s="26" t="str">
        <f aca="false">IF(OR(6&gt;N($B$140),NOT(ISNUMBER($B$139))),"",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)</f>
        <v/>
      </c>
      <c r="B155" s="27" t="str">
        <f aca="false">IF(OR(6&gt;N($B$140),NOT(ISNUMBER($B$139))),"",$D$134)</f>
        <v/>
      </c>
      <c r="C155" s="27" t="str">
        <f aca="false">IF(OR(6&gt;N($B$140),NOT(ISNUMBER($B$139))),"",$B$135)</f>
        <v/>
      </c>
      <c r="D155" s="27" t="str">
        <f aca="false">IF(OR(6&gt;N($B$140),NOT(ISNUMBER($B$139))),"",IF(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&lt;=CFG_HOJE,"REALIZADO","PROJETADO"))</f>
        <v/>
      </c>
      <c r="E155" s="28" t="str">
        <f aca="false">IF(OR(6&gt;N($B$140),NOT(ISNUMBER($B$139))),"",$B$136)</f>
        <v/>
      </c>
      <c r="F155" s="27" t="str">
        <f aca="false">IF(OR(6&gt;N($B$140),NOT(ISNUMBER($B$139))),"",$B$143)</f>
        <v/>
      </c>
      <c r="G155" s="27" t="str">
        <f aca="false">IF(OR(6&gt;N($B$140),NOT(ISNUMBER($B$139))),"",$B$144)</f>
        <v/>
      </c>
      <c r="H155" s="27" t="str">
        <f aca="false">IF(OR(6&gt;N($B$140),NOT(ISNUMBER($B$139))),"",$B$145)</f>
        <v/>
      </c>
      <c r="I155" s="27" t="str">
        <f aca="false">IF(OR(6&gt;N($B$140),NOT(ISNUMBER($B$139))),"",$B$146)</f>
        <v/>
      </c>
      <c r="J155" s="27" t="str">
        <f aca="false">IF(OR(6&gt;N($B$140),NOT(ISNUMBER($B$139))),"",$B$141)</f>
        <v/>
      </c>
      <c r="K155" s="27" t="str">
        <f aca="false">IF(OR(6&gt;N($B$140),NOT(ISNUMBER($B$139))),"",$B$142)</f>
        <v/>
      </c>
      <c r="L155" s="27" t="str">
        <f aca="false">IF(OR(6&gt;N($B$140),NOT(ISNUMBER($B$139))),"",$B$147)</f>
        <v/>
      </c>
      <c r="M155" s="27" t="str">
        <f aca="false">""</f>
        <v/>
      </c>
      <c r="N155" s="27" t="str">
        <f aca="false">""</f>
        <v/>
      </c>
      <c r="O155" s="27" t="str">
        <f aca="false">""</f>
        <v/>
      </c>
      <c r="P155" s="27" t="str">
        <f aca="false">IF(OR(6&gt;N($B$140),NOT(ISNUMBER($B$139))),"",$B$134)</f>
        <v/>
      </c>
      <c r="Q155" s="27" t="str">
        <f aca="false">""</f>
        <v/>
      </c>
      <c r="R155" s="27" t="str">
        <f aca="false">IF(OR(6&gt;N($B$140),NOT(ISNUMBER($B$139))),"","Gerado pela recorrencia "&amp;$B$134)</f>
        <v/>
      </c>
    </row>
    <row r="156" customFormat="false" ht="15" hidden="false" customHeight="false" outlineLevel="0" collapsed="false">
      <c r="A156" s="26" t="str">
        <f aca="false">IF(OR(7&gt;N($B$140),NOT(ISNUMBER($B$139))),"",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)</f>
        <v/>
      </c>
      <c r="B156" s="27" t="str">
        <f aca="false">IF(OR(7&gt;N($B$140),NOT(ISNUMBER($B$139))),"",$D$134)</f>
        <v/>
      </c>
      <c r="C156" s="27" t="str">
        <f aca="false">IF(OR(7&gt;N($B$140),NOT(ISNUMBER($B$139))),"",$B$135)</f>
        <v/>
      </c>
      <c r="D156" s="27" t="str">
        <f aca="false">IF(OR(7&gt;N($B$140),NOT(ISNUMBER($B$139))),"",IF(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&lt;=CFG_HOJE,"REALIZADO","PROJETADO"))</f>
        <v/>
      </c>
      <c r="E156" s="28" t="str">
        <f aca="false">IF(OR(7&gt;N($B$140),NOT(ISNUMBER($B$139))),"",$B$136)</f>
        <v/>
      </c>
      <c r="F156" s="27" t="str">
        <f aca="false">IF(OR(7&gt;N($B$140),NOT(ISNUMBER($B$139))),"",$B$143)</f>
        <v/>
      </c>
      <c r="G156" s="27" t="str">
        <f aca="false">IF(OR(7&gt;N($B$140),NOT(ISNUMBER($B$139))),"",$B$144)</f>
        <v/>
      </c>
      <c r="H156" s="27" t="str">
        <f aca="false">IF(OR(7&gt;N($B$140),NOT(ISNUMBER($B$139))),"",$B$145)</f>
        <v/>
      </c>
      <c r="I156" s="27" t="str">
        <f aca="false">IF(OR(7&gt;N($B$140),NOT(ISNUMBER($B$139))),"",$B$146)</f>
        <v/>
      </c>
      <c r="J156" s="27" t="str">
        <f aca="false">IF(OR(7&gt;N($B$140),NOT(ISNUMBER($B$139))),"",$B$141)</f>
        <v/>
      </c>
      <c r="K156" s="27" t="str">
        <f aca="false">IF(OR(7&gt;N($B$140),NOT(ISNUMBER($B$139))),"",$B$142)</f>
        <v/>
      </c>
      <c r="L156" s="27" t="str">
        <f aca="false">IF(OR(7&gt;N($B$140),NOT(ISNUMBER($B$139))),"",$B$147)</f>
        <v/>
      </c>
      <c r="M156" s="27" t="str">
        <f aca="false">""</f>
        <v/>
      </c>
      <c r="N156" s="27" t="str">
        <f aca="false">""</f>
        <v/>
      </c>
      <c r="O156" s="27" t="str">
        <f aca="false">""</f>
        <v/>
      </c>
      <c r="P156" s="27" t="str">
        <f aca="false">IF(OR(7&gt;N($B$140),NOT(ISNUMBER($B$139))),"",$B$134)</f>
        <v/>
      </c>
      <c r="Q156" s="27" t="str">
        <f aca="false">""</f>
        <v/>
      </c>
      <c r="R156" s="27" t="str">
        <f aca="false">IF(OR(7&gt;N($B$140),NOT(ISNUMBER($B$139))),"","Gerado pela recorrencia "&amp;$B$134)</f>
        <v/>
      </c>
    </row>
    <row r="157" customFormat="false" ht="15" hidden="false" customHeight="false" outlineLevel="0" collapsed="false">
      <c r="A157" s="26" t="str">
        <f aca="false">IF(OR(8&gt;N($B$140),NOT(ISNUMBER($B$139))),"",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)</f>
        <v/>
      </c>
      <c r="B157" s="27" t="str">
        <f aca="false">IF(OR(8&gt;N($B$140),NOT(ISNUMBER($B$139))),"",$D$134)</f>
        <v/>
      </c>
      <c r="C157" s="27" t="str">
        <f aca="false">IF(OR(8&gt;N($B$140),NOT(ISNUMBER($B$139))),"",$B$135)</f>
        <v/>
      </c>
      <c r="D157" s="27" t="str">
        <f aca="false">IF(OR(8&gt;N($B$140),NOT(ISNUMBER($B$139))),"",IF(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&lt;=CFG_HOJE,"REALIZADO","PROJETADO"))</f>
        <v/>
      </c>
      <c r="E157" s="28" t="str">
        <f aca="false">IF(OR(8&gt;N($B$140),NOT(ISNUMBER($B$139))),"",$B$136)</f>
        <v/>
      </c>
      <c r="F157" s="27" t="str">
        <f aca="false">IF(OR(8&gt;N($B$140),NOT(ISNUMBER($B$139))),"",$B$143)</f>
        <v/>
      </c>
      <c r="G157" s="27" t="str">
        <f aca="false">IF(OR(8&gt;N($B$140),NOT(ISNUMBER($B$139))),"",$B$144)</f>
        <v/>
      </c>
      <c r="H157" s="27" t="str">
        <f aca="false">IF(OR(8&gt;N($B$140),NOT(ISNUMBER($B$139))),"",$B$145)</f>
        <v/>
      </c>
      <c r="I157" s="27" t="str">
        <f aca="false">IF(OR(8&gt;N($B$140),NOT(ISNUMBER($B$139))),"",$B$146)</f>
        <v/>
      </c>
      <c r="J157" s="27" t="str">
        <f aca="false">IF(OR(8&gt;N($B$140),NOT(ISNUMBER($B$139))),"",$B$141)</f>
        <v/>
      </c>
      <c r="K157" s="27" t="str">
        <f aca="false">IF(OR(8&gt;N($B$140),NOT(ISNUMBER($B$139))),"",$B$142)</f>
        <v/>
      </c>
      <c r="L157" s="27" t="str">
        <f aca="false">IF(OR(8&gt;N($B$140),NOT(ISNUMBER($B$139))),"",$B$147)</f>
        <v/>
      </c>
      <c r="M157" s="27" t="str">
        <f aca="false">""</f>
        <v/>
      </c>
      <c r="N157" s="27" t="str">
        <f aca="false">""</f>
        <v/>
      </c>
      <c r="O157" s="27" t="str">
        <f aca="false">""</f>
        <v/>
      </c>
      <c r="P157" s="27" t="str">
        <f aca="false">IF(OR(8&gt;N($B$140),NOT(ISNUMBER($B$139))),"",$B$134)</f>
        <v/>
      </c>
      <c r="Q157" s="27" t="str">
        <f aca="false">""</f>
        <v/>
      </c>
      <c r="R157" s="27" t="str">
        <f aca="false">IF(OR(8&gt;N($B$140),NOT(ISNUMBER($B$139))),"","Gerado pela recorrencia "&amp;$B$134)</f>
        <v/>
      </c>
    </row>
    <row r="158" customFormat="false" ht="15" hidden="false" customHeight="false" outlineLevel="0" collapsed="false">
      <c r="A158" s="26" t="str">
        <f aca="false">IF(OR(9&gt;N($B$140),NOT(ISNUMBER($B$139))),"",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)</f>
        <v/>
      </c>
      <c r="B158" s="27" t="str">
        <f aca="false">IF(OR(9&gt;N($B$140),NOT(ISNUMBER($B$139))),"",$D$134)</f>
        <v/>
      </c>
      <c r="C158" s="27" t="str">
        <f aca="false">IF(OR(9&gt;N($B$140),NOT(ISNUMBER($B$139))),"",$B$135)</f>
        <v/>
      </c>
      <c r="D158" s="27" t="str">
        <f aca="false">IF(OR(9&gt;N($B$140),NOT(ISNUMBER($B$139))),"",IF(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&lt;=CFG_HOJE,"REALIZADO","PROJETADO"))</f>
        <v/>
      </c>
      <c r="E158" s="28" t="str">
        <f aca="false">IF(OR(9&gt;N($B$140),NOT(ISNUMBER($B$139))),"",$B$136)</f>
        <v/>
      </c>
      <c r="F158" s="27" t="str">
        <f aca="false">IF(OR(9&gt;N($B$140),NOT(ISNUMBER($B$139))),"",$B$143)</f>
        <v/>
      </c>
      <c r="G158" s="27" t="str">
        <f aca="false">IF(OR(9&gt;N($B$140),NOT(ISNUMBER($B$139))),"",$B$144)</f>
        <v/>
      </c>
      <c r="H158" s="27" t="str">
        <f aca="false">IF(OR(9&gt;N($B$140),NOT(ISNUMBER($B$139))),"",$B$145)</f>
        <v/>
      </c>
      <c r="I158" s="27" t="str">
        <f aca="false">IF(OR(9&gt;N($B$140),NOT(ISNUMBER($B$139))),"",$B$146)</f>
        <v/>
      </c>
      <c r="J158" s="27" t="str">
        <f aca="false">IF(OR(9&gt;N($B$140),NOT(ISNUMBER($B$139))),"",$B$141)</f>
        <v/>
      </c>
      <c r="K158" s="27" t="str">
        <f aca="false">IF(OR(9&gt;N($B$140),NOT(ISNUMBER($B$139))),"",$B$142)</f>
        <v/>
      </c>
      <c r="L158" s="27" t="str">
        <f aca="false">IF(OR(9&gt;N($B$140),NOT(ISNUMBER($B$139))),"",$B$147)</f>
        <v/>
      </c>
      <c r="M158" s="27" t="str">
        <f aca="false">""</f>
        <v/>
      </c>
      <c r="N158" s="27" t="str">
        <f aca="false">""</f>
        <v/>
      </c>
      <c r="O158" s="27" t="str">
        <f aca="false">""</f>
        <v/>
      </c>
      <c r="P158" s="27" t="str">
        <f aca="false">IF(OR(9&gt;N($B$140),NOT(ISNUMBER($B$139))),"",$B$134)</f>
        <v/>
      </c>
      <c r="Q158" s="27" t="str">
        <f aca="false">""</f>
        <v/>
      </c>
      <c r="R158" s="27" t="str">
        <f aca="false">IF(OR(9&gt;N($B$140),NOT(ISNUMBER($B$139))),"","Gerado pela recorrencia "&amp;$B$134)</f>
        <v/>
      </c>
    </row>
    <row r="159" customFormat="false" ht="15" hidden="false" customHeight="false" outlineLevel="0" collapsed="false">
      <c r="A159" s="26" t="str">
        <f aca="false">IF(OR(10&gt;N($B$140),NOT(ISNUMBER($B$139))),"",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)</f>
        <v/>
      </c>
      <c r="B159" s="27" t="str">
        <f aca="false">IF(OR(10&gt;N($B$140),NOT(ISNUMBER($B$139))),"",$D$134)</f>
        <v/>
      </c>
      <c r="C159" s="27" t="str">
        <f aca="false">IF(OR(10&gt;N($B$140),NOT(ISNUMBER($B$139))),"",$B$135)</f>
        <v/>
      </c>
      <c r="D159" s="27" t="str">
        <f aca="false">IF(OR(10&gt;N($B$140),NOT(ISNUMBER($B$139))),"",IF(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&lt;=CFG_HOJE,"REALIZADO","PROJETADO"))</f>
        <v/>
      </c>
      <c r="E159" s="28" t="str">
        <f aca="false">IF(OR(10&gt;N($B$140),NOT(ISNUMBER($B$139))),"",$B$136)</f>
        <v/>
      </c>
      <c r="F159" s="27" t="str">
        <f aca="false">IF(OR(10&gt;N($B$140),NOT(ISNUMBER($B$139))),"",$B$143)</f>
        <v/>
      </c>
      <c r="G159" s="27" t="str">
        <f aca="false">IF(OR(10&gt;N($B$140),NOT(ISNUMBER($B$139))),"",$B$144)</f>
        <v/>
      </c>
      <c r="H159" s="27" t="str">
        <f aca="false">IF(OR(10&gt;N($B$140),NOT(ISNUMBER($B$139))),"",$B$145)</f>
        <v/>
      </c>
      <c r="I159" s="27" t="str">
        <f aca="false">IF(OR(10&gt;N($B$140),NOT(ISNUMBER($B$139))),"",$B$146)</f>
        <v/>
      </c>
      <c r="J159" s="27" t="str">
        <f aca="false">IF(OR(10&gt;N($B$140),NOT(ISNUMBER($B$139))),"",$B$141)</f>
        <v/>
      </c>
      <c r="K159" s="27" t="str">
        <f aca="false">IF(OR(10&gt;N($B$140),NOT(ISNUMBER($B$139))),"",$B$142)</f>
        <v/>
      </c>
      <c r="L159" s="27" t="str">
        <f aca="false">IF(OR(10&gt;N($B$140),NOT(ISNUMBER($B$139))),"",$B$147)</f>
        <v/>
      </c>
      <c r="M159" s="27" t="str">
        <f aca="false">""</f>
        <v/>
      </c>
      <c r="N159" s="27" t="str">
        <f aca="false">""</f>
        <v/>
      </c>
      <c r="O159" s="27" t="str">
        <f aca="false">""</f>
        <v/>
      </c>
      <c r="P159" s="27" t="str">
        <f aca="false">IF(OR(10&gt;N($B$140),NOT(ISNUMBER($B$139))),"",$B$134)</f>
        <v/>
      </c>
      <c r="Q159" s="27" t="str">
        <f aca="false">""</f>
        <v/>
      </c>
      <c r="R159" s="27" t="str">
        <f aca="false">IF(OR(10&gt;N($B$140),NOT(ISNUMBER($B$139))),"","Gerado pela recorrencia "&amp;$B$134)</f>
        <v/>
      </c>
    </row>
    <row r="160" customFormat="false" ht="15" hidden="false" customHeight="false" outlineLevel="0" collapsed="false">
      <c r="A160" s="26" t="str">
        <f aca="false">IF(OR(11&gt;N($B$140),NOT(ISNUMBER($B$139))),"",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)</f>
        <v/>
      </c>
      <c r="B160" s="27" t="str">
        <f aca="false">IF(OR(11&gt;N($B$140),NOT(ISNUMBER($B$139))),"",$D$134)</f>
        <v/>
      </c>
      <c r="C160" s="27" t="str">
        <f aca="false">IF(OR(11&gt;N($B$140),NOT(ISNUMBER($B$139))),"",$B$135)</f>
        <v/>
      </c>
      <c r="D160" s="27" t="str">
        <f aca="false">IF(OR(11&gt;N($B$140),NOT(ISNUMBER($B$139))),"",IF(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&lt;=CFG_HOJE,"REALIZADO","PROJETADO"))</f>
        <v/>
      </c>
      <c r="E160" s="28" t="str">
        <f aca="false">IF(OR(11&gt;N($B$140),NOT(ISNUMBER($B$139))),"",$B$136)</f>
        <v/>
      </c>
      <c r="F160" s="27" t="str">
        <f aca="false">IF(OR(11&gt;N($B$140),NOT(ISNUMBER($B$139))),"",$B$143)</f>
        <v/>
      </c>
      <c r="G160" s="27" t="str">
        <f aca="false">IF(OR(11&gt;N($B$140),NOT(ISNUMBER($B$139))),"",$B$144)</f>
        <v/>
      </c>
      <c r="H160" s="27" t="str">
        <f aca="false">IF(OR(11&gt;N($B$140),NOT(ISNUMBER($B$139))),"",$B$145)</f>
        <v/>
      </c>
      <c r="I160" s="27" t="str">
        <f aca="false">IF(OR(11&gt;N($B$140),NOT(ISNUMBER($B$139))),"",$B$146)</f>
        <v/>
      </c>
      <c r="J160" s="27" t="str">
        <f aca="false">IF(OR(11&gt;N($B$140),NOT(ISNUMBER($B$139))),"",$B$141)</f>
        <v/>
      </c>
      <c r="K160" s="27" t="str">
        <f aca="false">IF(OR(11&gt;N($B$140),NOT(ISNUMBER($B$139))),"",$B$142)</f>
        <v/>
      </c>
      <c r="L160" s="27" t="str">
        <f aca="false">IF(OR(11&gt;N($B$140),NOT(ISNUMBER($B$139))),"",$B$147)</f>
        <v/>
      </c>
      <c r="M160" s="27" t="str">
        <f aca="false">""</f>
        <v/>
      </c>
      <c r="N160" s="27" t="str">
        <f aca="false">""</f>
        <v/>
      </c>
      <c r="O160" s="27" t="str">
        <f aca="false">""</f>
        <v/>
      </c>
      <c r="P160" s="27" t="str">
        <f aca="false">IF(OR(11&gt;N($B$140),NOT(ISNUMBER($B$139))),"",$B$134)</f>
        <v/>
      </c>
      <c r="Q160" s="27" t="str">
        <f aca="false">""</f>
        <v/>
      </c>
      <c r="R160" s="27" t="str">
        <f aca="false">IF(OR(11&gt;N($B$140),NOT(ISNUMBER($B$139))),"","Gerado pela recorrencia "&amp;$B$134)</f>
        <v/>
      </c>
    </row>
    <row r="161" customFormat="false" ht="15" hidden="false" customHeight="false" outlineLevel="0" collapsed="false">
      <c r="A161" s="26" t="str">
        <f aca="false">IF(OR(12&gt;N($B$140),NOT(ISNUMBER($B$139))),"",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)</f>
        <v/>
      </c>
      <c r="B161" s="27" t="str">
        <f aca="false">IF(OR(12&gt;N($B$140),NOT(ISNUMBER($B$139))),"",$D$134)</f>
        <v/>
      </c>
      <c r="C161" s="27" t="str">
        <f aca="false">IF(OR(12&gt;N($B$140),NOT(ISNUMBER($B$139))),"",$B$135)</f>
        <v/>
      </c>
      <c r="D161" s="27" t="str">
        <f aca="false">IF(OR(12&gt;N($B$140),NOT(ISNUMBER($B$139))),"",IF(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&lt;=CFG_HOJE,"REALIZADO","PROJETADO"))</f>
        <v/>
      </c>
      <c r="E161" s="28" t="str">
        <f aca="false">IF(OR(12&gt;N($B$140),NOT(ISNUMBER($B$139))),"",$B$136)</f>
        <v/>
      </c>
      <c r="F161" s="27" t="str">
        <f aca="false">IF(OR(12&gt;N($B$140),NOT(ISNUMBER($B$139))),"",$B$143)</f>
        <v/>
      </c>
      <c r="G161" s="27" t="str">
        <f aca="false">IF(OR(12&gt;N($B$140),NOT(ISNUMBER($B$139))),"",$B$144)</f>
        <v/>
      </c>
      <c r="H161" s="27" t="str">
        <f aca="false">IF(OR(12&gt;N($B$140),NOT(ISNUMBER($B$139))),"",$B$145)</f>
        <v/>
      </c>
      <c r="I161" s="27" t="str">
        <f aca="false">IF(OR(12&gt;N($B$140),NOT(ISNUMBER($B$139))),"",$B$146)</f>
        <v/>
      </c>
      <c r="J161" s="27" t="str">
        <f aca="false">IF(OR(12&gt;N($B$140),NOT(ISNUMBER($B$139))),"",$B$141)</f>
        <v/>
      </c>
      <c r="K161" s="27" t="str">
        <f aca="false">IF(OR(12&gt;N($B$140),NOT(ISNUMBER($B$139))),"",$B$142)</f>
        <v/>
      </c>
      <c r="L161" s="27" t="str">
        <f aca="false">IF(OR(12&gt;N($B$140),NOT(ISNUMBER($B$139))),"",$B$147)</f>
        <v/>
      </c>
      <c r="M161" s="27" t="str">
        <f aca="false">""</f>
        <v/>
      </c>
      <c r="N161" s="27" t="str">
        <f aca="false">""</f>
        <v/>
      </c>
      <c r="O161" s="27" t="str">
        <f aca="false">""</f>
        <v/>
      </c>
      <c r="P161" s="27" t="str">
        <f aca="false">IF(OR(12&gt;N($B$140),NOT(ISNUMBER($B$139))),"",$B$134)</f>
        <v/>
      </c>
      <c r="Q161" s="27" t="str">
        <f aca="false">""</f>
        <v/>
      </c>
      <c r="R161" s="27" t="str">
        <f aca="false">IF(OR(12&gt;N($B$140),NOT(ISNUMBER($B$139))),"","Gerado pela recorrencia "&amp;$B$134)</f>
        <v/>
      </c>
    </row>
    <row r="162" customFormat="false" ht="15" hidden="false" customHeight="false" outlineLevel="0" collapsed="false">
      <c r="A162" s="26" t="str">
        <f aca="false">IF(OR(13&gt;N($B$140),NOT(ISNUMBER($B$139))),"",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)</f>
        <v/>
      </c>
      <c r="B162" s="27" t="str">
        <f aca="false">IF(OR(13&gt;N($B$140),NOT(ISNUMBER($B$139))),"",$D$134)</f>
        <v/>
      </c>
      <c r="C162" s="27" t="str">
        <f aca="false">IF(OR(13&gt;N($B$140),NOT(ISNUMBER($B$139))),"",$B$135)</f>
        <v/>
      </c>
      <c r="D162" s="27" t="str">
        <f aca="false">IF(OR(13&gt;N($B$140),NOT(ISNUMBER($B$139))),"",IF(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&lt;=CFG_HOJE,"REALIZADO","PROJETADO"))</f>
        <v/>
      </c>
      <c r="E162" s="28" t="str">
        <f aca="false">IF(OR(13&gt;N($B$140),NOT(ISNUMBER($B$139))),"",$B$136)</f>
        <v/>
      </c>
      <c r="F162" s="27" t="str">
        <f aca="false">IF(OR(13&gt;N($B$140),NOT(ISNUMBER($B$139))),"",$B$143)</f>
        <v/>
      </c>
      <c r="G162" s="27" t="str">
        <f aca="false">IF(OR(13&gt;N($B$140),NOT(ISNUMBER($B$139))),"",$B$144)</f>
        <v/>
      </c>
      <c r="H162" s="27" t="str">
        <f aca="false">IF(OR(13&gt;N($B$140),NOT(ISNUMBER($B$139))),"",$B$145)</f>
        <v/>
      </c>
      <c r="I162" s="27" t="str">
        <f aca="false">IF(OR(13&gt;N($B$140),NOT(ISNUMBER($B$139))),"",$B$146)</f>
        <v/>
      </c>
      <c r="J162" s="27" t="str">
        <f aca="false">IF(OR(13&gt;N($B$140),NOT(ISNUMBER($B$139))),"",$B$141)</f>
        <v/>
      </c>
      <c r="K162" s="27" t="str">
        <f aca="false">IF(OR(13&gt;N($B$140),NOT(ISNUMBER($B$139))),"",$B$142)</f>
        <v/>
      </c>
      <c r="L162" s="27" t="str">
        <f aca="false">IF(OR(13&gt;N($B$140),NOT(ISNUMBER($B$139))),"",$B$147)</f>
        <v/>
      </c>
      <c r="M162" s="27" t="str">
        <f aca="false">""</f>
        <v/>
      </c>
      <c r="N162" s="27" t="str">
        <f aca="false">""</f>
        <v/>
      </c>
      <c r="O162" s="27" t="str">
        <f aca="false">""</f>
        <v/>
      </c>
      <c r="P162" s="27" t="str">
        <f aca="false">IF(OR(13&gt;N($B$140),NOT(ISNUMBER($B$139))),"",$B$134)</f>
        <v/>
      </c>
      <c r="Q162" s="27" t="str">
        <f aca="false">""</f>
        <v/>
      </c>
      <c r="R162" s="27" t="str">
        <f aca="false">IF(OR(13&gt;N($B$140),NOT(ISNUMBER($B$139))),"","Gerado pela recorrencia "&amp;$B$134)</f>
        <v/>
      </c>
    </row>
    <row r="163" customFormat="false" ht="15" hidden="false" customHeight="false" outlineLevel="0" collapsed="false">
      <c r="A163" s="26" t="str">
        <f aca="false">IF(OR(14&gt;N($B$140),NOT(ISNUMBER($B$139))),"",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)</f>
        <v/>
      </c>
      <c r="B163" s="27" t="str">
        <f aca="false">IF(OR(14&gt;N($B$140),NOT(ISNUMBER($B$139))),"",$D$134)</f>
        <v/>
      </c>
      <c r="C163" s="27" t="str">
        <f aca="false">IF(OR(14&gt;N($B$140),NOT(ISNUMBER($B$139))),"",$B$135)</f>
        <v/>
      </c>
      <c r="D163" s="27" t="str">
        <f aca="false">IF(OR(14&gt;N($B$140),NOT(ISNUMBER($B$139))),"",IF(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&lt;=CFG_HOJE,"REALIZADO","PROJETADO"))</f>
        <v/>
      </c>
      <c r="E163" s="28" t="str">
        <f aca="false">IF(OR(14&gt;N($B$140),NOT(ISNUMBER($B$139))),"",$B$136)</f>
        <v/>
      </c>
      <c r="F163" s="27" t="str">
        <f aca="false">IF(OR(14&gt;N($B$140),NOT(ISNUMBER($B$139))),"",$B$143)</f>
        <v/>
      </c>
      <c r="G163" s="27" t="str">
        <f aca="false">IF(OR(14&gt;N($B$140),NOT(ISNUMBER($B$139))),"",$B$144)</f>
        <v/>
      </c>
      <c r="H163" s="27" t="str">
        <f aca="false">IF(OR(14&gt;N($B$140),NOT(ISNUMBER($B$139))),"",$B$145)</f>
        <v/>
      </c>
      <c r="I163" s="27" t="str">
        <f aca="false">IF(OR(14&gt;N($B$140),NOT(ISNUMBER($B$139))),"",$B$146)</f>
        <v/>
      </c>
      <c r="J163" s="27" t="str">
        <f aca="false">IF(OR(14&gt;N($B$140),NOT(ISNUMBER($B$139))),"",$B$141)</f>
        <v/>
      </c>
      <c r="K163" s="27" t="str">
        <f aca="false">IF(OR(14&gt;N($B$140),NOT(ISNUMBER($B$139))),"",$B$142)</f>
        <v/>
      </c>
      <c r="L163" s="27" t="str">
        <f aca="false">IF(OR(14&gt;N($B$140),NOT(ISNUMBER($B$139))),"",$B$147)</f>
        <v/>
      </c>
      <c r="M163" s="27" t="str">
        <f aca="false">""</f>
        <v/>
      </c>
      <c r="N163" s="27" t="str">
        <f aca="false">""</f>
        <v/>
      </c>
      <c r="O163" s="27" t="str">
        <f aca="false">""</f>
        <v/>
      </c>
      <c r="P163" s="27" t="str">
        <f aca="false">IF(OR(14&gt;N($B$140),NOT(ISNUMBER($B$139))),"",$B$134)</f>
        <v/>
      </c>
      <c r="Q163" s="27" t="str">
        <f aca="false">""</f>
        <v/>
      </c>
      <c r="R163" s="27" t="str">
        <f aca="false">IF(OR(14&gt;N($B$140),NOT(ISNUMBER($B$139))),"","Gerado pela recorrencia "&amp;$B$134)</f>
        <v/>
      </c>
    </row>
    <row r="164" customFormat="false" ht="15" hidden="false" customHeight="false" outlineLevel="0" collapsed="false">
      <c r="A164" s="26" t="str">
        <f aca="false">IF(OR(15&gt;N($B$140),NOT(ISNUMBER($B$139))),"",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)</f>
        <v/>
      </c>
      <c r="B164" s="27" t="str">
        <f aca="false">IF(OR(15&gt;N($B$140),NOT(ISNUMBER($B$139))),"",$D$134)</f>
        <v/>
      </c>
      <c r="C164" s="27" t="str">
        <f aca="false">IF(OR(15&gt;N($B$140),NOT(ISNUMBER($B$139))),"",$B$135)</f>
        <v/>
      </c>
      <c r="D164" s="27" t="str">
        <f aca="false">IF(OR(15&gt;N($B$140),NOT(ISNUMBER($B$139))),"",IF(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&lt;=CFG_HOJE,"REALIZADO","PROJETADO"))</f>
        <v/>
      </c>
      <c r="E164" s="28" t="str">
        <f aca="false">IF(OR(15&gt;N($B$140),NOT(ISNUMBER($B$139))),"",$B$136)</f>
        <v/>
      </c>
      <c r="F164" s="27" t="str">
        <f aca="false">IF(OR(15&gt;N($B$140),NOT(ISNUMBER($B$139))),"",$B$143)</f>
        <v/>
      </c>
      <c r="G164" s="27" t="str">
        <f aca="false">IF(OR(15&gt;N($B$140),NOT(ISNUMBER($B$139))),"",$B$144)</f>
        <v/>
      </c>
      <c r="H164" s="27" t="str">
        <f aca="false">IF(OR(15&gt;N($B$140),NOT(ISNUMBER($B$139))),"",$B$145)</f>
        <v/>
      </c>
      <c r="I164" s="27" t="str">
        <f aca="false">IF(OR(15&gt;N($B$140),NOT(ISNUMBER($B$139))),"",$B$146)</f>
        <v/>
      </c>
      <c r="J164" s="27" t="str">
        <f aca="false">IF(OR(15&gt;N($B$140),NOT(ISNUMBER($B$139))),"",$B$141)</f>
        <v/>
      </c>
      <c r="K164" s="27" t="str">
        <f aca="false">IF(OR(15&gt;N($B$140),NOT(ISNUMBER($B$139))),"",$B$142)</f>
        <v/>
      </c>
      <c r="L164" s="27" t="str">
        <f aca="false">IF(OR(15&gt;N($B$140),NOT(ISNUMBER($B$139))),"",$B$147)</f>
        <v/>
      </c>
      <c r="M164" s="27" t="str">
        <f aca="false">""</f>
        <v/>
      </c>
      <c r="N164" s="27" t="str">
        <f aca="false">""</f>
        <v/>
      </c>
      <c r="O164" s="27" t="str">
        <f aca="false">""</f>
        <v/>
      </c>
      <c r="P164" s="27" t="str">
        <f aca="false">IF(OR(15&gt;N($B$140),NOT(ISNUMBER($B$139))),"",$B$134)</f>
        <v/>
      </c>
      <c r="Q164" s="27" t="str">
        <f aca="false">""</f>
        <v/>
      </c>
      <c r="R164" s="27" t="str">
        <f aca="false">IF(OR(15&gt;N($B$140),NOT(ISNUMBER($B$139))),"","Gerado pela recorrencia "&amp;$B$134)</f>
        <v/>
      </c>
    </row>
    <row r="165" customFormat="false" ht="15" hidden="false" customHeight="false" outlineLevel="0" collapsed="false">
      <c r="A165" s="26" t="str">
        <f aca="false">IF(OR(16&gt;N($B$140),NOT(ISNUMBER($B$139))),"",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)</f>
        <v/>
      </c>
      <c r="B165" s="27" t="str">
        <f aca="false">IF(OR(16&gt;N($B$140),NOT(ISNUMBER($B$139))),"",$D$134)</f>
        <v/>
      </c>
      <c r="C165" s="27" t="str">
        <f aca="false">IF(OR(16&gt;N($B$140),NOT(ISNUMBER($B$139))),"",$B$135)</f>
        <v/>
      </c>
      <c r="D165" s="27" t="str">
        <f aca="false">IF(OR(16&gt;N($B$140),NOT(ISNUMBER($B$139))),"",IF(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&lt;=CFG_HOJE,"REALIZADO","PROJETADO"))</f>
        <v/>
      </c>
      <c r="E165" s="28" t="str">
        <f aca="false">IF(OR(16&gt;N($B$140),NOT(ISNUMBER($B$139))),"",$B$136)</f>
        <v/>
      </c>
      <c r="F165" s="27" t="str">
        <f aca="false">IF(OR(16&gt;N($B$140),NOT(ISNUMBER($B$139))),"",$B$143)</f>
        <v/>
      </c>
      <c r="G165" s="27" t="str">
        <f aca="false">IF(OR(16&gt;N($B$140),NOT(ISNUMBER($B$139))),"",$B$144)</f>
        <v/>
      </c>
      <c r="H165" s="27" t="str">
        <f aca="false">IF(OR(16&gt;N($B$140),NOT(ISNUMBER($B$139))),"",$B$145)</f>
        <v/>
      </c>
      <c r="I165" s="27" t="str">
        <f aca="false">IF(OR(16&gt;N($B$140),NOT(ISNUMBER($B$139))),"",$B$146)</f>
        <v/>
      </c>
      <c r="J165" s="27" t="str">
        <f aca="false">IF(OR(16&gt;N($B$140),NOT(ISNUMBER($B$139))),"",$B$141)</f>
        <v/>
      </c>
      <c r="K165" s="27" t="str">
        <f aca="false">IF(OR(16&gt;N($B$140),NOT(ISNUMBER($B$139))),"",$B$142)</f>
        <v/>
      </c>
      <c r="L165" s="27" t="str">
        <f aca="false">IF(OR(16&gt;N($B$140),NOT(ISNUMBER($B$139))),"",$B$147)</f>
        <v/>
      </c>
      <c r="M165" s="27" t="str">
        <f aca="false">""</f>
        <v/>
      </c>
      <c r="N165" s="27" t="str">
        <f aca="false">""</f>
        <v/>
      </c>
      <c r="O165" s="27" t="str">
        <f aca="false">""</f>
        <v/>
      </c>
      <c r="P165" s="27" t="str">
        <f aca="false">IF(OR(16&gt;N($B$140),NOT(ISNUMBER($B$139))),"",$B$134)</f>
        <v/>
      </c>
      <c r="Q165" s="27" t="str">
        <f aca="false">""</f>
        <v/>
      </c>
      <c r="R165" s="27" t="str">
        <f aca="false">IF(OR(16&gt;N($B$140),NOT(ISNUMBER($B$139))),"","Gerado pela recorrencia "&amp;$B$134)</f>
        <v/>
      </c>
    </row>
    <row r="166" customFormat="false" ht="15" hidden="false" customHeight="false" outlineLevel="0" collapsed="false">
      <c r="A166" s="26" t="str">
        <f aca="false">IF(OR(17&gt;N($B$140),NOT(ISNUMBER($B$139))),"",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)</f>
        <v/>
      </c>
      <c r="B166" s="27" t="str">
        <f aca="false">IF(OR(17&gt;N($B$140),NOT(ISNUMBER($B$139))),"",$D$134)</f>
        <v/>
      </c>
      <c r="C166" s="27" t="str">
        <f aca="false">IF(OR(17&gt;N($B$140),NOT(ISNUMBER($B$139))),"",$B$135)</f>
        <v/>
      </c>
      <c r="D166" s="27" t="str">
        <f aca="false">IF(OR(17&gt;N($B$140),NOT(ISNUMBER($B$139))),"",IF(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&lt;=CFG_HOJE,"REALIZADO","PROJETADO"))</f>
        <v/>
      </c>
      <c r="E166" s="28" t="str">
        <f aca="false">IF(OR(17&gt;N($B$140),NOT(ISNUMBER($B$139))),"",$B$136)</f>
        <v/>
      </c>
      <c r="F166" s="27" t="str">
        <f aca="false">IF(OR(17&gt;N($B$140),NOT(ISNUMBER($B$139))),"",$B$143)</f>
        <v/>
      </c>
      <c r="G166" s="27" t="str">
        <f aca="false">IF(OR(17&gt;N($B$140),NOT(ISNUMBER($B$139))),"",$B$144)</f>
        <v/>
      </c>
      <c r="H166" s="27" t="str">
        <f aca="false">IF(OR(17&gt;N($B$140),NOT(ISNUMBER($B$139))),"",$B$145)</f>
        <v/>
      </c>
      <c r="I166" s="27" t="str">
        <f aca="false">IF(OR(17&gt;N($B$140),NOT(ISNUMBER($B$139))),"",$B$146)</f>
        <v/>
      </c>
      <c r="J166" s="27" t="str">
        <f aca="false">IF(OR(17&gt;N($B$140),NOT(ISNUMBER($B$139))),"",$B$141)</f>
        <v/>
      </c>
      <c r="K166" s="27" t="str">
        <f aca="false">IF(OR(17&gt;N($B$140),NOT(ISNUMBER($B$139))),"",$B$142)</f>
        <v/>
      </c>
      <c r="L166" s="27" t="str">
        <f aca="false">IF(OR(17&gt;N($B$140),NOT(ISNUMBER($B$139))),"",$B$147)</f>
        <v/>
      </c>
      <c r="M166" s="27" t="str">
        <f aca="false">""</f>
        <v/>
      </c>
      <c r="N166" s="27" t="str">
        <f aca="false">""</f>
        <v/>
      </c>
      <c r="O166" s="27" t="str">
        <f aca="false">""</f>
        <v/>
      </c>
      <c r="P166" s="27" t="str">
        <f aca="false">IF(OR(17&gt;N($B$140),NOT(ISNUMBER($B$139))),"",$B$134)</f>
        <v/>
      </c>
      <c r="Q166" s="27" t="str">
        <f aca="false">""</f>
        <v/>
      </c>
      <c r="R166" s="27" t="str">
        <f aca="false">IF(OR(17&gt;N($B$140),NOT(ISNUMBER($B$139))),"","Gerado pela recorrencia "&amp;$B$134)</f>
        <v/>
      </c>
    </row>
    <row r="167" customFormat="false" ht="15" hidden="false" customHeight="false" outlineLevel="0" collapsed="false">
      <c r="A167" s="26" t="str">
        <f aca="false">IF(OR(18&gt;N($B$140),NOT(ISNUMBER($B$139))),"",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)</f>
        <v/>
      </c>
      <c r="B167" s="27" t="str">
        <f aca="false">IF(OR(18&gt;N($B$140),NOT(ISNUMBER($B$139))),"",$D$134)</f>
        <v/>
      </c>
      <c r="C167" s="27" t="str">
        <f aca="false">IF(OR(18&gt;N($B$140),NOT(ISNUMBER($B$139))),"",$B$135)</f>
        <v/>
      </c>
      <c r="D167" s="27" t="str">
        <f aca="false">IF(OR(18&gt;N($B$140),NOT(ISNUMBER($B$139))),"",IF(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&lt;=CFG_HOJE,"REALIZADO","PROJETADO"))</f>
        <v/>
      </c>
      <c r="E167" s="28" t="str">
        <f aca="false">IF(OR(18&gt;N($B$140),NOT(ISNUMBER($B$139))),"",$B$136)</f>
        <v/>
      </c>
      <c r="F167" s="27" t="str">
        <f aca="false">IF(OR(18&gt;N($B$140),NOT(ISNUMBER($B$139))),"",$B$143)</f>
        <v/>
      </c>
      <c r="G167" s="27" t="str">
        <f aca="false">IF(OR(18&gt;N($B$140),NOT(ISNUMBER($B$139))),"",$B$144)</f>
        <v/>
      </c>
      <c r="H167" s="27" t="str">
        <f aca="false">IF(OR(18&gt;N($B$140),NOT(ISNUMBER($B$139))),"",$B$145)</f>
        <v/>
      </c>
      <c r="I167" s="27" t="str">
        <f aca="false">IF(OR(18&gt;N($B$140),NOT(ISNUMBER($B$139))),"",$B$146)</f>
        <v/>
      </c>
      <c r="J167" s="27" t="str">
        <f aca="false">IF(OR(18&gt;N($B$140),NOT(ISNUMBER($B$139))),"",$B$141)</f>
        <v/>
      </c>
      <c r="K167" s="27" t="str">
        <f aca="false">IF(OR(18&gt;N($B$140),NOT(ISNUMBER($B$139))),"",$B$142)</f>
        <v/>
      </c>
      <c r="L167" s="27" t="str">
        <f aca="false">IF(OR(18&gt;N($B$140),NOT(ISNUMBER($B$139))),"",$B$147)</f>
        <v/>
      </c>
      <c r="M167" s="27" t="str">
        <f aca="false">""</f>
        <v/>
      </c>
      <c r="N167" s="27" t="str">
        <f aca="false">""</f>
        <v/>
      </c>
      <c r="O167" s="27" t="str">
        <f aca="false">""</f>
        <v/>
      </c>
      <c r="P167" s="27" t="str">
        <f aca="false">IF(OR(18&gt;N($B$140),NOT(ISNUMBER($B$139))),"",$B$134)</f>
        <v/>
      </c>
      <c r="Q167" s="27" t="str">
        <f aca="false">""</f>
        <v/>
      </c>
      <c r="R167" s="27" t="str">
        <f aca="false">IF(OR(18&gt;N($B$140),NOT(ISNUMBER($B$139))),"","Gerado pela recorrencia "&amp;$B$134)</f>
        <v/>
      </c>
    </row>
    <row r="168" customFormat="false" ht="15" hidden="false" customHeight="false" outlineLevel="0" collapsed="false">
      <c r="A168" s="26" t="str">
        <f aca="false">IF(OR(19&gt;N($B$140),NOT(ISNUMBER($B$139))),"",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)</f>
        <v/>
      </c>
      <c r="B168" s="27" t="str">
        <f aca="false">IF(OR(19&gt;N($B$140),NOT(ISNUMBER($B$139))),"",$D$134)</f>
        <v/>
      </c>
      <c r="C168" s="27" t="str">
        <f aca="false">IF(OR(19&gt;N($B$140),NOT(ISNUMBER($B$139))),"",$B$135)</f>
        <v/>
      </c>
      <c r="D168" s="27" t="str">
        <f aca="false">IF(OR(19&gt;N($B$140),NOT(ISNUMBER($B$139))),"",IF(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&lt;=CFG_HOJE,"REALIZADO","PROJETADO"))</f>
        <v/>
      </c>
      <c r="E168" s="28" t="str">
        <f aca="false">IF(OR(19&gt;N($B$140),NOT(ISNUMBER($B$139))),"",$B$136)</f>
        <v/>
      </c>
      <c r="F168" s="27" t="str">
        <f aca="false">IF(OR(19&gt;N($B$140),NOT(ISNUMBER($B$139))),"",$B$143)</f>
        <v/>
      </c>
      <c r="G168" s="27" t="str">
        <f aca="false">IF(OR(19&gt;N($B$140),NOT(ISNUMBER($B$139))),"",$B$144)</f>
        <v/>
      </c>
      <c r="H168" s="27" t="str">
        <f aca="false">IF(OR(19&gt;N($B$140),NOT(ISNUMBER($B$139))),"",$B$145)</f>
        <v/>
      </c>
      <c r="I168" s="27" t="str">
        <f aca="false">IF(OR(19&gt;N($B$140),NOT(ISNUMBER($B$139))),"",$B$146)</f>
        <v/>
      </c>
      <c r="J168" s="27" t="str">
        <f aca="false">IF(OR(19&gt;N($B$140),NOT(ISNUMBER($B$139))),"",$B$141)</f>
        <v/>
      </c>
      <c r="K168" s="27" t="str">
        <f aca="false">IF(OR(19&gt;N($B$140),NOT(ISNUMBER($B$139))),"",$B$142)</f>
        <v/>
      </c>
      <c r="L168" s="27" t="str">
        <f aca="false">IF(OR(19&gt;N($B$140),NOT(ISNUMBER($B$139))),"",$B$147)</f>
        <v/>
      </c>
      <c r="M168" s="27" t="str">
        <f aca="false">""</f>
        <v/>
      </c>
      <c r="N168" s="27" t="str">
        <f aca="false">""</f>
        <v/>
      </c>
      <c r="O168" s="27" t="str">
        <f aca="false">""</f>
        <v/>
      </c>
      <c r="P168" s="27" t="str">
        <f aca="false">IF(OR(19&gt;N($B$140),NOT(ISNUMBER($B$139))),"",$B$134)</f>
        <v/>
      </c>
      <c r="Q168" s="27" t="str">
        <f aca="false">""</f>
        <v/>
      </c>
      <c r="R168" s="27" t="str">
        <f aca="false">IF(OR(19&gt;N($B$140),NOT(ISNUMBER($B$139))),"","Gerado pela recorrencia "&amp;$B$134)</f>
        <v/>
      </c>
    </row>
    <row r="169" customFormat="false" ht="15" hidden="false" customHeight="false" outlineLevel="0" collapsed="false">
      <c r="A169" s="26" t="str">
        <f aca="false">IF(OR(20&gt;N($B$140),NOT(ISNUMBER($B$139))),"",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)</f>
        <v/>
      </c>
      <c r="B169" s="27" t="str">
        <f aca="false">IF(OR(20&gt;N($B$140),NOT(ISNUMBER($B$139))),"",$D$134)</f>
        <v/>
      </c>
      <c r="C169" s="27" t="str">
        <f aca="false">IF(OR(20&gt;N($B$140),NOT(ISNUMBER($B$139))),"",$B$135)</f>
        <v/>
      </c>
      <c r="D169" s="27" t="str">
        <f aca="false">IF(OR(20&gt;N($B$140),NOT(ISNUMBER($B$139))),"",IF(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&lt;=CFG_HOJE,"REALIZADO","PROJETADO"))</f>
        <v/>
      </c>
      <c r="E169" s="28" t="str">
        <f aca="false">IF(OR(20&gt;N($B$140),NOT(ISNUMBER($B$139))),"",$B$136)</f>
        <v/>
      </c>
      <c r="F169" s="27" t="str">
        <f aca="false">IF(OR(20&gt;N($B$140),NOT(ISNUMBER($B$139))),"",$B$143)</f>
        <v/>
      </c>
      <c r="G169" s="27" t="str">
        <f aca="false">IF(OR(20&gt;N($B$140),NOT(ISNUMBER($B$139))),"",$B$144)</f>
        <v/>
      </c>
      <c r="H169" s="27" t="str">
        <f aca="false">IF(OR(20&gt;N($B$140),NOT(ISNUMBER($B$139))),"",$B$145)</f>
        <v/>
      </c>
      <c r="I169" s="27" t="str">
        <f aca="false">IF(OR(20&gt;N($B$140),NOT(ISNUMBER($B$139))),"",$B$146)</f>
        <v/>
      </c>
      <c r="J169" s="27" t="str">
        <f aca="false">IF(OR(20&gt;N($B$140),NOT(ISNUMBER($B$139))),"",$B$141)</f>
        <v/>
      </c>
      <c r="K169" s="27" t="str">
        <f aca="false">IF(OR(20&gt;N($B$140),NOT(ISNUMBER($B$139))),"",$B$142)</f>
        <v/>
      </c>
      <c r="L169" s="27" t="str">
        <f aca="false">IF(OR(20&gt;N($B$140),NOT(ISNUMBER($B$139))),"",$B$147)</f>
        <v/>
      </c>
      <c r="M169" s="27" t="str">
        <f aca="false">""</f>
        <v/>
      </c>
      <c r="N169" s="27" t="str">
        <f aca="false">""</f>
        <v/>
      </c>
      <c r="O169" s="27" t="str">
        <f aca="false">""</f>
        <v/>
      </c>
      <c r="P169" s="27" t="str">
        <f aca="false">IF(OR(20&gt;N($B$140),NOT(ISNUMBER($B$139))),"",$B$134)</f>
        <v/>
      </c>
      <c r="Q169" s="27" t="str">
        <f aca="false">""</f>
        <v/>
      </c>
      <c r="R169" s="27" t="str">
        <f aca="false">IF(OR(20&gt;N($B$140),NOT(ISNUMBER($B$139))),"","Gerado pela recorrencia "&amp;$B$134)</f>
        <v/>
      </c>
    </row>
    <row r="170" customFormat="false" ht="15" hidden="false" customHeight="false" outlineLevel="0" collapsed="false">
      <c r="A170" s="26" t="str">
        <f aca="false">IF(OR(21&gt;N($B$140),NOT(ISNUMBER($B$139))),"",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)</f>
        <v/>
      </c>
      <c r="B170" s="27" t="str">
        <f aca="false">IF(OR(21&gt;N($B$140),NOT(ISNUMBER($B$139))),"",$D$134)</f>
        <v/>
      </c>
      <c r="C170" s="27" t="str">
        <f aca="false">IF(OR(21&gt;N($B$140),NOT(ISNUMBER($B$139))),"",$B$135)</f>
        <v/>
      </c>
      <c r="D170" s="27" t="str">
        <f aca="false">IF(OR(21&gt;N($B$140),NOT(ISNUMBER($B$139))),"",IF(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&lt;=CFG_HOJE,"REALIZADO","PROJETADO"))</f>
        <v/>
      </c>
      <c r="E170" s="28" t="str">
        <f aca="false">IF(OR(21&gt;N($B$140),NOT(ISNUMBER($B$139))),"",$B$136)</f>
        <v/>
      </c>
      <c r="F170" s="27" t="str">
        <f aca="false">IF(OR(21&gt;N($B$140),NOT(ISNUMBER($B$139))),"",$B$143)</f>
        <v/>
      </c>
      <c r="G170" s="27" t="str">
        <f aca="false">IF(OR(21&gt;N($B$140),NOT(ISNUMBER($B$139))),"",$B$144)</f>
        <v/>
      </c>
      <c r="H170" s="27" t="str">
        <f aca="false">IF(OR(21&gt;N($B$140),NOT(ISNUMBER($B$139))),"",$B$145)</f>
        <v/>
      </c>
      <c r="I170" s="27" t="str">
        <f aca="false">IF(OR(21&gt;N($B$140),NOT(ISNUMBER($B$139))),"",$B$146)</f>
        <v/>
      </c>
      <c r="J170" s="27" t="str">
        <f aca="false">IF(OR(21&gt;N($B$140),NOT(ISNUMBER($B$139))),"",$B$141)</f>
        <v/>
      </c>
      <c r="K170" s="27" t="str">
        <f aca="false">IF(OR(21&gt;N($B$140),NOT(ISNUMBER($B$139))),"",$B$142)</f>
        <v/>
      </c>
      <c r="L170" s="27" t="str">
        <f aca="false">IF(OR(21&gt;N($B$140),NOT(ISNUMBER($B$139))),"",$B$147)</f>
        <v/>
      </c>
      <c r="M170" s="27" t="str">
        <f aca="false">""</f>
        <v/>
      </c>
      <c r="N170" s="27" t="str">
        <f aca="false">""</f>
        <v/>
      </c>
      <c r="O170" s="27" t="str">
        <f aca="false">""</f>
        <v/>
      </c>
      <c r="P170" s="27" t="str">
        <f aca="false">IF(OR(21&gt;N($B$140),NOT(ISNUMBER($B$139))),"",$B$134)</f>
        <v/>
      </c>
      <c r="Q170" s="27" t="str">
        <f aca="false">""</f>
        <v/>
      </c>
      <c r="R170" s="27" t="str">
        <f aca="false">IF(OR(21&gt;N($B$140),NOT(ISNUMBER($B$139))),"","Gerado pela recorrencia "&amp;$B$134)</f>
        <v/>
      </c>
    </row>
    <row r="171" customFormat="false" ht="15" hidden="false" customHeight="false" outlineLevel="0" collapsed="false">
      <c r="A171" s="26" t="str">
        <f aca="false">IF(OR(22&gt;N($B$140),NOT(ISNUMBER($B$139))),"",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)</f>
        <v/>
      </c>
      <c r="B171" s="27" t="str">
        <f aca="false">IF(OR(22&gt;N($B$140),NOT(ISNUMBER($B$139))),"",$D$134)</f>
        <v/>
      </c>
      <c r="C171" s="27" t="str">
        <f aca="false">IF(OR(22&gt;N($B$140),NOT(ISNUMBER($B$139))),"",$B$135)</f>
        <v/>
      </c>
      <c r="D171" s="27" t="str">
        <f aca="false">IF(OR(22&gt;N($B$140),NOT(ISNUMBER($B$139))),"",IF(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&lt;=CFG_HOJE,"REALIZADO","PROJETADO"))</f>
        <v/>
      </c>
      <c r="E171" s="28" t="str">
        <f aca="false">IF(OR(22&gt;N($B$140),NOT(ISNUMBER($B$139))),"",$B$136)</f>
        <v/>
      </c>
      <c r="F171" s="27" t="str">
        <f aca="false">IF(OR(22&gt;N($B$140),NOT(ISNUMBER($B$139))),"",$B$143)</f>
        <v/>
      </c>
      <c r="G171" s="27" t="str">
        <f aca="false">IF(OR(22&gt;N($B$140),NOT(ISNUMBER($B$139))),"",$B$144)</f>
        <v/>
      </c>
      <c r="H171" s="27" t="str">
        <f aca="false">IF(OR(22&gt;N($B$140),NOT(ISNUMBER($B$139))),"",$B$145)</f>
        <v/>
      </c>
      <c r="I171" s="27" t="str">
        <f aca="false">IF(OR(22&gt;N($B$140),NOT(ISNUMBER($B$139))),"",$B$146)</f>
        <v/>
      </c>
      <c r="J171" s="27" t="str">
        <f aca="false">IF(OR(22&gt;N($B$140),NOT(ISNUMBER($B$139))),"",$B$141)</f>
        <v/>
      </c>
      <c r="K171" s="27" t="str">
        <f aca="false">IF(OR(22&gt;N($B$140),NOT(ISNUMBER($B$139))),"",$B$142)</f>
        <v/>
      </c>
      <c r="L171" s="27" t="str">
        <f aca="false">IF(OR(22&gt;N($B$140),NOT(ISNUMBER($B$139))),"",$B$147)</f>
        <v/>
      </c>
      <c r="M171" s="27" t="str">
        <f aca="false">""</f>
        <v/>
      </c>
      <c r="N171" s="27" t="str">
        <f aca="false">""</f>
        <v/>
      </c>
      <c r="O171" s="27" t="str">
        <f aca="false">""</f>
        <v/>
      </c>
      <c r="P171" s="27" t="str">
        <f aca="false">IF(OR(22&gt;N($B$140),NOT(ISNUMBER($B$139))),"",$B$134)</f>
        <v/>
      </c>
      <c r="Q171" s="27" t="str">
        <f aca="false">""</f>
        <v/>
      </c>
      <c r="R171" s="27" t="str">
        <f aca="false">IF(OR(22&gt;N($B$140),NOT(ISNUMBER($B$139))),"","Gerado pela recorrencia "&amp;$B$134)</f>
        <v/>
      </c>
    </row>
    <row r="172" customFormat="false" ht="15" hidden="false" customHeight="false" outlineLevel="0" collapsed="false">
      <c r="A172" s="26" t="str">
        <f aca="false">IF(OR(23&gt;N($B$140),NOT(ISNUMBER($B$139))),"",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)</f>
        <v/>
      </c>
      <c r="B172" s="27" t="str">
        <f aca="false">IF(OR(23&gt;N($B$140),NOT(ISNUMBER($B$139))),"",$D$134)</f>
        <v/>
      </c>
      <c r="C172" s="27" t="str">
        <f aca="false">IF(OR(23&gt;N($B$140),NOT(ISNUMBER($B$139))),"",$B$135)</f>
        <v/>
      </c>
      <c r="D172" s="27" t="str">
        <f aca="false">IF(OR(23&gt;N($B$140),NOT(ISNUMBER($B$139))),"",IF(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&lt;=CFG_HOJE,"REALIZADO","PROJETADO"))</f>
        <v/>
      </c>
      <c r="E172" s="28" t="str">
        <f aca="false">IF(OR(23&gt;N($B$140),NOT(ISNUMBER($B$139))),"",$B$136)</f>
        <v/>
      </c>
      <c r="F172" s="27" t="str">
        <f aca="false">IF(OR(23&gt;N($B$140),NOT(ISNUMBER($B$139))),"",$B$143)</f>
        <v/>
      </c>
      <c r="G172" s="27" t="str">
        <f aca="false">IF(OR(23&gt;N($B$140),NOT(ISNUMBER($B$139))),"",$B$144)</f>
        <v/>
      </c>
      <c r="H172" s="27" t="str">
        <f aca="false">IF(OR(23&gt;N($B$140),NOT(ISNUMBER($B$139))),"",$B$145)</f>
        <v/>
      </c>
      <c r="I172" s="27" t="str">
        <f aca="false">IF(OR(23&gt;N($B$140),NOT(ISNUMBER($B$139))),"",$B$146)</f>
        <v/>
      </c>
      <c r="J172" s="27" t="str">
        <f aca="false">IF(OR(23&gt;N($B$140),NOT(ISNUMBER($B$139))),"",$B$141)</f>
        <v/>
      </c>
      <c r="K172" s="27" t="str">
        <f aca="false">IF(OR(23&gt;N($B$140),NOT(ISNUMBER($B$139))),"",$B$142)</f>
        <v/>
      </c>
      <c r="L172" s="27" t="str">
        <f aca="false">IF(OR(23&gt;N($B$140),NOT(ISNUMBER($B$139))),"",$B$147)</f>
        <v/>
      </c>
      <c r="M172" s="27" t="str">
        <f aca="false">""</f>
        <v/>
      </c>
      <c r="N172" s="27" t="str">
        <f aca="false">""</f>
        <v/>
      </c>
      <c r="O172" s="27" t="str">
        <f aca="false">""</f>
        <v/>
      </c>
      <c r="P172" s="27" t="str">
        <f aca="false">IF(OR(23&gt;N($B$140),NOT(ISNUMBER($B$139))),"",$B$134)</f>
        <v/>
      </c>
      <c r="Q172" s="27" t="str">
        <f aca="false">""</f>
        <v/>
      </c>
      <c r="R172" s="27" t="str">
        <f aca="false">IF(OR(23&gt;N($B$140),NOT(ISNUMBER($B$139))),"","Gerado pela recorrencia "&amp;$B$134)</f>
        <v/>
      </c>
    </row>
    <row r="173" customFormat="false" ht="15" hidden="false" customHeight="false" outlineLevel="0" collapsed="false">
      <c r="A173" s="26" t="str">
        <f aca="false">IF(OR(24&gt;N($B$140),NOT(ISNUMBER($B$139))),"",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)</f>
        <v/>
      </c>
      <c r="B173" s="27" t="str">
        <f aca="false">IF(OR(24&gt;N($B$140),NOT(ISNUMBER($B$139))),"",$D$134)</f>
        <v/>
      </c>
      <c r="C173" s="27" t="str">
        <f aca="false">IF(OR(24&gt;N($B$140),NOT(ISNUMBER($B$139))),"",$B$135)</f>
        <v/>
      </c>
      <c r="D173" s="27" t="str">
        <f aca="false">IF(OR(24&gt;N($B$140),NOT(ISNUMBER($B$139))),"",IF(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&lt;=CFG_HOJE,"REALIZADO","PROJETADO"))</f>
        <v/>
      </c>
      <c r="E173" s="28" t="str">
        <f aca="false">IF(OR(24&gt;N($B$140),NOT(ISNUMBER($B$139))),"",$B$136)</f>
        <v/>
      </c>
      <c r="F173" s="27" t="str">
        <f aca="false">IF(OR(24&gt;N($B$140),NOT(ISNUMBER($B$139))),"",$B$143)</f>
        <v/>
      </c>
      <c r="G173" s="27" t="str">
        <f aca="false">IF(OR(24&gt;N($B$140),NOT(ISNUMBER($B$139))),"",$B$144)</f>
        <v/>
      </c>
      <c r="H173" s="27" t="str">
        <f aca="false">IF(OR(24&gt;N($B$140),NOT(ISNUMBER($B$139))),"",$B$145)</f>
        <v/>
      </c>
      <c r="I173" s="27" t="str">
        <f aca="false">IF(OR(24&gt;N($B$140),NOT(ISNUMBER($B$139))),"",$B$146)</f>
        <v/>
      </c>
      <c r="J173" s="27" t="str">
        <f aca="false">IF(OR(24&gt;N($B$140),NOT(ISNUMBER($B$139))),"",$B$141)</f>
        <v/>
      </c>
      <c r="K173" s="27" t="str">
        <f aca="false">IF(OR(24&gt;N($B$140),NOT(ISNUMBER($B$139))),"",$B$142)</f>
        <v/>
      </c>
      <c r="L173" s="27" t="str">
        <f aca="false">IF(OR(24&gt;N($B$140),NOT(ISNUMBER($B$139))),"",$B$147)</f>
        <v/>
      </c>
      <c r="M173" s="27" t="str">
        <f aca="false">""</f>
        <v/>
      </c>
      <c r="N173" s="27" t="str">
        <f aca="false">""</f>
        <v/>
      </c>
      <c r="O173" s="27" t="str">
        <f aca="false">""</f>
        <v/>
      </c>
      <c r="P173" s="27" t="str">
        <f aca="false">IF(OR(24&gt;N($B$140),NOT(ISNUMBER($B$139))),"",$B$134)</f>
        <v/>
      </c>
      <c r="Q173" s="27" t="str">
        <f aca="false">""</f>
        <v/>
      </c>
      <c r="R173" s="27" t="str">
        <f aca="false">IF(OR(24&gt;N($B$140),NOT(ISNUMBER($B$139))),"","Gerado pela recorrencia "&amp;$B$134)</f>
        <v/>
      </c>
    </row>
    <row r="174" customFormat="false" ht="15" hidden="false" customHeight="false" outlineLevel="0" collapsed="false">
      <c r="A174" s="26" t="str">
        <f aca="false">IF(OR(25&gt;N($B$140),NOT(ISNUMBER($B$139))),"",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)</f>
        <v/>
      </c>
      <c r="B174" s="27" t="str">
        <f aca="false">IF(OR(25&gt;N($B$140),NOT(ISNUMBER($B$139))),"",$D$134)</f>
        <v/>
      </c>
      <c r="C174" s="27" t="str">
        <f aca="false">IF(OR(25&gt;N($B$140),NOT(ISNUMBER($B$139))),"",$B$135)</f>
        <v/>
      </c>
      <c r="D174" s="27" t="str">
        <f aca="false">IF(OR(25&gt;N($B$140),NOT(ISNUMBER($B$139))),"",IF(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&lt;=CFG_HOJE,"REALIZADO","PROJETADO"))</f>
        <v/>
      </c>
      <c r="E174" s="28" t="str">
        <f aca="false">IF(OR(25&gt;N($B$140),NOT(ISNUMBER($B$139))),"",$B$136)</f>
        <v/>
      </c>
      <c r="F174" s="27" t="str">
        <f aca="false">IF(OR(25&gt;N($B$140),NOT(ISNUMBER($B$139))),"",$B$143)</f>
        <v/>
      </c>
      <c r="G174" s="27" t="str">
        <f aca="false">IF(OR(25&gt;N($B$140),NOT(ISNUMBER($B$139))),"",$B$144)</f>
        <v/>
      </c>
      <c r="H174" s="27" t="str">
        <f aca="false">IF(OR(25&gt;N($B$140),NOT(ISNUMBER($B$139))),"",$B$145)</f>
        <v/>
      </c>
      <c r="I174" s="27" t="str">
        <f aca="false">IF(OR(25&gt;N($B$140),NOT(ISNUMBER($B$139))),"",$B$146)</f>
        <v/>
      </c>
      <c r="J174" s="27" t="str">
        <f aca="false">IF(OR(25&gt;N($B$140),NOT(ISNUMBER($B$139))),"",$B$141)</f>
        <v/>
      </c>
      <c r="K174" s="27" t="str">
        <f aca="false">IF(OR(25&gt;N($B$140),NOT(ISNUMBER($B$139))),"",$B$142)</f>
        <v/>
      </c>
      <c r="L174" s="27" t="str">
        <f aca="false">IF(OR(25&gt;N($B$140),NOT(ISNUMBER($B$139))),"",$B$147)</f>
        <v/>
      </c>
      <c r="M174" s="27" t="str">
        <f aca="false">""</f>
        <v/>
      </c>
      <c r="N174" s="27" t="str">
        <f aca="false">""</f>
        <v/>
      </c>
      <c r="O174" s="27" t="str">
        <f aca="false">""</f>
        <v/>
      </c>
      <c r="P174" s="27" t="str">
        <f aca="false">IF(OR(25&gt;N($B$140),NOT(ISNUMBER($B$139))),"",$B$134)</f>
        <v/>
      </c>
      <c r="Q174" s="27" t="str">
        <f aca="false">""</f>
        <v/>
      </c>
      <c r="R174" s="27" t="str">
        <f aca="false">IF(OR(25&gt;N($B$140),NOT(ISNUMBER($B$139))),"","Gerado pela recorrencia "&amp;$B$134)</f>
        <v/>
      </c>
    </row>
    <row r="175" customFormat="false" ht="15" hidden="false" customHeight="false" outlineLevel="0" collapsed="false">
      <c r="A175" s="26" t="str">
        <f aca="false">IF(OR(26&gt;N($B$140),NOT(ISNUMBER($B$139))),"",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)</f>
        <v/>
      </c>
      <c r="B175" s="27" t="str">
        <f aca="false">IF(OR(26&gt;N($B$140),NOT(ISNUMBER($B$139))),"",$D$134)</f>
        <v/>
      </c>
      <c r="C175" s="27" t="str">
        <f aca="false">IF(OR(26&gt;N($B$140),NOT(ISNUMBER($B$139))),"",$B$135)</f>
        <v/>
      </c>
      <c r="D175" s="27" t="str">
        <f aca="false">IF(OR(26&gt;N($B$140),NOT(ISNUMBER($B$139))),"",IF(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&lt;=CFG_HOJE,"REALIZADO","PROJETADO"))</f>
        <v/>
      </c>
      <c r="E175" s="28" t="str">
        <f aca="false">IF(OR(26&gt;N($B$140),NOT(ISNUMBER($B$139))),"",$B$136)</f>
        <v/>
      </c>
      <c r="F175" s="27" t="str">
        <f aca="false">IF(OR(26&gt;N($B$140),NOT(ISNUMBER($B$139))),"",$B$143)</f>
        <v/>
      </c>
      <c r="G175" s="27" t="str">
        <f aca="false">IF(OR(26&gt;N($B$140),NOT(ISNUMBER($B$139))),"",$B$144)</f>
        <v/>
      </c>
      <c r="H175" s="27" t="str">
        <f aca="false">IF(OR(26&gt;N($B$140),NOT(ISNUMBER($B$139))),"",$B$145)</f>
        <v/>
      </c>
      <c r="I175" s="27" t="str">
        <f aca="false">IF(OR(26&gt;N($B$140),NOT(ISNUMBER($B$139))),"",$B$146)</f>
        <v/>
      </c>
      <c r="J175" s="27" t="str">
        <f aca="false">IF(OR(26&gt;N($B$140),NOT(ISNUMBER($B$139))),"",$B$141)</f>
        <v/>
      </c>
      <c r="K175" s="27" t="str">
        <f aca="false">IF(OR(26&gt;N($B$140),NOT(ISNUMBER($B$139))),"",$B$142)</f>
        <v/>
      </c>
      <c r="L175" s="27" t="str">
        <f aca="false">IF(OR(26&gt;N($B$140),NOT(ISNUMBER($B$139))),"",$B$147)</f>
        <v/>
      </c>
      <c r="M175" s="27" t="str">
        <f aca="false">""</f>
        <v/>
      </c>
      <c r="N175" s="27" t="str">
        <f aca="false">""</f>
        <v/>
      </c>
      <c r="O175" s="27" t="str">
        <f aca="false">""</f>
        <v/>
      </c>
      <c r="P175" s="27" t="str">
        <f aca="false">IF(OR(26&gt;N($B$140),NOT(ISNUMBER($B$139))),"",$B$134)</f>
        <v/>
      </c>
      <c r="Q175" s="27" t="str">
        <f aca="false">""</f>
        <v/>
      </c>
      <c r="R175" s="27" t="str">
        <f aca="false">IF(OR(26&gt;N($B$140),NOT(ISNUMBER($B$139))),"","Gerado pela recorrencia "&amp;$B$134)</f>
        <v/>
      </c>
    </row>
    <row r="176" customFormat="false" ht="15" hidden="false" customHeight="false" outlineLevel="0" collapsed="false">
      <c r="A176" s="26" t="str">
        <f aca="false">IF(OR(27&gt;N($B$140),NOT(ISNUMBER($B$139))),"",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)</f>
        <v/>
      </c>
      <c r="B176" s="27" t="str">
        <f aca="false">IF(OR(27&gt;N($B$140),NOT(ISNUMBER($B$139))),"",$D$134)</f>
        <v/>
      </c>
      <c r="C176" s="27" t="str">
        <f aca="false">IF(OR(27&gt;N($B$140),NOT(ISNUMBER($B$139))),"",$B$135)</f>
        <v/>
      </c>
      <c r="D176" s="27" t="str">
        <f aca="false">IF(OR(27&gt;N($B$140),NOT(ISNUMBER($B$139))),"",IF(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&lt;=CFG_HOJE,"REALIZADO","PROJETADO"))</f>
        <v/>
      </c>
      <c r="E176" s="28" t="str">
        <f aca="false">IF(OR(27&gt;N($B$140),NOT(ISNUMBER($B$139))),"",$B$136)</f>
        <v/>
      </c>
      <c r="F176" s="27" t="str">
        <f aca="false">IF(OR(27&gt;N($B$140),NOT(ISNUMBER($B$139))),"",$B$143)</f>
        <v/>
      </c>
      <c r="G176" s="27" t="str">
        <f aca="false">IF(OR(27&gt;N($B$140),NOT(ISNUMBER($B$139))),"",$B$144)</f>
        <v/>
      </c>
      <c r="H176" s="27" t="str">
        <f aca="false">IF(OR(27&gt;N($B$140),NOT(ISNUMBER($B$139))),"",$B$145)</f>
        <v/>
      </c>
      <c r="I176" s="27" t="str">
        <f aca="false">IF(OR(27&gt;N($B$140),NOT(ISNUMBER($B$139))),"",$B$146)</f>
        <v/>
      </c>
      <c r="J176" s="27" t="str">
        <f aca="false">IF(OR(27&gt;N($B$140),NOT(ISNUMBER($B$139))),"",$B$141)</f>
        <v/>
      </c>
      <c r="K176" s="27" t="str">
        <f aca="false">IF(OR(27&gt;N($B$140),NOT(ISNUMBER($B$139))),"",$B$142)</f>
        <v/>
      </c>
      <c r="L176" s="27" t="str">
        <f aca="false">IF(OR(27&gt;N($B$140),NOT(ISNUMBER($B$139))),"",$B$147)</f>
        <v/>
      </c>
      <c r="M176" s="27" t="str">
        <f aca="false">""</f>
        <v/>
      </c>
      <c r="N176" s="27" t="str">
        <f aca="false">""</f>
        <v/>
      </c>
      <c r="O176" s="27" t="str">
        <f aca="false">""</f>
        <v/>
      </c>
      <c r="P176" s="27" t="str">
        <f aca="false">IF(OR(27&gt;N($B$140),NOT(ISNUMBER($B$139))),"",$B$134)</f>
        <v/>
      </c>
      <c r="Q176" s="27" t="str">
        <f aca="false">""</f>
        <v/>
      </c>
      <c r="R176" s="27" t="str">
        <f aca="false">IF(OR(27&gt;N($B$140),NOT(ISNUMBER($B$139))),"","Gerado pela recorrencia "&amp;$B$134)</f>
        <v/>
      </c>
    </row>
    <row r="177" customFormat="false" ht="15" hidden="false" customHeight="false" outlineLevel="0" collapsed="false">
      <c r="A177" s="26" t="str">
        <f aca="false">IF(OR(28&gt;N($B$140),NOT(ISNUMBER($B$139))),"",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)</f>
        <v/>
      </c>
      <c r="B177" s="27" t="str">
        <f aca="false">IF(OR(28&gt;N($B$140),NOT(ISNUMBER($B$139))),"",$D$134)</f>
        <v/>
      </c>
      <c r="C177" s="27" t="str">
        <f aca="false">IF(OR(28&gt;N($B$140),NOT(ISNUMBER($B$139))),"",$B$135)</f>
        <v/>
      </c>
      <c r="D177" s="27" t="str">
        <f aca="false">IF(OR(28&gt;N($B$140),NOT(ISNUMBER($B$139))),"",IF(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&lt;=CFG_HOJE,"REALIZADO","PROJETADO"))</f>
        <v/>
      </c>
      <c r="E177" s="28" t="str">
        <f aca="false">IF(OR(28&gt;N($B$140),NOT(ISNUMBER($B$139))),"",$B$136)</f>
        <v/>
      </c>
      <c r="F177" s="27" t="str">
        <f aca="false">IF(OR(28&gt;N($B$140),NOT(ISNUMBER($B$139))),"",$B$143)</f>
        <v/>
      </c>
      <c r="G177" s="27" t="str">
        <f aca="false">IF(OR(28&gt;N($B$140),NOT(ISNUMBER($B$139))),"",$B$144)</f>
        <v/>
      </c>
      <c r="H177" s="27" t="str">
        <f aca="false">IF(OR(28&gt;N($B$140),NOT(ISNUMBER($B$139))),"",$B$145)</f>
        <v/>
      </c>
      <c r="I177" s="27" t="str">
        <f aca="false">IF(OR(28&gt;N($B$140),NOT(ISNUMBER($B$139))),"",$B$146)</f>
        <v/>
      </c>
      <c r="J177" s="27" t="str">
        <f aca="false">IF(OR(28&gt;N($B$140),NOT(ISNUMBER($B$139))),"",$B$141)</f>
        <v/>
      </c>
      <c r="K177" s="27" t="str">
        <f aca="false">IF(OR(28&gt;N($B$140),NOT(ISNUMBER($B$139))),"",$B$142)</f>
        <v/>
      </c>
      <c r="L177" s="27" t="str">
        <f aca="false">IF(OR(28&gt;N($B$140),NOT(ISNUMBER($B$139))),"",$B$147)</f>
        <v/>
      </c>
      <c r="M177" s="27" t="str">
        <f aca="false">""</f>
        <v/>
      </c>
      <c r="N177" s="27" t="str">
        <f aca="false">""</f>
        <v/>
      </c>
      <c r="O177" s="27" t="str">
        <f aca="false">""</f>
        <v/>
      </c>
      <c r="P177" s="27" t="str">
        <f aca="false">IF(OR(28&gt;N($B$140),NOT(ISNUMBER($B$139))),"",$B$134)</f>
        <v/>
      </c>
      <c r="Q177" s="27" t="str">
        <f aca="false">""</f>
        <v/>
      </c>
      <c r="R177" s="27" t="str">
        <f aca="false">IF(OR(28&gt;N($B$140),NOT(ISNUMBER($B$139))),"","Gerado pela recorrencia "&amp;$B$134)</f>
        <v/>
      </c>
    </row>
    <row r="178" customFormat="false" ht="15" hidden="false" customHeight="false" outlineLevel="0" collapsed="false">
      <c r="A178" s="26" t="str">
        <f aca="false">IF(OR(29&gt;N($B$140),NOT(ISNUMBER($B$139))),"",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)</f>
        <v/>
      </c>
      <c r="B178" s="27" t="str">
        <f aca="false">IF(OR(29&gt;N($B$140),NOT(ISNUMBER($B$139))),"",$D$134)</f>
        <v/>
      </c>
      <c r="C178" s="27" t="str">
        <f aca="false">IF(OR(29&gt;N($B$140),NOT(ISNUMBER($B$139))),"",$B$135)</f>
        <v/>
      </c>
      <c r="D178" s="27" t="str">
        <f aca="false">IF(OR(29&gt;N($B$140),NOT(ISNUMBER($B$139))),"",IF(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&lt;=CFG_HOJE,"REALIZADO","PROJETADO"))</f>
        <v/>
      </c>
      <c r="E178" s="28" t="str">
        <f aca="false">IF(OR(29&gt;N($B$140),NOT(ISNUMBER($B$139))),"",$B$136)</f>
        <v/>
      </c>
      <c r="F178" s="27" t="str">
        <f aca="false">IF(OR(29&gt;N($B$140),NOT(ISNUMBER($B$139))),"",$B$143)</f>
        <v/>
      </c>
      <c r="G178" s="27" t="str">
        <f aca="false">IF(OR(29&gt;N($B$140),NOT(ISNUMBER($B$139))),"",$B$144)</f>
        <v/>
      </c>
      <c r="H178" s="27" t="str">
        <f aca="false">IF(OR(29&gt;N($B$140),NOT(ISNUMBER($B$139))),"",$B$145)</f>
        <v/>
      </c>
      <c r="I178" s="27" t="str">
        <f aca="false">IF(OR(29&gt;N($B$140),NOT(ISNUMBER($B$139))),"",$B$146)</f>
        <v/>
      </c>
      <c r="J178" s="27" t="str">
        <f aca="false">IF(OR(29&gt;N($B$140),NOT(ISNUMBER($B$139))),"",$B$141)</f>
        <v/>
      </c>
      <c r="K178" s="27" t="str">
        <f aca="false">IF(OR(29&gt;N($B$140),NOT(ISNUMBER($B$139))),"",$B$142)</f>
        <v/>
      </c>
      <c r="L178" s="27" t="str">
        <f aca="false">IF(OR(29&gt;N($B$140),NOT(ISNUMBER($B$139))),"",$B$147)</f>
        <v/>
      </c>
      <c r="M178" s="27" t="str">
        <f aca="false">""</f>
        <v/>
      </c>
      <c r="N178" s="27" t="str">
        <f aca="false">""</f>
        <v/>
      </c>
      <c r="O178" s="27" t="str">
        <f aca="false">""</f>
        <v/>
      </c>
      <c r="P178" s="27" t="str">
        <f aca="false">IF(OR(29&gt;N($B$140),NOT(ISNUMBER($B$139))),"",$B$134)</f>
        <v/>
      </c>
      <c r="Q178" s="27" t="str">
        <f aca="false">""</f>
        <v/>
      </c>
      <c r="R178" s="27" t="str">
        <f aca="false">IF(OR(29&gt;N($B$140),NOT(ISNUMBER($B$139))),"","Gerado pela recorrencia "&amp;$B$134)</f>
        <v/>
      </c>
    </row>
    <row r="179" customFormat="false" ht="15" hidden="false" customHeight="false" outlineLevel="0" collapsed="false">
      <c r="A179" s="26" t="str">
        <f aca="false">IF(OR(30&gt;N($B$140),NOT(ISNUMBER($B$139))),"",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)</f>
        <v/>
      </c>
      <c r="B179" s="27" t="str">
        <f aca="false">IF(OR(30&gt;N($B$140),NOT(ISNUMBER($B$139))),"",$D$134)</f>
        <v/>
      </c>
      <c r="C179" s="27" t="str">
        <f aca="false">IF(OR(30&gt;N($B$140),NOT(ISNUMBER($B$139))),"",$B$135)</f>
        <v/>
      </c>
      <c r="D179" s="27" t="str">
        <f aca="false">IF(OR(30&gt;N($B$140),NOT(ISNUMBER($B$139))),"",IF(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&lt;=CFG_HOJE,"REALIZADO","PROJETADO"))</f>
        <v/>
      </c>
      <c r="E179" s="28" t="str">
        <f aca="false">IF(OR(30&gt;N($B$140),NOT(ISNUMBER($B$139))),"",$B$136)</f>
        <v/>
      </c>
      <c r="F179" s="27" t="str">
        <f aca="false">IF(OR(30&gt;N($B$140),NOT(ISNUMBER($B$139))),"",$B$143)</f>
        <v/>
      </c>
      <c r="G179" s="27" t="str">
        <f aca="false">IF(OR(30&gt;N($B$140),NOT(ISNUMBER($B$139))),"",$B$144)</f>
        <v/>
      </c>
      <c r="H179" s="27" t="str">
        <f aca="false">IF(OR(30&gt;N($B$140),NOT(ISNUMBER($B$139))),"",$B$145)</f>
        <v/>
      </c>
      <c r="I179" s="27" t="str">
        <f aca="false">IF(OR(30&gt;N($B$140),NOT(ISNUMBER($B$139))),"",$B$146)</f>
        <v/>
      </c>
      <c r="J179" s="27" t="str">
        <f aca="false">IF(OR(30&gt;N($B$140),NOT(ISNUMBER($B$139))),"",$B$141)</f>
        <v/>
      </c>
      <c r="K179" s="27" t="str">
        <f aca="false">IF(OR(30&gt;N($B$140),NOT(ISNUMBER($B$139))),"",$B$142)</f>
        <v/>
      </c>
      <c r="L179" s="27" t="str">
        <f aca="false">IF(OR(30&gt;N($B$140),NOT(ISNUMBER($B$139))),"",$B$147)</f>
        <v/>
      </c>
      <c r="M179" s="27" t="str">
        <f aca="false">""</f>
        <v/>
      </c>
      <c r="N179" s="27" t="str">
        <f aca="false">""</f>
        <v/>
      </c>
      <c r="O179" s="27" t="str">
        <f aca="false">""</f>
        <v/>
      </c>
      <c r="P179" s="27" t="str">
        <f aca="false">IF(OR(30&gt;N($B$140),NOT(ISNUMBER($B$139))),"",$B$134)</f>
        <v/>
      </c>
      <c r="Q179" s="27" t="str">
        <f aca="false">""</f>
        <v/>
      </c>
      <c r="R179" s="27" t="str">
        <f aca="false">IF(OR(30&gt;N($B$140),NOT(ISNUMBER($B$139))),"","Gerado pela recorrencia "&amp;$B$134)</f>
        <v/>
      </c>
    </row>
    <row r="180" customFormat="false" ht="15" hidden="false" customHeight="false" outlineLevel="0" collapsed="false">
      <c r="A180" s="26" t="str">
        <f aca="false">IF(OR(31&gt;N($B$140),NOT(ISNUMBER($B$139))),"",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)</f>
        <v/>
      </c>
      <c r="B180" s="27" t="str">
        <f aca="false">IF(OR(31&gt;N($B$140),NOT(ISNUMBER($B$139))),"",$D$134)</f>
        <v/>
      </c>
      <c r="C180" s="27" t="str">
        <f aca="false">IF(OR(31&gt;N($B$140),NOT(ISNUMBER($B$139))),"",$B$135)</f>
        <v/>
      </c>
      <c r="D180" s="27" t="str">
        <f aca="false">IF(OR(31&gt;N($B$140),NOT(ISNUMBER($B$139))),"",IF(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&lt;=CFG_HOJE,"REALIZADO","PROJETADO"))</f>
        <v/>
      </c>
      <c r="E180" s="28" t="str">
        <f aca="false">IF(OR(31&gt;N($B$140),NOT(ISNUMBER($B$139))),"",$B$136)</f>
        <v/>
      </c>
      <c r="F180" s="27" t="str">
        <f aca="false">IF(OR(31&gt;N($B$140),NOT(ISNUMBER($B$139))),"",$B$143)</f>
        <v/>
      </c>
      <c r="G180" s="27" t="str">
        <f aca="false">IF(OR(31&gt;N($B$140),NOT(ISNUMBER($B$139))),"",$B$144)</f>
        <v/>
      </c>
      <c r="H180" s="27" t="str">
        <f aca="false">IF(OR(31&gt;N($B$140),NOT(ISNUMBER($B$139))),"",$B$145)</f>
        <v/>
      </c>
      <c r="I180" s="27" t="str">
        <f aca="false">IF(OR(31&gt;N($B$140),NOT(ISNUMBER($B$139))),"",$B$146)</f>
        <v/>
      </c>
      <c r="J180" s="27" t="str">
        <f aca="false">IF(OR(31&gt;N($B$140),NOT(ISNUMBER($B$139))),"",$B$141)</f>
        <v/>
      </c>
      <c r="K180" s="27" t="str">
        <f aca="false">IF(OR(31&gt;N($B$140),NOT(ISNUMBER($B$139))),"",$B$142)</f>
        <v/>
      </c>
      <c r="L180" s="27" t="str">
        <f aca="false">IF(OR(31&gt;N($B$140),NOT(ISNUMBER($B$139))),"",$B$147)</f>
        <v/>
      </c>
      <c r="M180" s="27" t="str">
        <f aca="false">""</f>
        <v/>
      </c>
      <c r="N180" s="27" t="str">
        <f aca="false">""</f>
        <v/>
      </c>
      <c r="O180" s="27" t="str">
        <f aca="false">""</f>
        <v/>
      </c>
      <c r="P180" s="27" t="str">
        <f aca="false">IF(OR(31&gt;N($B$140),NOT(ISNUMBER($B$139))),"",$B$134)</f>
        <v/>
      </c>
      <c r="Q180" s="27" t="str">
        <f aca="false">""</f>
        <v/>
      </c>
      <c r="R180" s="27" t="str">
        <f aca="false">IF(OR(31&gt;N($B$140),NOT(ISNUMBER($B$139))),"","Gerado pela recorrencia "&amp;$B$134)</f>
        <v/>
      </c>
    </row>
    <row r="181" customFormat="false" ht="15" hidden="false" customHeight="false" outlineLevel="0" collapsed="false">
      <c r="A181" s="26" t="str">
        <f aca="false">IF(OR(32&gt;N($B$140),NOT(ISNUMBER($B$139))),"",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)</f>
        <v/>
      </c>
      <c r="B181" s="27" t="str">
        <f aca="false">IF(OR(32&gt;N($B$140),NOT(ISNUMBER($B$139))),"",$D$134)</f>
        <v/>
      </c>
      <c r="C181" s="27" t="str">
        <f aca="false">IF(OR(32&gt;N($B$140),NOT(ISNUMBER($B$139))),"",$B$135)</f>
        <v/>
      </c>
      <c r="D181" s="27" t="str">
        <f aca="false">IF(OR(32&gt;N($B$140),NOT(ISNUMBER($B$139))),"",IF(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&lt;=CFG_HOJE,"REALIZADO","PROJETADO"))</f>
        <v/>
      </c>
      <c r="E181" s="28" t="str">
        <f aca="false">IF(OR(32&gt;N($B$140),NOT(ISNUMBER($B$139))),"",$B$136)</f>
        <v/>
      </c>
      <c r="F181" s="27" t="str">
        <f aca="false">IF(OR(32&gt;N($B$140),NOT(ISNUMBER($B$139))),"",$B$143)</f>
        <v/>
      </c>
      <c r="G181" s="27" t="str">
        <f aca="false">IF(OR(32&gt;N($B$140),NOT(ISNUMBER($B$139))),"",$B$144)</f>
        <v/>
      </c>
      <c r="H181" s="27" t="str">
        <f aca="false">IF(OR(32&gt;N($B$140),NOT(ISNUMBER($B$139))),"",$B$145)</f>
        <v/>
      </c>
      <c r="I181" s="27" t="str">
        <f aca="false">IF(OR(32&gt;N($B$140),NOT(ISNUMBER($B$139))),"",$B$146)</f>
        <v/>
      </c>
      <c r="J181" s="27" t="str">
        <f aca="false">IF(OR(32&gt;N($B$140),NOT(ISNUMBER($B$139))),"",$B$141)</f>
        <v/>
      </c>
      <c r="K181" s="27" t="str">
        <f aca="false">IF(OR(32&gt;N($B$140),NOT(ISNUMBER($B$139))),"",$B$142)</f>
        <v/>
      </c>
      <c r="L181" s="27" t="str">
        <f aca="false">IF(OR(32&gt;N($B$140),NOT(ISNUMBER($B$139))),"",$B$147)</f>
        <v/>
      </c>
      <c r="M181" s="27" t="str">
        <f aca="false">""</f>
        <v/>
      </c>
      <c r="N181" s="27" t="str">
        <f aca="false">""</f>
        <v/>
      </c>
      <c r="O181" s="27" t="str">
        <f aca="false">""</f>
        <v/>
      </c>
      <c r="P181" s="27" t="str">
        <f aca="false">IF(OR(32&gt;N($B$140),NOT(ISNUMBER($B$139))),"",$B$134)</f>
        <v/>
      </c>
      <c r="Q181" s="27" t="str">
        <f aca="false">""</f>
        <v/>
      </c>
      <c r="R181" s="27" t="str">
        <f aca="false">IF(OR(32&gt;N($B$140),NOT(ISNUMBER($B$139))),"","Gerado pela recorrencia "&amp;$B$134)</f>
        <v/>
      </c>
    </row>
    <row r="182" customFormat="false" ht="15" hidden="false" customHeight="false" outlineLevel="0" collapsed="false">
      <c r="A182" s="26" t="str">
        <f aca="false">IF(OR(33&gt;N($B$140),NOT(ISNUMBER($B$139))),"",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)</f>
        <v/>
      </c>
      <c r="B182" s="27" t="str">
        <f aca="false">IF(OR(33&gt;N($B$140),NOT(ISNUMBER($B$139))),"",$D$134)</f>
        <v/>
      </c>
      <c r="C182" s="27" t="str">
        <f aca="false">IF(OR(33&gt;N($B$140),NOT(ISNUMBER($B$139))),"",$B$135)</f>
        <v/>
      </c>
      <c r="D182" s="27" t="str">
        <f aca="false">IF(OR(33&gt;N($B$140),NOT(ISNUMBER($B$139))),"",IF(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&lt;=CFG_HOJE,"REALIZADO","PROJETADO"))</f>
        <v/>
      </c>
      <c r="E182" s="28" t="str">
        <f aca="false">IF(OR(33&gt;N($B$140),NOT(ISNUMBER($B$139))),"",$B$136)</f>
        <v/>
      </c>
      <c r="F182" s="27" t="str">
        <f aca="false">IF(OR(33&gt;N($B$140),NOT(ISNUMBER($B$139))),"",$B$143)</f>
        <v/>
      </c>
      <c r="G182" s="27" t="str">
        <f aca="false">IF(OR(33&gt;N($B$140),NOT(ISNUMBER($B$139))),"",$B$144)</f>
        <v/>
      </c>
      <c r="H182" s="27" t="str">
        <f aca="false">IF(OR(33&gt;N($B$140),NOT(ISNUMBER($B$139))),"",$B$145)</f>
        <v/>
      </c>
      <c r="I182" s="27" t="str">
        <f aca="false">IF(OR(33&gt;N($B$140),NOT(ISNUMBER($B$139))),"",$B$146)</f>
        <v/>
      </c>
      <c r="J182" s="27" t="str">
        <f aca="false">IF(OR(33&gt;N($B$140),NOT(ISNUMBER($B$139))),"",$B$141)</f>
        <v/>
      </c>
      <c r="K182" s="27" t="str">
        <f aca="false">IF(OR(33&gt;N($B$140),NOT(ISNUMBER($B$139))),"",$B$142)</f>
        <v/>
      </c>
      <c r="L182" s="27" t="str">
        <f aca="false">IF(OR(33&gt;N($B$140),NOT(ISNUMBER($B$139))),"",$B$147)</f>
        <v/>
      </c>
      <c r="M182" s="27" t="str">
        <f aca="false">""</f>
        <v/>
      </c>
      <c r="N182" s="27" t="str">
        <f aca="false">""</f>
        <v/>
      </c>
      <c r="O182" s="27" t="str">
        <f aca="false">""</f>
        <v/>
      </c>
      <c r="P182" s="27" t="str">
        <f aca="false">IF(OR(33&gt;N($B$140),NOT(ISNUMBER($B$139))),"",$B$134)</f>
        <v/>
      </c>
      <c r="Q182" s="27" t="str">
        <f aca="false">""</f>
        <v/>
      </c>
      <c r="R182" s="27" t="str">
        <f aca="false">IF(OR(33&gt;N($B$140),NOT(ISNUMBER($B$139))),"","Gerado pela recorrencia "&amp;$B$134)</f>
        <v/>
      </c>
    </row>
    <row r="183" customFormat="false" ht="15" hidden="false" customHeight="false" outlineLevel="0" collapsed="false">
      <c r="A183" s="26" t="str">
        <f aca="false">IF(OR(34&gt;N($B$140),NOT(ISNUMBER($B$139))),"",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)</f>
        <v/>
      </c>
      <c r="B183" s="27" t="str">
        <f aca="false">IF(OR(34&gt;N($B$140),NOT(ISNUMBER($B$139))),"",$D$134)</f>
        <v/>
      </c>
      <c r="C183" s="27" t="str">
        <f aca="false">IF(OR(34&gt;N($B$140),NOT(ISNUMBER($B$139))),"",$B$135)</f>
        <v/>
      </c>
      <c r="D183" s="27" t="str">
        <f aca="false">IF(OR(34&gt;N($B$140),NOT(ISNUMBER($B$139))),"",IF(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&lt;=CFG_HOJE,"REALIZADO","PROJETADO"))</f>
        <v/>
      </c>
      <c r="E183" s="28" t="str">
        <f aca="false">IF(OR(34&gt;N($B$140),NOT(ISNUMBER($B$139))),"",$B$136)</f>
        <v/>
      </c>
      <c r="F183" s="27" t="str">
        <f aca="false">IF(OR(34&gt;N($B$140),NOT(ISNUMBER($B$139))),"",$B$143)</f>
        <v/>
      </c>
      <c r="G183" s="27" t="str">
        <f aca="false">IF(OR(34&gt;N($B$140),NOT(ISNUMBER($B$139))),"",$B$144)</f>
        <v/>
      </c>
      <c r="H183" s="27" t="str">
        <f aca="false">IF(OR(34&gt;N($B$140),NOT(ISNUMBER($B$139))),"",$B$145)</f>
        <v/>
      </c>
      <c r="I183" s="27" t="str">
        <f aca="false">IF(OR(34&gt;N($B$140),NOT(ISNUMBER($B$139))),"",$B$146)</f>
        <v/>
      </c>
      <c r="J183" s="27" t="str">
        <f aca="false">IF(OR(34&gt;N($B$140),NOT(ISNUMBER($B$139))),"",$B$141)</f>
        <v/>
      </c>
      <c r="K183" s="27" t="str">
        <f aca="false">IF(OR(34&gt;N($B$140),NOT(ISNUMBER($B$139))),"",$B$142)</f>
        <v/>
      </c>
      <c r="L183" s="27" t="str">
        <f aca="false">IF(OR(34&gt;N($B$140),NOT(ISNUMBER($B$139))),"",$B$147)</f>
        <v/>
      </c>
      <c r="M183" s="27" t="str">
        <f aca="false">""</f>
        <v/>
      </c>
      <c r="N183" s="27" t="str">
        <f aca="false">""</f>
        <v/>
      </c>
      <c r="O183" s="27" t="str">
        <f aca="false">""</f>
        <v/>
      </c>
      <c r="P183" s="27" t="str">
        <f aca="false">IF(OR(34&gt;N($B$140),NOT(ISNUMBER($B$139))),"",$B$134)</f>
        <v/>
      </c>
      <c r="Q183" s="27" t="str">
        <f aca="false">""</f>
        <v/>
      </c>
      <c r="R183" s="27" t="str">
        <f aca="false">IF(OR(34&gt;N($B$140),NOT(ISNUMBER($B$139))),"","Gerado pela recorrencia "&amp;$B$134)</f>
        <v/>
      </c>
    </row>
    <row r="184" customFormat="false" ht="15" hidden="false" customHeight="false" outlineLevel="0" collapsed="false">
      <c r="A184" s="26" t="str">
        <f aca="false">IF(OR(35&gt;N($B$140),NOT(ISNUMBER($B$139))),"",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)</f>
        <v/>
      </c>
      <c r="B184" s="27" t="str">
        <f aca="false">IF(OR(35&gt;N($B$140),NOT(ISNUMBER($B$139))),"",$D$134)</f>
        <v/>
      </c>
      <c r="C184" s="27" t="str">
        <f aca="false">IF(OR(35&gt;N($B$140),NOT(ISNUMBER($B$139))),"",$B$135)</f>
        <v/>
      </c>
      <c r="D184" s="27" t="str">
        <f aca="false">IF(OR(35&gt;N($B$140),NOT(ISNUMBER($B$139))),"",IF(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&lt;=CFG_HOJE,"REALIZADO","PROJETADO"))</f>
        <v/>
      </c>
      <c r="E184" s="28" t="str">
        <f aca="false">IF(OR(35&gt;N($B$140),NOT(ISNUMBER($B$139))),"",$B$136)</f>
        <v/>
      </c>
      <c r="F184" s="27" t="str">
        <f aca="false">IF(OR(35&gt;N($B$140),NOT(ISNUMBER($B$139))),"",$B$143)</f>
        <v/>
      </c>
      <c r="G184" s="27" t="str">
        <f aca="false">IF(OR(35&gt;N($B$140),NOT(ISNUMBER($B$139))),"",$B$144)</f>
        <v/>
      </c>
      <c r="H184" s="27" t="str">
        <f aca="false">IF(OR(35&gt;N($B$140),NOT(ISNUMBER($B$139))),"",$B$145)</f>
        <v/>
      </c>
      <c r="I184" s="27" t="str">
        <f aca="false">IF(OR(35&gt;N($B$140),NOT(ISNUMBER($B$139))),"",$B$146)</f>
        <v/>
      </c>
      <c r="J184" s="27" t="str">
        <f aca="false">IF(OR(35&gt;N($B$140),NOT(ISNUMBER($B$139))),"",$B$141)</f>
        <v/>
      </c>
      <c r="K184" s="27" t="str">
        <f aca="false">IF(OR(35&gt;N($B$140),NOT(ISNUMBER($B$139))),"",$B$142)</f>
        <v/>
      </c>
      <c r="L184" s="27" t="str">
        <f aca="false">IF(OR(35&gt;N($B$140),NOT(ISNUMBER($B$139))),"",$B$147)</f>
        <v/>
      </c>
      <c r="M184" s="27" t="str">
        <f aca="false">""</f>
        <v/>
      </c>
      <c r="N184" s="27" t="str">
        <f aca="false">""</f>
        <v/>
      </c>
      <c r="O184" s="27" t="str">
        <f aca="false">""</f>
        <v/>
      </c>
      <c r="P184" s="27" t="str">
        <f aca="false">IF(OR(35&gt;N($B$140),NOT(ISNUMBER($B$139))),"",$B$134)</f>
        <v/>
      </c>
      <c r="Q184" s="27" t="str">
        <f aca="false">""</f>
        <v/>
      </c>
      <c r="R184" s="27" t="str">
        <f aca="false">IF(OR(35&gt;N($B$140),NOT(ISNUMBER($B$139))),"","Gerado pela recorrencia "&amp;$B$134)</f>
        <v/>
      </c>
    </row>
    <row r="185" customFormat="false" ht="15" hidden="false" customHeight="false" outlineLevel="0" collapsed="false">
      <c r="A185" s="26" t="str">
        <f aca="false">IF(OR(36&gt;N($B$140),NOT(ISNUMBER($B$139))),"",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)</f>
        <v/>
      </c>
      <c r="B185" s="27" t="str">
        <f aca="false">IF(OR(36&gt;N($B$140),NOT(ISNUMBER($B$139))),"",$D$134)</f>
        <v/>
      </c>
      <c r="C185" s="27" t="str">
        <f aca="false">IF(OR(36&gt;N($B$140),NOT(ISNUMBER($B$139))),"",$B$135)</f>
        <v/>
      </c>
      <c r="D185" s="27" t="str">
        <f aca="false">IF(OR(36&gt;N($B$140),NOT(ISNUMBER($B$139))),"",IF(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&lt;=CFG_HOJE,"REALIZADO","PROJETADO"))</f>
        <v/>
      </c>
      <c r="E185" s="28" t="str">
        <f aca="false">IF(OR(36&gt;N($B$140),NOT(ISNUMBER($B$139))),"",$B$136)</f>
        <v/>
      </c>
      <c r="F185" s="27" t="str">
        <f aca="false">IF(OR(36&gt;N($B$140),NOT(ISNUMBER($B$139))),"",$B$143)</f>
        <v/>
      </c>
      <c r="G185" s="27" t="str">
        <f aca="false">IF(OR(36&gt;N($B$140),NOT(ISNUMBER($B$139))),"",$B$144)</f>
        <v/>
      </c>
      <c r="H185" s="27" t="str">
        <f aca="false">IF(OR(36&gt;N($B$140),NOT(ISNUMBER($B$139))),"",$B$145)</f>
        <v/>
      </c>
      <c r="I185" s="27" t="str">
        <f aca="false">IF(OR(36&gt;N($B$140),NOT(ISNUMBER($B$139))),"",$B$146)</f>
        <v/>
      </c>
      <c r="J185" s="27" t="str">
        <f aca="false">IF(OR(36&gt;N($B$140),NOT(ISNUMBER($B$139))),"",$B$141)</f>
        <v/>
      </c>
      <c r="K185" s="27" t="str">
        <f aca="false">IF(OR(36&gt;N($B$140),NOT(ISNUMBER($B$139))),"",$B$142)</f>
        <v/>
      </c>
      <c r="L185" s="27" t="str">
        <f aca="false">IF(OR(36&gt;N($B$140),NOT(ISNUMBER($B$139))),"",$B$147)</f>
        <v/>
      </c>
      <c r="M185" s="27" t="str">
        <f aca="false">""</f>
        <v/>
      </c>
      <c r="N185" s="27" t="str">
        <f aca="false">""</f>
        <v/>
      </c>
      <c r="O185" s="27" t="str">
        <f aca="false">""</f>
        <v/>
      </c>
      <c r="P185" s="27" t="str">
        <f aca="false">IF(OR(36&gt;N($B$140),NOT(ISNUMBER($B$139))),"",$B$134)</f>
        <v/>
      </c>
      <c r="Q185" s="27" t="str">
        <f aca="false">""</f>
        <v/>
      </c>
      <c r="R185" s="27" t="str">
        <f aca="false">IF(OR(36&gt;N($B$140),NOT(ISNUMBER($B$139))),"","Gerado pela recorrencia "&amp;$B$134)</f>
        <v/>
      </c>
    </row>
  </sheetData>
  <mergeCells count="4">
    <mergeCell ref="A1:T1"/>
    <mergeCell ref="A2:T2"/>
    <mergeCell ref="A4:T4"/>
    <mergeCell ref="A133:T133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0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561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562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31</v>
      </c>
      <c r="B4" s="60" t="n">
        <f aca="false">COUNTIF($G$8:$G$47,"FALHA")+COUNTIF($G$51:$G$90,"FALHA")+COUNTIF($G$94:$G$133,"FALHA")+COUNTIF($G$137:$G$176,"FALHA")+COUNTIF($G$180:$G$219,"FALHA")+COUNTIF($G$223:$G$262,"FALHA")+COUNTIF($G$266:$G$302,"FALHA")</f>
        <v>0</v>
      </c>
      <c r="D4" s="12" t="s">
        <v>563</v>
      </c>
      <c r="E4" s="60" t="n">
        <f aca="false">COUNTIF($G$8:$G$47,"OK")+COUNTIF($G$8:$G$47,"FALHA")+COUNTIF($G$51:$G$90,"OK")+COUNTIF($G$51:$G$90,"FALHA")+COUNTIF($G$94:$G$133,"OK")+COUNTIF($G$94:$G$133,"FALHA")+COUNTIF($G$137:$G$176,"OK")+COUNTIF($G$137:$G$176,"FALHA")+COUNTIF($G$180:$G$219,"OK")+COUNTIF($G$180:$G$219,"FALHA")+COUNTIF($G$223:$G$262,"OK")+COUNTIF($G$223:$G$262,"FALHA")+COUNTIF($G$266:$G$302,"OK")+COUNTIF($G$266:$G$302,"FALHA")</f>
        <v>37</v>
      </c>
    </row>
    <row r="6" customFormat="false" ht="19.5" hidden="false" customHeight="true" outlineLevel="0" collapsed="false">
      <c r="A6" s="3" t="s">
        <v>564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100</v>
      </c>
      <c r="B7" s="8" t="s">
        <v>565</v>
      </c>
      <c r="C7" s="8" t="s">
        <v>566</v>
      </c>
      <c r="D7" s="8" t="s">
        <v>567</v>
      </c>
      <c r="E7" s="8" t="s">
        <v>568</v>
      </c>
      <c r="F7" s="8" t="s">
        <v>569</v>
      </c>
      <c r="G7" s="8" t="s">
        <v>426</v>
      </c>
    </row>
    <row r="8" customFormat="false" ht="15" hidden="false" customHeight="false" outlineLevel="0" collapsed="false">
      <c r="A8" s="61" t="s">
        <v>570</v>
      </c>
      <c r="B8" s="9" t="str">
        <f aca="false">IF(CAD_Contas!$A5="","","Saldo de conta")</f>
        <v/>
      </c>
      <c r="C8" s="9" t="str">
        <f aca="false">IF(CAD_Contas!$A5="","","Saldo inicial + entradas - saidas = saldo calculado: "&amp;CAD_Contas!$B5)</f>
        <v/>
      </c>
      <c r="D8" s="10" t="str">
        <f aca="false">IF(CAD_Contas!$A5="","",CAD_Contas!$F5+SUMPRODUCT((L_DestTipo="CONTA")*(L_DestID=CAD_Contas!$A5)*(L_Status="REALIZADO")*L_Valor)-SUMPRODUCT((L_OrigTipo="CONTA")*(L_OrigID=CAD_Contas!$A5)*(L_Status="REALIZADO")*L_Valor))</f>
        <v/>
      </c>
      <c r="E8" s="10" t="str">
        <f aca="false">IF(CAD_Contas!$A5="","",CAD_Contas!$J5)</f>
        <v/>
      </c>
      <c r="F8" s="50" t="str">
        <f aca="false">IF($C8="","",$E8-$D8)</f>
        <v/>
      </c>
      <c r="G8" s="19" t="str">
        <f aca="false">IF($C8="","",IF(ABS($F8)&lt;=0.5,"OK","FALHA"))</f>
        <v/>
      </c>
    </row>
    <row r="9" customFormat="false" ht="15" hidden="false" customHeight="false" outlineLevel="0" collapsed="false">
      <c r="A9" s="61" t="s">
        <v>571</v>
      </c>
      <c r="B9" s="9" t="str">
        <f aca="false">IF(CAD_Contas!$A6="","","Saldo de conta")</f>
        <v/>
      </c>
      <c r="C9" s="9" t="str">
        <f aca="false">IF(CAD_Contas!$A6="","","Saldo inicial + entradas - saidas = saldo calculado: "&amp;CAD_Contas!$B6)</f>
        <v/>
      </c>
      <c r="D9" s="10" t="str">
        <f aca="false">IF(CAD_Contas!$A6="","",CAD_Contas!$F6+SUMPRODUCT((L_DestTipo="CONTA")*(L_DestID=CAD_Contas!$A6)*(L_Status="REALIZADO")*L_Valor)-SUMPRODUCT((L_OrigTipo="CONTA")*(L_OrigID=CAD_Contas!$A6)*(L_Status="REALIZADO")*L_Valor))</f>
        <v/>
      </c>
      <c r="E9" s="10" t="str">
        <f aca="false">IF(CAD_Contas!$A6="","",CAD_Contas!$J6)</f>
        <v/>
      </c>
      <c r="F9" s="50" t="str">
        <f aca="false">IF($C9="","",$E9-$D9)</f>
        <v/>
      </c>
      <c r="G9" s="19" t="str">
        <f aca="false">IF($C9="","",IF(ABS($F9)&lt;=0.5,"OK","FALHA"))</f>
        <v/>
      </c>
    </row>
    <row r="10" customFormat="false" ht="15" hidden="false" customHeight="false" outlineLevel="0" collapsed="false">
      <c r="A10" s="61" t="s">
        <v>572</v>
      </c>
      <c r="B10" s="9" t="str">
        <f aca="false">IF(CAD_Contas!$A7="","","Saldo de conta")</f>
        <v/>
      </c>
      <c r="C10" s="9" t="str">
        <f aca="false">IF(CAD_Contas!$A7="","","Saldo inicial + entradas - saidas = saldo calculado: "&amp;CAD_Contas!$B7)</f>
        <v/>
      </c>
      <c r="D10" s="10" t="str">
        <f aca="false">IF(CAD_Contas!$A7="","",CAD_Contas!$F7+SUMPRODUCT((L_DestTipo="CONTA")*(L_DestID=CAD_Contas!$A7)*(L_Status="REALIZADO")*L_Valor)-SUMPRODUCT((L_OrigTipo="CONTA")*(L_OrigID=CAD_Contas!$A7)*(L_Status="REALIZADO")*L_Valor))</f>
        <v/>
      </c>
      <c r="E10" s="10" t="str">
        <f aca="false">IF(CAD_Contas!$A7="","",CAD_Contas!$J7)</f>
        <v/>
      </c>
      <c r="F10" s="50" t="str">
        <f aca="false">IF($C10="","",$E10-$D10)</f>
        <v/>
      </c>
      <c r="G10" s="19" t="str">
        <f aca="false">IF($C10="","",IF(ABS($F10)&lt;=0.5,"OK","FALHA"))</f>
        <v/>
      </c>
    </row>
    <row r="11" customFormat="false" ht="15" hidden="false" customHeight="false" outlineLevel="0" collapsed="false">
      <c r="A11" s="61" t="s">
        <v>573</v>
      </c>
      <c r="B11" s="9" t="str">
        <f aca="false">IF(CAD_Contas!$A8="","","Saldo de conta")</f>
        <v/>
      </c>
      <c r="C11" s="9" t="str">
        <f aca="false">IF(CAD_Contas!$A8="","","Saldo inicial + entradas - saidas = saldo calculado: "&amp;CAD_Contas!$B8)</f>
        <v/>
      </c>
      <c r="D11" s="10" t="str">
        <f aca="false">IF(CAD_Contas!$A8="","",CAD_Contas!$F8+SUMPRODUCT((L_DestTipo="CONTA")*(L_DestID=CAD_Contas!$A8)*(L_Status="REALIZADO")*L_Valor)-SUMPRODUCT((L_OrigTipo="CONTA")*(L_OrigID=CAD_Contas!$A8)*(L_Status="REALIZADO")*L_Valor))</f>
        <v/>
      </c>
      <c r="E11" s="10" t="str">
        <f aca="false">IF(CAD_Contas!$A8="","",CAD_Contas!$J8)</f>
        <v/>
      </c>
      <c r="F11" s="50" t="str">
        <f aca="false">IF($C11="","",$E11-$D11)</f>
        <v/>
      </c>
      <c r="G11" s="19" t="str">
        <f aca="false">IF($C11="","",IF(ABS($F11)&lt;=0.5,"OK","FALHA"))</f>
        <v/>
      </c>
    </row>
    <row r="12" customFormat="false" ht="15" hidden="false" customHeight="false" outlineLevel="0" collapsed="false">
      <c r="A12" s="61" t="s">
        <v>574</v>
      </c>
      <c r="B12" s="9" t="str">
        <f aca="false">IF(CAD_Contas!$A9="","","Saldo de conta")</f>
        <v/>
      </c>
      <c r="C12" s="9" t="str">
        <f aca="false">IF(CAD_Contas!$A9="","","Saldo inicial + entradas - saidas = saldo calculado: "&amp;CAD_Contas!$B9)</f>
        <v/>
      </c>
      <c r="D12" s="10" t="str">
        <f aca="false">IF(CAD_Contas!$A9="","",CAD_Contas!$F9+SUMPRODUCT((L_DestTipo="CONTA")*(L_DestID=CAD_Contas!$A9)*(L_Status="REALIZADO")*L_Valor)-SUMPRODUCT((L_OrigTipo="CONTA")*(L_OrigID=CAD_Contas!$A9)*(L_Status="REALIZADO")*L_Valor))</f>
        <v/>
      </c>
      <c r="E12" s="10" t="str">
        <f aca="false">IF(CAD_Contas!$A9="","",CAD_Contas!$J9)</f>
        <v/>
      </c>
      <c r="F12" s="50" t="str">
        <f aca="false">IF($C12="","",$E12-$D12)</f>
        <v/>
      </c>
      <c r="G12" s="19" t="str">
        <f aca="false">IF($C12="","",IF(ABS($F12)&lt;=0.5,"OK","FALHA"))</f>
        <v/>
      </c>
    </row>
    <row r="13" customFormat="false" ht="15" hidden="false" customHeight="false" outlineLevel="0" collapsed="false">
      <c r="A13" s="61" t="s">
        <v>575</v>
      </c>
      <c r="B13" s="9" t="str">
        <f aca="false">IF(CAD_Contas!$A10="","","Saldo de conta")</f>
        <v/>
      </c>
      <c r="C13" s="9" t="str">
        <f aca="false">IF(CAD_Contas!$A10="","","Saldo inicial + entradas - saidas = saldo calculado: "&amp;CAD_Contas!$B10)</f>
        <v/>
      </c>
      <c r="D13" s="10" t="str">
        <f aca="false">IF(CAD_Contas!$A10="","",CAD_Contas!$F10+SUMPRODUCT((L_DestTipo="CONTA")*(L_DestID=CAD_Contas!$A10)*(L_Status="REALIZADO")*L_Valor)-SUMPRODUCT((L_OrigTipo="CONTA")*(L_OrigID=CAD_Contas!$A10)*(L_Status="REALIZADO")*L_Valor))</f>
        <v/>
      </c>
      <c r="E13" s="10" t="str">
        <f aca="false">IF(CAD_Contas!$A10="","",CAD_Contas!$J10)</f>
        <v/>
      </c>
      <c r="F13" s="50" t="str">
        <f aca="false">IF($C13="","",$E13-$D13)</f>
        <v/>
      </c>
      <c r="G13" s="19" t="str">
        <f aca="false">IF($C13="","",IF(ABS($F13)&lt;=0.5,"OK","FALHA"))</f>
        <v/>
      </c>
    </row>
    <row r="14" customFormat="false" ht="15" hidden="false" customHeight="false" outlineLevel="0" collapsed="false">
      <c r="A14" s="61" t="s">
        <v>576</v>
      </c>
      <c r="B14" s="9" t="str">
        <f aca="false">IF(CAD_Contas!$A11="","","Saldo de conta")</f>
        <v/>
      </c>
      <c r="C14" s="9" t="str">
        <f aca="false">IF(CAD_Contas!$A11="","","Saldo inicial + entradas - saidas = saldo calculado: "&amp;CAD_Contas!$B11)</f>
        <v/>
      </c>
      <c r="D14" s="10" t="str">
        <f aca="false">IF(CAD_Contas!$A11="","",CAD_Contas!$F11+SUMPRODUCT((L_DestTipo="CONTA")*(L_DestID=CAD_Contas!$A11)*(L_Status="REALIZADO")*L_Valor)-SUMPRODUCT((L_OrigTipo="CONTA")*(L_OrigID=CAD_Contas!$A11)*(L_Status="REALIZADO")*L_Valor))</f>
        <v/>
      </c>
      <c r="E14" s="10" t="str">
        <f aca="false">IF(CAD_Contas!$A11="","",CAD_Contas!$J11)</f>
        <v/>
      </c>
      <c r="F14" s="50" t="str">
        <f aca="false">IF($C14="","",$E14-$D14)</f>
        <v/>
      </c>
      <c r="G14" s="19" t="str">
        <f aca="false">IF($C14="","",IF(ABS($F14)&lt;=0.5,"OK","FALHA"))</f>
        <v/>
      </c>
    </row>
    <row r="15" customFormat="false" ht="15" hidden="false" customHeight="false" outlineLevel="0" collapsed="false">
      <c r="A15" s="61" t="s">
        <v>577</v>
      </c>
      <c r="B15" s="9" t="str">
        <f aca="false">IF(CAD_Contas!$A12="","","Saldo de conta")</f>
        <v/>
      </c>
      <c r="C15" s="9" t="str">
        <f aca="false">IF(CAD_Contas!$A12="","","Saldo inicial + entradas - saidas = saldo calculado: "&amp;CAD_Contas!$B12)</f>
        <v/>
      </c>
      <c r="D15" s="10" t="str">
        <f aca="false">IF(CAD_Contas!$A12="","",CAD_Contas!$F12+SUMPRODUCT((L_DestTipo="CONTA")*(L_DestID=CAD_Contas!$A12)*(L_Status="REALIZADO")*L_Valor)-SUMPRODUCT((L_OrigTipo="CONTA")*(L_OrigID=CAD_Contas!$A12)*(L_Status="REALIZADO")*L_Valor))</f>
        <v/>
      </c>
      <c r="E15" s="10" t="str">
        <f aca="false">IF(CAD_Contas!$A12="","",CAD_Contas!$J12)</f>
        <v/>
      </c>
      <c r="F15" s="50" t="str">
        <f aca="false">IF($C15="","",$E15-$D15)</f>
        <v/>
      </c>
      <c r="G15" s="19" t="str">
        <f aca="false">IF($C15="","",IF(ABS($F15)&lt;=0.5,"OK","FALHA"))</f>
        <v/>
      </c>
    </row>
    <row r="16" customFormat="false" ht="15" hidden="false" customHeight="false" outlineLevel="0" collapsed="false">
      <c r="A16" s="61" t="s">
        <v>578</v>
      </c>
      <c r="B16" s="9" t="str">
        <f aca="false">IF(CAD_Contas!$A13="","","Saldo de conta")</f>
        <v/>
      </c>
      <c r="C16" s="9" t="str">
        <f aca="false">IF(CAD_Contas!$A13="","","Saldo inicial + entradas - saidas = saldo calculado: "&amp;CAD_Contas!$B13)</f>
        <v/>
      </c>
      <c r="D16" s="10" t="str">
        <f aca="false">IF(CAD_Contas!$A13="","",CAD_Contas!$F13+SUMPRODUCT((L_DestTipo="CONTA")*(L_DestID=CAD_Contas!$A13)*(L_Status="REALIZADO")*L_Valor)-SUMPRODUCT((L_OrigTipo="CONTA")*(L_OrigID=CAD_Contas!$A13)*(L_Status="REALIZADO")*L_Valor))</f>
        <v/>
      </c>
      <c r="E16" s="10" t="str">
        <f aca="false">IF(CAD_Contas!$A13="","",CAD_Contas!$J13)</f>
        <v/>
      </c>
      <c r="F16" s="50" t="str">
        <f aca="false">IF($C16="","",$E16-$D16)</f>
        <v/>
      </c>
      <c r="G16" s="19" t="str">
        <f aca="false">IF($C16="","",IF(ABS($F16)&lt;=0.5,"OK","FALHA"))</f>
        <v/>
      </c>
    </row>
    <row r="17" customFormat="false" ht="15" hidden="false" customHeight="false" outlineLevel="0" collapsed="false">
      <c r="A17" s="61" t="s">
        <v>579</v>
      </c>
      <c r="B17" s="9" t="str">
        <f aca="false">IF(CAD_Contas!$A14="","","Saldo de conta")</f>
        <v/>
      </c>
      <c r="C17" s="9" t="str">
        <f aca="false">IF(CAD_Contas!$A14="","","Saldo inicial + entradas - saidas = saldo calculado: "&amp;CAD_Contas!$B14)</f>
        <v/>
      </c>
      <c r="D17" s="10" t="str">
        <f aca="false">IF(CAD_Contas!$A14="","",CAD_Contas!$F14+SUMPRODUCT((L_DestTipo="CONTA")*(L_DestID=CAD_Contas!$A14)*(L_Status="REALIZADO")*L_Valor)-SUMPRODUCT((L_OrigTipo="CONTA")*(L_OrigID=CAD_Contas!$A14)*(L_Status="REALIZADO")*L_Valor))</f>
        <v/>
      </c>
      <c r="E17" s="10" t="str">
        <f aca="false">IF(CAD_Contas!$A14="","",CAD_Contas!$J14)</f>
        <v/>
      </c>
      <c r="F17" s="50" t="str">
        <f aca="false">IF($C17="","",$E17-$D17)</f>
        <v/>
      </c>
      <c r="G17" s="19" t="str">
        <f aca="false">IF($C17="","",IF(ABS($F17)&lt;=0.5,"OK","FALHA"))</f>
        <v/>
      </c>
    </row>
    <row r="18" customFormat="false" ht="15" hidden="false" customHeight="false" outlineLevel="0" collapsed="false">
      <c r="A18" s="61" t="s">
        <v>580</v>
      </c>
      <c r="B18" s="9" t="str">
        <f aca="false">IF(CAD_Contas!$A15="","","Saldo de conta")</f>
        <v/>
      </c>
      <c r="C18" s="9" t="str">
        <f aca="false">IF(CAD_Contas!$A15="","","Saldo inicial + entradas - saidas = saldo calculado: "&amp;CAD_Contas!$B15)</f>
        <v/>
      </c>
      <c r="D18" s="10" t="str">
        <f aca="false">IF(CAD_Contas!$A15="","",CAD_Contas!$F15+SUMPRODUCT((L_DestTipo="CONTA")*(L_DestID=CAD_Contas!$A15)*(L_Status="REALIZADO")*L_Valor)-SUMPRODUCT((L_OrigTipo="CONTA")*(L_OrigID=CAD_Contas!$A15)*(L_Status="REALIZADO")*L_Valor))</f>
        <v/>
      </c>
      <c r="E18" s="10" t="str">
        <f aca="false">IF(CAD_Contas!$A15="","",CAD_Contas!$J15)</f>
        <v/>
      </c>
      <c r="F18" s="50" t="str">
        <f aca="false">IF($C18="","",$E18-$D18)</f>
        <v/>
      </c>
      <c r="G18" s="19" t="str">
        <f aca="false">IF($C18="","",IF(ABS($F18)&lt;=0.5,"OK","FALHA"))</f>
        <v/>
      </c>
    </row>
    <row r="19" customFormat="false" ht="15" hidden="false" customHeight="false" outlineLevel="0" collapsed="false">
      <c r="A19" s="61" t="s">
        <v>581</v>
      </c>
      <c r="B19" s="9" t="str">
        <f aca="false">IF(CAD_Contas!$A16="","","Saldo de conta")</f>
        <v/>
      </c>
      <c r="C19" s="9" t="str">
        <f aca="false">IF(CAD_Contas!$A16="","","Saldo inicial + entradas - saidas = saldo calculado: "&amp;CAD_Contas!$B16)</f>
        <v/>
      </c>
      <c r="D19" s="10" t="str">
        <f aca="false">IF(CAD_Contas!$A16="","",CAD_Contas!$F16+SUMPRODUCT((L_DestTipo="CONTA")*(L_DestID=CAD_Contas!$A16)*(L_Status="REALIZADO")*L_Valor)-SUMPRODUCT((L_OrigTipo="CONTA")*(L_OrigID=CAD_Contas!$A16)*(L_Status="REALIZADO")*L_Valor))</f>
        <v/>
      </c>
      <c r="E19" s="10" t="str">
        <f aca="false">IF(CAD_Contas!$A16="","",CAD_Contas!$J16)</f>
        <v/>
      </c>
      <c r="F19" s="50" t="str">
        <f aca="false">IF($C19="","",$E19-$D19)</f>
        <v/>
      </c>
      <c r="G19" s="19" t="str">
        <f aca="false">IF($C19="","",IF(ABS($F19)&lt;=0.5,"OK","FALHA"))</f>
        <v/>
      </c>
    </row>
    <row r="20" customFormat="false" ht="15" hidden="false" customHeight="false" outlineLevel="0" collapsed="false">
      <c r="A20" s="61" t="s">
        <v>582</v>
      </c>
      <c r="B20" s="9" t="str">
        <f aca="false">IF(CAD_Contas!$A17="","","Saldo de conta")</f>
        <v/>
      </c>
      <c r="C20" s="9" t="str">
        <f aca="false">IF(CAD_Contas!$A17="","","Saldo inicial + entradas - saidas = saldo calculado: "&amp;CAD_Contas!$B17)</f>
        <v/>
      </c>
      <c r="D20" s="10" t="str">
        <f aca="false">IF(CAD_Contas!$A17="","",CAD_Contas!$F17+SUMPRODUCT((L_DestTipo="CONTA")*(L_DestID=CAD_Contas!$A17)*(L_Status="REALIZADO")*L_Valor)-SUMPRODUCT((L_OrigTipo="CONTA")*(L_OrigID=CAD_Contas!$A17)*(L_Status="REALIZADO")*L_Valor))</f>
        <v/>
      </c>
      <c r="E20" s="10" t="str">
        <f aca="false">IF(CAD_Contas!$A17="","",CAD_Contas!$J17)</f>
        <v/>
      </c>
      <c r="F20" s="50" t="str">
        <f aca="false">IF($C20="","",$E20-$D20)</f>
        <v/>
      </c>
      <c r="G20" s="19" t="str">
        <f aca="false">IF($C20="","",IF(ABS($F20)&lt;=0.5,"OK","FALHA"))</f>
        <v/>
      </c>
    </row>
    <row r="21" customFormat="false" ht="15" hidden="false" customHeight="false" outlineLevel="0" collapsed="false">
      <c r="A21" s="61" t="s">
        <v>583</v>
      </c>
      <c r="B21" s="9" t="str">
        <f aca="false">IF(CAD_Contas!$A18="","","Saldo de conta")</f>
        <v/>
      </c>
      <c r="C21" s="9" t="str">
        <f aca="false">IF(CAD_Contas!$A18="","","Saldo inicial + entradas - saidas = saldo calculado: "&amp;CAD_Contas!$B18)</f>
        <v/>
      </c>
      <c r="D21" s="10" t="str">
        <f aca="false">IF(CAD_Contas!$A18="","",CAD_Contas!$F18+SUMPRODUCT((L_DestTipo="CONTA")*(L_DestID=CAD_Contas!$A18)*(L_Status="REALIZADO")*L_Valor)-SUMPRODUCT((L_OrigTipo="CONTA")*(L_OrigID=CAD_Contas!$A18)*(L_Status="REALIZADO")*L_Valor))</f>
        <v/>
      </c>
      <c r="E21" s="10" t="str">
        <f aca="false">IF(CAD_Contas!$A18="","",CAD_Contas!$J18)</f>
        <v/>
      </c>
      <c r="F21" s="50" t="str">
        <f aca="false">IF($C21="","",$E21-$D21)</f>
        <v/>
      </c>
      <c r="G21" s="19" t="str">
        <f aca="false">IF($C21="","",IF(ABS($F21)&lt;=0.5,"OK","FALHA"))</f>
        <v/>
      </c>
    </row>
    <row r="22" customFormat="false" ht="15" hidden="false" customHeight="false" outlineLevel="0" collapsed="false">
      <c r="A22" s="61" t="s">
        <v>584</v>
      </c>
      <c r="B22" s="9" t="str">
        <f aca="false">IF(CAD_Contas!$A19="","","Saldo de conta")</f>
        <v/>
      </c>
      <c r="C22" s="9" t="str">
        <f aca="false">IF(CAD_Contas!$A19="","","Saldo inicial + entradas - saidas = saldo calculado: "&amp;CAD_Contas!$B19)</f>
        <v/>
      </c>
      <c r="D22" s="10" t="str">
        <f aca="false">IF(CAD_Contas!$A19="","",CAD_Contas!$F19+SUMPRODUCT((L_DestTipo="CONTA")*(L_DestID=CAD_Contas!$A19)*(L_Status="REALIZADO")*L_Valor)-SUMPRODUCT((L_OrigTipo="CONTA")*(L_OrigID=CAD_Contas!$A19)*(L_Status="REALIZADO")*L_Valor))</f>
        <v/>
      </c>
      <c r="E22" s="10" t="str">
        <f aca="false">IF(CAD_Contas!$A19="","",CAD_Contas!$J19)</f>
        <v/>
      </c>
      <c r="F22" s="50" t="str">
        <f aca="false">IF($C22="","",$E22-$D22)</f>
        <v/>
      </c>
      <c r="G22" s="19" t="str">
        <f aca="false">IF($C22="","",IF(ABS($F22)&lt;=0.5,"OK","FALHA"))</f>
        <v/>
      </c>
    </row>
    <row r="23" customFormat="false" ht="15" hidden="false" customHeight="false" outlineLevel="0" collapsed="false">
      <c r="A23" s="61" t="s">
        <v>585</v>
      </c>
      <c r="B23" s="9" t="str">
        <f aca="false">IF(CAD_Contas!$A20="","","Saldo de conta")</f>
        <v/>
      </c>
      <c r="C23" s="9" t="str">
        <f aca="false">IF(CAD_Contas!$A20="","","Saldo inicial + entradas - saidas = saldo calculado: "&amp;CAD_Contas!$B20)</f>
        <v/>
      </c>
      <c r="D23" s="10" t="str">
        <f aca="false">IF(CAD_Contas!$A20="","",CAD_Contas!$F20+SUMPRODUCT((L_DestTipo="CONTA")*(L_DestID=CAD_Contas!$A20)*(L_Status="REALIZADO")*L_Valor)-SUMPRODUCT((L_OrigTipo="CONTA")*(L_OrigID=CAD_Contas!$A20)*(L_Status="REALIZADO")*L_Valor))</f>
        <v/>
      </c>
      <c r="E23" s="10" t="str">
        <f aca="false">IF(CAD_Contas!$A20="","",CAD_Contas!$J20)</f>
        <v/>
      </c>
      <c r="F23" s="50" t="str">
        <f aca="false">IF($C23="","",$E23-$D23)</f>
        <v/>
      </c>
      <c r="G23" s="19" t="str">
        <f aca="false">IF($C23="","",IF(ABS($F23)&lt;=0.5,"OK","FALHA"))</f>
        <v/>
      </c>
    </row>
    <row r="24" customFormat="false" ht="15" hidden="false" customHeight="false" outlineLevel="0" collapsed="false">
      <c r="A24" s="61" t="s">
        <v>586</v>
      </c>
      <c r="B24" s="9" t="str">
        <f aca="false">IF(CAD_Contas!$A21="","","Saldo de conta")</f>
        <v/>
      </c>
      <c r="C24" s="9" t="str">
        <f aca="false">IF(CAD_Contas!$A21="","","Saldo inicial + entradas - saidas = saldo calculado: "&amp;CAD_Contas!$B21)</f>
        <v/>
      </c>
      <c r="D24" s="10" t="str">
        <f aca="false">IF(CAD_Contas!$A21="","",CAD_Contas!$F21+SUMPRODUCT((L_DestTipo="CONTA")*(L_DestID=CAD_Contas!$A21)*(L_Status="REALIZADO")*L_Valor)-SUMPRODUCT((L_OrigTipo="CONTA")*(L_OrigID=CAD_Contas!$A21)*(L_Status="REALIZADO")*L_Valor))</f>
        <v/>
      </c>
      <c r="E24" s="10" t="str">
        <f aca="false">IF(CAD_Contas!$A21="","",CAD_Contas!$J21)</f>
        <v/>
      </c>
      <c r="F24" s="50" t="str">
        <f aca="false">IF($C24="","",$E24-$D24)</f>
        <v/>
      </c>
      <c r="G24" s="19" t="str">
        <f aca="false">IF($C24="","",IF(ABS($F24)&lt;=0.5,"OK","FALHA"))</f>
        <v/>
      </c>
    </row>
    <row r="25" customFormat="false" ht="15" hidden="false" customHeight="false" outlineLevel="0" collapsed="false">
      <c r="A25" s="61" t="s">
        <v>587</v>
      </c>
      <c r="B25" s="9" t="str">
        <f aca="false">IF(CAD_Contas!$A22="","","Saldo de conta")</f>
        <v/>
      </c>
      <c r="C25" s="9" t="str">
        <f aca="false">IF(CAD_Contas!$A22="","","Saldo inicial + entradas - saidas = saldo calculado: "&amp;CAD_Contas!$B22)</f>
        <v/>
      </c>
      <c r="D25" s="10" t="str">
        <f aca="false">IF(CAD_Contas!$A22="","",CAD_Contas!$F22+SUMPRODUCT((L_DestTipo="CONTA")*(L_DestID=CAD_Contas!$A22)*(L_Status="REALIZADO")*L_Valor)-SUMPRODUCT((L_OrigTipo="CONTA")*(L_OrigID=CAD_Contas!$A22)*(L_Status="REALIZADO")*L_Valor))</f>
        <v/>
      </c>
      <c r="E25" s="10" t="str">
        <f aca="false">IF(CAD_Contas!$A22="","",CAD_Contas!$J22)</f>
        <v/>
      </c>
      <c r="F25" s="50" t="str">
        <f aca="false">IF($C25="","",$E25-$D25)</f>
        <v/>
      </c>
      <c r="G25" s="19" t="str">
        <f aca="false">IF($C25="","",IF(ABS($F25)&lt;=0.5,"OK","FALHA"))</f>
        <v/>
      </c>
    </row>
    <row r="26" customFormat="false" ht="15" hidden="false" customHeight="false" outlineLevel="0" collapsed="false">
      <c r="A26" s="61" t="s">
        <v>588</v>
      </c>
      <c r="B26" s="9" t="str">
        <f aca="false">IF(CAD_Contas!$A23="","","Saldo de conta")</f>
        <v/>
      </c>
      <c r="C26" s="9" t="str">
        <f aca="false">IF(CAD_Contas!$A23="","","Saldo inicial + entradas - saidas = saldo calculado: "&amp;CAD_Contas!$B23)</f>
        <v/>
      </c>
      <c r="D26" s="10" t="str">
        <f aca="false">IF(CAD_Contas!$A23="","",CAD_Contas!$F23+SUMPRODUCT((L_DestTipo="CONTA")*(L_DestID=CAD_Contas!$A23)*(L_Status="REALIZADO")*L_Valor)-SUMPRODUCT((L_OrigTipo="CONTA")*(L_OrigID=CAD_Contas!$A23)*(L_Status="REALIZADO")*L_Valor))</f>
        <v/>
      </c>
      <c r="E26" s="10" t="str">
        <f aca="false">IF(CAD_Contas!$A23="","",CAD_Contas!$J23)</f>
        <v/>
      </c>
      <c r="F26" s="50" t="str">
        <f aca="false">IF($C26="","",$E26-$D26)</f>
        <v/>
      </c>
      <c r="G26" s="19" t="str">
        <f aca="false">IF($C26="","",IF(ABS($F26)&lt;=0.5,"OK","FALHA"))</f>
        <v/>
      </c>
    </row>
    <row r="27" customFormat="false" ht="15" hidden="false" customHeight="false" outlineLevel="0" collapsed="false">
      <c r="A27" s="61" t="s">
        <v>589</v>
      </c>
      <c r="B27" s="9" t="str">
        <f aca="false">IF(CAD_Contas!$A24="","","Saldo de conta")</f>
        <v/>
      </c>
      <c r="C27" s="9" t="str">
        <f aca="false">IF(CAD_Contas!$A24="","","Saldo inicial + entradas - saidas = saldo calculado: "&amp;CAD_Contas!$B24)</f>
        <v/>
      </c>
      <c r="D27" s="10" t="str">
        <f aca="false">IF(CAD_Contas!$A24="","",CAD_Contas!$F24+SUMPRODUCT((L_DestTipo="CONTA")*(L_DestID=CAD_Contas!$A24)*(L_Status="REALIZADO")*L_Valor)-SUMPRODUCT((L_OrigTipo="CONTA")*(L_OrigID=CAD_Contas!$A24)*(L_Status="REALIZADO")*L_Valor))</f>
        <v/>
      </c>
      <c r="E27" s="10" t="str">
        <f aca="false">IF(CAD_Contas!$A24="","",CAD_Contas!$J24)</f>
        <v/>
      </c>
      <c r="F27" s="50" t="str">
        <f aca="false">IF($C27="","",$E27-$D27)</f>
        <v/>
      </c>
      <c r="G27" s="19" t="str">
        <f aca="false">IF($C27="","",IF(ABS($F27)&lt;=0.5,"OK","FALHA"))</f>
        <v/>
      </c>
    </row>
    <row r="28" customFormat="false" ht="15" hidden="false" customHeight="false" outlineLevel="0" collapsed="false">
      <c r="A28" s="61" t="s">
        <v>590</v>
      </c>
      <c r="B28" s="9" t="str">
        <f aca="false">IF(CAD_Contas!$A25="","","Saldo de conta")</f>
        <v/>
      </c>
      <c r="C28" s="9" t="str">
        <f aca="false">IF(CAD_Contas!$A25="","","Saldo inicial + entradas - saidas = saldo calculado: "&amp;CAD_Contas!$B25)</f>
        <v/>
      </c>
      <c r="D28" s="10" t="str">
        <f aca="false">IF(CAD_Contas!$A25="","",CAD_Contas!$F25+SUMPRODUCT((L_DestTipo="CONTA")*(L_DestID=CAD_Contas!$A25)*(L_Status="REALIZADO")*L_Valor)-SUMPRODUCT((L_OrigTipo="CONTA")*(L_OrigID=CAD_Contas!$A25)*(L_Status="REALIZADO")*L_Valor))</f>
        <v/>
      </c>
      <c r="E28" s="10" t="str">
        <f aca="false">IF(CAD_Contas!$A25="","",CAD_Contas!$J25)</f>
        <v/>
      </c>
      <c r="F28" s="50" t="str">
        <f aca="false">IF($C28="","",$E28-$D28)</f>
        <v/>
      </c>
      <c r="G28" s="19" t="str">
        <f aca="false">IF($C28="","",IF(ABS($F28)&lt;=0.5,"OK","FALHA"))</f>
        <v/>
      </c>
    </row>
    <row r="29" customFormat="false" ht="15" hidden="false" customHeight="false" outlineLevel="0" collapsed="false">
      <c r="A29" s="61" t="s">
        <v>591</v>
      </c>
      <c r="B29" s="9" t="str">
        <f aca="false">IF(CAD_Contas!$A26="","","Saldo de conta")</f>
        <v/>
      </c>
      <c r="C29" s="9" t="str">
        <f aca="false">IF(CAD_Contas!$A26="","","Saldo inicial + entradas - saidas = saldo calculado: "&amp;CAD_Contas!$B26)</f>
        <v/>
      </c>
      <c r="D29" s="10" t="str">
        <f aca="false">IF(CAD_Contas!$A26="","",CAD_Contas!$F26+SUMPRODUCT((L_DestTipo="CONTA")*(L_DestID=CAD_Contas!$A26)*(L_Status="REALIZADO")*L_Valor)-SUMPRODUCT((L_OrigTipo="CONTA")*(L_OrigID=CAD_Contas!$A26)*(L_Status="REALIZADO")*L_Valor))</f>
        <v/>
      </c>
      <c r="E29" s="10" t="str">
        <f aca="false">IF(CAD_Contas!$A26="","",CAD_Contas!$J26)</f>
        <v/>
      </c>
      <c r="F29" s="50" t="str">
        <f aca="false">IF($C29="","",$E29-$D29)</f>
        <v/>
      </c>
      <c r="G29" s="19" t="str">
        <f aca="false">IF($C29="","",IF(ABS($F29)&lt;=0.5,"OK","FALHA"))</f>
        <v/>
      </c>
    </row>
    <row r="30" customFormat="false" ht="15" hidden="false" customHeight="false" outlineLevel="0" collapsed="false">
      <c r="A30" s="61" t="s">
        <v>592</v>
      </c>
      <c r="B30" s="9" t="str">
        <f aca="false">IF(CAD_Contas!$A27="","","Saldo de conta")</f>
        <v/>
      </c>
      <c r="C30" s="9" t="str">
        <f aca="false">IF(CAD_Contas!$A27="","","Saldo inicial + entradas - saidas = saldo calculado: "&amp;CAD_Contas!$B27)</f>
        <v/>
      </c>
      <c r="D30" s="10" t="str">
        <f aca="false">IF(CAD_Contas!$A27="","",CAD_Contas!$F27+SUMPRODUCT((L_DestTipo="CONTA")*(L_DestID=CAD_Contas!$A27)*(L_Status="REALIZADO")*L_Valor)-SUMPRODUCT((L_OrigTipo="CONTA")*(L_OrigID=CAD_Contas!$A27)*(L_Status="REALIZADO")*L_Valor))</f>
        <v/>
      </c>
      <c r="E30" s="10" t="str">
        <f aca="false">IF(CAD_Contas!$A27="","",CAD_Contas!$J27)</f>
        <v/>
      </c>
      <c r="F30" s="50" t="str">
        <f aca="false">IF($C30="","",$E30-$D30)</f>
        <v/>
      </c>
      <c r="G30" s="19" t="str">
        <f aca="false">IF($C30="","",IF(ABS($F30)&lt;=0.5,"OK","FALHA"))</f>
        <v/>
      </c>
    </row>
    <row r="31" customFormat="false" ht="15" hidden="false" customHeight="false" outlineLevel="0" collapsed="false">
      <c r="A31" s="61" t="s">
        <v>593</v>
      </c>
      <c r="B31" s="9" t="str">
        <f aca="false">IF(CAD_Contas!$A28="","","Saldo de conta")</f>
        <v/>
      </c>
      <c r="C31" s="9" t="str">
        <f aca="false">IF(CAD_Contas!$A28="","","Saldo inicial + entradas - saidas = saldo calculado: "&amp;CAD_Contas!$B28)</f>
        <v/>
      </c>
      <c r="D31" s="10" t="str">
        <f aca="false">IF(CAD_Contas!$A28="","",CAD_Contas!$F28+SUMPRODUCT((L_DestTipo="CONTA")*(L_DestID=CAD_Contas!$A28)*(L_Status="REALIZADO")*L_Valor)-SUMPRODUCT((L_OrigTipo="CONTA")*(L_OrigID=CAD_Contas!$A28)*(L_Status="REALIZADO")*L_Valor))</f>
        <v/>
      </c>
      <c r="E31" s="10" t="str">
        <f aca="false">IF(CAD_Contas!$A28="","",CAD_Contas!$J28)</f>
        <v/>
      </c>
      <c r="F31" s="50" t="str">
        <f aca="false">IF($C31="","",$E31-$D31)</f>
        <v/>
      </c>
      <c r="G31" s="19" t="str">
        <f aca="false">IF($C31="","",IF(ABS($F31)&lt;=0.5,"OK","FALHA"))</f>
        <v/>
      </c>
    </row>
    <row r="32" customFormat="false" ht="15" hidden="false" customHeight="false" outlineLevel="0" collapsed="false">
      <c r="A32" s="61" t="s">
        <v>594</v>
      </c>
      <c r="B32" s="9" t="str">
        <f aca="false">IF(CAD_Contas!$A29="","","Saldo de conta")</f>
        <v/>
      </c>
      <c r="C32" s="9" t="str">
        <f aca="false">IF(CAD_Contas!$A29="","","Saldo inicial + entradas - saidas = saldo calculado: "&amp;CAD_Contas!$B29)</f>
        <v/>
      </c>
      <c r="D32" s="10" t="str">
        <f aca="false">IF(CAD_Contas!$A29="","",CAD_Contas!$F29+SUMPRODUCT((L_DestTipo="CONTA")*(L_DestID=CAD_Contas!$A29)*(L_Status="REALIZADO")*L_Valor)-SUMPRODUCT((L_OrigTipo="CONTA")*(L_OrigID=CAD_Contas!$A29)*(L_Status="REALIZADO")*L_Valor))</f>
        <v/>
      </c>
      <c r="E32" s="10" t="str">
        <f aca="false">IF(CAD_Contas!$A29="","",CAD_Contas!$J29)</f>
        <v/>
      </c>
      <c r="F32" s="50" t="str">
        <f aca="false">IF($C32="","",$E32-$D32)</f>
        <v/>
      </c>
      <c r="G32" s="19" t="str">
        <f aca="false">IF($C32="","",IF(ABS($F32)&lt;=0.5,"OK","FALHA"))</f>
        <v/>
      </c>
    </row>
    <row r="33" customFormat="false" ht="15" hidden="false" customHeight="false" outlineLevel="0" collapsed="false">
      <c r="A33" s="61" t="s">
        <v>595</v>
      </c>
      <c r="B33" s="9" t="str">
        <f aca="false">IF(CAD_Contas!$A30="","","Saldo de conta")</f>
        <v/>
      </c>
      <c r="C33" s="9" t="str">
        <f aca="false">IF(CAD_Contas!$A30="","","Saldo inicial + entradas - saidas = saldo calculado: "&amp;CAD_Contas!$B30)</f>
        <v/>
      </c>
      <c r="D33" s="10" t="str">
        <f aca="false">IF(CAD_Contas!$A30="","",CAD_Contas!$F30+SUMPRODUCT((L_DestTipo="CONTA")*(L_DestID=CAD_Contas!$A30)*(L_Status="REALIZADO")*L_Valor)-SUMPRODUCT((L_OrigTipo="CONTA")*(L_OrigID=CAD_Contas!$A30)*(L_Status="REALIZADO")*L_Valor))</f>
        <v/>
      </c>
      <c r="E33" s="10" t="str">
        <f aca="false">IF(CAD_Contas!$A30="","",CAD_Contas!$J30)</f>
        <v/>
      </c>
      <c r="F33" s="50" t="str">
        <f aca="false">IF($C33="","",$E33-$D33)</f>
        <v/>
      </c>
      <c r="G33" s="19" t="str">
        <f aca="false">IF($C33="","",IF(ABS($F33)&lt;=0.5,"OK","FALHA"))</f>
        <v/>
      </c>
    </row>
    <row r="34" customFormat="false" ht="15" hidden="false" customHeight="false" outlineLevel="0" collapsed="false">
      <c r="A34" s="61" t="s">
        <v>596</v>
      </c>
      <c r="B34" s="9" t="str">
        <f aca="false">IF(CAD_Contas!$A31="","","Saldo de conta")</f>
        <v/>
      </c>
      <c r="C34" s="9" t="str">
        <f aca="false">IF(CAD_Contas!$A31="","","Saldo inicial + entradas - saidas = saldo calculado: "&amp;CAD_Contas!$B31)</f>
        <v/>
      </c>
      <c r="D34" s="10" t="str">
        <f aca="false">IF(CAD_Contas!$A31="","",CAD_Contas!$F31+SUMPRODUCT((L_DestTipo="CONTA")*(L_DestID=CAD_Contas!$A31)*(L_Status="REALIZADO")*L_Valor)-SUMPRODUCT((L_OrigTipo="CONTA")*(L_OrigID=CAD_Contas!$A31)*(L_Status="REALIZADO")*L_Valor))</f>
        <v/>
      </c>
      <c r="E34" s="10" t="str">
        <f aca="false">IF(CAD_Contas!$A31="","",CAD_Contas!$J31)</f>
        <v/>
      </c>
      <c r="F34" s="50" t="str">
        <f aca="false">IF($C34="","",$E34-$D34)</f>
        <v/>
      </c>
      <c r="G34" s="19" t="str">
        <f aca="false">IF($C34="","",IF(ABS($F34)&lt;=0.5,"OK","FALHA"))</f>
        <v/>
      </c>
    </row>
    <row r="35" customFormat="false" ht="15" hidden="false" customHeight="false" outlineLevel="0" collapsed="false">
      <c r="A35" s="61" t="s">
        <v>597</v>
      </c>
      <c r="B35" s="9" t="str">
        <f aca="false">IF(CAD_Contas!$A32="","","Saldo de conta")</f>
        <v/>
      </c>
      <c r="C35" s="9" t="str">
        <f aca="false">IF(CAD_Contas!$A32="","","Saldo inicial + entradas - saidas = saldo calculado: "&amp;CAD_Contas!$B32)</f>
        <v/>
      </c>
      <c r="D35" s="10" t="str">
        <f aca="false">IF(CAD_Contas!$A32="","",CAD_Contas!$F32+SUMPRODUCT((L_DestTipo="CONTA")*(L_DestID=CAD_Contas!$A32)*(L_Status="REALIZADO")*L_Valor)-SUMPRODUCT((L_OrigTipo="CONTA")*(L_OrigID=CAD_Contas!$A32)*(L_Status="REALIZADO")*L_Valor))</f>
        <v/>
      </c>
      <c r="E35" s="10" t="str">
        <f aca="false">IF(CAD_Contas!$A32="","",CAD_Contas!$J32)</f>
        <v/>
      </c>
      <c r="F35" s="50" t="str">
        <f aca="false">IF($C35="","",$E35-$D35)</f>
        <v/>
      </c>
      <c r="G35" s="19" t="str">
        <f aca="false">IF($C35="","",IF(ABS($F35)&lt;=0.5,"OK","FALHA"))</f>
        <v/>
      </c>
    </row>
    <row r="36" customFormat="false" ht="15" hidden="false" customHeight="false" outlineLevel="0" collapsed="false">
      <c r="A36" s="61" t="s">
        <v>598</v>
      </c>
      <c r="B36" s="9" t="str">
        <f aca="false">IF(CAD_Contas!$A33="","","Saldo de conta")</f>
        <v/>
      </c>
      <c r="C36" s="9" t="str">
        <f aca="false">IF(CAD_Contas!$A33="","","Saldo inicial + entradas - saidas = saldo calculado: "&amp;CAD_Contas!$B33)</f>
        <v/>
      </c>
      <c r="D36" s="10" t="str">
        <f aca="false">IF(CAD_Contas!$A33="","",CAD_Contas!$F33+SUMPRODUCT((L_DestTipo="CONTA")*(L_DestID=CAD_Contas!$A33)*(L_Status="REALIZADO")*L_Valor)-SUMPRODUCT((L_OrigTipo="CONTA")*(L_OrigID=CAD_Contas!$A33)*(L_Status="REALIZADO")*L_Valor))</f>
        <v/>
      </c>
      <c r="E36" s="10" t="str">
        <f aca="false">IF(CAD_Contas!$A33="","",CAD_Contas!$J33)</f>
        <v/>
      </c>
      <c r="F36" s="50" t="str">
        <f aca="false">IF($C36="","",$E36-$D36)</f>
        <v/>
      </c>
      <c r="G36" s="19" t="str">
        <f aca="false">IF($C36="","",IF(ABS($F36)&lt;=0.5,"OK","FALHA"))</f>
        <v/>
      </c>
    </row>
    <row r="37" customFormat="false" ht="15" hidden="false" customHeight="false" outlineLevel="0" collapsed="false">
      <c r="A37" s="61" t="s">
        <v>599</v>
      </c>
      <c r="B37" s="9" t="str">
        <f aca="false">IF(CAD_Contas!$A34="","","Saldo de conta")</f>
        <v/>
      </c>
      <c r="C37" s="9" t="str">
        <f aca="false">IF(CAD_Contas!$A34="","","Saldo inicial + entradas - saidas = saldo calculado: "&amp;CAD_Contas!$B34)</f>
        <v/>
      </c>
      <c r="D37" s="10" t="str">
        <f aca="false">IF(CAD_Contas!$A34="","",CAD_Contas!$F34+SUMPRODUCT((L_DestTipo="CONTA")*(L_DestID=CAD_Contas!$A34)*(L_Status="REALIZADO")*L_Valor)-SUMPRODUCT((L_OrigTipo="CONTA")*(L_OrigID=CAD_Contas!$A34)*(L_Status="REALIZADO")*L_Valor))</f>
        <v/>
      </c>
      <c r="E37" s="10" t="str">
        <f aca="false">IF(CAD_Contas!$A34="","",CAD_Contas!$J34)</f>
        <v/>
      </c>
      <c r="F37" s="50" t="str">
        <f aca="false">IF($C37="","",$E37-$D37)</f>
        <v/>
      </c>
      <c r="G37" s="19" t="str">
        <f aca="false">IF($C37="","",IF(ABS($F37)&lt;=0.5,"OK","FALHA"))</f>
        <v/>
      </c>
    </row>
    <row r="38" customFormat="false" ht="15" hidden="false" customHeight="false" outlineLevel="0" collapsed="false">
      <c r="A38" s="61" t="s">
        <v>600</v>
      </c>
      <c r="B38" s="9" t="str">
        <f aca="false">IF(CAD_Contas!$A35="","","Saldo de conta")</f>
        <v/>
      </c>
      <c r="C38" s="9" t="str">
        <f aca="false">IF(CAD_Contas!$A35="","","Saldo inicial + entradas - saidas = saldo calculado: "&amp;CAD_Contas!$B35)</f>
        <v/>
      </c>
      <c r="D38" s="10" t="str">
        <f aca="false">IF(CAD_Contas!$A35="","",CAD_Contas!$F35+SUMPRODUCT((L_DestTipo="CONTA")*(L_DestID=CAD_Contas!$A35)*(L_Status="REALIZADO")*L_Valor)-SUMPRODUCT((L_OrigTipo="CONTA")*(L_OrigID=CAD_Contas!$A35)*(L_Status="REALIZADO")*L_Valor))</f>
        <v/>
      </c>
      <c r="E38" s="10" t="str">
        <f aca="false">IF(CAD_Contas!$A35="","",CAD_Contas!$J35)</f>
        <v/>
      </c>
      <c r="F38" s="50" t="str">
        <f aca="false">IF($C38="","",$E38-$D38)</f>
        <v/>
      </c>
      <c r="G38" s="19" t="str">
        <f aca="false">IF($C38="","",IF(ABS($F38)&lt;=0.5,"OK","FALHA"))</f>
        <v/>
      </c>
    </row>
    <row r="39" customFormat="false" ht="15" hidden="false" customHeight="false" outlineLevel="0" collapsed="false">
      <c r="A39" s="61" t="s">
        <v>601</v>
      </c>
      <c r="B39" s="9" t="str">
        <f aca="false">IF(CAD_Contas!$A36="","","Saldo de conta")</f>
        <v/>
      </c>
      <c r="C39" s="9" t="str">
        <f aca="false">IF(CAD_Contas!$A36="","","Saldo inicial + entradas - saidas = saldo calculado: "&amp;CAD_Contas!$B36)</f>
        <v/>
      </c>
      <c r="D39" s="10" t="str">
        <f aca="false">IF(CAD_Contas!$A36="","",CAD_Contas!$F36+SUMPRODUCT((L_DestTipo="CONTA")*(L_DestID=CAD_Contas!$A36)*(L_Status="REALIZADO")*L_Valor)-SUMPRODUCT((L_OrigTipo="CONTA")*(L_OrigID=CAD_Contas!$A36)*(L_Status="REALIZADO")*L_Valor))</f>
        <v/>
      </c>
      <c r="E39" s="10" t="str">
        <f aca="false">IF(CAD_Contas!$A36="","",CAD_Contas!$J36)</f>
        <v/>
      </c>
      <c r="F39" s="50" t="str">
        <f aca="false">IF($C39="","",$E39-$D39)</f>
        <v/>
      </c>
      <c r="G39" s="19" t="str">
        <f aca="false">IF($C39="","",IF(ABS($F39)&lt;=0.5,"OK","FALHA"))</f>
        <v/>
      </c>
    </row>
    <row r="40" customFormat="false" ht="15" hidden="false" customHeight="false" outlineLevel="0" collapsed="false">
      <c r="A40" s="61" t="s">
        <v>602</v>
      </c>
      <c r="B40" s="9" t="str">
        <f aca="false">IF(CAD_Contas!$A37="","","Saldo de conta")</f>
        <v/>
      </c>
      <c r="C40" s="9" t="str">
        <f aca="false">IF(CAD_Contas!$A37="","","Saldo inicial + entradas - saidas = saldo calculado: "&amp;CAD_Contas!$B37)</f>
        <v/>
      </c>
      <c r="D40" s="10" t="str">
        <f aca="false">IF(CAD_Contas!$A37="","",CAD_Contas!$F37+SUMPRODUCT((L_DestTipo="CONTA")*(L_DestID=CAD_Contas!$A37)*(L_Status="REALIZADO")*L_Valor)-SUMPRODUCT((L_OrigTipo="CONTA")*(L_OrigID=CAD_Contas!$A37)*(L_Status="REALIZADO")*L_Valor))</f>
        <v/>
      </c>
      <c r="E40" s="10" t="str">
        <f aca="false">IF(CAD_Contas!$A37="","",CAD_Contas!$J37)</f>
        <v/>
      </c>
      <c r="F40" s="50" t="str">
        <f aca="false">IF($C40="","",$E40-$D40)</f>
        <v/>
      </c>
      <c r="G40" s="19" t="str">
        <f aca="false">IF($C40="","",IF(ABS($F40)&lt;=0.5,"OK","FALHA"))</f>
        <v/>
      </c>
    </row>
    <row r="41" customFormat="false" ht="15" hidden="false" customHeight="false" outlineLevel="0" collapsed="false">
      <c r="A41" s="61" t="s">
        <v>603</v>
      </c>
      <c r="B41" s="9" t="str">
        <f aca="false">IF(CAD_Contas!$A38="","","Saldo de conta")</f>
        <v/>
      </c>
      <c r="C41" s="9" t="str">
        <f aca="false">IF(CAD_Contas!$A38="","","Saldo inicial + entradas - saidas = saldo calculado: "&amp;CAD_Contas!$B38)</f>
        <v/>
      </c>
      <c r="D41" s="10" t="str">
        <f aca="false">IF(CAD_Contas!$A38="","",CAD_Contas!$F38+SUMPRODUCT((L_DestTipo="CONTA")*(L_DestID=CAD_Contas!$A38)*(L_Status="REALIZADO")*L_Valor)-SUMPRODUCT((L_OrigTipo="CONTA")*(L_OrigID=CAD_Contas!$A38)*(L_Status="REALIZADO")*L_Valor))</f>
        <v/>
      </c>
      <c r="E41" s="10" t="str">
        <f aca="false">IF(CAD_Contas!$A38="","",CAD_Contas!$J38)</f>
        <v/>
      </c>
      <c r="F41" s="50" t="str">
        <f aca="false">IF($C41="","",$E41-$D41)</f>
        <v/>
      </c>
      <c r="G41" s="19" t="str">
        <f aca="false">IF($C41="","",IF(ABS($F41)&lt;=0.5,"OK","FALHA"))</f>
        <v/>
      </c>
    </row>
    <row r="42" customFormat="false" ht="15" hidden="false" customHeight="false" outlineLevel="0" collapsed="false">
      <c r="A42" s="61" t="s">
        <v>604</v>
      </c>
      <c r="B42" s="9" t="str">
        <f aca="false">IF(CAD_Contas!$A39="","","Saldo de conta")</f>
        <v/>
      </c>
      <c r="C42" s="9" t="str">
        <f aca="false">IF(CAD_Contas!$A39="","","Saldo inicial + entradas - saidas = saldo calculado: "&amp;CAD_Contas!$B39)</f>
        <v/>
      </c>
      <c r="D42" s="10" t="str">
        <f aca="false">IF(CAD_Contas!$A39="","",CAD_Contas!$F39+SUMPRODUCT((L_DestTipo="CONTA")*(L_DestID=CAD_Contas!$A39)*(L_Status="REALIZADO")*L_Valor)-SUMPRODUCT((L_OrigTipo="CONTA")*(L_OrigID=CAD_Contas!$A39)*(L_Status="REALIZADO")*L_Valor))</f>
        <v/>
      </c>
      <c r="E42" s="10" t="str">
        <f aca="false">IF(CAD_Contas!$A39="","",CAD_Contas!$J39)</f>
        <v/>
      </c>
      <c r="F42" s="50" t="str">
        <f aca="false">IF($C42="","",$E42-$D42)</f>
        <v/>
      </c>
      <c r="G42" s="19" t="str">
        <f aca="false">IF($C42="","",IF(ABS($F42)&lt;=0.5,"OK","FALHA"))</f>
        <v/>
      </c>
    </row>
    <row r="43" customFormat="false" ht="15" hidden="false" customHeight="false" outlineLevel="0" collapsed="false">
      <c r="A43" s="61" t="s">
        <v>605</v>
      </c>
      <c r="B43" s="9" t="str">
        <f aca="false">IF(CAD_Contas!$A40="","","Saldo de conta")</f>
        <v/>
      </c>
      <c r="C43" s="9" t="str">
        <f aca="false">IF(CAD_Contas!$A40="","","Saldo inicial + entradas - saidas = saldo calculado: "&amp;CAD_Contas!$B40)</f>
        <v/>
      </c>
      <c r="D43" s="10" t="str">
        <f aca="false">IF(CAD_Contas!$A40="","",CAD_Contas!$F40+SUMPRODUCT((L_DestTipo="CONTA")*(L_DestID=CAD_Contas!$A40)*(L_Status="REALIZADO")*L_Valor)-SUMPRODUCT((L_OrigTipo="CONTA")*(L_OrigID=CAD_Contas!$A40)*(L_Status="REALIZADO")*L_Valor))</f>
        <v/>
      </c>
      <c r="E43" s="10" t="str">
        <f aca="false">IF(CAD_Contas!$A40="","",CAD_Contas!$J40)</f>
        <v/>
      </c>
      <c r="F43" s="50" t="str">
        <f aca="false">IF($C43="","",$E43-$D43)</f>
        <v/>
      </c>
      <c r="G43" s="19" t="str">
        <f aca="false">IF($C43="","",IF(ABS($F43)&lt;=0.5,"OK","FALHA"))</f>
        <v/>
      </c>
    </row>
    <row r="44" customFormat="false" ht="15" hidden="false" customHeight="false" outlineLevel="0" collapsed="false">
      <c r="A44" s="61" t="s">
        <v>606</v>
      </c>
      <c r="B44" s="9" t="str">
        <f aca="false">IF(CAD_Contas!$A41="","","Saldo de conta")</f>
        <v/>
      </c>
      <c r="C44" s="9" t="str">
        <f aca="false">IF(CAD_Contas!$A41="","","Saldo inicial + entradas - saidas = saldo calculado: "&amp;CAD_Contas!$B41)</f>
        <v/>
      </c>
      <c r="D44" s="10" t="str">
        <f aca="false">IF(CAD_Contas!$A41="","",CAD_Contas!$F41+SUMPRODUCT((L_DestTipo="CONTA")*(L_DestID=CAD_Contas!$A41)*(L_Status="REALIZADO")*L_Valor)-SUMPRODUCT((L_OrigTipo="CONTA")*(L_OrigID=CAD_Contas!$A41)*(L_Status="REALIZADO")*L_Valor))</f>
        <v/>
      </c>
      <c r="E44" s="10" t="str">
        <f aca="false">IF(CAD_Contas!$A41="","",CAD_Contas!$J41)</f>
        <v/>
      </c>
      <c r="F44" s="50" t="str">
        <f aca="false">IF($C44="","",$E44-$D44)</f>
        <v/>
      </c>
      <c r="G44" s="19" t="str">
        <f aca="false">IF($C44="","",IF(ABS($F44)&lt;=0.5,"OK","FALHA"))</f>
        <v/>
      </c>
    </row>
    <row r="45" customFormat="false" ht="15" hidden="false" customHeight="false" outlineLevel="0" collapsed="false">
      <c r="A45" s="61" t="s">
        <v>607</v>
      </c>
      <c r="B45" s="9" t="str">
        <f aca="false">IF(CAD_Contas!$A42="","","Saldo de conta")</f>
        <v/>
      </c>
      <c r="C45" s="9" t="str">
        <f aca="false">IF(CAD_Contas!$A42="","","Saldo inicial + entradas - saidas = saldo calculado: "&amp;CAD_Contas!$B42)</f>
        <v/>
      </c>
      <c r="D45" s="10" t="str">
        <f aca="false">IF(CAD_Contas!$A42="","",CAD_Contas!$F42+SUMPRODUCT((L_DestTipo="CONTA")*(L_DestID=CAD_Contas!$A42)*(L_Status="REALIZADO")*L_Valor)-SUMPRODUCT((L_OrigTipo="CONTA")*(L_OrigID=CAD_Contas!$A42)*(L_Status="REALIZADO")*L_Valor))</f>
        <v/>
      </c>
      <c r="E45" s="10" t="str">
        <f aca="false">IF(CAD_Contas!$A42="","",CAD_Contas!$J42)</f>
        <v/>
      </c>
      <c r="F45" s="50" t="str">
        <f aca="false">IF($C45="","",$E45-$D45)</f>
        <v/>
      </c>
      <c r="G45" s="19" t="str">
        <f aca="false">IF($C45="","",IF(ABS($F45)&lt;=0.5,"OK","FALHA"))</f>
        <v/>
      </c>
    </row>
    <row r="46" customFormat="false" ht="15" hidden="false" customHeight="false" outlineLevel="0" collapsed="false">
      <c r="A46" s="61" t="s">
        <v>608</v>
      </c>
      <c r="B46" s="9" t="str">
        <f aca="false">IF(CAD_Contas!$A43="","","Saldo de conta")</f>
        <v/>
      </c>
      <c r="C46" s="9" t="str">
        <f aca="false">IF(CAD_Contas!$A43="","","Saldo inicial + entradas - saidas = saldo calculado: "&amp;CAD_Contas!$B43)</f>
        <v/>
      </c>
      <c r="D46" s="10" t="str">
        <f aca="false">IF(CAD_Contas!$A43="","",CAD_Contas!$F43+SUMPRODUCT((L_DestTipo="CONTA")*(L_DestID=CAD_Contas!$A43)*(L_Status="REALIZADO")*L_Valor)-SUMPRODUCT((L_OrigTipo="CONTA")*(L_OrigID=CAD_Contas!$A43)*(L_Status="REALIZADO")*L_Valor))</f>
        <v/>
      </c>
      <c r="E46" s="10" t="str">
        <f aca="false">IF(CAD_Contas!$A43="","",CAD_Contas!$J43)</f>
        <v/>
      </c>
      <c r="F46" s="50" t="str">
        <f aca="false">IF($C46="","",$E46-$D46)</f>
        <v/>
      </c>
      <c r="G46" s="19" t="str">
        <f aca="false">IF($C46="","",IF(ABS($F46)&lt;=0.5,"OK","FALHA"))</f>
        <v/>
      </c>
    </row>
    <row r="47" customFormat="false" ht="15" hidden="false" customHeight="false" outlineLevel="0" collapsed="false">
      <c r="A47" s="61" t="s">
        <v>609</v>
      </c>
      <c r="B47" s="9" t="str">
        <f aca="false">IF(CAD_Contas!$A44="","","Saldo de conta")</f>
        <v/>
      </c>
      <c r="C47" s="9" t="str">
        <f aca="false">IF(CAD_Contas!$A44="","","Saldo inicial + entradas - saidas = saldo calculado: "&amp;CAD_Contas!$B44)</f>
        <v/>
      </c>
      <c r="D47" s="10" t="str">
        <f aca="false">IF(CAD_Contas!$A44="","",CAD_Contas!$F44+SUMPRODUCT((L_DestTipo="CONTA")*(L_DestID=CAD_Contas!$A44)*(L_Status="REALIZADO")*L_Valor)-SUMPRODUCT((L_OrigTipo="CONTA")*(L_OrigID=CAD_Contas!$A44)*(L_Status="REALIZADO")*L_Valor))</f>
        <v/>
      </c>
      <c r="E47" s="10" t="str">
        <f aca="false">IF(CAD_Contas!$A44="","",CAD_Contas!$J44)</f>
        <v/>
      </c>
      <c r="F47" s="50" t="str">
        <f aca="false">IF($C47="","",$E47-$D47)</f>
        <v/>
      </c>
      <c r="G47" s="19" t="str">
        <f aca="false">IF($C47="","",IF(ABS($F47)&lt;=0.5,"OK","FALHA"))</f>
        <v/>
      </c>
    </row>
    <row r="49" customFormat="false" ht="19.5" hidden="false" customHeight="true" outlineLevel="0" collapsed="false">
      <c r="A49" s="3" t="s">
        <v>610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100</v>
      </c>
      <c r="B50" s="8" t="s">
        <v>565</v>
      </c>
      <c r="C50" s="8" t="s">
        <v>566</v>
      </c>
      <c r="D50" s="8" t="s">
        <v>567</v>
      </c>
      <c r="E50" s="8" t="s">
        <v>568</v>
      </c>
      <c r="F50" s="8" t="s">
        <v>569</v>
      </c>
      <c r="G50" s="8" t="s">
        <v>426</v>
      </c>
    </row>
    <row r="51" customFormat="false" ht="15" hidden="false" customHeight="false" outlineLevel="0" collapsed="false">
      <c r="A51" s="61" t="s">
        <v>611</v>
      </c>
      <c r="B51" s="9" t="str">
        <f aca="false">IF(CAD_Cartoes!$A5="","","Divida de cartao")</f>
        <v/>
      </c>
      <c r="C51" s="9" t="str">
        <f aca="false">IF(CAD_Cartoes!$A5="","","Divida inicial + compras - pagamentos = divida atual: "&amp;CAD_Cartoes!$B5)</f>
        <v/>
      </c>
      <c r="D51" s="10" t="str">
        <f aca="false">IF(CAD_Cartoes!$A5="","",CAD_Cartoes!$F5+SUMPRODUCT((L_OrigTipo="CARTAO")*(L_OrigID=CAD_Cartoes!$A5)*(L_Status="REALIZADO")*L_Valor)-SUMPRODUCT((L_DestTipo="CARTAO")*(L_DestID=CAD_Cartoes!$A5)*(L_Status="REALIZADO")*L_Valor))</f>
        <v/>
      </c>
      <c r="E51" s="10" t="str">
        <f aca="false">IF(CAD_Cartoes!$A5="","",CAD_Cartoes!$L5)</f>
        <v/>
      </c>
      <c r="F51" s="50" t="str">
        <f aca="false">IF($C51="","",$E51-$D51)</f>
        <v/>
      </c>
      <c r="G51" s="19" t="str">
        <f aca="false">IF($C51="","",IF(ABS($F51)&lt;=0.5,"OK","FALHA"))</f>
        <v/>
      </c>
    </row>
    <row r="52" customFormat="false" ht="15" hidden="false" customHeight="false" outlineLevel="0" collapsed="false">
      <c r="A52" s="61" t="s">
        <v>612</v>
      </c>
      <c r="B52" s="9" t="str">
        <f aca="false">IF(CAD_Cartoes!$A6="","","Divida de cartao")</f>
        <v/>
      </c>
      <c r="C52" s="9" t="str">
        <f aca="false">IF(CAD_Cartoes!$A6="","","Divida inicial + compras - pagamentos = divida atual: "&amp;CAD_Cartoes!$B6)</f>
        <v/>
      </c>
      <c r="D52" s="10" t="str">
        <f aca="false">IF(CAD_Cartoes!$A6="","",CAD_Cartoes!$F6+SUMPRODUCT((L_OrigTipo="CARTAO")*(L_OrigID=CAD_Cartoes!$A6)*(L_Status="REALIZADO")*L_Valor)-SUMPRODUCT((L_DestTipo="CARTAO")*(L_DestID=CAD_Cartoes!$A6)*(L_Status="REALIZADO")*L_Valor))</f>
        <v/>
      </c>
      <c r="E52" s="10" t="str">
        <f aca="false">IF(CAD_Cartoes!$A6="","",CAD_Cartoes!$L6)</f>
        <v/>
      </c>
      <c r="F52" s="50" t="str">
        <f aca="false">IF($C52="","",$E52-$D52)</f>
        <v/>
      </c>
      <c r="G52" s="19" t="str">
        <f aca="false">IF($C52="","",IF(ABS($F52)&lt;=0.5,"OK","FALHA"))</f>
        <v/>
      </c>
    </row>
    <row r="53" customFormat="false" ht="15" hidden="false" customHeight="false" outlineLevel="0" collapsed="false">
      <c r="A53" s="61" t="s">
        <v>613</v>
      </c>
      <c r="B53" s="9" t="str">
        <f aca="false">IF(CAD_Cartoes!$A7="","","Divida de cartao")</f>
        <v/>
      </c>
      <c r="C53" s="9" t="str">
        <f aca="false">IF(CAD_Cartoes!$A7="","","Divida inicial + compras - pagamentos = divida atual: "&amp;CAD_Cartoes!$B7)</f>
        <v/>
      </c>
      <c r="D53" s="10" t="str">
        <f aca="false">IF(CAD_Cartoes!$A7="","",CAD_Cartoes!$F7+SUMPRODUCT((L_OrigTipo="CARTAO")*(L_OrigID=CAD_Cartoes!$A7)*(L_Status="REALIZADO")*L_Valor)-SUMPRODUCT((L_DestTipo="CARTAO")*(L_DestID=CAD_Cartoes!$A7)*(L_Status="REALIZADO")*L_Valor))</f>
        <v/>
      </c>
      <c r="E53" s="10" t="str">
        <f aca="false">IF(CAD_Cartoes!$A7="","",CAD_Cartoes!$L7)</f>
        <v/>
      </c>
      <c r="F53" s="50" t="str">
        <f aca="false">IF($C53="","",$E53-$D53)</f>
        <v/>
      </c>
      <c r="G53" s="19" t="str">
        <f aca="false">IF($C53="","",IF(ABS($F53)&lt;=0.5,"OK","FALHA"))</f>
        <v/>
      </c>
    </row>
    <row r="54" customFormat="false" ht="15" hidden="false" customHeight="false" outlineLevel="0" collapsed="false">
      <c r="A54" s="61" t="s">
        <v>614</v>
      </c>
      <c r="B54" s="9" t="str">
        <f aca="false">IF(CAD_Cartoes!$A8="","","Divida de cartao")</f>
        <v/>
      </c>
      <c r="C54" s="9" t="str">
        <f aca="false">IF(CAD_Cartoes!$A8="","","Divida inicial + compras - pagamentos = divida atual: "&amp;CAD_Cartoes!$B8)</f>
        <v/>
      </c>
      <c r="D54" s="10" t="str">
        <f aca="false">IF(CAD_Cartoes!$A8="","",CAD_Cartoes!$F8+SUMPRODUCT((L_OrigTipo="CARTAO")*(L_OrigID=CAD_Cartoes!$A8)*(L_Status="REALIZADO")*L_Valor)-SUMPRODUCT((L_DestTipo="CARTAO")*(L_DestID=CAD_Cartoes!$A8)*(L_Status="REALIZADO")*L_Valor))</f>
        <v/>
      </c>
      <c r="E54" s="10" t="str">
        <f aca="false">IF(CAD_Cartoes!$A8="","",CAD_Cartoes!$L8)</f>
        <v/>
      </c>
      <c r="F54" s="50" t="str">
        <f aca="false">IF($C54="","",$E54-$D54)</f>
        <v/>
      </c>
      <c r="G54" s="19" t="str">
        <f aca="false">IF($C54="","",IF(ABS($F54)&lt;=0.5,"OK","FALHA"))</f>
        <v/>
      </c>
    </row>
    <row r="55" customFormat="false" ht="15" hidden="false" customHeight="false" outlineLevel="0" collapsed="false">
      <c r="A55" s="61" t="s">
        <v>615</v>
      </c>
      <c r="B55" s="9" t="str">
        <f aca="false">IF(CAD_Cartoes!$A9="","","Divida de cartao")</f>
        <v/>
      </c>
      <c r="C55" s="9" t="str">
        <f aca="false">IF(CAD_Cartoes!$A9="","","Divida inicial + compras - pagamentos = divida atual: "&amp;CAD_Cartoes!$B9)</f>
        <v/>
      </c>
      <c r="D55" s="10" t="str">
        <f aca="false">IF(CAD_Cartoes!$A9="","",CAD_Cartoes!$F9+SUMPRODUCT((L_OrigTipo="CARTAO")*(L_OrigID=CAD_Cartoes!$A9)*(L_Status="REALIZADO")*L_Valor)-SUMPRODUCT((L_DestTipo="CARTAO")*(L_DestID=CAD_Cartoes!$A9)*(L_Status="REALIZADO")*L_Valor))</f>
        <v/>
      </c>
      <c r="E55" s="10" t="str">
        <f aca="false">IF(CAD_Cartoes!$A9="","",CAD_Cartoes!$L9)</f>
        <v/>
      </c>
      <c r="F55" s="50" t="str">
        <f aca="false">IF($C55="","",$E55-$D55)</f>
        <v/>
      </c>
      <c r="G55" s="19" t="str">
        <f aca="false">IF($C55="","",IF(ABS($F55)&lt;=0.5,"OK","FALHA"))</f>
        <v/>
      </c>
    </row>
    <row r="56" customFormat="false" ht="15" hidden="false" customHeight="false" outlineLevel="0" collapsed="false">
      <c r="A56" s="61" t="s">
        <v>616</v>
      </c>
      <c r="B56" s="9" t="str">
        <f aca="false">IF(CAD_Cartoes!$A10="","","Divida de cartao")</f>
        <v/>
      </c>
      <c r="C56" s="9" t="str">
        <f aca="false">IF(CAD_Cartoes!$A10="","","Divida inicial + compras - pagamentos = divida atual: "&amp;CAD_Cartoes!$B10)</f>
        <v/>
      </c>
      <c r="D56" s="10" t="str">
        <f aca="false">IF(CAD_Cartoes!$A10="","",CAD_Cartoes!$F10+SUMPRODUCT((L_OrigTipo="CARTAO")*(L_OrigID=CAD_Cartoes!$A10)*(L_Status="REALIZADO")*L_Valor)-SUMPRODUCT((L_DestTipo="CARTAO")*(L_DestID=CAD_Cartoes!$A10)*(L_Status="REALIZADO")*L_Valor))</f>
        <v/>
      </c>
      <c r="E56" s="10" t="str">
        <f aca="false">IF(CAD_Cartoes!$A10="","",CAD_Cartoes!$L10)</f>
        <v/>
      </c>
      <c r="F56" s="50" t="str">
        <f aca="false">IF($C56="","",$E56-$D56)</f>
        <v/>
      </c>
      <c r="G56" s="19" t="str">
        <f aca="false">IF($C56="","",IF(ABS($F56)&lt;=0.5,"OK","FALHA"))</f>
        <v/>
      </c>
    </row>
    <row r="57" customFormat="false" ht="15" hidden="false" customHeight="false" outlineLevel="0" collapsed="false">
      <c r="A57" s="61" t="s">
        <v>617</v>
      </c>
      <c r="B57" s="9" t="str">
        <f aca="false">IF(CAD_Cartoes!$A11="","","Divida de cartao")</f>
        <v/>
      </c>
      <c r="C57" s="9" t="str">
        <f aca="false">IF(CAD_Cartoes!$A11="","","Divida inicial + compras - pagamentos = divida atual: "&amp;CAD_Cartoes!$B11)</f>
        <v/>
      </c>
      <c r="D57" s="10" t="str">
        <f aca="false">IF(CAD_Cartoes!$A11="","",CAD_Cartoes!$F11+SUMPRODUCT((L_OrigTipo="CARTAO")*(L_OrigID=CAD_Cartoes!$A11)*(L_Status="REALIZADO")*L_Valor)-SUMPRODUCT((L_DestTipo="CARTAO")*(L_DestID=CAD_Cartoes!$A11)*(L_Status="REALIZADO")*L_Valor))</f>
        <v/>
      </c>
      <c r="E57" s="10" t="str">
        <f aca="false">IF(CAD_Cartoes!$A11="","",CAD_Cartoes!$L11)</f>
        <v/>
      </c>
      <c r="F57" s="50" t="str">
        <f aca="false">IF($C57="","",$E57-$D57)</f>
        <v/>
      </c>
      <c r="G57" s="19" t="str">
        <f aca="false">IF($C57="","",IF(ABS($F57)&lt;=0.5,"OK","FALHA"))</f>
        <v/>
      </c>
    </row>
    <row r="58" customFormat="false" ht="15" hidden="false" customHeight="false" outlineLevel="0" collapsed="false">
      <c r="A58" s="61" t="s">
        <v>618</v>
      </c>
      <c r="B58" s="9" t="str">
        <f aca="false">IF(CAD_Cartoes!$A12="","","Divida de cartao")</f>
        <v/>
      </c>
      <c r="C58" s="9" t="str">
        <f aca="false">IF(CAD_Cartoes!$A12="","","Divida inicial + compras - pagamentos = divida atual: "&amp;CAD_Cartoes!$B12)</f>
        <v/>
      </c>
      <c r="D58" s="10" t="str">
        <f aca="false">IF(CAD_Cartoes!$A12="","",CAD_Cartoes!$F12+SUMPRODUCT((L_OrigTipo="CARTAO")*(L_OrigID=CAD_Cartoes!$A12)*(L_Status="REALIZADO")*L_Valor)-SUMPRODUCT((L_DestTipo="CARTAO")*(L_DestID=CAD_Cartoes!$A12)*(L_Status="REALIZADO")*L_Valor))</f>
        <v/>
      </c>
      <c r="E58" s="10" t="str">
        <f aca="false">IF(CAD_Cartoes!$A12="","",CAD_Cartoes!$L12)</f>
        <v/>
      </c>
      <c r="F58" s="50" t="str">
        <f aca="false">IF($C58="","",$E58-$D58)</f>
        <v/>
      </c>
      <c r="G58" s="19" t="str">
        <f aca="false">IF($C58="","",IF(ABS($F58)&lt;=0.5,"OK","FALHA"))</f>
        <v/>
      </c>
    </row>
    <row r="59" customFormat="false" ht="15" hidden="false" customHeight="false" outlineLevel="0" collapsed="false">
      <c r="A59" s="61" t="s">
        <v>619</v>
      </c>
      <c r="B59" s="9" t="str">
        <f aca="false">IF(CAD_Cartoes!$A13="","","Divida de cartao")</f>
        <v/>
      </c>
      <c r="C59" s="9" t="str">
        <f aca="false">IF(CAD_Cartoes!$A13="","","Divida inicial + compras - pagamentos = divida atual: "&amp;CAD_Cartoes!$B13)</f>
        <v/>
      </c>
      <c r="D59" s="10" t="str">
        <f aca="false">IF(CAD_Cartoes!$A13="","",CAD_Cartoes!$F13+SUMPRODUCT((L_OrigTipo="CARTAO")*(L_OrigID=CAD_Cartoes!$A13)*(L_Status="REALIZADO")*L_Valor)-SUMPRODUCT((L_DestTipo="CARTAO")*(L_DestID=CAD_Cartoes!$A13)*(L_Status="REALIZADO")*L_Valor))</f>
        <v/>
      </c>
      <c r="E59" s="10" t="str">
        <f aca="false">IF(CAD_Cartoes!$A13="","",CAD_Cartoes!$L13)</f>
        <v/>
      </c>
      <c r="F59" s="50" t="str">
        <f aca="false">IF($C59="","",$E59-$D59)</f>
        <v/>
      </c>
      <c r="G59" s="19" t="str">
        <f aca="false">IF($C59="","",IF(ABS($F59)&lt;=0.5,"OK","FALHA"))</f>
        <v/>
      </c>
    </row>
    <row r="60" customFormat="false" ht="15" hidden="false" customHeight="false" outlineLevel="0" collapsed="false">
      <c r="A60" s="61" t="s">
        <v>620</v>
      </c>
      <c r="B60" s="9" t="str">
        <f aca="false">IF(CAD_Cartoes!$A14="","","Divida de cartao")</f>
        <v/>
      </c>
      <c r="C60" s="9" t="str">
        <f aca="false">IF(CAD_Cartoes!$A14="","","Divida inicial + compras - pagamentos = divida atual: "&amp;CAD_Cartoes!$B14)</f>
        <v/>
      </c>
      <c r="D60" s="10" t="str">
        <f aca="false">IF(CAD_Cartoes!$A14="","",CAD_Cartoes!$F14+SUMPRODUCT((L_OrigTipo="CARTAO")*(L_OrigID=CAD_Cartoes!$A14)*(L_Status="REALIZADO")*L_Valor)-SUMPRODUCT((L_DestTipo="CARTAO")*(L_DestID=CAD_Cartoes!$A14)*(L_Status="REALIZADO")*L_Valor))</f>
        <v/>
      </c>
      <c r="E60" s="10" t="str">
        <f aca="false">IF(CAD_Cartoes!$A14="","",CAD_Cartoes!$L14)</f>
        <v/>
      </c>
      <c r="F60" s="50" t="str">
        <f aca="false">IF($C60="","",$E60-$D60)</f>
        <v/>
      </c>
      <c r="G60" s="19" t="str">
        <f aca="false">IF($C60="","",IF(ABS($F60)&lt;=0.5,"OK","FALHA"))</f>
        <v/>
      </c>
    </row>
    <row r="61" customFormat="false" ht="15" hidden="false" customHeight="false" outlineLevel="0" collapsed="false">
      <c r="A61" s="61" t="s">
        <v>621</v>
      </c>
      <c r="B61" s="9" t="str">
        <f aca="false">IF(CAD_Cartoes!$A15="","","Divida de cartao")</f>
        <v/>
      </c>
      <c r="C61" s="9" t="str">
        <f aca="false">IF(CAD_Cartoes!$A15="","","Divida inicial + compras - pagamentos = divida atual: "&amp;CAD_Cartoes!$B15)</f>
        <v/>
      </c>
      <c r="D61" s="10" t="str">
        <f aca="false">IF(CAD_Cartoes!$A15="","",CAD_Cartoes!$F15+SUMPRODUCT((L_OrigTipo="CARTAO")*(L_OrigID=CAD_Cartoes!$A15)*(L_Status="REALIZADO")*L_Valor)-SUMPRODUCT((L_DestTipo="CARTAO")*(L_DestID=CAD_Cartoes!$A15)*(L_Status="REALIZADO")*L_Valor))</f>
        <v/>
      </c>
      <c r="E61" s="10" t="str">
        <f aca="false">IF(CAD_Cartoes!$A15="","",CAD_Cartoes!$L15)</f>
        <v/>
      </c>
      <c r="F61" s="50" t="str">
        <f aca="false">IF($C61="","",$E61-$D61)</f>
        <v/>
      </c>
      <c r="G61" s="19" t="str">
        <f aca="false">IF($C61="","",IF(ABS($F61)&lt;=0.5,"OK","FALHA"))</f>
        <v/>
      </c>
    </row>
    <row r="62" customFormat="false" ht="15" hidden="false" customHeight="false" outlineLevel="0" collapsed="false">
      <c r="A62" s="61" t="s">
        <v>622</v>
      </c>
      <c r="B62" s="9" t="str">
        <f aca="false">IF(CAD_Cartoes!$A16="","","Divida de cartao")</f>
        <v/>
      </c>
      <c r="C62" s="9" t="str">
        <f aca="false">IF(CAD_Cartoes!$A16="","","Divida inicial + compras - pagamentos = divida atual: "&amp;CAD_Cartoes!$B16)</f>
        <v/>
      </c>
      <c r="D62" s="10" t="str">
        <f aca="false">IF(CAD_Cartoes!$A16="","",CAD_Cartoes!$F16+SUMPRODUCT((L_OrigTipo="CARTAO")*(L_OrigID=CAD_Cartoes!$A16)*(L_Status="REALIZADO")*L_Valor)-SUMPRODUCT((L_DestTipo="CARTAO")*(L_DestID=CAD_Cartoes!$A16)*(L_Status="REALIZADO")*L_Valor))</f>
        <v/>
      </c>
      <c r="E62" s="10" t="str">
        <f aca="false">IF(CAD_Cartoes!$A16="","",CAD_Cartoes!$L16)</f>
        <v/>
      </c>
      <c r="F62" s="50" t="str">
        <f aca="false">IF($C62="","",$E62-$D62)</f>
        <v/>
      </c>
      <c r="G62" s="19" t="str">
        <f aca="false">IF($C62="","",IF(ABS($F62)&lt;=0.5,"OK","FALHA"))</f>
        <v/>
      </c>
    </row>
    <row r="63" customFormat="false" ht="15" hidden="false" customHeight="false" outlineLevel="0" collapsed="false">
      <c r="A63" s="61" t="s">
        <v>623</v>
      </c>
      <c r="B63" s="9" t="str">
        <f aca="false">IF(CAD_Cartoes!$A17="","","Divida de cartao")</f>
        <v/>
      </c>
      <c r="C63" s="9" t="str">
        <f aca="false">IF(CAD_Cartoes!$A17="","","Divida inicial + compras - pagamentos = divida atual: "&amp;CAD_Cartoes!$B17)</f>
        <v/>
      </c>
      <c r="D63" s="10" t="str">
        <f aca="false">IF(CAD_Cartoes!$A17="","",CAD_Cartoes!$F17+SUMPRODUCT((L_OrigTipo="CARTAO")*(L_OrigID=CAD_Cartoes!$A17)*(L_Status="REALIZADO")*L_Valor)-SUMPRODUCT((L_DestTipo="CARTAO")*(L_DestID=CAD_Cartoes!$A17)*(L_Status="REALIZADO")*L_Valor))</f>
        <v/>
      </c>
      <c r="E63" s="10" t="str">
        <f aca="false">IF(CAD_Cartoes!$A17="","",CAD_Cartoes!$L17)</f>
        <v/>
      </c>
      <c r="F63" s="50" t="str">
        <f aca="false">IF($C63="","",$E63-$D63)</f>
        <v/>
      </c>
      <c r="G63" s="19" t="str">
        <f aca="false">IF($C63="","",IF(ABS($F63)&lt;=0.5,"OK","FALHA"))</f>
        <v/>
      </c>
    </row>
    <row r="64" customFormat="false" ht="15" hidden="false" customHeight="false" outlineLevel="0" collapsed="false">
      <c r="A64" s="61" t="s">
        <v>624</v>
      </c>
      <c r="B64" s="9" t="str">
        <f aca="false">IF(CAD_Cartoes!$A18="","","Divida de cartao")</f>
        <v/>
      </c>
      <c r="C64" s="9" t="str">
        <f aca="false">IF(CAD_Cartoes!$A18="","","Divida inicial + compras - pagamentos = divida atual: "&amp;CAD_Cartoes!$B18)</f>
        <v/>
      </c>
      <c r="D64" s="10" t="str">
        <f aca="false">IF(CAD_Cartoes!$A18="","",CAD_Cartoes!$F18+SUMPRODUCT((L_OrigTipo="CARTAO")*(L_OrigID=CAD_Cartoes!$A18)*(L_Status="REALIZADO")*L_Valor)-SUMPRODUCT((L_DestTipo="CARTAO")*(L_DestID=CAD_Cartoes!$A18)*(L_Status="REALIZADO")*L_Valor))</f>
        <v/>
      </c>
      <c r="E64" s="10" t="str">
        <f aca="false">IF(CAD_Cartoes!$A18="","",CAD_Cartoes!$L18)</f>
        <v/>
      </c>
      <c r="F64" s="50" t="str">
        <f aca="false">IF($C64="","",$E64-$D64)</f>
        <v/>
      </c>
      <c r="G64" s="19" t="str">
        <f aca="false">IF($C64="","",IF(ABS($F64)&lt;=0.5,"OK","FALHA"))</f>
        <v/>
      </c>
    </row>
    <row r="65" customFormat="false" ht="15" hidden="false" customHeight="false" outlineLevel="0" collapsed="false">
      <c r="A65" s="61" t="s">
        <v>625</v>
      </c>
      <c r="B65" s="9" t="str">
        <f aca="false">IF(CAD_Cartoes!$A19="","","Divida de cartao")</f>
        <v/>
      </c>
      <c r="C65" s="9" t="str">
        <f aca="false">IF(CAD_Cartoes!$A19="","","Divida inicial + compras - pagamentos = divida atual: "&amp;CAD_Cartoes!$B19)</f>
        <v/>
      </c>
      <c r="D65" s="10" t="str">
        <f aca="false">IF(CAD_Cartoes!$A19="","",CAD_Cartoes!$F19+SUMPRODUCT((L_OrigTipo="CARTAO")*(L_OrigID=CAD_Cartoes!$A19)*(L_Status="REALIZADO")*L_Valor)-SUMPRODUCT((L_DestTipo="CARTAO")*(L_DestID=CAD_Cartoes!$A19)*(L_Status="REALIZADO")*L_Valor))</f>
        <v/>
      </c>
      <c r="E65" s="10" t="str">
        <f aca="false">IF(CAD_Cartoes!$A19="","",CAD_Cartoes!$L19)</f>
        <v/>
      </c>
      <c r="F65" s="50" t="str">
        <f aca="false">IF($C65="","",$E65-$D65)</f>
        <v/>
      </c>
      <c r="G65" s="19" t="str">
        <f aca="false">IF($C65="","",IF(ABS($F65)&lt;=0.5,"OK","FALHA"))</f>
        <v/>
      </c>
    </row>
    <row r="66" customFormat="false" ht="15" hidden="false" customHeight="false" outlineLevel="0" collapsed="false">
      <c r="A66" s="61" t="s">
        <v>626</v>
      </c>
      <c r="B66" s="9" t="str">
        <f aca="false">IF(CAD_Cartoes!$A20="","","Divida de cartao")</f>
        <v/>
      </c>
      <c r="C66" s="9" t="str">
        <f aca="false">IF(CAD_Cartoes!$A20="","","Divida inicial + compras - pagamentos = divida atual: "&amp;CAD_Cartoes!$B20)</f>
        <v/>
      </c>
      <c r="D66" s="10" t="str">
        <f aca="false">IF(CAD_Cartoes!$A20="","",CAD_Cartoes!$F20+SUMPRODUCT((L_OrigTipo="CARTAO")*(L_OrigID=CAD_Cartoes!$A20)*(L_Status="REALIZADO")*L_Valor)-SUMPRODUCT((L_DestTipo="CARTAO")*(L_DestID=CAD_Cartoes!$A20)*(L_Status="REALIZADO")*L_Valor))</f>
        <v/>
      </c>
      <c r="E66" s="10" t="str">
        <f aca="false">IF(CAD_Cartoes!$A20="","",CAD_Cartoes!$L20)</f>
        <v/>
      </c>
      <c r="F66" s="50" t="str">
        <f aca="false">IF($C66="","",$E66-$D66)</f>
        <v/>
      </c>
      <c r="G66" s="19" t="str">
        <f aca="false">IF($C66="","",IF(ABS($F66)&lt;=0.5,"OK","FALHA"))</f>
        <v/>
      </c>
    </row>
    <row r="67" customFormat="false" ht="15" hidden="false" customHeight="false" outlineLevel="0" collapsed="false">
      <c r="A67" s="61" t="s">
        <v>627</v>
      </c>
      <c r="B67" s="9" t="str">
        <f aca="false">IF(CAD_Cartoes!$A21="","","Divida de cartao")</f>
        <v/>
      </c>
      <c r="C67" s="9" t="str">
        <f aca="false">IF(CAD_Cartoes!$A21="","","Divida inicial + compras - pagamentos = divida atual: "&amp;CAD_Cartoes!$B21)</f>
        <v/>
      </c>
      <c r="D67" s="10" t="str">
        <f aca="false">IF(CAD_Cartoes!$A21="","",CAD_Cartoes!$F21+SUMPRODUCT((L_OrigTipo="CARTAO")*(L_OrigID=CAD_Cartoes!$A21)*(L_Status="REALIZADO")*L_Valor)-SUMPRODUCT((L_DestTipo="CARTAO")*(L_DestID=CAD_Cartoes!$A21)*(L_Status="REALIZADO")*L_Valor))</f>
        <v/>
      </c>
      <c r="E67" s="10" t="str">
        <f aca="false">IF(CAD_Cartoes!$A21="","",CAD_Cartoes!$L21)</f>
        <v/>
      </c>
      <c r="F67" s="50" t="str">
        <f aca="false">IF($C67="","",$E67-$D67)</f>
        <v/>
      </c>
      <c r="G67" s="19" t="str">
        <f aca="false">IF($C67="","",IF(ABS($F67)&lt;=0.5,"OK","FALHA"))</f>
        <v/>
      </c>
    </row>
    <row r="68" customFormat="false" ht="15" hidden="false" customHeight="false" outlineLevel="0" collapsed="false">
      <c r="A68" s="61" t="s">
        <v>628</v>
      </c>
      <c r="B68" s="9" t="str">
        <f aca="false">IF(CAD_Cartoes!$A22="","","Divida de cartao")</f>
        <v/>
      </c>
      <c r="C68" s="9" t="str">
        <f aca="false">IF(CAD_Cartoes!$A22="","","Divida inicial + compras - pagamentos = divida atual: "&amp;CAD_Cartoes!$B22)</f>
        <v/>
      </c>
      <c r="D68" s="10" t="str">
        <f aca="false">IF(CAD_Cartoes!$A22="","",CAD_Cartoes!$F22+SUMPRODUCT((L_OrigTipo="CARTAO")*(L_OrigID=CAD_Cartoes!$A22)*(L_Status="REALIZADO")*L_Valor)-SUMPRODUCT((L_DestTipo="CARTAO")*(L_DestID=CAD_Cartoes!$A22)*(L_Status="REALIZADO")*L_Valor))</f>
        <v/>
      </c>
      <c r="E68" s="10" t="str">
        <f aca="false">IF(CAD_Cartoes!$A22="","",CAD_Cartoes!$L22)</f>
        <v/>
      </c>
      <c r="F68" s="50" t="str">
        <f aca="false">IF($C68="","",$E68-$D68)</f>
        <v/>
      </c>
      <c r="G68" s="19" t="str">
        <f aca="false">IF($C68="","",IF(ABS($F68)&lt;=0.5,"OK","FALHA"))</f>
        <v/>
      </c>
    </row>
    <row r="69" customFormat="false" ht="15" hidden="false" customHeight="false" outlineLevel="0" collapsed="false">
      <c r="A69" s="61" t="s">
        <v>629</v>
      </c>
      <c r="B69" s="9" t="str">
        <f aca="false">IF(CAD_Cartoes!$A23="","","Divida de cartao")</f>
        <v/>
      </c>
      <c r="C69" s="9" t="str">
        <f aca="false">IF(CAD_Cartoes!$A23="","","Divida inicial + compras - pagamentos = divida atual: "&amp;CAD_Cartoes!$B23)</f>
        <v/>
      </c>
      <c r="D69" s="10" t="str">
        <f aca="false">IF(CAD_Cartoes!$A23="","",CAD_Cartoes!$F23+SUMPRODUCT((L_OrigTipo="CARTAO")*(L_OrigID=CAD_Cartoes!$A23)*(L_Status="REALIZADO")*L_Valor)-SUMPRODUCT((L_DestTipo="CARTAO")*(L_DestID=CAD_Cartoes!$A23)*(L_Status="REALIZADO")*L_Valor))</f>
        <v/>
      </c>
      <c r="E69" s="10" t="str">
        <f aca="false">IF(CAD_Cartoes!$A23="","",CAD_Cartoes!$L23)</f>
        <v/>
      </c>
      <c r="F69" s="50" t="str">
        <f aca="false">IF($C69="","",$E69-$D69)</f>
        <v/>
      </c>
      <c r="G69" s="19" t="str">
        <f aca="false">IF($C69="","",IF(ABS($F69)&lt;=0.5,"OK","FALHA"))</f>
        <v/>
      </c>
    </row>
    <row r="70" customFormat="false" ht="15" hidden="false" customHeight="false" outlineLevel="0" collapsed="false">
      <c r="A70" s="61" t="s">
        <v>630</v>
      </c>
      <c r="B70" s="9" t="str">
        <f aca="false">IF(CAD_Cartoes!$A24="","","Divida de cartao")</f>
        <v/>
      </c>
      <c r="C70" s="9" t="str">
        <f aca="false">IF(CAD_Cartoes!$A24="","","Divida inicial + compras - pagamentos = divida atual: "&amp;CAD_Cartoes!$B24)</f>
        <v/>
      </c>
      <c r="D70" s="10" t="str">
        <f aca="false">IF(CAD_Cartoes!$A24="","",CAD_Cartoes!$F24+SUMPRODUCT((L_OrigTipo="CARTAO")*(L_OrigID=CAD_Cartoes!$A24)*(L_Status="REALIZADO")*L_Valor)-SUMPRODUCT((L_DestTipo="CARTAO")*(L_DestID=CAD_Cartoes!$A24)*(L_Status="REALIZADO")*L_Valor))</f>
        <v/>
      </c>
      <c r="E70" s="10" t="str">
        <f aca="false">IF(CAD_Cartoes!$A24="","",CAD_Cartoes!$L24)</f>
        <v/>
      </c>
      <c r="F70" s="50" t="str">
        <f aca="false">IF($C70="","",$E70-$D70)</f>
        <v/>
      </c>
      <c r="G70" s="19" t="str">
        <f aca="false">IF($C70="","",IF(ABS($F70)&lt;=0.5,"OK","FALHA"))</f>
        <v/>
      </c>
    </row>
    <row r="71" customFormat="false" ht="15" hidden="false" customHeight="false" outlineLevel="0" collapsed="false">
      <c r="A71" s="61" t="s">
        <v>631</v>
      </c>
      <c r="B71" s="9" t="str">
        <f aca="false">IF(CAD_Cartoes!$A25="","","Divida de cartao")</f>
        <v/>
      </c>
      <c r="C71" s="9" t="str">
        <f aca="false">IF(CAD_Cartoes!$A25="","","Divida inicial + compras - pagamentos = divida atual: "&amp;CAD_Cartoes!$B25)</f>
        <v/>
      </c>
      <c r="D71" s="10" t="str">
        <f aca="false">IF(CAD_Cartoes!$A25="","",CAD_Cartoes!$F25+SUMPRODUCT((L_OrigTipo="CARTAO")*(L_OrigID=CAD_Cartoes!$A25)*(L_Status="REALIZADO")*L_Valor)-SUMPRODUCT((L_DestTipo="CARTAO")*(L_DestID=CAD_Cartoes!$A25)*(L_Status="REALIZADO")*L_Valor))</f>
        <v/>
      </c>
      <c r="E71" s="10" t="str">
        <f aca="false">IF(CAD_Cartoes!$A25="","",CAD_Cartoes!$L25)</f>
        <v/>
      </c>
      <c r="F71" s="50" t="str">
        <f aca="false">IF($C71="","",$E71-$D71)</f>
        <v/>
      </c>
      <c r="G71" s="19" t="str">
        <f aca="false">IF($C71="","",IF(ABS($F71)&lt;=0.5,"OK","FALHA"))</f>
        <v/>
      </c>
    </row>
    <row r="72" customFormat="false" ht="15" hidden="false" customHeight="false" outlineLevel="0" collapsed="false">
      <c r="A72" s="61" t="s">
        <v>632</v>
      </c>
      <c r="B72" s="9" t="str">
        <f aca="false">IF(CAD_Cartoes!$A26="","","Divida de cartao")</f>
        <v/>
      </c>
      <c r="C72" s="9" t="str">
        <f aca="false">IF(CAD_Cartoes!$A26="","","Divida inicial + compras - pagamentos = divida atual: "&amp;CAD_Cartoes!$B26)</f>
        <v/>
      </c>
      <c r="D72" s="10" t="str">
        <f aca="false">IF(CAD_Cartoes!$A26="","",CAD_Cartoes!$F26+SUMPRODUCT((L_OrigTipo="CARTAO")*(L_OrigID=CAD_Cartoes!$A26)*(L_Status="REALIZADO")*L_Valor)-SUMPRODUCT((L_DestTipo="CARTAO")*(L_DestID=CAD_Cartoes!$A26)*(L_Status="REALIZADO")*L_Valor))</f>
        <v/>
      </c>
      <c r="E72" s="10" t="str">
        <f aca="false">IF(CAD_Cartoes!$A26="","",CAD_Cartoes!$L26)</f>
        <v/>
      </c>
      <c r="F72" s="50" t="str">
        <f aca="false">IF($C72="","",$E72-$D72)</f>
        <v/>
      </c>
      <c r="G72" s="19" t="str">
        <f aca="false">IF($C72="","",IF(ABS($F72)&lt;=0.5,"OK","FALHA"))</f>
        <v/>
      </c>
    </row>
    <row r="73" customFormat="false" ht="15" hidden="false" customHeight="false" outlineLevel="0" collapsed="false">
      <c r="A73" s="61" t="s">
        <v>633</v>
      </c>
      <c r="B73" s="9" t="str">
        <f aca="false">IF(CAD_Cartoes!$A27="","","Divida de cartao")</f>
        <v/>
      </c>
      <c r="C73" s="9" t="str">
        <f aca="false">IF(CAD_Cartoes!$A27="","","Divida inicial + compras - pagamentos = divida atual: "&amp;CAD_Cartoes!$B27)</f>
        <v/>
      </c>
      <c r="D73" s="10" t="str">
        <f aca="false">IF(CAD_Cartoes!$A27="","",CAD_Cartoes!$F27+SUMPRODUCT((L_OrigTipo="CARTAO")*(L_OrigID=CAD_Cartoes!$A27)*(L_Status="REALIZADO")*L_Valor)-SUMPRODUCT((L_DestTipo="CARTAO")*(L_DestID=CAD_Cartoes!$A27)*(L_Status="REALIZADO")*L_Valor))</f>
        <v/>
      </c>
      <c r="E73" s="10" t="str">
        <f aca="false">IF(CAD_Cartoes!$A27="","",CAD_Cartoes!$L27)</f>
        <v/>
      </c>
      <c r="F73" s="50" t="str">
        <f aca="false">IF($C73="","",$E73-$D73)</f>
        <v/>
      </c>
      <c r="G73" s="19" t="str">
        <f aca="false">IF($C73="","",IF(ABS($F73)&lt;=0.5,"OK","FALHA"))</f>
        <v/>
      </c>
    </row>
    <row r="74" customFormat="false" ht="15" hidden="false" customHeight="false" outlineLevel="0" collapsed="false">
      <c r="A74" s="61" t="s">
        <v>634</v>
      </c>
      <c r="B74" s="9" t="str">
        <f aca="false">IF(CAD_Cartoes!$A28="","","Divida de cartao")</f>
        <v/>
      </c>
      <c r="C74" s="9" t="str">
        <f aca="false">IF(CAD_Cartoes!$A28="","","Divida inicial + compras - pagamentos = divida atual: "&amp;CAD_Cartoes!$B28)</f>
        <v/>
      </c>
      <c r="D74" s="10" t="str">
        <f aca="false">IF(CAD_Cartoes!$A28="","",CAD_Cartoes!$F28+SUMPRODUCT((L_OrigTipo="CARTAO")*(L_OrigID=CAD_Cartoes!$A28)*(L_Status="REALIZADO")*L_Valor)-SUMPRODUCT((L_DestTipo="CARTAO")*(L_DestID=CAD_Cartoes!$A28)*(L_Status="REALIZADO")*L_Valor))</f>
        <v/>
      </c>
      <c r="E74" s="10" t="str">
        <f aca="false">IF(CAD_Cartoes!$A28="","",CAD_Cartoes!$L28)</f>
        <v/>
      </c>
      <c r="F74" s="50" t="str">
        <f aca="false">IF($C74="","",$E74-$D74)</f>
        <v/>
      </c>
      <c r="G74" s="19" t="str">
        <f aca="false">IF($C74="","",IF(ABS($F74)&lt;=0.5,"OK","FALHA"))</f>
        <v/>
      </c>
    </row>
    <row r="75" customFormat="false" ht="15" hidden="false" customHeight="false" outlineLevel="0" collapsed="false">
      <c r="A75" s="61" t="s">
        <v>635</v>
      </c>
      <c r="B75" s="9" t="str">
        <f aca="false">IF(CAD_Cartoes!$A29="","","Divida de cartao")</f>
        <v/>
      </c>
      <c r="C75" s="9" t="str">
        <f aca="false">IF(CAD_Cartoes!$A29="","","Divida inicial + compras - pagamentos = divida atual: "&amp;CAD_Cartoes!$B29)</f>
        <v/>
      </c>
      <c r="D75" s="10" t="str">
        <f aca="false">IF(CAD_Cartoes!$A29="","",CAD_Cartoes!$F29+SUMPRODUCT((L_OrigTipo="CARTAO")*(L_OrigID=CAD_Cartoes!$A29)*(L_Status="REALIZADO")*L_Valor)-SUMPRODUCT((L_DestTipo="CARTAO")*(L_DestID=CAD_Cartoes!$A29)*(L_Status="REALIZADO")*L_Valor))</f>
        <v/>
      </c>
      <c r="E75" s="10" t="str">
        <f aca="false">IF(CAD_Cartoes!$A29="","",CAD_Cartoes!$L29)</f>
        <v/>
      </c>
      <c r="F75" s="50" t="str">
        <f aca="false">IF($C75="","",$E75-$D75)</f>
        <v/>
      </c>
      <c r="G75" s="19" t="str">
        <f aca="false">IF($C75="","",IF(ABS($F75)&lt;=0.5,"OK","FALHA"))</f>
        <v/>
      </c>
    </row>
    <row r="76" customFormat="false" ht="15" hidden="false" customHeight="false" outlineLevel="0" collapsed="false">
      <c r="A76" s="61" t="s">
        <v>636</v>
      </c>
      <c r="B76" s="9" t="str">
        <f aca="false">IF(CAD_Cartoes!$A30="","","Divida de cartao")</f>
        <v/>
      </c>
      <c r="C76" s="9" t="str">
        <f aca="false">IF(CAD_Cartoes!$A30="","","Divida inicial + compras - pagamentos = divida atual: "&amp;CAD_Cartoes!$B30)</f>
        <v/>
      </c>
      <c r="D76" s="10" t="str">
        <f aca="false">IF(CAD_Cartoes!$A30="","",CAD_Cartoes!$F30+SUMPRODUCT((L_OrigTipo="CARTAO")*(L_OrigID=CAD_Cartoes!$A30)*(L_Status="REALIZADO")*L_Valor)-SUMPRODUCT((L_DestTipo="CARTAO")*(L_DestID=CAD_Cartoes!$A30)*(L_Status="REALIZADO")*L_Valor))</f>
        <v/>
      </c>
      <c r="E76" s="10" t="str">
        <f aca="false">IF(CAD_Cartoes!$A30="","",CAD_Cartoes!$L30)</f>
        <v/>
      </c>
      <c r="F76" s="50" t="str">
        <f aca="false">IF($C76="","",$E76-$D76)</f>
        <v/>
      </c>
      <c r="G76" s="19" t="str">
        <f aca="false">IF($C76="","",IF(ABS($F76)&lt;=0.5,"OK","FALHA"))</f>
        <v/>
      </c>
    </row>
    <row r="77" customFormat="false" ht="15" hidden="false" customHeight="false" outlineLevel="0" collapsed="false">
      <c r="A77" s="61" t="s">
        <v>637</v>
      </c>
      <c r="B77" s="9" t="str">
        <f aca="false">IF(CAD_Cartoes!$A31="","","Divida de cartao")</f>
        <v/>
      </c>
      <c r="C77" s="9" t="str">
        <f aca="false">IF(CAD_Cartoes!$A31="","","Divida inicial + compras - pagamentos = divida atual: "&amp;CAD_Cartoes!$B31)</f>
        <v/>
      </c>
      <c r="D77" s="10" t="str">
        <f aca="false">IF(CAD_Cartoes!$A31="","",CAD_Cartoes!$F31+SUMPRODUCT((L_OrigTipo="CARTAO")*(L_OrigID=CAD_Cartoes!$A31)*(L_Status="REALIZADO")*L_Valor)-SUMPRODUCT((L_DestTipo="CARTAO")*(L_DestID=CAD_Cartoes!$A31)*(L_Status="REALIZADO")*L_Valor))</f>
        <v/>
      </c>
      <c r="E77" s="10" t="str">
        <f aca="false">IF(CAD_Cartoes!$A31="","",CAD_Cartoes!$L31)</f>
        <v/>
      </c>
      <c r="F77" s="50" t="str">
        <f aca="false">IF($C77="","",$E77-$D77)</f>
        <v/>
      </c>
      <c r="G77" s="19" t="str">
        <f aca="false">IF($C77="","",IF(ABS($F77)&lt;=0.5,"OK","FALHA"))</f>
        <v/>
      </c>
    </row>
    <row r="78" customFormat="false" ht="15" hidden="false" customHeight="false" outlineLevel="0" collapsed="false">
      <c r="A78" s="61" t="s">
        <v>638</v>
      </c>
      <c r="B78" s="9" t="str">
        <f aca="false">IF(CAD_Cartoes!$A32="","","Divida de cartao")</f>
        <v/>
      </c>
      <c r="C78" s="9" t="str">
        <f aca="false">IF(CAD_Cartoes!$A32="","","Divida inicial + compras - pagamentos = divida atual: "&amp;CAD_Cartoes!$B32)</f>
        <v/>
      </c>
      <c r="D78" s="10" t="str">
        <f aca="false">IF(CAD_Cartoes!$A32="","",CAD_Cartoes!$F32+SUMPRODUCT((L_OrigTipo="CARTAO")*(L_OrigID=CAD_Cartoes!$A32)*(L_Status="REALIZADO")*L_Valor)-SUMPRODUCT((L_DestTipo="CARTAO")*(L_DestID=CAD_Cartoes!$A32)*(L_Status="REALIZADO")*L_Valor))</f>
        <v/>
      </c>
      <c r="E78" s="10" t="str">
        <f aca="false">IF(CAD_Cartoes!$A32="","",CAD_Cartoes!$L32)</f>
        <v/>
      </c>
      <c r="F78" s="50" t="str">
        <f aca="false">IF($C78="","",$E78-$D78)</f>
        <v/>
      </c>
      <c r="G78" s="19" t="str">
        <f aca="false">IF($C78="","",IF(ABS($F78)&lt;=0.5,"OK","FALHA"))</f>
        <v/>
      </c>
    </row>
    <row r="79" customFormat="false" ht="15" hidden="false" customHeight="false" outlineLevel="0" collapsed="false">
      <c r="A79" s="61" t="s">
        <v>639</v>
      </c>
      <c r="B79" s="9" t="str">
        <f aca="false">IF(CAD_Cartoes!$A33="","","Divida de cartao")</f>
        <v/>
      </c>
      <c r="C79" s="9" t="str">
        <f aca="false">IF(CAD_Cartoes!$A33="","","Divida inicial + compras - pagamentos = divida atual: "&amp;CAD_Cartoes!$B33)</f>
        <v/>
      </c>
      <c r="D79" s="10" t="str">
        <f aca="false">IF(CAD_Cartoes!$A33="","",CAD_Cartoes!$F33+SUMPRODUCT((L_OrigTipo="CARTAO")*(L_OrigID=CAD_Cartoes!$A33)*(L_Status="REALIZADO")*L_Valor)-SUMPRODUCT((L_DestTipo="CARTAO")*(L_DestID=CAD_Cartoes!$A33)*(L_Status="REALIZADO")*L_Valor))</f>
        <v/>
      </c>
      <c r="E79" s="10" t="str">
        <f aca="false">IF(CAD_Cartoes!$A33="","",CAD_Cartoes!$L33)</f>
        <v/>
      </c>
      <c r="F79" s="50" t="str">
        <f aca="false">IF($C79="","",$E79-$D79)</f>
        <v/>
      </c>
      <c r="G79" s="19" t="str">
        <f aca="false">IF($C79="","",IF(ABS($F79)&lt;=0.5,"OK","FALHA"))</f>
        <v/>
      </c>
    </row>
    <row r="80" customFormat="false" ht="15" hidden="false" customHeight="false" outlineLevel="0" collapsed="false">
      <c r="A80" s="61" t="s">
        <v>640</v>
      </c>
      <c r="B80" s="9" t="str">
        <f aca="false">IF(CAD_Cartoes!$A34="","","Divida de cartao")</f>
        <v/>
      </c>
      <c r="C80" s="9" t="str">
        <f aca="false">IF(CAD_Cartoes!$A34="","","Divida inicial + compras - pagamentos = divida atual: "&amp;CAD_Cartoes!$B34)</f>
        <v/>
      </c>
      <c r="D80" s="10" t="str">
        <f aca="false">IF(CAD_Cartoes!$A34="","",CAD_Cartoes!$F34+SUMPRODUCT((L_OrigTipo="CARTAO")*(L_OrigID=CAD_Cartoes!$A34)*(L_Status="REALIZADO")*L_Valor)-SUMPRODUCT((L_DestTipo="CARTAO")*(L_DestID=CAD_Cartoes!$A34)*(L_Status="REALIZADO")*L_Valor))</f>
        <v/>
      </c>
      <c r="E80" s="10" t="str">
        <f aca="false">IF(CAD_Cartoes!$A34="","",CAD_Cartoes!$L34)</f>
        <v/>
      </c>
      <c r="F80" s="50" t="str">
        <f aca="false">IF($C80="","",$E80-$D80)</f>
        <v/>
      </c>
      <c r="G80" s="19" t="str">
        <f aca="false">IF($C80="","",IF(ABS($F80)&lt;=0.5,"OK","FALHA"))</f>
        <v/>
      </c>
    </row>
    <row r="81" customFormat="false" ht="15" hidden="false" customHeight="false" outlineLevel="0" collapsed="false">
      <c r="A81" s="61" t="s">
        <v>641</v>
      </c>
      <c r="B81" s="9" t="str">
        <f aca="false">IF(CAD_Cartoes!$A35="","","Divida de cartao")</f>
        <v/>
      </c>
      <c r="C81" s="9" t="str">
        <f aca="false">IF(CAD_Cartoes!$A35="","","Divida inicial + compras - pagamentos = divida atual: "&amp;CAD_Cartoes!$B35)</f>
        <v/>
      </c>
      <c r="D81" s="10" t="str">
        <f aca="false">IF(CAD_Cartoes!$A35="","",CAD_Cartoes!$F35+SUMPRODUCT((L_OrigTipo="CARTAO")*(L_OrigID=CAD_Cartoes!$A35)*(L_Status="REALIZADO")*L_Valor)-SUMPRODUCT((L_DestTipo="CARTAO")*(L_DestID=CAD_Cartoes!$A35)*(L_Status="REALIZADO")*L_Valor))</f>
        <v/>
      </c>
      <c r="E81" s="10" t="str">
        <f aca="false">IF(CAD_Cartoes!$A35="","",CAD_Cartoes!$L35)</f>
        <v/>
      </c>
      <c r="F81" s="50" t="str">
        <f aca="false">IF($C81="","",$E81-$D81)</f>
        <v/>
      </c>
      <c r="G81" s="19" t="str">
        <f aca="false">IF($C81="","",IF(ABS($F81)&lt;=0.5,"OK","FALHA"))</f>
        <v/>
      </c>
    </row>
    <row r="82" customFormat="false" ht="15" hidden="false" customHeight="false" outlineLevel="0" collapsed="false">
      <c r="A82" s="61" t="s">
        <v>642</v>
      </c>
      <c r="B82" s="9" t="str">
        <f aca="false">IF(CAD_Cartoes!$A36="","","Divida de cartao")</f>
        <v/>
      </c>
      <c r="C82" s="9" t="str">
        <f aca="false">IF(CAD_Cartoes!$A36="","","Divida inicial + compras - pagamentos = divida atual: "&amp;CAD_Cartoes!$B36)</f>
        <v/>
      </c>
      <c r="D82" s="10" t="str">
        <f aca="false">IF(CAD_Cartoes!$A36="","",CAD_Cartoes!$F36+SUMPRODUCT((L_OrigTipo="CARTAO")*(L_OrigID=CAD_Cartoes!$A36)*(L_Status="REALIZADO")*L_Valor)-SUMPRODUCT((L_DestTipo="CARTAO")*(L_DestID=CAD_Cartoes!$A36)*(L_Status="REALIZADO")*L_Valor))</f>
        <v/>
      </c>
      <c r="E82" s="10" t="str">
        <f aca="false">IF(CAD_Cartoes!$A36="","",CAD_Cartoes!$L36)</f>
        <v/>
      </c>
      <c r="F82" s="50" t="str">
        <f aca="false">IF($C82="","",$E82-$D82)</f>
        <v/>
      </c>
      <c r="G82" s="19" t="str">
        <f aca="false">IF($C82="","",IF(ABS($F82)&lt;=0.5,"OK","FALHA"))</f>
        <v/>
      </c>
    </row>
    <row r="83" customFormat="false" ht="15" hidden="false" customHeight="false" outlineLevel="0" collapsed="false">
      <c r="A83" s="61" t="s">
        <v>643</v>
      </c>
      <c r="B83" s="9" t="str">
        <f aca="false">IF(CAD_Cartoes!$A37="","","Divida de cartao")</f>
        <v/>
      </c>
      <c r="C83" s="9" t="str">
        <f aca="false">IF(CAD_Cartoes!$A37="","","Divida inicial + compras - pagamentos = divida atual: "&amp;CAD_Cartoes!$B37)</f>
        <v/>
      </c>
      <c r="D83" s="10" t="str">
        <f aca="false">IF(CAD_Cartoes!$A37="","",CAD_Cartoes!$F37+SUMPRODUCT((L_OrigTipo="CARTAO")*(L_OrigID=CAD_Cartoes!$A37)*(L_Status="REALIZADO")*L_Valor)-SUMPRODUCT((L_DestTipo="CARTAO")*(L_DestID=CAD_Cartoes!$A37)*(L_Status="REALIZADO")*L_Valor))</f>
        <v/>
      </c>
      <c r="E83" s="10" t="str">
        <f aca="false">IF(CAD_Cartoes!$A37="","",CAD_Cartoes!$L37)</f>
        <v/>
      </c>
      <c r="F83" s="50" t="str">
        <f aca="false">IF($C83="","",$E83-$D83)</f>
        <v/>
      </c>
      <c r="G83" s="19" t="str">
        <f aca="false">IF($C83="","",IF(ABS($F83)&lt;=0.5,"OK","FALHA"))</f>
        <v/>
      </c>
    </row>
    <row r="84" customFormat="false" ht="15" hidden="false" customHeight="false" outlineLevel="0" collapsed="false">
      <c r="A84" s="61" t="s">
        <v>644</v>
      </c>
      <c r="B84" s="9" t="str">
        <f aca="false">IF(CAD_Cartoes!$A38="","","Divida de cartao")</f>
        <v/>
      </c>
      <c r="C84" s="9" t="str">
        <f aca="false">IF(CAD_Cartoes!$A38="","","Divida inicial + compras - pagamentos = divida atual: "&amp;CAD_Cartoes!$B38)</f>
        <v/>
      </c>
      <c r="D84" s="10" t="str">
        <f aca="false">IF(CAD_Cartoes!$A38="","",CAD_Cartoes!$F38+SUMPRODUCT((L_OrigTipo="CARTAO")*(L_OrigID=CAD_Cartoes!$A38)*(L_Status="REALIZADO")*L_Valor)-SUMPRODUCT((L_DestTipo="CARTAO")*(L_DestID=CAD_Cartoes!$A38)*(L_Status="REALIZADO")*L_Valor))</f>
        <v/>
      </c>
      <c r="E84" s="10" t="str">
        <f aca="false">IF(CAD_Cartoes!$A38="","",CAD_Cartoes!$L38)</f>
        <v/>
      </c>
      <c r="F84" s="50" t="str">
        <f aca="false">IF($C84="","",$E84-$D84)</f>
        <v/>
      </c>
      <c r="G84" s="19" t="str">
        <f aca="false">IF($C84="","",IF(ABS($F84)&lt;=0.5,"OK","FALHA"))</f>
        <v/>
      </c>
    </row>
    <row r="85" customFormat="false" ht="15" hidden="false" customHeight="false" outlineLevel="0" collapsed="false">
      <c r="A85" s="61" t="s">
        <v>645</v>
      </c>
      <c r="B85" s="9" t="str">
        <f aca="false">IF(CAD_Cartoes!$A39="","","Divida de cartao")</f>
        <v/>
      </c>
      <c r="C85" s="9" t="str">
        <f aca="false">IF(CAD_Cartoes!$A39="","","Divida inicial + compras - pagamentos = divida atual: "&amp;CAD_Cartoes!$B39)</f>
        <v/>
      </c>
      <c r="D85" s="10" t="str">
        <f aca="false">IF(CAD_Cartoes!$A39="","",CAD_Cartoes!$F39+SUMPRODUCT((L_OrigTipo="CARTAO")*(L_OrigID=CAD_Cartoes!$A39)*(L_Status="REALIZADO")*L_Valor)-SUMPRODUCT((L_DestTipo="CARTAO")*(L_DestID=CAD_Cartoes!$A39)*(L_Status="REALIZADO")*L_Valor))</f>
        <v/>
      </c>
      <c r="E85" s="10" t="str">
        <f aca="false">IF(CAD_Cartoes!$A39="","",CAD_Cartoes!$L39)</f>
        <v/>
      </c>
      <c r="F85" s="50" t="str">
        <f aca="false">IF($C85="","",$E85-$D85)</f>
        <v/>
      </c>
      <c r="G85" s="19" t="str">
        <f aca="false">IF($C85="","",IF(ABS($F85)&lt;=0.5,"OK","FALHA"))</f>
        <v/>
      </c>
    </row>
    <row r="86" customFormat="false" ht="15" hidden="false" customHeight="false" outlineLevel="0" collapsed="false">
      <c r="A86" s="61" t="s">
        <v>646</v>
      </c>
      <c r="B86" s="9" t="str">
        <f aca="false">IF(CAD_Cartoes!$A40="","","Divida de cartao")</f>
        <v/>
      </c>
      <c r="C86" s="9" t="str">
        <f aca="false">IF(CAD_Cartoes!$A40="","","Divida inicial + compras - pagamentos = divida atual: "&amp;CAD_Cartoes!$B40)</f>
        <v/>
      </c>
      <c r="D86" s="10" t="str">
        <f aca="false">IF(CAD_Cartoes!$A40="","",CAD_Cartoes!$F40+SUMPRODUCT((L_OrigTipo="CARTAO")*(L_OrigID=CAD_Cartoes!$A40)*(L_Status="REALIZADO")*L_Valor)-SUMPRODUCT((L_DestTipo="CARTAO")*(L_DestID=CAD_Cartoes!$A40)*(L_Status="REALIZADO")*L_Valor))</f>
        <v/>
      </c>
      <c r="E86" s="10" t="str">
        <f aca="false">IF(CAD_Cartoes!$A40="","",CAD_Cartoes!$L40)</f>
        <v/>
      </c>
      <c r="F86" s="50" t="str">
        <f aca="false">IF($C86="","",$E86-$D86)</f>
        <v/>
      </c>
      <c r="G86" s="19" t="str">
        <f aca="false">IF($C86="","",IF(ABS($F86)&lt;=0.5,"OK","FALHA"))</f>
        <v/>
      </c>
    </row>
    <row r="87" customFormat="false" ht="15" hidden="false" customHeight="false" outlineLevel="0" collapsed="false">
      <c r="A87" s="61" t="s">
        <v>647</v>
      </c>
      <c r="B87" s="9" t="str">
        <f aca="false">IF(CAD_Cartoes!$A41="","","Divida de cartao")</f>
        <v/>
      </c>
      <c r="C87" s="9" t="str">
        <f aca="false">IF(CAD_Cartoes!$A41="","","Divida inicial + compras - pagamentos = divida atual: "&amp;CAD_Cartoes!$B41)</f>
        <v/>
      </c>
      <c r="D87" s="10" t="str">
        <f aca="false">IF(CAD_Cartoes!$A41="","",CAD_Cartoes!$F41+SUMPRODUCT((L_OrigTipo="CARTAO")*(L_OrigID=CAD_Cartoes!$A41)*(L_Status="REALIZADO")*L_Valor)-SUMPRODUCT((L_DestTipo="CARTAO")*(L_DestID=CAD_Cartoes!$A41)*(L_Status="REALIZADO")*L_Valor))</f>
        <v/>
      </c>
      <c r="E87" s="10" t="str">
        <f aca="false">IF(CAD_Cartoes!$A41="","",CAD_Cartoes!$L41)</f>
        <v/>
      </c>
      <c r="F87" s="50" t="str">
        <f aca="false">IF($C87="","",$E87-$D87)</f>
        <v/>
      </c>
      <c r="G87" s="19" t="str">
        <f aca="false">IF($C87="","",IF(ABS($F87)&lt;=0.5,"OK","FALHA"))</f>
        <v/>
      </c>
    </row>
    <row r="88" customFormat="false" ht="15" hidden="false" customHeight="false" outlineLevel="0" collapsed="false">
      <c r="A88" s="61" t="s">
        <v>648</v>
      </c>
      <c r="B88" s="9" t="str">
        <f aca="false">IF(CAD_Cartoes!$A42="","","Divida de cartao")</f>
        <v/>
      </c>
      <c r="C88" s="9" t="str">
        <f aca="false">IF(CAD_Cartoes!$A42="","","Divida inicial + compras - pagamentos = divida atual: "&amp;CAD_Cartoes!$B42)</f>
        <v/>
      </c>
      <c r="D88" s="10" t="str">
        <f aca="false">IF(CAD_Cartoes!$A42="","",CAD_Cartoes!$F42+SUMPRODUCT((L_OrigTipo="CARTAO")*(L_OrigID=CAD_Cartoes!$A42)*(L_Status="REALIZADO")*L_Valor)-SUMPRODUCT((L_DestTipo="CARTAO")*(L_DestID=CAD_Cartoes!$A42)*(L_Status="REALIZADO")*L_Valor))</f>
        <v/>
      </c>
      <c r="E88" s="10" t="str">
        <f aca="false">IF(CAD_Cartoes!$A42="","",CAD_Cartoes!$L42)</f>
        <v/>
      </c>
      <c r="F88" s="50" t="str">
        <f aca="false">IF($C88="","",$E88-$D88)</f>
        <v/>
      </c>
      <c r="G88" s="19" t="str">
        <f aca="false">IF($C88="","",IF(ABS($F88)&lt;=0.5,"OK","FALHA"))</f>
        <v/>
      </c>
    </row>
    <row r="89" customFormat="false" ht="15" hidden="false" customHeight="false" outlineLevel="0" collapsed="false">
      <c r="A89" s="61" t="s">
        <v>649</v>
      </c>
      <c r="B89" s="9" t="str">
        <f aca="false">IF(CAD_Cartoes!$A43="","","Divida de cartao")</f>
        <v/>
      </c>
      <c r="C89" s="9" t="str">
        <f aca="false">IF(CAD_Cartoes!$A43="","","Divida inicial + compras - pagamentos = divida atual: "&amp;CAD_Cartoes!$B43)</f>
        <v/>
      </c>
      <c r="D89" s="10" t="str">
        <f aca="false">IF(CAD_Cartoes!$A43="","",CAD_Cartoes!$F43+SUMPRODUCT((L_OrigTipo="CARTAO")*(L_OrigID=CAD_Cartoes!$A43)*(L_Status="REALIZADO")*L_Valor)-SUMPRODUCT((L_DestTipo="CARTAO")*(L_DestID=CAD_Cartoes!$A43)*(L_Status="REALIZADO")*L_Valor))</f>
        <v/>
      </c>
      <c r="E89" s="10" t="str">
        <f aca="false">IF(CAD_Cartoes!$A43="","",CAD_Cartoes!$L43)</f>
        <v/>
      </c>
      <c r="F89" s="50" t="str">
        <f aca="false">IF($C89="","",$E89-$D89)</f>
        <v/>
      </c>
      <c r="G89" s="19" t="str">
        <f aca="false">IF($C89="","",IF(ABS($F89)&lt;=0.5,"OK","FALHA"))</f>
        <v/>
      </c>
    </row>
    <row r="90" customFormat="false" ht="15" hidden="false" customHeight="false" outlineLevel="0" collapsed="false">
      <c r="A90" s="61" t="s">
        <v>650</v>
      </c>
      <c r="B90" s="9" t="str">
        <f aca="false">IF(CAD_Cartoes!$A44="","","Divida de cartao")</f>
        <v/>
      </c>
      <c r="C90" s="9" t="str">
        <f aca="false">IF(CAD_Cartoes!$A44="","","Divida inicial + compras - pagamentos = divida atual: "&amp;CAD_Cartoes!$B44)</f>
        <v/>
      </c>
      <c r="D90" s="10" t="str">
        <f aca="false">IF(CAD_Cartoes!$A44="","",CAD_Cartoes!$F44+SUMPRODUCT((L_OrigTipo="CARTAO")*(L_OrigID=CAD_Cartoes!$A44)*(L_Status="REALIZADO")*L_Valor)-SUMPRODUCT((L_DestTipo="CARTAO")*(L_DestID=CAD_Cartoes!$A44)*(L_Status="REALIZADO")*L_Valor))</f>
        <v/>
      </c>
      <c r="E90" s="10" t="str">
        <f aca="false">IF(CAD_Cartoes!$A44="","",CAD_Cartoes!$L44)</f>
        <v/>
      </c>
      <c r="F90" s="50" t="str">
        <f aca="false">IF($C90="","",$E90-$D90)</f>
        <v/>
      </c>
      <c r="G90" s="19" t="str">
        <f aca="false">IF($C90="","",IF(ABS($F90)&lt;=0.5,"OK","FALHA"))</f>
        <v/>
      </c>
    </row>
    <row r="92" customFormat="false" ht="19.5" hidden="false" customHeight="true" outlineLevel="0" collapsed="false">
      <c r="A92" s="3" t="s">
        <v>651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100</v>
      </c>
      <c r="B93" s="8" t="s">
        <v>565</v>
      </c>
      <c r="C93" s="8" t="s">
        <v>566</v>
      </c>
      <c r="D93" s="8" t="s">
        <v>567</v>
      </c>
      <c r="E93" s="8" t="s">
        <v>568</v>
      </c>
      <c r="F93" s="8" t="s">
        <v>569</v>
      </c>
      <c r="G93" s="8" t="s">
        <v>426</v>
      </c>
    </row>
    <row r="94" customFormat="false" ht="15" hidden="false" customHeight="false" outlineLevel="0" collapsed="false">
      <c r="A94" s="61" t="s">
        <v>652</v>
      </c>
      <c r="B94" s="9" t="str">
        <f aca="false">IF(CAD_Investimentos!$A5="","","Saldo de investimento")</f>
        <v/>
      </c>
      <c r="C94" s="9" t="str">
        <f aca="false">IF(CAD_Investimentos!$A5="","","Aplicado + aportes + rendimentos - resgates = saldo: "&amp;CAD_Investimentos!$B5)</f>
        <v/>
      </c>
      <c r="D94" s="10" t="str">
        <f aca="false">IF(CAD_Investimentos!$A5="","",CAD_Investimentos!$F5+SUMPRODUCT((L_DestTipo="INVESTIMENTO")*(L_DestID=CAD_Investimentos!$A5)*(L_Status="REALIZADO")*L_Valor)-SUMPRODUCT((L_OrigTipo="INVESTIMENTO")*(L_OrigID=CAD_Investimentos!$A5)*(L_Status="REALIZADO")*L_Valor))</f>
        <v/>
      </c>
      <c r="E94" s="10" t="str">
        <f aca="false">IF(CAD_Investimentos!$A5="","",CAD_Investimentos!$O5)</f>
        <v/>
      </c>
      <c r="F94" s="50" t="str">
        <f aca="false">IF($C94="","",$E94-$D94)</f>
        <v/>
      </c>
      <c r="G94" s="19" t="str">
        <f aca="false">IF($C94="","",IF(ABS($F94)&lt;=0.5,"OK","FALHA"))</f>
        <v/>
      </c>
    </row>
    <row r="95" customFormat="false" ht="15" hidden="false" customHeight="false" outlineLevel="0" collapsed="false">
      <c r="A95" s="61" t="s">
        <v>653</v>
      </c>
      <c r="B95" s="9" t="str">
        <f aca="false">IF(CAD_Investimentos!$A6="","","Saldo de investimento")</f>
        <v/>
      </c>
      <c r="C95" s="9" t="str">
        <f aca="false">IF(CAD_Investimentos!$A6="","","Aplicado + aportes + rendimentos - resgates = saldo: "&amp;CAD_Investimentos!$B6)</f>
        <v/>
      </c>
      <c r="D95" s="10" t="str">
        <f aca="false">IF(CAD_Investimentos!$A6="","",CAD_Investimentos!$F6+SUMPRODUCT((L_DestTipo="INVESTIMENTO")*(L_DestID=CAD_Investimentos!$A6)*(L_Status="REALIZADO")*L_Valor)-SUMPRODUCT((L_OrigTipo="INVESTIMENTO")*(L_OrigID=CAD_Investimentos!$A6)*(L_Status="REALIZADO")*L_Valor))</f>
        <v/>
      </c>
      <c r="E95" s="10" t="str">
        <f aca="false">IF(CAD_Investimentos!$A6="","",CAD_Investimentos!$O6)</f>
        <v/>
      </c>
      <c r="F95" s="50" t="str">
        <f aca="false">IF($C95="","",$E95-$D95)</f>
        <v/>
      </c>
      <c r="G95" s="19" t="str">
        <f aca="false">IF($C95="","",IF(ABS($F95)&lt;=0.5,"OK","FALHA"))</f>
        <v/>
      </c>
    </row>
    <row r="96" customFormat="false" ht="15" hidden="false" customHeight="false" outlineLevel="0" collapsed="false">
      <c r="A96" s="61" t="s">
        <v>654</v>
      </c>
      <c r="B96" s="9" t="str">
        <f aca="false">IF(CAD_Investimentos!$A7="","","Saldo de investimento")</f>
        <v/>
      </c>
      <c r="C96" s="9" t="str">
        <f aca="false">IF(CAD_Investimentos!$A7="","","Aplicado + aportes + rendimentos - resgates = saldo: "&amp;CAD_Investimentos!$B7)</f>
        <v/>
      </c>
      <c r="D96" s="10" t="str">
        <f aca="false">IF(CAD_Investimentos!$A7="","",CAD_Investimentos!$F7+SUMPRODUCT((L_DestTipo="INVESTIMENTO")*(L_DestID=CAD_Investimentos!$A7)*(L_Status="REALIZADO")*L_Valor)-SUMPRODUCT((L_OrigTipo="INVESTIMENTO")*(L_OrigID=CAD_Investimentos!$A7)*(L_Status="REALIZADO")*L_Valor))</f>
        <v/>
      </c>
      <c r="E96" s="10" t="str">
        <f aca="false">IF(CAD_Investimentos!$A7="","",CAD_Investimentos!$O7)</f>
        <v/>
      </c>
      <c r="F96" s="50" t="str">
        <f aca="false">IF($C96="","",$E96-$D96)</f>
        <v/>
      </c>
      <c r="G96" s="19" t="str">
        <f aca="false">IF($C96="","",IF(ABS($F96)&lt;=0.5,"OK","FALHA"))</f>
        <v/>
      </c>
    </row>
    <row r="97" customFormat="false" ht="15" hidden="false" customHeight="false" outlineLevel="0" collapsed="false">
      <c r="A97" s="61" t="s">
        <v>655</v>
      </c>
      <c r="B97" s="9" t="str">
        <f aca="false">IF(CAD_Investimentos!$A8="","","Saldo de investimento")</f>
        <v/>
      </c>
      <c r="C97" s="9" t="str">
        <f aca="false">IF(CAD_Investimentos!$A8="","","Aplicado + aportes + rendimentos - resgates = saldo: "&amp;CAD_Investimentos!$B8)</f>
        <v/>
      </c>
      <c r="D97" s="10" t="str">
        <f aca="false">IF(CAD_Investimentos!$A8="","",CAD_Investimentos!$F8+SUMPRODUCT((L_DestTipo="INVESTIMENTO")*(L_DestID=CAD_Investimentos!$A8)*(L_Status="REALIZADO")*L_Valor)-SUMPRODUCT((L_OrigTipo="INVESTIMENTO")*(L_OrigID=CAD_Investimentos!$A8)*(L_Status="REALIZADO")*L_Valor))</f>
        <v/>
      </c>
      <c r="E97" s="10" t="str">
        <f aca="false">IF(CAD_Investimentos!$A8="","",CAD_Investimentos!$O8)</f>
        <v/>
      </c>
      <c r="F97" s="50" t="str">
        <f aca="false">IF($C97="","",$E97-$D97)</f>
        <v/>
      </c>
      <c r="G97" s="19" t="str">
        <f aca="false">IF($C97="","",IF(ABS($F97)&lt;=0.5,"OK","FALHA"))</f>
        <v/>
      </c>
    </row>
    <row r="98" customFormat="false" ht="15" hidden="false" customHeight="false" outlineLevel="0" collapsed="false">
      <c r="A98" s="61" t="s">
        <v>656</v>
      </c>
      <c r="B98" s="9" t="str">
        <f aca="false">IF(CAD_Investimentos!$A9="","","Saldo de investimento")</f>
        <v/>
      </c>
      <c r="C98" s="9" t="str">
        <f aca="false">IF(CAD_Investimentos!$A9="","","Aplicado + aportes + rendimentos - resgates = saldo: "&amp;CAD_Investimentos!$B9)</f>
        <v/>
      </c>
      <c r="D98" s="10" t="str">
        <f aca="false">IF(CAD_Investimentos!$A9="","",CAD_Investimentos!$F9+SUMPRODUCT((L_DestTipo="INVESTIMENTO")*(L_DestID=CAD_Investimentos!$A9)*(L_Status="REALIZADO")*L_Valor)-SUMPRODUCT((L_OrigTipo="INVESTIMENTO")*(L_OrigID=CAD_Investimentos!$A9)*(L_Status="REALIZADO")*L_Valor))</f>
        <v/>
      </c>
      <c r="E98" s="10" t="str">
        <f aca="false">IF(CAD_Investimentos!$A9="","",CAD_Investimentos!$O9)</f>
        <v/>
      </c>
      <c r="F98" s="50" t="str">
        <f aca="false">IF($C98="","",$E98-$D98)</f>
        <v/>
      </c>
      <c r="G98" s="19" t="str">
        <f aca="false">IF($C98="","",IF(ABS($F98)&lt;=0.5,"OK","FALHA"))</f>
        <v/>
      </c>
    </row>
    <row r="99" customFormat="false" ht="15" hidden="false" customHeight="false" outlineLevel="0" collapsed="false">
      <c r="A99" s="61" t="s">
        <v>657</v>
      </c>
      <c r="B99" s="9" t="str">
        <f aca="false">IF(CAD_Investimentos!$A10="","","Saldo de investimento")</f>
        <v/>
      </c>
      <c r="C99" s="9" t="str">
        <f aca="false">IF(CAD_Investimentos!$A10="","","Aplicado + aportes + rendimentos - resgates = saldo: "&amp;CAD_Investimentos!$B10)</f>
        <v/>
      </c>
      <c r="D99" s="10" t="str">
        <f aca="false">IF(CAD_Investimentos!$A10="","",CAD_Investimentos!$F10+SUMPRODUCT((L_DestTipo="INVESTIMENTO")*(L_DestID=CAD_Investimentos!$A10)*(L_Status="REALIZADO")*L_Valor)-SUMPRODUCT((L_OrigTipo="INVESTIMENTO")*(L_OrigID=CAD_Investimentos!$A10)*(L_Status="REALIZADO")*L_Valor))</f>
        <v/>
      </c>
      <c r="E99" s="10" t="str">
        <f aca="false">IF(CAD_Investimentos!$A10="","",CAD_Investimentos!$O10)</f>
        <v/>
      </c>
      <c r="F99" s="50" t="str">
        <f aca="false">IF($C99="","",$E99-$D99)</f>
        <v/>
      </c>
      <c r="G99" s="19" t="str">
        <f aca="false">IF($C99="","",IF(ABS($F99)&lt;=0.5,"OK","FALHA"))</f>
        <v/>
      </c>
    </row>
    <row r="100" customFormat="false" ht="15" hidden="false" customHeight="false" outlineLevel="0" collapsed="false">
      <c r="A100" s="61" t="s">
        <v>658</v>
      </c>
      <c r="B100" s="9" t="str">
        <f aca="false">IF(CAD_Investimentos!$A11="","","Saldo de investimento")</f>
        <v/>
      </c>
      <c r="C100" s="9" t="str">
        <f aca="false">IF(CAD_Investimentos!$A11="","","Aplicado + aportes + rendimentos - resgates = saldo: "&amp;CAD_Investimentos!$B11)</f>
        <v/>
      </c>
      <c r="D100" s="10" t="str">
        <f aca="false">IF(CAD_Investimentos!$A11="","",CAD_Investimentos!$F11+SUMPRODUCT((L_DestTipo="INVESTIMENTO")*(L_DestID=CAD_Investimentos!$A11)*(L_Status="REALIZADO")*L_Valor)-SUMPRODUCT((L_OrigTipo="INVESTIMENTO")*(L_OrigID=CAD_Investimentos!$A11)*(L_Status="REALIZADO")*L_Valor))</f>
        <v/>
      </c>
      <c r="E100" s="10" t="str">
        <f aca="false">IF(CAD_Investimentos!$A11="","",CAD_Investimentos!$O11)</f>
        <v/>
      </c>
      <c r="F100" s="50" t="str">
        <f aca="false">IF($C100="","",$E100-$D100)</f>
        <v/>
      </c>
      <c r="G100" s="19" t="str">
        <f aca="false">IF($C100="","",IF(ABS($F100)&lt;=0.5,"OK","FALHA"))</f>
        <v/>
      </c>
    </row>
    <row r="101" customFormat="false" ht="15" hidden="false" customHeight="false" outlineLevel="0" collapsed="false">
      <c r="A101" s="61" t="s">
        <v>659</v>
      </c>
      <c r="B101" s="9" t="str">
        <f aca="false">IF(CAD_Investimentos!$A12="","","Saldo de investimento")</f>
        <v/>
      </c>
      <c r="C101" s="9" t="str">
        <f aca="false">IF(CAD_Investimentos!$A12="","","Aplicado + aportes + rendimentos - resgates = saldo: "&amp;CAD_Investimentos!$B12)</f>
        <v/>
      </c>
      <c r="D101" s="10" t="str">
        <f aca="false">IF(CAD_Investimentos!$A12="","",CAD_Investimentos!$F12+SUMPRODUCT((L_DestTipo="INVESTIMENTO")*(L_DestID=CAD_Investimentos!$A12)*(L_Status="REALIZADO")*L_Valor)-SUMPRODUCT((L_OrigTipo="INVESTIMENTO")*(L_OrigID=CAD_Investimentos!$A12)*(L_Status="REALIZADO")*L_Valor))</f>
        <v/>
      </c>
      <c r="E101" s="10" t="str">
        <f aca="false">IF(CAD_Investimentos!$A12="","",CAD_Investimentos!$O12)</f>
        <v/>
      </c>
      <c r="F101" s="50" t="str">
        <f aca="false">IF($C101="","",$E101-$D101)</f>
        <v/>
      </c>
      <c r="G101" s="19" t="str">
        <f aca="false">IF($C101="","",IF(ABS($F101)&lt;=0.5,"OK","FALHA"))</f>
        <v/>
      </c>
    </row>
    <row r="102" customFormat="false" ht="15" hidden="false" customHeight="false" outlineLevel="0" collapsed="false">
      <c r="A102" s="61" t="s">
        <v>660</v>
      </c>
      <c r="B102" s="9" t="str">
        <f aca="false">IF(CAD_Investimentos!$A13="","","Saldo de investimento")</f>
        <v/>
      </c>
      <c r="C102" s="9" t="str">
        <f aca="false">IF(CAD_Investimentos!$A13="","","Aplicado + aportes + rendimentos - resgates = saldo: "&amp;CAD_Investimentos!$B13)</f>
        <v/>
      </c>
      <c r="D102" s="10" t="str">
        <f aca="false">IF(CAD_Investimentos!$A13="","",CAD_Investimentos!$F13+SUMPRODUCT((L_DestTipo="INVESTIMENTO")*(L_DestID=CAD_Investimentos!$A13)*(L_Status="REALIZADO")*L_Valor)-SUMPRODUCT((L_OrigTipo="INVESTIMENTO")*(L_OrigID=CAD_Investimentos!$A13)*(L_Status="REALIZADO")*L_Valor))</f>
        <v/>
      </c>
      <c r="E102" s="10" t="str">
        <f aca="false">IF(CAD_Investimentos!$A13="","",CAD_Investimentos!$O13)</f>
        <v/>
      </c>
      <c r="F102" s="50" t="str">
        <f aca="false">IF($C102="","",$E102-$D102)</f>
        <v/>
      </c>
      <c r="G102" s="19" t="str">
        <f aca="false">IF($C102="","",IF(ABS($F102)&lt;=0.5,"OK","FALHA"))</f>
        <v/>
      </c>
    </row>
    <row r="103" customFormat="false" ht="15" hidden="false" customHeight="false" outlineLevel="0" collapsed="false">
      <c r="A103" s="61" t="s">
        <v>661</v>
      </c>
      <c r="B103" s="9" t="str">
        <f aca="false">IF(CAD_Investimentos!$A14="","","Saldo de investimento")</f>
        <v/>
      </c>
      <c r="C103" s="9" t="str">
        <f aca="false">IF(CAD_Investimentos!$A14="","","Aplicado + aportes + rendimentos - resgates = saldo: "&amp;CAD_Investimentos!$B14)</f>
        <v/>
      </c>
      <c r="D103" s="10" t="str">
        <f aca="false">IF(CAD_Investimentos!$A14="","",CAD_Investimentos!$F14+SUMPRODUCT((L_DestTipo="INVESTIMENTO")*(L_DestID=CAD_Investimentos!$A14)*(L_Status="REALIZADO")*L_Valor)-SUMPRODUCT((L_OrigTipo="INVESTIMENTO")*(L_OrigID=CAD_Investimentos!$A14)*(L_Status="REALIZADO")*L_Valor))</f>
        <v/>
      </c>
      <c r="E103" s="10" t="str">
        <f aca="false">IF(CAD_Investimentos!$A14="","",CAD_Investimentos!$O14)</f>
        <v/>
      </c>
      <c r="F103" s="50" t="str">
        <f aca="false">IF($C103="","",$E103-$D103)</f>
        <v/>
      </c>
      <c r="G103" s="19" t="str">
        <f aca="false">IF($C103="","",IF(ABS($F103)&lt;=0.5,"OK","FALHA"))</f>
        <v/>
      </c>
    </row>
    <row r="104" customFormat="false" ht="15" hidden="false" customHeight="false" outlineLevel="0" collapsed="false">
      <c r="A104" s="61" t="s">
        <v>662</v>
      </c>
      <c r="B104" s="9" t="str">
        <f aca="false">IF(CAD_Investimentos!$A15="","","Saldo de investimento")</f>
        <v/>
      </c>
      <c r="C104" s="9" t="str">
        <f aca="false">IF(CAD_Investimentos!$A15="","","Aplicado + aportes + rendimentos - resgates = saldo: "&amp;CAD_Investimentos!$B15)</f>
        <v/>
      </c>
      <c r="D104" s="10" t="str">
        <f aca="false">IF(CAD_Investimentos!$A15="","",CAD_Investimentos!$F15+SUMPRODUCT((L_DestTipo="INVESTIMENTO")*(L_DestID=CAD_Investimentos!$A15)*(L_Status="REALIZADO")*L_Valor)-SUMPRODUCT((L_OrigTipo="INVESTIMENTO")*(L_OrigID=CAD_Investimentos!$A15)*(L_Status="REALIZADO")*L_Valor))</f>
        <v/>
      </c>
      <c r="E104" s="10" t="str">
        <f aca="false">IF(CAD_Investimentos!$A15="","",CAD_Investimentos!$O15)</f>
        <v/>
      </c>
      <c r="F104" s="50" t="str">
        <f aca="false">IF($C104="","",$E104-$D104)</f>
        <v/>
      </c>
      <c r="G104" s="19" t="str">
        <f aca="false">IF($C104="","",IF(ABS($F104)&lt;=0.5,"OK","FALHA"))</f>
        <v/>
      </c>
    </row>
    <row r="105" customFormat="false" ht="15" hidden="false" customHeight="false" outlineLevel="0" collapsed="false">
      <c r="A105" s="61" t="s">
        <v>663</v>
      </c>
      <c r="B105" s="9" t="str">
        <f aca="false">IF(CAD_Investimentos!$A16="","","Saldo de investimento")</f>
        <v/>
      </c>
      <c r="C105" s="9" t="str">
        <f aca="false">IF(CAD_Investimentos!$A16="","","Aplicado + aportes + rendimentos - resgates = saldo: "&amp;CAD_Investimentos!$B16)</f>
        <v/>
      </c>
      <c r="D105" s="10" t="str">
        <f aca="false">IF(CAD_Investimentos!$A16="","",CAD_Investimentos!$F16+SUMPRODUCT((L_DestTipo="INVESTIMENTO")*(L_DestID=CAD_Investimentos!$A16)*(L_Status="REALIZADO")*L_Valor)-SUMPRODUCT((L_OrigTipo="INVESTIMENTO")*(L_OrigID=CAD_Investimentos!$A16)*(L_Status="REALIZADO")*L_Valor))</f>
        <v/>
      </c>
      <c r="E105" s="10" t="str">
        <f aca="false">IF(CAD_Investimentos!$A16="","",CAD_Investimentos!$O16)</f>
        <v/>
      </c>
      <c r="F105" s="50" t="str">
        <f aca="false">IF($C105="","",$E105-$D105)</f>
        <v/>
      </c>
      <c r="G105" s="19" t="str">
        <f aca="false">IF($C105="","",IF(ABS($F105)&lt;=0.5,"OK","FALHA"))</f>
        <v/>
      </c>
    </row>
    <row r="106" customFormat="false" ht="15" hidden="false" customHeight="false" outlineLevel="0" collapsed="false">
      <c r="A106" s="61" t="s">
        <v>664</v>
      </c>
      <c r="B106" s="9" t="str">
        <f aca="false">IF(CAD_Investimentos!$A17="","","Saldo de investimento")</f>
        <v/>
      </c>
      <c r="C106" s="9" t="str">
        <f aca="false">IF(CAD_Investimentos!$A17="","","Aplicado + aportes + rendimentos - resgates = saldo: "&amp;CAD_Investimentos!$B17)</f>
        <v/>
      </c>
      <c r="D106" s="10" t="str">
        <f aca="false">IF(CAD_Investimentos!$A17="","",CAD_Investimentos!$F17+SUMPRODUCT((L_DestTipo="INVESTIMENTO")*(L_DestID=CAD_Investimentos!$A17)*(L_Status="REALIZADO")*L_Valor)-SUMPRODUCT((L_OrigTipo="INVESTIMENTO")*(L_OrigID=CAD_Investimentos!$A17)*(L_Status="REALIZADO")*L_Valor))</f>
        <v/>
      </c>
      <c r="E106" s="10" t="str">
        <f aca="false">IF(CAD_Investimentos!$A17="","",CAD_Investimentos!$O17)</f>
        <v/>
      </c>
      <c r="F106" s="50" t="str">
        <f aca="false">IF($C106="","",$E106-$D106)</f>
        <v/>
      </c>
      <c r="G106" s="19" t="str">
        <f aca="false">IF($C106="","",IF(ABS($F106)&lt;=0.5,"OK","FALHA"))</f>
        <v/>
      </c>
    </row>
    <row r="107" customFormat="false" ht="15" hidden="false" customHeight="false" outlineLevel="0" collapsed="false">
      <c r="A107" s="61" t="s">
        <v>665</v>
      </c>
      <c r="B107" s="9" t="str">
        <f aca="false">IF(CAD_Investimentos!$A18="","","Saldo de investimento")</f>
        <v/>
      </c>
      <c r="C107" s="9" t="str">
        <f aca="false">IF(CAD_Investimentos!$A18="","","Aplicado + aportes + rendimentos - resgates = saldo: "&amp;CAD_Investimentos!$B18)</f>
        <v/>
      </c>
      <c r="D107" s="10" t="str">
        <f aca="false">IF(CAD_Investimentos!$A18="","",CAD_Investimentos!$F18+SUMPRODUCT((L_DestTipo="INVESTIMENTO")*(L_DestID=CAD_Investimentos!$A18)*(L_Status="REALIZADO")*L_Valor)-SUMPRODUCT((L_OrigTipo="INVESTIMENTO")*(L_OrigID=CAD_Investimentos!$A18)*(L_Status="REALIZADO")*L_Valor))</f>
        <v/>
      </c>
      <c r="E107" s="10" t="str">
        <f aca="false">IF(CAD_Investimentos!$A18="","",CAD_Investimentos!$O18)</f>
        <v/>
      </c>
      <c r="F107" s="50" t="str">
        <f aca="false">IF($C107="","",$E107-$D107)</f>
        <v/>
      </c>
      <c r="G107" s="19" t="str">
        <f aca="false">IF($C107="","",IF(ABS($F107)&lt;=0.5,"OK","FALHA"))</f>
        <v/>
      </c>
    </row>
    <row r="108" customFormat="false" ht="15" hidden="false" customHeight="false" outlineLevel="0" collapsed="false">
      <c r="A108" s="61" t="s">
        <v>666</v>
      </c>
      <c r="B108" s="9" t="str">
        <f aca="false">IF(CAD_Investimentos!$A19="","","Saldo de investimento")</f>
        <v/>
      </c>
      <c r="C108" s="9" t="str">
        <f aca="false">IF(CAD_Investimentos!$A19="","","Aplicado + aportes + rendimentos - resgates = saldo: "&amp;CAD_Investimentos!$B19)</f>
        <v/>
      </c>
      <c r="D108" s="10" t="str">
        <f aca="false">IF(CAD_Investimentos!$A19="","",CAD_Investimentos!$F19+SUMPRODUCT((L_DestTipo="INVESTIMENTO")*(L_DestID=CAD_Investimentos!$A19)*(L_Status="REALIZADO")*L_Valor)-SUMPRODUCT((L_OrigTipo="INVESTIMENTO")*(L_OrigID=CAD_Investimentos!$A19)*(L_Status="REALIZADO")*L_Valor))</f>
        <v/>
      </c>
      <c r="E108" s="10" t="str">
        <f aca="false">IF(CAD_Investimentos!$A19="","",CAD_Investimentos!$O19)</f>
        <v/>
      </c>
      <c r="F108" s="50" t="str">
        <f aca="false">IF($C108="","",$E108-$D108)</f>
        <v/>
      </c>
      <c r="G108" s="19" t="str">
        <f aca="false">IF($C108="","",IF(ABS($F108)&lt;=0.5,"OK","FALHA"))</f>
        <v/>
      </c>
    </row>
    <row r="109" customFormat="false" ht="15" hidden="false" customHeight="false" outlineLevel="0" collapsed="false">
      <c r="A109" s="61" t="s">
        <v>667</v>
      </c>
      <c r="B109" s="9" t="str">
        <f aca="false">IF(CAD_Investimentos!$A20="","","Saldo de investimento")</f>
        <v/>
      </c>
      <c r="C109" s="9" t="str">
        <f aca="false">IF(CAD_Investimentos!$A20="","","Aplicado + aportes + rendimentos - resgates = saldo: "&amp;CAD_Investimentos!$B20)</f>
        <v/>
      </c>
      <c r="D109" s="10" t="str">
        <f aca="false">IF(CAD_Investimentos!$A20="","",CAD_Investimentos!$F20+SUMPRODUCT((L_DestTipo="INVESTIMENTO")*(L_DestID=CAD_Investimentos!$A20)*(L_Status="REALIZADO")*L_Valor)-SUMPRODUCT((L_OrigTipo="INVESTIMENTO")*(L_OrigID=CAD_Investimentos!$A20)*(L_Status="REALIZADO")*L_Valor))</f>
        <v/>
      </c>
      <c r="E109" s="10" t="str">
        <f aca="false">IF(CAD_Investimentos!$A20="","",CAD_Investimentos!$O20)</f>
        <v/>
      </c>
      <c r="F109" s="50" t="str">
        <f aca="false">IF($C109="","",$E109-$D109)</f>
        <v/>
      </c>
      <c r="G109" s="19" t="str">
        <f aca="false">IF($C109="","",IF(ABS($F109)&lt;=0.5,"OK","FALHA"))</f>
        <v/>
      </c>
    </row>
    <row r="110" customFormat="false" ht="15" hidden="false" customHeight="false" outlineLevel="0" collapsed="false">
      <c r="A110" s="61" t="s">
        <v>668</v>
      </c>
      <c r="B110" s="9" t="str">
        <f aca="false">IF(CAD_Investimentos!$A21="","","Saldo de investimento")</f>
        <v/>
      </c>
      <c r="C110" s="9" t="str">
        <f aca="false">IF(CAD_Investimentos!$A21="","","Aplicado + aportes + rendimentos - resgates = saldo: "&amp;CAD_Investimentos!$B21)</f>
        <v/>
      </c>
      <c r="D110" s="10" t="str">
        <f aca="false">IF(CAD_Investimentos!$A21="","",CAD_Investimentos!$F21+SUMPRODUCT((L_DestTipo="INVESTIMENTO")*(L_DestID=CAD_Investimentos!$A21)*(L_Status="REALIZADO")*L_Valor)-SUMPRODUCT((L_OrigTipo="INVESTIMENTO")*(L_OrigID=CAD_Investimentos!$A21)*(L_Status="REALIZADO")*L_Valor))</f>
        <v/>
      </c>
      <c r="E110" s="10" t="str">
        <f aca="false">IF(CAD_Investimentos!$A21="","",CAD_Investimentos!$O21)</f>
        <v/>
      </c>
      <c r="F110" s="50" t="str">
        <f aca="false">IF($C110="","",$E110-$D110)</f>
        <v/>
      </c>
      <c r="G110" s="19" t="str">
        <f aca="false">IF($C110="","",IF(ABS($F110)&lt;=0.5,"OK","FALHA"))</f>
        <v/>
      </c>
    </row>
    <row r="111" customFormat="false" ht="15" hidden="false" customHeight="false" outlineLevel="0" collapsed="false">
      <c r="A111" s="61" t="s">
        <v>669</v>
      </c>
      <c r="B111" s="9" t="str">
        <f aca="false">IF(CAD_Investimentos!$A22="","","Saldo de investimento")</f>
        <v/>
      </c>
      <c r="C111" s="9" t="str">
        <f aca="false">IF(CAD_Investimentos!$A22="","","Aplicado + aportes + rendimentos - resgates = saldo: "&amp;CAD_Investimentos!$B22)</f>
        <v/>
      </c>
      <c r="D111" s="10" t="str">
        <f aca="false">IF(CAD_Investimentos!$A22="","",CAD_Investimentos!$F22+SUMPRODUCT((L_DestTipo="INVESTIMENTO")*(L_DestID=CAD_Investimentos!$A22)*(L_Status="REALIZADO")*L_Valor)-SUMPRODUCT((L_OrigTipo="INVESTIMENTO")*(L_OrigID=CAD_Investimentos!$A22)*(L_Status="REALIZADO")*L_Valor))</f>
        <v/>
      </c>
      <c r="E111" s="10" t="str">
        <f aca="false">IF(CAD_Investimentos!$A22="","",CAD_Investimentos!$O22)</f>
        <v/>
      </c>
      <c r="F111" s="50" t="str">
        <f aca="false">IF($C111="","",$E111-$D111)</f>
        <v/>
      </c>
      <c r="G111" s="19" t="str">
        <f aca="false">IF($C111="","",IF(ABS($F111)&lt;=0.5,"OK","FALHA"))</f>
        <v/>
      </c>
    </row>
    <row r="112" customFormat="false" ht="15" hidden="false" customHeight="false" outlineLevel="0" collapsed="false">
      <c r="A112" s="61" t="s">
        <v>670</v>
      </c>
      <c r="B112" s="9" t="str">
        <f aca="false">IF(CAD_Investimentos!$A23="","","Saldo de investimento")</f>
        <v/>
      </c>
      <c r="C112" s="9" t="str">
        <f aca="false">IF(CAD_Investimentos!$A23="","","Aplicado + aportes + rendimentos - resgates = saldo: "&amp;CAD_Investimentos!$B23)</f>
        <v/>
      </c>
      <c r="D112" s="10" t="str">
        <f aca="false">IF(CAD_Investimentos!$A23="","",CAD_Investimentos!$F23+SUMPRODUCT((L_DestTipo="INVESTIMENTO")*(L_DestID=CAD_Investimentos!$A23)*(L_Status="REALIZADO")*L_Valor)-SUMPRODUCT((L_OrigTipo="INVESTIMENTO")*(L_OrigID=CAD_Investimentos!$A23)*(L_Status="REALIZADO")*L_Valor))</f>
        <v/>
      </c>
      <c r="E112" s="10" t="str">
        <f aca="false">IF(CAD_Investimentos!$A23="","",CAD_Investimentos!$O23)</f>
        <v/>
      </c>
      <c r="F112" s="50" t="str">
        <f aca="false">IF($C112="","",$E112-$D112)</f>
        <v/>
      </c>
      <c r="G112" s="19" t="str">
        <f aca="false">IF($C112="","",IF(ABS($F112)&lt;=0.5,"OK","FALHA"))</f>
        <v/>
      </c>
    </row>
    <row r="113" customFormat="false" ht="15" hidden="false" customHeight="false" outlineLevel="0" collapsed="false">
      <c r="A113" s="61" t="s">
        <v>671</v>
      </c>
      <c r="B113" s="9" t="str">
        <f aca="false">IF(CAD_Investimentos!$A24="","","Saldo de investimento")</f>
        <v/>
      </c>
      <c r="C113" s="9" t="str">
        <f aca="false">IF(CAD_Investimentos!$A24="","","Aplicado + aportes + rendimentos - resgates = saldo: "&amp;CAD_Investimentos!$B24)</f>
        <v/>
      </c>
      <c r="D113" s="10" t="str">
        <f aca="false">IF(CAD_Investimentos!$A24="","",CAD_Investimentos!$F24+SUMPRODUCT((L_DestTipo="INVESTIMENTO")*(L_DestID=CAD_Investimentos!$A24)*(L_Status="REALIZADO")*L_Valor)-SUMPRODUCT((L_OrigTipo="INVESTIMENTO")*(L_OrigID=CAD_Investimentos!$A24)*(L_Status="REALIZADO")*L_Valor))</f>
        <v/>
      </c>
      <c r="E113" s="10" t="str">
        <f aca="false">IF(CAD_Investimentos!$A24="","",CAD_Investimentos!$O24)</f>
        <v/>
      </c>
      <c r="F113" s="50" t="str">
        <f aca="false">IF($C113="","",$E113-$D113)</f>
        <v/>
      </c>
      <c r="G113" s="19" t="str">
        <f aca="false">IF($C113="","",IF(ABS($F113)&lt;=0.5,"OK","FALHA"))</f>
        <v/>
      </c>
    </row>
    <row r="114" customFormat="false" ht="15" hidden="false" customHeight="false" outlineLevel="0" collapsed="false">
      <c r="A114" s="61" t="s">
        <v>672</v>
      </c>
      <c r="B114" s="9" t="str">
        <f aca="false">IF(CAD_Investimentos!$A25="","","Saldo de investimento")</f>
        <v/>
      </c>
      <c r="C114" s="9" t="str">
        <f aca="false">IF(CAD_Investimentos!$A25="","","Aplicado + aportes + rendimentos - resgates = saldo: "&amp;CAD_Investimentos!$B25)</f>
        <v/>
      </c>
      <c r="D114" s="10" t="str">
        <f aca="false">IF(CAD_Investimentos!$A25="","",CAD_Investimentos!$F25+SUMPRODUCT((L_DestTipo="INVESTIMENTO")*(L_DestID=CAD_Investimentos!$A25)*(L_Status="REALIZADO")*L_Valor)-SUMPRODUCT((L_OrigTipo="INVESTIMENTO")*(L_OrigID=CAD_Investimentos!$A25)*(L_Status="REALIZADO")*L_Valor))</f>
        <v/>
      </c>
      <c r="E114" s="10" t="str">
        <f aca="false">IF(CAD_Investimentos!$A25="","",CAD_Investimentos!$O25)</f>
        <v/>
      </c>
      <c r="F114" s="50" t="str">
        <f aca="false">IF($C114="","",$E114-$D114)</f>
        <v/>
      </c>
      <c r="G114" s="19" t="str">
        <f aca="false">IF($C114="","",IF(ABS($F114)&lt;=0.5,"OK","FALHA"))</f>
        <v/>
      </c>
    </row>
    <row r="115" customFormat="false" ht="15" hidden="false" customHeight="false" outlineLevel="0" collapsed="false">
      <c r="A115" s="61" t="s">
        <v>673</v>
      </c>
      <c r="B115" s="9" t="str">
        <f aca="false">IF(CAD_Investimentos!$A26="","","Saldo de investimento")</f>
        <v/>
      </c>
      <c r="C115" s="9" t="str">
        <f aca="false">IF(CAD_Investimentos!$A26="","","Aplicado + aportes + rendimentos - resgates = saldo: "&amp;CAD_Investimentos!$B26)</f>
        <v/>
      </c>
      <c r="D115" s="10" t="str">
        <f aca="false">IF(CAD_Investimentos!$A26="","",CAD_Investimentos!$F26+SUMPRODUCT((L_DestTipo="INVESTIMENTO")*(L_DestID=CAD_Investimentos!$A26)*(L_Status="REALIZADO")*L_Valor)-SUMPRODUCT((L_OrigTipo="INVESTIMENTO")*(L_OrigID=CAD_Investimentos!$A26)*(L_Status="REALIZADO")*L_Valor))</f>
        <v/>
      </c>
      <c r="E115" s="10" t="str">
        <f aca="false">IF(CAD_Investimentos!$A26="","",CAD_Investimentos!$O26)</f>
        <v/>
      </c>
      <c r="F115" s="50" t="str">
        <f aca="false">IF($C115="","",$E115-$D115)</f>
        <v/>
      </c>
      <c r="G115" s="19" t="str">
        <f aca="false">IF($C115="","",IF(ABS($F115)&lt;=0.5,"OK","FALHA"))</f>
        <v/>
      </c>
    </row>
    <row r="116" customFormat="false" ht="15" hidden="false" customHeight="false" outlineLevel="0" collapsed="false">
      <c r="A116" s="61" t="s">
        <v>674</v>
      </c>
      <c r="B116" s="9" t="str">
        <f aca="false">IF(CAD_Investimentos!$A27="","","Saldo de investimento")</f>
        <v/>
      </c>
      <c r="C116" s="9" t="str">
        <f aca="false">IF(CAD_Investimentos!$A27="","","Aplicado + aportes + rendimentos - resgates = saldo: "&amp;CAD_Investimentos!$B27)</f>
        <v/>
      </c>
      <c r="D116" s="10" t="str">
        <f aca="false">IF(CAD_Investimentos!$A27="","",CAD_Investimentos!$F27+SUMPRODUCT((L_DestTipo="INVESTIMENTO")*(L_DestID=CAD_Investimentos!$A27)*(L_Status="REALIZADO")*L_Valor)-SUMPRODUCT((L_OrigTipo="INVESTIMENTO")*(L_OrigID=CAD_Investimentos!$A27)*(L_Status="REALIZADO")*L_Valor))</f>
        <v/>
      </c>
      <c r="E116" s="10" t="str">
        <f aca="false">IF(CAD_Investimentos!$A27="","",CAD_Investimentos!$O27)</f>
        <v/>
      </c>
      <c r="F116" s="50" t="str">
        <f aca="false">IF($C116="","",$E116-$D116)</f>
        <v/>
      </c>
      <c r="G116" s="19" t="str">
        <f aca="false">IF($C116="","",IF(ABS($F116)&lt;=0.5,"OK","FALHA"))</f>
        <v/>
      </c>
    </row>
    <row r="117" customFormat="false" ht="15" hidden="false" customHeight="false" outlineLevel="0" collapsed="false">
      <c r="A117" s="61" t="s">
        <v>675</v>
      </c>
      <c r="B117" s="9" t="str">
        <f aca="false">IF(CAD_Investimentos!$A28="","","Saldo de investimento")</f>
        <v/>
      </c>
      <c r="C117" s="9" t="str">
        <f aca="false">IF(CAD_Investimentos!$A28="","","Aplicado + aportes + rendimentos - resgates = saldo: "&amp;CAD_Investimentos!$B28)</f>
        <v/>
      </c>
      <c r="D117" s="10" t="str">
        <f aca="false">IF(CAD_Investimentos!$A28="","",CAD_Investimentos!$F28+SUMPRODUCT((L_DestTipo="INVESTIMENTO")*(L_DestID=CAD_Investimentos!$A28)*(L_Status="REALIZADO")*L_Valor)-SUMPRODUCT((L_OrigTipo="INVESTIMENTO")*(L_OrigID=CAD_Investimentos!$A28)*(L_Status="REALIZADO")*L_Valor))</f>
        <v/>
      </c>
      <c r="E117" s="10" t="str">
        <f aca="false">IF(CAD_Investimentos!$A28="","",CAD_Investimentos!$O28)</f>
        <v/>
      </c>
      <c r="F117" s="50" t="str">
        <f aca="false">IF($C117="","",$E117-$D117)</f>
        <v/>
      </c>
      <c r="G117" s="19" t="str">
        <f aca="false">IF($C117="","",IF(ABS($F117)&lt;=0.5,"OK","FALHA"))</f>
        <v/>
      </c>
    </row>
    <row r="118" customFormat="false" ht="15" hidden="false" customHeight="false" outlineLevel="0" collapsed="false">
      <c r="A118" s="61" t="s">
        <v>676</v>
      </c>
      <c r="B118" s="9" t="str">
        <f aca="false">IF(CAD_Investimentos!$A29="","","Saldo de investimento")</f>
        <v/>
      </c>
      <c r="C118" s="9" t="str">
        <f aca="false">IF(CAD_Investimentos!$A29="","","Aplicado + aportes + rendimentos - resgates = saldo: "&amp;CAD_Investimentos!$B29)</f>
        <v/>
      </c>
      <c r="D118" s="10" t="str">
        <f aca="false">IF(CAD_Investimentos!$A29="","",CAD_Investimentos!$F29+SUMPRODUCT((L_DestTipo="INVESTIMENTO")*(L_DestID=CAD_Investimentos!$A29)*(L_Status="REALIZADO")*L_Valor)-SUMPRODUCT((L_OrigTipo="INVESTIMENTO")*(L_OrigID=CAD_Investimentos!$A29)*(L_Status="REALIZADO")*L_Valor))</f>
        <v/>
      </c>
      <c r="E118" s="10" t="str">
        <f aca="false">IF(CAD_Investimentos!$A29="","",CAD_Investimentos!$O29)</f>
        <v/>
      </c>
      <c r="F118" s="50" t="str">
        <f aca="false">IF($C118="","",$E118-$D118)</f>
        <v/>
      </c>
      <c r="G118" s="19" t="str">
        <f aca="false">IF($C118="","",IF(ABS($F118)&lt;=0.5,"OK","FALHA"))</f>
        <v/>
      </c>
    </row>
    <row r="119" customFormat="false" ht="15" hidden="false" customHeight="false" outlineLevel="0" collapsed="false">
      <c r="A119" s="61" t="s">
        <v>677</v>
      </c>
      <c r="B119" s="9" t="str">
        <f aca="false">IF(CAD_Investimentos!$A30="","","Saldo de investimento")</f>
        <v/>
      </c>
      <c r="C119" s="9" t="str">
        <f aca="false">IF(CAD_Investimentos!$A30="","","Aplicado + aportes + rendimentos - resgates = saldo: "&amp;CAD_Investimentos!$B30)</f>
        <v/>
      </c>
      <c r="D119" s="10" t="str">
        <f aca="false">IF(CAD_Investimentos!$A30="","",CAD_Investimentos!$F30+SUMPRODUCT((L_DestTipo="INVESTIMENTO")*(L_DestID=CAD_Investimentos!$A30)*(L_Status="REALIZADO")*L_Valor)-SUMPRODUCT((L_OrigTipo="INVESTIMENTO")*(L_OrigID=CAD_Investimentos!$A30)*(L_Status="REALIZADO")*L_Valor))</f>
        <v/>
      </c>
      <c r="E119" s="10" t="str">
        <f aca="false">IF(CAD_Investimentos!$A30="","",CAD_Investimentos!$O30)</f>
        <v/>
      </c>
      <c r="F119" s="50" t="str">
        <f aca="false">IF($C119="","",$E119-$D119)</f>
        <v/>
      </c>
      <c r="G119" s="19" t="str">
        <f aca="false">IF($C119="","",IF(ABS($F119)&lt;=0.5,"OK","FALHA"))</f>
        <v/>
      </c>
    </row>
    <row r="120" customFormat="false" ht="15" hidden="false" customHeight="false" outlineLevel="0" collapsed="false">
      <c r="A120" s="61" t="s">
        <v>678</v>
      </c>
      <c r="B120" s="9" t="str">
        <f aca="false">IF(CAD_Investimentos!$A31="","","Saldo de investimento")</f>
        <v/>
      </c>
      <c r="C120" s="9" t="str">
        <f aca="false">IF(CAD_Investimentos!$A31="","","Aplicado + aportes + rendimentos - resgates = saldo: "&amp;CAD_Investimentos!$B31)</f>
        <v/>
      </c>
      <c r="D120" s="10" t="str">
        <f aca="false">IF(CAD_Investimentos!$A31="","",CAD_Investimentos!$F31+SUMPRODUCT((L_DestTipo="INVESTIMENTO")*(L_DestID=CAD_Investimentos!$A31)*(L_Status="REALIZADO")*L_Valor)-SUMPRODUCT((L_OrigTipo="INVESTIMENTO")*(L_OrigID=CAD_Investimentos!$A31)*(L_Status="REALIZADO")*L_Valor))</f>
        <v/>
      </c>
      <c r="E120" s="10" t="str">
        <f aca="false">IF(CAD_Investimentos!$A31="","",CAD_Investimentos!$O31)</f>
        <v/>
      </c>
      <c r="F120" s="50" t="str">
        <f aca="false">IF($C120="","",$E120-$D120)</f>
        <v/>
      </c>
      <c r="G120" s="19" t="str">
        <f aca="false">IF($C120="","",IF(ABS($F120)&lt;=0.5,"OK","FALHA"))</f>
        <v/>
      </c>
    </row>
    <row r="121" customFormat="false" ht="15" hidden="false" customHeight="false" outlineLevel="0" collapsed="false">
      <c r="A121" s="61" t="s">
        <v>679</v>
      </c>
      <c r="B121" s="9" t="str">
        <f aca="false">IF(CAD_Investimentos!$A32="","","Saldo de investimento")</f>
        <v/>
      </c>
      <c r="C121" s="9" t="str">
        <f aca="false">IF(CAD_Investimentos!$A32="","","Aplicado + aportes + rendimentos - resgates = saldo: "&amp;CAD_Investimentos!$B32)</f>
        <v/>
      </c>
      <c r="D121" s="10" t="str">
        <f aca="false">IF(CAD_Investimentos!$A32="","",CAD_Investimentos!$F32+SUMPRODUCT((L_DestTipo="INVESTIMENTO")*(L_DestID=CAD_Investimentos!$A32)*(L_Status="REALIZADO")*L_Valor)-SUMPRODUCT((L_OrigTipo="INVESTIMENTO")*(L_OrigID=CAD_Investimentos!$A32)*(L_Status="REALIZADO")*L_Valor))</f>
        <v/>
      </c>
      <c r="E121" s="10" t="str">
        <f aca="false">IF(CAD_Investimentos!$A32="","",CAD_Investimentos!$O32)</f>
        <v/>
      </c>
      <c r="F121" s="50" t="str">
        <f aca="false">IF($C121="","",$E121-$D121)</f>
        <v/>
      </c>
      <c r="G121" s="19" t="str">
        <f aca="false">IF($C121="","",IF(ABS($F121)&lt;=0.5,"OK","FALHA"))</f>
        <v/>
      </c>
    </row>
    <row r="122" customFormat="false" ht="15" hidden="false" customHeight="false" outlineLevel="0" collapsed="false">
      <c r="A122" s="61" t="s">
        <v>680</v>
      </c>
      <c r="B122" s="9" t="str">
        <f aca="false">IF(CAD_Investimentos!$A33="","","Saldo de investimento")</f>
        <v/>
      </c>
      <c r="C122" s="9" t="str">
        <f aca="false">IF(CAD_Investimentos!$A33="","","Aplicado + aportes + rendimentos - resgates = saldo: "&amp;CAD_Investimentos!$B33)</f>
        <v/>
      </c>
      <c r="D122" s="10" t="str">
        <f aca="false">IF(CAD_Investimentos!$A33="","",CAD_Investimentos!$F33+SUMPRODUCT((L_DestTipo="INVESTIMENTO")*(L_DestID=CAD_Investimentos!$A33)*(L_Status="REALIZADO")*L_Valor)-SUMPRODUCT((L_OrigTipo="INVESTIMENTO")*(L_OrigID=CAD_Investimentos!$A33)*(L_Status="REALIZADO")*L_Valor))</f>
        <v/>
      </c>
      <c r="E122" s="10" t="str">
        <f aca="false">IF(CAD_Investimentos!$A33="","",CAD_Investimentos!$O33)</f>
        <v/>
      </c>
      <c r="F122" s="50" t="str">
        <f aca="false">IF($C122="","",$E122-$D122)</f>
        <v/>
      </c>
      <c r="G122" s="19" t="str">
        <f aca="false">IF($C122="","",IF(ABS($F122)&lt;=0.5,"OK","FALHA"))</f>
        <v/>
      </c>
    </row>
    <row r="123" customFormat="false" ht="15" hidden="false" customHeight="false" outlineLevel="0" collapsed="false">
      <c r="A123" s="61" t="s">
        <v>681</v>
      </c>
      <c r="B123" s="9" t="str">
        <f aca="false">IF(CAD_Investimentos!$A34="","","Saldo de investimento")</f>
        <v/>
      </c>
      <c r="C123" s="9" t="str">
        <f aca="false">IF(CAD_Investimentos!$A34="","","Aplicado + aportes + rendimentos - resgates = saldo: "&amp;CAD_Investimentos!$B34)</f>
        <v/>
      </c>
      <c r="D123" s="10" t="str">
        <f aca="false">IF(CAD_Investimentos!$A34="","",CAD_Investimentos!$F34+SUMPRODUCT((L_DestTipo="INVESTIMENTO")*(L_DestID=CAD_Investimentos!$A34)*(L_Status="REALIZADO")*L_Valor)-SUMPRODUCT((L_OrigTipo="INVESTIMENTO")*(L_OrigID=CAD_Investimentos!$A34)*(L_Status="REALIZADO")*L_Valor))</f>
        <v/>
      </c>
      <c r="E123" s="10" t="str">
        <f aca="false">IF(CAD_Investimentos!$A34="","",CAD_Investimentos!$O34)</f>
        <v/>
      </c>
      <c r="F123" s="50" t="str">
        <f aca="false">IF($C123="","",$E123-$D123)</f>
        <v/>
      </c>
      <c r="G123" s="19" t="str">
        <f aca="false">IF($C123="","",IF(ABS($F123)&lt;=0.5,"OK","FALHA"))</f>
        <v/>
      </c>
    </row>
    <row r="124" customFormat="false" ht="15" hidden="false" customHeight="false" outlineLevel="0" collapsed="false">
      <c r="A124" s="61" t="s">
        <v>682</v>
      </c>
      <c r="B124" s="9" t="str">
        <f aca="false">IF(CAD_Investimentos!$A35="","","Saldo de investimento")</f>
        <v/>
      </c>
      <c r="C124" s="9" t="str">
        <f aca="false">IF(CAD_Investimentos!$A35="","","Aplicado + aportes + rendimentos - resgates = saldo: "&amp;CAD_Investimentos!$B35)</f>
        <v/>
      </c>
      <c r="D124" s="10" t="str">
        <f aca="false">IF(CAD_Investimentos!$A35="","",CAD_Investimentos!$F35+SUMPRODUCT((L_DestTipo="INVESTIMENTO")*(L_DestID=CAD_Investimentos!$A35)*(L_Status="REALIZADO")*L_Valor)-SUMPRODUCT((L_OrigTipo="INVESTIMENTO")*(L_OrigID=CAD_Investimentos!$A35)*(L_Status="REALIZADO")*L_Valor))</f>
        <v/>
      </c>
      <c r="E124" s="10" t="str">
        <f aca="false">IF(CAD_Investimentos!$A35="","",CAD_Investimentos!$O35)</f>
        <v/>
      </c>
      <c r="F124" s="50" t="str">
        <f aca="false">IF($C124="","",$E124-$D124)</f>
        <v/>
      </c>
      <c r="G124" s="19" t="str">
        <f aca="false">IF($C124="","",IF(ABS($F124)&lt;=0.5,"OK","FALHA"))</f>
        <v/>
      </c>
    </row>
    <row r="125" customFormat="false" ht="15" hidden="false" customHeight="false" outlineLevel="0" collapsed="false">
      <c r="A125" s="61" t="s">
        <v>683</v>
      </c>
      <c r="B125" s="9" t="str">
        <f aca="false">IF(CAD_Investimentos!$A36="","","Saldo de investimento")</f>
        <v/>
      </c>
      <c r="C125" s="9" t="str">
        <f aca="false">IF(CAD_Investimentos!$A36="","","Aplicado + aportes + rendimentos - resgates = saldo: "&amp;CAD_Investimentos!$B36)</f>
        <v/>
      </c>
      <c r="D125" s="10" t="str">
        <f aca="false">IF(CAD_Investimentos!$A36="","",CAD_Investimentos!$F36+SUMPRODUCT((L_DestTipo="INVESTIMENTO")*(L_DestID=CAD_Investimentos!$A36)*(L_Status="REALIZADO")*L_Valor)-SUMPRODUCT((L_OrigTipo="INVESTIMENTO")*(L_OrigID=CAD_Investimentos!$A36)*(L_Status="REALIZADO")*L_Valor))</f>
        <v/>
      </c>
      <c r="E125" s="10" t="str">
        <f aca="false">IF(CAD_Investimentos!$A36="","",CAD_Investimentos!$O36)</f>
        <v/>
      </c>
      <c r="F125" s="50" t="str">
        <f aca="false">IF($C125="","",$E125-$D125)</f>
        <v/>
      </c>
      <c r="G125" s="19" t="str">
        <f aca="false">IF($C125="","",IF(ABS($F125)&lt;=0.5,"OK","FALHA"))</f>
        <v/>
      </c>
    </row>
    <row r="126" customFormat="false" ht="15" hidden="false" customHeight="false" outlineLevel="0" collapsed="false">
      <c r="A126" s="61" t="s">
        <v>684</v>
      </c>
      <c r="B126" s="9" t="str">
        <f aca="false">IF(CAD_Investimentos!$A37="","","Saldo de investimento")</f>
        <v/>
      </c>
      <c r="C126" s="9" t="str">
        <f aca="false">IF(CAD_Investimentos!$A37="","","Aplicado + aportes + rendimentos - resgates = saldo: "&amp;CAD_Investimentos!$B37)</f>
        <v/>
      </c>
      <c r="D126" s="10" t="str">
        <f aca="false">IF(CAD_Investimentos!$A37="","",CAD_Investimentos!$F37+SUMPRODUCT((L_DestTipo="INVESTIMENTO")*(L_DestID=CAD_Investimentos!$A37)*(L_Status="REALIZADO")*L_Valor)-SUMPRODUCT((L_OrigTipo="INVESTIMENTO")*(L_OrigID=CAD_Investimentos!$A37)*(L_Status="REALIZADO")*L_Valor))</f>
        <v/>
      </c>
      <c r="E126" s="10" t="str">
        <f aca="false">IF(CAD_Investimentos!$A37="","",CAD_Investimentos!$O37)</f>
        <v/>
      </c>
      <c r="F126" s="50" t="str">
        <f aca="false">IF($C126="","",$E126-$D126)</f>
        <v/>
      </c>
      <c r="G126" s="19" t="str">
        <f aca="false">IF($C126="","",IF(ABS($F126)&lt;=0.5,"OK","FALHA"))</f>
        <v/>
      </c>
    </row>
    <row r="127" customFormat="false" ht="15" hidden="false" customHeight="false" outlineLevel="0" collapsed="false">
      <c r="A127" s="61" t="s">
        <v>685</v>
      </c>
      <c r="B127" s="9" t="str">
        <f aca="false">IF(CAD_Investimentos!$A38="","","Saldo de investimento")</f>
        <v/>
      </c>
      <c r="C127" s="9" t="str">
        <f aca="false">IF(CAD_Investimentos!$A38="","","Aplicado + aportes + rendimentos - resgates = saldo: "&amp;CAD_Investimentos!$B38)</f>
        <v/>
      </c>
      <c r="D127" s="10" t="str">
        <f aca="false">IF(CAD_Investimentos!$A38="","",CAD_Investimentos!$F38+SUMPRODUCT((L_DestTipo="INVESTIMENTO")*(L_DestID=CAD_Investimentos!$A38)*(L_Status="REALIZADO")*L_Valor)-SUMPRODUCT((L_OrigTipo="INVESTIMENTO")*(L_OrigID=CAD_Investimentos!$A38)*(L_Status="REALIZADO")*L_Valor))</f>
        <v/>
      </c>
      <c r="E127" s="10" t="str">
        <f aca="false">IF(CAD_Investimentos!$A38="","",CAD_Investimentos!$O38)</f>
        <v/>
      </c>
      <c r="F127" s="50" t="str">
        <f aca="false">IF($C127="","",$E127-$D127)</f>
        <v/>
      </c>
      <c r="G127" s="19" t="str">
        <f aca="false">IF($C127="","",IF(ABS($F127)&lt;=0.5,"OK","FALHA"))</f>
        <v/>
      </c>
    </row>
    <row r="128" customFormat="false" ht="15" hidden="false" customHeight="false" outlineLevel="0" collapsed="false">
      <c r="A128" s="61" t="s">
        <v>686</v>
      </c>
      <c r="B128" s="9" t="str">
        <f aca="false">IF(CAD_Investimentos!$A39="","","Saldo de investimento")</f>
        <v/>
      </c>
      <c r="C128" s="9" t="str">
        <f aca="false">IF(CAD_Investimentos!$A39="","","Aplicado + aportes + rendimentos - resgates = saldo: "&amp;CAD_Investimentos!$B39)</f>
        <v/>
      </c>
      <c r="D128" s="10" t="str">
        <f aca="false">IF(CAD_Investimentos!$A39="","",CAD_Investimentos!$F39+SUMPRODUCT((L_DestTipo="INVESTIMENTO")*(L_DestID=CAD_Investimentos!$A39)*(L_Status="REALIZADO")*L_Valor)-SUMPRODUCT((L_OrigTipo="INVESTIMENTO")*(L_OrigID=CAD_Investimentos!$A39)*(L_Status="REALIZADO")*L_Valor))</f>
        <v/>
      </c>
      <c r="E128" s="10" t="str">
        <f aca="false">IF(CAD_Investimentos!$A39="","",CAD_Investimentos!$O39)</f>
        <v/>
      </c>
      <c r="F128" s="50" t="str">
        <f aca="false">IF($C128="","",$E128-$D128)</f>
        <v/>
      </c>
      <c r="G128" s="19" t="str">
        <f aca="false">IF($C128="","",IF(ABS($F128)&lt;=0.5,"OK","FALHA"))</f>
        <v/>
      </c>
    </row>
    <row r="129" customFormat="false" ht="15" hidden="false" customHeight="false" outlineLevel="0" collapsed="false">
      <c r="A129" s="61" t="s">
        <v>687</v>
      </c>
      <c r="B129" s="9" t="str">
        <f aca="false">IF(CAD_Investimentos!$A40="","","Saldo de investimento")</f>
        <v/>
      </c>
      <c r="C129" s="9" t="str">
        <f aca="false">IF(CAD_Investimentos!$A40="","","Aplicado + aportes + rendimentos - resgates = saldo: "&amp;CAD_Investimentos!$B40)</f>
        <v/>
      </c>
      <c r="D129" s="10" t="str">
        <f aca="false">IF(CAD_Investimentos!$A40="","",CAD_Investimentos!$F40+SUMPRODUCT((L_DestTipo="INVESTIMENTO")*(L_DestID=CAD_Investimentos!$A40)*(L_Status="REALIZADO")*L_Valor)-SUMPRODUCT((L_OrigTipo="INVESTIMENTO")*(L_OrigID=CAD_Investimentos!$A40)*(L_Status="REALIZADO")*L_Valor))</f>
        <v/>
      </c>
      <c r="E129" s="10" t="str">
        <f aca="false">IF(CAD_Investimentos!$A40="","",CAD_Investimentos!$O40)</f>
        <v/>
      </c>
      <c r="F129" s="50" t="str">
        <f aca="false">IF($C129="","",$E129-$D129)</f>
        <v/>
      </c>
      <c r="G129" s="19" t="str">
        <f aca="false">IF($C129="","",IF(ABS($F129)&lt;=0.5,"OK","FALHA"))</f>
        <v/>
      </c>
    </row>
    <row r="130" customFormat="false" ht="15" hidden="false" customHeight="false" outlineLevel="0" collapsed="false">
      <c r="A130" s="61" t="s">
        <v>688</v>
      </c>
      <c r="B130" s="9" t="str">
        <f aca="false">IF(CAD_Investimentos!$A41="","","Saldo de investimento")</f>
        <v/>
      </c>
      <c r="C130" s="9" t="str">
        <f aca="false">IF(CAD_Investimentos!$A41="","","Aplicado + aportes + rendimentos - resgates = saldo: "&amp;CAD_Investimentos!$B41)</f>
        <v/>
      </c>
      <c r="D130" s="10" t="str">
        <f aca="false">IF(CAD_Investimentos!$A41="","",CAD_Investimentos!$F41+SUMPRODUCT((L_DestTipo="INVESTIMENTO")*(L_DestID=CAD_Investimentos!$A41)*(L_Status="REALIZADO")*L_Valor)-SUMPRODUCT((L_OrigTipo="INVESTIMENTO")*(L_OrigID=CAD_Investimentos!$A41)*(L_Status="REALIZADO")*L_Valor))</f>
        <v/>
      </c>
      <c r="E130" s="10" t="str">
        <f aca="false">IF(CAD_Investimentos!$A41="","",CAD_Investimentos!$O41)</f>
        <v/>
      </c>
      <c r="F130" s="50" t="str">
        <f aca="false">IF($C130="","",$E130-$D130)</f>
        <v/>
      </c>
      <c r="G130" s="19" t="str">
        <f aca="false">IF($C130="","",IF(ABS($F130)&lt;=0.5,"OK","FALHA"))</f>
        <v/>
      </c>
    </row>
    <row r="131" customFormat="false" ht="15" hidden="false" customHeight="false" outlineLevel="0" collapsed="false">
      <c r="A131" s="61" t="s">
        <v>689</v>
      </c>
      <c r="B131" s="9" t="str">
        <f aca="false">IF(CAD_Investimentos!$A42="","","Saldo de investimento")</f>
        <v/>
      </c>
      <c r="C131" s="9" t="str">
        <f aca="false">IF(CAD_Investimentos!$A42="","","Aplicado + aportes + rendimentos - resgates = saldo: "&amp;CAD_Investimentos!$B42)</f>
        <v/>
      </c>
      <c r="D131" s="10" t="str">
        <f aca="false">IF(CAD_Investimentos!$A42="","",CAD_Investimentos!$F42+SUMPRODUCT((L_DestTipo="INVESTIMENTO")*(L_DestID=CAD_Investimentos!$A42)*(L_Status="REALIZADO")*L_Valor)-SUMPRODUCT((L_OrigTipo="INVESTIMENTO")*(L_OrigID=CAD_Investimentos!$A42)*(L_Status="REALIZADO")*L_Valor))</f>
        <v/>
      </c>
      <c r="E131" s="10" t="str">
        <f aca="false">IF(CAD_Investimentos!$A42="","",CAD_Investimentos!$O42)</f>
        <v/>
      </c>
      <c r="F131" s="50" t="str">
        <f aca="false">IF($C131="","",$E131-$D131)</f>
        <v/>
      </c>
      <c r="G131" s="19" t="str">
        <f aca="false">IF($C131="","",IF(ABS($F131)&lt;=0.5,"OK","FALHA"))</f>
        <v/>
      </c>
    </row>
    <row r="132" customFormat="false" ht="15" hidden="false" customHeight="false" outlineLevel="0" collapsed="false">
      <c r="A132" s="61" t="s">
        <v>690</v>
      </c>
      <c r="B132" s="9" t="str">
        <f aca="false">IF(CAD_Investimentos!$A43="","","Saldo de investimento")</f>
        <v/>
      </c>
      <c r="C132" s="9" t="str">
        <f aca="false">IF(CAD_Investimentos!$A43="","","Aplicado + aportes + rendimentos - resgates = saldo: "&amp;CAD_Investimentos!$B43)</f>
        <v/>
      </c>
      <c r="D132" s="10" t="str">
        <f aca="false">IF(CAD_Investimentos!$A43="","",CAD_Investimentos!$F43+SUMPRODUCT((L_DestTipo="INVESTIMENTO")*(L_DestID=CAD_Investimentos!$A43)*(L_Status="REALIZADO")*L_Valor)-SUMPRODUCT((L_OrigTipo="INVESTIMENTO")*(L_OrigID=CAD_Investimentos!$A43)*(L_Status="REALIZADO")*L_Valor))</f>
        <v/>
      </c>
      <c r="E132" s="10" t="str">
        <f aca="false">IF(CAD_Investimentos!$A43="","",CAD_Investimentos!$O43)</f>
        <v/>
      </c>
      <c r="F132" s="50" t="str">
        <f aca="false">IF($C132="","",$E132-$D132)</f>
        <v/>
      </c>
      <c r="G132" s="19" t="str">
        <f aca="false">IF($C132="","",IF(ABS($F132)&lt;=0.5,"OK","FALHA"))</f>
        <v/>
      </c>
    </row>
    <row r="133" customFormat="false" ht="15" hidden="false" customHeight="false" outlineLevel="0" collapsed="false">
      <c r="A133" s="61" t="s">
        <v>691</v>
      </c>
      <c r="B133" s="9" t="str">
        <f aca="false">IF(CAD_Investimentos!$A44="","","Saldo de investimento")</f>
        <v/>
      </c>
      <c r="C133" s="9" t="str">
        <f aca="false">IF(CAD_Investimentos!$A44="","","Aplicado + aportes + rendimentos - resgates = saldo: "&amp;CAD_Investimentos!$B44)</f>
        <v/>
      </c>
      <c r="D133" s="10" t="str">
        <f aca="false">IF(CAD_Investimentos!$A44="","",CAD_Investimentos!$F44+SUMPRODUCT((L_DestTipo="INVESTIMENTO")*(L_DestID=CAD_Investimentos!$A44)*(L_Status="REALIZADO")*L_Valor)-SUMPRODUCT((L_OrigTipo="INVESTIMENTO")*(L_OrigID=CAD_Investimentos!$A44)*(L_Status="REALIZADO")*L_Valor))</f>
        <v/>
      </c>
      <c r="E133" s="10" t="str">
        <f aca="false">IF(CAD_Investimentos!$A44="","",CAD_Investimentos!$O44)</f>
        <v/>
      </c>
      <c r="F133" s="50" t="str">
        <f aca="false">IF($C133="","",$E133-$D133)</f>
        <v/>
      </c>
      <c r="G133" s="19" t="str">
        <f aca="false">IF($C133="","",IF(ABS($F133)&lt;=0.5,"OK","FALHA"))</f>
        <v/>
      </c>
    </row>
    <row r="135" customFormat="false" ht="19.5" hidden="false" customHeight="true" outlineLevel="0" collapsed="false">
      <c r="A135" s="3" t="s">
        <v>692</v>
      </c>
      <c r="B135" s="3"/>
      <c r="C135" s="3"/>
      <c r="D135" s="3"/>
      <c r="E135" s="3"/>
      <c r="F135" s="3"/>
      <c r="G135" s="3"/>
    </row>
    <row r="136" customFormat="false" ht="30" hidden="false" customHeight="true" outlineLevel="0" collapsed="false">
      <c r="A136" s="8" t="s">
        <v>100</v>
      </c>
      <c r="B136" s="8" t="s">
        <v>565</v>
      </c>
      <c r="C136" s="8" t="s">
        <v>566</v>
      </c>
      <c r="D136" s="8" t="s">
        <v>567</v>
      </c>
      <c r="E136" s="8" t="s">
        <v>568</v>
      </c>
      <c r="F136" s="8" t="s">
        <v>569</v>
      </c>
      <c r="G136" s="8" t="s">
        <v>426</v>
      </c>
    </row>
    <row r="137" customFormat="false" ht="15" hidden="false" customHeight="false" outlineLevel="0" collapsed="false">
      <c r="A137" s="61" t="s">
        <v>693</v>
      </c>
      <c r="B137" s="9" t="str">
        <f aca="false">IF(CAD_Investimentos!$A5="","","Principal + rendimento")</f>
        <v/>
      </c>
      <c r="C137" s="9" t="str">
        <f aca="false">IF(CAD_Investimentos!$A5="","","Principal + rendimento no saldo = saldo atual: "&amp;CAD_Investimentos!$B5)</f>
        <v/>
      </c>
      <c r="D137" s="10" t="str">
        <f aca="false">IF(CAD_Investimentos!$A5="","",CAD_Investimentos!$P5+CAD_Investimentos!$Q5)</f>
        <v/>
      </c>
      <c r="E137" s="10" t="str">
        <f aca="false">IF(CAD_Investimentos!$A5="","",CAD_Investimentos!$O5)</f>
        <v/>
      </c>
      <c r="F137" s="50" t="str">
        <f aca="false">IF($C137="","",$E137-$D137)</f>
        <v/>
      </c>
      <c r="G137" s="19" t="str">
        <f aca="false">IF($C137="","",IF(ABS($F137)&lt;=0.5,"OK","FALHA"))</f>
        <v/>
      </c>
    </row>
    <row r="138" customFormat="false" ht="15" hidden="false" customHeight="false" outlineLevel="0" collapsed="false">
      <c r="A138" s="61" t="s">
        <v>694</v>
      </c>
      <c r="B138" s="9" t="str">
        <f aca="false">IF(CAD_Investimentos!$A6="","","Principal + rendimento")</f>
        <v/>
      </c>
      <c r="C138" s="9" t="str">
        <f aca="false">IF(CAD_Investimentos!$A6="","","Principal + rendimento no saldo = saldo atual: "&amp;CAD_Investimentos!$B6)</f>
        <v/>
      </c>
      <c r="D138" s="10" t="str">
        <f aca="false">IF(CAD_Investimentos!$A6="","",CAD_Investimentos!$P6+CAD_Investimentos!$Q6)</f>
        <v/>
      </c>
      <c r="E138" s="10" t="str">
        <f aca="false">IF(CAD_Investimentos!$A6="","",CAD_Investimentos!$O6)</f>
        <v/>
      </c>
      <c r="F138" s="50" t="str">
        <f aca="false">IF($C138="","",$E138-$D138)</f>
        <v/>
      </c>
      <c r="G138" s="19" t="str">
        <f aca="false">IF($C138="","",IF(ABS($F138)&lt;=0.5,"OK","FALHA"))</f>
        <v/>
      </c>
    </row>
    <row r="139" customFormat="false" ht="15" hidden="false" customHeight="false" outlineLevel="0" collapsed="false">
      <c r="A139" s="61" t="s">
        <v>695</v>
      </c>
      <c r="B139" s="9" t="str">
        <f aca="false">IF(CAD_Investimentos!$A7="","","Principal + rendimento")</f>
        <v/>
      </c>
      <c r="C139" s="9" t="str">
        <f aca="false">IF(CAD_Investimentos!$A7="","","Principal + rendimento no saldo = saldo atual: "&amp;CAD_Investimentos!$B7)</f>
        <v/>
      </c>
      <c r="D139" s="10" t="str">
        <f aca="false">IF(CAD_Investimentos!$A7="","",CAD_Investimentos!$P7+CAD_Investimentos!$Q7)</f>
        <v/>
      </c>
      <c r="E139" s="10" t="str">
        <f aca="false">IF(CAD_Investimentos!$A7="","",CAD_Investimentos!$O7)</f>
        <v/>
      </c>
      <c r="F139" s="50" t="str">
        <f aca="false">IF($C139="","",$E139-$D139)</f>
        <v/>
      </c>
      <c r="G139" s="19" t="str">
        <f aca="false">IF($C139="","",IF(ABS($F139)&lt;=0.5,"OK","FALHA"))</f>
        <v/>
      </c>
    </row>
    <row r="140" customFormat="false" ht="15" hidden="false" customHeight="false" outlineLevel="0" collapsed="false">
      <c r="A140" s="61" t="s">
        <v>696</v>
      </c>
      <c r="B140" s="9" t="str">
        <f aca="false">IF(CAD_Investimentos!$A8="","","Principal + rendimento")</f>
        <v/>
      </c>
      <c r="C140" s="9" t="str">
        <f aca="false">IF(CAD_Investimentos!$A8="","","Principal + rendimento no saldo = saldo atual: "&amp;CAD_Investimentos!$B8)</f>
        <v/>
      </c>
      <c r="D140" s="10" t="str">
        <f aca="false">IF(CAD_Investimentos!$A8="","",CAD_Investimentos!$P8+CAD_Investimentos!$Q8)</f>
        <v/>
      </c>
      <c r="E140" s="10" t="str">
        <f aca="false">IF(CAD_Investimentos!$A8="","",CAD_Investimentos!$O8)</f>
        <v/>
      </c>
      <c r="F140" s="50" t="str">
        <f aca="false">IF($C140="","",$E140-$D140)</f>
        <v/>
      </c>
      <c r="G140" s="19" t="str">
        <f aca="false">IF($C140="","",IF(ABS($F140)&lt;=0.5,"OK","FALHA"))</f>
        <v/>
      </c>
    </row>
    <row r="141" customFormat="false" ht="15" hidden="false" customHeight="false" outlineLevel="0" collapsed="false">
      <c r="A141" s="61" t="s">
        <v>697</v>
      </c>
      <c r="B141" s="9" t="str">
        <f aca="false">IF(CAD_Investimentos!$A9="","","Principal + rendimento")</f>
        <v/>
      </c>
      <c r="C141" s="9" t="str">
        <f aca="false">IF(CAD_Investimentos!$A9="","","Principal + rendimento no saldo = saldo atual: "&amp;CAD_Investimentos!$B9)</f>
        <v/>
      </c>
      <c r="D141" s="10" t="str">
        <f aca="false">IF(CAD_Investimentos!$A9="","",CAD_Investimentos!$P9+CAD_Investimentos!$Q9)</f>
        <v/>
      </c>
      <c r="E141" s="10" t="str">
        <f aca="false">IF(CAD_Investimentos!$A9="","",CAD_Investimentos!$O9)</f>
        <v/>
      </c>
      <c r="F141" s="50" t="str">
        <f aca="false">IF($C141="","",$E141-$D141)</f>
        <v/>
      </c>
      <c r="G141" s="19" t="str">
        <f aca="false">IF($C141="","",IF(ABS($F141)&lt;=0.5,"OK","FALHA"))</f>
        <v/>
      </c>
    </row>
    <row r="142" customFormat="false" ht="15" hidden="false" customHeight="false" outlineLevel="0" collapsed="false">
      <c r="A142" s="61" t="s">
        <v>698</v>
      </c>
      <c r="B142" s="9" t="str">
        <f aca="false">IF(CAD_Investimentos!$A10="","","Principal + rendimento")</f>
        <v/>
      </c>
      <c r="C142" s="9" t="str">
        <f aca="false">IF(CAD_Investimentos!$A10="","","Principal + rendimento no saldo = saldo atual: "&amp;CAD_Investimentos!$B10)</f>
        <v/>
      </c>
      <c r="D142" s="10" t="str">
        <f aca="false">IF(CAD_Investimentos!$A10="","",CAD_Investimentos!$P10+CAD_Investimentos!$Q10)</f>
        <v/>
      </c>
      <c r="E142" s="10" t="str">
        <f aca="false">IF(CAD_Investimentos!$A10="","",CAD_Investimentos!$O10)</f>
        <v/>
      </c>
      <c r="F142" s="50" t="str">
        <f aca="false">IF($C142="","",$E142-$D142)</f>
        <v/>
      </c>
      <c r="G142" s="19" t="str">
        <f aca="false">IF($C142="","",IF(ABS($F142)&lt;=0.5,"OK","FALHA"))</f>
        <v/>
      </c>
    </row>
    <row r="143" customFormat="false" ht="15" hidden="false" customHeight="false" outlineLevel="0" collapsed="false">
      <c r="A143" s="61" t="s">
        <v>699</v>
      </c>
      <c r="B143" s="9" t="str">
        <f aca="false">IF(CAD_Investimentos!$A11="","","Principal + rendimento")</f>
        <v/>
      </c>
      <c r="C143" s="9" t="str">
        <f aca="false">IF(CAD_Investimentos!$A11="","","Principal + rendimento no saldo = saldo atual: "&amp;CAD_Investimentos!$B11)</f>
        <v/>
      </c>
      <c r="D143" s="10" t="str">
        <f aca="false">IF(CAD_Investimentos!$A11="","",CAD_Investimentos!$P11+CAD_Investimentos!$Q11)</f>
        <v/>
      </c>
      <c r="E143" s="10" t="str">
        <f aca="false">IF(CAD_Investimentos!$A11="","",CAD_Investimentos!$O11)</f>
        <v/>
      </c>
      <c r="F143" s="50" t="str">
        <f aca="false">IF($C143="","",$E143-$D143)</f>
        <v/>
      </c>
      <c r="G143" s="19" t="str">
        <f aca="false">IF($C143="","",IF(ABS($F143)&lt;=0.5,"OK","FALHA"))</f>
        <v/>
      </c>
    </row>
    <row r="144" customFormat="false" ht="15" hidden="false" customHeight="false" outlineLevel="0" collapsed="false">
      <c r="A144" s="61" t="s">
        <v>700</v>
      </c>
      <c r="B144" s="9" t="str">
        <f aca="false">IF(CAD_Investimentos!$A12="","","Principal + rendimento")</f>
        <v/>
      </c>
      <c r="C144" s="9" t="str">
        <f aca="false">IF(CAD_Investimentos!$A12="","","Principal + rendimento no saldo = saldo atual: "&amp;CAD_Investimentos!$B12)</f>
        <v/>
      </c>
      <c r="D144" s="10" t="str">
        <f aca="false">IF(CAD_Investimentos!$A12="","",CAD_Investimentos!$P12+CAD_Investimentos!$Q12)</f>
        <v/>
      </c>
      <c r="E144" s="10" t="str">
        <f aca="false">IF(CAD_Investimentos!$A12="","",CAD_Investimentos!$O12)</f>
        <v/>
      </c>
      <c r="F144" s="50" t="str">
        <f aca="false">IF($C144="","",$E144-$D144)</f>
        <v/>
      </c>
      <c r="G144" s="19" t="str">
        <f aca="false">IF($C144="","",IF(ABS($F144)&lt;=0.5,"OK","FALHA"))</f>
        <v/>
      </c>
    </row>
    <row r="145" customFormat="false" ht="15" hidden="false" customHeight="false" outlineLevel="0" collapsed="false">
      <c r="A145" s="61" t="s">
        <v>701</v>
      </c>
      <c r="B145" s="9" t="str">
        <f aca="false">IF(CAD_Investimentos!$A13="","","Principal + rendimento")</f>
        <v/>
      </c>
      <c r="C145" s="9" t="str">
        <f aca="false">IF(CAD_Investimentos!$A13="","","Principal + rendimento no saldo = saldo atual: "&amp;CAD_Investimentos!$B13)</f>
        <v/>
      </c>
      <c r="D145" s="10" t="str">
        <f aca="false">IF(CAD_Investimentos!$A13="","",CAD_Investimentos!$P13+CAD_Investimentos!$Q13)</f>
        <v/>
      </c>
      <c r="E145" s="10" t="str">
        <f aca="false">IF(CAD_Investimentos!$A13="","",CAD_Investimentos!$O13)</f>
        <v/>
      </c>
      <c r="F145" s="50" t="str">
        <f aca="false">IF($C145="","",$E145-$D145)</f>
        <v/>
      </c>
      <c r="G145" s="19" t="str">
        <f aca="false">IF($C145="","",IF(ABS($F145)&lt;=0.5,"OK","FALHA"))</f>
        <v/>
      </c>
    </row>
    <row r="146" customFormat="false" ht="15" hidden="false" customHeight="false" outlineLevel="0" collapsed="false">
      <c r="A146" s="61" t="s">
        <v>702</v>
      </c>
      <c r="B146" s="9" t="str">
        <f aca="false">IF(CAD_Investimentos!$A14="","","Principal + rendimento")</f>
        <v/>
      </c>
      <c r="C146" s="9" t="str">
        <f aca="false">IF(CAD_Investimentos!$A14="","","Principal + rendimento no saldo = saldo atual: "&amp;CAD_Investimentos!$B14)</f>
        <v/>
      </c>
      <c r="D146" s="10" t="str">
        <f aca="false">IF(CAD_Investimentos!$A14="","",CAD_Investimentos!$P14+CAD_Investimentos!$Q14)</f>
        <v/>
      </c>
      <c r="E146" s="10" t="str">
        <f aca="false">IF(CAD_Investimentos!$A14="","",CAD_Investimentos!$O14)</f>
        <v/>
      </c>
      <c r="F146" s="50" t="str">
        <f aca="false">IF($C146="","",$E146-$D146)</f>
        <v/>
      </c>
      <c r="G146" s="19" t="str">
        <f aca="false">IF($C146="","",IF(ABS($F146)&lt;=0.5,"OK","FALHA"))</f>
        <v/>
      </c>
    </row>
    <row r="147" customFormat="false" ht="15" hidden="false" customHeight="false" outlineLevel="0" collapsed="false">
      <c r="A147" s="61" t="s">
        <v>703</v>
      </c>
      <c r="B147" s="9" t="str">
        <f aca="false">IF(CAD_Investimentos!$A15="","","Principal + rendimento")</f>
        <v/>
      </c>
      <c r="C147" s="9" t="str">
        <f aca="false">IF(CAD_Investimentos!$A15="","","Principal + rendimento no saldo = saldo atual: "&amp;CAD_Investimentos!$B15)</f>
        <v/>
      </c>
      <c r="D147" s="10" t="str">
        <f aca="false">IF(CAD_Investimentos!$A15="","",CAD_Investimentos!$P15+CAD_Investimentos!$Q15)</f>
        <v/>
      </c>
      <c r="E147" s="10" t="str">
        <f aca="false">IF(CAD_Investimentos!$A15="","",CAD_Investimentos!$O15)</f>
        <v/>
      </c>
      <c r="F147" s="50" t="str">
        <f aca="false">IF($C147="","",$E147-$D147)</f>
        <v/>
      </c>
      <c r="G147" s="19" t="str">
        <f aca="false">IF($C147="","",IF(ABS($F147)&lt;=0.5,"OK","FALHA"))</f>
        <v/>
      </c>
    </row>
    <row r="148" customFormat="false" ht="15" hidden="false" customHeight="false" outlineLevel="0" collapsed="false">
      <c r="A148" s="61" t="s">
        <v>704</v>
      </c>
      <c r="B148" s="9" t="str">
        <f aca="false">IF(CAD_Investimentos!$A16="","","Principal + rendimento")</f>
        <v/>
      </c>
      <c r="C148" s="9" t="str">
        <f aca="false">IF(CAD_Investimentos!$A16="","","Principal + rendimento no saldo = saldo atual: "&amp;CAD_Investimentos!$B16)</f>
        <v/>
      </c>
      <c r="D148" s="10" t="str">
        <f aca="false">IF(CAD_Investimentos!$A16="","",CAD_Investimentos!$P16+CAD_Investimentos!$Q16)</f>
        <v/>
      </c>
      <c r="E148" s="10" t="str">
        <f aca="false">IF(CAD_Investimentos!$A16="","",CAD_Investimentos!$O16)</f>
        <v/>
      </c>
      <c r="F148" s="50" t="str">
        <f aca="false">IF($C148="","",$E148-$D148)</f>
        <v/>
      </c>
      <c r="G148" s="19" t="str">
        <f aca="false">IF($C148="","",IF(ABS($F148)&lt;=0.5,"OK","FALHA"))</f>
        <v/>
      </c>
    </row>
    <row r="149" customFormat="false" ht="15" hidden="false" customHeight="false" outlineLevel="0" collapsed="false">
      <c r="A149" s="61" t="s">
        <v>705</v>
      </c>
      <c r="B149" s="9" t="str">
        <f aca="false">IF(CAD_Investimentos!$A17="","","Principal + rendimento")</f>
        <v/>
      </c>
      <c r="C149" s="9" t="str">
        <f aca="false">IF(CAD_Investimentos!$A17="","","Principal + rendimento no saldo = saldo atual: "&amp;CAD_Investimentos!$B17)</f>
        <v/>
      </c>
      <c r="D149" s="10" t="str">
        <f aca="false">IF(CAD_Investimentos!$A17="","",CAD_Investimentos!$P17+CAD_Investimentos!$Q17)</f>
        <v/>
      </c>
      <c r="E149" s="10" t="str">
        <f aca="false">IF(CAD_Investimentos!$A17="","",CAD_Investimentos!$O17)</f>
        <v/>
      </c>
      <c r="F149" s="50" t="str">
        <f aca="false">IF($C149="","",$E149-$D149)</f>
        <v/>
      </c>
      <c r="G149" s="19" t="str">
        <f aca="false">IF($C149="","",IF(ABS($F149)&lt;=0.5,"OK","FALHA"))</f>
        <v/>
      </c>
    </row>
    <row r="150" customFormat="false" ht="15" hidden="false" customHeight="false" outlineLevel="0" collapsed="false">
      <c r="A150" s="61" t="s">
        <v>706</v>
      </c>
      <c r="B150" s="9" t="str">
        <f aca="false">IF(CAD_Investimentos!$A18="","","Principal + rendimento")</f>
        <v/>
      </c>
      <c r="C150" s="9" t="str">
        <f aca="false">IF(CAD_Investimentos!$A18="","","Principal + rendimento no saldo = saldo atual: "&amp;CAD_Investimentos!$B18)</f>
        <v/>
      </c>
      <c r="D150" s="10" t="str">
        <f aca="false">IF(CAD_Investimentos!$A18="","",CAD_Investimentos!$P18+CAD_Investimentos!$Q18)</f>
        <v/>
      </c>
      <c r="E150" s="10" t="str">
        <f aca="false">IF(CAD_Investimentos!$A18="","",CAD_Investimentos!$O18)</f>
        <v/>
      </c>
      <c r="F150" s="50" t="str">
        <f aca="false">IF($C150="","",$E150-$D150)</f>
        <v/>
      </c>
      <c r="G150" s="19" t="str">
        <f aca="false">IF($C150="","",IF(ABS($F150)&lt;=0.5,"OK","FALHA"))</f>
        <v/>
      </c>
    </row>
    <row r="151" customFormat="false" ht="15" hidden="false" customHeight="false" outlineLevel="0" collapsed="false">
      <c r="A151" s="61" t="s">
        <v>707</v>
      </c>
      <c r="B151" s="9" t="str">
        <f aca="false">IF(CAD_Investimentos!$A19="","","Principal + rendimento")</f>
        <v/>
      </c>
      <c r="C151" s="9" t="str">
        <f aca="false">IF(CAD_Investimentos!$A19="","","Principal + rendimento no saldo = saldo atual: "&amp;CAD_Investimentos!$B19)</f>
        <v/>
      </c>
      <c r="D151" s="10" t="str">
        <f aca="false">IF(CAD_Investimentos!$A19="","",CAD_Investimentos!$P19+CAD_Investimentos!$Q19)</f>
        <v/>
      </c>
      <c r="E151" s="10" t="str">
        <f aca="false">IF(CAD_Investimentos!$A19="","",CAD_Investimentos!$O19)</f>
        <v/>
      </c>
      <c r="F151" s="50" t="str">
        <f aca="false">IF($C151="","",$E151-$D151)</f>
        <v/>
      </c>
      <c r="G151" s="19" t="str">
        <f aca="false">IF($C151="","",IF(ABS($F151)&lt;=0.5,"OK","FALHA"))</f>
        <v/>
      </c>
    </row>
    <row r="152" customFormat="false" ht="15" hidden="false" customHeight="false" outlineLevel="0" collapsed="false">
      <c r="A152" s="61" t="s">
        <v>708</v>
      </c>
      <c r="B152" s="9" t="str">
        <f aca="false">IF(CAD_Investimentos!$A20="","","Principal + rendimento")</f>
        <v/>
      </c>
      <c r="C152" s="9" t="str">
        <f aca="false">IF(CAD_Investimentos!$A20="","","Principal + rendimento no saldo = saldo atual: "&amp;CAD_Investimentos!$B20)</f>
        <v/>
      </c>
      <c r="D152" s="10" t="str">
        <f aca="false">IF(CAD_Investimentos!$A20="","",CAD_Investimentos!$P20+CAD_Investimentos!$Q20)</f>
        <v/>
      </c>
      <c r="E152" s="10" t="str">
        <f aca="false">IF(CAD_Investimentos!$A20="","",CAD_Investimentos!$O20)</f>
        <v/>
      </c>
      <c r="F152" s="50" t="str">
        <f aca="false">IF($C152="","",$E152-$D152)</f>
        <v/>
      </c>
      <c r="G152" s="19" t="str">
        <f aca="false">IF($C152="","",IF(ABS($F152)&lt;=0.5,"OK","FALHA"))</f>
        <v/>
      </c>
    </row>
    <row r="153" customFormat="false" ht="15" hidden="false" customHeight="false" outlineLevel="0" collapsed="false">
      <c r="A153" s="61" t="s">
        <v>709</v>
      </c>
      <c r="B153" s="9" t="str">
        <f aca="false">IF(CAD_Investimentos!$A21="","","Principal + rendimento")</f>
        <v/>
      </c>
      <c r="C153" s="9" t="str">
        <f aca="false">IF(CAD_Investimentos!$A21="","","Principal + rendimento no saldo = saldo atual: "&amp;CAD_Investimentos!$B21)</f>
        <v/>
      </c>
      <c r="D153" s="10" t="str">
        <f aca="false">IF(CAD_Investimentos!$A21="","",CAD_Investimentos!$P21+CAD_Investimentos!$Q21)</f>
        <v/>
      </c>
      <c r="E153" s="10" t="str">
        <f aca="false">IF(CAD_Investimentos!$A21="","",CAD_Investimentos!$O21)</f>
        <v/>
      </c>
      <c r="F153" s="50" t="str">
        <f aca="false">IF($C153="","",$E153-$D153)</f>
        <v/>
      </c>
      <c r="G153" s="19" t="str">
        <f aca="false">IF($C153="","",IF(ABS($F153)&lt;=0.5,"OK","FALHA"))</f>
        <v/>
      </c>
    </row>
    <row r="154" customFormat="false" ht="15" hidden="false" customHeight="false" outlineLevel="0" collapsed="false">
      <c r="A154" s="61" t="s">
        <v>710</v>
      </c>
      <c r="B154" s="9" t="str">
        <f aca="false">IF(CAD_Investimentos!$A22="","","Principal + rendimento")</f>
        <v/>
      </c>
      <c r="C154" s="9" t="str">
        <f aca="false">IF(CAD_Investimentos!$A22="","","Principal + rendimento no saldo = saldo atual: "&amp;CAD_Investimentos!$B22)</f>
        <v/>
      </c>
      <c r="D154" s="10" t="str">
        <f aca="false">IF(CAD_Investimentos!$A22="","",CAD_Investimentos!$P22+CAD_Investimentos!$Q22)</f>
        <v/>
      </c>
      <c r="E154" s="10" t="str">
        <f aca="false">IF(CAD_Investimentos!$A22="","",CAD_Investimentos!$O22)</f>
        <v/>
      </c>
      <c r="F154" s="50" t="str">
        <f aca="false">IF($C154="","",$E154-$D154)</f>
        <v/>
      </c>
      <c r="G154" s="19" t="str">
        <f aca="false">IF($C154="","",IF(ABS($F154)&lt;=0.5,"OK","FALHA"))</f>
        <v/>
      </c>
    </row>
    <row r="155" customFormat="false" ht="15" hidden="false" customHeight="false" outlineLevel="0" collapsed="false">
      <c r="A155" s="61" t="s">
        <v>711</v>
      </c>
      <c r="B155" s="9" t="str">
        <f aca="false">IF(CAD_Investimentos!$A23="","","Principal + rendimento")</f>
        <v/>
      </c>
      <c r="C155" s="9" t="str">
        <f aca="false">IF(CAD_Investimentos!$A23="","","Principal + rendimento no saldo = saldo atual: "&amp;CAD_Investimentos!$B23)</f>
        <v/>
      </c>
      <c r="D155" s="10" t="str">
        <f aca="false">IF(CAD_Investimentos!$A23="","",CAD_Investimentos!$P23+CAD_Investimentos!$Q23)</f>
        <v/>
      </c>
      <c r="E155" s="10" t="str">
        <f aca="false">IF(CAD_Investimentos!$A23="","",CAD_Investimentos!$O23)</f>
        <v/>
      </c>
      <c r="F155" s="50" t="str">
        <f aca="false">IF($C155="","",$E155-$D155)</f>
        <v/>
      </c>
      <c r="G155" s="19" t="str">
        <f aca="false">IF($C155="","",IF(ABS($F155)&lt;=0.5,"OK","FALHA"))</f>
        <v/>
      </c>
    </row>
    <row r="156" customFormat="false" ht="15" hidden="false" customHeight="false" outlineLevel="0" collapsed="false">
      <c r="A156" s="61" t="s">
        <v>712</v>
      </c>
      <c r="B156" s="9" t="str">
        <f aca="false">IF(CAD_Investimentos!$A24="","","Principal + rendimento")</f>
        <v/>
      </c>
      <c r="C156" s="9" t="str">
        <f aca="false">IF(CAD_Investimentos!$A24="","","Principal + rendimento no saldo = saldo atual: "&amp;CAD_Investimentos!$B24)</f>
        <v/>
      </c>
      <c r="D156" s="10" t="str">
        <f aca="false">IF(CAD_Investimentos!$A24="","",CAD_Investimentos!$P24+CAD_Investimentos!$Q24)</f>
        <v/>
      </c>
      <c r="E156" s="10" t="str">
        <f aca="false">IF(CAD_Investimentos!$A24="","",CAD_Investimentos!$O24)</f>
        <v/>
      </c>
      <c r="F156" s="50" t="str">
        <f aca="false">IF($C156="","",$E156-$D156)</f>
        <v/>
      </c>
      <c r="G156" s="19" t="str">
        <f aca="false">IF($C156="","",IF(ABS($F156)&lt;=0.5,"OK","FALHA"))</f>
        <v/>
      </c>
    </row>
    <row r="157" customFormat="false" ht="15" hidden="false" customHeight="false" outlineLevel="0" collapsed="false">
      <c r="A157" s="61" t="s">
        <v>713</v>
      </c>
      <c r="B157" s="9" t="str">
        <f aca="false">IF(CAD_Investimentos!$A25="","","Principal + rendimento")</f>
        <v/>
      </c>
      <c r="C157" s="9" t="str">
        <f aca="false">IF(CAD_Investimentos!$A25="","","Principal + rendimento no saldo = saldo atual: "&amp;CAD_Investimentos!$B25)</f>
        <v/>
      </c>
      <c r="D157" s="10" t="str">
        <f aca="false">IF(CAD_Investimentos!$A25="","",CAD_Investimentos!$P25+CAD_Investimentos!$Q25)</f>
        <v/>
      </c>
      <c r="E157" s="10" t="str">
        <f aca="false">IF(CAD_Investimentos!$A25="","",CAD_Investimentos!$O25)</f>
        <v/>
      </c>
      <c r="F157" s="50" t="str">
        <f aca="false">IF($C157="","",$E157-$D157)</f>
        <v/>
      </c>
      <c r="G157" s="19" t="str">
        <f aca="false">IF($C157="","",IF(ABS($F157)&lt;=0.5,"OK","FALHA"))</f>
        <v/>
      </c>
    </row>
    <row r="158" customFormat="false" ht="15" hidden="false" customHeight="false" outlineLevel="0" collapsed="false">
      <c r="A158" s="61" t="s">
        <v>714</v>
      </c>
      <c r="B158" s="9" t="str">
        <f aca="false">IF(CAD_Investimentos!$A26="","","Principal + rendimento")</f>
        <v/>
      </c>
      <c r="C158" s="9" t="str">
        <f aca="false">IF(CAD_Investimentos!$A26="","","Principal + rendimento no saldo = saldo atual: "&amp;CAD_Investimentos!$B26)</f>
        <v/>
      </c>
      <c r="D158" s="10" t="str">
        <f aca="false">IF(CAD_Investimentos!$A26="","",CAD_Investimentos!$P26+CAD_Investimentos!$Q26)</f>
        <v/>
      </c>
      <c r="E158" s="10" t="str">
        <f aca="false">IF(CAD_Investimentos!$A26="","",CAD_Investimentos!$O26)</f>
        <v/>
      </c>
      <c r="F158" s="50" t="str">
        <f aca="false">IF($C158="","",$E158-$D158)</f>
        <v/>
      </c>
      <c r="G158" s="19" t="str">
        <f aca="false">IF($C158="","",IF(ABS($F158)&lt;=0.5,"OK","FALHA"))</f>
        <v/>
      </c>
    </row>
    <row r="159" customFormat="false" ht="15" hidden="false" customHeight="false" outlineLevel="0" collapsed="false">
      <c r="A159" s="61" t="s">
        <v>715</v>
      </c>
      <c r="B159" s="9" t="str">
        <f aca="false">IF(CAD_Investimentos!$A27="","","Principal + rendimento")</f>
        <v/>
      </c>
      <c r="C159" s="9" t="str">
        <f aca="false">IF(CAD_Investimentos!$A27="","","Principal + rendimento no saldo = saldo atual: "&amp;CAD_Investimentos!$B27)</f>
        <v/>
      </c>
      <c r="D159" s="10" t="str">
        <f aca="false">IF(CAD_Investimentos!$A27="","",CAD_Investimentos!$P27+CAD_Investimentos!$Q27)</f>
        <v/>
      </c>
      <c r="E159" s="10" t="str">
        <f aca="false">IF(CAD_Investimentos!$A27="","",CAD_Investimentos!$O27)</f>
        <v/>
      </c>
      <c r="F159" s="50" t="str">
        <f aca="false">IF($C159="","",$E159-$D159)</f>
        <v/>
      </c>
      <c r="G159" s="19" t="str">
        <f aca="false">IF($C159="","",IF(ABS($F159)&lt;=0.5,"OK","FALHA"))</f>
        <v/>
      </c>
    </row>
    <row r="160" customFormat="false" ht="15" hidden="false" customHeight="false" outlineLevel="0" collapsed="false">
      <c r="A160" s="61" t="s">
        <v>716</v>
      </c>
      <c r="B160" s="9" t="str">
        <f aca="false">IF(CAD_Investimentos!$A28="","","Principal + rendimento")</f>
        <v/>
      </c>
      <c r="C160" s="9" t="str">
        <f aca="false">IF(CAD_Investimentos!$A28="","","Principal + rendimento no saldo = saldo atual: "&amp;CAD_Investimentos!$B28)</f>
        <v/>
      </c>
      <c r="D160" s="10" t="str">
        <f aca="false">IF(CAD_Investimentos!$A28="","",CAD_Investimentos!$P28+CAD_Investimentos!$Q28)</f>
        <v/>
      </c>
      <c r="E160" s="10" t="str">
        <f aca="false">IF(CAD_Investimentos!$A28="","",CAD_Investimentos!$O28)</f>
        <v/>
      </c>
      <c r="F160" s="50" t="str">
        <f aca="false">IF($C160="","",$E160-$D160)</f>
        <v/>
      </c>
      <c r="G160" s="19" t="str">
        <f aca="false">IF($C160="","",IF(ABS($F160)&lt;=0.5,"OK","FALHA"))</f>
        <v/>
      </c>
    </row>
    <row r="161" customFormat="false" ht="15" hidden="false" customHeight="false" outlineLevel="0" collapsed="false">
      <c r="A161" s="61" t="s">
        <v>717</v>
      </c>
      <c r="B161" s="9" t="str">
        <f aca="false">IF(CAD_Investimentos!$A29="","","Principal + rendimento")</f>
        <v/>
      </c>
      <c r="C161" s="9" t="str">
        <f aca="false">IF(CAD_Investimentos!$A29="","","Principal + rendimento no saldo = saldo atual: "&amp;CAD_Investimentos!$B29)</f>
        <v/>
      </c>
      <c r="D161" s="10" t="str">
        <f aca="false">IF(CAD_Investimentos!$A29="","",CAD_Investimentos!$P29+CAD_Investimentos!$Q29)</f>
        <v/>
      </c>
      <c r="E161" s="10" t="str">
        <f aca="false">IF(CAD_Investimentos!$A29="","",CAD_Investimentos!$O29)</f>
        <v/>
      </c>
      <c r="F161" s="50" t="str">
        <f aca="false">IF($C161="","",$E161-$D161)</f>
        <v/>
      </c>
      <c r="G161" s="19" t="str">
        <f aca="false">IF($C161="","",IF(ABS($F161)&lt;=0.5,"OK","FALHA"))</f>
        <v/>
      </c>
    </row>
    <row r="162" customFormat="false" ht="15" hidden="false" customHeight="false" outlineLevel="0" collapsed="false">
      <c r="A162" s="61" t="s">
        <v>718</v>
      </c>
      <c r="B162" s="9" t="str">
        <f aca="false">IF(CAD_Investimentos!$A30="","","Principal + rendimento")</f>
        <v/>
      </c>
      <c r="C162" s="9" t="str">
        <f aca="false">IF(CAD_Investimentos!$A30="","","Principal + rendimento no saldo = saldo atual: "&amp;CAD_Investimentos!$B30)</f>
        <v/>
      </c>
      <c r="D162" s="10" t="str">
        <f aca="false">IF(CAD_Investimentos!$A30="","",CAD_Investimentos!$P30+CAD_Investimentos!$Q30)</f>
        <v/>
      </c>
      <c r="E162" s="10" t="str">
        <f aca="false">IF(CAD_Investimentos!$A30="","",CAD_Investimentos!$O30)</f>
        <v/>
      </c>
      <c r="F162" s="50" t="str">
        <f aca="false">IF($C162="","",$E162-$D162)</f>
        <v/>
      </c>
      <c r="G162" s="19" t="str">
        <f aca="false">IF($C162="","",IF(ABS($F162)&lt;=0.5,"OK","FALHA"))</f>
        <v/>
      </c>
    </row>
    <row r="163" customFormat="false" ht="15" hidden="false" customHeight="false" outlineLevel="0" collapsed="false">
      <c r="A163" s="61" t="s">
        <v>719</v>
      </c>
      <c r="B163" s="9" t="str">
        <f aca="false">IF(CAD_Investimentos!$A31="","","Principal + rendimento")</f>
        <v/>
      </c>
      <c r="C163" s="9" t="str">
        <f aca="false">IF(CAD_Investimentos!$A31="","","Principal + rendimento no saldo = saldo atual: "&amp;CAD_Investimentos!$B31)</f>
        <v/>
      </c>
      <c r="D163" s="10" t="str">
        <f aca="false">IF(CAD_Investimentos!$A31="","",CAD_Investimentos!$P31+CAD_Investimentos!$Q31)</f>
        <v/>
      </c>
      <c r="E163" s="10" t="str">
        <f aca="false">IF(CAD_Investimentos!$A31="","",CAD_Investimentos!$O31)</f>
        <v/>
      </c>
      <c r="F163" s="50" t="str">
        <f aca="false">IF($C163="","",$E163-$D163)</f>
        <v/>
      </c>
      <c r="G163" s="19" t="str">
        <f aca="false">IF($C163="","",IF(ABS($F163)&lt;=0.5,"OK","FALHA"))</f>
        <v/>
      </c>
    </row>
    <row r="164" customFormat="false" ht="15" hidden="false" customHeight="false" outlineLevel="0" collapsed="false">
      <c r="A164" s="61" t="s">
        <v>720</v>
      </c>
      <c r="B164" s="9" t="str">
        <f aca="false">IF(CAD_Investimentos!$A32="","","Principal + rendimento")</f>
        <v/>
      </c>
      <c r="C164" s="9" t="str">
        <f aca="false">IF(CAD_Investimentos!$A32="","","Principal + rendimento no saldo = saldo atual: "&amp;CAD_Investimentos!$B32)</f>
        <v/>
      </c>
      <c r="D164" s="10" t="str">
        <f aca="false">IF(CAD_Investimentos!$A32="","",CAD_Investimentos!$P32+CAD_Investimentos!$Q32)</f>
        <v/>
      </c>
      <c r="E164" s="10" t="str">
        <f aca="false">IF(CAD_Investimentos!$A32="","",CAD_Investimentos!$O32)</f>
        <v/>
      </c>
      <c r="F164" s="50" t="str">
        <f aca="false">IF($C164="","",$E164-$D164)</f>
        <v/>
      </c>
      <c r="G164" s="19" t="str">
        <f aca="false">IF($C164="","",IF(ABS($F164)&lt;=0.5,"OK","FALHA"))</f>
        <v/>
      </c>
    </row>
    <row r="165" customFormat="false" ht="15" hidden="false" customHeight="false" outlineLevel="0" collapsed="false">
      <c r="A165" s="61" t="s">
        <v>721</v>
      </c>
      <c r="B165" s="9" t="str">
        <f aca="false">IF(CAD_Investimentos!$A33="","","Principal + rendimento")</f>
        <v/>
      </c>
      <c r="C165" s="9" t="str">
        <f aca="false">IF(CAD_Investimentos!$A33="","","Principal + rendimento no saldo = saldo atual: "&amp;CAD_Investimentos!$B33)</f>
        <v/>
      </c>
      <c r="D165" s="10" t="str">
        <f aca="false">IF(CAD_Investimentos!$A33="","",CAD_Investimentos!$P33+CAD_Investimentos!$Q33)</f>
        <v/>
      </c>
      <c r="E165" s="10" t="str">
        <f aca="false">IF(CAD_Investimentos!$A33="","",CAD_Investimentos!$O33)</f>
        <v/>
      </c>
      <c r="F165" s="50" t="str">
        <f aca="false">IF($C165="","",$E165-$D165)</f>
        <v/>
      </c>
      <c r="G165" s="19" t="str">
        <f aca="false">IF($C165="","",IF(ABS($F165)&lt;=0.5,"OK","FALHA"))</f>
        <v/>
      </c>
    </row>
    <row r="166" customFormat="false" ht="15" hidden="false" customHeight="false" outlineLevel="0" collapsed="false">
      <c r="A166" s="61" t="s">
        <v>722</v>
      </c>
      <c r="B166" s="9" t="str">
        <f aca="false">IF(CAD_Investimentos!$A34="","","Principal + rendimento")</f>
        <v/>
      </c>
      <c r="C166" s="9" t="str">
        <f aca="false">IF(CAD_Investimentos!$A34="","","Principal + rendimento no saldo = saldo atual: "&amp;CAD_Investimentos!$B34)</f>
        <v/>
      </c>
      <c r="D166" s="10" t="str">
        <f aca="false">IF(CAD_Investimentos!$A34="","",CAD_Investimentos!$P34+CAD_Investimentos!$Q34)</f>
        <v/>
      </c>
      <c r="E166" s="10" t="str">
        <f aca="false">IF(CAD_Investimentos!$A34="","",CAD_Investimentos!$O34)</f>
        <v/>
      </c>
      <c r="F166" s="50" t="str">
        <f aca="false">IF($C166="","",$E166-$D166)</f>
        <v/>
      </c>
      <c r="G166" s="19" t="str">
        <f aca="false">IF($C166="","",IF(ABS($F166)&lt;=0.5,"OK","FALHA"))</f>
        <v/>
      </c>
    </row>
    <row r="167" customFormat="false" ht="15" hidden="false" customHeight="false" outlineLevel="0" collapsed="false">
      <c r="A167" s="61" t="s">
        <v>723</v>
      </c>
      <c r="B167" s="9" t="str">
        <f aca="false">IF(CAD_Investimentos!$A35="","","Principal + rendimento")</f>
        <v/>
      </c>
      <c r="C167" s="9" t="str">
        <f aca="false">IF(CAD_Investimentos!$A35="","","Principal + rendimento no saldo = saldo atual: "&amp;CAD_Investimentos!$B35)</f>
        <v/>
      </c>
      <c r="D167" s="10" t="str">
        <f aca="false">IF(CAD_Investimentos!$A35="","",CAD_Investimentos!$P35+CAD_Investimentos!$Q35)</f>
        <v/>
      </c>
      <c r="E167" s="10" t="str">
        <f aca="false">IF(CAD_Investimentos!$A35="","",CAD_Investimentos!$O35)</f>
        <v/>
      </c>
      <c r="F167" s="50" t="str">
        <f aca="false">IF($C167="","",$E167-$D167)</f>
        <v/>
      </c>
      <c r="G167" s="19" t="str">
        <f aca="false">IF($C167="","",IF(ABS($F167)&lt;=0.5,"OK","FALHA"))</f>
        <v/>
      </c>
    </row>
    <row r="168" customFormat="false" ht="15" hidden="false" customHeight="false" outlineLevel="0" collapsed="false">
      <c r="A168" s="61" t="s">
        <v>724</v>
      </c>
      <c r="B168" s="9" t="str">
        <f aca="false">IF(CAD_Investimentos!$A36="","","Principal + rendimento")</f>
        <v/>
      </c>
      <c r="C168" s="9" t="str">
        <f aca="false">IF(CAD_Investimentos!$A36="","","Principal + rendimento no saldo = saldo atual: "&amp;CAD_Investimentos!$B36)</f>
        <v/>
      </c>
      <c r="D168" s="10" t="str">
        <f aca="false">IF(CAD_Investimentos!$A36="","",CAD_Investimentos!$P36+CAD_Investimentos!$Q36)</f>
        <v/>
      </c>
      <c r="E168" s="10" t="str">
        <f aca="false">IF(CAD_Investimentos!$A36="","",CAD_Investimentos!$O36)</f>
        <v/>
      </c>
      <c r="F168" s="50" t="str">
        <f aca="false">IF($C168="","",$E168-$D168)</f>
        <v/>
      </c>
      <c r="G168" s="19" t="str">
        <f aca="false">IF($C168="","",IF(ABS($F168)&lt;=0.5,"OK","FALHA"))</f>
        <v/>
      </c>
    </row>
    <row r="169" customFormat="false" ht="15" hidden="false" customHeight="false" outlineLevel="0" collapsed="false">
      <c r="A169" s="61" t="s">
        <v>725</v>
      </c>
      <c r="B169" s="9" t="str">
        <f aca="false">IF(CAD_Investimentos!$A37="","","Principal + rendimento")</f>
        <v/>
      </c>
      <c r="C169" s="9" t="str">
        <f aca="false">IF(CAD_Investimentos!$A37="","","Principal + rendimento no saldo = saldo atual: "&amp;CAD_Investimentos!$B37)</f>
        <v/>
      </c>
      <c r="D169" s="10" t="str">
        <f aca="false">IF(CAD_Investimentos!$A37="","",CAD_Investimentos!$P37+CAD_Investimentos!$Q37)</f>
        <v/>
      </c>
      <c r="E169" s="10" t="str">
        <f aca="false">IF(CAD_Investimentos!$A37="","",CAD_Investimentos!$O37)</f>
        <v/>
      </c>
      <c r="F169" s="50" t="str">
        <f aca="false">IF($C169="","",$E169-$D169)</f>
        <v/>
      </c>
      <c r="G169" s="19" t="str">
        <f aca="false">IF($C169="","",IF(ABS($F169)&lt;=0.5,"OK","FALHA"))</f>
        <v/>
      </c>
    </row>
    <row r="170" customFormat="false" ht="15" hidden="false" customHeight="false" outlineLevel="0" collapsed="false">
      <c r="A170" s="61" t="s">
        <v>726</v>
      </c>
      <c r="B170" s="9" t="str">
        <f aca="false">IF(CAD_Investimentos!$A38="","","Principal + rendimento")</f>
        <v/>
      </c>
      <c r="C170" s="9" t="str">
        <f aca="false">IF(CAD_Investimentos!$A38="","","Principal + rendimento no saldo = saldo atual: "&amp;CAD_Investimentos!$B38)</f>
        <v/>
      </c>
      <c r="D170" s="10" t="str">
        <f aca="false">IF(CAD_Investimentos!$A38="","",CAD_Investimentos!$P38+CAD_Investimentos!$Q38)</f>
        <v/>
      </c>
      <c r="E170" s="10" t="str">
        <f aca="false">IF(CAD_Investimentos!$A38="","",CAD_Investimentos!$O38)</f>
        <v/>
      </c>
      <c r="F170" s="50" t="str">
        <f aca="false">IF($C170="","",$E170-$D170)</f>
        <v/>
      </c>
      <c r="G170" s="19" t="str">
        <f aca="false">IF($C170="","",IF(ABS($F170)&lt;=0.5,"OK","FALHA"))</f>
        <v/>
      </c>
    </row>
    <row r="171" customFormat="false" ht="15" hidden="false" customHeight="false" outlineLevel="0" collapsed="false">
      <c r="A171" s="61" t="s">
        <v>727</v>
      </c>
      <c r="B171" s="9" t="str">
        <f aca="false">IF(CAD_Investimentos!$A39="","","Principal + rendimento")</f>
        <v/>
      </c>
      <c r="C171" s="9" t="str">
        <f aca="false">IF(CAD_Investimentos!$A39="","","Principal + rendimento no saldo = saldo atual: "&amp;CAD_Investimentos!$B39)</f>
        <v/>
      </c>
      <c r="D171" s="10" t="str">
        <f aca="false">IF(CAD_Investimentos!$A39="","",CAD_Investimentos!$P39+CAD_Investimentos!$Q39)</f>
        <v/>
      </c>
      <c r="E171" s="10" t="str">
        <f aca="false">IF(CAD_Investimentos!$A39="","",CAD_Investimentos!$O39)</f>
        <v/>
      </c>
      <c r="F171" s="50" t="str">
        <f aca="false">IF($C171="","",$E171-$D171)</f>
        <v/>
      </c>
      <c r="G171" s="19" t="str">
        <f aca="false">IF($C171="","",IF(ABS($F171)&lt;=0.5,"OK","FALHA"))</f>
        <v/>
      </c>
    </row>
    <row r="172" customFormat="false" ht="15" hidden="false" customHeight="false" outlineLevel="0" collapsed="false">
      <c r="A172" s="61" t="s">
        <v>728</v>
      </c>
      <c r="B172" s="9" t="str">
        <f aca="false">IF(CAD_Investimentos!$A40="","","Principal + rendimento")</f>
        <v/>
      </c>
      <c r="C172" s="9" t="str">
        <f aca="false">IF(CAD_Investimentos!$A40="","","Principal + rendimento no saldo = saldo atual: "&amp;CAD_Investimentos!$B40)</f>
        <v/>
      </c>
      <c r="D172" s="10" t="str">
        <f aca="false">IF(CAD_Investimentos!$A40="","",CAD_Investimentos!$P40+CAD_Investimentos!$Q40)</f>
        <v/>
      </c>
      <c r="E172" s="10" t="str">
        <f aca="false">IF(CAD_Investimentos!$A40="","",CAD_Investimentos!$O40)</f>
        <v/>
      </c>
      <c r="F172" s="50" t="str">
        <f aca="false">IF($C172="","",$E172-$D172)</f>
        <v/>
      </c>
      <c r="G172" s="19" t="str">
        <f aca="false">IF($C172="","",IF(ABS($F172)&lt;=0.5,"OK","FALHA"))</f>
        <v/>
      </c>
    </row>
    <row r="173" customFormat="false" ht="15" hidden="false" customHeight="false" outlineLevel="0" collapsed="false">
      <c r="A173" s="61" t="s">
        <v>729</v>
      </c>
      <c r="B173" s="9" t="str">
        <f aca="false">IF(CAD_Investimentos!$A41="","","Principal + rendimento")</f>
        <v/>
      </c>
      <c r="C173" s="9" t="str">
        <f aca="false">IF(CAD_Investimentos!$A41="","","Principal + rendimento no saldo = saldo atual: "&amp;CAD_Investimentos!$B41)</f>
        <v/>
      </c>
      <c r="D173" s="10" t="str">
        <f aca="false">IF(CAD_Investimentos!$A41="","",CAD_Investimentos!$P41+CAD_Investimentos!$Q41)</f>
        <v/>
      </c>
      <c r="E173" s="10" t="str">
        <f aca="false">IF(CAD_Investimentos!$A41="","",CAD_Investimentos!$O41)</f>
        <v/>
      </c>
      <c r="F173" s="50" t="str">
        <f aca="false">IF($C173="","",$E173-$D173)</f>
        <v/>
      </c>
      <c r="G173" s="19" t="str">
        <f aca="false">IF($C173="","",IF(ABS($F173)&lt;=0.5,"OK","FALHA"))</f>
        <v/>
      </c>
    </row>
    <row r="174" customFormat="false" ht="15" hidden="false" customHeight="false" outlineLevel="0" collapsed="false">
      <c r="A174" s="61" t="s">
        <v>730</v>
      </c>
      <c r="B174" s="9" t="str">
        <f aca="false">IF(CAD_Investimentos!$A42="","","Principal + rendimento")</f>
        <v/>
      </c>
      <c r="C174" s="9" t="str">
        <f aca="false">IF(CAD_Investimentos!$A42="","","Principal + rendimento no saldo = saldo atual: "&amp;CAD_Investimentos!$B42)</f>
        <v/>
      </c>
      <c r="D174" s="10" t="str">
        <f aca="false">IF(CAD_Investimentos!$A42="","",CAD_Investimentos!$P42+CAD_Investimentos!$Q42)</f>
        <v/>
      </c>
      <c r="E174" s="10" t="str">
        <f aca="false">IF(CAD_Investimentos!$A42="","",CAD_Investimentos!$O42)</f>
        <v/>
      </c>
      <c r="F174" s="50" t="str">
        <f aca="false">IF($C174="","",$E174-$D174)</f>
        <v/>
      </c>
      <c r="G174" s="19" t="str">
        <f aca="false">IF($C174="","",IF(ABS($F174)&lt;=0.5,"OK","FALHA"))</f>
        <v/>
      </c>
    </row>
    <row r="175" customFormat="false" ht="15" hidden="false" customHeight="false" outlineLevel="0" collapsed="false">
      <c r="A175" s="61" t="s">
        <v>731</v>
      </c>
      <c r="B175" s="9" t="str">
        <f aca="false">IF(CAD_Investimentos!$A43="","","Principal + rendimento")</f>
        <v/>
      </c>
      <c r="C175" s="9" t="str">
        <f aca="false">IF(CAD_Investimentos!$A43="","","Principal + rendimento no saldo = saldo atual: "&amp;CAD_Investimentos!$B43)</f>
        <v/>
      </c>
      <c r="D175" s="10" t="str">
        <f aca="false">IF(CAD_Investimentos!$A43="","",CAD_Investimentos!$P43+CAD_Investimentos!$Q43)</f>
        <v/>
      </c>
      <c r="E175" s="10" t="str">
        <f aca="false">IF(CAD_Investimentos!$A43="","",CAD_Investimentos!$O43)</f>
        <v/>
      </c>
      <c r="F175" s="50" t="str">
        <f aca="false">IF($C175="","",$E175-$D175)</f>
        <v/>
      </c>
      <c r="G175" s="19" t="str">
        <f aca="false">IF($C175="","",IF(ABS($F175)&lt;=0.5,"OK","FALHA"))</f>
        <v/>
      </c>
    </row>
    <row r="176" customFormat="false" ht="15" hidden="false" customHeight="false" outlineLevel="0" collapsed="false">
      <c r="A176" s="61" t="s">
        <v>732</v>
      </c>
      <c r="B176" s="9" t="str">
        <f aca="false">IF(CAD_Investimentos!$A44="","","Principal + rendimento")</f>
        <v/>
      </c>
      <c r="C176" s="9" t="str">
        <f aca="false">IF(CAD_Investimentos!$A44="","","Principal + rendimento no saldo = saldo atual: "&amp;CAD_Investimentos!$B44)</f>
        <v/>
      </c>
      <c r="D176" s="10" t="str">
        <f aca="false">IF(CAD_Investimentos!$A44="","",CAD_Investimentos!$P44+CAD_Investimentos!$Q44)</f>
        <v/>
      </c>
      <c r="E176" s="10" t="str">
        <f aca="false">IF(CAD_Investimentos!$A44="","",CAD_Investimentos!$O44)</f>
        <v/>
      </c>
      <c r="F176" s="50" t="str">
        <f aca="false">IF($C176="","",$E176-$D176)</f>
        <v/>
      </c>
      <c r="G176" s="19" t="str">
        <f aca="false">IF($C176="","",IF(ABS($F176)&lt;=0.5,"OK","FALHA"))</f>
        <v/>
      </c>
    </row>
    <row r="178" customFormat="false" ht="19.5" hidden="false" customHeight="true" outlineLevel="0" collapsed="false">
      <c r="A178" s="3" t="s">
        <v>733</v>
      </c>
      <c r="B178" s="3"/>
      <c r="C178" s="3"/>
      <c r="D178" s="3"/>
      <c r="E178" s="3"/>
      <c r="F178" s="3"/>
      <c r="G178" s="3"/>
    </row>
    <row r="179" customFormat="false" ht="30" hidden="false" customHeight="true" outlineLevel="0" collapsed="false">
      <c r="A179" s="8" t="s">
        <v>100</v>
      </c>
      <c r="B179" s="8" t="s">
        <v>565</v>
      </c>
      <c r="C179" s="8" t="s">
        <v>566</v>
      </c>
      <c r="D179" s="8" t="s">
        <v>567</v>
      </c>
      <c r="E179" s="8" t="s">
        <v>568</v>
      </c>
      <c r="F179" s="8" t="s">
        <v>569</v>
      </c>
      <c r="G179" s="8" t="s">
        <v>426</v>
      </c>
    </row>
    <row r="180" customFormat="false" ht="15" hidden="false" customHeight="false" outlineLevel="0" collapsed="false">
      <c r="A180" s="61" t="s">
        <v>734</v>
      </c>
      <c r="B180" s="9" t="str">
        <f aca="false">IF(CAD_Metas!$A5="","","Saldo de meta")</f>
        <v/>
      </c>
      <c r="C180" s="9" t="str">
        <f aca="false">IF(CAD_Metas!$A5="","","Reservas - retiradas = valor reservado: "&amp;CAD_Metas!$B5)</f>
        <v/>
      </c>
      <c r="D180" s="10" t="str">
        <f aca="false">IF(CAD_Metas!$A5="","",SUMPRODUCT((MM_META=CAD_Metas!$A5)*MM_VALSINAL))</f>
        <v/>
      </c>
      <c r="E180" s="10" t="str">
        <f aca="false">IF(CAD_Metas!$A5="","",CAD_Metas!$H5)</f>
        <v/>
      </c>
      <c r="F180" s="50" t="str">
        <f aca="false">IF($C180="","",$E180-$D180)</f>
        <v/>
      </c>
      <c r="G180" s="19" t="str">
        <f aca="false">IF($C180="","",IF(ABS($F180)&lt;=0.5,"OK","FALHA"))</f>
        <v/>
      </c>
    </row>
    <row r="181" customFormat="false" ht="15" hidden="false" customHeight="false" outlineLevel="0" collapsed="false">
      <c r="A181" s="61" t="s">
        <v>735</v>
      </c>
      <c r="B181" s="9" t="str">
        <f aca="false">IF(CAD_Metas!$A6="","","Saldo de meta")</f>
        <v/>
      </c>
      <c r="C181" s="9" t="str">
        <f aca="false">IF(CAD_Metas!$A6="","","Reservas - retiradas = valor reservado: "&amp;CAD_Metas!$B6)</f>
        <v/>
      </c>
      <c r="D181" s="10" t="str">
        <f aca="false">IF(CAD_Metas!$A6="","",SUMPRODUCT((MM_META=CAD_Metas!$A6)*MM_VALSINAL))</f>
        <v/>
      </c>
      <c r="E181" s="10" t="str">
        <f aca="false">IF(CAD_Metas!$A6="","",CAD_Metas!$H6)</f>
        <v/>
      </c>
      <c r="F181" s="50" t="str">
        <f aca="false">IF($C181="","",$E181-$D181)</f>
        <v/>
      </c>
      <c r="G181" s="19" t="str">
        <f aca="false">IF($C181="","",IF(ABS($F181)&lt;=0.5,"OK","FALHA"))</f>
        <v/>
      </c>
    </row>
    <row r="182" customFormat="false" ht="15" hidden="false" customHeight="false" outlineLevel="0" collapsed="false">
      <c r="A182" s="61" t="s">
        <v>736</v>
      </c>
      <c r="B182" s="9" t="str">
        <f aca="false">IF(CAD_Metas!$A7="","","Saldo de meta")</f>
        <v/>
      </c>
      <c r="C182" s="9" t="str">
        <f aca="false">IF(CAD_Metas!$A7="","","Reservas - retiradas = valor reservado: "&amp;CAD_Metas!$B7)</f>
        <v/>
      </c>
      <c r="D182" s="10" t="str">
        <f aca="false">IF(CAD_Metas!$A7="","",SUMPRODUCT((MM_META=CAD_Metas!$A7)*MM_VALSINAL))</f>
        <v/>
      </c>
      <c r="E182" s="10" t="str">
        <f aca="false">IF(CAD_Metas!$A7="","",CAD_Metas!$H7)</f>
        <v/>
      </c>
      <c r="F182" s="50" t="str">
        <f aca="false">IF($C182="","",$E182-$D182)</f>
        <v/>
      </c>
      <c r="G182" s="19" t="str">
        <f aca="false">IF($C182="","",IF(ABS($F182)&lt;=0.5,"OK","FALHA"))</f>
        <v/>
      </c>
    </row>
    <row r="183" customFormat="false" ht="15" hidden="false" customHeight="false" outlineLevel="0" collapsed="false">
      <c r="A183" s="61" t="s">
        <v>737</v>
      </c>
      <c r="B183" s="9" t="str">
        <f aca="false">IF(CAD_Metas!$A8="","","Saldo de meta")</f>
        <v/>
      </c>
      <c r="C183" s="9" t="str">
        <f aca="false">IF(CAD_Metas!$A8="","","Reservas - retiradas = valor reservado: "&amp;CAD_Metas!$B8)</f>
        <v/>
      </c>
      <c r="D183" s="10" t="str">
        <f aca="false">IF(CAD_Metas!$A8="","",SUMPRODUCT((MM_META=CAD_Metas!$A8)*MM_VALSINAL))</f>
        <v/>
      </c>
      <c r="E183" s="10" t="str">
        <f aca="false">IF(CAD_Metas!$A8="","",CAD_Metas!$H8)</f>
        <v/>
      </c>
      <c r="F183" s="50" t="str">
        <f aca="false">IF($C183="","",$E183-$D183)</f>
        <v/>
      </c>
      <c r="G183" s="19" t="str">
        <f aca="false">IF($C183="","",IF(ABS($F183)&lt;=0.5,"OK","FALHA"))</f>
        <v/>
      </c>
    </row>
    <row r="184" customFormat="false" ht="15" hidden="false" customHeight="false" outlineLevel="0" collapsed="false">
      <c r="A184" s="61" t="s">
        <v>738</v>
      </c>
      <c r="B184" s="9" t="str">
        <f aca="false">IF(CAD_Metas!$A9="","","Saldo de meta")</f>
        <v/>
      </c>
      <c r="C184" s="9" t="str">
        <f aca="false">IF(CAD_Metas!$A9="","","Reservas - retiradas = valor reservado: "&amp;CAD_Metas!$B9)</f>
        <v/>
      </c>
      <c r="D184" s="10" t="str">
        <f aca="false">IF(CAD_Metas!$A9="","",SUMPRODUCT((MM_META=CAD_Metas!$A9)*MM_VALSINAL))</f>
        <v/>
      </c>
      <c r="E184" s="10" t="str">
        <f aca="false">IF(CAD_Metas!$A9="","",CAD_Metas!$H9)</f>
        <v/>
      </c>
      <c r="F184" s="50" t="str">
        <f aca="false">IF($C184="","",$E184-$D184)</f>
        <v/>
      </c>
      <c r="G184" s="19" t="str">
        <f aca="false">IF($C184="","",IF(ABS($F184)&lt;=0.5,"OK","FALHA"))</f>
        <v/>
      </c>
    </row>
    <row r="185" customFormat="false" ht="15" hidden="false" customHeight="false" outlineLevel="0" collapsed="false">
      <c r="A185" s="61" t="s">
        <v>739</v>
      </c>
      <c r="B185" s="9" t="str">
        <f aca="false">IF(CAD_Metas!$A10="","","Saldo de meta")</f>
        <v/>
      </c>
      <c r="C185" s="9" t="str">
        <f aca="false">IF(CAD_Metas!$A10="","","Reservas - retiradas = valor reservado: "&amp;CAD_Metas!$B10)</f>
        <v/>
      </c>
      <c r="D185" s="10" t="str">
        <f aca="false">IF(CAD_Metas!$A10="","",SUMPRODUCT((MM_META=CAD_Metas!$A10)*MM_VALSINAL))</f>
        <v/>
      </c>
      <c r="E185" s="10" t="str">
        <f aca="false">IF(CAD_Metas!$A10="","",CAD_Metas!$H10)</f>
        <v/>
      </c>
      <c r="F185" s="50" t="str">
        <f aca="false">IF($C185="","",$E185-$D185)</f>
        <v/>
      </c>
      <c r="G185" s="19" t="str">
        <f aca="false">IF($C185="","",IF(ABS($F185)&lt;=0.5,"OK","FALHA"))</f>
        <v/>
      </c>
    </row>
    <row r="186" customFormat="false" ht="15" hidden="false" customHeight="false" outlineLevel="0" collapsed="false">
      <c r="A186" s="61" t="s">
        <v>740</v>
      </c>
      <c r="B186" s="9" t="str">
        <f aca="false">IF(CAD_Metas!$A11="","","Saldo de meta")</f>
        <v/>
      </c>
      <c r="C186" s="9" t="str">
        <f aca="false">IF(CAD_Metas!$A11="","","Reservas - retiradas = valor reservado: "&amp;CAD_Metas!$B11)</f>
        <v/>
      </c>
      <c r="D186" s="10" t="str">
        <f aca="false">IF(CAD_Metas!$A11="","",SUMPRODUCT((MM_META=CAD_Metas!$A11)*MM_VALSINAL))</f>
        <v/>
      </c>
      <c r="E186" s="10" t="str">
        <f aca="false">IF(CAD_Metas!$A11="","",CAD_Metas!$H11)</f>
        <v/>
      </c>
      <c r="F186" s="50" t="str">
        <f aca="false">IF($C186="","",$E186-$D186)</f>
        <v/>
      </c>
      <c r="G186" s="19" t="str">
        <f aca="false">IF($C186="","",IF(ABS($F186)&lt;=0.5,"OK","FALHA"))</f>
        <v/>
      </c>
    </row>
    <row r="187" customFormat="false" ht="15" hidden="false" customHeight="false" outlineLevel="0" collapsed="false">
      <c r="A187" s="61" t="s">
        <v>741</v>
      </c>
      <c r="B187" s="9" t="str">
        <f aca="false">IF(CAD_Metas!$A12="","","Saldo de meta")</f>
        <v/>
      </c>
      <c r="C187" s="9" t="str">
        <f aca="false">IF(CAD_Metas!$A12="","","Reservas - retiradas = valor reservado: "&amp;CAD_Metas!$B12)</f>
        <v/>
      </c>
      <c r="D187" s="10" t="str">
        <f aca="false">IF(CAD_Metas!$A12="","",SUMPRODUCT((MM_META=CAD_Metas!$A12)*MM_VALSINAL))</f>
        <v/>
      </c>
      <c r="E187" s="10" t="str">
        <f aca="false">IF(CAD_Metas!$A12="","",CAD_Metas!$H12)</f>
        <v/>
      </c>
      <c r="F187" s="50" t="str">
        <f aca="false">IF($C187="","",$E187-$D187)</f>
        <v/>
      </c>
      <c r="G187" s="19" t="str">
        <f aca="false">IF($C187="","",IF(ABS($F187)&lt;=0.5,"OK","FALHA"))</f>
        <v/>
      </c>
    </row>
    <row r="188" customFormat="false" ht="15" hidden="false" customHeight="false" outlineLevel="0" collapsed="false">
      <c r="A188" s="61" t="s">
        <v>742</v>
      </c>
      <c r="B188" s="9" t="str">
        <f aca="false">IF(CAD_Metas!$A13="","","Saldo de meta")</f>
        <v/>
      </c>
      <c r="C188" s="9" t="str">
        <f aca="false">IF(CAD_Metas!$A13="","","Reservas - retiradas = valor reservado: "&amp;CAD_Metas!$B13)</f>
        <v/>
      </c>
      <c r="D188" s="10" t="str">
        <f aca="false">IF(CAD_Metas!$A13="","",SUMPRODUCT((MM_META=CAD_Metas!$A13)*MM_VALSINAL))</f>
        <v/>
      </c>
      <c r="E188" s="10" t="str">
        <f aca="false">IF(CAD_Metas!$A13="","",CAD_Metas!$H13)</f>
        <v/>
      </c>
      <c r="F188" s="50" t="str">
        <f aca="false">IF($C188="","",$E188-$D188)</f>
        <v/>
      </c>
      <c r="G188" s="19" t="str">
        <f aca="false">IF($C188="","",IF(ABS($F188)&lt;=0.5,"OK","FALHA"))</f>
        <v/>
      </c>
    </row>
    <row r="189" customFormat="false" ht="15" hidden="false" customHeight="false" outlineLevel="0" collapsed="false">
      <c r="A189" s="61" t="s">
        <v>743</v>
      </c>
      <c r="B189" s="9" t="str">
        <f aca="false">IF(CAD_Metas!$A14="","","Saldo de meta")</f>
        <v/>
      </c>
      <c r="C189" s="9" t="str">
        <f aca="false">IF(CAD_Metas!$A14="","","Reservas - retiradas = valor reservado: "&amp;CAD_Metas!$B14)</f>
        <v/>
      </c>
      <c r="D189" s="10" t="str">
        <f aca="false">IF(CAD_Metas!$A14="","",SUMPRODUCT((MM_META=CAD_Metas!$A14)*MM_VALSINAL))</f>
        <v/>
      </c>
      <c r="E189" s="10" t="str">
        <f aca="false">IF(CAD_Metas!$A14="","",CAD_Metas!$H14)</f>
        <v/>
      </c>
      <c r="F189" s="50" t="str">
        <f aca="false">IF($C189="","",$E189-$D189)</f>
        <v/>
      </c>
      <c r="G189" s="19" t="str">
        <f aca="false">IF($C189="","",IF(ABS($F189)&lt;=0.5,"OK","FALHA"))</f>
        <v/>
      </c>
    </row>
    <row r="190" customFormat="false" ht="15" hidden="false" customHeight="false" outlineLevel="0" collapsed="false">
      <c r="A190" s="61" t="s">
        <v>744</v>
      </c>
      <c r="B190" s="9" t="str">
        <f aca="false">IF(CAD_Metas!$A15="","","Saldo de meta")</f>
        <v/>
      </c>
      <c r="C190" s="9" t="str">
        <f aca="false">IF(CAD_Metas!$A15="","","Reservas - retiradas = valor reservado: "&amp;CAD_Metas!$B15)</f>
        <v/>
      </c>
      <c r="D190" s="10" t="str">
        <f aca="false">IF(CAD_Metas!$A15="","",SUMPRODUCT((MM_META=CAD_Metas!$A15)*MM_VALSINAL))</f>
        <v/>
      </c>
      <c r="E190" s="10" t="str">
        <f aca="false">IF(CAD_Metas!$A15="","",CAD_Metas!$H15)</f>
        <v/>
      </c>
      <c r="F190" s="50" t="str">
        <f aca="false">IF($C190="","",$E190-$D190)</f>
        <v/>
      </c>
      <c r="G190" s="19" t="str">
        <f aca="false">IF($C190="","",IF(ABS($F190)&lt;=0.5,"OK","FALHA"))</f>
        <v/>
      </c>
    </row>
    <row r="191" customFormat="false" ht="15" hidden="false" customHeight="false" outlineLevel="0" collapsed="false">
      <c r="A191" s="61" t="s">
        <v>745</v>
      </c>
      <c r="B191" s="9" t="str">
        <f aca="false">IF(CAD_Metas!$A16="","","Saldo de meta")</f>
        <v/>
      </c>
      <c r="C191" s="9" t="str">
        <f aca="false">IF(CAD_Metas!$A16="","","Reservas - retiradas = valor reservado: "&amp;CAD_Metas!$B16)</f>
        <v/>
      </c>
      <c r="D191" s="10" t="str">
        <f aca="false">IF(CAD_Metas!$A16="","",SUMPRODUCT((MM_META=CAD_Metas!$A16)*MM_VALSINAL))</f>
        <v/>
      </c>
      <c r="E191" s="10" t="str">
        <f aca="false">IF(CAD_Metas!$A16="","",CAD_Metas!$H16)</f>
        <v/>
      </c>
      <c r="F191" s="50" t="str">
        <f aca="false">IF($C191="","",$E191-$D191)</f>
        <v/>
      </c>
      <c r="G191" s="19" t="str">
        <f aca="false">IF($C191="","",IF(ABS($F191)&lt;=0.5,"OK","FALHA"))</f>
        <v/>
      </c>
    </row>
    <row r="192" customFormat="false" ht="15" hidden="false" customHeight="false" outlineLevel="0" collapsed="false">
      <c r="A192" s="61" t="s">
        <v>746</v>
      </c>
      <c r="B192" s="9" t="str">
        <f aca="false">IF(CAD_Metas!$A17="","","Saldo de meta")</f>
        <v/>
      </c>
      <c r="C192" s="9" t="str">
        <f aca="false">IF(CAD_Metas!$A17="","","Reservas - retiradas = valor reservado: "&amp;CAD_Metas!$B17)</f>
        <v/>
      </c>
      <c r="D192" s="10" t="str">
        <f aca="false">IF(CAD_Metas!$A17="","",SUMPRODUCT((MM_META=CAD_Metas!$A17)*MM_VALSINAL))</f>
        <v/>
      </c>
      <c r="E192" s="10" t="str">
        <f aca="false">IF(CAD_Metas!$A17="","",CAD_Metas!$H17)</f>
        <v/>
      </c>
      <c r="F192" s="50" t="str">
        <f aca="false">IF($C192="","",$E192-$D192)</f>
        <v/>
      </c>
      <c r="G192" s="19" t="str">
        <f aca="false">IF($C192="","",IF(ABS($F192)&lt;=0.5,"OK","FALHA"))</f>
        <v/>
      </c>
    </row>
    <row r="193" customFormat="false" ht="15" hidden="false" customHeight="false" outlineLevel="0" collapsed="false">
      <c r="A193" s="61" t="s">
        <v>747</v>
      </c>
      <c r="B193" s="9" t="str">
        <f aca="false">IF(CAD_Metas!$A18="","","Saldo de meta")</f>
        <v/>
      </c>
      <c r="C193" s="9" t="str">
        <f aca="false">IF(CAD_Metas!$A18="","","Reservas - retiradas = valor reservado: "&amp;CAD_Metas!$B18)</f>
        <v/>
      </c>
      <c r="D193" s="10" t="str">
        <f aca="false">IF(CAD_Metas!$A18="","",SUMPRODUCT((MM_META=CAD_Metas!$A18)*MM_VALSINAL))</f>
        <v/>
      </c>
      <c r="E193" s="10" t="str">
        <f aca="false">IF(CAD_Metas!$A18="","",CAD_Metas!$H18)</f>
        <v/>
      </c>
      <c r="F193" s="50" t="str">
        <f aca="false">IF($C193="","",$E193-$D193)</f>
        <v/>
      </c>
      <c r="G193" s="19" t="str">
        <f aca="false">IF($C193="","",IF(ABS($F193)&lt;=0.5,"OK","FALHA"))</f>
        <v/>
      </c>
    </row>
    <row r="194" customFormat="false" ht="15" hidden="false" customHeight="false" outlineLevel="0" collapsed="false">
      <c r="A194" s="61" t="s">
        <v>748</v>
      </c>
      <c r="B194" s="9" t="str">
        <f aca="false">IF(CAD_Metas!$A19="","","Saldo de meta")</f>
        <v/>
      </c>
      <c r="C194" s="9" t="str">
        <f aca="false">IF(CAD_Metas!$A19="","","Reservas - retiradas = valor reservado: "&amp;CAD_Metas!$B19)</f>
        <v/>
      </c>
      <c r="D194" s="10" t="str">
        <f aca="false">IF(CAD_Metas!$A19="","",SUMPRODUCT((MM_META=CAD_Metas!$A19)*MM_VALSINAL))</f>
        <v/>
      </c>
      <c r="E194" s="10" t="str">
        <f aca="false">IF(CAD_Metas!$A19="","",CAD_Metas!$H19)</f>
        <v/>
      </c>
      <c r="F194" s="50" t="str">
        <f aca="false">IF($C194="","",$E194-$D194)</f>
        <v/>
      </c>
      <c r="G194" s="19" t="str">
        <f aca="false">IF($C194="","",IF(ABS($F194)&lt;=0.5,"OK","FALHA"))</f>
        <v/>
      </c>
    </row>
    <row r="195" customFormat="false" ht="15" hidden="false" customHeight="false" outlineLevel="0" collapsed="false">
      <c r="A195" s="61" t="s">
        <v>749</v>
      </c>
      <c r="B195" s="9" t="str">
        <f aca="false">IF(CAD_Metas!$A20="","","Saldo de meta")</f>
        <v/>
      </c>
      <c r="C195" s="9" t="str">
        <f aca="false">IF(CAD_Metas!$A20="","","Reservas - retiradas = valor reservado: "&amp;CAD_Metas!$B20)</f>
        <v/>
      </c>
      <c r="D195" s="10" t="str">
        <f aca="false">IF(CAD_Metas!$A20="","",SUMPRODUCT((MM_META=CAD_Metas!$A20)*MM_VALSINAL))</f>
        <v/>
      </c>
      <c r="E195" s="10" t="str">
        <f aca="false">IF(CAD_Metas!$A20="","",CAD_Metas!$H20)</f>
        <v/>
      </c>
      <c r="F195" s="50" t="str">
        <f aca="false">IF($C195="","",$E195-$D195)</f>
        <v/>
      </c>
      <c r="G195" s="19" t="str">
        <f aca="false">IF($C195="","",IF(ABS($F195)&lt;=0.5,"OK","FALHA"))</f>
        <v/>
      </c>
    </row>
    <row r="196" customFormat="false" ht="15" hidden="false" customHeight="false" outlineLevel="0" collapsed="false">
      <c r="A196" s="61" t="s">
        <v>750</v>
      </c>
      <c r="B196" s="9" t="str">
        <f aca="false">IF(CAD_Metas!$A21="","","Saldo de meta")</f>
        <v/>
      </c>
      <c r="C196" s="9" t="str">
        <f aca="false">IF(CAD_Metas!$A21="","","Reservas - retiradas = valor reservado: "&amp;CAD_Metas!$B21)</f>
        <v/>
      </c>
      <c r="D196" s="10" t="str">
        <f aca="false">IF(CAD_Metas!$A21="","",SUMPRODUCT((MM_META=CAD_Metas!$A21)*MM_VALSINAL))</f>
        <v/>
      </c>
      <c r="E196" s="10" t="str">
        <f aca="false">IF(CAD_Metas!$A21="","",CAD_Metas!$H21)</f>
        <v/>
      </c>
      <c r="F196" s="50" t="str">
        <f aca="false">IF($C196="","",$E196-$D196)</f>
        <v/>
      </c>
      <c r="G196" s="19" t="str">
        <f aca="false">IF($C196="","",IF(ABS($F196)&lt;=0.5,"OK","FALHA"))</f>
        <v/>
      </c>
    </row>
    <row r="197" customFormat="false" ht="15" hidden="false" customHeight="false" outlineLevel="0" collapsed="false">
      <c r="A197" s="61" t="s">
        <v>751</v>
      </c>
      <c r="B197" s="9" t="str">
        <f aca="false">IF(CAD_Metas!$A22="","","Saldo de meta")</f>
        <v/>
      </c>
      <c r="C197" s="9" t="str">
        <f aca="false">IF(CAD_Metas!$A22="","","Reservas - retiradas = valor reservado: "&amp;CAD_Metas!$B22)</f>
        <v/>
      </c>
      <c r="D197" s="10" t="str">
        <f aca="false">IF(CAD_Metas!$A22="","",SUMPRODUCT((MM_META=CAD_Metas!$A22)*MM_VALSINAL))</f>
        <v/>
      </c>
      <c r="E197" s="10" t="str">
        <f aca="false">IF(CAD_Metas!$A22="","",CAD_Metas!$H22)</f>
        <v/>
      </c>
      <c r="F197" s="50" t="str">
        <f aca="false">IF($C197="","",$E197-$D197)</f>
        <v/>
      </c>
      <c r="G197" s="19" t="str">
        <f aca="false">IF($C197="","",IF(ABS($F197)&lt;=0.5,"OK","FALHA"))</f>
        <v/>
      </c>
    </row>
    <row r="198" customFormat="false" ht="15" hidden="false" customHeight="false" outlineLevel="0" collapsed="false">
      <c r="A198" s="61" t="s">
        <v>752</v>
      </c>
      <c r="B198" s="9" t="str">
        <f aca="false">IF(CAD_Metas!$A23="","","Saldo de meta")</f>
        <v/>
      </c>
      <c r="C198" s="9" t="str">
        <f aca="false">IF(CAD_Metas!$A23="","","Reservas - retiradas = valor reservado: "&amp;CAD_Metas!$B23)</f>
        <v/>
      </c>
      <c r="D198" s="10" t="str">
        <f aca="false">IF(CAD_Metas!$A23="","",SUMPRODUCT((MM_META=CAD_Metas!$A23)*MM_VALSINAL))</f>
        <v/>
      </c>
      <c r="E198" s="10" t="str">
        <f aca="false">IF(CAD_Metas!$A23="","",CAD_Metas!$H23)</f>
        <v/>
      </c>
      <c r="F198" s="50" t="str">
        <f aca="false">IF($C198="","",$E198-$D198)</f>
        <v/>
      </c>
      <c r="G198" s="19" t="str">
        <f aca="false">IF($C198="","",IF(ABS($F198)&lt;=0.5,"OK","FALHA"))</f>
        <v/>
      </c>
    </row>
    <row r="199" customFormat="false" ht="15" hidden="false" customHeight="false" outlineLevel="0" collapsed="false">
      <c r="A199" s="61" t="s">
        <v>753</v>
      </c>
      <c r="B199" s="9" t="str">
        <f aca="false">IF(CAD_Metas!$A24="","","Saldo de meta")</f>
        <v/>
      </c>
      <c r="C199" s="9" t="str">
        <f aca="false">IF(CAD_Metas!$A24="","","Reservas - retiradas = valor reservado: "&amp;CAD_Metas!$B24)</f>
        <v/>
      </c>
      <c r="D199" s="10" t="str">
        <f aca="false">IF(CAD_Metas!$A24="","",SUMPRODUCT((MM_META=CAD_Metas!$A24)*MM_VALSINAL))</f>
        <v/>
      </c>
      <c r="E199" s="10" t="str">
        <f aca="false">IF(CAD_Metas!$A24="","",CAD_Metas!$H24)</f>
        <v/>
      </c>
      <c r="F199" s="50" t="str">
        <f aca="false">IF($C199="","",$E199-$D199)</f>
        <v/>
      </c>
      <c r="G199" s="19" t="str">
        <f aca="false">IF($C199="","",IF(ABS($F199)&lt;=0.5,"OK","FALHA"))</f>
        <v/>
      </c>
    </row>
    <row r="200" customFormat="false" ht="15" hidden="false" customHeight="false" outlineLevel="0" collapsed="false">
      <c r="A200" s="61" t="s">
        <v>754</v>
      </c>
      <c r="B200" s="9" t="str">
        <f aca="false">IF(CAD_Metas!$A25="","","Saldo de meta")</f>
        <v/>
      </c>
      <c r="C200" s="9" t="str">
        <f aca="false">IF(CAD_Metas!$A25="","","Reservas - retiradas = valor reservado: "&amp;CAD_Metas!$B25)</f>
        <v/>
      </c>
      <c r="D200" s="10" t="str">
        <f aca="false">IF(CAD_Metas!$A25="","",SUMPRODUCT((MM_META=CAD_Metas!$A25)*MM_VALSINAL))</f>
        <v/>
      </c>
      <c r="E200" s="10" t="str">
        <f aca="false">IF(CAD_Metas!$A25="","",CAD_Metas!$H25)</f>
        <v/>
      </c>
      <c r="F200" s="50" t="str">
        <f aca="false">IF($C200="","",$E200-$D200)</f>
        <v/>
      </c>
      <c r="G200" s="19" t="str">
        <f aca="false">IF($C200="","",IF(ABS($F200)&lt;=0.5,"OK","FALHA"))</f>
        <v/>
      </c>
    </row>
    <row r="201" customFormat="false" ht="15" hidden="false" customHeight="false" outlineLevel="0" collapsed="false">
      <c r="A201" s="61" t="s">
        <v>755</v>
      </c>
      <c r="B201" s="9" t="str">
        <f aca="false">IF(CAD_Metas!$A26="","","Saldo de meta")</f>
        <v/>
      </c>
      <c r="C201" s="9" t="str">
        <f aca="false">IF(CAD_Metas!$A26="","","Reservas - retiradas = valor reservado: "&amp;CAD_Metas!$B26)</f>
        <v/>
      </c>
      <c r="D201" s="10" t="str">
        <f aca="false">IF(CAD_Metas!$A26="","",SUMPRODUCT((MM_META=CAD_Metas!$A26)*MM_VALSINAL))</f>
        <v/>
      </c>
      <c r="E201" s="10" t="str">
        <f aca="false">IF(CAD_Metas!$A26="","",CAD_Metas!$H26)</f>
        <v/>
      </c>
      <c r="F201" s="50" t="str">
        <f aca="false">IF($C201="","",$E201-$D201)</f>
        <v/>
      </c>
      <c r="G201" s="19" t="str">
        <f aca="false">IF($C201="","",IF(ABS($F201)&lt;=0.5,"OK","FALHA"))</f>
        <v/>
      </c>
    </row>
    <row r="202" customFormat="false" ht="15" hidden="false" customHeight="false" outlineLevel="0" collapsed="false">
      <c r="A202" s="61" t="s">
        <v>756</v>
      </c>
      <c r="B202" s="9" t="str">
        <f aca="false">IF(CAD_Metas!$A27="","","Saldo de meta")</f>
        <v/>
      </c>
      <c r="C202" s="9" t="str">
        <f aca="false">IF(CAD_Metas!$A27="","","Reservas - retiradas = valor reservado: "&amp;CAD_Metas!$B27)</f>
        <v/>
      </c>
      <c r="D202" s="10" t="str">
        <f aca="false">IF(CAD_Metas!$A27="","",SUMPRODUCT((MM_META=CAD_Metas!$A27)*MM_VALSINAL))</f>
        <v/>
      </c>
      <c r="E202" s="10" t="str">
        <f aca="false">IF(CAD_Metas!$A27="","",CAD_Metas!$H27)</f>
        <v/>
      </c>
      <c r="F202" s="50" t="str">
        <f aca="false">IF($C202="","",$E202-$D202)</f>
        <v/>
      </c>
      <c r="G202" s="19" t="str">
        <f aca="false">IF($C202="","",IF(ABS($F202)&lt;=0.5,"OK","FALHA"))</f>
        <v/>
      </c>
    </row>
    <row r="203" customFormat="false" ht="15" hidden="false" customHeight="false" outlineLevel="0" collapsed="false">
      <c r="A203" s="61" t="s">
        <v>757</v>
      </c>
      <c r="B203" s="9" t="str">
        <f aca="false">IF(CAD_Metas!$A28="","","Saldo de meta")</f>
        <v/>
      </c>
      <c r="C203" s="9" t="str">
        <f aca="false">IF(CAD_Metas!$A28="","","Reservas - retiradas = valor reservado: "&amp;CAD_Metas!$B28)</f>
        <v/>
      </c>
      <c r="D203" s="10" t="str">
        <f aca="false">IF(CAD_Metas!$A28="","",SUMPRODUCT((MM_META=CAD_Metas!$A28)*MM_VALSINAL))</f>
        <v/>
      </c>
      <c r="E203" s="10" t="str">
        <f aca="false">IF(CAD_Metas!$A28="","",CAD_Metas!$H28)</f>
        <v/>
      </c>
      <c r="F203" s="50" t="str">
        <f aca="false">IF($C203="","",$E203-$D203)</f>
        <v/>
      </c>
      <c r="G203" s="19" t="str">
        <f aca="false">IF($C203="","",IF(ABS($F203)&lt;=0.5,"OK","FALHA"))</f>
        <v/>
      </c>
    </row>
    <row r="204" customFormat="false" ht="15" hidden="false" customHeight="false" outlineLevel="0" collapsed="false">
      <c r="A204" s="61" t="s">
        <v>758</v>
      </c>
      <c r="B204" s="9" t="str">
        <f aca="false">IF(CAD_Metas!$A29="","","Saldo de meta")</f>
        <v/>
      </c>
      <c r="C204" s="9" t="str">
        <f aca="false">IF(CAD_Metas!$A29="","","Reservas - retiradas = valor reservado: "&amp;CAD_Metas!$B29)</f>
        <v/>
      </c>
      <c r="D204" s="10" t="str">
        <f aca="false">IF(CAD_Metas!$A29="","",SUMPRODUCT((MM_META=CAD_Metas!$A29)*MM_VALSINAL))</f>
        <v/>
      </c>
      <c r="E204" s="10" t="str">
        <f aca="false">IF(CAD_Metas!$A29="","",CAD_Metas!$H29)</f>
        <v/>
      </c>
      <c r="F204" s="50" t="str">
        <f aca="false">IF($C204="","",$E204-$D204)</f>
        <v/>
      </c>
      <c r="G204" s="19" t="str">
        <f aca="false">IF($C204="","",IF(ABS($F204)&lt;=0.5,"OK","FALHA"))</f>
        <v/>
      </c>
    </row>
    <row r="205" customFormat="false" ht="15" hidden="false" customHeight="false" outlineLevel="0" collapsed="false">
      <c r="A205" s="61" t="s">
        <v>759</v>
      </c>
      <c r="B205" s="9" t="str">
        <f aca="false">IF(CAD_Metas!$A30="","","Saldo de meta")</f>
        <v/>
      </c>
      <c r="C205" s="9" t="str">
        <f aca="false">IF(CAD_Metas!$A30="","","Reservas - retiradas = valor reservado: "&amp;CAD_Metas!$B30)</f>
        <v/>
      </c>
      <c r="D205" s="10" t="str">
        <f aca="false">IF(CAD_Metas!$A30="","",SUMPRODUCT((MM_META=CAD_Metas!$A30)*MM_VALSINAL))</f>
        <v/>
      </c>
      <c r="E205" s="10" t="str">
        <f aca="false">IF(CAD_Metas!$A30="","",CAD_Metas!$H30)</f>
        <v/>
      </c>
      <c r="F205" s="50" t="str">
        <f aca="false">IF($C205="","",$E205-$D205)</f>
        <v/>
      </c>
      <c r="G205" s="19" t="str">
        <f aca="false">IF($C205="","",IF(ABS($F205)&lt;=0.5,"OK","FALHA"))</f>
        <v/>
      </c>
    </row>
    <row r="206" customFormat="false" ht="15" hidden="false" customHeight="false" outlineLevel="0" collapsed="false">
      <c r="A206" s="61" t="s">
        <v>760</v>
      </c>
      <c r="B206" s="9" t="str">
        <f aca="false">IF(CAD_Metas!$A31="","","Saldo de meta")</f>
        <v/>
      </c>
      <c r="C206" s="9" t="str">
        <f aca="false">IF(CAD_Metas!$A31="","","Reservas - retiradas = valor reservado: "&amp;CAD_Metas!$B31)</f>
        <v/>
      </c>
      <c r="D206" s="10" t="str">
        <f aca="false">IF(CAD_Metas!$A31="","",SUMPRODUCT((MM_META=CAD_Metas!$A31)*MM_VALSINAL))</f>
        <v/>
      </c>
      <c r="E206" s="10" t="str">
        <f aca="false">IF(CAD_Metas!$A31="","",CAD_Metas!$H31)</f>
        <v/>
      </c>
      <c r="F206" s="50" t="str">
        <f aca="false">IF($C206="","",$E206-$D206)</f>
        <v/>
      </c>
      <c r="G206" s="19" t="str">
        <f aca="false">IF($C206="","",IF(ABS($F206)&lt;=0.5,"OK","FALHA"))</f>
        <v/>
      </c>
    </row>
    <row r="207" customFormat="false" ht="15" hidden="false" customHeight="false" outlineLevel="0" collapsed="false">
      <c r="A207" s="61" t="s">
        <v>761</v>
      </c>
      <c r="B207" s="9" t="str">
        <f aca="false">IF(CAD_Metas!$A32="","","Saldo de meta")</f>
        <v/>
      </c>
      <c r="C207" s="9" t="str">
        <f aca="false">IF(CAD_Metas!$A32="","","Reservas - retiradas = valor reservado: "&amp;CAD_Metas!$B32)</f>
        <v/>
      </c>
      <c r="D207" s="10" t="str">
        <f aca="false">IF(CAD_Metas!$A32="","",SUMPRODUCT((MM_META=CAD_Metas!$A32)*MM_VALSINAL))</f>
        <v/>
      </c>
      <c r="E207" s="10" t="str">
        <f aca="false">IF(CAD_Metas!$A32="","",CAD_Metas!$H32)</f>
        <v/>
      </c>
      <c r="F207" s="50" t="str">
        <f aca="false">IF($C207="","",$E207-$D207)</f>
        <v/>
      </c>
      <c r="G207" s="19" t="str">
        <f aca="false">IF($C207="","",IF(ABS($F207)&lt;=0.5,"OK","FALHA"))</f>
        <v/>
      </c>
    </row>
    <row r="208" customFormat="false" ht="15" hidden="false" customHeight="false" outlineLevel="0" collapsed="false">
      <c r="A208" s="61" t="s">
        <v>762</v>
      </c>
      <c r="B208" s="9" t="str">
        <f aca="false">IF(CAD_Metas!$A33="","","Saldo de meta")</f>
        <v/>
      </c>
      <c r="C208" s="9" t="str">
        <f aca="false">IF(CAD_Metas!$A33="","","Reservas - retiradas = valor reservado: "&amp;CAD_Metas!$B33)</f>
        <v/>
      </c>
      <c r="D208" s="10" t="str">
        <f aca="false">IF(CAD_Metas!$A33="","",SUMPRODUCT((MM_META=CAD_Metas!$A33)*MM_VALSINAL))</f>
        <v/>
      </c>
      <c r="E208" s="10" t="str">
        <f aca="false">IF(CAD_Metas!$A33="","",CAD_Metas!$H33)</f>
        <v/>
      </c>
      <c r="F208" s="50" t="str">
        <f aca="false">IF($C208="","",$E208-$D208)</f>
        <v/>
      </c>
      <c r="G208" s="19" t="str">
        <f aca="false">IF($C208="","",IF(ABS($F208)&lt;=0.5,"OK","FALHA"))</f>
        <v/>
      </c>
    </row>
    <row r="209" customFormat="false" ht="15" hidden="false" customHeight="false" outlineLevel="0" collapsed="false">
      <c r="A209" s="61" t="s">
        <v>763</v>
      </c>
      <c r="B209" s="9" t="str">
        <f aca="false">IF(CAD_Metas!$A34="","","Saldo de meta")</f>
        <v/>
      </c>
      <c r="C209" s="9" t="str">
        <f aca="false">IF(CAD_Metas!$A34="","","Reservas - retiradas = valor reservado: "&amp;CAD_Metas!$B34)</f>
        <v/>
      </c>
      <c r="D209" s="10" t="str">
        <f aca="false">IF(CAD_Metas!$A34="","",SUMPRODUCT((MM_META=CAD_Metas!$A34)*MM_VALSINAL))</f>
        <v/>
      </c>
      <c r="E209" s="10" t="str">
        <f aca="false">IF(CAD_Metas!$A34="","",CAD_Metas!$H34)</f>
        <v/>
      </c>
      <c r="F209" s="50" t="str">
        <f aca="false">IF($C209="","",$E209-$D209)</f>
        <v/>
      </c>
      <c r="G209" s="19" t="str">
        <f aca="false">IF($C209="","",IF(ABS($F209)&lt;=0.5,"OK","FALHA"))</f>
        <v/>
      </c>
    </row>
    <row r="210" customFormat="false" ht="15" hidden="false" customHeight="false" outlineLevel="0" collapsed="false">
      <c r="A210" s="61" t="s">
        <v>764</v>
      </c>
      <c r="B210" s="9" t="str">
        <f aca="false">IF(CAD_Metas!$A35="","","Saldo de meta")</f>
        <v/>
      </c>
      <c r="C210" s="9" t="str">
        <f aca="false">IF(CAD_Metas!$A35="","","Reservas - retiradas = valor reservado: "&amp;CAD_Metas!$B35)</f>
        <v/>
      </c>
      <c r="D210" s="10" t="str">
        <f aca="false">IF(CAD_Metas!$A35="","",SUMPRODUCT((MM_META=CAD_Metas!$A35)*MM_VALSINAL))</f>
        <v/>
      </c>
      <c r="E210" s="10" t="str">
        <f aca="false">IF(CAD_Metas!$A35="","",CAD_Metas!$H35)</f>
        <v/>
      </c>
      <c r="F210" s="50" t="str">
        <f aca="false">IF($C210="","",$E210-$D210)</f>
        <v/>
      </c>
      <c r="G210" s="19" t="str">
        <f aca="false">IF($C210="","",IF(ABS($F210)&lt;=0.5,"OK","FALHA"))</f>
        <v/>
      </c>
    </row>
    <row r="211" customFormat="false" ht="15" hidden="false" customHeight="false" outlineLevel="0" collapsed="false">
      <c r="A211" s="61" t="s">
        <v>765</v>
      </c>
      <c r="B211" s="9" t="str">
        <f aca="false">IF(CAD_Metas!$A36="","","Saldo de meta")</f>
        <v/>
      </c>
      <c r="C211" s="9" t="str">
        <f aca="false">IF(CAD_Metas!$A36="","","Reservas - retiradas = valor reservado: "&amp;CAD_Metas!$B36)</f>
        <v/>
      </c>
      <c r="D211" s="10" t="str">
        <f aca="false">IF(CAD_Metas!$A36="","",SUMPRODUCT((MM_META=CAD_Metas!$A36)*MM_VALSINAL))</f>
        <v/>
      </c>
      <c r="E211" s="10" t="str">
        <f aca="false">IF(CAD_Metas!$A36="","",CAD_Metas!$H36)</f>
        <v/>
      </c>
      <c r="F211" s="50" t="str">
        <f aca="false">IF($C211="","",$E211-$D211)</f>
        <v/>
      </c>
      <c r="G211" s="19" t="str">
        <f aca="false">IF($C211="","",IF(ABS($F211)&lt;=0.5,"OK","FALHA"))</f>
        <v/>
      </c>
    </row>
    <row r="212" customFormat="false" ht="15" hidden="false" customHeight="false" outlineLevel="0" collapsed="false">
      <c r="A212" s="61" t="s">
        <v>766</v>
      </c>
      <c r="B212" s="9" t="str">
        <f aca="false">IF(CAD_Metas!$A37="","","Saldo de meta")</f>
        <v/>
      </c>
      <c r="C212" s="9" t="str">
        <f aca="false">IF(CAD_Metas!$A37="","","Reservas - retiradas = valor reservado: "&amp;CAD_Metas!$B37)</f>
        <v/>
      </c>
      <c r="D212" s="10" t="str">
        <f aca="false">IF(CAD_Metas!$A37="","",SUMPRODUCT((MM_META=CAD_Metas!$A37)*MM_VALSINAL))</f>
        <v/>
      </c>
      <c r="E212" s="10" t="str">
        <f aca="false">IF(CAD_Metas!$A37="","",CAD_Metas!$H37)</f>
        <v/>
      </c>
      <c r="F212" s="50" t="str">
        <f aca="false">IF($C212="","",$E212-$D212)</f>
        <v/>
      </c>
      <c r="G212" s="19" t="str">
        <f aca="false">IF($C212="","",IF(ABS($F212)&lt;=0.5,"OK","FALHA"))</f>
        <v/>
      </c>
    </row>
    <row r="213" customFormat="false" ht="15" hidden="false" customHeight="false" outlineLevel="0" collapsed="false">
      <c r="A213" s="61" t="s">
        <v>767</v>
      </c>
      <c r="B213" s="9" t="str">
        <f aca="false">IF(CAD_Metas!$A38="","","Saldo de meta")</f>
        <v/>
      </c>
      <c r="C213" s="9" t="str">
        <f aca="false">IF(CAD_Metas!$A38="","","Reservas - retiradas = valor reservado: "&amp;CAD_Metas!$B38)</f>
        <v/>
      </c>
      <c r="D213" s="10" t="str">
        <f aca="false">IF(CAD_Metas!$A38="","",SUMPRODUCT((MM_META=CAD_Metas!$A38)*MM_VALSINAL))</f>
        <v/>
      </c>
      <c r="E213" s="10" t="str">
        <f aca="false">IF(CAD_Metas!$A38="","",CAD_Metas!$H38)</f>
        <v/>
      </c>
      <c r="F213" s="50" t="str">
        <f aca="false">IF($C213="","",$E213-$D213)</f>
        <v/>
      </c>
      <c r="G213" s="19" t="str">
        <f aca="false">IF($C213="","",IF(ABS($F213)&lt;=0.5,"OK","FALHA"))</f>
        <v/>
      </c>
    </row>
    <row r="214" customFormat="false" ht="15" hidden="false" customHeight="false" outlineLevel="0" collapsed="false">
      <c r="A214" s="61" t="s">
        <v>768</v>
      </c>
      <c r="B214" s="9" t="str">
        <f aca="false">IF(CAD_Metas!$A39="","","Saldo de meta")</f>
        <v/>
      </c>
      <c r="C214" s="9" t="str">
        <f aca="false">IF(CAD_Metas!$A39="","","Reservas - retiradas = valor reservado: "&amp;CAD_Metas!$B39)</f>
        <v/>
      </c>
      <c r="D214" s="10" t="str">
        <f aca="false">IF(CAD_Metas!$A39="","",SUMPRODUCT((MM_META=CAD_Metas!$A39)*MM_VALSINAL))</f>
        <v/>
      </c>
      <c r="E214" s="10" t="str">
        <f aca="false">IF(CAD_Metas!$A39="","",CAD_Metas!$H39)</f>
        <v/>
      </c>
      <c r="F214" s="50" t="str">
        <f aca="false">IF($C214="","",$E214-$D214)</f>
        <v/>
      </c>
      <c r="G214" s="19" t="str">
        <f aca="false">IF($C214="","",IF(ABS($F214)&lt;=0.5,"OK","FALHA"))</f>
        <v/>
      </c>
    </row>
    <row r="215" customFormat="false" ht="15" hidden="false" customHeight="false" outlineLevel="0" collapsed="false">
      <c r="A215" s="61" t="s">
        <v>769</v>
      </c>
      <c r="B215" s="9" t="str">
        <f aca="false">IF(CAD_Metas!$A40="","","Saldo de meta")</f>
        <v/>
      </c>
      <c r="C215" s="9" t="str">
        <f aca="false">IF(CAD_Metas!$A40="","","Reservas - retiradas = valor reservado: "&amp;CAD_Metas!$B40)</f>
        <v/>
      </c>
      <c r="D215" s="10" t="str">
        <f aca="false">IF(CAD_Metas!$A40="","",SUMPRODUCT((MM_META=CAD_Metas!$A40)*MM_VALSINAL))</f>
        <v/>
      </c>
      <c r="E215" s="10" t="str">
        <f aca="false">IF(CAD_Metas!$A40="","",CAD_Metas!$H40)</f>
        <v/>
      </c>
      <c r="F215" s="50" t="str">
        <f aca="false">IF($C215="","",$E215-$D215)</f>
        <v/>
      </c>
      <c r="G215" s="19" t="str">
        <f aca="false">IF($C215="","",IF(ABS($F215)&lt;=0.5,"OK","FALHA"))</f>
        <v/>
      </c>
    </row>
    <row r="216" customFormat="false" ht="15" hidden="false" customHeight="false" outlineLevel="0" collapsed="false">
      <c r="A216" s="61" t="s">
        <v>770</v>
      </c>
      <c r="B216" s="9" t="str">
        <f aca="false">IF(CAD_Metas!$A41="","","Saldo de meta")</f>
        <v/>
      </c>
      <c r="C216" s="9" t="str">
        <f aca="false">IF(CAD_Metas!$A41="","","Reservas - retiradas = valor reservado: "&amp;CAD_Metas!$B41)</f>
        <v/>
      </c>
      <c r="D216" s="10" t="str">
        <f aca="false">IF(CAD_Metas!$A41="","",SUMPRODUCT((MM_META=CAD_Metas!$A41)*MM_VALSINAL))</f>
        <v/>
      </c>
      <c r="E216" s="10" t="str">
        <f aca="false">IF(CAD_Metas!$A41="","",CAD_Metas!$H41)</f>
        <v/>
      </c>
      <c r="F216" s="50" t="str">
        <f aca="false">IF($C216="","",$E216-$D216)</f>
        <v/>
      </c>
      <c r="G216" s="19" t="str">
        <f aca="false">IF($C216="","",IF(ABS($F216)&lt;=0.5,"OK","FALHA"))</f>
        <v/>
      </c>
    </row>
    <row r="217" customFormat="false" ht="15" hidden="false" customHeight="false" outlineLevel="0" collapsed="false">
      <c r="A217" s="61" t="s">
        <v>771</v>
      </c>
      <c r="B217" s="9" t="str">
        <f aca="false">IF(CAD_Metas!$A42="","","Saldo de meta")</f>
        <v/>
      </c>
      <c r="C217" s="9" t="str">
        <f aca="false">IF(CAD_Metas!$A42="","","Reservas - retiradas = valor reservado: "&amp;CAD_Metas!$B42)</f>
        <v/>
      </c>
      <c r="D217" s="10" t="str">
        <f aca="false">IF(CAD_Metas!$A42="","",SUMPRODUCT((MM_META=CAD_Metas!$A42)*MM_VALSINAL))</f>
        <v/>
      </c>
      <c r="E217" s="10" t="str">
        <f aca="false">IF(CAD_Metas!$A42="","",CAD_Metas!$H42)</f>
        <v/>
      </c>
      <c r="F217" s="50" t="str">
        <f aca="false">IF($C217="","",$E217-$D217)</f>
        <v/>
      </c>
      <c r="G217" s="19" t="str">
        <f aca="false">IF($C217="","",IF(ABS($F217)&lt;=0.5,"OK","FALHA"))</f>
        <v/>
      </c>
    </row>
    <row r="218" customFormat="false" ht="15" hidden="false" customHeight="false" outlineLevel="0" collapsed="false">
      <c r="A218" s="61" t="s">
        <v>772</v>
      </c>
      <c r="B218" s="9" t="str">
        <f aca="false">IF(CAD_Metas!$A43="","","Saldo de meta")</f>
        <v/>
      </c>
      <c r="C218" s="9" t="str">
        <f aca="false">IF(CAD_Metas!$A43="","","Reservas - retiradas = valor reservado: "&amp;CAD_Metas!$B43)</f>
        <v/>
      </c>
      <c r="D218" s="10" t="str">
        <f aca="false">IF(CAD_Metas!$A43="","",SUMPRODUCT((MM_META=CAD_Metas!$A43)*MM_VALSINAL))</f>
        <v/>
      </c>
      <c r="E218" s="10" t="str">
        <f aca="false">IF(CAD_Metas!$A43="","",CAD_Metas!$H43)</f>
        <v/>
      </c>
      <c r="F218" s="50" t="str">
        <f aca="false">IF($C218="","",$E218-$D218)</f>
        <v/>
      </c>
      <c r="G218" s="19" t="str">
        <f aca="false">IF($C218="","",IF(ABS($F218)&lt;=0.5,"OK","FALHA"))</f>
        <v/>
      </c>
    </row>
    <row r="219" customFormat="false" ht="15" hidden="false" customHeight="false" outlineLevel="0" collapsed="false">
      <c r="A219" s="61" t="s">
        <v>773</v>
      </c>
      <c r="B219" s="9" t="str">
        <f aca="false">IF(CAD_Metas!$A44="","","Saldo de meta")</f>
        <v/>
      </c>
      <c r="C219" s="9" t="str">
        <f aca="false">IF(CAD_Metas!$A44="","","Reservas - retiradas = valor reservado: "&amp;CAD_Metas!$B44)</f>
        <v/>
      </c>
      <c r="D219" s="10" t="str">
        <f aca="false">IF(CAD_Metas!$A44="","",SUMPRODUCT((MM_META=CAD_Metas!$A44)*MM_VALSINAL))</f>
        <v/>
      </c>
      <c r="E219" s="10" t="str">
        <f aca="false">IF(CAD_Metas!$A44="","",CAD_Metas!$H44)</f>
        <v/>
      </c>
      <c r="F219" s="50" t="str">
        <f aca="false">IF($C219="","",$E219-$D219)</f>
        <v/>
      </c>
      <c r="G219" s="19" t="str">
        <f aca="false">IF($C219="","",IF(ABS($F219)&lt;=0.5,"OK","FALHA"))</f>
        <v/>
      </c>
    </row>
    <row r="221" customFormat="false" ht="19.5" hidden="false" customHeight="true" outlineLevel="0" collapsed="false">
      <c r="A221" s="3" t="s">
        <v>774</v>
      </c>
      <c r="B221" s="3"/>
      <c r="C221" s="3"/>
      <c r="D221" s="3"/>
      <c r="E221" s="3"/>
      <c r="F221" s="3"/>
      <c r="G221" s="3"/>
    </row>
    <row r="222" customFormat="false" ht="30" hidden="false" customHeight="true" outlineLevel="0" collapsed="false">
      <c r="A222" s="8" t="s">
        <v>100</v>
      </c>
      <c r="B222" s="8" t="s">
        <v>565</v>
      </c>
      <c r="C222" s="8" t="s">
        <v>566</v>
      </c>
      <c r="D222" s="8" t="s">
        <v>567</v>
      </c>
      <c r="E222" s="8" t="s">
        <v>568</v>
      </c>
      <c r="F222" s="8" t="s">
        <v>569</v>
      </c>
      <c r="G222" s="8" t="s">
        <v>426</v>
      </c>
    </row>
    <row r="223" customFormat="false" ht="15" hidden="false" customHeight="false" outlineLevel="0" collapsed="false">
      <c r="A223" s="61" t="s">
        <v>775</v>
      </c>
      <c r="B223" s="9" t="str">
        <f aca="false">IF(CAD_Compromissos!$A5="","","Compromisso")</f>
        <v/>
      </c>
      <c r="C223" s="9" t="str">
        <f aca="false">IF(CAD_Compromissos!$A5="","","Valor pago + saldo devedor = valor total: "&amp;CAD_Compromissos!$B5)</f>
        <v/>
      </c>
      <c r="D223" s="10" t="str">
        <f aca="false">IF(CAD_Compromissos!$A5="","",CAD_Compromissos!$I5)</f>
        <v/>
      </c>
      <c r="E223" s="10" t="str">
        <f aca="false">IF(CAD_Compromissos!$A5="","",CAD_Compromissos!$U5+CAD_Compromissos!$V5)</f>
        <v/>
      </c>
      <c r="F223" s="50" t="str">
        <f aca="false">IF($C223="","",$E223-$D223)</f>
        <v/>
      </c>
      <c r="G223" s="19" t="str">
        <f aca="false">IF($C223="","",IF(ABS($F223)&lt;=0.5,"OK","FALHA"))</f>
        <v/>
      </c>
    </row>
    <row r="224" customFormat="false" ht="15" hidden="false" customHeight="false" outlineLevel="0" collapsed="false">
      <c r="A224" s="61" t="s">
        <v>776</v>
      </c>
      <c r="B224" s="9" t="str">
        <f aca="false">IF(CAD_Compromissos!$A6="","","Compromisso")</f>
        <v/>
      </c>
      <c r="C224" s="9" t="str">
        <f aca="false">IF(CAD_Compromissos!$A6="","","Valor pago + saldo devedor = valor total: "&amp;CAD_Compromissos!$B6)</f>
        <v/>
      </c>
      <c r="D224" s="10" t="str">
        <f aca="false">IF(CAD_Compromissos!$A6="","",CAD_Compromissos!$I6)</f>
        <v/>
      </c>
      <c r="E224" s="10" t="str">
        <f aca="false">IF(CAD_Compromissos!$A6="","",CAD_Compromissos!$U6+CAD_Compromissos!$V6)</f>
        <v/>
      </c>
      <c r="F224" s="50" t="str">
        <f aca="false">IF($C224="","",$E224-$D224)</f>
        <v/>
      </c>
      <c r="G224" s="19" t="str">
        <f aca="false">IF($C224="","",IF(ABS($F224)&lt;=0.5,"OK","FALHA"))</f>
        <v/>
      </c>
    </row>
    <row r="225" customFormat="false" ht="15" hidden="false" customHeight="false" outlineLevel="0" collapsed="false">
      <c r="A225" s="61" t="s">
        <v>777</v>
      </c>
      <c r="B225" s="9" t="str">
        <f aca="false">IF(CAD_Compromissos!$A7="","","Compromisso")</f>
        <v/>
      </c>
      <c r="C225" s="9" t="str">
        <f aca="false">IF(CAD_Compromissos!$A7="","","Valor pago + saldo devedor = valor total: "&amp;CAD_Compromissos!$B7)</f>
        <v/>
      </c>
      <c r="D225" s="10" t="str">
        <f aca="false">IF(CAD_Compromissos!$A7="","",CAD_Compromissos!$I7)</f>
        <v/>
      </c>
      <c r="E225" s="10" t="str">
        <f aca="false">IF(CAD_Compromissos!$A7="","",CAD_Compromissos!$U7+CAD_Compromissos!$V7)</f>
        <v/>
      </c>
      <c r="F225" s="50" t="str">
        <f aca="false">IF($C225="","",$E225-$D225)</f>
        <v/>
      </c>
      <c r="G225" s="19" t="str">
        <f aca="false">IF($C225="","",IF(ABS($F225)&lt;=0.5,"OK","FALHA"))</f>
        <v/>
      </c>
    </row>
    <row r="226" customFormat="false" ht="15" hidden="false" customHeight="false" outlineLevel="0" collapsed="false">
      <c r="A226" s="61" t="s">
        <v>778</v>
      </c>
      <c r="B226" s="9" t="str">
        <f aca="false">IF(CAD_Compromissos!$A8="","","Compromisso")</f>
        <v/>
      </c>
      <c r="C226" s="9" t="str">
        <f aca="false">IF(CAD_Compromissos!$A8="","","Valor pago + saldo devedor = valor total: "&amp;CAD_Compromissos!$B8)</f>
        <v/>
      </c>
      <c r="D226" s="10" t="str">
        <f aca="false">IF(CAD_Compromissos!$A8="","",CAD_Compromissos!$I8)</f>
        <v/>
      </c>
      <c r="E226" s="10" t="str">
        <f aca="false">IF(CAD_Compromissos!$A8="","",CAD_Compromissos!$U8+CAD_Compromissos!$V8)</f>
        <v/>
      </c>
      <c r="F226" s="50" t="str">
        <f aca="false">IF($C226="","",$E226-$D226)</f>
        <v/>
      </c>
      <c r="G226" s="19" t="str">
        <f aca="false">IF($C226="","",IF(ABS($F226)&lt;=0.5,"OK","FALHA"))</f>
        <v/>
      </c>
    </row>
    <row r="227" customFormat="false" ht="15" hidden="false" customHeight="false" outlineLevel="0" collapsed="false">
      <c r="A227" s="61" t="s">
        <v>779</v>
      </c>
      <c r="B227" s="9" t="str">
        <f aca="false">IF(CAD_Compromissos!$A9="","","Compromisso")</f>
        <v/>
      </c>
      <c r="C227" s="9" t="str">
        <f aca="false">IF(CAD_Compromissos!$A9="","","Valor pago + saldo devedor = valor total: "&amp;CAD_Compromissos!$B9)</f>
        <v/>
      </c>
      <c r="D227" s="10" t="str">
        <f aca="false">IF(CAD_Compromissos!$A9="","",CAD_Compromissos!$I9)</f>
        <v/>
      </c>
      <c r="E227" s="10" t="str">
        <f aca="false">IF(CAD_Compromissos!$A9="","",CAD_Compromissos!$U9+CAD_Compromissos!$V9)</f>
        <v/>
      </c>
      <c r="F227" s="50" t="str">
        <f aca="false">IF($C227="","",$E227-$D227)</f>
        <v/>
      </c>
      <c r="G227" s="19" t="str">
        <f aca="false">IF($C227="","",IF(ABS($F227)&lt;=0.5,"OK","FALHA"))</f>
        <v/>
      </c>
    </row>
    <row r="228" customFormat="false" ht="15" hidden="false" customHeight="false" outlineLevel="0" collapsed="false">
      <c r="A228" s="61" t="s">
        <v>780</v>
      </c>
      <c r="B228" s="9" t="str">
        <f aca="false">IF(CAD_Compromissos!$A10="","","Compromisso")</f>
        <v/>
      </c>
      <c r="C228" s="9" t="str">
        <f aca="false">IF(CAD_Compromissos!$A10="","","Valor pago + saldo devedor = valor total: "&amp;CAD_Compromissos!$B10)</f>
        <v/>
      </c>
      <c r="D228" s="10" t="str">
        <f aca="false">IF(CAD_Compromissos!$A10="","",CAD_Compromissos!$I10)</f>
        <v/>
      </c>
      <c r="E228" s="10" t="str">
        <f aca="false">IF(CAD_Compromissos!$A10="","",CAD_Compromissos!$U10+CAD_Compromissos!$V10)</f>
        <v/>
      </c>
      <c r="F228" s="50" t="str">
        <f aca="false">IF($C228="","",$E228-$D228)</f>
        <v/>
      </c>
      <c r="G228" s="19" t="str">
        <f aca="false">IF($C228="","",IF(ABS($F228)&lt;=0.5,"OK","FALHA"))</f>
        <v/>
      </c>
    </row>
    <row r="229" customFormat="false" ht="15" hidden="false" customHeight="false" outlineLevel="0" collapsed="false">
      <c r="A229" s="61" t="s">
        <v>781</v>
      </c>
      <c r="B229" s="9" t="str">
        <f aca="false">IF(CAD_Compromissos!$A11="","","Compromisso")</f>
        <v/>
      </c>
      <c r="C229" s="9" t="str">
        <f aca="false">IF(CAD_Compromissos!$A11="","","Valor pago + saldo devedor = valor total: "&amp;CAD_Compromissos!$B11)</f>
        <v/>
      </c>
      <c r="D229" s="10" t="str">
        <f aca="false">IF(CAD_Compromissos!$A11="","",CAD_Compromissos!$I11)</f>
        <v/>
      </c>
      <c r="E229" s="10" t="str">
        <f aca="false">IF(CAD_Compromissos!$A11="","",CAD_Compromissos!$U11+CAD_Compromissos!$V11)</f>
        <v/>
      </c>
      <c r="F229" s="50" t="str">
        <f aca="false">IF($C229="","",$E229-$D229)</f>
        <v/>
      </c>
      <c r="G229" s="19" t="str">
        <f aca="false">IF($C229="","",IF(ABS($F229)&lt;=0.5,"OK","FALHA"))</f>
        <v/>
      </c>
    </row>
    <row r="230" customFormat="false" ht="15" hidden="false" customHeight="false" outlineLevel="0" collapsed="false">
      <c r="A230" s="61" t="s">
        <v>782</v>
      </c>
      <c r="B230" s="9" t="str">
        <f aca="false">IF(CAD_Compromissos!$A12="","","Compromisso")</f>
        <v/>
      </c>
      <c r="C230" s="9" t="str">
        <f aca="false">IF(CAD_Compromissos!$A12="","","Valor pago + saldo devedor = valor total: "&amp;CAD_Compromissos!$B12)</f>
        <v/>
      </c>
      <c r="D230" s="10" t="str">
        <f aca="false">IF(CAD_Compromissos!$A12="","",CAD_Compromissos!$I12)</f>
        <v/>
      </c>
      <c r="E230" s="10" t="str">
        <f aca="false">IF(CAD_Compromissos!$A12="","",CAD_Compromissos!$U12+CAD_Compromissos!$V12)</f>
        <v/>
      </c>
      <c r="F230" s="50" t="str">
        <f aca="false">IF($C230="","",$E230-$D230)</f>
        <v/>
      </c>
      <c r="G230" s="19" t="str">
        <f aca="false">IF($C230="","",IF(ABS($F230)&lt;=0.5,"OK","FALHA"))</f>
        <v/>
      </c>
    </row>
    <row r="231" customFormat="false" ht="15" hidden="false" customHeight="false" outlineLevel="0" collapsed="false">
      <c r="A231" s="61" t="s">
        <v>783</v>
      </c>
      <c r="B231" s="9" t="str">
        <f aca="false">IF(CAD_Compromissos!$A13="","","Compromisso")</f>
        <v/>
      </c>
      <c r="C231" s="9" t="str">
        <f aca="false">IF(CAD_Compromissos!$A13="","","Valor pago + saldo devedor = valor total: "&amp;CAD_Compromissos!$B13)</f>
        <v/>
      </c>
      <c r="D231" s="10" t="str">
        <f aca="false">IF(CAD_Compromissos!$A13="","",CAD_Compromissos!$I13)</f>
        <v/>
      </c>
      <c r="E231" s="10" t="str">
        <f aca="false">IF(CAD_Compromissos!$A13="","",CAD_Compromissos!$U13+CAD_Compromissos!$V13)</f>
        <v/>
      </c>
      <c r="F231" s="50" t="str">
        <f aca="false">IF($C231="","",$E231-$D231)</f>
        <v/>
      </c>
      <c r="G231" s="19" t="str">
        <f aca="false">IF($C231="","",IF(ABS($F231)&lt;=0.5,"OK","FALHA"))</f>
        <v/>
      </c>
    </row>
    <row r="232" customFormat="false" ht="15" hidden="false" customHeight="false" outlineLevel="0" collapsed="false">
      <c r="A232" s="61" t="s">
        <v>784</v>
      </c>
      <c r="B232" s="9" t="str">
        <f aca="false">IF(CAD_Compromissos!$A14="","","Compromisso")</f>
        <v/>
      </c>
      <c r="C232" s="9" t="str">
        <f aca="false">IF(CAD_Compromissos!$A14="","","Valor pago + saldo devedor = valor total: "&amp;CAD_Compromissos!$B14)</f>
        <v/>
      </c>
      <c r="D232" s="10" t="str">
        <f aca="false">IF(CAD_Compromissos!$A14="","",CAD_Compromissos!$I14)</f>
        <v/>
      </c>
      <c r="E232" s="10" t="str">
        <f aca="false">IF(CAD_Compromissos!$A14="","",CAD_Compromissos!$U14+CAD_Compromissos!$V14)</f>
        <v/>
      </c>
      <c r="F232" s="50" t="str">
        <f aca="false">IF($C232="","",$E232-$D232)</f>
        <v/>
      </c>
      <c r="G232" s="19" t="str">
        <f aca="false">IF($C232="","",IF(ABS($F232)&lt;=0.5,"OK","FALHA"))</f>
        <v/>
      </c>
    </row>
    <row r="233" customFormat="false" ht="15" hidden="false" customHeight="false" outlineLevel="0" collapsed="false">
      <c r="A233" s="61" t="s">
        <v>785</v>
      </c>
      <c r="B233" s="9" t="str">
        <f aca="false">IF(CAD_Compromissos!$A15="","","Compromisso")</f>
        <v/>
      </c>
      <c r="C233" s="9" t="str">
        <f aca="false">IF(CAD_Compromissos!$A15="","","Valor pago + saldo devedor = valor total: "&amp;CAD_Compromissos!$B15)</f>
        <v/>
      </c>
      <c r="D233" s="10" t="str">
        <f aca="false">IF(CAD_Compromissos!$A15="","",CAD_Compromissos!$I15)</f>
        <v/>
      </c>
      <c r="E233" s="10" t="str">
        <f aca="false">IF(CAD_Compromissos!$A15="","",CAD_Compromissos!$U15+CAD_Compromissos!$V15)</f>
        <v/>
      </c>
      <c r="F233" s="50" t="str">
        <f aca="false">IF($C233="","",$E233-$D233)</f>
        <v/>
      </c>
      <c r="G233" s="19" t="str">
        <f aca="false">IF($C233="","",IF(ABS($F233)&lt;=0.5,"OK","FALHA"))</f>
        <v/>
      </c>
    </row>
    <row r="234" customFormat="false" ht="15" hidden="false" customHeight="false" outlineLevel="0" collapsed="false">
      <c r="A234" s="61" t="s">
        <v>786</v>
      </c>
      <c r="B234" s="9" t="str">
        <f aca="false">IF(CAD_Compromissos!$A16="","","Compromisso")</f>
        <v/>
      </c>
      <c r="C234" s="9" t="str">
        <f aca="false">IF(CAD_Compromissos!$A16="","","Valor pago + saldo devedor = valor total: "&amp;CAD_Compromissos!$B16)</f>
        <v/>
      </c>
      <c r="D234" s="10" t="str">
        <f aca="false">IF(CAD_Compromissos!$A16="","",CAD_Compromissos!$I16)</f>
        <v/>
      </c>
      <c r="E234" s="10" t="str">
        <f aca="false">IF(CAD_Compromissos!$A16="","",CAD_Compromissos!$U16+CAD_Compromissos!$V16)</f>
        <v/>
      </c>
      <c r="F234" s="50" t="str">
        <f aca="false">IF($C234="","",$E234-$D234)</f>
        <v/>
      </c>
      <c r="G234" s="19" t="str">
        <f aca="false">IF($C234="","",IF(ABS($F234)&lt;=0.5,"OK","FALHA"))</f>
        <v/>
      </c>
    </row>
    <row r="235" customFormat="false" ht="15" hidden="false" customHeight="false" outlineLevel="0" collapsed="false">
      <c r="A235" s="61" t="s">
        <v>787</v>
      </c>
      <c r="B235" s="9" t="str">
        <f aca="false">IF(CAD_Compromissos!$A17="","","Compromisso")</f>
        <v/>
      </c>
      <c r="C235" s="9" t="str">
        <f aca="false">IF(CAD_Compromissos!$A17="","","Valor pago + saldo devedor = valor total: "&amp;CAD_Compromissos!$B17)</f>
        <v/>
      </c>
      <c r="D235" s="10" t="str">
        <f aca="false">IF(CAD_Compromissos!$A17="","",CAD_Compromissos!$I17)</f>
        <v/>
      </c>
      <c r="E235" s="10" t="str">
        <f aca="false">IF(CAD_Compromissos!$A17="","",CAD_Compromissos!$U17+CAD_Compromissos!$V17)</f>
        <v/>
      </c>
      <c r="F235" s="50" t="str">
        <f aca="false">IF($C235="","",$E235-$D235)</f>
        <v/>
      </c>
      <c r="G235" s="19" t="str">
        <f aca="false">IF($C235="","",IF(ABS($F235)&lt;=0.5,"OK","FALHA"))</f>
        <v/>
      </c>
    </row>
    <row r="236" customFormat="false" ht="15" hidden="false" customHeight="false" outlineLevel="0" collapsed="false">
      <c r="A236" s="61" t="s">
        <v>788</v>
      </c>
      <c r="B236" s="9" t="str">
        <f aca="false">IF(CAD_Compromissos!$A18="","","Compromisso")</f>
        <v/>
      </c>
      <c r="C236" s="9" t="str">
        <f aca="false">IF(CAD_Compromissos!$A18="","","Valor pago + saldo devedor = valor total: "&amp;CAD_Compromissos!$B18)</f>
        <v/>
      </c>
      <c r="D236" s="10" t="str">
        <f aca="false">IF(CAD_Compromissos!$A18="","",CAD_Compromissos!$I18)</f>
        <v/>
      </c>
      <c r="E236" s="10" t="str">
        <f aca="false">IF(CAD_Compromissos!$A18="","",CAD_Compromissos!$U18+CAD_Compromissos!$V18)</f>
        <v/>
      </c>
      <c r="F236" s="50" t="str">
        <f aca="false">IF($C236="","",$E236-$D236)</f>
        <v/>
      </c>
      <c r="G236" s="19" t="str">
        <f aca="false">IF($C236="","",IF(ABS($F236)&lt;=0.5,"OK","FALHA"))</f>
        <v/>
      </c>
    </row>
    <row r="237" customFormat="false" ht="15" hidden="false" customHeight="false" outlineLevel="0" collapsed="false">
      <c r="A237" s="61" t="s">
        <v>789</v>
      </c>
      <c r="B237" s="9" t="str">
        <f aca="false">IF(CAD_Compromissos!$A19="","","Compromisso")</f>
        <v/>
      </c>
      <c r="C237" s="9" t="str">
        <f aca="false">IF(CAD_Compromissos!$A19="","","Valor pago + saldo devedor = valor total: "&amp;CAD_Compromissos!$B19)</f>
        <v/>
      </c>
      <c r="D237" s="10" t="str">
        <f aca="false">IF(CAD_Compromissos!$A19="","",CAD_Compromissos!$I19)</f>
        <v/>
      </c>
      <c r="E237" s="10" t="str">
        <f aca="false">IF(CAD_Compromissos!$A19="","",CAD_Compromissos!$U19+CAD_Compromissos!$V19)</f>
        <v/>
      </c>
      <c r="F237" s="50" t="str">
        <f aca="false">IF($C237="","",$E237-$D237)</f>
        <v/>
      </c>
      <c r="G237" s="19" t="str">
        <f aca="false">IF($C237="","",IF(ABS($F237)&lt;=0.5,"OK","FALHA"))</f>
        <v/>
      </c>
    </row>
    <row r="238" customFormat="false" ht="15" hidden="false" customHeight="false" outlineLevel="0" collapsed="false">
      <c r="A238" s="61" t="s">
        <v>790</v>
      </c>
      <c r="B238" s="9" t="str">
        <f aca="false">IF(CAD_Compromissos!$A20="","","Compromisso")</f>
        <v/>
      </c>
      <c r="C238" s="9" t="str">
        <f aca="false">IF(CAD_Compromissos!$A20="","","Valor pago + saldo devedor = valor total: "&amp;CAD_Compromissos!$B20)</f>
        <v/>
      </c>
      <c r="D238" s="10" t="str">
        <f aca="false">IF(CAD_Compromissos!$A20="","",CAD_Compromissos!$I20)</f>
        <v/>
      </c>
      <c r="E238" s="10" t="str">
        <f aca="false">IF(CAD_Compromissos!$A20="","",CAD_Compromissos!$U20+CAD_Compromissos!$V20)</f>
        <v/>
      </c>
      <c r="F238" s="50" t="str">
        <f aca="false">IF($C238="","",$E238-$D238)</f>
        <v/>
      </c>
      <c r="G238" s="19" t="str">
        <f aca="false">IF($C238="","",IF(ABS($F238)&lt;=0.5,"OK","FALHA"))</f>
        <v/>
      </c>
    </row>
    <row r="239" customFormat="false" ht="15" hidden="false" customHeight="false" outlineLevel="0" collapsed="false">
      <c r="A239" s="61" t="s">
        <v>791</v>
      </c>
      <c r="B239" s="9" t="str">
        <f aca="false">IF(CAD_Compromissos!$A21="","","Compromisso")</f>
        <v/>
      </c>
      <c r="C239" s="9" t="str">
        <f aca="false">IF(CAD_Compromissos!$A21="","","Valor pago + saldo devedor = valor total: "&amp;CAD_Compromissos!$B21)</f>
        <v/>
      </c>
      <c r="D239" s="10" t="str">
        <f aca="false">IF(CAD_Compromissos!$A21="","",CAD_Compromissos!$I21)</f>
        <v/>
      </c>
      <c r="E239" s="10" t="str">
        <f aca="false">IF(CAD_Compromissos!$A21="","",CAD_Compromissos!$U21+CAD_Compromissos!$V21)</f>
        <v/>
      </c>
      <c r="F239" s="50" t="str">
        <f aca="false">IF($C239="","",$E239-$D239)</f>
        <v/>
      </c>
      <c r="G239" s="19" t="str">
        <f aca="false">IF($C239="","",IF(ABS($F239)&lt;=0.5,"OK","FALHA"))</f>
        <v/>
      </c>
    </row>
    <row r="240" customFormat="false" ht="15" hidden="false" customHeight="false" outlineLevel="0" collapsed="false">
      <c r="A240" s="61" t="s">
        <v>792</v>
      </c>
      <c r="B240" s="9" t="str">
        <f aca="false">IF(CAD_Compromissos!$A22="","","Compromisso")</f>
        <v/>
      </c>
      <c r="C240" s="9" t="str">
        <f aca="false">IF(CAD_Compromissos!$A22="","","Valor pago + saldo devedor = valor total: "&amp;CAD_Compromissos!$B22)</f>
        <v/>
      </c>
      <c r="D240" s="10" t="str">
        <f aca="false">IF(CAD_Compromissos!$A22="","",CAD_Compromissos!$I22)</f>
        <v/>
      </c>
      <c r="E240" s="10" t="str">
        <f aca="false">IF(CAD_Compromissos!$A22="","",CAD_Compromissos!$U22+CAD_Compromissos!$V22)</f>
        <v/>
      </c>
      <c r="F240" s="50" t="str">
        <f aca="false">IF($C240="","",$E240-$D240)</f>
        <v/>
      </c>
      <c r="G240" s="19" t="str">
        <f aca="false">IF($C240="","",IF(ABS($F240)&lt;=0.5,"OK","FALHA"))</f>
        <v/>
      </c>
    </row>
    <row r="241" customFormat="false" ht="15" hidden="false" customHeight="false" outlineLevel="0" collapsed="false">
      <c r="A241" s="61" t="s">
        <v>793</v>
      </c>
      <c r="B241" s="9" t="str">
        <f aca="false">IF(CAD_Compromissos!$A23="","","Compromisso")</f>
        <v/>
      </c>
      <c r="C241" s="9" t="str">
        <f aca="false">IF(CAD_Compromissos!$A23="","","Valor pago + saldo devedor = valor total: "&amp;CAD_Compromissos!$B23)</f>
        <v/>
      </c>
      <c r="D241" s="10" t="str">
        <f aca="false">IF(CAD_Compromissos!$A23="","",CAD_Compromissos!$I23)</f>
        <v/>
      </c>
      <c r="E241" s="10" t="str">
        <f aca="false">IF(CAD_Compromissos!$A23="","",CAD_Compromissos!$U23+CAD_Compromissos!$V23)</f>
        <v/>
      </c>
      <c r="F241" s="50" t="str">
        <f aca="false">IF($C241="","",$E241-$D241)</f>
        <v/>
      </c>
      <c r="G241" s="19" t="str">
        <f aca="false">IF($C241="","",IF(ABS($F241)&lt;=0.5,"OK","FALHA"))</f>
        <v/>
      </c>
    </row>
    <row r="242" customFormat="false" ht="15" hidden="false" customHeight="false" outlineLevel="0" collapsed="false">
      <c r="A242" s="61" t="s">
        <v>794</v>
      </c>
      <c r="B242" s="9" t="str">
        <f aca="false">IF(CAD_Compromissos!$A24="","","Compromisso")</f>
        <v/>
      </c>
      <c r="C242" s="9" t="str">
        <f aca="false">IF(CAD_Compromissos!$A24="","","Valor pago + saldo devedor = valor total: "&amp;CAD_Compromissos!$B24)</f>
        <v/>
      </c>
      <c r="D242" s="10" t="str">
        <f aca="false">IF(CAD_Compromissos!$A24="","",CAD_Compromissos!$I24)</f>
        <v/>
      </c>
      <c r="E242" s="10" t="str">
        <f aca="false">IF(CAD_Compromissos!$A24="","",CAD_Compromissos!$U24+CAD_Compromissos!$V24)</f>
        <v/>
      </c>
      <c r="F242" s="50" t="str">
        <f aca="false">IF($C242="","",$E242-$D242)</f>
        <v/>
      </c>
      <c r="G242" s="19" t="str">
        <f aca="false">IF($C242="","",IF(ABS($F242)&lt;=0.5,"OK","FALHA"))</f>
        <v/>
      </c>
    </row>
    <row r="243" customFormat="false" ht="15" hidden="false" customHeight="false" outlineLevel="0" collapsed="false">
      <c r="A243" s="61" t="s">
        <v>795</v>
      </c>
      <c r="B243" s="9" t="str">
        <f aca="false">IF(CAD_Compromissos!$A25="","","Compromisso")</f>
        <v/>
      </c>
      <c r="C243" s="9" t="str">
        <f aca="false">IF(CAD_Compromissos!$A25="","","Valor pago + saldo devedor = valor total: "&amp;CAD_Compromissos!$B25)</f>
        <v/>
      </c>
      <c r="D243" s="10" t="str">
        <f aca="false">IF(CAD_Compromissos!$A25="","",CAD_Compromissos!$I25)</f>
        <v/>
      </c>
      <c r="E243" s="10" t="str">
        <f aca="false">IF(CAD_Compromissos!$A25="","",CAD_Compromissos!$U25+CAD_Compromissos!$V25)</f>
        <v/>
      </c>
      <c r="F243" s="50" t="str">
        <f aca="false">IF($C243="","",$E243-$D243)</f>
        <v/>
      </c>
      <c r="G243" s="19" t="str">
        <f aca="false">IF($C243="","",IF(ABS($F243)&lt;=0.5,"OK","FALHA"))</f>
        <v/>
      </c>
    </row>
    <row r="244" customFormat="false" ht="15" hidden="false" customHeight="false" outlineLevel="0" collapsed="false">
      <c r="A244" s="61" t="s">
        <v>796</v>
      </c>
      <c r="B244" s="9" t="str">
        <f aca="false">IF(CAD_Compromissos!$A26="","","Compromisso")</f>
        <v/>
      </c>
      <c r="C244" s="9" t="str">
        <f aca="false">IF(CAD_Compromissos!$A26="","","Valor pago + saldo devedor = valor total: "&amp;CAD_Compromissos!$B26)</f>
        <v/>
      </c>
      <c r="D244" s="10" t="str">
        <f aca="false">IF(CAD_Compromissos!$A26="","",CAD_Compromissos!$I26)</f>
        <v/>
      </c>
      <c r="E244" s="10" t="str">
        <f aca="false">IF(CAD_Compromissos!$A26="","",CAD_Compromissos!$U26+CAD_Compromissos!$V26)</f>
        <v/>
      </c>
      <c r="F244" s="50" t="str">
        <f aca="false">IF($C244="","",$E244-$D244)</f>
        <v/>
      </c>
      <c r="G244" s="19" t="str">
        <f aca="false">IF($C244="","",IF(ABS($F244)&lt;=0.5,"OK","FALHA"))</f>
        <v/>
      </c>
    </row>
    <row r="245" customFormat="false" ht="15" hidden="false" customHeight="false" outlineLevel="0" collapsed="false">
      <c r="A245" s="61" t="s">
        <v>797</v>
      </c>
      <c r="B245" s="9" t="str">
        <f aca="false">IF(CAD_Compromissos!$A27="","","Compromisso")</f>
        <v/>
      </c>
      <c r="C245" s="9" t="str">
        <f aca="false">IF(CAD_Compromissos!$A27="","","Valor pago + saldo devedor = valor total: "&amp;CAD_Compromissos!$B27)</f>
        <v/>
      </c>
      <c r="D245" s="10" t="str">
        <f aca="false">IF(CAD_Compromissos!$A27="","",CAD_Compromissos!$I27)</f>
        <v/>
      </c>
      <c r="E245" s="10" t="str">
        <f aca="false">IF(CAD_Compromissos!$A27="","",CAD_Compromissos!$U27+CAD_Compromissos!$V27)</f>
        <v/>
      </c>
      <c r="F245" s="50" t="str">
        <f aca="false">IF($C245="","",$E245-$D245)</f>
        <v/>
      </c>
      <c r="G245" s="19" t="str">
        <f aca="false">IF($C245="","",IF(ABS($F245)&lt;=0.5,"OK","FALHA"))</f>
        <v/>
      </c>
    </row>
    <row r="246" customFormat="false" ht="15" hidden="false" customHeight="false" outlineLevel="0" collapsed="false">
      <c r="A246" s="61" t="s">
        <v>798</v>
      </c>
      <c r="B246" s="9" t="str">
        <f aca="false">IF(CAD_Compromissos!$A28="","","Compromisso")</f>
        <v/>
      </c>
      <c r="C246" s="9" t="str">
        <f aca="false">IF(CAD_Compromissos!$A28="","","Valor pago + saldo devedor = valor total: "&amp;CAD_Compromissos!$B28)</f>
        <v/>
      </c>
      <c r="D246" s="10" t="str">
        <f aca="false">IF(CAD_Compromissos!$A28="","",CAD_Compromissos!$I28)</f>
        <v/>
      </c>
      <c r="E246" s="10" t="str">
        <f aca="false">IF(CAD_Compromissos!$A28="","",CAD_Compromissos!$U28+CAD_Compromissos!$V28)</f>
        <v/>
      </c>
      <c r="F246" s="50" t="str">
        <f aca="false">IF($C246="","",$E246-$D246)</f>
        <v/>
      </c>
      <c r="G246" s="19" t="str">
        <f aca="false">IF($C246="","",IF(ABS($F246)&lt;=0.5,"OK","FALHA"))</f>
        <v/>
      </c>
    </row>
    <row r="247" customFormat="false" ht="15" hidden="false" customHeight="false" outlineLevel="0" collapsed="false">
      <c r="A247" s="61" t="s">
        <v>799</v>
      </c>
      <c r="B247" s="9" t="str">
        <f aca="false">IF(CAD_Compromissos!$A29="","","Compromisso")</f>
        <v/>
      </c>
      <c r="C247" s="9" t="str">
        <f aca="false">IF(CAD_Compromissos!$A29="","","Valor pago + saldo devedor = valor total: "&amp;CAD_Compromissos!$B29)</f>
        <v/>
      </c>
      <c r="D247" s="10" t="str">
        <f aca="false">IF(CAD_Compromissos!$A29="","",CAD_Compromissos!$I29)</f>
        <v/>
      </c>
      <c r="E247" s="10" t="str">
        <f aca="false">IF(CAD_Compromissos!$A29="","",CAD_Compromissos!$U29+CAD_Compromissos!$V29)</f>
        <v/>
      </c>
      <c r="F247" s="50" t="str">
        <f aca="false">IF($C247="","",$E247-$D247)</f>
        <v/>
      </c>
      <c r="G247" s="19" t="str">
        <f aca="false">IF($C247="","",IF(ABS($F247)&lt;=0.5,"OK","FALHA"))</f>
        <v/>
      </c>
    </row>
    <row r="248" customFormat="false" ht="15" hidden="false" customHeight="false" outlineLevel="0" collapsed="false">
      <c r="A248" s="61" t="s">
        <v>800</v>
      </c>
      <c r="B248" s="9" t="str">
        <f aca="false">IF(CAD_Compromissos!$A30="","","Compromisso")</f>
        <v/>
      </c>
      <c r="C248" s="9" t="str">
        <f aca="false">IF(CAD_Compromissos!$A30="","","Valor pago + saldo devedor = valor total: "&amp;CAD_Compromissos!$B30)</f>
        <v/>
      </c>
      <c r="D248" s="10" t="str">
        <f aca="false">IF(CAD_Compromissos!$A30="","",CAD_Compromissos!$I30)</f>
        <v/>
      </c>
      <c r="E248" s="10" t="str">
        <f aca="false">IF(CAD_Compromissos!$A30="","",CAD_Compromissos!$U30+CAD_Compromissos!$V30)</f>
        <v/>
      </c>
      <c r="F248" s="50" t="str">
        <f aca="false">IF($C248="","",$E248-$D248)</f>
        <v/>
      </c>
      <c r="G248" s="19" t="str">
        <f aca="false">IF($C248="","",IF(ABS($F248)&lt;=0.5,"OK","FALHA"))</f>
        <v/>
      </c>
    </row>
    <row r="249" customFormat="false" ht="15" hidden="false" customHeight="false" outlineLevel="0" collapsed="false">
      <c r="A249" s="61" t="s">
        <v>801</v>
      </c>
      <c r="B249" s="9" t="str">
        <f aca="false">IF(CAD_Compromissos!$A31="","","Compromisso")</f>
        <v/>
      </c>
      <c r="C249" s="9" t="str">
        <f aca="false">IF(CAD_Compromissos!$A31="","","Valor pago + saldo devedor = valor total: "&amp;CAD_Compromissos!$B31)</f>
        <v/>
      </c>
      <c r="D249" s="10" t="str">
        <f aca="false">IF(CAD_Compromissos!$A31="","",CAD_Compromissos!$I31)</f>
        <v/>
      </c>
      <c r="E249" s="10" t="str">
        <f aca="false">IF(CAD_Compromissos!$A31="","",CAD_Compromissos!$U31+CAD_Compromissos!$V31)</f>
        <v/>
      </c>
      <c r="F249" s="50" t="str">
        <f aca="false">IF($C249="","",$E249-$D249)</f>
        <v/>
      </c>
      <c r="G249" s="19" t="str">
        <f aca="false">IF($C249="","",IF(ABS($F249)&lt;=0.5,"OK","FALHA"))</f>
        <v/>
      </c>
    </row>
    <row r="250" customFormat="false" ht="15" hidden="false" customHeight="false" outlineLevel="0" collapsed="false">
      <c r="A250" s="61" t="s">
        <v>802</v>
      </c>
      <c r="B250" s="9" t="str">
        <f aca="false">IF(CAD_Compromissos!$A32="","","Compromisso")</f>
        <v/>
      </c>
      <c r="C250" s="9" t="str">
        <f aca="false">IF(CAD_Compromissos!$A32="","","Valor pago + saldo devedor = valor total: "&amp;CAD_Compromissos!$B32)</f>
        <v/>
      </c>
      <c r="D250" s="10" t="str">
        <f aca="false">IF(CAD_Compromissos!$A32="","",CAD_Compromissos!$I32)</f>
        <v/>
      </c>
      <c r="E250" s="10" t="str">
        <f aca="false">IF(CAD_Compromissos!$A32="","",CAD_Compromissos!$U32+CAD_Compromissos!$V32)</f>
        <v/>
      </c>
      <c r="F250" s="50" t="str">
        <f aca="false">IF($C250="","",$E250-$D250)</f>
        <v/>
      </c>
      <c r="G250" s="19" t="str">
        <f aca="false">IF($C250="","",IF(ABS($F250)&lt;=0.5,"OK","FALHA"))</f>
        <v/>
      </c>
    </row>
    <row r="251" customFormat="false" ht="15" hidden="false" customHeight="false" outlineLevel="0" collapsed="false">
      <c r="A251" s="61" t="s">
        <v>803</v>
      </c>
      <c r="B251" s="9" t="str">
        <f aca="false">IF(CAD_Compromissos!$A33="","","Compromisso")</f>
        <v/>
      </c>
      <c r="C251" s="9" t="str">
        <f aca="false">IF(CAD_Compromissos!$A33="","","Valor pago + saldo devedor = valor total: "&amp;CAD_Compromissos!$B33)</f>
        <v/>
      </c>
      <c r="D251" s="10" t="str">
        <f aca="false">IF(CAD_Compromissos!$A33="","",CAD_Compromissos!$I33)</f>
        <v/>
      </c>
      <c r="E251" s="10" t="str">
        <f aca="false">IF(CAD_Compromissos!$A33="","",CAD_Compromissos!$U33+CAD_Compromissos!$V33)</f>
        <v/>
      </c>
      <c r="F251" s="50" t="str">
        <f aca="false">IF($C251="","",$E251-$D251)</f>
        <v/>
      </c>
      <c r="G251" s="19" t="str">
        <f aca="false">IF($C251="","",IF(ABS($F251)&lt;=0.5,"OK","FALHA"))</f>
        <v/>
      </c>
    </row>
    <row r="252" customFormat="false" ht="15" hidden="false" customHeight="false" outlineLevel="0" collapsed="false">
      <c r="A252" s="61" t="s">
        <v>804</v>
      </c>
      <c r="B252" s="9" t="str">
        <f aca="false">IF(CAD_Compromissos!$A34="","","Compromisso")</f>
        <v/>
      </c>
      <c r="C252" s="9" t="str">
        <f aca="false">IF(CAD_Compromissos!$A34="","","Valor pago + saldo devedor = valor total: "&amp;CAD_Compromissos!$B34)</f>
        <v/>
      </c>
      <c r="D252" s="10" t="str">
        <f aca="false">IF(CAD_Compromissos!$A34="","",CAD_Compromissos!$I34)</f>
        <v/>
      </c>
      <c r="E252" s="10" t="str">
        <f aca="false">IF(CAD_Compromissos!$A34="","",CAD_Compromissos!$U34+CAD_Compromissos!$V34)</f>
        <v/>
      </c>
      <c r="F252" s="50" t="str">
        <f aca="false">IF($C252="","",$E252-$D252)</f>
        <v/>
      </c>
      <c r="G252" s="19" t="str">
        <f aca="false">IF($C252="","",IF(ABS($F252)&lt;=0.5,"OK","FALHA"))</f>
        <v/>
      </c>
    </row>
    <row r="253" customFormat="false" ht="15" hidden="false" customHeight="false" outlineLevel="0" collapsed="false">
      <c r="A253" s="61" t="s">
        <v>805</v>
      </c>
      <c r="B253" s="9" t="str">
        <f aca="false">IF(CAD_Compromissos!$A35="","","Compromisso")</f>
        <v/>
      </c>
      <c r="C253" s="9" t="str">
        <f aca="false">IF(CAD_Compromissos!$A35="","","Valor pago + saldo devedor = valor total: "&amp;CAD_Compromissos!$B35)</f>
        <v/>
      </c>
      <c r="D253" s="10" t="str">
        <f aca="false">IF(CAD_Compromissos!$A35="","",CAD_Compromissos!$I35)</f>
        <v/>
      </c>
      <c r="E253" s="10" t="str">
        <f aca="false">IF(CAD_Compromissos!$A35="","",CAD_Compromissos!$U35+CAD_Compromissos!$V35)</f>
        <v/>
      </c>
      <c r="F253" s="50" t="str">
        <f aca="false">IF($C253="","",$E253-$D253)</f>
        <v/>
      </c>
      <c r="G253" s="19" t="str">
        <f aca="false">IF($C253="","",IF(ABS($F253)&lt;=0.5,"OK","FALHA"))</f>
        <v/>
      </c>
    </row>
    <row r="254" customFormat="false" ht="15" hidden="false" customHeight="false" outlineLevel="0" collapsed="false">
      <c r="A254" s="61" t="s">
        <v>806</v>
      </c>
      <c r="B254" s="9" t="str">
        <f aca="false">IF(CAD_Compromissos!$A36="","","Compromisso")</f>
        <v/>
      </c>
      <c r="C254" s="9" t="str">
        <f aca="false">IF(CAD_Compromissos!$A36="","","Valor pago + saldo devedor = valor total: "&amp;CAD_Compromissos!$B36)</f>
        <v/>
      </c>
      <c r="D254" s="10" t="str">
        <f aca="false">IF(CAD_Compromissos!$A36="","",CAD_Compromissos!$I36)</f>
        <v/>
      </c>
      <c r="E254" s="10" t="str">
        <f aca="false">IF(CAD_Compromissos!$A36="","",CAD_Compromissos!$U36+CAD_Compromissos!$V36)</f>
        <v/>
      </c>
      <c r="F254" s="50" t="str">
        <f aca="false">IF($C254="","",$E254-$D254)</f>
        <v/>
      </c>
      <c r="G254" s="19" t="str">
        <f aca="false">IF($C254="","",IF(ABS($F254)&lt;=0.5,"OK","FALHA"))</f>
        <v/>
      </c>
    </row>
    <row r="255" customFormat="false" ht="15" hidden="false" customHeight="false" outlineLevel="0" collapsed="false">
      <c r="A255" s="61" t="s">
        <v>807</v>
      </c>
      <c r="B255" s="9" t="str">
        <f aca="false">IF(CAD_Compromissos!$A37="","","Compromisso")</f>
        <v/>
      </c>
      <c r="C255" s="9" t="str">
        <f aca="false">IF(CAD_Compromissos!$A37="","","Valor pago + saldo devedor = valor total: "&amp;CAD_Compromissos!$B37)</f>
        <v/>
      </c>
      <c r="D255" s="10" t="str">
        <f aca="false">IF(CAD_Compromissos!$A37="","",CAD_Compromissos!$I37)</f>
        <v/>
      </c>
      <c r="E255" s="10" t="str">
        <f aca="false">IF(CAD_Compromissos!$A37="","",CAD_Compromissos!$U37+CAD_Compromissos!$V37)</f>
        <v/>
      </c>
      <c r="F255" s="50" t="str">
        <f aca="false">IF($C255="","",$E255-$D255)</f>
        <v/>
      </c>
      <c r="G255" s="19" t="str">
        <f aca="false">IF($C255="","",IF(ABS($F255)&lt;=0.5,"OK","FALHA"))</f>
        <v/>
      </c>
    </row>
    <row r="256" customFormat="false" ht="15" hidden="false" customHeight="false" outlineLevel="0" collapsed="false">
      <c r="A256" s="61" t="s">
        <v>808</v>
      </c>
      <c r="B256" s="9" t="str">
        <f aca="false">IF(CAD_Compromissos!$A38="","","Compromisso")</f>
        <v/>
      </c>
      <c r="C256" s="9" t="str">
        <f aca="false">IF(CAD_Compromissos!$A38="","","Valor pago + saldo devedor = valor total: "&amp;CAD_Compromissos!$B38)</f>
        <v/>
      </c>
      <c r="D256" s="10" t="str">
        <f aca="false">IF(CAD_Compromissos!$A38="","",CAD_Compromissos!$I38)</f>
        <v/>
      </c>
      <c r="E256" s="10" t="str">
        <f aca="false">IF(CAD_Compromissos!$A38="","",CAD_Compromissos!$U38+CAD_Compromissos!$V38)</f>
        <v/>
      </c>
      <c r="F256" s="50" t="str">
        <f aca="false">IF($C256="","",$E256-$D256)</f>
        <v/>
      </c>
      <c r="G256" s="19" t="str">
        <f aca="false">IF($C256="","",IF(ABS($F256)&lt;=0.5,"OK","FALHA"))</f>
        <v/>
      </c>
    </row>
    <row r="257" customFormat="false" ht="15" hidden="false" customHeight="false" outlineLevel="0" collapsed="false">
      <c r="A257" s="61" t="s">
        <v>809</v>
      </c>
      <c r="B257" s="9" t="str">
        <f aca="false">IF(CAD_Compromissos!$A39="","","Compromisso")</f>
        <v/>
      </c>
      <c r="C257" s="9" t="str">
        <f aca="false">IF(CAD_Compromissos!$A39="","","Valor pago + saldo devedor = valor total: "&amp;CAD_Compromissos!$B39)</f>
        <v/>
      </c>
      <c r="D257" s="10" t="str">
        <f aca="false">IF(CAD_Compromissos!$A39="","",CAD_Compromissos!$I39)</f>
        <v/>
      </c>
      <c r="E257" s="10" t="str">
        <f aca="false">IF(CAD_Compromissos!$A39="","",CAD_Compromissos!$U39+CAD_Compromissos!$V39)</f>
        <v/>
      </c>
      <c r="F257" s="50" t="str">
        <f aca="false">IF($C257="","",$E257-$D257)</f>
        <v/>
      </c>
      <c r="G257" s="19" t="str">
        <f aca="false">IF($C257="","",IF(ABS($F257)&lt;=0.5,"OK","FALHA"))</f>
        <v/>
      </c>
    </row>
    <row r="258" customFormat="false" ht="15" hidden="false" customHeight="false" outlineLevel="0" collapsed="false">
      <c r="A258" s="61" t="s">
        <v>810</v>
      </c>
      <c r="B258" s="9" t="str">
        <f aca="false">IF(CAD_Compromissos!$A40="","","Compromisso")</f>
        <v/>
      </c>
      <c r="C258" s="9" t="str">
        <f aca="false">IF(CAD_Compromissos!$A40="","","Valor pago + saldo devedor = valor total: "&amp;CAD_Compromissos!$B40)</f>
        <v/>
      </c>
      <c r="D258" s="10" t="str">
        <f aca="false">IF(CAD_Compromissos!$A40="","",CAD_Compromissos!$I40)</f>
        <v/>
      </c>
      <c r="E258" s="10" t="str">
        <f aca="false">IF(CAD_Compromissos!$A40="","",CAD_Compromissos!$U40+CAD_Compromissos!$V40)</f>
        <v/>
      </c>
      <c r="F258" s="50" t="str">
        <f aca="false">IF($C258="","",$E258-$D258)</f>
        <v/>
      </c>
      <c r="G258" s="19" t="str">
        <f aca="false">IF($C258="","",IF(ABS($F258)&lt;=0.5,"OK","FALHA"))</f>
        <v/>
      </c>
    </row>
    <row r="259" customFormat="false" ht="15" hidden="false" customHeight="false" outlineLevel="0" collapsed="false">
      <c r="A259" s="61" t="s">
        <v>811</v>
      </c>
      <c r="B259" s="9" t="str">
        <f aca="false">IF(CAD_Compromissos!$A41="","","Compromisso")</f>
        <v/>
      </c>
      <c r="C259" s="9" t="str">
        <f aca="false">IF(CAD_Compromissos!$A41="","","Valor pago + saldo devedor = valor total: "&amp;CAD_Compromissos!$B41)</f>
        <v/>
      </c>
      <c r="D259" s="10" t="str">
        <f aca="false">IF(CAD_Compromissos!$A41="","",CAD_Compromissos!$I41)</f>
        <v/>
      </c>
      <c r="E259" s="10" t="str">
        <f aca="false">IF(CAD_Compromissos!$A41="","",CAD_Compromissos!$U41+CAD_Compromissos!$V41)</f>
        <v/>
      </c>
      <c r="F259" s="50" t="str">
        <f aca="false">IF($C259="","",$E259-$D259)</f>
        <v/>
      </c>
      <c r="G259" s="19" t="str">
        <f aca="false">IF($C259="","",IF(ABS($F259)&lt;=0.5,"OK","FALHA"))</f>
        <v/>
      </c>
    </row>
    <row r="260" customFormat="false" ht="15" hidden="false" customHeight="false" outlineLevel="0" collapsed="false">
      <c r="A260" s="61" t="s">
        <v>812</v>
      </c>
      <c r="B260" s="9" t="str">
        <f aca="false">IF(CAD_Compromissos!$A42="","","Compromisso")</f>
        <v/>
      </c>
      <c r="C260" s="9" t="str">
        <f aca="false">IF(CAD_Compromissos!$A42="","","Valor pago + saldo devedor = valor total: "&amp;CAD_Compromissos!$B42)</f>
        <v/>
      </c>
      <c r="D260" s="10" t="str">
        <f aca="false">IF(CAD_Compromissos!$A42="","",CAD_Compromissos!$I42)</f>
        <v/>
      </c>
      <c r="E260" s="10" t="str">
        <f aca="false">IF(CAD_Compromissos!$A42="","",CAD_Compromissos!$U42+CAD_Compromissos!$V42)</f>
        <v/>
      </c>
      <c r="F260" s="50" t="str">
        <f aca="false">IF($C260="","",$E260-$D260)</f>
        <v/>
      </c>
      <c r="G260" s="19" t="str">
        <f aca="false">IF($C260="","",IF(ABS($F260)&lt;=0.5,"OK","FALHA"))</f>
        <v/>
      </c>
    </row>
    <row r="261" customFormat="false" ht="15" hidden="false" customHeight="false" outlineLevel="0" collapsed="false">
      <c r="A261" s="61" t="s">
        <v>813</v>
      </c>
      <c r="B261" s="9" t="str">
        <f aca="false">IF(CAD_Compromissos!$A43="","","Compromisso")</f>
        <v/>
      </c>
      <c r="C261" s="9" t="str">
        <f aca="false">IF(CAD_Compromissos!$A43="","","Valor pago + saldo devedor = valor total: "&amp;CAD_Compromissos!$B43)</f>
        <v/>
      </c>
      <c r="D261" s="10" t="str">
        <f aca="false">IF(CAD_Compromissos!$A43="","",CAD_Compromissos!$I43)</f>
        <v/>
      </c>
      <c r="E261" s="10" t="str">
        <f aca="false">IF(CAD_Compromissos!$A43="","",CAD_Compromissos!$U43+CAD_Compromissos!$V43)</f>
        <v/>
      </c>
      <c r="F261" s="50" t="str">
        <f aca="false">IF($C261="","",$E261-$D261)</f>
        <v/>
      </c>
      <c r="G261" s="19" t="str">
        <f aca="false">IF($C261="","",IF(ABS($F261)&lt;=0.5,"OK","FALHA"))</f>
        <v/>
      </c>
    </row>
    <row r="262" customFormat="false" ht="15" hidden="false" customHeight="false" outlineLevel="0" collapsed="false">
      <c r="A262" s="61" t="s">
        <v>814</v>
      </c>
      <c r="B262" s="9" t="str">
        <f aca="false">IF(CAD_Compromissos!$A44="","","Compromisso")</f>
        <v/>
      </c>
      <c r="C262" s="9" t="str">
        <f aca="false">IF(CAD_Compromissos!$A44="","","Valor pago + saldo devedor = valor total: "&amp;CAD_Compromissos!$B44)</f>
        <v/>
      </c>
      <c r="D262" s="10" t="str">
        <f aca="false">IF(CAD_Compromissos!$A44="","",CAD_Compromissos!$I44)</f>
        <v/>
      </c>
      <c r="E262" s="10" t="str">
        <f aca="false">IF(CAD_Compromissos!$A44="","",CAD_Compromissos!$U44+CAD_Compromissos!$V44)</f>
        <v/>
      </c>
      <c r="F262" s="50" t="str">
        <f aca="false">IF($C262="","",$E262-$D262)</f>
        <v/>
      </c>
      <c r="G262" s="19" t="str">
        <f aca="false">IF($C262="","",IF(ABS($F262)&lt;=0.5,"OK","FALHA"))</f>
        <v/>
      </c>
    </row>
    <row r="264" customFormat="false" ht="19.5" hidden="false" customHeight="true" outlineLevel="0" collapsed="false">
      <c r="A264" s="3" t="s">
        <v>815</v>
      </c>
      <c r="B264" s="3"/>
      <c r="C264" s="3"/>
      <c r="D264" s="3"/>
      <c r="E264" s="3"/>
      <c r="F264" s="3"/>
      <c r="G264" s="3"/>
    </row>
    <row r="265" customFormat="false" ht="30" hidden="false" customHeight="true" outlineLevel="0" collapsed="false">
      <c r="A265" s="8" t="s">
        <v>100</v>
      </c>
      <c r="B265" s="8" t="s">
        <v>565</v>
      </c>
      <c r="C265" s="8" t="s">
        <v>566</v>
      </c>
      <c r="D265" s="8" t="s">
        <v>567</v>
      </c>
      <c r="E265" s="8" t="s">
        <v>568</v>
      </c>
      <c r="F265" s="8" t="s">
        <v>569</v>
      </c>
      <c r="G265" s="8" t="s">
        <v>426</v>
      </c>
    </row>
    <row r="266" customFormat="false" ht="15" hidden="false" customHeight="false" outlineLevel="0" collapsed="false">
      <c r="A266" s="61" t="s">
        <v>816</v>
      </c>
      <c r="B266" s="9" t="s">
        <v>817</v>
      </c>
      <c r="C266" s="9" t="s">
        <v>818</v>
      </c>
      <c r="D266" s="43" t="n">
        <f aca="false">0</f>
        <v>0</v>
      </c>
      <c r="E266" s="43" t="n">
        <f aca="false">SUMIFS(L_VRec,L_Tipo,"TRANSFERENCIA")</f>
        <v>0</v>
      </c>
      <c r="F266" s="50" t="n">
        <f aca="false">IF($C266="","",$E266-$D266)</f>
        <v>0</v>
      </c>
      <c r="G266" s="19" t="str">
        <f aca="false">IF($C266="","",IF(ABS($F266)&lt;=0.5,"OK","FALHA"))</f>
        <v>OK</v>
      </c>
    </row>
    <row r="267" customFormat="false" ht="15" hidden="false" customHeight="false" outlineLevel="0" collapsed="false">
      <c r="A267" s="61" t="s">
        <v>819</v>
      </c>
      <c r="B267" s="9" t="s">
        <v>817</v>
      </c>
      <c r="C267" s="9" t="s">
        <v>820</v>
      </c>
      <c r="D267" s="43" t="n">
        <f aca="false">0</f>
        <v>0</v>
      </c>
      <c r="E267" s="43" t="n">
        <f aca="false">SUMIFS(L_VDesp,L_Tipo,"TRANSFERENCIA")</f>
        <v>0</v>
      </c>
      <c r="F267" s="50" t="n">
        <f aca="false">IF($C267="","",$E267-$D267)</f>
        <v>0</v>
      </c>
      <c r="G267" s="19" t="str">
        <f aca="false">IF($C267="","",IF(ABS($F267)&lt;=0.5,"OK","FALHA"))</f>
        <v>OK</v>
      </c>
    </row>
    <row r="268" customFormat="false" ht="15" hidden="false" customHeight="false" outlineLevel="0" collapsed="false">
      <c r="A268" s="61" t="s">
        <v>821</v>
      </c>
      <c r="B268" s="9" t="s">
        <v>817</v>
      </c>
      <c r="C268" s="9" t="s">
        <v>822</v>
      </c>
      <c r="D268" s="43" t="n">
        <f aca="false">0</f>
        <v>0</v>
      </c>
      <c r="E268" s="43" t="n">
        <f aca="false">SUMIFS(L_VDesp,L_Tipo,"APORTE")</f>
        <v>0</v>
      </c>
      <c r="F268" s="50" t="n">
        <f aca="false">IF($C268="","",$E268-$D268)</f>
        <v>0</v>
      </c>
      <c r="G268" s="19" t="str">
        <f aca="false">IF($C268="","",IF(ABS($F268)&lt;=0.5,"OK","FALHA"))</f>
        <v>OK</v>
      </c>
    </row>
    <row r="269" customFormat="false" ht="15" hidden="false" customHeight="false" outlineLevel="0" collapsed="false">
      <c r="A269" s="61" t="s">
        <v>823</v>
      </c>
      <c r="B269" s="9" t="s">
        <v>817</v>
      </c>
      <c r="C269" s="9" t="s">
        <v>824</v>
      </c>
      <c r="D269" s="43" t="n">
        <f aca="false">0</f>
        <v>0</v>
      </c>
      <c r="E269" s="43" t="n">
        <f aca="false">SUMIFS(L_VRec,L_Tipo,"RESGATE")</f>
        <v>0</v>
      </c>
      <c r="F269" s="50" t="n">
        <f aca="false">IF($C269="","",$E269-$D269)</f>
        <v>0</v>
      </c>
      <c r="G269" s="19" t="str">
        <f aca="false">IF($C269="","",IF(ABS($F269)&lt;=0.5,"OK","FALHA"))</f>
        <v>OK</v>
      </c>
    </row>
    <row r="270" customFormat="false" ht="15" hidden="false" customHeight="false" outlineLevel="0" collapsed="false">
      <c r="A270" s="61" t="s">
        <v>825</v>
      </c>
      <c r="B270" s="9" t="s">
        <v>817</v>
      </c>
      <c r="C270" s="9" t="s">
        <v>826</v>
      </c>
      <c r="D270" s="43" t="n">
        <f aca="false">0</f>
        <v>0</v>
      </c>
      <c r="E270" s="43" t="n">
        <f aca="false">SUMIFS(L_VDesp,L_Tipo,"PAGAMENTO_CARTAO")</f>
        <v>0</v>
      </c>
      <c r="F270" s="50" t="n">
        <f aca="false">IF($C270="","",$E270-$D270)</f>
        <v>0</v>
      </c>
      <c r="G270" s="19" t="str">
        <f aca="false">IF($C270="","",IF(ABS($F270)&lt;=0.5,"OK","FALHA"))</f>
        <v>OK</v>
      </c>
    </row>
    <row r="271" customFormat="false" ht="15" hidden="false" customHeight="false" outlineLevel="0" collapsed="false">
      <c r="A271" s="61" t="s">
        <v>827</v>
      </c>
      <c r="B271" s="9" t="s">
        <v>817</v>
      </c>
      <c r="C271" s="9" t="s">
        <v>828</v>
      </c>
      <c r="D271" s="10" t="n">
        <f aca="false">SUMIFS(L_Valor,L_Tipo,"COMPRA_CARTAO")</f>
        <v>0</v>
      </c>
      <c r="E271" s="10" t="n">
        <f aca="false">SUMIFS(L_VDesp,L_Tipo,"COMPRA_CARTAO")</f>
        <v>0</v>
      </c>
      <c r="F271" s="50" t="n">
        <f aca="false">IF($C271="","",$E271-$D271)</f>
        <v>0</v>
      </c>
      <c r="G271" s="19" t="str">
        <f aca="false">IF($C271="","",IF(ABS($F271)&lt;=0.5,"OK","FALHA"))</f>
        <v>OK</v>
      </c>
    </row>
    <row r="272" customFormat="false" ht="15" hidden="false" customHeight="false" outlineLevel="0" collapsed="false">
      <c r="A272" s="61" t="s">
        <v>829</v>
      </c>
      <c r="B272" s="9" t="s">
        <v>817</v>
      </c>
      <c r="C272" s="9" t="s">
        <v>830</v>
      </c>
      <c r="D272" s="10" t="n">
        <f aca="false">SUMIFS(L_Valor,L_Tipo,"RENDIMENTO")</f>
        <v>0</v>
      </c>
      <c r="E272" s="10" t="n">
        <f aca="false">SUMIFS(L_VRend,L_Tipo,"RENDIMENTO")</f>
        <v>0</v>
      </c>
      <c r="F272" s="50" t="n">
        <f aca="false">IF($C272="","",$E272-$D272)</f>
        <v>0</v>
      </c>
      <c r="G272" s="19" t="str">
        <f aca="false">IF($C272="","",IF(ABS($F272)&lt;=0.5,"OK","FALHA"))</f>
        <v>OK</v>
      </c>
    </row>
    <row r="273" customFormat="false" ht="15" hidden="false" customHeight="false" outlineLevel="0" collapsed="false">
      <c r="A273" s="61" t="s">
        <v>831</v>
      </c>
      <c r="B273" s="9" t="s">
        <v>817</v>
      </c>
      <c r="C273" s="9" t="s">
        <v>832</v>
      </c>
      <c r="D273" s="10" t="n">
        <f aca="false">SUMIFS(L_Valor,L_Tipo,"PAGAMENTO_PARCELA")</f>
        <v>0</v>
      </c>
      <c r="E273" s="10" t="n">
        <f aca="false">SUMIFS(L_VDesp,L_Tipo,"PAGAMENTO_PARCELA")</f>
        <v>0</v>
      </c>
      <c r="F273" s="50" t="n">
        <f aca="false">IF($C273="","",$E273-$D273)</f>
        <v>0</v>
      </c>
      <c r="G273" s="19" t="str">
        <f aca="false">IF($C273="","",IF(ABS($F273)&lt;=0.5,"OK","FALHA"))</f>
        <v>OK</v>
      </c>
    </row>
    <row r="274" customFormat="false" ht="15" hidden="false" customHeight="false" outlineLevel="0" collapsed="false">
      <c r="A274" s="61" t="s">
        <v>833</v>
      </c>
      <c r="B274" s="9" t="s">
        <v>834</v>
      </c>
      <c r="C274" s="9" t="s">
        <v>835</v>
      </c>
      <c r="D274" s="10" t="n">
        <f aca="false">SUM(C_SALDOINI)+SUMPRODUCT((L_DestTipo="CONTA")*(L_Status="REALIZADO")*L_Valor)-SUMPRODUCT((L_OrigTipo="CONTA")*(L_Status="REALIZADO")*L_Valor)</f>
        <v>0</v>
      </c>
      <c r="E274" s="10" t="n">
        <f aca="false">SUM(C_SALDO)</f>
        <v>0</v>
      </c>
      <c r="F274" s="50" t="n">
        <f aca="false">IF($C274="","",$E274-$D274)</f>
        <v>0</v>
      </c>
      <c r="G274" s="19" t="str">
        <f aca="false">IF($C274="","",IF(ABS($F274)&lt;=0.5,"OK","FALHA"))</f>
        <v>OK</v>
      </c>
    </row>
    <row r="275" customFormat="false" ht="15" hidden="false" customHeight="false" outlineLevel="0" collapsed="false">
      <c r="A275" s="61" t="s">
        <v>836</v>
      </c>
      <c r="B275" s="9" t="s">
        <v>834</v>
      </c>
      <c r="C275" s="9" t="s">
        <v>837</v>
      </c>
      <c r="D275" s="10" t="n">
        <f aca="false">SUM(C_SALDO)+SUMPRODUCT((L_DestTipo="CONTA")*(L_Status="PROJETADO")*L_Valor)-SUMPRODUCT((L_OrigTipo="CONTA")*(L_Status="PROJETADO")*L_Valor)</f>
        <v>0</v>
      </c>
      <c r="E275" s="10" t="n">
        <f aca="false">SUM(C_PROJ)</f>
        <v>0</v>
      </c>
      <c r="F275" s="50" t="n">
        <f aca="false">IF($C275="","",$E275-$D275)</f>
        <v>0</v>
      </c>
      <c r="G275" s="19" t="str">
        <f aca="false">IF($C275="","",IF(ABS($F275)&lt;=0.5,"OK","FALHA"))</f>
        <v>OK</v>
      </c>
    </row>
    <row r="276" customFormat="false" ht="15" hidden="false" customHeight="false" outlineLevel="0" collapsed="false">
      <c r="A276" s="61" t="s">
        <v>838</v>
      </c>
      <c r="B276" s="9" t="s">
        <v>834</v>
      </c>
      <c r="C276" s="9" t="s">
        <v>839</v>
      </c>
      <c r="D276" s="10" t="n">
        <f aca="false">SUM(C_SALDO)</f>
        <v>0</v>
      </c>
      <c r="E276" s="10" t="n">
        <f aca="false">SUM(C_SALDOINI)+SUMPRODUCT((L_DestTipo="CONTA")*L_Valor)-SUMPRODUCT((L_OrigTipo="CONTA")*L_Valor)-SUMPRODUCT((L_Status&lt;&gt;"REALIZADO")*((L_DestTipo="CONTA")-(L_OrigTipo="CONTA"))*L_Valor)</f>
        <v>0</v>
      </c>
      <c r="F276" s="50" t="n">
        <f aca="false">IF($C276="","",$E276-$D276)</f>
        <v>0</v>
      </c>
      <c r="G276" s="19" t="str">
        <f aca="false">IF($C276="","",IF(ABS($F276)&lt;=0.5,"OK","FALHA"))</f>
        <v>OK</v>
      </c>
    </row>
    <row r="277" customFormat="false" ht="15" hidden="false" customHeight="false" outlineLevel="0" collapsed="false">
      <c r="A277" s="61" t="s">
        <v>840</v>
      </c>
      <c r="B277" s="9" t="s">
        <v>834</v>
      </c>
      <c r="C277" s="9" t="s">
        <v>841</v>
      </c>
      <c r="D277" s="10" t="n">
        <f aca="false">SUM(L_Valor)</f>
        <v>0</v>
      </c>
      <c r="E277" s="10" t="n">
        <f aca="false">SUMIFS(L_Valor,L_Status,"REALIZADO")+SUMIFS(L_Valor,L_Status,"PROJETADO")+SUMIFS(L_Valor,L_Status,"CANCELADO")</f>
        <v>0</v>
      </c>
      <c r="F277" s="50" t="n">
        <f aca="false">IF($C277="","",$E277-$D277)</f>
        <v>0</v>
      </c>
      <c r="G277" s="19" t="str">
        <f aca="false">IF($C277="","",IF(ABS($F277)&lt;=0.5,"OK","FALHA"))</f>
        <v>OK</v>
      </c>
    </row>
    <row r="278" customFormat="false" ht="15" hidden="false" customHeight="false" outlineLevel="0" collapsed="false">
      <c r="A278" s="61" t="s">
        <v>842</v>
      </c>
      <c r="B278" s="9" t="s">
        <v>843</v>
      </c>
      <c r="C278" s="9" t="s">
        <v>844</v>
      </c>
      <c r="D278" s="10" t="n">
        <f aca="false">PAT_ATIVOS-PAT_PASSIVOS</f>
        <v>0</v>
      </c>
      <c r="E278" s="10" t="n">
        <f aca="false">PAT_PL_TOTAL</f>
        <v>0</v>
      </c>
      <c r="F278" s="50" t="n">
        <f aca="false">IF($C278="","",$E278-$D278)</f>
        <v>0</v>
      </c>
      <c r="G278" s="19" t="str">
        <f aca="false">IF($C278="","",IF(ABS($F278)&lt;=0.5,"OK","FALHA"))</f>
        <v>OK</v>
      </c>
    </row>
    <row r="279" customFormat="false" ht="15" hidden="false" customHeight="false" outlineLevel="0" collapsed="false">
      <c r="A279" s="61" t="s">
        <v>845</v>
      </c>
      <c r="B279" s="9" t="s">
        <v>843</v>
      </c>
      <c r="C279" s="9" t="s">
        <v>846</v>
      </c>
      <c r="D279" s="10" t="n">
        <f aca="false">PAT_PL_TOTAL-SUM(B_VALOR)</f>
        <v>0</v>
      </c>
      <c r="E279" s="10" t="n">
        <f aca="false">PAT_PL_FIN</f>
        <v>0</v>
      </c>
      <c r="F279" s="50" t="n">
        <f aca="false">IF($C279="","",$E279-$D279)</f>
        <v>0</v>
      </c>
      <c r="G279" s="19" t="str">
        <f aca="false">IF($C279="","",IF(ABS($F279)&lt;=0.5,"OK","FALHA"))</f>
        <v>OK</v>
      </c>
    </row>
    <row r="280" customFormat="false" ht="15" hidden="false" customHeight="false" outlineLevel="0" collapsed="false">
      <c r="A280" s="61" t="s">
        <v>847</v>
      </c>
      <c r="B280" s="9" t="s">
        <v>848</v>
      </c>
      <c r="C280" s="9" t="s">
        <v>849</v>
      </c>
      <c r="D280" s="10" t="n">
        <f aca="false">SUM(C_SALDO)</f>
        <v>0</v>
      </c>
      <c r="E280" s="10" t="n">
        <f aca="false">SUM(C_SALDOINI)+SUMPRODUCT((L_DestTipo="CONTA")*(L_Status="REALIZADO")*L_Valor)-SUMPRODUCT((L_OrigTipo="CONTA")*(L_Status="REALIZADO")*L_Valor)</f>
        <v>0</v>
      </c>
      <c r="F280" s="50" t="n">
        <f aca="false">IF($C280="","",$E280-$D280)</f>
        <v>0</v>
      </c>
      <c r="G280" s="19" t="str">
        <f aca="false">IF($C280="","",IF(ABS($F280)&lt;=0.5,"OK","FALHA"))</f>
        <v>OK</v>
      </c>
    </row>
    <row r="281" customFormat="false" ht="15" hidden="false" customHeight="false" outlineLevel="0" collapsed="false">
      <c r="A281" s="61" t="s">
        <v>850</v>
      </c>
      <c r="B281" s="9" t="s">
        <v>848</v>
      </c>
      <c r="C281" s="9" t="s">
        <v>851</v>
      </c>
      <c r="D281" s="10" t="n">
        <f aca="false">SUM(C_SALDO)-SUM(C_RESERV)</f>
        <v>0</v>
      </c>
      <c r="E281" s="10" t="n">
        <f aca="false">SUM(C_DISP)</f>
        <v>0</v>
      </c>
      <c r="F281" s="50" t="n">
        <f aca="false">IF($C281="","",$E281-$D281)</f>
        <v>0</v>
      </c>
      <c r="G281" s="19" t="str">
        <f aca="false">IF($C281="","",IF(ABS($F281)&lt;=0.5,"OK","FALHA"))</f>
        <v>OK</v>
      </c>
    </row>
    <row r="282" customFormat="false" ht="15" hidden="false" customHeight="false" outlineLevel="0" collapsed="false">
      <c r="A282" s="61" t="s">
        <v>852</v>
      </c>
      <c r="B282" s="9" t="s">
        <v>848</v>
      </c>
      <c r="C282" s="9" t="s">
        <v>853</v>
      </c>
      <c r="D282" s="10" t="n">
        <f aca="false">SUMPRODUCT((MM_CONTA&lt;&gt;"")*MM_VALSINAL)</f>
        <v>0</v>
      </c>
      <c r="E282" s="10" t="n">
        <f aca="false">SUM(C_RESERV)</f>
        <v>0</v>
      </c>
      <c r="F282" s="50" t="n">
        <f aca="false">IF($C282="","",$E282-$D282)</f>
        <v>0</v>
      </c>
      <c r="G282" s="19" t="str">
        <f aca="false">IF($C282="","",IF(ABS($F282)&lt;=0.5,"OK","FALHA"))</f>
        <v>OK</v>
      </c>
    </row>
    <row r="283" customFormat="false" ht="15" hidden="false" customHeight="false" outlineLevel="0" collapsed="false">
      <c r="A283" s="61" t="s">
        <v>854</v>
      </c>
      <c r="B283" s="9" t="s">
        <v>848</v>
      </c>
      <c r="C283" s="9" t="s">
        <v>855</v>
      </c>
      <c r="D283" s="10" t="n">
        <f aca="false">0</f>
        <v>0</v>
      </c>
      <c r="E283" s="10" t="n">
        <f aca="false">SUMIFS(M_RESERV,M_STATUS,"Cancelada")+SUMIFS(M_RESERV,M_STATUS,"Concluida")</f>
        <v>0</v>
      </c>
      <c r="F283" s="50" t="n">
        <f aca="false">IF($C283="","",$E283-$D283)</f>
        <v>0</v>
      </c>
      <c r="G283" s="19" t="str">
        <f aca="false">IF($C283="","",IF(ABS($F283)&lt;=0.5,"OK","FALHA"))</f>
        <v>OK</v>
      </c>
    </row>
    <row r="284" customFormat="false" ht="15" hidden="false" customHeight="false" outlineLevel="0" collapsed="false">
      <c r="A284" s="61" t="s">
        <v>856</v>
      </c>
      <c r="B284" s="9" t="s">
        <v>857</v>
      </c>
      <c r="C284" s="9" t="s">
        <v>858</v>
      </c>
      <c r="D284" s="43" t="n">
        <f aca="false">SUMPRODUCT((P_ID&lt;&gt;"")*1)</f>
        <v>0</v>
      </c>
      <c r="E284" s="43" t="n">
        <f aca="false">COUNTIF(P_STATUS,"PAGA")+COUNTIF(P_STATUS,"ABERTA")+COUNTIF(P_STATUS,"ATRASADA")+COUNTIF(P_STATUS,"PROJETADA")+COUNTIF(P_STATUS,"CANCELADA")</f>
        <v>0</v>
      </c>
      <c r="F284" s="50" t="n">
        <f aca="false">IF($C284="","",$E284-$D284)</f>
        <v>0</v>
      </c>
      <c r="G284" s="19" t="str">
        <f aca="false">IF($C284="","",IF(ABS($F284)&lt;=0.5,"OK","FALHA"))</f>
        <v>OK</v>
      </c>
    </row>
    <row r="285" customFormat="false" ht="15" hidden="false" customHeight="false" outlineLevel="0" collapsed="false">
      <c r="A285" s="61" t="s">
        <v>859</v>
      </c>
      <c r="B285" s="9" t="s">
        <v>857</v>
      </c>
      <c r="C285" s="9" t="s">
        <v>860</v>
      </c>
      <c r="D285" s="43" t="n">
        <f aca="false">0</f>
        <v>0</v>
      </c>
      <c r="E285" s="43" t="n">
        <f aca="false">SUMPRODUCT((P_QTDREAL&gt;1)*1)</f>
        <v>0</v>
      </c>
      <c r="F285" s="50" t="n">
        <f aca="false">IF($C285="","",$E285-$D285)</f>
        <v>0</v>
      </c>
      <c r="G285" s="19" t="str">
        <f aca="false">IF($C285="","",IF(ABS($F285)&lt;=0.5,"OK","FALHA"))</f>
        <v>OK</v>
      </c>
    </row>
    <row r="286" customFormat="false" ht="15" hidden="false" customHeight="false" outlineLevel="0" collapsed="false">
      <c r="A286" s="61" t="s">
        <v>861</v>
      </c>
      <c r="B286" s="9" t="s">
        <v>857</v>
      </c>
      <c r="C286" s="9" t="s">
        <v>862</v>
      </c>
      <c r="D286" s="43" t="n">
        <f aca="false">0</f>
        <v>0</v>
      </c>
      <c r="E286" s="43" t="n">
        <f aca="false">SUMPRODUCT((P_QTDREAL&gt;0)*(P_QTDPROJ&gt;0)*1)</f>
        <v>0</v>
      </c>
      <c r="F286" s="50" t="n">
        <f aca="false">IF($C286="","",$E286-$D286)</f>
        <v>0</v>
      </c>
      <c r="G286" s="19" t="str">
        <f aca="false">IF($C286="","",IF(ABS($F286)&lt;=0.5,"OK","FALHA"))</f>
        <v>OK</v>
      </c>
    </row>
    <row r="287" customFormat="false" ht="15" hidden="false" customHeight="false" outlineLevel="0" collapsed="false">
      <c r="A287" s="61" t="s">
        <v>863</v>
      </c>
      <c r="B287" s="9" t="s">
        <v>857</v>
      </c>
      <c r="C287" s="9" t="s">
        <v>864</v>
      </c>
      <c r="D287" s="10" t="n">
        <f aca="false">SUMPRODUCT((P_ANTES="NAO")*(P_STATUS="PAGA")*P_VALOR)</f>
        <v>0</v>
      </c>
      <c r="E287" s="10" t="n">
        <f aca="false">SUMIFS(L_Valor,L_ParcID,"&lt;&gt;",L_Status,"REALIZADO")</f>
        <v>0</v>
      </c>
      <c r="F287" s="50" t="n">
        <f aca="false">IF($C287="","",$E287-$D287)</f>
        <v>0</v>
      </c>
      <c r="G287" s="19" t="str">
        <f aca="false">IF($C287="","",IF(ABS($F287)&lt;=0.5,"OK","FALHA"))</f>
        <v>OK</v>
      </c>
    </row>
    <row r="288" customFormat="false" ht="15" hidden="false" customHeight="false" outlineLevel="0" collapsed="false">
      <c r="A288" s="61" t="s">
        <v>865</v>
      </c>
      <c r="B288" s="9" t="s">
        <v>866</v>
      </c>
      <c r="C288" s="9" t="s">
        <v>867</v>
      </c>
      <c r="D288" s="43" t="n">
        <f aca="false">SUMPRODUCT((L_Data&lt;&gt;"")*1)</f>
        <v>0</v>
      </c>
      <c r="E288" s="43" t="n">
        <f aca="false">SUMPRODUCT((L_ID&lt;&gt;"")*1)</f>
        <v>0</v>
      </c>
      <c r="F288" s="50" t="n">
        <f aca="false">IF($C288="","",$E288-$D288)</f>
        <v>0</v>
      </c>
      <c r="G288" s="19" t="str">
        <f aca="false">IF($C288="","",IF(ABS($F288)&lt;=0.5,"OK","FALHA"))</f>
        <v>OK</v>
      </c>
    </row>
    <row r="289" customFormat="false" ht="15" hidden="false" customHeight="false" outlineLevel="0" collapsed="false">
      <c r="A289" s="61" t="s">
        <v>868</v>
      </c>
      <c r="B289" s="9" t="s">
        <v>866</v>
      </c>
      <c r="C289" s="9" t="s">
        <v>869</v>
      </c>
      <c r="D289" s="43" t="n">
        <f aca="false">SUMPRODUCT((P_VENC&lt;&gt;"")*1)</f>
        <v>0</v>
      </c>
      <c r="E289" s="43" t="n">
        <f aca="false">SUMPRODUCT((P_ID&lt;&gt;"")*1)</f>
        <v>0</v>
      </c>
      <c r="F289" s="50" t="n">
        <f aca="false">IF($C289="","",$E289-$D289)</f>
        <v>0</v>
      </c>
      <c r="G289" s="19" t="str">
        <f aca="false">IF($C289="","",IF(ABS($F289)&lt;=0.5,"OK","FALHA"))</f>
        <v>OK</v>
      </c>
    </row>
    <row r="290" customFormat="false" ht="15" hidden="false" customHeight="false" outlineLevel="0" collapsed="false">
      <c r="A290" s="61" t="s">
        <v>870</v>
      </c>
      <c r="B290" s="9" t="s">
        <v>866</v>
      </c>
      <c r="C290" s="9" t="s">
        <v>871</v>
      </c>
      <c r="D290" s="43" t="n">
        <f aca="false">0</f>
        <v>0</v>
      </c>
      <c r="E290" s="43" t="n">
        <f aca="false">SUMPRODUCT((LEFT(L_Valid,4)="ERRO")*1)</f>
        <v>0</v>
      </c>
      <c r="F290" s="50" t="n">
        <f aca="false">IF($C290="","",$E290-$D290)</f>
        <v>0</v>
      </c>
      <c r="G290" s="19" t="str">
        <f aca="false">IF($C290="","",IF(ABS($F290)&lt;=0.5,"OK","FALHA"))</f>
        <v>OK</v>
      </c>
    </row>
    <row r="291" customFormat="false" ht="15" hidden="false" customHeight="false" outlineLevel="0" collapsed="false">
      <c r="A291" s="61" t="s">
        <v>872</v>
      </c>
      <c r="B291" s="9" t="s">
        <v>866</v>
      </c>
      <c r="C291" s="9" t="s">
        <v>873</v>
      </c>
      <c r="D291" s="43" t="n">
        <f aca="false">0</f>
        <v>0</v>
      </c>
      <c r="E291" s="43" t="n">
        <f aca="false">SUMPRODUCT((LEFT(MM_VALID,4)="ERRO")*1)</f>
        <v>0</v>
      </c>
      <c r="F291" s="50" t="n">
        <f aca="false">IF($C291="","",$E291-$D291)</f>
        <v>0</v>
      </c>
      <c r="G291" s="19" t="str">
        <f aca="false">IF($C291="","",IF(ABS($F291)&lt;=0.5,"OK","FALHA"))</f>
        <v>OK</v>
      </c>
    </row>
    <row r="292" customFormat="false" ht="15" hidden="false" customHeight="false" outlineLevel="0" collapsed="false">
      <c r="A292" s="61" t="s">
        <v>874</v>
      </c>
      <c r="B292" s="9" t="s">
        <v>875</v>
      </c>
      <c r="C292" s="9" t="s">
        <v>876</v>
      </c>
      <c r="D292" s="10" t="n">
        <f aca="false">SUMIFS(L_Ent,L_Data,"&gt;="&amp;INDEX(FX_INI,1),L_Status,"REALIZADO")</f>
        <v>0</v>
      </c>
      <c r="E292" s="10" t="n">
        <f aca="false">SUM(FX_ENTR)</f>
        <v>0</v>
      </c>
      <c r="F292" s="50" t="n">
        <f aca="false">IF($C292="","",$E292-$D292)</f>
        <v>0</v>
      </c>
      <c r="G292" s="19" t="str">
        <f aca="false">IF($C292="","",IF(ABS($F292)&lt;=0.5,"OK","FALHA"))</f>
        <v>OK</v>
      </c>
    </row>
    <row r="293" customFormat="false" ht="15" hidden="false" customHeight="false" outlineLevel="0" collapsed="false">
      <c r="A293" s="61" t="s">
        <v>877</v>
      </c>
      <c r="B293" s="9" t="s">
        <v>875</v>
      </c>
      <c r="C293" s="9" t="s">
        <v>878</v>
      </c>
      <c r="D293" s="10" t="n">
        <f aca="false">SUM(C_PROJ)</f>
        <v>0</v>
      </c>
      <c r="E293" s="10" t="n">
        <f aca="false">INDEX(FX_SALDOFIM,COUNT(FX_SALDOFIM))</f>
        <v>0</v>
      </c>
      <c r="F293" s="50" t="n">
        <f aca="false">IF($C293="","",$E293-$D293)</f>
        <v>0</v>
      </c>
      <c r="G293" s="19" t="str">
        <f aca="false">IF($C293="","",IF(ABS($F293)&lt;=0.5,"OK","FALHA"))</f>
        <v>OK</v>
      </c>
    </row>
    <row r="294" customFormat="false" ht="15" hidden="false" customHeight="false" outlineLevel="0" collapsed="false">
      <c r="A294" s="61" t="s">
        <v>879</v>
      </c>
      <c r="B294" s="9" t="s">
        <v>875</v>
      </c>
      <c r="C294" s="9" t="s">
        <v>880</v>
      </c>
      <c r="D294" s="43" t="n">
        <f aca="false">0</f>
        <v>0</v>
      </c>
      <c r="E294" s="43" t="n">
        <f aca="false">SUMPRODUCT((L_Tipo="TRANSFERENCIA")*(L_OrigTipo="CONTA")*(L_DestTipo="CONTA")*(L_Ent+L_Sai))</f>
        <v>0</v>
      </c>
      <c r="F294" s="50" t="n">
        <f aca="false">IF($C294="","",$E294-$D294)</f>
        <v>0</v>
      </c>
      <c r="G294" s="19" t="str">
        <f aca="false">IF($C294="","",IF(ABS($F294)&lt;=0.5,"OK","FALHA"))</f>
        <v>OK</v>
      </c>
    </row>
    <row r="295" customFormat="false" ht="15" hidden="false" customHeight="false" outlineLevel="0" collapsed="false">
      <c r="A295" s="61" t="s">
        <v>881</v>
      </c>
      <c r="B295" s="9" t="s">
        <v>229</v>
      </c>
      <c r="C295" s="9" t="s">
        <v>882</v>
      </c>
      <c r="D295" s="10" t="n">
        <f aca="false">SUMIFS(L_Valor,L_Tipo,"RENDIMENTO",L_Status,"REALIZADO")</f>
        <v>0</v>
      </c>
      <c r="E295" s="10" t="n">
        <f aca="false">SUM(I_REND)</f>
        <v>0</v>
      </c>
      <c r="F295" s="50" t="n">
        <f aca="false">IF($C295="","",$E295-$D295)</f>
        <v>0</v>
      </c>
      <c r="G295" s="19" t="str">
        <f aca="false">IF($C295="","",IF(ABS($F295)&lt;=0.5,"OK","FALHA"))</f>
        <v>OK</v>
      </c>
    </row>
    <row r="296" customFormat="false" ht="15" hidden="false" customHeight="false" outlineLevel="0" collapsed="false">
      <c r="A296" s="61" t="s">
        <v>883</v>
      </c>
      <c r="B296" s="9" t="s">
        <v>229</v>
      </c>
      <c r="C296" s="9" t="s">
        <v>884</v>
      </c>
      <c r="D296" s="10" t="n">
        <f aca="false">SUMIFS(L_Valor,L_Tipo,"RENDIMENTO",L_Status,"PROJETADO")</f>
        <v>0</v>
      </c>
      <c r="E296" s="10" t="n">
        <f aca="false">SUM(I_RENDPROJ)</f>
        <v>0</v>
      </c>
      <c r="F296" s="50" t="n">
        <f aca="false">IF($C296="","",$E296-$D296)</f>
        <v>0</v>
      </c>
      <c r="G296" s="19" t="str">
        <f aca="false">IF($C296="","",IF(ABS($F296)&lt;=0.5,"OK","FALHA"))</f>
        <v>OK</v>
      </c>
    </row>
    <row r="297" customFormat="false" ht="15" hidden="false" customHeight="false" outlineLevel="0" collapsed="false">
      <c r="A297" s="61" t="s">
        <v>885</v>
      </c>
      <c r="B297" s="9" t="s">
        <v>886</v>
      </c>
      <c r="C297" s="9" t="s">
        <v>887</v>
      </c>
      <c r="D297" s="10" t="n">
        <f aca="false">SUM(C_SALDOINI)+SUMIFS(L_Ent,L_Data,"&lt;"&amp;INDEX(PJ_FIM,1)+1,L_Status,"REALIZADO")-SUMIFS(L_Sai,L_Data,"&lt;"&amp;INDEX(PJ_FIM,1)+1,L_Status,"REALIZADO")+SUMIFS(L_Ent,L_Data,"&lt;"&amp;INDEX(PJ_FIM,1)+1,L_Status,"PROJETADO")-SUMIFS(L_Sai,L_Data,"&lt;"&amp;INDEX(PJ_FIM,1)+1,L_Status,"PROJETADO")</f>
        <v>0</v>
      </c>
      <c r="E297" s="10" t="n">
        <f aca="false">INDEX(PJ_SALDO,1)</f>
        <v>0</v>
      </c>
      <c r="F297" s="50" t="n">
        <f aca="false">IF($C297="","",$E297-$D297)</f>
        <v>0</v>
      </c>
      <c r="G297" s="19" t="str">
        <f aca="false">IF($C297="","",IF(ABS($F297)&lt;=0.5,"OK","FALHA"))</f>
        <v>OK</v>
      </c>
    </row>
    <row r="298" customFormat="false" ht="15" hidden="false" customHeight="false" outlineLevel="0" collapsed="false">
      <c r="A298" s="61" t="s">
        <v>888</v>
      </c>
      <c r="B298" s="9" t="s">
        <v>886</v>
      </c>
      <c r="C298" s="9" t="s">
        <v>889</v>
      </c>
      <c r="D298" s="10" t="n">
        <f aca="false">SUM(C_PROJ)</f>
        <v>0</v>
      </c>
      <c r="E298" s="10" t="n">
        <f aca="false">INDEX(PJ_SALDO,COUNT(PJ_SALDO))</f>
        <v>0</v>
      </c>
      <c r="F298" s="50" t="n">
        <f aca="false">IF($C298="","",$E298-$D298)</f>
        <v>0</v>
      </c>
      <c r="G298" s="19" t="str">
        <f aca="false">IF($C298="","",IF(ABS($F298)&lt;=0.5,"OK","FALHA"))</f>
        <v>OK</v>
      </c>
    </row>
    <row r="299" customFormat="false" ht="15" hidden="false" customHeight="false" outlineLevel="0" collapsed="false">
      <c r="A299" s="61" t="s">
        <v>890</v>
      </c>
      <c r="B299" s="9" t="s">
        <v>478</v>
      </c>
      <c r="C299" s="9" t="s">
        <v>891</v>
      </c>
      <c r="D299" s="43" t="n">
        <f aca="false">0</f>
        <v>0</v>
      </c>
      <c r="E299" s="43" t="n">
        <f aca="false">SUMPRODUCT((K_FATURA&lt;0)*1)</f>
        <v>0</v>
      </c>
      <c r="F299" s="50" t="n">
        <f aca="false">IF($C299="","",$E299-$D299)</f>
        <v>0</v>
      </c>
      <c r="G299" s="19" t="str">
        <f aca="false">IF($C299="","",IF(ABS($F299)&lt;=0.5,"OK","FALHA"))</f>
        <v>OK</v>
      </c>
    </row>
    <row r="300" customFormat="false" ht="15" hidden="false" customHeight="false" outlineLevel="0" collapsed="false">
      <c r="A300" s="61" t="s">
        <v>892</v>
      </c>
      <c r="B300" s="9" t="s">
        <v>893</v>
      </c>
      <c r="C300" s="9" t="s">
        <v>894</v>
      </c>
      <c r="D300" s="10" t="n">
        <f aca="false">SUMIFS(L_VRec,L_Data,"&gt;="&amp;REL_INI,L_Data,"&lt;="&amp;REL_FIM,L_Status,"REALIZADO")+SUMIFS(L_VRend,L_Data,"&gt;="&amp;REL_INI,L_Data,"&lt;="&amp;REL_FIM,L_Status,"REALIZADO")-SUMIFS(L_VDesp,L_Data,"&gt;="&amp;REL_INI,L_Data,"&lt;="&amp;REL_FIM,L_Status,"REALIZADO")</f>
        <v>0</v>
      </c>
      <c r="E300" s="10" t="n">
        <f aca="false">REL_RESULTADO-(SUMIFS(L_VRec,L_Data,"&gt;="&amp;REL_INI,L_Data,"&lt;="&amp;REL_FIM,L_Status,"PROJETADO")+SUMIFS(L_VRend,L_Data,"&gt;="&amp;REL_INI,L_Data,"&lt;="&amp;REL_FIM,L_Status,"PROJETADO")-SUMIFS(L_VDesp,L_Data,"&gt;="&amp;REL_INI,L_Data,"&lt;="&amp;REL_FIM,L_Status,"PROJETADO"))</f>
        <v>0</v>
      </c>
      <c r="F300" s="50" t="n">
        <f aca="false">IF($C300="","",$E300-$D300)</f>
        <v>0</v>
      </c>
      <c r="G300" s="19" t="str">
        <f aca="false">IF($C300="","",IF(ABS($F300)&lt;=0.5,"OK","FALHA"))</f>
        <v>OK</v>
      </c>
    </row>
    <row r="301" customFormat="false" ht="15" hidden="false" customHeight="false" outlineLevel="0" collapsed="false">
      <c r="A301" s="61" t="s">
        <v>895</v>
      </c>
      <c r="B301" s="9" t="s">
        <v>893</v>
      </c>
      <c r="C301" s="9" t="s">
        <v>896</v>
      </c>
      <c r="D301" s="10" t="n">
        <f aca="false">SUMIFS(L_VDesp,L_Ano,RELA_ANO,L_Status,"REALIZADO")+SUMIFS(L_VDesp,L_Ano,RELA_ANO,L_Status,"PROJETADO")</f>
        <v>0</v>
      </c>
      <c r="E301" s="10" t="n">
        <f aca="false">SUM(RA_CAT_TOT)</f>
        <v>0</v>
      </c>
      <c r="F301" s="50" t="n">
        <f aca="false">IF($C301="","",$E301-$D301)</f>
        <v>0</v>
      </c>
      <c r="G301" s="19" t="str">
        <f aca="false">IF($C301="","",IF(ABS($F301)&lt;=0.5,"OK","FALHA"))</f>
        <v>OK</v>
      </c>
    </row>
    <row r="302" customFormat="false" ht="15" hidden="false" customHeight="false" outlineLevel="0" collapsed="false">
      <c r="A302" s="61" t="s">
        <v>897</v>
      </c>
      <c r="B302" s="9" t="s">
        <v>893</v>
      </c>
      <c r="C302" s="9" t="s">
        <v>898</v>
      </c>
      <c r="D302" s="10" t="n">
        <f aca="false">SUMIFS(L_VDesp,L_Ano,RELA_ANO,L_Status,"REALIZADO")+SUMIFS(L_VDesp,L_Ano,RELA_ANO,L_Status,"PROJETADO")</f>
        <v>0</v>
      </c>
      <c r="E302" s="10" t="n">
        <f aca="false">SUM(RA_DESP)</f>
        <v>0</v>
      </c>
      <c r="F302" s="50" t="n">
        <f aca="false">IF($C302="","",$E302-$D302)</f>
        <v>0</v>
      </c>
      <c r="G302" s="19" t="str">
        <f aca="false">IF($C302="","",IF(ABS($F302)&lt;=0.5,"OK","FALHA"))</f>
        <v>OK</v>
      </c>
    </row>
  </sheetData>
  <mergeCells count="9">
    <mergeCell ref="A1:G1"/>
    <mergeCell ref="A2:G2"/>
    <mergeCell ref="A6:G6"/>
    <mergeCell ref="A49:G49"/>
    <mergeCell ref="A92:G92"/>
    <mergeCell ref="A135:G135"/>
    <mergeCell ref="A178:G178"/>
    <mergeCell ref="A221:G221"/>
    <mergeCell ref="A264:G264"/>
  </mergeCells>
  <conditionalFormatting sqref="G8:G47">
    <cfRule type="cellIs" priority="2" operator="equal" aboveAverage="0" equalAverage="0" bottom="0" percent="0" rank="0" text="" dxfId="7">
      <formula>"FALHA"</formula>
    </cfRule>
    <cfRule type="cellIs" priority="3" operator="equal" aboveAverage="0" equalAverage="0" bottom="0" percent="0" rank="0" text="" dxfId="10">
      <formula>"OK"</formula>
    </cfRule>
  </conditionalFormatting>
  <conditionalFormatting sqref="G51:G90">
    <cfRule type="cellIs" priority="4" operator="equal" aboveAverage="0" equalAverage="0" bottom="0" percent="0" rank="0" text="" dxfId="7">
      <formula>"FALHA"</formula>
    </cfRule>
    <cfRule type="cellIs" priority="5" operator="equal" aboveAverage="0" equalAverage="0" bottom="0" percent="0" rank="0" text="" dxfId="10">
      <formula>"OK"</formula>
    </cfRule>
  </conditionalFormatting>
  <conditionalFormatting sqref="G94:G133">
    <cfRule type="cellIs" priority="6" operator="equal" aboveAverage="0" equalAverage="0" bottom="0" percent="0" rank="0" text="" dxfId="7">
      <formula>"FALHA"</formula>
    </cfRule>
    <cfRule type="cellIs" priority="7" operator="equal" aboveAverage="0" equalAverage="0" bottom="0" percent="0" rank="0" text="" dxfId="10">
      <formula>"OK"</formula>
    </cfRule>
  </conditionalFormatting>
  <conditionalFormatting sqref="G137:G176">
    <cfRule type="cellIs" priority="8" operator="equal" aboveAverage="0" equalAverage="0" bottom="0" percent="0" rank="0" text="" dxfId="7">
      <formula>"FALHA"</formula>
    </cfRule>
    <cfRule type="cellIs" priority="9" operator="equal" aboveAverage="0" equalAverage="0" bottom="0" percent="0" rank="0" text="" dxfId="10">
      <formula>"OK"</formula>
    </cfRule>
  </conditionalFormatting>
  <conditionalFormatting sqref="G180:G219">
    <cfRule type="cellIs" priority="10" operator="equal" aboveAverage="0" equalAverage="0" bottom="0" percent="0" rank="0" text="" dxfId="7">
      <formula>"FALHA"</formula>
    </cfRule>
    <cfRule type="cellIs" priority="11" operator="equal" aboveAverage="0" equalAverage="0" bottom="0" percent="0" rank="0" text="" dxfId="10">
      <formula>"OK"</formula>
    </cfRule>
  </conditionalFormatting>
  <conditionalFormatting sqref="G223:G262">
    <cfRule type="cellIs" priority="12" operator="equal" aboveAverage="0" equalAverage="0" bottom="0" percent="0" rank="0" text="" dxfId="7">
      <formula>"FALHA"</formula>
    </cfRule>
    <cfRule type="cellIs" priority="13" operator="equal" aboveAverage="0" equalAverage="0" bottom="0" percent="0" rank="0" text="" dxfId="10">
      <formula>"OK"</formula>
    </cfRule>
  </conditionalFormatting>
  <conditionalFormatting sqref="G266:G302">
    <cfRule type="cellIs" priority="14" operator="equal" aboveAverage="0" equalAverage="0" bottom="0" percent="0" rank="0" text="" dxfId="7">
      <formula>"FALHA"</formula>
    </cfRule>
    <cfRule type="cellIs" priority="15" operator="equal" aboveAverage="0" equalAverage="0" bottom="0" percent="0" rank="0" text="" dxfId="10">
      <formula>"OK"</formula>
    </cfRule>
  </conditionalFormatting>
  <conditionalFormatting sqref="B4">
    <cfRule type="cellIs" priority="16" operator="greaterThan" aboveAverage="0" equalAverage="0" bottom="0" percent="0" rank="0" text="" dxfId="7">
      <formula>0</formula>
    </cfRule>
    <cfRule type="cellIs" priority="17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C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899</v>
      </c>
      <c r="B1" s="1"/>
      <c r="C1" s="1"/>
    </row>
    <row r="2" customFormat="false" ht="15" hidden="false" customHeight="false" outlineLevel="0" collapsed="false">
      <c r="A2" s="2" t="s">
        <v>900</v>
      </c>
      <c r="B2" s="2"/>
      <c r="C2" s="2"/>
    </row>
    <row r="4" customFormat="false" ht="19.5" hidden="false" customHeight="true" outlineLevel="0" collapsed="false">
      <c r="A4" s="3" t="s">
        <v>901</v>
      </c>
      <c r="B4" s="3"/>
      <c r="C4" s="3"/>
    </row>
    <row r="5" customFormat="false" ht="39" hidden="false" customHeight="true" outlineLevel="0" collapsed="false">
      <c r="B5" s="62" t="s">
        <v>902</v>
      </c>
      <c r="C5" s="63" t="s">
        <v>903</v>
      </c>
    </row>
    <row r="6" customFormat="false" ht="25.5" hidden="false" customHeight="true" outlineLevel="0" collapsed="false">
      <c r="B6" s="62" t="s">
        <v>904</v>
      </c>
      <c r="C6" s="63" t="s">
        <v>905</v>
      </c>
    </row>
    <row r="7" customFormat="false" ht="39" hidden="false" customHeight="true" outlineLevel="0" collapsed="false">
      <c r="B7" s="62" t="s">
        <v>906</v>
      </c>
      <c r="C7" s="63" t="s">
        <v>907</v>
      </c>
    </row>
    <row r="8" customFormat="false" ht="39" hidden="false" customHeight="true" outlineLevel="0" collapsed="false">
      <c r="B8" s="62" t="s">
        <v>908</v>
      </c>
      <c r="C8" s="63" t="s">
        <v>909</v>
      </c>
    </row>
    <row r="9" customFormat="false" ht="25.5" hidden="false" customHeight="true" outlineLevel="0" collapsed="false">
      <c r="B9" s="62" t="s">
        <v>910</v>
      </c>
      <c r="C9" s="63" t="s">
        <v>911</v>
      </c>
    </row>
    <row r="10" customFormat="false" ht="25.5" hidden="false" customHeight="true" outlineLevel="0" collapsed="false">
      <c r="B10" s="62" t="s">
        <v>912</v>
      </c>
      <c r="C10" s="63" t="s">
        <v>913</v>
      </c>
    </row>
    <row r="11" customFormat="false" ht="25.5" hidden="false" customHeight="true" outlineLevel="0" collapsed="false">
      <c r="B11" s="62" t="s">
        <v>914</v>
      </c>
      <c r="C11" s="63" t="s">
        <v>915</v>
      </c>
    </row>
    <row r="13" customFormat="false" ht="19.5" hidden="false" customHeight="true" outlineLevel="0" collapsed="false">
      <c r="A13" s="3" t="s">
        <v>916</v>
      </c>
      <c r="B13" s="3"/>
      <c r="C13" s="3"/>
    </row>
    <row r="14" customFormat="false" ht="39" hidden="false" customHeight="true" outlineLevel="0" collapsed="false">
      <c r="B14" s="62" t="s">
        <v>917</v>
      </c>
      <c r="C14" s="63" t="s">
        <v>918</v>
      </c>
    </row>
    <row r="15" customFormat="false" ht="39" hidden="false" customHeight="true" outlineLevel="0" collapsed="false">
      <c r="B15" s="62" t="s">
        <v>919</v>
      </c>
      <c r="C15" s="63" t="s">
        <v>920</v>
      </c>
    </row>
    <row r="16" customFormat="false" ht="39" hidden="false" customHeight="true" outlineLevel="0" collapsed="false">
      <c r="B16" s="62" t="s">
        <v>921</v>
      </c>
      <c r="C16" s="63" t="s">
        <v>922</v>
      </c>
    </row>
    <row r="17" customFormat="false" ht="25.5" hidden="false" customHeight="true" outlineLevel="0" collapsed="false">
      <c r="B17" s="62" t="s">
        <v>923</v>
      </c>
      <c r="C17" s="63" t="s">
        <v>924</v>
      </c>
    </row>
    <row r="18" customFormat="false" ht="25.5" hidden="false" customHeight="true" outlineLevel="0" collapsed="false">
      <c r="B18" s="62" t="s">
        <v>925</v>
      </c>
      <c r="C18" s="63" t="s">
        <v>926</v>
      </c>
    </row>
    <row r="20" customFormat="false" ht="19.5" hidden="false" customHeight="true" outlineLevel="0" collapsed="false">
      <c r="A20" s="3" t="s">
        <v>927</v>
      </c>
      <c r="B20" s="3"/>
      <c r="C20" s="3"/>
    </row>
    <row r="21" customFormat="false" ht="25.5" hidden="false" customHeight="true" outlineLevel="0" collapsed="false">
      <c r="B21" s="62" t="s">
        <v>928</v>
      </c>
      <c r="C21" s="63" t="s">
        <v>929</v>
      </c>
    </row>
    <row r="22" customFormat="false" ht="25.5" hidden="false" customHeight="true" outlineLevel="0" collapsed="false">
      <c r="B22" s="62" t="s">
        <v>930</v>
      </c>
      <c r="C22" s="63" t="s">
        <v>931</v>
      </c>
    </row>
    <row r="23" customFormat="false" ht="25.5" hidden="false" customHeight="true" outlineLevel="0" collapsed="false">
      <c r="B23" s="62" t="s">
        <v>932</v>
      </c>
      <c r="C23" s="63" t="s">
        <v>933</v>
      </c>
    </row>
    <row r="24" customFormat="false" ht="25.5" hidden="false" customHeight="true" outlineLevel="0" collapsed="false">
      <c r="B24" s="62" t="s">
        <v>934</v>
      </c>
      <c r="C24" s="63" t="s">
        <v>935</v>
      </c>
    </row>
    <row r="25" customFormat="false" ht="25.5" hidden="false" customHeight="true" outlineLevel="0" collapsed="false">
      <c r="B25" s="62" t="s">
        <v>936</v>
      </c>
      <c r="C25" s="63" t="s">
        <v>937</v>
      </c>
    </row>
    <row r="26" customFormat="false" ht="25.5" hidden="false" customHeight="true" outlineLevel="0" collapsed="false">
      <c r="B26" s="62" t="s">
        <v>938</v>
      </c>
      <c r="C26" s="63" t="s">
        <v>939</v>
      </c>
    </row>
    <row r="27" customFormat="false" ht="25.5" hidden="false" customHeight="true" outlineLevel="0" collapsed="false">
      <c r="B27" s="62" t="s">
        <v>940</v>
      </c>
      <c r="C27" s="63" t="s">
        <v>941</v>
      </c>
    </row>
    <row r="29" customFormat="false" ht="19.5" hidden="false" customHeight="true" outlineLevel="0" collapsed="false">
      <c r="A29" s="3" t="s">
        <v>942</v>
      </c>
      <c r="B29" s="3"/>
      <c r="C29" s="3"/>
    </row>
    <row r="30" customFormat="false" ht="25.5" hidden="false" customHeight="true" outlineLevel="0" collapsed="false">
      <c r="B30" s="62" t="s">
        <v>943</v>
      </c>
      <c r="C30" s="63" t="s">
        <v>944</v>
      </c>
    </row>
    <row r="31" customFormat="false" ht="25.5" hidden="false" customHeight="true" outlineLevel="0" collapsed="false">
      <c r="B31" s="62" t="s">
        <v>945</v>
      </c>
      <c r="C31" s="63" t="s">
        <v>946</v>
      </c>
    </row>
    <row r="32" customFormat="false" ht="25.5" hidden="false" customHeight="true" outlineLevel="0" collapsed="false">
      <c r="B32" s="62" t="s">
        <v>947</v>
      </c>
      <c r="C32" s="63" t="s">
        <v>948</v>
      </c>
    </row>
    <row r="33" customFormat="false" ht="15" hidden="false" customHeight="true" outlineLevel="0" collapsed="false">
      <c r="B33" s="62" t="s">
        <v>949</v>
      </c>
      <c r="C33" s="63" t="s">
        <v>950</v>
      </c>
    </row>
    <row r="34" customFormat="false" ht="15" hidden="false" customHeight="true" outlineLevel="0" collapsed="false">
      <c r="B34" s="62" t="s">
        <v>951</v>
      </c>
      <c r="C34" s="63" t="s">
        <v>952</v>
      </c>
    </row>
    <row r="35" customFormat="false" ht="39" hidden="false" customHeight="true" outlineLevel="0" collapsed="false">
      <c r="B35" s="62" t="s">
        <v>953</v>
      </c>
      <c r="C35" s="63" t="s">
        <v>954</v>
      </c>
    </row>
    <row r="36" customFormat="false" ht="25.5" hidden="false" customHeight="true" outlineLevel="0" collapsed="false">
      <c r="B36" s="62" t="s">
        <v>955</v>
      </c>
      <c r="C36" s="63" t="s">
        <v>956</v>
      </c>
    </row>
    <row r="37" customFormat="false" ht="39" hidden="false" customHeight="true" outlineLevel="0" collapsed="false">
      <c r="B37" s="62" t="s">
        <v>957</v>
      </c>
      <c r="C37" s="63" t="s">
        <v>958</v>
      </c>
    </row>
    <row r="38" customFormat="false" ht="25.5" hidden="false" customHeight="true" outlineLevel="0" collapsed="false">
      <c r="B38" s="62" t="s">
        <v>959</v>
      </c>
      <c r="C38" s="63" t="s">
        <v>960</v>
      </c>
    </row>
    <row r="40" customFormat="false" ht="19.5" hidden="false" customHeight="true" outlineLevel="0" collapsed="false">
      <c r="A40" s="3" t="s">
        <v>961</v>
      </c>
      <c r="B40" s="3"/>
      <c r="C40" s="3"/>
    </row>
    <row r="41" customFormat="false" ht="25.5" hidden="false" customHeight="true" outlineLevel="0" collapsed="false">
      <c r="B41" s="62" t="s">
        <v>962</v>
      </c>
      <c r="C41" s="63" t="s">
        <v>963</v>
      </c>
    </row>
    <row r="42" customFormat="false" ht="39" hidden="false" customHeight="true" outlineLevel="0" collapsed="false">
      <c r="B42" s="62" t="s">
        <v>964</v>
      </c>
      <c r="C42" s="63" t="s">
        <v>965</v>
      </c>
    </row>
    <row r="43" customFormat="false" ht="25.5" hidden="false" customHeight="true" outlineLevel="0" collapsed="false">
      <c r="B43" s="62" t="s">
        <v>966</v>
      </c>
      <c r="C43" s="63" t="s">
        <v>967</v>
      </c>
    </row>
    <row r="44" customFormat="false" ht="39" hidden="false" customHeight="true" outlineLevel="0" collapsed="false">
      <c r="B44" s="62" t="s">
        <v>968</v>
      </c>
      <c r="C44" s="63" t="s">
        <v>969</v>
      </c>
    </row>
    <row r="45" customFormat="false" ht="25.5" hidden="false" customHeight="true" outlineLevel="0" collapsed="false">
      <c r="B45" s="62" t="s">
        <v>970</v>
      </c>
      <c r="C45" s="63" t="s">
        <v>971</v>
      </c>
    </row>
    <row r="46" customFormat="false" ht="25.5" hidden="false" customHeight="true" outlineLevel="0" collapsed="false">
      <c r="B46" s="62" t="s">
        <v>972</v>
      </c>
      <c r="C46" s="63" t="s">
        <v>973</v>
      </c>
    </row>
    <row r="48" customFormat="false" ht="19.5" hidden="false" customHeight="true" outlineLevel="0" collapsed="false">
      <c r="A48" s="3" t="s">
        <v>974</v>
      </c>
      <c r="B48" s="3"/>
      <c r="C48" s="3"/>
    </row>
    <row r="49" customFormat="false" ht="25.5" hidden="false" customHeight="true" outlineLevel="0" collapsed="false">
      <c r="B49" s="62" t="s">
        <v>975</v>
      </c>
      <c r="C49" s="63" t="s">
        <v>976</v>
      </c>
    </row>
    <row r="50" customFormat="false" ht="25.5" hidden="false" customHeight="true" outlineLevel="0" collapsed="false">
      <c r="B50" s="62" t="s">
        <v>977</v>
      </c>
      <c r="C50" s="63" t="s">
        <v>978</v>
      </c>
    </row>
    <row r="51" customFormat="false" ht="39" hidden="false" customHeight="true" outlineLevel="0" collapsed="false">
      <c r="B51" s="62" t="s">
        <v>979</v>
      </c>
      <c r="C51" s="63" t="s">
        <v>980</v>
      </c>
    </row>
    <row r="52" customFormat="false" ht="15" hidden="false" customHeight="true" outlineLevel="0" collapsed="false">
      <c r="B52" s="62" t="s">
        <v>981</v>
      </c>
      <c r="C52" s="63" t="s">
        <v>982</v>
      </c>
    </row>
    <row r="53" customFormat="false" ht="39" hidden="false" customHeight="true" outlineLevel="0" collapsed="false">
      <c r="B53" s="62" t="s">
        <v>983</v>
      </c>
      <c r="C53" s="63" t="s">
        <v>984</v>
      </c>
    </row>
    <row r="54" customFormat="false" ht="39" hidden="false" customHeight="true" outlineLevel="0" collapsed="false">
      <c r="B54" s="62" t="s">
        <v>985</v>
      </c>
      <c r="C54" s="63" t="s">
        <v>986</v>
      </c>
    </row>
    <row r="56" customFormat="false" ht="19.5" hidden="false" customHeight="true" outlineLevel="0" collapsed="false">
      <c r="A56" s="3" t="s">
        <v>987</v>
      </c>
      <c r="B56" s="3"/>
      <c r="C56" s="3"/>
    </row>
    <row r="57" customFormat="false" ht="15" hidden="false" customHeight="true" outlineLevel="0" collapsed="false">
      <c r="B57" s="62" t="s">
        <v>988</v>
      </c>
      <c r="C57" s="63" t="s">
        <v>989</v>
      </c>
    </row>
    <row r="58" customFormat="false" ht="25.5" hidden="false" customHeight="true" outlineLevel="0" collapsed="false">
      <c r="B58" s="62" t="s">
        <v>990</v>
      </c>
      <c r="C58" s="63" t="s">
        <v>991</v>
      </c>
    </row>
    <row r="59" customFormat="false" ht="25.5" hidden="false" customHeight="true" outlineLevel="0" collapsed="false">
      <c r="B59" s="62" t="s">
        <v>992</v>
      </c>
      <c r="C59" s="63" t="s">
        <v>993</v>
      </c>
    </row>
    <row r="60" customFormat="false" ht="25.5" hidden="false" customHeight="true" outlineLevel="0" collapsed="false">
      <c r="B60" s="62" t="s">
        <v>994</v>
      </c>
      <c r="C60" s="63" t="s">
        <v>995</v>
      </c>
    </row>
    <row r="61" customFormat="false" ht="25.5" hidden="false" customHeight="true" outlineLevel="0" collapsed="false">
      <c r="B61" s="62" t="s">
        <v>996</v>
      </c>
      <c r="C61" s="63" t="s">
        <v>997</v>
      </c>
    </row>
    <row r="62" customFormat="false" ht="39" hidden="false" customHeight="true" outlineLevel="0" collapsed="false">
      <c r="B62" s="62" t="s">
        <v>998</v>
      </c>
      <c r="C62" s="63" t="s">
        <v>999</v>
      </c>
    </row>
    <row r="63" customFormat="false" ht="25.5" hidden="false" customHeight="true" outlineLevel="0" collapsed="false">
      <c r="B63" s="62" t="s">
        <v>1000</v>
      </c>
      <c r="C63" s="63" t="s">
        <v>1001</v>
      </c>
    </row>
    <row r="64" customFormat="false" ht="25.5" hidden="false" customHeight="true" outlineLevel="0" collapsed="false">
      <c r="B64" s="62" t="s">
        <v>1002</v>
      </c>
      <c r="C64" s="63" t="s">
        <v>1003</v>
      </c>
    </row>
    <row r="66" customFormat="false" ht="19.5" hidden="false" customHeight="true" outlineLevel="0" collapsed="false">
      <c r="A66" s="3" t="s">
        <v>1004</v>
      </c>
      <c r="B66" s="3"/>
      <c r="C66" s="3"/>
    </row>
    <row r="67" customFormat="false" ht="25.5" hidden="false" customHeight="true" outlineLevel="0" collapsed="false">
      <c r="B67" s="62" t="s">
        <v>1005</v>
      </c>
      <c r="C67" s="63" t="s">
        <v>1006</v>
      </c>
    </row>
    <row r="68" customFormat="false" ht="25.5" hidden="false" customHeight="true" outlineLevel="0" collapsed="false">
      <c r="B68" s="62" t="s">
        <v>1007</v>
      </c>
      <c r="C68" s="63" t="s">
        <v>1008</v>
      </c>
    </row>
    <row r="69" customFormat="false" ht="15" hidden="false" customHeight="true" outlineLevel="0" collapsed="false">
      <c r="B69" s="62" t="s">
        <v>1009</v>
      </c>
      <c r="C69" s="63" t="s">
        <v>1010</v>
      </c>
    </row>
    <row r="70" customFormat="false" ht="15" hidden="false" customHeight="true" outlineLevel="0" collapsed="false">
      <c r="B70" s="62" t="s">
        <v>1011</v>
      </c>
      <c r="C70" s="63" t="s">
        <v>1012</v>
      </c>
    </row>
    <row r="72" customFormat="false" ht="19.5" hidden="false" customHeight="true" outlineLevel="0" collapsed="false">
      <c r="A72" s="3" t="s">
        <v>1013</v>
      </c>
      <c r="B72" s="3"/>
      <c r="C72" s="3"/>
    </row>
    <row r="73" customFormat="false" ht="25.5" hidden="false" customHeight="true" outlineLevel="0" collapsed="false">
      <c r="B73" s="62" t="s">
        <v>875</v>
      </c>
      <c r="C73" s="63" t="s">
        <v>1014</v>
      </c>
    </row>
    <row r="74" customFormat="false" ht="25.5" hidden="false" customHeight="true" outlineLevel="0" collapsed="false">
      <c r="B74" s="62" t="s">
        <v>886</v>
      </c>
      <c r="C74" s="63" t="s">
        <v>1015</v>
      </c>
    </row>
    <row r="75" customFormat="false" ht="15" hidden="false" customHeight="true" outlineLevel="0" collapsed="false">
      <c r="B75" s="62" t="s">
        <v>1016</v>
      </c>
      <c r="C75" s="63" t="s">
        <v>1017</v>
      </c>
    </row>
    <row r="76" customFormat="false" ht="25.5" hidden="false" customHeight="true" outlineLevel="0" collapsed="false">
      <c r="B76" s="62" t="s">
        <v>1018</v>
      </c>
      <c r="C76" s="63" t="s">
        <v>1019</v>
      </c>
    </row>
    <row r="77" customFormat="false" ht="15" hidden="false" customHeight="true" outlineLevel="0" collapsed="false">
      <c r="B77" s="62" t="s">
        <v>843</v>
      </c>
      <c r="C77" s="63" t="s">
        <v>1020</v>
      </c>
    </row>
    <row r="78" customFormat="false" ht="15" hidden="false" customHeight="true" outlineLevel="0" collapsed="false">
      <c r="B78" s="62" t="s">
        <v>1021</v>
      </c>
      <c r="C78" s="63" t="s">
        <v>1022</v>
      </c>
    </row>
    <row r="79" customFormat="false" ht="25.5" hidden="false" customHeight="true" outlineLevel="0" collapsed="false">
      <c r="B79" s="62" t="s">
        <v>1023</v>
      </c>
      <c r="C79" s="63" t="s">
        <v>1024</v>
      </c>
    </row>
    <row r="81" customFormat="false" ht="19.5" hidden="false" customHeight="true" outlineLevel="0" collapsed="false">
      <c r="A81" s="3" t="s">
        <v>1025</v>
      </c>
      <c r="B81" s="3"/>
      <c r="C81" s="3"/>
    </row>
    <row r="82" customFormat="false" ht="25.5" hidden="false" customHeight="true" outlineLevel="0" collapsed="false">
      <c r="B82" s="62" t="s">
        <v>1026</v>
      </c>
      <c r="C82" s="63" t="s">
        <v>1027</v>
      </c>
    </row>
    <row r="83" customFormat="false" ht="25.5" hidden="false" customHeight="true" outlineLevel="0" collapsed="false">
      <c r="B83" s="62" t="s">
        <v>1028</v>
      </c>
      <c r="C83" s="63" t="s">
        <v>1029</v>
      </c>
    </row>
    <row r="84" customFormat="false" ht="25.5" hidden="false" customHeight="true" outlineLevel="0" collapsed="false">
      <c r="B84" s="62" t="s">
        <v>1030</v>
      </c>
      <c r="C84" s="63" t="s">
        <v>1031</v>
      </c>
    </row>
    <row r="85" customFormat="false" ht="25.5" hidden="false" customHeight="true" outlineLevel="0" collapsed="false">
      <c r="B85" s="62" t="s">
        <v>1032</v>
      </c>
      <c r="C85" s="63" t="s">
        <v>1033</v>
      </c>
    </row>
  </sheetData>
  <mergeCells count="12">
    <mergeCell ref="A1:C1"/>
    <mergeCell ref="A2:C2"/>
    <mergeCell ref="A4:C4"/>
    <mergeCell ref="A13:C13"/>
    <mergeCell ref="A20:C20"/>
    <mergeCell ref="A29:C29"/>
    <mergeCell ref="A40:C40"/>
    <mergeCell ref="A48:C48"/>
    <mergeCell ref="A56:C56"/>
    <mergeCell ref="A66:C66"/>
    <mergeCell ref="A72:C72"/>
    <mergeCell ref="A81:C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1034</v>
      </c>
      <c r="B1" s="1"/>
      <c r="C1" s="1"/>
    </row>
    <row r="2" customFormat="false" ht="15" hidden="false" customHeight="false" outlineLevel="0" collapsed="false">
      <c r="A2" s="2" t="s">
        <v>1035</v>
      </c>
      <c r="B2" s="2"/>
      <c r="C2" s="2"/>
    </row>
    <row r="4" customFormat="false" ht="19.5" hidden="false" customHeight="true" outlineLevel="0" collapsed="false">
      <c r="A4" s="3" t="s">
        <v>1036</v>
      </c>
      <c r="B4" s="3"/>
      <c r="C4" s="3"/>
    </row>
    <row r="5" customFormat="false" ht="15" hidden="false" customHeight="true" outlineLevel="0" collapsed="false">
      <c r="B5" s="62" t="s">
        <v>1037</v>
      </c>
      <c r="C5" s="63" t="s">
        <v>1038</v>
      </c>
    </row>
    <row r="6" customFormat="false" ht="25.5" hidden="false" customHeight="true" outlineLevel="0" collapsed="false">
      <c r="B6" s="62" t="s">
        <v>1039</v>
      </c>
      <c r="C6" s="63" t="s">
        <v>1040</v>
      </c>
    </row>
    <row r="7" customFormat="false" ht="15" hidden="false" customHeight="true" outlineLevel="0" collapsed="false">
      <c r="B7" s="62" t="s">
        <v>1041</v>
      </c>
      <c r="C7" s="63" t="s">
        <v>1042</v>
      </c>
    </row>
    <row r="8" customFormat="false" ht="25.5" hidden="false" customHeight="true" outlineLevel="0" collapsed="false">
      <c r="B8" s="62" t="s">
        <v>1043</v>
      </c>
      <c r="C8" s="63" t="s">
        <v>1044</v>
      </c>
    </row>
    <row r="9" customFormat="false" ht="15" hidden="false" customHeight="true" outlineLevel="0" collapsed="false">
      <c r="B9" s="62" t="s">
        <v>893</v>
      </c>
      <c r="C9" s="63" t="s">
        <v>1045</v>
      </c>
    </row>
    <row r="10" customFormat="false" ht="15" hidden="false" customHeight="true" outlineLevel="0" collapsed="false">
      <c r="B10" s="62" t="s">
        <v>1046</v>
      </c>
      <c r="C10" s="63" t="s">
        <v>1047</v>
      </c>
    </row>
    <row r="12" customFormat="false" ht="19.5" hidden="false" customHeight="true" outlineLevel="0" collapsed="false">
      <c r="A12" s="3" t="s">
        <v>1048</v>
      </c>
      <c r="B12" s="3"/>
      <c r="C12" s="3"/>
    </row>
    <row r="13" customFormat="false" ht="39" hidden="false" customHeight="true" outlineLevel="0" collapsed="false">
      <c r="B13" s="62" t="s">
        <v>1049</v>
      </c>
      <c r="C13" s="63" t="s">
        <v>1050</v>
      </c>
    </row>
    <row r="14" customFormat="false" ht="25.5" hidden="false" customHeight="true" outlineLevel="0" collapsed="false">
      <c r="B14" s="62" t="s">
        <v>1051</v>
      </c>
      <c r="C14" s="63" t="s">
        <v>1052</v>
      </c>
    </row>
    <row r="15" customFormat="false" ht="39" hidden="false" customHeight="true" outlineLevel="0" collapsed="false">
      <c r="B15" s="62" t="s">
        <v>1053</v>
      </c>
      <c r="C15" s="63" t="s">
        <v>1054</v>
      </c>
    </row>
    <row r="16" customFormat="false" ht="15" hidden="false" customHeight="true" outlineLevel="0" collapsed="false">
      <c r="B16" s="62" t="s">
        <v>1055</v>
      </c>
      <c r="C16" s="63" t="s">
        <v>1056</v>
      </c>
    </row>
    <row r="17" customFormat="false" ht="15" hidden="false" customHeight="true" outlineLevel="0" collapsed="false">
      <c r="B17" s="62" t="s">
        <v>1057</v>
      </c>
      <c r="C17" s="63" t="s">
        <v>1058</v>
      </c>
    </row>
    <row r="18" customFormat="false" ht="25.5" hidden="false" customHeight="true" outlineLevel="0" collapsed="false">
      <c r="B18" s="62" t="s">
        <v>1059</v>
      </c>
      <c r="C18" s="63" t="s">
        <v>1060</v>
      </c>
    </row>
    <row r="20" customFormat="false" ht="19.5" hidden="false" customHeight="true" outlineLevel="0" collapsed="false">
      <c r="A20" s="3" t="s">
        <v>1061</v>
      </c>
      <c r="B20" s="3"/>
      <c r="C20" s="3"/>
    </row>
    <row r="21" customFormat="false" ht="25.5" hidden="false" customHeight="true" outlineLevel="0" collapsed="false">
      <c r="B21" s="62" t="s">
        <v>1062</v>
      </c>
      <c r="C21" s="63" t="s">
        <v>1063</v>
      </c>
    </row>
    <row r="22" customFormat="false" ht="39" hidden="false" customHeight="true" outlineLevel="0" collapsed="false">
      <c r="B22" s="62" t="s">
        <v>79</v>
      </c>
      <c r="C22" s="63" t="s">
        <v>1064</v>
      </c>
    </row>
    <row r="23" customFormat="false" ht="15" hidden="false" customHeight="true" outlineLevel="0" collapsed="false">
      <c r="B23" s="62" t="s">
        <v>1065</v>
      </c>
      <c r="C23" s="63" t="s">
        <v>1066</v>
      </c>
    </row>
    <row r="24" customFormat="false" ht="15" hidden="false" customHeight="true" outlineLevel="0" collapsed="false">
      <c r="B24" s="62" t="s">
        <v>1067</v>
      </c>
      <c r="C24" s="63" t="s">
        <v>1068</v>
      </c>
    </row>
    <row r="25" customFormat="false" ht="25.5" hidden="false" customHeight="true" outlineLevel="0" collapsed="false">
      <c r="B25" s="62" t="s">
        <v>1069</v>
      </c>
      <c r="C25" s="63" t="s">
        <v>1070</v>
      </c>
    </row>
    <row r="26" customFormat="false" ht="25.5" hidden="false" customHeight="true" outlineLevel="0" collapsed="false">
      <c r="B26" s="62" t="s">
        <v>1071</v>
      </c>
      <c r="C26" s="63" t="s">
        <v>1072</v>
      </c>
    </row>
    <row r="27" customFormat="false" ht="25.5" hidden="false" customHeight="true" outlineLevel="0" collapsed="false">
      <c r="B27" s="62" t="s">
        <v>1073</v>
      </c>
      <c r="C27" s="63" t="s">
        <v>1074</v>
      </c>
    </row>
    <row r="29" customFormat="false" ht="19.5" hidden="false" customHeight="true" outlineLevel="0" collapsed="false">
      <c r="A29" s="3" t="s">
        <v>1075</v>
      </c>
      <c r="B29" s="3"/>
      <c r="C29" s="3"/>
    </row>
    <row r="30" customFormat="false" ht="25.5" hidden="false" customHeight="true" outlineLevel="0" collapsed="false">
      <c r="B30" s="62" t="s">
        <v>1076</v>
      </c>
      <c r="C30" s="63" t="s">
        <v>1077</v>
      </c>
    </row>
    <row r="31" customFormat="false" ht="25.5" hidden="false" customHeight="true" outlineLevel="0" collapsed="false">
      <c r="B31" s="62" t="s">
        <v>1078</v>
      </c>
      <c r="C31" s="63" t="s">
        <v>1079</v>
      </c>
    </row>
    <row r="32" customFormat="false" ht="25.5" hidden="false" customHeight="true" outlineLevel="0" collapsed="false">
      <c r="B32" s="62" t="s">
        <v>1080</v>
      </c>
      <c r="C32" s="63" t="s">
        <v>1081</v>
      </c>
    </row>
    <row r="33" customFormat="false" ht="25.5" hidden="false" customHeight="true" outlineLevel="0" collapsed="false">
      <c r="B33" s="62" t="s">
        <v>1082</v>
      </c>
      <c r="C33" s="63" t="s">
        <v>1083</v>
      </c>
    </row>
    <row r="34" customFormat="false" ht="25.5" hidden="false" customHeight="true" outlineLevel="0" collapsed="false">
      <c r="B34" s="62" t="s">
        <v>1084</v>
      </c>
      <c r="C34" s="63" t="s">
        <v>1085</v>
      </c>
    </row>
    <row r="35" customFormat="false" ht="39" hidden="false" customHeight="true" outlineLevel="0" collapsed="false">
      <c r="B35" s="62" t="s">
        <v>1086</v>
      </c>
      <c r="C35" s="63" t="s">
        <v>1087</v>
      </c>
    </row>
  </sheetData>
  <mergeCells count="6">
    <mergeCell ref="A1:C1"/>
    <mergeCell ref="A2:C2"/>
    <mergeCell ref="A4:C4"/>
    <mergeCell ref="A12:C12"/>
    <mergeCell ref="A20:C20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76"/>
  </cols>
  <sheetData>
    <row r="1" customFormat="false" ht="25.5" hidden="false" customHeight="true" outlineLevel="0" collapsed="false">
      <c r="A1" s="1" t="s">
        <v>1088</v>
      </c>
      <c r="B1" s="1"/>
      <c r="C1" s="1"/>
      <c r="D1" s="1"/>
    </row>
    <row r="2" customFormat="false" ht="15" hidden="false" customHeight="false" outlineLevel="0" collapsed="false">
      <c r="A2" s="2" t="s">
        <v>1089</v>
      </c>
      <c r="B2" s="2"/>
      <c r="C2" s="2"/>
      <c r="D2" s="2"/>
    </row>
    <row r="4" customFormat="false" ht="19.5" hidden="false" customHeight="true" outlineLevel="0" collapsed="false">
      <c r="A4" s="3" t="s">
        <v>1090</v>
      </c>
      <c r="B4" s="3"/>
      <c r="C4" s="3"/>
      <c r="D4" s="3"/>
    </row>
    <row r="5" customFormat="false" ht="23.85" hidden="false" customHeight="false" outlineLevel="0" collapsed="false">
      <c r="B5" s="12" t="s">
        <v>1091</v>
      </c>
      <c r="C5" s="64" t="s">
        <v>1092</v>
      </c>
      <c r="D5" s="53" t="s">
        <v>1093</v>
      </c>
    </row>
    <row r="6" customFormat="false" ht="15" hidden="false" customHeight="false" outlineLevel="0" collapsed="false">
      <c r="B6" s="12" t="s">
        <v>1094</v>
      </c>
      <c r="C6" s="64" t="s">
        <v>1095</v>
      </c>
      <c r="D6" s="53" t="s">
        <v>1096</v>
      </c>
    </row>
    <row r="8" customFormat="false" ht="19.5" hidden="false" customHeight="true" outlineLevel="0" collapsed="false">
      <c r="A8" s="3" t="s">
        <v>1097</v>
      </c>
      <c r="B8" s="3"/>
      <c r="C8" s="3"/>
      <c r="D8" s="3"/>
    </row>
    <row r="9" customFormat="false" ht="19.4" hidden="false" customHeight="false" outlineLevel="0" collapsed="false">
      <c r="B9" s="12" t="s">
        <v>1098</v>
      </c>
      <c r="C9" s="65" t="n">
        <v>46270</v>
      </c>
      <c r="D9" s="53" t="s">
        <v>1099</v>
      </c>
    </row>
    <row r="10" customFormat="false" ht="15" hidden="false" customHeight="false" outlineLevel="0" collapsed="false">
      <c r="B10" s="12" t="s">
        <v>1100</v>
      </c>
      <c r="C10" s="65" t="n">
        <v>46022</v>
      </c>
      <c r="D10" s="53" t="s">
        <v>1101</v>
      </c>
    </row>
    <row r="11" customFormat="false" ht="15" hidden="false" customHeight="false" outlineLevel="0" collapsed="false">
      <c r="B11" s="12" t="s">
        <v>1102</v>
      </c>
      <c r="C11" s="66" t="n">
        <v>2026</v>
      </c>
      <c r="D11" s="53" t="s">
        <v>1103</v>
      </c>
    </row>
    <row r="12" customFormat="false" ht="15" hidden="false" customHeight="false" outlineLevel="0" collapsed="false">
      <c r="B12" s="12" t="s">
        <v>1104</v>
      </c>
      <c r="C12" s="66" t="n">
        <v>9</v>
      </c>
      <c r="D12" s="53" t="s">
        <v>1105</v>
      </c>
    </row>
    <row r="13" customFormat="false" ht="15" hidden="false" customHeight="false" outlineLevel="0" collapsed="false">
      <c r="B13" s="12" t="s">
        <v>1106</v>
      </c>
      <c r="C13" s="66" t="n">
        <v>16</v>
      </c>
      <c r="D13" s="53" t="s">
        <v>1107</v>
      </c>
    </row>
    <row r="15" customFormat="false" ht="19.5" hidden="false" customHeight="true" outlineLevel="0" collapsed="false">
      <c r="A15" s="3" t="s">
        <v>1108</v>
      </c>
      <c r="B15" s="3"/>
      <c r="C15" s="3"/>
      <c r="D15" s="3"/>
    </row>
    <row r="16" customFormat="false" ht="19.4" hidden="false" customHeight="false" outlineLevel="0" collapsed="false">
      <c r="B16" s="12" t="s">
        <v>1109</v>
      </c>
      <c r="C16" s="64" t="s">
        <v>1110</v>
      </c>
      <c r="D16" s="53" t="s">
        <v>1111</v>
      </c>
    </row>
    <row r="18" customFormat="false" ht="19.5" hidden="false" customHeight="true" outlineLevel="0" collapsed="false">
      <c r="A18" s="3" t="s">
        <v>1112</v>
      </c>
      <c r="B18" s="3"/>
      <c r="C18" s="3"/>
      <c r="D18" s="3"/>
    </row>
    <row r="19" customFormat="false" ht="15" hidden="false" customHeight="false" outlineLevel="0" collapsed="false">
      <c r="B19" s="12" t="s">
        <v>1113</v>
      </c>
      <c r="C19" s="67" t="n">
        <v>4000000</v>
      </c>
      <c r="D19" s="53" t="s">
        <v>1114</v>
      </c>
    </row>
    <row r="20" customFormat="false" ht="15" hidden="false" customHeight="false" outlineLevel="0" collapsed="false">
      <c r="B20" s="12" t="s">
        <v>1115</v>
      </c>
      <c r="C20" s="68" t="n">
        <v>0.8</v>
      </c>
      <c r="D20" s="53" t="s">
        <v>1116</v>
      </c>
    </row>
    <row r="21" customFormat="false" ht="15" hidden="false" customHeight="false" outlineLevel="0" collapsed="false">
      <c r="B21" s="12" t="s">
        <v>1117</v>
      </c>
      <c r="C21" s="66" t="n">
        <v>7</v>
      </c>
      <c r="D21" s="53" t="s">
        <v>1118</v>
      </c>
    </row>
    <row r="22" customFormat="false" ht="15" hidden="false" customHeight="false" outlineLevel="0" collapsed="false">
      <c r="B22" s="12" t="s">
        <v>1119</v>
      </c>
      <c r="C22" s="66" t="n">
        <v>60</v>
      </c>
      <c r="D22" s="53" t="s">
        <v>1120</v>
      </c>
    </row>
    <row r="23" customFormat="false" ht="15" hidden="false" customHeight="false" outlineLevel="0" collapsed="false">
      <c r="B23" s="12" t="s">
        <v>1121</v>
      </c>
      <c r="C23" s="68" t="n">
        <v>0.4</v>
      </c>
      <c r="D23" s="53" t="s">
        <v>1122</v>
      </c>
    </row>
    <row r="24" customFormat="false" ht="15" hidden="false" customHeight="false" outlineLevel="0" collapsed="false">
      <c r="B24" s="12" t="s">
        <v>1123</v>
      </c>
      <c r="C24" s="68" t="n">
        <v>0.25</v>
      </c>
      <c r="D24" s="53" t="s">
        <v>1124</v>
      </c>
    </row>
    <row r="26" customFormat="false" ht="19.5" hidden="false" customHeight="true" outlineLevel="0" collapsed="false">
      <c r="A26" s="3" t="s">
        <v>1125</v>
      </c>
      <c r="B26" s="3"/>
      <c r="C26" s="3"/>
      <c r="D26" s="3"/>
    </row>
    <row r="27" customFormat="false" ht="15" hidden="false" customHeight="false" outlineLevel="0" collapsed="false">
      <c r="B27" s="69" t="s">
        <v>1126</v>
      </c>
      <c r="C27" s="70" t="n">
        <v>3000</v>
      </c>
    </row>
    <row r="28" customFormat="false" ht="15" hidden="false" customHeight="false" outlineLevel="0" collapsed="false">
      <c r="B28" s="69" t="s">
        <v>1127</v>
      </c>
      <c r="C28" s="70" t="n">
        <v>900</v>
      </c>
    </row>
    <row r="29" customFormat="false" ht="15" hidden="false" customHeight="false" outlineLevel="0" collapsed="false">
      <c r="B29" s="69" t="s">
        <v>1128</v>
      </c>
      <c r="C29" s="70" t="n">
        <v>1200</v>
      </c>
    </row>
    <row r="30" customFormat="false" ht="15" hidden="false" customHeight="false" outlineLevel="0" collapsed="false">
      <c r="B30" s="69" t="s">
        <v>1129</v>
      </c>
      <c r="C30" s="70" t="n">
        <v>600</v>
      </c>
    </row>
    <row r="31" customFormat="false" ht="15" hidden="false" customHeight="false" outlineLevel="0" collapsed="false">
      <c r="B31" s="69" t="s">
        <v>1130</v>
      </c>
      <c r="C31" s="70" t="n">
        <v>40</v>
      </c>
    </row>
    <row r="33" customFormat="false" ht="19.4" hidden="false" customHeight="true" outlineLevel="0" collapsed="false">
      <c r="A33" s="23" t="s">
        <v>1131</v>
      </c>
      <c r="B33" s="23"/>
      <c r="C33" s="23"/>
      <c r="D33" s="23"/>
    </row>
  </sheetData>
  <mergeCells count="8">
    <mergeCell ref="A1:D1"/>
    <mergeCell ref="A2:D2"/>
    <mergeCell ref="A4:D4"/>
    <mergeCell ref="A8:D8"/>
    <mergeCell ref="A15:D15"/>
    <mergeCell ref="A18:D18"/>
    <mergeCell ref="A26:D26"/>
    <mergeCell ref="A33:D33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16" type="list">
      <formula1>LST_SIMNAO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6" min="5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3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19"/>
    <col collapsed="false" customWidth="true" hidden="false" outlineLevel="0" max="17" min="17" style="0" width="17"/>
    <col collapsed="false" customWidth="true" hidden="false" outlineLevel="0" max="18" min="18" style="0" width="21"/>
    <col collapsed="false" customWidth="true" hidden="false" outlineLevel="0" max="19" min="19" style="0" width="22"/>
    <col collapsed="false" customWidth="true" hidden="false" outlineLevel="0" max="20" min="20" style="0" width="13"/>
  </cols>
  <sheetData>
    <row r="1" customFormat="false" ht="25.5" hidden="false" customHeight="true" outlineLevel="0" collapsed="false">
      <c r="A1" s="1" t="s">
        <v>1132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8" t="s">
        <v>1134</v>
      </c>
      <c r="B3" s="8" t="s">
        <v>1135</v>
      </c>
      <c r="C3" s="8" t="s">
        <v>1136</v>
      </c>
      <c r="D3" s="8" t="s">
        <v>1137</v>
      </c>
      <c r="E3" s="8" t="s">
        <v>1138</v>
      </c>
      <c r="F3" s="8" t="s">
        <v>1139</v>
      </c>
      <c r="G3" s="8" t="s">
        <v>1140</v>
      </c>
      <c r="H3" s="8" t="s">
        <v>1141</v>
      </c>
      <c r="I3" s="8" t="s">
        <v>1142</v>
      </c>
      <c r="J3" s="8" t="s">
        <v>1143</v>
      </c>
      <c r="K3" s="8" t="s">
        <v>1144</v>
      </c>
      <c r="L3" s="8" t="s">
        <v>1145</v>
      </c>
      <c r="M3" s="8" t="s">
        <v>1146</v>
      </c>
      <c r="N3" s="8" t="s">
        <v>1147</v>
      </c>
      <c r="O3" s="8" t="s">
        <v>1148</v>
      </c>
      <c r="P3" s="8" t="s">
        <v>1149</v>
      </c>
      <c r="Q3" s="8" t="s">
        <v>1150</v>
      </c>
      <c r="R3" s="8" t="s">
        <v>1151</v>
      </c>
      <c r="S3" s="8" t="s">
        <v>1152</v>
      </c>
      <c r="T3" s="8" t="s">
        <v>1153</v>
      </c>
    </row>
    <row r="4" customFormat="false" ht="15" hidden="false" customHeight="false" outlineLevel="0" collapsed="false">
      <c r="A4" s="71" t="s">
        <v>232</v>
      </c>
      <c r="B4" s="71" t="s">
        <v>232</v>
      </c>
      <c r="C4" s="71" t="s">
        <v>53</v>
      </c>
      <c r="D4" s="71" t="s">
        <v>56</v>
      </c>
      <c r="E4" s="71" t="s">
        <v>1154</v>
      </c>
      <c r="F4" s="71" t="s">
        <v>1155</v>
      </c>
      <c r="G4" s="71" t="s">
        <v>1156</v>
      </c>
      <c r="H4" s="71" t="s">
        <v>221</v>
      </c>
      <c r="I4" s="71" t="s">
        <v>1157</v>
      </c>
      <c r="J4" s="71" t="s">
        <v>1158</v>
      </c>
      <c r="K4" s="71" t="s">
        <v>1159</v>
      </c>
      <c r="L4" s="71" t="s">
        <v>413</v>
      </c>
      <c r="M4" s="71" t="s">
        <v>109</v>
      </c>
      <c r="N4" s="72" t="n">
        <v>1</v>
      </c>
      <c r="O4" s="71" t="s">
        <v>1110</v>
      </c>
      <c r="P4" s="71" t="s">
        <v>1160</v>
      </c>
      <c r="Q4" s="71" t="s">
        <v>232</v>
      </c>
      <c r="R4" s="71" t="s">
        <v>1161</v>
      </c>
      <c r="S4" s="71" t="s">
        <v>1162</v>
      </c>
      <c r="T4" s="71" t="s">
        <v>1163</v>
      </c>
    </row>
    <row r="5" customFormat="false" ht="15" hidden="false" customHeight="false" outlineLevel="0" collapsed="false">
      <c r="A5" s="71" t="s">
        <v>51</v>
      </c>
      <c r="B5" s="71" t="s">
        <v>51</v>
      </c>
      <c r="C5" s="71" t="s">
        <v>1164</v>
      </c>
      <c r="D5" s="71" t="s">
        <v>1165</v>
      </c>
      <c r="E5" s="71" t="s">
        <v>1166</v>
      </c>
      <c r="F5" s="71" t="s">
        <v>68</v>
      </c>
      <c r="G5" s="71" t="s">
        <v>1167</v>
      </c>
      <c r="H5" s="71" t="s">
        <v>1168</v>
      </c>
      <c r="I5" s="71" t="s">
        <v>985</v>
      </c>
      <c r="J5" s="71" t="s">
        <v>1169</v>
      </c>
      <c r="K5" s="71" t="s">
        <v>1170</v>
      </c>
      <c r="L5" s="71" t="s">
        <v>414</v>
      </c>
      <c r="M5" s="71" t="s">
        <v>1171</v>
      </c>
      <c r="N5" s="72" t="n">
        <v>-1</v>
      </c>
      <c r="O5" s="71" t="s">
        <v>1172</v>
      </c>
      <c r="P5" s="71" t="s">
        <v>1173</v>
      </c>
      <c r="Q5" s="71" t="s">
        <v>51</v>
      </c>
      <c r="R5" s="71" t="s">
        <v>1174</v>
      </c>
      <c r="S5" s="71" t="s">
        <v>1175</v>
      </c>
      <c r="T5" s="71" t="s">
        <v>1176</v>
      </c>
    </row>
    <row r="6" customFormat="false" ht="15" hidden="false" customHeight="false" outlineLevel="0" collapsed="false">
      <c r="A6" s="71" t="s">
        <v>1177</v>
      </c>
      <c r="B6" s="71" t="s">
        <v>230</v>
      </c>
      <c r="C6" s="71" t="s">
        <v>1178</v>
      </c>
      <c r="D6" s="71" t="s">
        <v>1179</v>
      </c>
      <c r="E6" s="71" t="s">
        <v>1180</v>
      </c>
      <c r="F6" s="71" t="s">
        <v>1181</v>
      </c>
      <c r="G6" s="71" t="s">
        <v>1182</v>
      </c>
      <c r="H6" s="71" t="s">
        <v>1183</v>
      </c>
      <c r="I6" s="71" t="s">
        <v>1184</v>
      </c>
      <c r="J6" s="71" t="s">
        <v>1185</v>
      </c>
      <c r="K6" s="71" t="s">
        <v>1186</v>
      </c>
      <c r="L6" s="71" t="s">
        <v>415</v>
      </c>
      <c r="M6" s="71" t="s">
        <v>1187</v>
      </c>
      <c r="N6" s="72" t="n">
        <v>1</v>
      </c>
      <c r="P6" s="71" t="s">
        <v>1188</v>
      </c>
      <c r="Q6" s="71" t="s">
        <v>230</v>
      </c>
      <c r="R6" s="71" t="s">
        <v>1189</v>
      </c>
      <c r="S6" s="71" t="s">
        <v>375</v>
      </c>
      <c r="T6" s="71" t="s">
        <v>1190</v>
      </c>
    </row>
    <row r="7" customFormat="false" ht="15" hidden="false" customHeight="false" outlineLevel="0" collapsed="false">
      <c r="A7" s="71" t="s">
        <v>1191</v>
      </c>
      <c r="B7" s="71" t="s">
        <v>51</v>
      </c>
      <c r="D7" s="71" t="s">
        <v>60</v>
      </c>
      <c r="E7" s="71" t="s">
        <v>1192</v>
      </c>
      <c r="F7" s="71" t="s">
        <v>1193</v>
      </c>
      <c r="G7" s="71" t="s">
        <v>1194</v>
      </c>
      <c r="I7" s="71" t="s">
        <v>1195</v>
      </c>
      <c r="J7" s="71" t="s">
        <v>1196</v>
      </c>
      <c r="K7" s="71" t="s">
        <v>1197</v>
      </c>
      <c r="L7" s="71" t="s">
        <v>416</v>
      </c>
      <c r="M7" s="71" t="s">
        <v>1198</v>
      </c>
      <c r="N7" s="72" t="n">
        <v>-1</v>
      </c>
      <c r="P7" s="71" t="s">
        <v>1199</v>
      </c>
      <c r="R7" s="71" t="s">
        <v>1200</v>
      </c>
      <c r="S7" s="71" t="s">
        <v>1201</v>
      </c>
      <c r="T7" s="71" t="s">
        <v>1202</v>
      </c>
    </row>
    <row r="8" customFormat="false" ht="15" hidden="false" customHeight="false" outlineLevel="0" collapsed="false">
      <c r="A8" s="71" t="s">
        <v>1203</v>
      </c>
      <c r="B8" s="71" t="s">
        <v>230</v>
      </c>
      <c r="F8" s="71" t="s">
        <v>1204</v>
      </c>
      <c r="G8" s="71" t="s">
        <v>1205</v>
      </c>
      <c r="I8" s="71" t="s">
        <v>1206</v>
      </c>
      <c r="L8" s="71" t="s">
        <v>417</v>
      </c>
      <c r="M8" s="71" t="s">
        <v>1207</v>
      </c>
      <c r="N8" s="72" t="n">
        <v>-1</v>
      </c>
      <c r="P8" s="71" t="s">
        <v>1208</v>
      </c>
      <c r="R8" s="71" t="s">
        <v>1209</v>
      </c>
      <c r="S8" s="71" t="s">
        <v>1210</v>
      </c>
      <c r="T8" s="71" t="s">
        <v>1211</v>
      </c>
    </row>
    <row r="9" customFormat="false" ht="15" hidden="false" customHeight="false" outlineLevel="0" collapsed="false">
      <c r="A9" s="71" t="s">
        <v>1212</v>
      </c>
      <c r="B9" s="71" t="s">
        <v>230</v>
      </c>
      <c r="F9" s="71" t="s">
        <v>1213</v>
      </c>
      <c r="G9" s="71" t="s">
        <v>1214</v>
      </c>
      <c r="M9" s="71" t="s">
        <v>1215</v>
      </c>
      <c r="N9" s="72" t="n">
        <v>-1</v>
      </c>
      <c r="P9" s="71" t="s">
        <v>1216</v>
      </c>
      <c r="R9" s="71" t="s">
        <v>1206</v>
      </c>
      <c r="S9" s="71" t="s">
        <v>1206</v>
      </c>
      <c r="T9" s="71" t="s">
        <v>1217</v>
      </c>
    </row>
    <row r="10" customFormat="false" ht="15" hidden="false" customHeight="false" outlineLevel="0" collapsed="false">
      <c r="A10" s="71" t="s">
        <v>1218</v>
      </c>
      <c r="B10" s="71" t="s">
        <v>230</v>
      </c>
      <c r="F10" s="71" t="s">
        <v>1219</v>
      </c>
      <c r="G10" s="71" t="s">
        <v>1220</v>
      </c>
      <c r="P10" s="71" t="s">
        <v>1221</v>
      </c>
      <c r="T10" s="71" t="s">
        <v>1222</v>
      </c>
    </row>
    <row r="11" customFormat="false" ht="15" hidden="false" customHeight="false" outlineLevel="0" collapsed="false">
      <c r="A11" s="71" t="s">
        <v>1223</v>
      </c>
      <c r="B11" s="71" t="s">
        <v>1224</v>
      </c>
      <c r="F11" s="71" t="s">
        <v>1206</v>
      </c>
      <c r="G11" s="71" t="s">
        <v>1225</v>
      </c>
      <c r="P11" s="71" t="s">
        <v>1192</v>
      </c>
      <c r="T11" s="71" t="s">
        <v>1226</v>
      </c>
    </row>
    <row r="12" customFormat="false" ht="15" hidden="false" customHeight="false" outlineLevel="0" collapsed="false">
      <c r="A12" s="71" t="s">
        <v>1227</v>
      </c>
      <c r="B12" s="71" t="s">
        <v>51</v>
      </c>
      <c r="G12" s="71" t="s">
        <v>1228</v>
      </c>
      <c r="T12" s="71" t="s">
        <v>1229</v>
      </c>
    </row>
    <row r="13" customFormat="false" ht="15" hidden="false" customHeight="false" outlineLevel="0" collapsed="false">
      <c r="A13" s="71" t="s">
        <v>1230</v>
      </c>
      <c r="B13" s="71" t="s">
        <v>230</v>
      </c>
      <c r="T13" s="71" t="s">
        <v>1231</v>
      </c>
    </row>
    <row r="14" customFormat="false" ht="15" hidden="false" customHeight="false" outlineLevel="0" collapsed="false">
      <c r="T14" s="71" t="s">
        <v>1232</v>
      </c>
    </row>
    <row r="15" customFormat="false" ht="15" hidden="false" customHeight="false" outlineLevel="0" collapsed="false">
      <c r="T15" s="71" t="s">
        <v>1233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D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8" min="6" style="0" width="30"/>
    <col collapsed="false" customWidth="true" hidden="false" outlineLevel="0" max="9" min="9" style="0" width="18"/>
    <col collapsed="false" customWidth="true" hidden="false" outlineLevel="0" max="30" min="11" style="0" width="24"/>
  </cols>
  <sheetData>
    <row r="1" customFormat="false" ht="25.5" hidden="false" customHeight="true" outlineLevel="0" collapsed="false">
      <c r="A1" s="1" t="s">
        <v>1234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K3" s="16" t="str">
        <f aca="false">IF(CAD_Categorias!$A5="","",CAD_Categorias!$B5)</f>
        <v>Alimentacao</v>
      </c>
      <c r="L3" s="16" t="str">
        <f aca="false">IF(CAD_Categorias!$A6="","",CAD_Categorias!$B6)</f>
        <v>Transporte</v>
      </c>
      <c r="M3" s="16" t="str">
        <f aca="false">IF(CAD_Categorias!$A7="","",CAD_Categorias!$B7)</f>
        <v>Moradia</v>
      </c>
      <c r="N3" s="16" t="str">
        <f aca="false">IF(CAD_Categorias!$A8="","",CAD_Categorias!$B8)</f>
        <v>Saude</v>
      </c>
      <c r="O3" s="16" t="str">
        <f aca="false">IF(CAD_Categorias!$A9="","",CAD_Categorias!$B9)</f>
        <v>Educacao</v>
      </c>
      <c r="P3" s="16" t="str">
        <f aca="false">IF(CAD_Categorias!$A10="","",CAD_Categorias!$B10)</f>
        <v>Lazer</v>
      </c>
      <c r="Q3" s="16" t="str">
        <f aca="false">IF(CAD_Categorias!$A11="","",CAD_Categorias!$B11)</f>
        <v>Compras</v>
      </c>
      <c r="R3" s="16" t="str">
        <f aca="false">IF(CAD_Categorias!$A12="","",CAD_Categorias!$B12)</f>
        <v>Dividas e Financiamentos</v>
      </c>
      <c r="S3" s="16" t="str">
        <f aca="false">IF(CAD_Categorias!$A13="","",CAD_Categorias!$B13)</f>
        <v>Investimentos</v>
      </c>
      <c r="T3" s="16" t="str">
        <f aca="false">IF(CAD_Categorias!$A14="","",CAD_Categorias!$B14)</f>
        <v>Receitas</v>
      </c>
      <c r="U3" s="16" t="str">
        <f aca="false">IF(CAD_Categorias!$A15="","",CAD_Categorias!$B15)</f>
        <v>Impostos e Taxas</v>
      </c>
      <c r="V3" s="16" t="str">
        <f aca="false">IF(CAD_Categorias!$A16="","",CAD_Categorias!$B16)</f>
        <v>Outros</v>
      </c>
      <c r="W3" s="16" t="str">
        <f aca="false">IF(CAD_Categorias!$A17="","",CAD_Categorias!$B17)</f>
        <v>Transferencias</v>
      </c>
      <c r="X3" s="16" t="str">
        <f aca="false">IF(CAD_Categorias!$A18="","",CAD_Categorias!$B18)</f>
        <v/>
      </c>
      <c r="Y3" s="16" t="str">
        <f aca="false">IF(CAD_Categorias!$A19="","",CAD_Categorias!$B19)</f>
        <v/>
      </c>
      <c r="Z3" s="16" t="str">
        <f aca="false">IF(CAD_Categorias!$A20="","",CAD_Categorias!$B20)</f>
        <v/>
      </c>
      <c r="AA3" s="16" t="str">
        <f aca="false">IF(CAD_Categorias!$A21="","",CAD_Categorias!$B21)</f>
        <v/>
      </c>
      <c r="AB3" s="16" t="str">
        <f aca="false">IF(CAD_Categorias!$A22="","",CAD_Categorias!$B22)</f>
        <v/>
      </c>
      <c r="AC3" s="16" t="str">
        <f aca="false">IF(CAD_Categorias!$A23="","",CAD_Categorias!$B23)</f>
        <v/>
      </c>
      <c r="AD3" s="16" t="str">
        <f aca="false">IF(CAD_Categorias!$A24="","",CAD_Categorias!$B24)</f>
        <v/>
      </c>
    </row>
    <row r="4" customFormat="false" ht="30" hidden="false" customHeight="true" outlineLevel="0" collapsed="false">
      <c r="A4" s="8" t="s">
        <v>1236</v>
      </c>
      <c r="B4" s="8" t="s">
        <v>1237</v>
      </c>
      <c r="C4" s="8" t="s">
        <v>1238</v>
      </c>
      <c r="D4" s="8" t="s">
        <v>1239</v>
      </c>
      <c r="F4" s="73" t="s">
        <v>1240</v>
      </c>
      <c r="G4" s="73" t="s">
        <v>1241</v>
      </c>
      <c r="H4" s="73" t="s">
        <v>1242</v>
      </c>
      <c r="I4" s="73" t="s">
        <v>1243</v>
      </c>
      <c r="K4" s="74" t="str">
        <f aca="false">IF(CAD_Categorias!$A5="","",CAD_Categorias!$A5)</f>
        <v>CAT-000001</v>
      </c>
      <c r="L4" s="74" t="str">
        <f aca="false">IF(CAD_Categorias!$A6="","",CAD_Categorias!$A6)</f>
        <v>CAT-000002</v>
      </c>
      <c r="M4" s="74" t="str">
        <f aca="false">IF(CAD_Categorias!$A7="","",CAD_Categorias!$A7)</f>
        <v>CAT-000003</v>
      </c>
      <c r="N4" s="74" t="str">
        <f aca="false">IF(CAD_Categorias!$A8="","",CAD_Categorias!$A8)</f>
        <v>CAT-000004</v>
      </c>
      <c r="O4" s="74" t="str">
        <f aca="false">IF(CAD_Categorias!$A9="","",CAD_Categorias!$A9)</f>
        <v>CAT-000005</v>
      </c>
      <c r="P4" s="74" t="str">
        <f aca="false">IF(CAD_Categorias!$A10="","",CAD_Categorias!$A10)</f>
        <v>CAT-000006</v>
      </c>
      <c r="Q4" s="74" t="str">
        <f aca="false">IF(CAD_Categorias!$A11="","",CAD_Categorias!$A11)</f>
        <v>CAT-000007</v>
      </c>
      <c r="R4" s="74" t="str">
        <f aca="false">IF(CAD_Categorias!$A12="","",CAD_Categorias!$A12)</f>
        <v>CAT-000008</v>
      </c>
      <c r="S4" s="74" t="str">
        <f aca="false">IF(CAD_Categorias!$A13="","",CAD_Categorias!$A13)</f>
        <v>CAT-000009</v>
      </c>
      <c r="T4" s="74" t="str">
        <f aca="false">IF(CAD_Categorias!$A14="","",CAD_Categorias!$A14)</f>
        <v>CAT-000010</v>
      </c>
      <c r="U4" s="74" t="str">
        <f aca="false">IF(CAD_Categorias!$A15="","",CAD_Categorias!$A15)</f>
        <v>CAT-000011</v>
      </c>
      <c r="V4" s="74" t="str">
        <f aca="false">IF(CAD_Categorias!$A16="","",CAD_Categorias!$A16)</f>
        <v>CAT-000012</v>
      </c>
      <c r="W4" s="74" t="str">
        <f aca="false">IF(CAD_Categorias!$A17="","",CAD_Categorias!$A17)</f>
        <v>CAT-000013</v>
      </c>
      <c r="X4" s="74" t="str">
        <f aca="false">IF(CAD_Categorias!$A18="","",CAD_Categorias!$A18)</f>
        <v/>
      </c>
      <c r="Y4" s="74" t="str">
        <f aca="false">IF(CAD_Categorias!$A19="","",CAD_Categorias!$A19)</f>
        <v/>
      </c>
      <c r="Z4" s="74" t="str">
        <f aca="false">IF(CAD_Categorias!$A20="","",CAD_Categorias!$A20)</f>
        <v/>
      </c>
      <c r="AA4" s="74" t="str">
        <f aca="false">IF(CAD_Categorias!$A21="","",CAD_Categorias!$A21)</f>
        <v/>
      </c>
      <c r="AB4" s="74" t="str">
        <f aca="false">IF(CAD_Categorias!$A22="","",CAD_Categorias!$A22)</f>
        <v/>
      </c>
      <c r="AC4" s="74" t="str">
        <f aca="false">IF(CAD_Categorias!$A23="","",CAD_Categorias!$A23)</f>
        <v/>
      </c>
      <c r="AD4" s="74" t="str">
        <f aca="false">IF(CAD_Categorias!$A24="","",CAD_Categorias!$A24)</f>
        <v/>
      </c>
    </row>
    <row r="5" customFormat="false" ht="15" hidden="false" customHeight="false" outlineLevel="0" collapsed="false">
      <c r="A5" s="75" t="str">
        <f aca="false">IF(CAD_Contas!$A5="","",CAD_Contas!$A5)</f>
        <v/>
      </c>
      <c r="B5" s="75" t="str">
        <f aca="false">IF(CAD_Contas!$A5="","","CONTA")</f>
        <v/>
      </c>
      <c r="C5" s="75" t="str">
        <f aca="false">IF(CAD_Contas!$A5="","",CAD_Contas!$B5)</f>
        <v/>
      </c>
      <c r="D5" s="76" t="n">
        <v>1</v>
      </c>
      <c r="F5" s="75" t="str">
        <f aca="false">IF(CAD_Contas!$A5="","",CAD_Contas!$B5)</f>
        <v/>
      </c>
      <c r="G5" s="75" t="str">
        <f aca="false">IF(CAD_Cartoes!$A5="","",CAD_Cartoes!$B5)</f>
        <v/>
      </c>
      <c r="H5" s="75" t="str">
        <f aca="false">IF(CAD_Investimentos!$A5="","",CAD_Investimentos!$B5)</f>
        <v/>
      </c>
      <c r="I5" s="75" t="s">
        <v>62</v>
      </c>
      <c r="K5" s="75" t="str">
        <f aca="false">IFERROR(INDEX(SUB_NOME,MATCH(1,INDEX((SUB_CATID=$K$4)*(SUB_ORDEM=$D5),0),0)),"")</f>
        <v>Supermercado</v>
      </c>
      <c r="L5" s="75" t="str">
        <f aca="false">IFERROR(INDEX(SUB_NOME,MATCH(1,INDEX((SUB_CATID=$L$4)*(SUB_ORDEM=$D5),0),0)),"")</f>
        <v>Combustivel</v>
      </c>
      <c r="M5" s="75" t="str">
        <f aca="false">IFERROR(INDEX(SUB_NOME,MATCH(1,INDEX((SUB_CATID=$M$4)*(SUB_ORDEM=$D5),0),0)),"")</f>
        <v>Aluguel</v>
      </c>
      <c r="N5" s="75" t="str">
        <f aca="false">IFERROR(INDEX(SUB_NOME,MATCH(1,INDEX((SUB_CATID=$N$4)*(SUB_ORDEM=$D5),0),0)),"")</f>
        <v>Plano de saude</v>
      </c>
      <c r="O5" s="75" t="str">
        <f aca="false">IFERROR(INDEX(SUB_NOME,MATCH(1,INDEX((SUB_CATID=$O$4)*(SUB_ORDEM=$D5),0),0)),"")</f>
        <v>Mensalidade</v>
      </c>
      <c r="P5" s="75" t="str">
        <f aca="false">IFERROR(INDEX(SUB_NOME,MATCH(1,INDEX((SUB_CATID=$P$4)*(SUB_ORDEM=$D5),0),0)),"")</f>
        <v>Viagens</v>
      </c>
      <c r="Q5" s="75" t="str">
        <f aca="false">IFERROR(INDEX(SUB_NOME,MATCH(1,INDEX((SUB_CATID=$Q$4)*(SUB_ORDEM=$D5),0),0)),"")</f>
        <v>Vestuario</v>
      </c>
      <c r="R5" s="75" t="str">
        <f aca="false">IFERROR(INDEX(SUB_NOME,MATCH(1,INDEX((SUB_CATID=$R$4)*(SUB_ORDEM=$D5),0),0)),"")</f>
        <v>Parcela de terreno</v>
      </c>
      <c r="S5" s="75" t="str">
        <f aca="false">IFERROR(INDEX(SUB_NOME,MATCH(1,INDEX((SUB_CATID=$S$4)*(SUB_ORDEM=$D5),0),0)),"")</f>
        <v>Aporte</v>
      </c>
      <c r="T5" s="75" t="str">
        <f aca="false">IFERROR(INDEX(SUB_NOME,MATCH(1,INDEX((SUB_CATID=$T$4)*(SUB_ORDEM=$D5),0),0)),"")</f>
        <v>Salario</v>
      </c>
      <c r="U5" s="75" t="str">
        <f aca="false">IFERROR(INDEX(SUB_NOME,MATCH(1,INDEX((SUB_CATID=$U$4)*(SUB_ORDEM=$D5),0),0)),"")</f>
        <v>IVA</v>
      </c>
      <c r="V5" s="75" t="str">
        <f aca="false">IFERROR(INDEX(SUB_NOME,MATCH(1,INDEX((SUB_CATID=$V$4)*(SUB_ORDEM=$D5),0),0)),"")</f>
        <v>Diversos</v>
      </c>
      <c r="W5" s="75" t="str">
        <f aca="false">IFERROR(INDEX(SUB_NOME,MATCH(1,INDEX((SUB_CATID=$W$4)*(SUB_ORDEM=$D5),0),0)),"")</f>
        <v>Entre contas proprias</v>
      </c>
      <c r="X5" s="75" t="str">
        <f aca="false">IFERROR(INDEX(SUB_NOME,MATCH(1,INDEX((SUB_CATID=$X$4)*(SUB_ORDEM=$D5),0),0)),"")</f>
        <v/>
      </c>
      <c r="Y5" s="75" t="str">
        <f aca="false">IFERROR(INDEX(SUB_NOME,MATCH(1,INDEX((SUB_CATID=$Y$4)*(SUB_ORDEM=$D5),0),0)),"")</f>
        <v/>
      </c>
      <c r="Z5" s="75" t="str">
        <f aca="false">IFERROR(INDEX(SUB_NOME,MATCH(1,INDEX((SUB_CATID=$Z$4)*(SUB_ORDEM=$D5),0),0)),"")</f>
        <v/>
      </c>
      <c r="AA5" s="75" t="str">
        <f aca="false">IFERROR(INDEX(SUB_NOME,MATCH(1,INDEX((SUB_CATID=$AA$4)*(SUB_ORDEM=$D5),0),0)),"")</f>
        <v/>
      </c>
      <c r="AB5" s="75" t="str">
        <f aca="false">IFERROR(INDEX(SUB_NOME,MATCH(1,INDEX((SUB_CATID=$AB$4)*(SUB_ORDEM=$D5),0),0)),"")</f>
        <v/>
      </c>
      <c r="AC5" s="75" t="str">
        <f aca="false">IFERROR(INDEX(SUB_NOME,MATCH(1,INDEX((SUB_CATID=$AC$4)*(SUB_ORDEM=$D5),0),0)),"")</f>
        <v/>
      </c>
      <c r="AD5" s="75" t="str">
        <f aca="false">IFERROR(INDEX(SUB_NOME,MATCH(1,INDEX((SUB_CATID=$AD$4)*(SUB_ORDEM=$D5),0),0)),"")</f>
        <v/>
      </c>
    </row>
    <row r="6" customFormat="false" ht="15" hidden="false" customHeight="false" outlineLevel="0" collapsed="false">
      <c r="A6" s="75" t="str">
        <f aca="false">IF(CAD_Contas!$A6="","",CAD_Contas!$A6)</f>
        <v/>
      </c>
      <c r="B6" s="75" t="str">
        <f aca="false">IF(CAD_Contas!$A6="","","CONTA")</f>
        <v/>
      </c>
      <c r="C6" s="75" t="str">
        <f aca="false">IF(CAD_Contas!$A6="","",CAD_Contas!$B6)</f>
        <v/>
      </c>
      <c r="D6" s="76" t="n">
        <v>2</v>
      </c>
      <c r="F6" s="75" t="str">
        <f aca="false">IF(CAD_Contas!$A6="","",CAD_Contas!$B6)</f>
        <v/>
      </c>
      <c r="G6" s="75" t="str">
        <f aca="false">IF(CAD_Cartoes!$A6="","",CAD_Cartoes!$B6)</f>
        <v/>
      </c>
      <c r="H6" s="75" t="str">
        <f aca="false">IF(CAD_Investimentos!$A6="","",CAD_Investimentos!$B6)</f>
        <v/>
      </c>
      <c r="K6" s="75" t="str">
        <f aca="false">IFERROR(INDEX(SUB_NOME,MATCH(1,INDEX((SUB_CATID=$K$4)*(SUB_ORDEM=$D6),0),0)),"")</f>
        <v>Restaurante</v>
      </c>
      <c r="L6" s="75" t="str">
        <f aca="false">IFERROR(INDEX(SUB_NOME,MATCH(1,INDEX((SUB_CATID=$L$4)*(SUB_ORDEM=$D6),0),0)),"")</f>
        <v>Uber/Taxi</v>
      </c>
      <c r="M6" s="75" t="str">
        <f aca="false">IFERROR(INDEX(SUB_NOME,MATCH(1,INDEX((SUB_CATID=$M$4)*(SUB_ORDEM=$D6),0),0)),"")</f>
        <v>Energia (ANDE)</v>
      </c>
      <c r="N6" s="75" t="str">
        <f aca="false">IFERROR(INDEX(SUB_NOME,MATCH(1,INDEX((SUB_CATID=$N$4)*(SUB_ORDEM=$D6),0),0)),"")</f>
        <v>Farmacia</v>
      </c>
      <c r="O6" s="75" t="str">
        <f aca="false">IFERROR(INDEX(SUB_NOME,MATCH(1,INDEX((SUB_CATID=$O$4)*(SUB_ORDEM=$D6),0),0)),"")</f>
        <v>Cursos</v>
      </c>
      <c r="P6" s="75" t="str">
        <f aca="false">IFERROR(INDEX(SUB_NOME,MATCH(1,INDEX((SUB_CATID=$P$4)*(SUB_ORDEM=$D6),0),0)),"")</f>
        <v>Streaming</v>
      </c>
      <c r="Q6" s="75" t="str">
        <f aca="false">IFERROR(INDEX(SUB_NOME,MATCH(1,INDEX((SUB_CATID=$Q$4)*(SUB_ORDEM=$D6),0),0)),"")</f>
        <v>Eletronicos</v>
      </c>
      <c r="R6" s="75" t="str">
        <f aca="false">IFERROR(INDEX(SUB_NOME,MATCH(1,INDEX((SUB_CATID=$R$4)*(SUB_ORDEM=$D6),0),0)),"")</f>
        <v>Parcela de emprestimo</v>
      </c>
      <c r="S6" s="75" t="str">
        <f aca="false">IFERROR(INDEX(SUB_NOME,MATCH(1,INDEX((SUB_CATID=$S$4)*(SUB_ORDEM=$D6),0),0)),"")</f>
        <v>Resgate</v>
      </c>
      <c r="T6" s="75" t="str">
        <f aca="false">IFERROR(INDEX(SUB_NOME,MATCH(1,INDEX((SUB_CATID=$T$4)*(SUB_ORDEM=$D6),0),0)),"")</f>
        <v>Aguinaldo (13o)</v>
      </c>
      <c r="U6" s="75" t="str">
        <f aca="false">IFERROR(INDEX(SUB_NOME,MATCH(1,INDEX((SUB_CATID=$U$4)*(SUB_ORDEM=$D6),0),0)),"")</f>
        <v>IRP</v>
      </c>
      <c r="V6" s="75" t="str">
        <f aca="false">IFERROR(INDEX(SUB_NOME,MATCH(1,INDEX((SUB_CATID=$V$4)*(SUB_ORDEM=$D6),0),0)),"")</f>
        <v>Nao classificado</v>
      </c>
      <c r="W6" s="75" t="str">
        <f aca="false">IFERROR(INDEX(SUB_NOME,MATCH(1,INDEX((SUB_CATID=$W$4)*(SUB_ORDEM=$D6),0),0)),"")</f>
        <v>Saque/Deposito</v>
      </c>
      <c r="X6" s="75" t="str">
        <f aca="false">IFERROR(INDEX(SUB_NOME,MATCH(1,INDEX((SUB_CATID=$X$4)*(SUB_ORDEM=$D6),0),0)),"")</f>
        <v/>
      </c>
      <c r="Y6" s="75" t="str">
        <f aca="false">IFERROR(INDEX(SUB_NOME,MATCH(1,INDEX((SUB_CATID=$Y$4)*(SUB_ORDEM=$D6),0),0)),"")</f>
        <v/>
      </c>
      <c r="Z6" s="75" t="str">
        <f aca="false">IFERROR(INDEX(SUB_NOME,MATCH(1,INDEX((SUB_CATID=$Z$4)*(SUB_ORDEM=$D6),0),0)),"")</f>
        <v/>
      </c>
      <c r="AA6" s="75" t="str">
        <f aca="false">IFERROR(INDEX(SUB_NOME,MATCH(1,INDEX((SUB_CATID=$AA$4)*(SUB_ORDEM=$D6),0),0)),"")</f>
        <v/>
      </c>
      <c r="AB6" s="75" t="str">
        <f aca="false">IFERROR(INDEX(SUB_NOME,MATCH(1,INDEX((SUB_CATID=$AB$4)*(SUB_ORDEM=$D6),0),0)),"")</f>
        <v/>
      </c>
      <c r="AC6" s="75" t="str">
        <f aca="false">IFERROR(INDEX(SUB_NOME,MATCH(1,INDEX((SUB_CATID=$AC$4)*(SUB_ORDEM=$D6),0),0)),"")</f>
        <v/>
      </c>
      <c r="AD6" s="75" t="str">
        <f aca="false">IFERROR(INDEX(SUB_NOME,MATCH(1,INDEX((SUB_CATID=$AD$4)*(SUB_ORDEM=$D6),0),0)),"")</f>
        <v/>
      </c>
    </row>
    <row r="7" customFormat="false" ht="15" hidden="false" customHeight="false" outlineLevel="0" collapsed="false">
      <c r="A7" s="75" t="str">
        <f aca="false">IF(CAD_Contas!$A7="","",CAD_Contas!$A7)</f>
        <v/>
      </c>
      <c r="B7" s="75" t="str">
        <f aca="false">IF(CAD_Contas!$A7="","","CONTA")</f>
        <v/>
      </c>
      <c r="C7" s="75" t="str">
        <f aca="false">IF(CAD_Contas!$A7="","",CAD_Contas!$B7)</f>
        <v/>
      </c>
      <c r="D7" s="76" t="n">
        <v>3</v>
      </c>
      <c r="F7" s="75" t="str">
        <f aca="false">IF(CAD_Contas!$A7="","",CAD_Contas!$B7)</f>
        <v/>
      </c>
      <c r="G7" s="75" t="str">
        <f aca="false">IF(CAD_Cartoes!$A7="","",CAD_Cartoes!$B7)</f>
        <v/>
      </c>
      <c r="H7" s="75" t="str">
        <f aca="false">IF(CAD_Investimentos!$A7="","",CAD_Investimentos!$B7)</f>
        <v/>
      </c>
      <c r="K7" s="75" t="str">
        <f aca="false">IFERROR(INDEX(SUB_NOME,MATCH(1,INDEX((SUB_CATID=$K$4)*(SUB_ORDEM=$D7),0),0)),"")</f>
        <v>Delivery</v>
      </c>
      <c r="L7" s="75" t="str">
        <f aca="false">IFERROR(INDEX(SUB_NOME,MATCH(1,INDEX((SUB_CATID=$L$4)*(SUB_ORDEM=$D7),0),0)),"")</f>
        <v>Onibus</v>
      </c>
      <c r="M7" s="75" t="str">
        <f aca="false">IFERROR(INDEX(SUB_NOME,MATCH(1,INDEX((SUB_CATID=$M$4)*(SUB_ORDEM=$D7),0),0)),"")</f>
        <v>Agua (ESSAP)</v>
      </c>
      <c r="N7" s="75" t="str">
        <f aca="false">IFERROR(INDEX(SUB_NOME,MATCH(1,INDEX((SUB_CATID=$N$4)*(SUB_ORDEM=$D7),0),0)),"")</f>
        <v>Consultas</v>
      </c>
      <c r="O7" s="75" t="str">
        <f aca="false">IFERROR(INDEX(SUB_NOME,MATCH(1,INDEX((SUB_CATID=$O$4)*(SUB_ORDEM=$D7),0),0)),"")</f>
        <v>Livros</v>
      </c>
      <c r="P7" s="75" t="str">
        <f aca="false">IFERROR(INDEX(SUB_NOME,MATCH(1,INDEX((SUB_CATID=$P$4)*(SUB_ORDEM=$D7),0),0)),"")</f>
        <v>Eventos</v>
      </c>
      <c r="Q7" s="75" t="str">
        <f aca="false">IFERROR(INDEX(SUB_NOME,MATCH(1,INDEX((SUB_CATID=$Q$4)*(SUB_ORDEM=$D7),0),0)),"")</f>
        <v>Casa e decoracao</v>
      </c>
      <c r="R7" s="75" t="str">
        <f aca="false">IFERROR(INDEX(SUB_NOME,MATCH(1,INDEX((SUB_CATID=$R$4)*(SUB_ORDEM=$D7),0),0)),"")</f>
        <v>Juros e multas</v>
      </c>
      <c r="S7" s="75" t="str">
        <f aca="false">IFERROR(INDEX(SUB_NOME,MATCH(1,INDEX((SUB_CATID=$S$4)*(SUB_ORDEM=$D7),0),0)),"")</f>
        <v>Rendimento</v>
      </c>
      <c r="T7" s="75" t="str">
        <f aca="false">IFERROR(INDEX(SUB_NOME,MATCH(1,INDEX((SUB_CATID=$T$4)*(SUB_ORDEM=$D7),0),0)),"")</f>
        <v>Honorarios/Freelance</v>
      </c>
      <c r="U7" s="75" t="str">
        <f aca="false">IFERROR(INDEX(SUB_NOME,MATCH(1,INDEX((SUB_CATID=$U$4)*(SUB_ORDEM=$D7),0),0)),"")</f>
        <v>Tarifas bancarias</v>
      </c>
      <c r="V7" s="75" t="str">
        <f aca="false">IFERROR(INDEX(SUB_NOME,MATCH(1,INDEX((SUB_CATID=$V$4)*(SUB_ORDEM=$D7),0),0)),"")</f>
        <v/>
      </c>
      <c r="W7" s="75" t="str">
        <f aca="false">IFERROR(INDEX(SUB_NOME,MATCH(1,INDEX((SUB_CATID=$W$4)*(SUB_ORDEM=$D7),0),0)),"")</f>
        <v/>
      </c>
      <c r="X7" s="75" t="str">
        <f aca="false">IFERROR(INDEX(SUB_NOME,MATCH(1,INDEX((SUB_CATID=$X$4)*(SUB_ORDEM=$D7),0),0)),"")</f>
        <v/>
      </c>
      <c r="Y7" s="75" t="str">
        <f aca="false">IFERROR(INDEX(SUB_NOME,MATCH(1,INDEX((SUB_CATID=$Y$4)*(SUB_ORDEM=$D7),0),0)),"")</f>
        <v/>
      </c>
      <c r="Z7" s="75" t="str">
        <f aca="false">IFERROR(INDEX(SUB_NOME,MATCH(1,INDEX((SUB_CATID=$Z$4)*(SUB_ORDEM=$D7),0),0)),"")</f>
        <v/>
      </c>
      <c r="AA7" s="75" t="str">
        <f aca="false">IFERROR(INDEX(SUB_NOME,MATCH(1,INDEX((SUB_CATID=$AA$4)*(SUB_ORDEM=$D7),0),0)),"")</f>
        <v/>
      </c>
      <c r="AB7" s="75" t="str">
        <f aca="false">IFERROR(INDEX(SUB_NOME,MATCH(1,INDEX((SUB_CATID=$AB$4)*(SUB_ORDEM=$D7),0),0)),"")</f>
        <v/>
      </c>
      <c r="AC7" s="75" t="str">
        <f aca="false">IFERROR(INDEX(SUB_NOME,MATCH(1,INDEX((SUB_CATID=$AC$4)*(SUB_ORDEM=$D7),0),0)),"")</f>
        <v/>
      </c>
      <c r="AD7" s="75" t="str">
        <f aca="false">IFERROR(INDEX(SUB_NOME,MATCH(1,INDEX((SUB_CATID=$AD$4)*(SUB_ORDEM=$D7),0),0)),"")</f>
        <v/>
      </c>
    </row>
    <row r="8" customFormat="false" ht="15" hidden="false" customHeight="false" outlineLevel="0" collapsed="false">
      <c r="A8" s="75" t="str">
        <f aca="false">IF(CAD_Contas!$A8="","",CAD_Contas!$A8)</f>
        <v/>
      </c>
      <c r="B8" s="75" t="str">
        <f aca="false">IF(CAD_Contas!$A8="","","CONTA")</f>
        <v/>
      </c>
      <c r="C8" s="75" t="str">
        <f aca="false">IF(CAD_Contas!$A8="","",CAD_Contas!$B8)</f>
        <v/>
      </c>
      <c r="D8" s="76" t="n">
        <v>4</v>
      </c>
      <c r="F8" s="75" t="str">
        <f aca="false">IF(CAD_Contas!$A8="","",CAD_Contas!$B8)</f>
        <v/>
      </c>
      <c r="G8" s="75" t="str">
        <f aca="false">IF(CAD_Cartoes!$A8="","",CAD_Cartoes!$B8)</f>
        <v/>
      </c>
      <c r="H8" s="75" t="str">
        <f aca="false">IF(CAD_Investimentos!$A8="","",CAD_Investimentos!$B8)</f>
        <v/>
      </c>
      <c r="K8" s="75" t="str">
        <f aca="false">IFERROR(INDEX(SUB_NOME,MATCH(1,INDEX((SUB_CATID=$K$4)*(SUB_ORDEM=$D8),0),0)),"")</f>
        <v>Lanches</v>
      </c>
      <c r="L8" s="75" t="str">
        <f aca="false">IFERROR(INDEX(SUB_NOME,MATCH(1,INDEX((SUB_CATID=$L$4)*(SUB_ORDEM=$D8),0),0)),"")</f>
        <v>Manutencao</v>
      </c>
      <c r="M8" s="75" t="str">
        <f aca="false">IFERROR(INDEX(SUB_NOME,MATCH(1,INDEX((SUB_CATID=$M$4)*(SUB_ORDEM=$D8),0),0)),"")</f>
        <v>Internet</v>
      </c>
      <c r="N8" s="75" t="str">
        <f aca="false">IFERROR(INDEX(SUB_NOME,MATCH(1,INDEX((SUB_CATID=$N$4)*(SUB_ORDEM=$D8),0),0)),"")</f>
        <v>Exames</v>
      </c>
      <c r="O8" s="75" t="str">
        <f aca="false">IFERROR(INDEX(SUB_NOME,MATCH(1,INDEX((SUB_CATID=$O$4)*(SUB_ORDEM=$D8),0),0)),"")</f>
        <v>Material escolar</v>
      </c>
      <c r="P8" s="75" t="str">
        <f aca="false">IFERROR(INDEX(SUB_NOME,MATCH(1,INDEX((SUB_CATID=$P$4)*(SUB_ORDEM=$D8),0),0)),"")</f>
        <v>Bar e cafe</v>
      </c>
      <c r="Q8" s="75" t="str">
        <f aca="false">IFERROR(INDEX(SUB_NOME,MATCH(1,INDEX((SUB_CATID=$Q$4)*(SUB_ORDEM=$D8),0),0)),"")</f>
        <v>Presentes</v>
      </c>
      <c r="R8" s="75" t="str">
        <f aca="false">IFERROR(INDEX(SUB_NOME,MATCH(1,INDEX((SUB_CATID=$R$4)*(SUB_ORDEM=$D8),0),0)),"")</f>
        <v>Parcela de compra</v>
      </c>
      <c r="S8" s="75" t="str">
        <f aca="false">IFERROR(INDEX(SUB_NOME,MATCH(1,INDEX((SUB_CATID=$S$4)*(SUB_ORDEM=$D8),0),0)),"")</f>
        <v/>
      </c>
      <c r="T8" s="75" t="str">
        <f aca="false">IFERROR(INDEX(SUB_NOME,MATCH(1,INDEX((SUB_CATID=$T$4)*(SUB_ORDEM=$D8),0),0)),"")</f>
        <v>Rendimento financeiro</v>
      </c>
      <c r="U8" s="75" t="str">
        <f aca="false">IFERROR(INDEX(SUB_NOME,MATCH(1,INDEX((SUB_CATID=$U$4)*(SUB_ORDEM=$D8),0),0)),"")</f>
        <v>Taxas municipais</v>
      </c>
      <c r="V8" s="75" t="str">
        <f aca="false">IFERROR(INDEX(SUB_NOME,MATCH(1,INDEX((SUB_CATID=$V$4)*(SUB_ORDEM=$D8),0),0)),"")</f>
        <v/>
      </c>
      <c r="W8" s="75" t="str">
        <f aca="false">IFERROR(INDEX(SUB_NOME,MATCH(1,INDEX((SUB_CATID=$W$4)*(SUB_ORDEM=$D8),0),0)),"")</f>
        <v/>
      </c>
      <c r="X8" s="75" t="str">
        <f aca="false">IFERROR(INDEX(SUB_NOME,MATCH(1,INDEX((SUB_CATID=$X$4)*(SUB_ORDEM=$D8),0),0)),"")</f>
        <v/>
      </c>
      <c r="Y8" s="75" t="str">
        <f aca="false">IFERROR(INDEX(SUB_NOME,MATCH(1,INDEX((SUB_CATID=$Y$4)*(SUB_ORDEM=$D8),0),0)),"")</f>
        <v/>
      </c>
      <c r="Z8" s="75" t="str">
        <f aca="false">IFERROR(INDEX(SUB_NOME,MATCH(1,INDEX((SUB_CATID=$Z$4)*(SUB_ORDEM=$D8),0),0)),"")</f>
        <v/>
      </c>
      <c r="AA8" s="75" t="str">
        <f aca="false">IFERROR(INDEX(SUB_NOME,MATCH(1,INDEX((SUB_CATID=$AA$4)*(SUB_ORDEM=$D8),0),0)),"")</f>
        <v/>
      </c>
      <c r="AB8" s="75" t="str">
        <f aca="false">IFERROR(INDEX(SUB_NOME,MATCH(1,INDEX((SUB_CATID=$AB$4)*(SUB_ORDEM=$D8),0),0)),"")</f>
        <v/>
      </c>
      <c r="AC8" s="75" t="str">
        <f aca="false">IFERROR(INDEX(SUB_NOME,MATCH(1,INDEX((SUB_CATID=$AC$4)*(SUB_ORDEM=$D8),0),0)),"")</f>
        <v/>
      </c>
      <c r="AD8" s="75" t="str">
        <f aca="false">IFERROR(INDEX(SUB_NOME,MATCH(1,INDEX((SUB_CATID=$AD$4)*(SUB_ORDEM=$D8),0),0)),"")</f>
        <v/>
      </c>
    </row>
    <row r="9" customFormat="false" ht="15" hidden="false" customHeight="false" outlineLevel="0" collapsed="false">
      <c r="A9" s="75" t="str">
        <f aca="false">IF(CAD_Contas!$A9="","",CAD_Contas!$A9)</f>
        <v/>
      </c>
      <c r="B9" s="75" t="str">
        <f aca="false">IF(CAD_Contas!$A9="","","CONTA")</f>
        <v/>
      </c>
      <c r="C9" s="75" t="str">
        <f aca="false">IF(CAD_Contas!$A9="","",CAD_Contas!$B9)</f>
        <v/>
      </c>
      <c r="D9" s="76" t="n">
        <v>5</v>
      </c>
      <c r="F9" s="75" t="str">
        <f aca="false">IF(CAD_Contas!$A9="","",CAD_Contas!$B9)</f>
        <v/>
      </c>
      <c r="G9" s="75" t="str">
        <f aca="false">IF(CAD_Cartoes!$A9="","",CAD_Cartoes!$B9)</f>
        <v/>
      </c>
      <c r="H9" s="75" t="str">
        <f aca="false">IF(CAD_Investimentos!$A9="","",CAD_Investimentos!$B9)</f>
        <v/>
      </c>
      <c r="K9" s="75" t="str">
        <f aca="false">IFERROR(INDEX(SUB_NOME,MATCH(1,INDEX((SUB_CATID=$K$4)*(SUB_ORDEM=$D9),0),0)),"")</f>
        <v>Feira</v>
      </c>
      <c r="L9" s="75" t="str">
        <f aca="false">IFERROR(INDEX(SUB_NOME,MATCH(1,INDEX((SUB_CATID=$L$4)*(SUB_ORDEM=$D9),0),0)),"")</f>
        <v>Seguro veicular</v>
      </c>
      <c r="M9" s="75" t="str">
        <f aca="false">IFERROR(INDEX(SUB_NOME,MATCH(1,INDEX((SUB_CATID=$M$4)*(SUB_ORDEM=$D9),0),0)),"")</f>
        <v>Condominio</v>
      </c>
      <c r="N9" s="75" t="str">
        <f aca="false">IFERROR(INDEX(SUB_NOME,MATCH(1,INDEX((SUB_CATID=$N$4)*(SUB_ORDEM=$D9),0),0)),"")</f>
        <v>Odontologia</v>
      </c>
      <c r="O9" s="75" t="str">
        <f aca="false">IFERROR(INDEX(SUB_NOME,MATCH(1,INDEX((SUB_CATID=$O$4)*(SUB_ORDEM=$D9),0),0)),"")</f>
        <v/>
      </c>
      <c r="P9" s="75" t="str">
        <f aca="false">IFERROR(INDEX(SUB_NOME,MATCH(1,INDEX((SUB_CATID=$P$4)*(SUB_ORDEM=$D9),0),0)),"")</f>
        <v/>
      </c>
      <c r="Q9" s="75" t="str">
        <f aca="false">IFERROR(INDEX(SUB_NOME,MATCH(1,INDEX((SUB_CATID=$Q$4)*(SUB_ORDEM=$D9),0),0)),"")</f>
        <v/>
      </c>
      <c r="R9" s="75" t="str">
        <f aca="false">IFERROR(INDEX(SUB_NOME,MATCH(1,INDEX((SUB_CATID=$R$4)*(SUB_ORDEM=$D9),0),0)),"")</f>
        <v/>
      </c>
      <c r="S9" s="75" t="str">
        <f aca="false">IFERROR(INDEX(SUB_NOME,MATCH(1,INDEX((SUB_CATID=$S$4)*(SUB_ORDEM=$D9),0),0)),"")</f>
        <v/>
      </c>
      <c r="T9" s="75" t="str">
        <f aca="false">IFERROR(INDEX(SUB_NOME,MATCH(1,INDEX((SUB_CATID=$T$4)*(SUB_ORDEM=$D9),0),0)),"")</f>
        <v>Reembolso</v>
      </c>
      <c r="U9" s="75" t="str">
        <f aca="false">IFERROR(INDEX(SUB_NOME,MATCH(1,INDEX((SUB_CATID=$U$4)*(SUB_ORDEM=$D9),0),0)),"")</f>
        <v/>
      </c>
      <c r="V9" s="75" t="str">
        <f aca="false">IFERROR(INDEX(SUB_NOME,MATCH(1,INDEX((SUB_CATID=$V$4)*(SUB_ORDEM=$D9),0),0)),"")</f>
        <v/>
      </c>
      <c r="W9" s="75" t="str">
        <f aca="false">IFERROR(INDEX(SUB_NOME,MATCH(1,INDEX((SUB_CATID=$W$4)*(SUB_ORDEM=$D9),0),0)),"")</f>
        <v/>
      </c>
      <c r="X9" s="75" t="str">
        <f aca="false">IFERROR(INDEX(SUB_NOME,MATCH(1,INDEX((SUB_CATID=$X$4)*(SUB_ORDEM=$D9),0),0)),"")</f>
        <v/>
      </c>
      <c r="Y9" s="75" t="str">
        <f aca="false">IFERROR(INDEX(SUB_NOME,MATCH(1,INDEX((SUB_CATID=$Y$4)*(SUB_ORDEM=$D9),0),0)),"")</f>
        <v/>
      </c>
      <c r="Z9" s="75" t="str">
        <f aca="false">IFERROR(INDEX(SUB_NOME,MATCH(1,INDEX((SUB_CATID=$Z$4)*(SUB_ORDEM=$D9),0),0)),"")</f>
        <v/>
      </c>
      <c r="AA9" s="75" t="str">
        <f aca="false">IFERROR(INDEX(SUB_NOME,MATCH(1,INDEX((SUB_CATID=$AA$4)*(SUB_ORDEM=$D9),0),0)),"")</f>
        <v/>
      </c>
      <c r="AB9" s="75" t="str">
        <f aca="false">IFERROR(INDEX(SUB_NOME,MATCH(1,INDEX((SUB_CATID=$AB$4)*(SUB_ORDEM=$D9),0),0)),"")</f>
        <v/>
      </c>
      <c r="AC9" s="75" t="str">
        <f aca="false">IFERROR(INDEX(SUB_NOME,MATCH(1,INDEX((SUB_CATID=$AC$4)*(SUB_ORDEM=$D9),0),0)),"")</f>
        <v/>
      </c>
      <c r="AD9" s="75" t="str">
        <f aca="false">IFERROR(INDEX(SUB_NOME,MATCH(1,INDEX((SUB_CATID=$AD$4)*(SUB_ORDEM=$D9),0),0)),"")</f>
        <v/>
      </c>
    </row>
    <row r="10" customFormat="false" ht="15" hidden="false" customHeight="false" outlineLevel="0" collapsed="false">
      <c r="A10" s="75" t="str">
        <f aca="false">IF(CAD_Contas!$A10="","",CAD_Contas!$A10)</f>
        <v/>
      </c>
      <c r="B10" s="75" t="str">
        <f aca="false">IF(CAD_Contas!$A10="","","CONTA")</f>
        <v/>
      </c>
      <c r="C10" s="75" t="str">
        <f aca="false">IF(CAD_Contas!$A10="","",CAD_Contas!$B10)</f>
        <v/>
      </c>
      <c r="D10" s="76" t="n">
        <v>6</v>
      </c>
      <c r="F10" s="75" t="str">
        <f aca="false">IF(CAD_Contas!$A10="","",CAD_Contas!$B10)</f>
        <v/>
      </c>
      <c r="G10" s="75" t="str">
        <f aca="false">IF(CAD_Cartoes!$A10="","",CAD_Cartoes!$B10)</f>
        <v/>
      </c>
      <c r="H10" s="75" t="str">
        <f aca="false">IF(CAD_Investimentos!$A10="","",CAD_Investimentos!$B10)</f>
        <v/>
      </c>
      <c r="K10" s="75" t="str">
        <f aca="false">IFERROR(INDEX(SUB_NOME,MATCH(1,INDEX((SUB_CATID=$K$4)*(SUB_ORDEM=$D10),0),0)),"")</f>
        <v/>
      </c>
      <c r="L10" s="75" t="str">
        <f aca="false">IFERROR(INDEX(SUB_NOME,MATCH(1,INDEX((SUB_CATID=$L$4)*(SUB_ORDEM=$D10),0),0)),"")</f>
        <v/>
      </c>
      <c r="M10" s="75" t="str">
        <f aca="false">IFERROR(INDEX(SUB_NOME,MATCH(1,INDEX((SUB_CATID=$M$4)*(SUB_ORDEM=$D10),0),0)),"")</f>
        <v>Manutencao do lar</v>
      </c>
      <c r="N10" s="75" t="str">
        <f aca="false">IFERROR(INDEX(SUB_NOME,MATCH(1,INDEX((SUB_CATID=$N$4)*(SUB_ORDEM=$D10),0),0)),"")</f>
        <v/>
      </c>
      <c r="O10" s="75" t="str">
        <f aca="false">IFERROR(INDEX(SUB_NOME,MATCH(1,INDEX((SUB_CATID=$O$4)*(SUB_ORDEM=$D10),0),0)),"")</f>
        <v/>
      </c>
      <c r="P10" s="75" t="str">
        <f aca="false">IFERROR(INDEX(SUB_NOME,MATCH(1,INDEX((SUB_CATID=$P$4)*(SUB_ORDEM=$D10),0),0)),"")</f>
        <v/>
      </c>
      <c r="Q10" s="75" t="str">
        <f aca="false">IFERROR(INDEX(SUB_NOME,MATCH(1,INDEX((SUB_CATID=$Q$4)*(SUB_ORDEM=$D10),0),0)),"")</f>
        <v/>
      </c>
      <c r="R10" s="75" t="str">
        <f aca="false">IFERROR(INDEX(SUB_NOME,MATCH(1,INDEX((SUB_CATID=$R$4)*(SUB_ORDEM=$D10),0),0)),"")</f>
        <v/>
      </c>
      <c r="S10" s="75" t="str">
        <f aca="false">IFERROR(INDEX(SUB_NOME,MATCH(1,INDEX((SUB_CATID=$S$4)*(SUB_ORDEM=$D10),0),0)),"")</f>
        <v/>
      </c>
      <c r="T10" s="75" t="str">
        <f aca="false">IFERROR(INDEX(SUB_NOME,MATCH(1,INDEX((SUB_CATID=$T$4)*(SUB_ORDEM=$D10),0),0)),"")</f>
        <v>Outras receitas</v>
      </c>
      <c r="U10" s="75" t="str">
        <f aca="false">IFERROR(INDEX(SUB_NOME,MATCH(1,INDEX((SUB_CATID=$U$4)*(SUB_ORDEM=$D10),0),0)),"")</f>
        <v/>
      </c>
      <c r="V10" s="75" t="str">
        <f aca="false">IFERROR(INDEX(SUB_NOME,MATCH(1,INDEX((SUB_CATID=$V$4)*(SUB_ORDEM=$D10),0),0)),"")</f>
        <v/>
      </c>
      <c r="W10" s="75" t="str">
        <f aca="false">IFERROR(INDEX(SUB_NOME,MATCH(1,INDEX((SUB_CATID=$W$4)*(SUB_ORDEM=$D10),0),0)),"")</f>
        <v/>
      </c>
      <c r="X10" s="75" t="str">
        <f aca="false">IFERROR(INDEX(SUB_NOME,MATCH(1,INDEX((SUB_CATID=$X$4)*(SUB_ORDEM=$D10),0),0)),"")</f>
        <v/>
      </c>
      <c r="Y10" s="75" t="str">
        <f aca="false">IFERROR(INDEX(SUB_NOME,MATCH(1,INDEX((SUB_CATID=$Y$4)*(SUB_ORDEM=$D10),0),0)),"")</f>
        <v/>
      </c>
      <c r="Z10" s="75" t="str">
        <f aca="false">IFERROR(INDEX(SUB_NOME,MATCH(1,INDEX((SUB_CATID=$Z$4)*(SUB_ORDEM=$D10),0),0)),"")</f>
        <v/>
      </c>
      <c r="AA10" s="75" t="str">
        <f aca="false">IFERROR(INDEX(SUB_NOME,MATCH(1,INDEX((SUB_CATID=$AA$4)*(SUB_ORDEM=$D10),0),0)),"")</f>
        <v/>
      </c>
      <c r="AB10" s="75" t="str">
        <f aca="false">IFERROR(INDEX(SUB_NOME,MATCH(1,INDEX((SUB_CATID=$AB$4)*(SUB_ORDEM=$D10),0),0)),"")</f>
        <v/>
      </c>
      <c r="AC10" s="75" t="str">
        <f aca="false">IFERROR(INDEX(SUB_NOME,MATCH(1,INDEX((SUB_CATID=$AC$4)*(SUB_ORDEM=$D10),0),0)),"")</f>
        <v/>
      </c>
      <c r="AD10" s="75" t="str">
        <f aca="false">IFERROR(INDEX(SUB_NOME,MATCH(1,INDEX((SUB_CATID=$AD$4)*(SUB_ORDEM=$D10),0),0)),"")</f>
        <v/>
      </c>
    </row>
    <row r="11" customFormat="false" ht="15" hidden="false" customHeight="false" outlineLevel="0" collapsed="false">
      <c r="A11" s="75" t="str">
        <f aca="false">IF(CAD_Contas!$A11="","",CAD_Contas!$A11)</f>
        <v/>
      </c>
      <c r="B11" s="75" t="str">
        <f aca="false">IF(CAD_Contas!$A11="","","CONTA")</f>
        <v/>
      </c>
      <c r="C11" s="75" t="str">
        <f aca="false">IF(CAD_Contas!$A11="","",CAD_Contas!$B11)</f>
        <v/>
      </c>
      <c r="D11" s="76" t="n">
        <v>7</v>
      </c>
      <c r="F11" s="75" t="str">
        <f aca="false">IF(CAD_Contas!$A11="","",CAD_Contas!$B11)</f>
        <v/>
      </c>
      <c r="G11" s="75" t="str">
        <f aca="false">IF(CAD_Cartoes!$A11="","",CAD_Cartoes!$B11)</f>
        <v/>
      </c>
      <c r="H11" s="75" t="str">
        <f aca="false">IF(CAD_Investimentos!$A11="","",CAD_Investimentos!$B11)</f>
        <v/>
      </c>
      <c r="K11" s="75" t="str">
        <f aca="false">IFERROR(INDEX(SUB_NOME,MATCH(1,INDEX((SUB_CATID=$K$4)*(SUB_ORDEM=$D11),0),0)),"")</f>
        <v/>
      </c>
      <c r="L11" s="75" t="str">
        <f aca="false">IFERROR(INDEX(SUB_NOME,MATCH(1,INDEX((SUB_CATID=$L$4)*(SUB_ORDEM=$D11),0),0)),"")</f>
        <v/>
      </c>
      <c r="M11" s="75" t="str">
        <f aca="false">IFERROR(INDEX(SUB_NOME,MATCH(1,INDEX((SUB_CATID=$M$4)*(SUB_ORDEM=$D11),0),0)),"")</f>
        <v/>
      </c>
      <c r="N11" s="75" t="str">
        <f aca="false">IFERROR(INDEX(SUB_NOME,MATCH(1,INDEX((SUB_CATID=$N$4)*(SUB_ORDEM=$D11),0),0)),"")</f>
        <v/>
      </c>
      <c r="O11" s="75" t="str">
        <f aca="false">IFERROR(INDEX(SUB_NOME,MATCH(1,INDEX((SUB_CATID=$O$4)*(SUB_ORDEM=$D11),0),0)),"")</f>
        <v/>
      </c>
      <c r="P11" s="75" t="str">
        <f aca="false">IFERROR(INDEX(SUB_NOME,MATCH(1,INDEX((SUB_CATID=$P$4)*(SUB_ORDEM=$D11),0),0)),"")</f>
        <v/>
      </c>
      <c r="Q11" s="75" t="str">
        <f aca="false">IFERROR(INDEX(SUB_NOME,MATCH(1,INDEX((SUB_CATID=$Q$4)*(SUB_ORDEM=$D11),0),0)),"")</f>
        <v/>
      </c>
      <c r="R11" s="75" t="str">
        <f aca="false">IFERROR(INDEX(SUB_NOME,MATCH(1,INDEX((SUB_CATID=$R$4)*(SUB_ORDEM=$D11),0),0)),"")</f>
        <v/>
      </c>
      <c r="S11" s="75" t="str">
        <f aca="false">IFERROR(INDEX(SUB_NOME,MATCH(1,INDEX((SUB_CATID=$S$4)*(SUB_ORDEM=$D11),0),0)),"")</f>
        <v/>
      </c>
      <c r="T11" s="75" t="str">
        <f aca="false">IFERROR(INDEX(SUB_NOME,MATCH(1,INDEX((SUB_CATID=$T$4)*(SUB_ORDEM=$D11),0),0)),"")</f>
        <v/>
      </c>
      <c r="U11" s="75" t="str">
        <f aca="false">IFERROR(INDEX(SUB_NOME,MATCH(1,INDEX((SUB_CATID=$U$4)*(SUB_ORDEM=$D11),0),0)),"")</f>
        <v/>
      </c>
      <c r="V11" s="75" t="str">
        <f aca="false">IFERROR(INDEX(SUB_NOME,MATCH(1,INDEX((SUB_CATID=$V$4)*(SUB_ORDEM=$D11),0),0)),"")</f>
        <v/>
      </c>
      <c r="W11" s="75" t="str">
        <f aca="false">IFERROR(INDEX(SUB_NOME,MATCH(1,INDEX((SUB_CATID=$W$4)*(SUB_ORDEM=$D11),0),0)),"")</f>
        <v/>
      </c>
      <c r="X11" s="75" t="str">
        <f aca="false">IFERROR(INDEX(SUB_NOME,MATCH(1,INDEX((SUB_CATID=$X$4)*(SUB_ORDEM=$D11),0),0)),"")</f>
        <v/>
      </c>
      <c r="Y11" s="75" t="str">
        <f aca="false">IFERROR(INDEX(SUB_NOME,MATCH(1,INDEX((SUB_CATID=$Y$4)*(SUB_ORDEM=$D11),0),0)),"")</f>
        <v/>
      </c>
      <c r="Z11" s="75" t="str">
        <f aca="false">IFERROR(INDEX(SUB_NOME,MATCH(1,INDEX((SUB_CATID=$Z$4)*(SUB_ORDEM=$D11),0),0)),"")</f>
        <v/>
      </c>
      <c r="AA11" s="75" t="str">
        <f aca="false">IFERROR(INDEX(SUB_NOME,MATCH(1,INDEX((SUB_CATID=$AA$4)*(SUB_ORDEM=$D11),0),0)),"")</f>
        <v/>
      </c>
      <c r="AB11" s="75" t="str">
        <f aca="false">IFERROR(INDEX(SUB_NOME,MATCH(1,INDEX((SUB_CATID=$AB$4)*(SUB_ORDEM=$D11),0),0)),"")</f>
        <v/>
      </c>
      <c r="AC11" s="75" t="str">
        <f aca="false">IFERROR(INDEX(SUB_NOME,MATCH(1,INDEX((SUB_CATID=$AC$4)*(SUB_ORDEM=$D11),0),0)),"")</f>
        <v/>
      </c>
      <c r="AD11" s="75" t="str">
        <f aca="false">IFERROR(INDEX(SUB_NOME,MATCH(1,INDEX((SUB_CATID=$AD$4)*(SUB_ORDEM=$D11),0),0)),"")</f>
        <v/>
      </c>
    </row>
    <row r="12" customFormat="false" ht="15" hidden="false" customHeight="false" outlineLevel="0" collapsed="false">
      <c r="A12" s="75" t="str">
        <f aca="false">IF(CAD_Contas!$A12="","",CAD_Contas!$A12)</f>
        <v/>
      </c>
      <c r="B12" s="75" t="str">
        <f aca="false">IF(CAD_Contas!$A12="","","CONTA")</f>
        <v/>
      </c>
      <c r="C12" s="75" t="str">
        <f aca="false">IF(CAD_Contas!$A12="","",CAD_Contas!$B12)</f>
        <v/>
      </c>
      <c r="D12" s="76" t="n">
        <v>8</v>
      </c>
      <c r="F12" s="75" t="str">
        <f aca="false">IF(CAD_Contas!$A12="","",CAD_Contas!$B12)</f>
        <v/>
      </c>
      <c r="G12" s="75" t="str">
        <f aca="false">IF(CAD_Cartoes!$A12="","",CAD_Cartoes!$B12)</f>
        <v/>
      </c>
      <c r="H12" s="75" t="str">
        <f aca="false">IF(CAD_Investimentos!$A12="","",CAD_Investimentos!$B12)</f>
        <v/>
      </c>
      <c r="K12" s="75" t="str">
        <f aca="false">IFERROR(INDEX(SUB_NOME,MATCH(1,INDEX((SUB_CATID=$K$4)*(SUB_ORDEM=$D12),0),0)),"")</f>
        <v/>
      </c>
      <c r="L12" s="75" t="str">
        <f aca="false">IFERROR(INDEX(SUB_NOME,MATCH(1,INDEX((SUB_CATID=$L$4)*(SUB_ORDEM=$D12),0),0)),"")</f>
        <v/>
      </c>
      <c r="M12" s="75" t="str">
        <f aca="false">IFERROR(INDEX(SUB_NOME,MATCH(1,INDEX((SUB_CATID=$M$4)*(SUB_ORDEM=$D12),0),0)),"")</f>
        <v/>
      </c>
      <c r="N12" s="75" t="str">
        <f aca="false">IFERROR(INDEX(SUB_NOME,MATCH(1,INDEX((SUB_CATID=$N$4)*(SUB_ORDEM=$D12),0),0)),"")</f>
        <v/>
      </c>
      <c r="O12" s="75" t="str">
        <f aca="false">IFERROR(INDEX(SUB_NOME,MATCH(1,INDEX((SUB_CATID=$O$4)*(SUB_ORDEM=$D12),0),0)),"")</f>
        <v/>
      </c>
      <c r="P12" s="75" t="str">
        <f aca="false">IFERROR(INDEX(SUB_NOME,MATCH(1,INDEX((SUB_CATID=$P$4)*(SUB_ORDEM=$D12),0),0)),"")</f>
        <v/>
      </c>
      <c r="Q12" s="75" t="str">
        <f aca="false">IFERROR(INDEX(SUB_NOME,MATCH(1,INDEX((SUB_CATID=$Q$4)*(SUB_ORDEM=$D12),0),0)),"")</f>
        <v/>
      </c>
      <c r="R12" s="75" t="str">
        <f aca="false">IFERROR(INDEX(SUB_NOME,MATCH(1,INDEX((SUB_CATID=$R$4)*(SUB_ORDEM=$D12),0),0)),"")</f>
        <v/>
      </c>
      <c r="S12" s="75" t="str">
        <f aca="false">IFERROR(INDEX(SUB_NOME,MATCH(1,INDEX((SUB_CATID=$S$4)*(SUB_ORDEM=$D12),0),0)),"")</f>
        <v/>
      </c>
      <c r="T12" s="75" t="str">
        <f aca="false">IFERROR(INDEX(SUB_NOME,MATCH(1,INDEX((SUB_CATID=$T$4)*(SUB_ORDEM=$D12),0),0)),"")</f>
        <v/>
      </c>
      <c r="U12" s="75" t="str">
        <f aca="false">IFERROR(INDEX(SUB_NOME,MATCH(1,INDEX((SUB_CATID=$U$4)*(SUB_ORDEM=$D12),0),0)),"")</f>
        <v/>
      </c>
      <c r="V12" s="75" t="str">
        <f aca="false">IFERROR(INDEX(SUB_NOME,MATCH(1,INDEX((SUB_CATID=$V$4)*(SUB_ORDEM=$D12),0),0)),"")</f>
        <v/>
      </c>
      <c r="W12" s="75" t="str">
        <f aca="false">IFERROR(INDEX(SUB_NOME,MATCH(1,INDEX((SUB_CATID=$W$4)*(SUB_ORDEM=$D12),0),0)),"")</f>
        <v/>
      </c>
      <c r="X12" s="75" t="str">
        <f aca="false">IFERROR(INDEX(SUB_NOME,MATCH(1,INDEX((SUB_CATID=$X$4)*(SUB_ORDEM=$D12),0),0)),"")</f>
        <v/>
      </c>
      <c r="Y12" s="75" t="str">
        <f aca="false">IFERROR(INDEX(SUB_NOME,MATCH(1,INDEX((SUB_CATID=$Y$4)*(SUB_ORDEM=$D12),0),0)),"")</f>
        <v/>
      </c>
      <c r="Z12" s="75" t="str">
        <f aca="false">IFERROR(INDEX(SUB_NOME,MATCH(1,INDEX((SUB_CATID=$Z$4)*(SUB_ORDEM=$D12),0),0)),"")</f>
        <v/>
      </c>
      <c r="AA12" s="75" t="str">
        <f aca="false">IFERROR(INDEX(SUB_NOME,MATCH(1,INDEX((SUB_CATID=$AA$4)*(SUB_ORDEM=$D12),0),0)),"")</f>
        <v/>
      </c>
      <c r="AB12" s="75" t="str">
        <f aca="false">IFERROR(INDEX(SUB_NOME,MATCH(1,INDEX((SUB_CATID=$AB$4)*(SUB_ORDEM=$D12),0),0)),"")</f>
        <v/>
      </c>
      <c r="AC12" s="75" t="str">
        <f aca="false">IFERROR(INDEX(SUB_NOME,MATCH(1,INDEX((SUB_CATID=$AC$4)*(SUB_ORDEM=$D12),0),0)),"")</f>
        <v/>
      </c>
      <c r="AD12" s="75" t="str">
        <f aca="false">IFERROR(INDEX(SUB_NOME,MATCH(1,INDEX((SUB_CATID=$AD$4)*(SUB_ORDEM=$D12),0),0)),"")</f>
        <v/>
      </c>
    </row>
    <row r="13" customFormat="false" ht="15" hidden="false" customHeight="false" outlineLevel="0" collapsed="false">
      <c r="A13" s="75" t="str">
        <f aca="false">IF(CAD_Contas!$A13="","",CAD_Contas!$A13)</f>
        <v/>
      </c>
      <c r="B13" s="75" t="str">
        <f aca="false">IF(CAD_Contas!$A13="","","CONTA")</f>
        <v/>
      </c>
      <c r="C13" s="75" t="str">
        <f aca="false">IF(CAD_Contas!$A13="","",CAD_Contas!$B13)</f>
        <v/>
      </c>
      <c r="D13" s="76" t="n">
        <v>9</v>
      </c>
      <c r="F13" s="75" t="str">
        <f aca="false">IF(CAD_Contas!$A13="","",CAD_Contas!$B13)</f>
        <v/>
      </c>
      <c r="G13" s="75" t="str">
        <f aca="false">IF(CAD_Cartoes!$A13="","",CAD_Cartoes!$B13)</f>
        <v/>
      </c>
      <c r="H13" s="75" t="str">
        <f aca="false">IF(CAD_Investimentos!$A13="","",CAD_Investimentos!$B13)</f>
        <v/>
      </c>
      <c r="K13" s="75" t="str">
        <f aca="false">IFERROR(INDEX(SUB_NOME,MATCH(1,INDEX((SUB_CATID=$K$4)*(SUB_ORDEM=$D13),0),0)),"")</f>
        <v/>
      </c>
      <c r="L13" s="75" t="str">
        <f aca="false">IFERROR(INDEX(SUB_NOME,MATCH(1,INDEX((SUB_CATID=$L$4)*(SUB_ORDEM=$D13),0),0)),"")</f>
        <v/>
      </c>
      <c r="M13" s="75" t="str">
        <f aca="false">IFERROR(INDEX(SUB_NOME,MATCH(1,INDEX((SUB_CATID=$M$4)*(SUB_ORDEM=$D13),0),0)),"")</f>
        <v/>
      </c>
      <c r="N13" s="75" t="str">
        <f aca="false">IFERROR(INDEX(SUB_NOME,MATCH(1,INDEX((SUB_CATID=$N$4)*(SUB_ORDEM=$D13),0),0)),"")</f>
        <v/>
      </c>
      <c r="O13" s="75" t="str">
        <f aca="false">IFERROR(INDEX(SUB_NOME,MATCH(1,INDEX((SUB_CATID=$O$4)*(SUB_ORDEM=$D13),0),0)),"")</f>
        <v/>
      </c>
      <c r="P13" s="75" t="str">
        <f aca="false">IFERROR(INDEX(SUB_NOME,MATCH(1,INDEX((SUB_CATID=$P$4)*(SUB_ORDEM=$D13),0),0)),"")</f>
        <v/>
      </c>
      <c r="Q13" s="75" t="str">
        <f aca="false">IFERROR(INDEX(SUB_NOME,MATCH(1,INDEX((SUB_CATID=$Q$4)*(SUB_ORDEM=$D13),0),0)),"")</f>
        <v/>
      </c>
      <c r="R13" s="75" t="str">
        <f aca="false">IFERROR(INDEX(SUB_NOME,MATCH(1,INDEX((SUB_CATID=$R$4)*(SUB_ORDEM=$D13),0),0)),"")</f>
        <v/>
      </c>
      <c r="S13" s="75" t="str">
        <f aca="false">IFERROR(INDEX(SUB_NOME,MATCH(1,INDEX((SUB_CATID=$S$4)*(SUB_ORDEM=$D13),0),0)),"")</f>
        <v/>
      </c>
      <c r="T13" s="75" t="str">
        <f aca="false">IFERROR(INDEX(SUB_NOME,MATCH(1,INDEX((SUB_CATID=$T$4)*(SUB_ORDEM=$D13),0),0)),"")</f>
        <v/>
      </c>
      <c r="U13" s="75" t="str">
        <f aca="false">IFERROR(INDEX(SUB_NOME,MATCH(1,INDEX((SUB_CATID=$U$4)*(SUB_ORDEM=$D13),0),0)),"")</f>
        <v/>
      </c>
      <c r="V13" s="75" t="str">
        <f aca="false">IFERROR(INDEX(SUB_NOME,MATCH(1,INDEX((SUB_CATID=$V$4)*(SUB_ORDEM=$D13),0),0)),"")</f>
        <v/>
      </c>
      <c r="W13" s="75" t="str">
        <f aca="false">IFERROR(INDEX(SUB_NOME,MATCH(1,INDEX((SUB_CATID=$W$4)*(SUB_ORDEM=$D13),0),0)),"")</f>
        <v/>
      </c>
      <c r="X13" s="75" t="str">
        <f aca="false">IFERROR(INDEX(SUB_NOME,MATCH(1,INDEX((SUB_CATID=$X$4)*(SUB_ORDEM=$D13),0),0)),"")</f>
        <v/>
      </c>
      <c r="Y13" s="75" t="str">
        <f aca="false">IFERROR(INDEX(SUB_NOME,MATCH(1,INDEX((SUB_CATID=$Y$4)*(SUB_ORDEM=$D13),0),0)),"")</f>
        <v/>
      </c>
      <c r="Z13" s="75" t="str">
        <f aca="false">IFERROR(INDEX(SUB_NOME,MATCH(1,INDEX((SUB_CATID=$Z$4)*(SUB_ORDEM=$D13),0),0)),"")</f>
        <v/>
      </c>
      <c r="AA13" s="75" t="str">
        <f aca="false">IFERROR(INDEX(SUB_NOME,MATCH(1,INDEX((SUB_CATID=$AA$4)*(SUB_ORDEM=$D13),0),0)),"")</f>
        <v/>
      </c>
      <c r="AB13" s="75" t="str">
        <f aca="false">IFERROR(INDEX(SUB_NOME,MATCH(1,INDEX((SUB_CATID=$AB$4)*(SUB_ORDEM=$D13),0),0)),"")</f>
        <v/>
      </c>
      <c r="AC13" s="75" t="str">
        <f aca="false">IFERROR(INDEX(SUB_NOME,MATCH(1,INDEX((SUB_CATID=$AC$4)*(SUB_ORDEM=$D13),0),0)),"")</f>
        <v/>
      </c>
      <c r="AD13" s="75" t="str">
        <f aca="false">IFERROR(INDEX(SUB_NOME,MATCH(1,INDEX((SUB_CATID=$AD$4)*(SUB_ORDEM=$D13),0),0)),"")</f>
        <v/>
      </c>
    </row>
    <row r="14" customFormat="false" ht="15" hidden="false" customHeight="false" outlineLevel="0" collapsed="false">
      <c r="A14" s="75" t="str">
        <f aca="false">IF(CAD_Contas!$A14="","",CAD_Contas!$A14)</f>
        <v/>
      </c>
      <c r="B14" s="75" t="str">
        <f aca="false">IF(CAD_Contas!$A14="","","CONTA")</f>
        <v/>
      </c>
      <c r="C14" s="75" t="str">
        <f aca="false">IF(CAD_Contas!$A14="","",CAD_Contas!$B14)</f>
        <v/>
      </c>
      <c r="D14" s="76" t="n">
        <v>10</v>
      </c>
      <c r="F14" s="75" t="str">
        <f aca="false">IF(CAD_Contas!$A14="","",CAD_Contas!$B14)</f>
        <v/>
      </c>
      <c r="G14" s="75" t="str">
        <f aca="false">IF(CAD_Cartoes!$A14="","",CAD_Cartoes!$B14)</f>
        <v/>
      </c>
      <c r="H14" s="75" t="str">
        <f aca="false">IF(CAD_Investimentos!$A14="","",CAD_Investimentos!$B14)</f>
        <v/>
      </c>
      <c r="K14" s="75" t="str">
        <f aca="false">IFERROR(INDEX(SUB_NOME,MATCH(1,INDEX((SUB_CATID=$K$4)*(SUB_ORDEM=$D14),0),0)),"")</f>
        <v/>
      </c>
      <c r="L14" s="75" t="str">
        <f aca="false">IFERROR(INDEX(SUB_NOME,MATCH(1,INDEX((SUB_CATID=$L$4)*(SUB_ORDEM=$D14),0),0)),"")</f>
        <v/>
      </c>
      <c r="M14" s="75" t="str">
        <f aca="false">IFERROR(INDEX(SUB_NOME,MATCH(1,INDEX((SUB_CATID=$M$4)*(SUB_ORDEM=$D14),0),0)),"")</f>
        <v/>
      </c>
      <c r="N14" s="75" t="str">
        <f aca="false">IFERROR(INDEX(SUB_NOME,MATCH(1,INDEX((SUB_CATID=$N$4)*(SUB_ORDEM=$D14),0),0)),"")</f>
        <v/>
      </c>
      <c r="O14" s="75" t="str">
        <f aca="false">IFERROR(INDEX(SUB_NOME,MATCH(1,INDEX((SUB_CATID=$O$4)*(SUB_ORDEM=$D14),0),0)),"")</f>
        <v/>
      </c>
      <c r="P14" s="75" t="str">
        <f aca="false">IFERROR(INDEX(SUB_NOME,MATCH(1,INDEX((SUB_CATID=$P$4)*(SUB_ORDEM=$D14),0),0)),"")</f>
        <v/>
      </c>
      <c r="Q14" s="75" t="str">
        <f aca="false">IFERROR(INDEX(SUB_NOME,MATCH(1,INDEX((SUB_CATID=$Q$4)*(SUB_ORDEM=$D14),0),0)),"")</f>
        <v/>
      </c>
      <c r="R14" s="75" t="str">
        <f aca="false">IFERROR(INDEX(SUB_NOME,MATCH(1,INDEX((SUB_CATID=$R$4)*(SUB_ORDEM=$D14),0),0)),"")</f>
        <v/>
      </c>
      <c r="S14" s="75" t="str">
        <f aca="false">IFERROR(INDEX(SUB_NOME,MATCH(1,INDEX((SUB_CATID=$S$4)*(SUB_ORDEM=$D14),0),0)),"")</f>
        <v/>
      </c>
      <c r="T14" s="75" t="str">
        <f aca="false">IFERROR(INDEX(SUB_NOME,MATCH(1,INDEX((SUB_CATID=$T$4)*(SUB_ORDEM=$D14),0),0)),"")</f>
        <v/>
      </c>
      <c r="U14" s="75" t="str">
        <f aca="false">IFERROR(INDEX(SUB_NOME,MATCH(1,INDEX((SUB_CATID=$U$4)*(SUB_ORDEM=$D14),0),0)),"")</f>
        <v/>
      </c>
      <c r="V14" s="75" t="str">
        <f aca="false">IFERROR(INDEX(SUB_NOME,MATCH(1,INDEX((SUB_CATID=$V$4)*(SUB_ORDEM=$D14),0),0)),"")</f>
        <v/>
      </c>
      <c r="W14" s="75" t="str">
        <f aca="false">IFERROR(INDEX(SUB_NOME,MATCH(1,INDEX((SUB_CATID=$W$4)*(SUB_ORDEM=$D14),0),0)),"")</f>
        <v/>
      </c>
      <c r="X14" s="75" t="str">
        <f aca="false">IFERROR(INDEX(SUB_NOME,MATCH(1,INDEX((SUB_CATID=$X$4)*(SUB_ORDEM=$D14),0),0)),"")</f>
        <v/>
      </c>
      <c r="Y14" s="75" t="str">
        <f aca="false">IFERROR(INDEX(SUB_NOME,MATCH(1,INDEX((SUB_CATID=$Y$4)*(SUB_ORDEM=$D14),0),0)),"")</f>
        <v/>
      </c>
      <c r="Z14" s="75" t="str">
        <f aca="false">IFERROR(INDEX(SUB_NOME,MATCH(1,INDEX((SUB_CATID=$Z$4)*(SUB_ORDEM=$D14),0),0)),"")</f>
        <v/>
      </c>
      <c r="AA14" s="75" t="str">
        <f aca="false">IFERROR(INDEX(SUB_NOME,MATCH(1,INDEX((SUB_CATID=$AA$4)*(SUB_ORDEM=$D14),0),0)),"")</f>
        <v/>
      </c>
      <c r="AB14" s="75" t="str">
        <f aca="false">IFERROR(INDEX(SUB_NOME,MATCH(1,INDEX((SUB_CATID=$AB$4)*(SUB_ORDEM=$D14),0),0)),"")</f>
        <v/>
      </c>
      <c r="AC14" s="75" t="str">
        <f aca="false">IFERROR(INDEX(SUB_NOME,MATCH(1,INDEX((SUB_CATID=$AC$4)*(SUB_ORDEM=$D14),0),0)),"")</f>
        <v/>
      </c>
      <c r="AD14" s="75" t="str">
        <f aca="false">IFERROR(INDEX(SUB_NOME,MATCH(1,INDEX((SUB_CATID=$AD$4)*(SUB_ORDEM=$D14),0),0)),"")</f>
        <v/>
      </c>
    </row>
    <row r="15" customFormat="false" ht="15" hidden="false" customHeight="false" outlineLevel="0" collapsed="false">
      <c r="A15" s="75" t="str">
        <f aca="false">IF(CAD_Contas!$A15="","",CAD_Contas!$A15)</f>
        <v/>
      </c>
      <c r="B15" s="75" t="str">
        <f aca="false">IF(CAD_Contas!$A15="","","CONTA")</f>
        <v/>
      </c>
      <c r="C15" s="75" t="str">
        <f aca="false">IF(CAD_Contas!$A15="","",CAD_Contas!$B15)</f>
        <v/>
      </c>
      <c r="D15" s="76" t="n">
        <v>11</v>
      </c>
      <c r="F15" s="75" t="str">
        <f aca="false">IF(CAD_Contas!$A15="","",CAD_Contas!$B15)</f>
        <v/>
      </c>
      <c r="G15" s="75" t="str">
        <f aca="false">IF(CAD_Cartoes!$A15="","",CAD_Cartoes!$B15)</f>
        <v/>
      </c>
      <c r="H15" s="75" t="str">
        <f aca="false">IF(CAD_Investimentos!$A15="","",CAD_Investimentos!$B15)</f>
        <v/>
      </c>
      <c r="K15" s="75" t="str">
        <f aca="false">IFERROR(INDEX(SUB_NOME,MATCH(1,INDEX((SUB_CATID=$K$4)*(SUB_ORDEM=$D15),0),0)),"")</f>
        <v/>
      </c>
      <c r="L15" s="75" t="str">
        <f aca="false">IFERROR(INDEX(SUB_NOME,MATCH(1,INDEX((SUB_CATID=$L$4)*(SUB_ORDEM=$D15),0),0)),"")</f>
        <v/>
      </c>
      <c r="M15" s="75" t="str">
        <f aca="false">IFERROR(INDEX(SUB_NOME,MATCH(1,INDEX((SUB_CATID=$M$4)*(SUB_ORDEM=$D15),0),0)),"")</f>
        <v/>
      </c>
      <c r="N15" s="75" t="str">
        <f aca="false">IFERROR(INDEX(SUB_NOME,MATCH(1,INDEX((SUB_CATID=$N$4)*(SUB_ORDEM=$D15),0),0)),"")</f>
        <v/>
      </c>
      <c r="O15" s="75" t="str">
        <f aca="false">IFERROR(INDEX(SUB_NOME,MATCH(1,INDEX((SUB_CATID=$O$4)*(SUB_ORDEM=$D15),0),0)),"")</f>
        <v/>
      </c>
      <c r="P15" s="75" t="str">
        <f aca="false">IFERROR(INDEX(SUB_NOME,MATCH(1,INDEX((SUB_CATID=$P$4)*(SUB_ORDEM=$D15),0),0)),"")</f>
        <v/>
      </c>
      <c r="Q15" s="75" t="str">
        <f aca="false">IFERROR(INDEX(SUB_NOME,MATCH(1,INDEX((SUB_CATID=$Q$4)*(SUB_ORDEM=$D15),0),0)),"")</f>
        <v/>
      </c>
      <c r="R15" s="75" t="str">
        <f aca="false">IFERROR(INDEX(SUB_NOME,MATCH(1,INDEX((SUB_CATID=$R$4)*(SUB_ORDEM=$D15),0),0)),"")</f>
        <v/>
      </c>
      <c r="S15" s="75" t="str">
        <f aca="false">IFERROR(INDEX(SUB_NOME,MATCH(1,INDEX((SUB_CATID=$S$4)*(SUB_ORDEM=$D15),0),0)),"")</f>
        <v/>
      </c>
      <c r="T15" s="75" t="str">
        <f aca="false">IFERROR(INDEX(SUB_NOME,MATCH(1,INDEX((SUB_CATID=$T$4)*(SUB_ORDEM=$D15),0),0)),"")</f>
        <v/>
      </c>
      <c r="U15" s="75" t="str">
        <f aca="false">IFERROR(INDEX(SUB_NOME,MATCH(1,INDEX((SUB_CATID=$U$4)*(SUB_ORDEM=$D15),0),0)),"")</f>
        <v/>
      </c>
      <c r="V15" s="75" t="str">
        <f aca="false">IFERROR(INDEX(SUB_NOME,MATCH(1,INDEX((SUB_CATID=$V$4)*(SUB_ORDEM=$D15),0),0)),"")</f>
        <v/>
      </c>
      <c r="W15" s="75" t="str">
        <f aca="false">IFERROR(INDEX(SUB_NOME,MATCH(1,INDEX((SUB_CATID=$W$4)*(SUB_ORDEM=$D15),0),0)),"")</f>
        <v/>
      </c>
      <c r="X15" s="75" t="str">
        <f aca="false">IFERROR(INDEX(SUB_NOME,MATCH(1,INDEX((SUB_CATID=$X$4)*(SUB_ORDEM=$D15),0),0)),"")</f>
        <v/>
      </c>
      <c r="Y15" s="75" t="str">
        <f aca="false">IFERROR(INDEX(SUB_NOME,MATCH(1,INDEX((SUB_CATID=$Y$4)*(SUB_ORDEM=$D15),0),0)),"")</f>
        <v/>
      </c>
      <c r="Z15" s="75" t="str">
        <f aca="false">IFERROR(INDEX(SUB_NOME,MATCH(1,INDEX((SUB_CATID=$Z$4)*(SUB_ORDEM=$D15),0),0)),"")</f>
        <v/>
      </c>
      <c r="AA15" s="75" t="str">
        <f aca="false">IFERROR(INDEX(SUB_NOME,MATCH(1,INDEX((SUB_CATID=$AA$4)*(SUB_ORDEM=$D15),0),0)),"")</f>
        <v/>
      </c>
      <c r="AB15" s="75" t="str">
        <f aca="false">IFERROR(INDEX(SUB_NOME,MATCH(1,INDEX((SUB_CATID=$AB$4)*(SUB_ORDEM=$D15),0),0)),"")</f>
        <v/>
      </c>
      <c r="AC15" s="75" t="str">
        <f aca="false">IFERROR(INDEX(SUB_NOME,MATCH(1,INDEX((SUB_CATID=$AC$4)*(SUB_ORDEM=$D15),0),0)),"")</f>
        <v/>
      </c>
      <c r="AD15" s="75" t="str">
        <f aca="false">IFERROR(INDEX(SUB_NOME,MATCH(1,INDEX((SUB_CATID=$AD$4)*(SUB_ORDEM=$D15),0),0)),"")</f>
        <v/>
      </c>
    </row>
    <row r="16" customFormat="false" ht="15" hidden="false" customHeight="false" outlineLevel="0" collapsed="false">
      <c r="A16" s="75" t="str">
        <f aca="false">IF(CAD_Contas!$A16="","",CAD_Contas!$A16)</f>
        <v/>
      </c>
      <c r="B16" s="75" t="str">
        <f aca="false">IF(CAD_Contas!$A16="","","CONTA")</f>
        <v/>
      </c>
      <c r="C16" s="75" t="str">
        <f aca="false">IF(CAD_Contas!$A16="","",CAD_Contas!$B16)</f>
        <v/>
      </c>
      <c r="D16" s="76" t="n">
        <v>12</v>
      </c>
      <c r="F16" s="75" t="str">
        <f aca="false">IF(CAD_Contas!$A16="","",CAD_Contas!$B16)</f>
        <v/>
      </c>
      <c r="G16" s="75" t="str">
        <f aca="false">IF(CAD_Cartoes!$A16="","",CAD_Cartoes!$B16)</f>
        <v/>
      </c>
      <c r="H16" s="75" t="str">
        <f aca="false">IF(CAD_Investimentos!$A16="","",CAD_Investimentos!$B16)</f>
        <v/>
      </c>
      <c r="K16" s="75" t="str">
        <f aca="false">IFERROR(INDEX(SUB_NOME,MATCH(1,INDEX((SUB_CATID=$K$4)*(SUB_ORDEM=$D16),0),0)),"")</f>
        <v/>
      </c>
      <c r="L16" s="75" t="str">
        <f aca="false">IFERROR(INDEX(SUB_NOME,MATCH(1,INDEX((SUB_CATID=$L$4)*(SUB_ORDEM=$D16),0),0)),"")</f>
        <v/>
      </c>
      <c r="M16" s="75" t="str">
        <f aca="false">IFERROR(INDEX(SUB_NOME,MATCH(1,INDEX((SUB_CATID=$M$4)*(SUB_ORDEM=$D16),0),0)),"")</f>
        <v/>
      </c>
      <c r="N16" s="75" t="str">
        <f aca="false">IFERROR(INDEX(SUB_NOME,MATCH(1,INDEX((SUB_CATID=$N$4)*(SUB_ORDEM=$D16),0),0)),"")</f>
        <v/>
      </c>
      <c r="O16" s="75" t="str">
        <f aca="false">IFERROR(INDEX(SUB_NOME,MATCH(1,INDEX((SUB_CATID=$O$4)*(SUB_ORDEM=$D16),0),0)),"")</f>
        <v/>
      </c>
      <c r="P16" s="75" t="str">
        <f aca="false">IFERROR(INDEX(SUB_NOME,MATCH(1,INDEX((SUB_CATID=$P$4)*(SUB_ORDEM=$D16),0),0)),"")</f>
        <v/>
      </c>
      <c r="Q16" s="75" t="str">
        <f aca="false">IFERROR(INDEX(SUB_NOME,MATCH(1,INDEX((SUB_CATID=$Q$4)*(SUB_ORDEM=$D16),0),0)),"")</f>
        <v/>
      </c>
      <c r="R16" s="75" t="str">
        <f aca="false">IFERROR(INDEX(SUB_NOME,MATCH(1,INDEX((SUB_CATID=$R$4)*(SUB_ORDEM=$D16),0),0)),"")</f>
        <v/>
      </c>
      <c r="S16" s="75" t="str">
        <f aca="false">IFERROR(INDEX(SUB_NOME,MATCH(1,INDEX((SUB_CATID=$S$4)*(SUB_ORDEM=$D16),0),0)),"")</f>
        <v/>
      </c>
      <c r="T16" s="75" t="str">
        <f aca="false">IFERROR(INDEX(SUB_NOME,MATCH(1,INDEX((SUB_CATID=$T$4)*(SUB_ORDEM=$D16),0),0)),"")</f>
        <v/>
      </c>
      <c r="U16" s="75" t="str">
        <f aca="false">IFERROR(INDEX(SUB_NOME,MATCH(1,INDEX((SUB_CATID=$U$4)*(SUB_ORDEM=$D16),0),0)),"")</f>
        <v/>
      </c>
      <c r="V16" s="75" t="str">
        <f aca="false">IFERROR(INDEX(SUB_NOME,MATCH(1,INDEX((SUB_CATID=$V$4)*(SUB_ORDEM=$D16),0),0)),"")</f>
        <v/>
      </c>
      <c r="W16" s="75" t="str">
        <f aca="false">IFERROR(INDEX(SUB_NOME,MATCH(1,INDEX((SUB_CATID=$W$4)*(SUB_ORDEM=$D16),0),0)),"")</f>
        <v/>
      </c>
      <c r="X16" s="75" t="str">
        <f aca="false">IFERROR(INDEX(SUB_NOME,MATCH(1,INDEX((SUB_CATID=$X$4)*(SUB_ORDEM=$D16),0),0)),"")</f>
        <v/>
      </c>
      <c r="Y16" s="75" t="str">
        <f aca="false">IFERROR(INDEX(SUB_NOME,MATCH(1,INDEX((SUB_CATID=$Y$4)*(SUB_ORDEM=$D16),0),0)),"")</f>
        <v/>
      </c>
      <c r="Z16" s="75" t="str">
        <f aca="false">IFERROR(INDEX(SUB_NOME,MATCH(1,INDEX((SUB_CATID=$Z$4)*(SUB_ORDEM=$D16),0),0)),"")</f>
        <v/>
      </c>
      <c r="AA16" s="75" t="str">
        <f aca="false">IFERROR(INDEX(SUB_NOME,MATCH(1,INDEX((SUB_CATID=$AA$4)*(SUB_ORDEM=$D16),0),0)),"")</f>
        <v/>
      </c>
      <c r="AB16" s="75" t="str">
        <f aca="false">IFERROR(INDEX(SUB_NOME,MATCH(1,INDEX((SUB_CATID=$AB$4)*(SUB_ORDEM=$D16),0),0)),"")</f>
        <v/>
      </c>
      <c r="AC16" s="75" t="str">
        <f aca="false">IFERROR(INDEX(SUB_NOME,MATCH(1,INDEX((SUB_CATID=$AC$4)*(SUB_ORDEM=$D16),0),0)),"")</f>
        <v/>
      </c>
      <c r="AD16" s="75" t="str">
        <f aca="false">IFERROR(INDEX(SUB_NOME,MATCH(1,INDEX((SUB_CATID=$AD$4)*(SUB_ORDEM=$D16),0),0)),"")</f>
        <v/>
      </c>
    </row>
    <row r="17" customFormat="false" ht="15" hidden="false" customHeight="false" outlineLevel="0" collapsed="false">
      <c r="A17" s="75" t="str">
        <f aca="false">IF(CAD_Contas!$A17="","",CAD_Contas!$A17)</f>
        <v/>
      </c>
      <c r="B17" s="75" t="str">
        <f aca="false">IF(CAD_Contas!$A17="","","CONTA")</f>
        <v/>
      </c>
      <c r="C17" s="75" t="str">
        <f aca="false">IF(CAD_Contas!$A17="","",CAD_Contas!$B17)</f>
        <v/>
      </c>
      <c r="D17" s="76" t="n">
        <v>13</v>
      </c>
      <c r="F17" s="75" t="str">
        <f aca="false">IF(CAD_Contas!$A17="","",CAD_Contas!$B17)</f>
        <v/>
      </c>
      <c r="G17" s="75" t="str">
        <f aca="false">IF(CAD_Cartoes!$A17="","",CAD_Cartoes!$B17)</f>
        <v/>
      </c>
      <c r="H17" s="75" t="str">
        <f aca="false">IF(CAD_Investimentos!$A17="","",CAD_Investimentos!$B17)</f>
        <v/>
      </c>
      <c r="K17" s="75" t="str">
        <f aca="false">IFERROR(INDEX(SUB_NOME,MATCH(1,INDEX((SUB_CATID=$K$4)*(SUB_ORDEM=$D17),0),0)),"")</f>
        <v/>
      </c>
      <c r="L17" s="75" t="str">
        <f aca="false">IFERROR(INDEX(SUB_NOME,MATCH(1,INDEX((SUB_CATID=$L$4)*(SUB_ORDEM=$D17),0),0)),"")</f>
        <v/>
      </c>
      <c r="M17" s="75" t="str">
        <f aca="false">IFERROR(INDEX(SUB_NOME,MATCH(1,INDEX((SUB_CATID=$M$4)*(SUB_ORDEM=$D17),0),0)),"")</f>
        <v/>
      </c>
      <c r="N17" s="75" t="str">
        <f aca="false">IFERROR(INDEX(SUB_NOME,MATCH(1,INDEX((SUB_CATID=$N$4)*(SUB_ORDEM=$D17),0),0)),"")</f>
        <v/>
      </c>
      <c r="O17" s="75" t="str">
        <f aca="false">IFERROR(INDEX(SUB_NOME,MATCH(1,INDEX((SUB_CATID=$O$4)*(SUB_ORDEM=$D17),0),0)),"")</f>
        <v/>
      </c>
      <c r="P17" s="75" t="str">
        <f aca="false">IFERROR(INDEX(SUB_NOME,MATCH(1,INDEX((SUB_CATID=$P$4)*(SUB_ORDEM=$D17),0),0)),"")</f>
        <v/>
      </c>
      <c r="Q17" s="75" t="str">
        <f aca="false">IFERROR(INDEX(SUB_NOME,MATCH(1,INDEX((SUB_CATID=$Q$4)*(SUB_ORDEM=$D17),0),0)),"")</f>
        <v/>
      </c>
      <c r="R17" s="75" t="str">
        <f aca="false">IFERROR(INDEX(SUB_NOME,MATCH(1,INDEX((SUB_CATID=$R$4)*(SUB_ORDEM=$D17),0),0)),"")</f>
        <v/>
      </c>
      <c r="S17" s="75" t="str">
        <f aca="false">IFERROR(INDEX(SUB_NOME,MATCH(1,INDEX((SUB_CATID=$S$4)*(SUB_ORDEM=$D17),0),0)),"")</f>
        <v/>
      </c>
      <c r="T17" s="75" t="str">
        <f aca="false">IFERROR(INDEX(SUB_NOME,MATCH(1,INDEX((SUB_CATID=$T$4)*(SUB_ORDEM=$D17),0),0)),"")</f>
        <v/>
      </c>
      <c r="U17" s="75" t="str">
        <f aca="false">IFERROR(INDEX(SUB_NOME,MATCH(1,INDEX((SUB_CATID=$U$4)*(SUB_ORDEM=$D17),0),0)),"")</f>
        <v/>
      </c>
      <c r="V17" s="75" t="str">
        <f aca="false">IFERROR(INDEX(SUB_NOME,MATCH(1,INDEX((SUB_CATID=$V$4)*(SUB_ORDEM=$D17),0),0)),"")</f>
        <v/>
      </c>
      <c r="W17" s="75" t="str">
        <f aca="false">IFERROR(INDEX(SUB_NOME,MATCH(1,INDEX((SUB_CATID=$W$4)*(SUB_ORDEM=$D17),0),0)),"")</f>
        <v/>
      </c>
      <c r="X17" s="75" t="str">
        <f aca="false">IFERROR(INDEX(SUB_NOME,MATCH(1,INDEX((SUB_CATID=$X$4)*(SUB_ORDEM=$D17),0),0)),"")</f>
        <v/>
      </c>
      <c r="Y17" s="75" t="str">
        <f aca="false">IFERROR(INDEX(SUB_NOME,MATCH(1,INDEX((SUB_CATID=$Y$4)*(SUB_ORDEM=$D17),0),0)),"")</f>
        <v/>
      </c>
      <c r="Z17" s="75" t="str">
        <f aca="false">IFERROR(INDEX(SUB_NOME,MATCH(1,INDEX((SUB_CATID=$Z$4)*(SUB_ORDEM=$D17),0),0)),"")</f>
        <v/>
      </c>
      <c r="AA17" s="75" t="str">
        <f aca="false">IFERROR(INDEX(SUB_NOME,MATCH(1,INDEX((SUB_CATID=$AA$4)*(SUB_ORDEM=$D17),0),0)),"")</f>
        <v/>
      </c>
      <c r="AB17" s="75" t="str">
        <f aca="false">IFERROR(INDEX(SUB_NOME,MATCH(1,INDEX((SUB_CATID=$AB$4)*(SUB_ORDEM=$D17),0),0)),"")</f>
        <v/>
      </c>
      <c r="AC17" s="75" t="str">
        <f aca="false">IFERROR(INDEX(SUB_NOME,MATCH(1,INDEX((SUB_CATID=$AC$4)*(SUB_ORDEM=$D17),0),0)),"")</f>
        <v/>
      </c>
      <c r="AD17" s="75" t="str">
        <f aca="false">IFERROR(INDEX(SUB_NOME,MATCH(1,INDEX((SUB_CATID=$AD$4)*(SUB_ORDEM=$D17),0),0)),"")</f>
        <v/>
      </c>
    </row>
    <row r="18" customFormat="false" ht="15" hidden="false" customHeight="false" outlineLevel="0" collapsed="false">
      <c r="A18" s="75" t="str">
        <f aca="false">IF(CAD_Contas!$A18="","",CAD_Contas!$A18)</f>
        <v/>
      </c>
      <c r="B18" s="75" t="str">
        <f aca="false">IF(CAD_Contas!$A18="","","CONTA")</f>
        <v/>
      </c>
      <c r="C18" s="75" t="str">
        <f aca="false">IF(CAD_Contas!$A18="","",CAD_Contas!$B18)</f>
        <v/>
      </c>
      <c r="D18" s="76" t="n">
        <v>14</v>
      </c>
      <c r="F18" s="75" t="str">
        <f aca="false">IF(CAD_Contas!$A18="","",CAD_Contas!$B18)</f>
        <v/>
      </c>
      <c r="G18" s="75" t="str">
        <f aca="false">IF(CAD_Cartoes!$A18="","",CAD_Cartoes!$B18)</f>
        <v/>
      </c>
      <c r="H18" s="75" t="str">
        <f aca="false">IF(CAD_Investimentos!$A18="","",CAD_Investimentos!$B18)</f>
        <v/>
      </c>
      <c r="K18" s="75" t="str">
        <f aca="false">IFERROR(INDEX(SUB_NOME,MATCH(1,INDEX((SUB_CATID=$K$4)*(SUB_ORDEM=$D18),0),0)),"")</f>
        <v/>
      </c>
      <c r="L18" s="75" t="str">
        <f aca="false">IFERROR(INDEX(SUB_NOME,MATCH(1,INDEX((SUB_CATID=$L$4)*(SUB_ORDEM=$D18),0),0)),"")</f>
        <v/>
      </c>
      <c r="M18" s="75" t="str">
        <f aca="false">IFERROR(INDEX(SUB_NOME,MATCH(1,INDEX((SUB_CATID=$M$4)*(SUB_ORDEM=$D18),0),0)),"")</f>
        <v/>
      </c>
      <c r="N18" s="75" t="str">
        <f aca="false">IFERROR(INDEX(SUB_NOME,MATCH(1,INDEX((SUB_CATID=$N$4)*(SUB_ORDEM=$D18),0),0)),"")</f>
        <v/>
      </c>
      <c r="O18" s="75" t="str">
        <f aca="false">IFERROR(INDEX(SUB_NOME,MATCH(1,INDEX((SUB_CATID=$O$4)*(SUB_ORDEM=$D18),0),0)),"")</f>
        <v/>
      </c>
      <c r="P18" s="75" t="str">
        <f aca="false">IFERROR(INDEX(SUB_NOME,MATCH(1,INDEX((SUB_CATID=$P$4)*(SUB_ORDEM=$D18),0),0)),"")</f>
        <v/>
      </c>
      <c r="Q18" s="75" t="str">
        <f aca="false">IFERROR(INDEX(SUB_NOME,MATCH(1,INDEX((SUB_CATID=$Q$4)*(SUB_ORDEM=$D18),0),0)),"")</f>
        <v/>
      </c>
      <c r="R18" s="75" t="str">
        <f aca="false">IFERROR(INDEX(SUB_NOME,MATCH(1,INDEX((SUB_CATID=$R$4)*(SUB_ORDEM=$D18),0),0)),"")</f>
        <v/>
      </c>
      <c r="S18" s="75" t="str">
        <f aca="false">IFERROR(INDEX(SUB_NOME,MATCH(1,INDEX((SUB_CATID=$S$4)*(SUB_ORDEM=$D18),0),0)),"")</f>
        <v/>
      </c>
      <c r="T18" s="75" t="str">
        <f aca="false">IFERROR(INDEX(SUB_NOME,MATCH(1,INDEX((SUB_CATID=$T$4)*(SUB_ORDEM=$D18),0),0)),"")</f>
        <v/>
      </c>
      <c r="U18" s="75" t="str">
        <f aca="false">IFERROR(INDEX(SUB_NOME,MATCH(1,INDEX((SUB_CATID=$U$4)*(SUB_ORDEM=$D18),0),0)),"")</f>
        <v/>
      </c>
      <c r="V18" s="75" t="str">
        <f aca="false">IFERROR(INDEX(SUB_NOME,MATCH(1,INDEX((SUB_CATID=$V$4)*(SUB_ORDEM=$D18),0),0)),"")</f>
        <v/>
      </c>
      <c r="W18" s="75" t="str">
        <f aca="false">IFERROR(INDEX(SUB_NOME,MATCH(1,INDEX((SUB_CATID=$W$4)*(SUB_ORDEM=$D18),0),0)),"")</f>
        <v/>
      </c>
      <c r="X18" s="75" t="str">
        <f aca="false">IFERROR(INDEX(SUB_NOME,MATCH(1,INDEX((SUB_CATID=$X$4)*(SUB_ORDEM=$D18),0),0)),"")</f>
        <v/>
      </c>
      <c r="Y18" s="75" t="str">
        <f aca="false">IFERROR(INDEX(SUB_NOME,MATCH(1,INDEX((SUB_CATID=$Y$4)*(SUB_ORDEM=$D18),0),0)),"")</f>
        <v/>
      </c>
      <c r="Z18" s="75" t="str">
        <f aca="false">IFERROR(INDEX(SUB_NOME,MATCH(1,INDEX((SUB_CATID=$Z$4)*(SUB_ORDEM=$D18),0),0)),"")</f>
        <v/>
      </c>
      <c r="AA18" s="75" t="str">
        <f aca="false">IFERROR(INDEX(SUB_NOME,MATCH(1,INDEX((SUB_CATID=$AA$4)*(SUB_ORDEM=$D18),0),0)),"")</f>
        <v/>
      </c>
      <c r="AB18" s="75" t="str">
        <f aca="false">IFERROR(INDEX(SUB_NOME,MATCH(1,INDEX((SUB_CATID=$AB$4)*(SUB_ORDEM=$D18),0),0)),"")</f>
        <v/>
      </c>
      <c r="AC18" s="75" t="str">
        <f aca="false">IFERROR(INDEX(SUB_NOME,MATCH(1,INDEX((SUB_CATID=$AC$4)*(SUB_ORDEM=$D18),0),0)),"")</f>
        <v/>
      </c>
      <c r="AD18" s="75" t="str">
        <f aca="false">IFERROR(INDEX(SUB_NOME,MATCH(1,INDEX((SUB_CATID=$AD$4)*(SUB_ORDEM=$D18),0),0)),"")</f>
        <v/>
      </c>
    </row>
    <row r="19" customFormat="false" ht="15" hidden="false" customHeight="false" outlineLevel="0" collapsed="false">
      <c r="A19" s="75" t="str">
        <f aca="false">IF(CAD_Contas!$A19="","",CAD_Contas!$A19)</f>
        <v/>
      </c>
      <c r="B19" s="75" t="str">
        <f aca="false">IF(CAD_Contas!$A19="","","CONTA")</f>
        <v/>
      </c>
      <c r="C19" s="75" t="str">
        <f aca="false">IF(CAD_Contas!$A19="","",CAD_Contas!$B19)</f>
        <v/>
      </c>
      <c r="D19" s="76" t="n">
        <v>15</v>
      </c>
      <c r="F19" s="75" t="str">
        <f aca="false">IF(CAD_Contas!$A19="","",CAD_Contas!$B19)</f>
        <v/>
      </c>
      <c r="G19" s="75" t="str">
        <f aca="false">IF(CAD_Cartoes!$A19="","",CAD_Cartoes!$B19)</f>
        <v/>
      </c>
      <c r="H19" s="75" t="str">
        <f aca="false">IF(CAD_Investimentos!$A19="","",CAD_Investimentos!$B19)</f>
        <v/>
      </c>
      <c r="K19" s="75" t="str">
        <f aca="false">IFERROR(INDEX(SUB_NOME,MATCH(1,INDEX((SUB_CATID=$K$4)*(SUB_ORDEM=$D19),0),0)),"")</f>
        <v/>
      </c>
      <c r="L19" s="75" t="str">
        <f aca="false">IFERROR(INDEX(SUB_NOME,MATCH(1,INDEX((SUB_CATID=$L$4)*(SUB_ORDEM=$D19),0),0)),"")</f>
        <v/>
      </c>
      <c r="M19" s="75" t="str">
        <f aca="false">IFERROR(INDEX(SUB_NOME,MATCH(1,INDEX((SUB_CATID=$M$4)*(SUB_ORDEM=$D19),0),0)),"")</f>
        <v/>
      </c>
      <c r="N19" s="75" t="str">
        <f aca="false">IFERROR(INDEX(SUB_NOME,MATCH(1,INDEX((SUB_CATID=$N$4)*(SUB_ORDEM=$D19),0),0)),"")</f>
        <v/>
      </c>
      <c r="O19" s="75" t="str">
        <f aca="false">IFERROR(INDEX(SUB_NOME,MATCH(1,INDEX((SUB_CATID=$O$4)*(SUB_ORDEM=$D19),0),0)),"")</f>
        <v/>
      </c>
      <c r="P19" s="75" t="str">
        <f aca="false">IFERROR(INDEX(SUB_NOME,MATCH(1,INDEX((SUB_CATID=$P$4)*(SUB_ORDEM=$D19),0),0)),"")</f>
        <v/>
      </c>
      <c r="Q19" s="75" t="str">
        <f aca="false">IFERROR(INDEX(SUB_NOME,MATCH(1,INDEX((SUB_CATID=$Q$4)*(SUB_ORDEM=$D19),0),0)),"")</f>
        <v/>
      </c>
      <c r="R19" s="75" t="str">
        <f aca="false">IFERROR(INDEX(SUB_NOME,MATCH(1,INDEX((SUB_CATID=$R$4)*(SUB_ORDEM=$D19),0),0)),"")</f>
        <v/>
      </c>
      <c r="S19" s="75" t="str">
        <f aca="false">IFERROR(INDEX(SUB_NOME,MATCH(1,INDEX((SUB_CATID=$S$4)*(SUB_ORDEM=$D19),0),0)),"")</f>
        <v/>
      </c>
      <c r="T19" s="75" t="str">
        <f aca="false">IFERROR(INDEX(SUB_NOME,MATCH(1,INDEX((SUB_CATID=$T$4)*(SUB_ORDEM=$D19),0),0)),"")</f>
        <v/>
      </c>
      <c r="U19" s="75" t="str">
        <f aca="false">IFERROR(INDEX(SUB_NOME,MATCH(1,INDEX((SUB_CATID=$U$4)*(SUB_ORDEM=$D19),0),0)),"")</f>
        <v/>
      </c>
      <c r="V19" s="75" t="str">
        <f aca="false">IFERROR(INDEX(SUB_NOME,MATCH(1,INDEX((SUB_CATID=$V$4)*(SUB_ORDEM=$D19),0),0)),"")</f>
        <v/>
      </c>
      <c r="W19" s="75" t="str">
        <f aca="false">IFERROR(INDEX(SUB_NOME,MATCH(1,INDEX((SUB_CATID=$W$4)*(SUB_ORDEM=$D19),0),0)),"")</f>
        <v/>
      </c>
      <c r="X19" s="75" t="str">
        <f aca="false">IFERROR(INDEX(SUB_NOME,MATCH(1,INDEX((SUB_CATID=$X$4)*(SUB_ORDEM=$D19),0),0)),"")</f>
        <v/>
      </c>
      <c r="Y19" s="75" t="str">
        <f aca="false">IFERROR(INDEX(SUB_NOME,MATCH(1,INDEX((SUB_CATID=$Y$4)*(SUB_ORDEM=$D19),0),0)),"")</f>
        <v/>
      </c>
      <c r="Z19" s="75" t="str">
        <f aca="false">IFERROR(INDEX(SUB_NOME,MATCH(1,INDEX((SUB_CATID=$Z$4)*(SUB_ORDEM=$D19),0),0)),"")</f>
        <v/>
      </c>
      <c r="AA19" s="75" t="str">
        <f aca="false">IFERROR(INDEX(SUB_NOME,MATCH(1,INDEX((SUB_CATID=$AA$4)*(SUB_ORDEM=$D19),0),0)),"")</f>
        <v/>
      </c>
      <c r="AB19" s="75" t="str">
        <f aca="false">IFERROR(INDEX(SUB_NOME,MATCH(1,INDEX((SUB_CATID=$AB$4)*(SUB_ORDEM=$D19),0),0)),"")</f>
        <v/>
      </c>
      <c r="AC19" s="75" t="str">
        <f aca="false">IFERROR(INDEX(SUB_NOME,MATCH(1,INDEX((SUB_CATID=$AC$4)*(SUB_ORDEM=$D19),0),0)),"")</f>
        <v/>
      </c>
      <c r="AD19" s="75" t="str">
        <f aca="false">IFERROR(INDEX(SUB_NOME,MATCH(1,INDEX((SUB_CATID=$AD$4)*(SUB_ORDEM=$D19),0),0)),"")</f>
        <v/>
      </c>
    </row>
    <row r="20" customFormat="false" ht="15" hidden="false" customHeight="false" outlineLevel="0" collapsed="false">
      <c r="A20" s="75" t="str">
        <f aca="false">IF(CAD_Contas!$A20="","",CAD_Contas!$A20)</f>
        <v/>
      </c>
      <c r="B20" s="75" t="str">
        <f aca="false">IF(CAD_Contas!$A20="","","CONTA")</f>
        <v/>
      </c>
      <c r="C20" s="75" t="str">
        <f aca="false">IF(CAD_Contas!$A20="","",CAD_Contas!$B20)</f>
        <v/>
      </c>
      <c r="D20" s="76" t="n">
        <v>16</v>
      </c>
      <c r="F20" s="75" t="str">
        <f aca="false">IF(CAD_Contas!$A20="","",CAD_Contas!$B20)</f>
        <v/>
      </c>
      <c r="G20" s="75" t="str">
        <f aca="false">IF(CAD_Cartoes!$A20="","",CAD_Cartoes!$B20)</f>
        <v/>
      </c>
      <c r="H20" s="75" t="str">
        <f aca="false">IF(CAD_Investimentos!$A20="","",CAD_Investimentos!$B20)</f>
        <v/>
      </c>
      <c r="K20" s="75" t="str">
        <f aca="false">IFERROR(INDEX(SUB_NOME,MATCH(1,INDEX((SUB_CATID=$K$4)*(SUB_ORDEM=$D20),0),0)),"")</f>
        <v/>
      </c>
      <c r="L20" s="75" t="str">
        <f aca="false">IFERROR(INDEX(SUB_NOME,MATCH(1,INDEX((SUB_CATID=$L$4)*(SUB_ORDEM=$D20),0),0)),"")</f>
        <v/>
      </c>
      <c r="M20" s="75" t="str">
        <f aca="false">IFERROR(INDEX(SUB_NOME,MATCH(1,INDEX((SUB_CATID=$M$4)*(SUB_ORDEM=$D20),0),0)),"")</f>
        <v/>
      </c>
      <c r="N20" s="75" t="str">
        <f aca="false">IFERROR(INDEX(SUB_NOME,MATCH(1,INDEX((SUB_CATID=$N$4)*(SUB_ORDEM=$D20),0),0)),"")</f>
        <v/>
      </c>
      <c r="O20" s="75" t="str">
        <f aca="false">IFERROR(INDEX(SUB_NOME,MATCH(1,INDEX((SUB_CATID=$O$4)*(SUB_ORDEM=$D20),0),0)),"")</f>
        <v/>
      </c>
      <c r="P20" s="75" t="str">
        <f aca="false">IFERROR(INDEX(SUB_NOME,MATCH(1,INDEX((SUB_CATID=$P$4)*(SUB_ORDEM=$D20),0),0)),"")</f>
        <v/>
      </c>
      <c r="Q20" s="75" t="str">
        <f aca="false">IFERROR(INDEX(SUB_NOME,MATCH(1,INDEX((SUB_CATID=$Q$4)*(SUB_ORDEM=$D20),0),0)),"")</f>
        <v/>
      </c>
      <c r="R20" s="75" t="str">
        <f aca="false">IFERROR(INDEX(SUB_NOME,MATCH(1,INDEX((SUB_CATID=$R$4)*(SUB_ORDEM=$D20),0),0)),"")</f>
        <v/>
      </c>
      <c r="S20" s="75" t="str">
        <f aca="false">IFERROR(INDEX(SUB_NOME,MATCH(1,INDEX((SUB_CATID=$S$4)*(SUB_ORDEM=$D20),0),0)),"")</f>
        <v/>
      </c>
      <c r="T20" s="75" t="str">
        <f aca="false">IFERROR(INDEX(SUB_NOME,MATCH(1,INDEX((SUB_CATID=$T$4)*(SUB_ORDEM=$D20),0),0)),"")</f>
        <v/>
      </c>
      <c r="U20" s="75" t="str">
        <f aca="false">IFERROR(INDEX(SUB_NOME,MATCH(1,INDEX((SUB_CATID=$U$4)*(SUB_ORDEM=$D20),0),0)),"")</f>
        <v/>
      </c>
      <c r="V20" s="75" t="str">
        <f aca="false">IFERROR(INDEX(SUB_NOME,MATCH(1,INDEX((SUB_CATID=$V$4)*(SUB_ORDEM=$D20),0),0)),"")</f>
        <v/>
      </c>
      <c r="W20" s="75" t="str">
        <f aca="false">IFERROR(INDEX(SUB_NOME,MATCH(1,INDEX((SUB_CATID=$W$4)*(SUB_ORDEM=$D20),0),0)),"")</f>
        <v/>
      </c>
      <c r="X20" s="75" t="str">
        <f aca="false">IFERROR(INDEX(SUB_NOME,MATCH(1,INDEX((SUB_CATID=$X$4)*(SUB_ORDEM=$D20),0),0)),"")</f>
        <v/>
      </c>
      <c r="Y20" s="75" t="str">
        <f aca="false">IFERROR(INDEX(SUB_NOME,MATCH(1,INDEX((SUB_CATID=$Y$4)*(SUB_ORDEM=$D20),0),0)),"")</f>
        <v/>
      </c>
      <c r="Z20" s="75" t="str">
        <f aca="false">IFERROR(INDEX(SUB_NOME,MATCH(1,INDEX((SUB_CATID=$Z$4)*(SUB_ORDEM=$D20),0),0)),"")</f>
        <v/>
      </c>
      <c r="AA20" s="75" t="str">
        <f aca="false">IFERROR(INDEX(SUB_NOME,MATCH(1,INDEX((SUB_CATID=$AA$4)*(SUB_ORDEM=$D20),0),0)),"")</f>
        <v/>
      </c>
      <c r="AB20" s="75" t="str">
        <f aca="false">IFERROR(INDEX(SUB_NOME,MATCH(1,INDEX((SUB_CATID=$AB$4)*(SUB_ORDEM=$D20),0),0)),"")</f>
        <v/>
      </c>
      <c r="AC20" s="75" t="str">
        <f aca="false">IFERROR(INDEX(SUB_NOME,MATCH(1,INDEX((SUB_CATID=$AC$4)*(SUB_ORDEM=$D20),0),0)),"")</f>
        <v/>
      </c>
      <c r="AD20" s="75" t="str">
        <f aca="false">IFERROR(INDEX(SUB_NOME,MATCH(1,INDEX((SUB_CATID=$AD$4)*(SUB_ORDEM=$D20),0),0)),"")</f>
        <v/>
      </c>
    </row>
    <row r="21" customFormat="false" ht="15" hidden="false" customHeight="false" outlineLevel="0" collapsed="false">
      <c r="A21" s="75" t="str">
        <f aca="false">IF(CAD_Contas!$A21="","",CAD_Contas!$A21)</f>
        <v/>
      </c>
      <c r="B21" s="75" t="str">
        <f aca="false">IF(CAD_Contas!$A21="","","CONTA")</f>
        <v/>
      </c>
      <c r="C21" s="75" t="str">
        <f aca="false">IF(CAD_Contas!$A21="","",CAD_Contas!$B21)</f>
        <v/>
      </c>
      <c r="D21" s="76" t="n">
        <v>17</v>
      </c>
      <c r="F21" s="75" t="str">
        <f aca="false">IF(CAD_Contas!$A21="","",CAD_Contas!$B21)</f>
        <v/>
      </c>
      <c r="G21" s="75" t="str">
        <f aca="false">IF(CAD_Cartoes!$A21="","",CAD_Cartoes!$B21)</f>
        <v/>
      </c>
      <c r="H21" s="75" t="str">
        <f aca="false">IF(CAD_Investimentos!$A21="","",CAD_Investimentos!$B21)</f>
        <v/>
      </c>
      <c r="K21" s="75" t="str">
        <f aca="false">IFERROR(INDEX(SUB_NOME,MATCH(1,INDEX((SUB_CATID=$K$4)*(SUB_ORDEM=$D21),0),0)),"")</f>
        <v/>
      </c>
      <c r="L21" s="75" t="str">
        <f aca="false">IFERROR(INDEX(SUB_NOME,MATCH(1,INDEX((SUB_CATID=$L$4)*(SUB_ORDEM=$D21),0),0)),"")</f>
        <v/>
      </c>
      <c r="M21" s="75" t="str">
        <f aca="false">IFERROR(INDEX(SUB_NOME,MATCH(1,INDEX((SUB_CATID=$M$4)*(SUB_ORDEM=$D21),0),0)),"")</f>
        <v/>
      </c>
      <c r="N21" s="75" t="str">
        <f aca="false">IFERROR(INDEX(SUB_NOME,MATCH(1,INDEX((SUB_CATID=$N$4)*(SUB_ORDEM=$D21),0),0)),"")</f>
        <v/>
      </c>
      <c r="O21" s="75" t="str">
        <f aca="false">IFERROR(INDEX(SUB_NOME,MATCH(1,INDEX((SUB_CATID=$O$4)*(SUB_ORDEM=$D21),0),0)),"")</f>
        <v/>
      </c>
      <c r="P21" s="75" t="str">
        <f aca="false">IFERROR(INDEX(SUB_NOME,MATCH(1,INDEX((SUB_CATID=$P$4)*(SUB_ORDEM=$D21),0),0)),"")</f>
        <v/>
      </c>
      <c r="Q21" s="75" t="str">
        <f aca="false">IFERROR(INDEX(SUB_NOME,MATCH(1,INDEX((SUB_CATID=$Q$4)*(SUB_ORDEM=$D21),0),0)),"")</f>
        <v/>
      </c>
      <c r="R21" s="75" t="str">
        <f aca="false">IFERROR(INDEX(SUB_NOME,MATCH(1,INDEX((SUB_CATID=$R$4)*(SUB_ORDEM=$D21),0),0)),"")</f>
        <v/>
      </c>
      <c r="S21" s="75" t="str">
        <f aca="false">IFERROR(INDEX(SUB_NOME,MATCH(1,INDEX((SUB_CATID=$S$4)*(SUB_ORDEM=$D21),0),0)),"")</f>
        <v/>
      </c>
      <c r="T21" s="75" t="str">
        <f aca="false">IFERROR(INDEX(SUB_NOME,MATCH(1,INDEX((SUB_CATID=$T$4)*(SUB_ORDEM=$D21),0),0)),"")</f>
        <v/>
      </c>
      <c r="U21" s="75" t="str">
        <f aca="false">IFERROR(INDEX(SUB_NOME,MATCH(1,INDEX((SUB_CATID=$U$4)*(SUB_ORDEM=$D21),0),0)),"")</f>
        <v/>
      </c>
      <c r="V21" s="75" t="str">
        <f aca="false">IFERROR(INDEX(SUB_NOME,MATCH(1,INDEX((SUB_CATID=$V$4)*(SUB_ORDEM=$D21),0),0)),"")</f>
        <v/>
      </c>
      <c r="W21" s="75" t="str">
        <f aca="false">IFERROR(INDEX(SUB_NOME,MATCH(1,INDEX((SUB_CATID=$W$4)*(SUB_ORDEM=$D21),0),0)),"")</f>
        <v/>
      </c>
      <c r="X21" s="75" t="str">
        <f aca="false">IFERROR(INDEX(SUB_NOME,MATCH(1,INDEX((SUB_CATID=$X$4)*(SUB_ORDEM=$D21),0),0)),"")</f>
        <v/>
      </c>
      <c r="Y21" s="75" t="str">
        <f aca="false">IFERROR(INDEX(SUB_NOME,MATCH(1,INDEX((SUB_CATID=$Y$4)*(SUB_ORDEM=$D21),0),0)),"")</f>
        <v/>
      </c>
      <c r="Z21" s="75" t="str">
        <f aca="false">IFERROR(INDEX(SUB_NOME,MATCH(1,INDEX((SUB_CATID=$Z$4)*(SUB_ORDEM=$D21),0),0)),"")</f>
        <v/>
      </c>
      <c r="AA21" s="75" t="str">
        <f aca="false">IFERROR(INDEX(SUB_NOME,MATCH(1,INDEX((SUB_CATID=$AA$4)*(SUB_ORDEM=$D21),0),0)),"")</f>
        <v/>
      </c>
      <c r="AB21" s="75" t="str">
        <f aca="false">IFERROR(INDEX(SUB_NOME,MATCH(1,INDEX((SUB_CATID=$AB$4)*(SUB_ORDEM=$D21),0),0)),"")</f>
        <v/>
      </c>
      <c r="AC21" s="75" t="str">
        <f aca="false">IFERROR(INDEX(SUB_NOME,MATCH(1,INDEX((SUB_CATID=$AC$4)*(SUB_ORDEM=$D21),0),0)),"")</f>
        <v/>
      </c>
      <c r="AD21" s="75" t="str">
        <f aca="false">IFERROR(INDEX(SUB_NOME,MATCH(1,INDEX((SUB_CATID=$AD$4)*(SUB_ORDEM=$D21),0),0)),"")</f>
        <v/>
      </c>
    </row>
    <row r="22" customFormat="false" ht="15" hidden="false" customHeight="false" outlineLevel="0" collapsed="false">
      <c r="A22" s="75" t="str">
        <f aca="false">IF(CAD_Contas!$A22="","",CAD_Contas!$A22)</f>
        <v/>
      </c>
      <c r="B22" s="75" t="str">
        <f aca="false">IF(CAD_Contas!$A22="","","CONTA")</f>
        <v/>
      </c>
      <c r="C22" s="75" t="str">
        <f aca="false">IF(CAD_Contas!$A22="","",CAD_Contas!$B22)</f>
        <v/>
      </c>
      <c r="D22" s="76" t="n">
        <v>18</v>
      </c>
      <c r="F22" s="75" t="str">
        <f aca="false">IF(CAD_Contas!$A22="","",CAD_Contas!$B22)</f>
        <v/>
      </c>
      <c r="G22" s="75" t="str">
        <f aca="false">IF(CAD_Cartoes!$A22="","",CAD_Cartoes!$B22)</f>
        <v/>
      </c>
      <c r="H22" s="75" t="str">
        <f aca="false">IF(CAD_Investimentos!$A22="","",CAD_Investimentos!$B22)</f>
        <v/>
      </c>
      <c r="K22" s="75" t="str">
        <f aca="false">IFERROR(INDEX(SUB_NOME,MATCH(1,INDEX((SUB_CATID=$K$4)*(SUB_ORDEM=$D22),0),0)),"")</f>
        <v/>
      </c>
      <c r="L22" s="75" t="str">
        <f aca="false">IFERROR(INDEX(SUB_NOME,MATCH(1,INDEX((SUB_CATID=$L$4)*(SUB_ORDEM=$D22),0),0)),"")</f>
        <v/>
      </c>
      <c r="M22" s="75" t="str">
        <f aca="false">IFERROR(INDEX(SUB_NOME,MATCH(1,INDEX((SUB_CATID=$M$4)*(SUB_ORDEM=$D22),0),0)),"")</f>
        <v/>
      </c>
      <c r="N22" s="75" t="str">
        <f aca="false">IFERROR(INDEX(SUB_NOME,MATCH(1,INDEX((SUB_CATID=$N$4)*(SUB_ORDEM=$D22),0),0)),"")</f>
        <v/>
      </c>
      <c r="O22" s="75" t="str">
        <f aca="false">IFERROR(INDEX(SUB_NOME,MATCH(1,INDEX((SUB_CATID=$O$4)*(SUB_ORDEM=$D22),0),0)),"")</f>
        <v/>
      </c>
      <c r="P22" s="75" t="str">
        <f aca="false">IFERROR(INDEX(SUB_NOME,MATCH(1,INDEX((SUB_CATID=$P$4)*(SUB_ORDEM=$D22),0),0)),"")</f>
        <v/>
      </c>
      <c r="Q22" s="75" t="str">
        <f aca="false">IFERROR(INDEX(SUB_NOME,MATCH(1,INDEX((SUB_CATID=$Q$4)*(SUB_ORDEM=$D22),0),0)),"")</f>
        <v/>
      </c>
      <c r="R22" s="75" t="str">
        <f aca="false">IFERROR(INDEX(SUB_NOME,MATCH(1,INDEX((SUB_CATID=$R$4)*(SUB_ORDEM=$D22),0),0)),"")</f>
        <v/>
      </c>
      <c r="S22" s="75" t="str">
        <f aca="false">IFERROR(INDEX(SUB_NOME,MATCH(1,INDEX((SUB_CATID=$S$4)*(SUB_ORDEM=$D22),0),0)),"")</f>
        <v/>
      </c>
      <c r="T22" s="75" t="str">
        <f aca="false">IFERROR(INDEX(SUB_NOME,MATCH(1,INDEX((SUB_CATID=$T$4)*(SUB_ORDEM=$D22),0),0)),"")</f>
        <v/>
      </c>
      <c r="U22" s="75" t="str">
        <f aca="false">IFERROR(INDEX(SUB_NOME,MATCH(1,INDEX((SUB_CATID=$U$4)*(SUB_ORDEM=$D22),0),0)),"")</f>
        <v/>
      </c>
      <c r="V22" s="75" t="str">
        <f aca="false">IFERROR(INDEX(SUB_NOME,MATCH(1,INDEX((SUB_CATID=$V$4)*(SUB_ORDEM=$D22),0),0)),"")</f>
        <v/>
      </c>
      <c r="W22" s="75" t="str">
        <f aca="false">IFERROR(INDEX(SUB_NOME,MATCH(1,INDEX((SUB_CATID=$W$4)*(SUB_ORDEM=$D22),0),0)),"")</f>
        <v/>
      </c>
      <c r="X22" s="75" t="str">
        <f aca="false">IFERROR(INDEX(SUB_NOME,MATCH(1,INDEX((SUB_CATID=$X$4)*(SUB_ORDEM=$D22),0),0)),"")</f>
        <v/>
      </c>
      <c r="Y22" s="75" t="str">
        <f aca="false">IFERROR(INDEX(SUB_NOME,MATCH(1,INDEX((SUB_CATID=$Y$4)*(SUB_ORDEM=$D22),0),0)),"")</f>
        <v/>
      </c>
      <c r="Z22" s="75" t="str">
        <f aca="false">IFERROR(INDEX(SUB_NOME,MATCH(1,INDEX((SUB_CATID=$Z$4)*(SUB_ORDEM=$D22),0),0)),"")</f>
        <v/>
      </c>
      <c r="AA22" s="75" t="str">
        <f aca="false">IFERROR(INDEX(SUB_NOME,MATCH(1,INDEX((SUB_CATID=$AA$4)*(SUB_ORDEM=$D22),0),0)),"")</f>
        <v/>
      </c>
      <c r="AB22" s="75" t="str">
        <f aca="false">IFERROR(INDEX(SUB_NOME,MATCH(1,INDEX((SUB_CATID=$AB$4)*(SUB_ORDEM=$D22),0),0)),"")</f>
        <v/>
      </c>
      <c r="AC22" s="75" t="str">
        <f aca="false">IFERROR(INDEX(SUB_NOME,MATCH(1,INDEX((SUB_CATID=$AC$4)*(SUB_ORDEM=$D22),0),0)),"")</f>
        <v/>
      </c>
      <c r="AD22" s="75" t="str">
        <f aca="false">IFERROR(INDEX(SUB_NOME,MATCH(1,INDEX((SUB_CATID=$AD$4)*(SUB_ORDEM=$D22),0),0)),"")</f>
        <v/>
      </c>
    </row>
    <row r="23" customFormat="false" ht="15" hidden="false" customHeight="false" outlineLevel="0" collapsed="false">
      <c r="A23" s="75" t="str">
        <f aca="false">IF(CAD_Contas!$A23="","",CAD_Contas!$A23)</f>
        <v/>
      </c>
      <c r="B23" s="75" t="str">
        <f aca="false">IF(CAD_Contas!$A23="","","CONTA")</f>
        <v/>
      </c>
      <c r="C23" s="75" t="str">
        <f aca="false">IF(CAD_Contas!$A23="","",CAD_Contas!$B23)</f>
        <v/>
      </c>
      <c r="D23" s="76" t="n">
        <v>19</v>
      </c>
      <c r="F23" s="75" t="str">
        <f aca="false">IF(CAD_Contas!$A23="","",CAD_Contas!$B23)</f>
        <v/>
      </c>
      <c r="G23" s="75" t="str">
        <f aca="false">IF(CAD_Cartoes!$A23="","",CAD_Cartoes!$B23)</f>
        <v/>
      </c>
      <c r="H23" s="75" t="str">
        <f aca="false">IF(CAD_Investimentos!$A23="","",CAD_Investimentos!$B23)</f>
        <v/>
      </c>
      <c r="K23" s="75" t="str">
        <f aca="false">IFERROR(INDEX(SUB_NOME,MATCH(1,INDEX((SUB_CATID=$K$4)*(SUB_ORDEM=$D23),0),0)),"")</f>
        <v/>
      </c>
      <c r="L23" s="75" t="str">
        <f aca="false">IFERROR(INDEX(SUB_NOME,MATCH(1,INDEX((SUB_CATID=$L$4)*(SUB_ORDEM=$D23),0),0)),"")</f>
        <v/>
      </c>
      <c r="M23" s="75" t="str">
        <f aca="false">IFERROR(INDEX(SUB_NOME,MATCH(1,INDEX((SUB_CATID=$M$4)*(SUB_ORDEM=$D23),0),0)),"")</f>
        <v/>
      </c>
      <c r="N23" s="75" t="str">
        <f aca="false">IFERROR(INDEX(SUB_NOME,MATCH(1,INDEX((SUB_CATID=$N$4)*(SUB_ORDEM=$D23),0),0)),"")</f>
        <v/>
      </c>
      <c r="O23" s="75" t="str">
        <f aca="false">IFERROR(INDEX(SUB_NOME,MATCH(1,INDEX((SUB_CATID=$O$4)*(SUB_ORDEM=$D23),0),0)),"")</f>
        <v/>
      </c>
      <c r="P23" s="75" t="str">
        <f aca="false">IFERROR(INDEX(SUB_NOME,MATCH(1,INDEX((SUB_CATID=$P$4)*(SUB_ORDEM=$D23),0),0)),"")</f>
        <v/>
      </c>
      <c r="Q23" s="75" t="str">
        <f aca="false">IFERROR(INDEX(SUB_NOME,MATCH(1,INDEX((SUB_CATID=$Q$4)*(SUB_ORDEM=$D23),0),0)),"")</f>
        <v/>
      </c>
      <c r="R23" s="75" t="str">
        <f aca="false">IFERROR(INDEX(SUB_NOME,MATCH(1,INDEX((SUB_CATID=$R$4)*(SUB_ORDEM=$D23),0),0)),"")</f>
        <v/>
      </c>
      <c r="S23" s="75" t="str">
        <f aca="false">IFERROR(INDEX(SUB_NOME,MATCH(1,INDEX((SUB_CATID=$S$4)*(SUB_ORDEM=$D23),0),0)),"")</f>
        <v/>
      </c>
      <c r="T23" s="75" t="str">
        <f aca="false">IFERROR(INDEX(SUB_NOME,MATCH(1,INDEX((SUB_CATID=$T$4)*(SUB_ORDEM=$D23),0),0)),"")</f>
        <v/>
      </c>
      <c r="U23" s="75" t="str">
        <f aca="false">IFERROR(INDEX(SUB_NOME,MATCH(1,INDEX((SUB_CATID=$U$4)*(SUB_ORDEM=$D23),0),0)),"")</f>
        <v/>
      </c>
      <c r="V23" s="75" t="str">
        <f aca="false">IFERROR(INDEX(SUB_NOME,MATCH(1,INDEX((SUB_CATID=$V$4)*(SUB_ORDEM=$D23),0),0)),"")</f>
        <v/>
      </c>
      <c r="W23" s="75" t="str">
        <f aca="false">IFERROR(INDEX(SUB_NOME,MATCH(1,INDEX((SUB_CATID=$W$4)*(SUB_ORDEM=$D23),0),0)),"")</f>
        <v/>
      </c>
      <c r="X23" s="75" t="str">
        <f aca="false">IFERROR(INDEX(SUB_NOME,MATCH(1,INDEX((SUB_CATID=$X$4)*(SUB_ORDEM=$D23),0),0)),"")</f>
        <v/>
      </c>
      <c r="Y23" s="75" t="str">
        <f aca="false">IFERROR(INDEX(SUB_NOME,MATCH(1,INDEX((SUB_CATID=$Y$4)*(SUB_ORDEM=$D23),0),0)),"")</f>
        <v/>
      </c>
      <c r="Z23" s="75" t="str">
        <f aca="false">IFERROR(INDEX(SUB_NOME,MATCH(1,INDEX((SUB_CATID=$Z$4)*(SUB_ORDEM=$D23),0),0)),"")</f>
        <v/>
      </c>
      <c r="AA23" s="75" t="str">
        <f aca="false">IFERROR(INDEX(SUB_NOME,MATCH(1,INDEX((SUB_CATID=$AA$4)*(SUB_ORDEM=$D23),0),0)),"")</f>
        <v/>
      </c>
      <c r="AB23" s="75" t="str">
        <f aca="false">IFERROR(INDEX(SUB_NOME,MATCH(1,INDEX((SUB_CATID=$AB$4)*(SUB_ORDEM=$D23),0),0)),"")</f>
        <v/>
      </c>
      <c r="AC23" s="75" t="str">
        <f aca="false">IFERROR(INDEX(SUB_NOME,MATCH(1,INDEX((SUB_CATID=$AC$4)*(SUB_ORDEM=$D23),0),0)),"")</f>
        <v/>
      </c>
      <c r="AD23" s="75" t="str">
        <f aca="false">IFERROR(INDEX(SUB_NOME,MATCH(1,INDEX((SUB_CATID=$AD$4)*(SUB_ORDEM=$D23),0),0)),"")</f>
        <v/>
      </c>
    </row>
    <row r="24" customFormat="false" ht="15" hidden="false" customHeight="false" outlineLevel="0" collapsed="false">
      <c r="A24" s="75" t="str">
        <f aca="false">IF(CAD_Contas!$A24="","",CAD_Contas!$A24)</f>
        <v/>
      </c>
      <c r="B24" s="75" t="str">
        <f aca="false">IF(CAD_Contas!$A24="","","CONTA")</f>
        <v/>
      </c>
      <c r="C24" s="75" t="str">
        <f aca="false">IF(CAD_Contas!$A24="","",CAD_Contas!$B24)</f>
        <v/>
      </c>
      <c r="D24" s="76" t="n">
        <v>20</v>
      </c>
      <c r="F24" s="75" t="str">
        <f aca="false">IF(CAD_Contas!$A24="","",CAD_Contas!$B24)</f>
        <v/>
      </c>
      <c r="G24" s="75" t="str">
        <f aca="false">IF(CAD_Cartoes!$A24="","",CAD_Cartoes!$B24)</f>
        <v/>
      </c>
      <c r="H24" s="75" t="str">
        <f aca="false">IF(CAD_Investimentos!$A24="","",CAD_Investimentos!$B24)</f>
        <v/>
      </c>
      <c r="K24" s="75" t="str">
        <f aca="false">IFERROR(INDEX(SUB_NOME,MATCH(1,INDEX((SUB_CATID=$K$4)*(SUB_ORDEM=$D24),0),0)),"")</f>
        <v/>
      </c>
      <c r="L24" s="75" t="str">
        <f aca="false">IFERROR(INDEX(SUB_NOME,MATCH(1,INDEX((SUB_CATID=$L$4)*(SUB_ORDEM=$D24),0),0)),"")</f>
        <v/>
      </c>
      <c r="M24" s="75" t="str">
        <f aca="false">IFERROR(INDEX(SUB_NOME,MATCH(1,INDEX((SUB_CATID=$M$4)*(SUB_ORDEM=$D24),0),0)),"")</f>
        <v/>
      </c>
      <c r="N24" s="75" t="str">
        <f aca="false">IFERROR(INDEX(SUB_NOME,MATCH(1,INDEX((SUB_CATID=$N$4)*(SUB_ORDEM=$D24),0),0)),"")</f>
        <v/>
      </c>
      <c r="O24" s="75" t="str">
        <f aca="false">IFERROR(INDEX(SUB_NOME,MATCH(1,INDEX((SUB_CATID=$O$4)*(SUB_ORDEM=$D24),0),0)),"")</f>
        <v/>
      </c>
      <c r="P24" s="75" t="str">
        <f aca="false">IFERROR(INDEX(SUB_NOME,MATCH(1,INDEX((SUB_CATID=$P$4)*(SUB_ORDEM=$D24),0),0)),"")</f>
        <v/>
      </c>
      <c r="Q24" s="75" t="str">
        <f aca="false">IFERROR(INDEX(SUB_NOME,MATCH(1,INDEX((SUB_CATID=$Q$4)*(SUB_ORDEM=$D24),0),0)),"")</f>
        <v/>
      </c>
      <c r="R24" s="75" t="str">
        <f aca="false">IFERROR(INDEX(SUB_NOME,MATCH(1,INDEX((SUB_CATID=$R$4)*(SUB_ORDEM=$D24),0),0)),"")</f>
        <v/>
      </c>
      <c r="S24" s="75" t="str">
        <f aca="false">IFERROR(INDEX(SUB_NOME,MATCH(1,INDEX((SUB_CATID=$S$4)*(SUB_ORDEM=$D24),0),0)),"")</f>
        <v/>
      </c>
      <c r="T24" s="75" t="str">
        <f aca="false">IFERROR(INDEX(SUB_NOME,MATCH(1,INDEX((SUB_CATID=$T$4)*(SUB_ORDEM=$D24),0),0)),"")</f>
        <v/>
      </c>
      <c r="U24" s="75" t="str">
        <f aca="false">IFERROR(INDEX(SUB_NOME,MATCH(1,INDEX((SUB_CATID=$U$4)*(SUB_ORDEM=$D24),0),0)),"")</f>
        <v/>
      </c>
      <c r="V24" s="75" t="str">
        <f aca="false">IFERROR(INDEX(SUB_NOME,MATCH(1,INDEX((SUB_CATID=$V$4)*(SUB_ORDEM=$D24),0),0)),"")</f>
        <v/>
      </c>
      <c r="W24" s="75" t="str">
        <f aca="false">IFERROR(INDEX(SUB_NOME,MATCH(1,INDEX((SUB_CATID=$W$4)*(SUB_ORDEM=$D24),0),0)),"")</f>
        <v/>
      </c>
      <c r="X24" s="75" t="str">
        <f aca="false">IFERROR(INDEX(SUB_NOME,MATCH(1,INDEX((SUB_CATID=$X$4)*(SUB_ORDEM=$D24),0),0)),"")</f>
        <v/>
      </c>
      <c r="Y24" s="75" t="str">
        <f aca="false">IFERROR(INDEX(SUB_NOME,MATCH(1,INDEX((SUB_CATID=$Y$4)*(SUB_ORDEM=$D24),0),0)),"")</f>
        <v/>
      </c>
      <c r="Z24" s="75" t="str">
        <f aca="false">IFERROR(INDEX(SUB_NOME,MATCH(1,INDEX((SUB_CATID=$Z$4)*(SUB_ORDEM=$D24),0),0)),"")</f>
        <v/>
      </c>
      <c r="AA24" s="75" t="str">
        <f aca="false">IFERROR(INDEX(SUB_NOME,MATCH(1,INDEX((SUB_CATID=$AA$4)*(SUB_ORDEM=$D24),0),0)),"")</f>
        <v/>
      </c>
      <c r="AB24" s="75" t="str">
        <f aca="false">IFERROR(INDEX(SUB_NOME,MATCH(1,INDEX((SUB_CATID=$AB$4)*(SUB_ORDEM=$D24),0),0)),"")</f>
        <v/>
      </c>
      <c r="AC24" s="75" t="str">
        <f aca="false">IFERROR(INDEX(SUB_NOME,MATCH(1,INDEX((SUB_CATID=$AC$4)*(SUB_ORDEM=$D24),0),0)),"")</f>
        <v/>
      </c>
      <c r="AD24" s="75" t="str">
        <f aca="false">IFERROR(INDEX(SUB_NOME,MATCH(1,INDEX((SUB_CATID=$AD$4)*(SUB_ORDEM=$D24),0),0)),"")</f>
        <v/>
      </c>
    </row>
    <row r="25" customFormat="false" ht="15" hidden="false" customHeight="false" outlineLevel="0" collapsed="false">
      <c r="A25" s="75" t="str">
        <f aca="false">IF(CAD_Contas!$A25="","",CAD_Contas!$A25)</f>
        <v/>
      </c>
      <c r="B25" s="75" t="str">
        <f aca="false">IF(CAD_Contas!$A25="","","CONTA")</f>
        <v/>
      </c>
      <c r="C25" s="75" t="str">
        <f aca="false">IF(CAD_Contas!$A25="","",CAD_Contas!$B25)</f>
        <v/>
      </c>
      <c r="D25" s="76" t="n">
        <v>21</v>
      </c>
      <c r="F25" s="75" t="str">
        <f aca="false">IF(CAD_Contas!$A25="","",CAD_Contas!$B25)</f>
        <v/>
      </c>
      <c r="G25" s="75" t="str">
        <f aca="false">IF(CAD_Cartoes!$A25="","",CAD_Cartoes!$B25)</f>
        <v/>
      </c>
      <c r="H25" s="75" t="str">
        <f aca="false">IF(CAD_Investimentos!$A25="","",CAD_Investimentos!$B25)</f>
        <v/>
      </c>
      <c r="K25" s="75" t="str">
        <f aca="false">IFERROR(INDEX(SUB_NOME,MATCH(1,INDEX((SUB_CATID=$K$4)*(SUB_ORDEM=$D25),0),0)),"")</f>
        <v/>
      </c>
      <c r="L25" s="75" t="str">
        <f aca="false">IFERROR(INDEX(SUB_NOME,MATCH(1,INDEX((SUB_CATID=$L$4)*(SUB_ORDEM=$D25),0),0)),"")</f>
        <v/>
      </c>
      <c r="M25" s="75" t="str">
        <f aca="false">IFERROR(INDEX(SUB_NOME,MATCH(1,INDEX((SUB_CATID=$M$4)*(SUB_ORDEM=$D25),0),0)),"")</f>
        <v/>
      </c>
      <c r="N25" s="75" t="str">
        <f aca="false">IFERROR(INDEX(SUB_NOME,MATCH(1,INDEX((SUB_CATID=$N$4)*(SUB_ORDEM=$D25),0),0)),"")</f>
        <v/>
      </c>
      <c r="O25" s="75" t="str">
        <f aca="false">IFERROR(INDEX(SUB_NOME,MATCH(1,INDEX((SUB_CATID=$O$4)*(SUB_ORDEM=$D25),0),0)),"")</f>
        <v/>
      </c>
      <c r="P25" s="75" t="str">
        <f aca="false">IFERROR(INDEX(SUB_NOME,MATCH(1,INDEX((SUB_CATID=$P$4)*(SUB_ORDEM=$D25),0),0)),"")</f>
        <v/>
      </c>
      <c r="Q25" s="75" t="str">
        <f aca="false">IFERROR(INDEX(SUB_NOME,MATCH(1,INDEX((SUB_CATID=$Q$4)*(SUB_ORDEM=$D25),0),0)),"")</f>
        <v/>
      </c>
      <c r="R25" s="75" t="str">
        <f aca="false">IFERROR(INDEX(SUB_NOME,MATCH(1,INDEX((SUB_CATID=$R$4)*(SUB_ORDEM=$D25),0),0)),"")</f>
        <v/>
      </c>
      <c r="S25" s="75" t="str">
        <f aca="false">IFERROR(INDEX(SUB_NOME,MATCH(1,INDEX((SUB_CATID=$S$4)*(SUB_ORDEM=$D25),0),0)),"")</f>
        <v/>
      </c>
      <c r="T25" s="75" t="str">
        <f aca="false">IFERROR(INDEX(SUB_NOME,MATCH(1,INDEX((SUB_CATID=$T$4)*(SUB_ORDEM=$D25),0),0)),"")</f>
        <v/>
      </c>
      <c r="U25" s="75" t="str">
        <f aca="false">IFERROR(INDEX(SUB_NOME,MATCH(1,INDEX((SUB_CATID=$U$4)*(SUB_ORDEM=$D25),0),0)),"")</f>
        <v/>
      </c>
      <c r="V25" s="75" t="str">
        <f aca="false">IFERROR(INDEX(SUB_NOME,MATCH(1,INDEX((SUB_CATID=$V$4)*(SUB_ORDEM=$D25),0),0)),"")</f>
        <v/>
      </c>
      <c r="W25" s="75" t="str">
        <f aca="false">IFERROR(INDEX(SUB_NOME,MATCH(1,INDEX((SUB_CATID=$W$4)*(SUB_ORDEM=$D25),0),0)),"")</f>
        <v/>
      </c>
      <c r="X25" s="75" t="str">
        <f aca="false">IFERROR(INDEX(SUB_NOME,MATCH(1,INDEX((SUB_CATID=$X$4)*(SUB_ORDEM=$D25),0),0)),"")</f>
        <v/>
      </c>
      <c r="Y25" s="75" t="str">
        <f aca="false">IFERROR(INDEX(SUB_NOME,MATCH(1,INDEX((SUB_CATID=$Y$4)*(SUB_ORDEM=$D25),0),0)),"")</f>
        <v/>
      </c>
      <c r="Z25" s="75" t="str">
        <f aca="false">IFERROR(INDEX(SUB_NOME,MATCH(1,INDEX((SUB_CATID=$Z$4)*(SUB_ORDEM=$D25),0),0)),"")</f>
        <v/>
      </c>
      <c r="AA25" s="75" t="str">
        <f aca="false">IFERROR(INDEX(SUB_NOME,MATCH(1,INDEX((SUB_CATID=$AA$4)*(SUB_ORDEM=$D25),0),0)),"")</f>
        <v/>
      </c>
      <c r="AB25" s="75" t="str">
        <f aca="false">IFERROR(INDEX(SUB_NOME,MATCH(1,INDEX((SUB_CATID=$AB$4)*(SUB_ORDEM=$D25),0),0)),"")</f>
        <v/>
      </c>
      <c r="AC25" s="75" t="str">
        <f aca="false">IFERROR(INDEX(SUB_NOME,MATCH(1,INDEX((SUB_CATID=$AC$4)*(SUB_ORDEM=$D25),0),0)),"")</f>
        <v/>
      </c>
      <c r="AD25" s="75" t="str">
        <f aca="false">IFERROR(INDEX(SUB_NOME,MATCH(1,INDEX((SUB_CATID=$AD$4)*(SUB_ORDEM=$D25),0),0)),"")</f>
        <v/>
      </c>
    </row>
    <row r="26" customFormat="false" ht="15" hidden="false" customHeight="false" outlineLevel="0" collapsed="false">
      <c r="A26" s="75" t="str">
        <f aca="false">IF(CAD_Contas!$A26="","",CAD_Contas!$A26)</f>
        <v/>
      </c>
      <c r="B26" s="75" t="str">
        <f aca="false">IF(CAD_Contas!$A26="","","CONTA")</f>
        <v/>
      </c>
      <c r="C26" s="75" t="str">
        <f aca="false">IF(CAD_Contas!$A26="","",CAD_Contas!$B26)</f>
        <v/>
      </c>
      <c r="D26" s="76" t="n">
        <v>22</v>
      </c>
      <c r="F26" s="75" t="str">
        <f aca="false">IF(CAD_Contas!$A26="","",CAD_Contas!$B26)</f>
        <v/>
      </c>
      <c r="G26" s="75" t="str">
        <f aca="false">IF(CAD_Cartoes!$A26="","",CAD_Cartoes!$B26)</f>
        <v/>
      </c>
      <c r="H26" s="75" t="str">
        <f aca="false">IF(CAD_Investimentos!$A26="","",CAD_Investimentos!$B26)</f>
        <v/>
      </c>
      <c r="K26" s="75" t="str">
        <f aca="false">IFERROR(INDEX(SUB_NOME,MATCH(1,INDEX((SUB_CATID=$K$4)*(SUB_ORDEM=$D26),0),0)),"")</f>
        <v/>
      </c>
      <c r="L26" s="75" t="str">
        <f aca="false">IFERROR(INDEX(SUB_NOME,MATCH(1,INDEX((SUB_CATID=$L$4)*(SUB_ORDEM=$D26),0),0)),"")</f>
        <v/>
      </c>
      <c r="M26" s="75" t="str">
        <f aca="false">IFERROR(INDEX(SUB_NOME,MATCH(1,INDEX((SUB_CATID=$M$4)*(SUB_ORDEM=$D26),0),0)),"")</f>
        <v/>
      </c>
      <c r="N26" s="75" t="str">
        <f aca="false">IFERROR(INDEX(SUB_NOME,MATCH(1,INDEX((SUB_CATID=$N$4)*(SUB_ORDEM=$D26),0),0)),"")</f>
        <v/>
      </c>
      <c r="O26" s="75" t="str">
        <f aca="false">IFERROR(INDEX(SUB_NOME,MATCH(1,INDEX((SUB_CATID=$O$4)*(SUB_ORDEM=$D26),0),0)),"")</f>
        <v/>
      </c>
      <c r="P26" s="75" t="str">
        <f aca="false">IFERROR(INDEX(SUB_NOME,MATCH(1,INDEX((SUB_CATID=$P$4)*(SUB_ORDEM=$D26),0),0)),"")</f>
        <v/>
      </c>
      <c r="Q26" s="75" t="str">
        <f aca="false">IFERROR(INDEX(SUB_NOME,MATCH(1,INDEX((SUB_CATID=$Q$4)*(SUB_ORDEM=$D26),0),0)),"")</f>
        <v/>
      </c>
      <c r="R26" s="75" t="str">
        <f aca="false">IFERROR(INDEX(SUB_NOME,MATCH(1,INDEX((SUB_CATID=$R$4)*(SUB_ORDEM=$D26),0),0)),"")</f>
        <v/>
      </c>
      <c r="S26" s="75" t="str">
        <f aca="false">IFERROR(INDEX(SUB_NOME,MATCH(1,INDEX((SUB_CATID=$S$4)*(SUB_ORDEM=$D26),0),0)),"")</f>
        <v/>
      </c>
      <c r="T26" s="75" t="str">
        <f aca="false">IFERROR(INDEX(SUB_NOME,MATCH(1,INDEX((SUB_CATID=$T$4)*(SUB_ORDEM=$D26),0),0)),"")</f>
        <v/>
      </c>
      <c r="U26" s="75" t="str">
        <f aca="false">IFERROR(INDEX(SUB_NOME,MATCH(1,INDEX((SUB_CATID=$U$4)*(SUB_ORDEM=$D26),0),0)),"")</f>
        <v/>
      </c>
      <c r="V26" s="75" t="str">
        <f aca="false">IFERROR(INDEX(SUB_NOME,MATCH(1,INDEX((SUB_CATID=$V$4)*(SUB_ORDEM=$D26),0),0)),"")</f>
        <v/>
      </c>
      <c r="W26" s="75" t="str">
        <f aca="false">IFERROR(INDEX(SUB_NOME,MATCH(1,INDEX((SUB_CATID=$W$4)*(SUB_ORDEM=$D26),0),0)),"")</f>
        <v/>
      </c>
      <c r="X26" s="75" t="str">
        <f aca="false">IFERROR(INDEX(SUB_NOME,MATCH(1,INDEX((SUB_CATID=$X$4)*(SUB_ORDEM=$D26),0),0)),"")</f>
        <v/>
      </c>
      <c r="Y26" s="75" t="str">
        <f aca="false">IFERROR(INDEX(SUB_NOME,MATCH(1,INDEX((SUB_CATID=$Y$4)*(SUB_ORDEM=$D26),0),0)),"")</f>
        <v/>
      </c>
      <c r="Z26" s="75" t="str">
        <f aca="false">IFERROR(INDEX(SUB_NOME,MATCH(1,INDEX((SUB_CATID=$Z$4)*(SUB_ORDEM=$D26),0),0)),"")</f>
        <v/>
      </c>
      <c r="AA26" s="75" t="str">
        <f aca="false">IFERROR(INDEX(SUB_NOME,MATCH(1,INDEX((SUB_CATID=$AA$4)*(SUB_ORDEM=$D26),0),0)),"")</f>
        <v/>
      </c>
      <c r="AB26" s="75" t="str">
        <f aca="false">IFERROR(INDEX(SUB_NOME,MATCH(1,INDEX((SUB_CATID=$AB$4)*(SUB_ORDEM=$D26),0),0)),"")</f>
        <v/>
      </c>
      <c r="AC26" s="75" t="str">
        <f aca="false">IFERROR(INDEX(SUB_NOME,MATCH(1,INDEX((SUB_CATID=$AC$4)*(SUB_ORDEM=$D26),0),0)),"")</f>
        <v/>
      </c>
      <c r="AD26" s="75" t="str">
        <f aca="false">IFERROR(INDEX(SUB_NOME,MATCH(1,INDEX((SUB_CATID=$AD$4)*(SUB_ORDEM=$D26),0),0)),"")</f>
        <v/>
      </c>
    </row>
    <row r="27" customFormat="false" ht="15" hidden="false" customHeight="false" outlineLevel="0" collapsed="false">
      <c r="A27" s="75" t="str">
        <f aca="false">IF(CAD_Contas!$A27="","",CAD_Contas!$A27)</f>
        <v/>
      </c>
      <c r="B27" s="75" t="str">
        <f aca="false">IF(CAD_Contas!$A27="","","CONTA")</f>
        <v/>
      </c>
      <c r="C27" s="75" t="str">
        <f aca="false">IF(CAD_Contas!$A27="","",CAD_Contas!$B27)</f>
        <v/>
      </c>
      <c r="D27" s="76" t="n">
        <v>23</v>
      </c>
      <c r="F27" s="75" t="str">
        <f aca="false">IF(CAD_Contas!$A27="","",CAD_Contas!$B27)</f>
        <v/>
      </c>
      <c r="G27" s="75" t="str">
        <f aca="false">IF(CAD_Cartoes!$A27="","",CAD_Cartoes!$B27)</f>
        <v/>
      </c>
      <c r="H27" s="75" t="str">
        <f aca="false">IF(CAD_Investimentos!$A27="","",CAD_Investimentos!$B27)</f>
        <v/>
      </c>
      <c r="K27" s="75" t="str">
        <f aca="false">IFERROR(INDEX(SUB_NOME,MATCH(1,INDEX((SUB_CATID=$K$4)*(SUB_ORDEM=$D27),0),0)),"")</f>
        <v/>
      </c>
      <c r="L27" s="75" t="str">
        <f aca="false">IFERROR(INDEX(SUB_NOME,MATCH(1,INDEX((SUB_CATID=$L$4)*(SUB_ORDEM=$D27),0),0)),"")</f>
        <v/>
      </c>
      <c r="M27" s="75" t="str">
        <f aca="false">IFERROR(INDEX(SUB_NOME,MATCH(1,INDEX((SUB_CATID=$M$4)*(SUB_ORDEM=$D27),0),0)),"")</f>
        <v/>
      </c>
      <c r="N27" s="75" t="str">
        <f aca="false">IFERROR(INDEX(SUB_NOME,MATCH(1,INDEX((SUB_CATID=$N$4)*(SUB_ORDEM=$D27),0),0)),"")</f>
        <v/>
      </c>
      <c r="O27" s="75" t="str">
        <f aca="false">IFERROR(INDEX(SUB_NOME,MATCH(1,INDEX((SUB_CATID=$O$4)*(SUB_ORDEM=$D27),0),0)),"")</f>
        <v/>
      </c>
      <c r="P27" s="75" t="str">
        <f aca="false">IFERROR(INDEX(SUB_NOME,MATCH(1,INDEX((SUB_CATID=$P$4)*(SUB_ORDEM=$D27),0),0)),"")</f>
        <v/>
      </c>
      <c r="Q27" s="75" t="str">
        <f aca="false">IFERROR(INDEX(SUB_NOME,MATCH(1,INDEX((SUB_CATID=$Q$4)*(SUB_ORDEM=$D27),0),0)),"")</f>
        <v/>
      </c>
      <c r="R27" s="75" t="str">
        <f aca="false">IFERROR(INDEX(SUB_NOME,MATCH(1,INDEX((SUB_CATID=$R$4)*(SUB_ORDEM=$D27),0),0)),"")</f>
        <v/>
      </c>
      <c r="S27" s="75" t="str">
        <f aca="false">IFERROR(INDEX(SUB_NOME,MATCH(1,INDEX((SUB_CATID=$S$4)*(SUB_ORDEM=$D27),0),0)),"")</f>
        <v/>
      </c>
      <c r="T27" s="75" t="str">
        <f aca="false">IFERROR(INDEX(SUB_NOME,MATCH(1,INDEX((SUB_CATID=$T$4)*(SUB_ORDEM=$D27),0),0)),"")</f>
        <v/>
      </c>
      <c r="U27" s="75" t="str">
        <f aca="false">IFERROR(INDEX(SUB_NOME,MATCH(1,INDEX((SUB_CATID=$U$4)*(SUB_ORDEM=$D27),0),0)),"")</f>
        <v/>
      </c>
      <c r="V27" s="75" t="str">
        <f aca="false">IFERROR(INDEX(SUB_NOME,MATCH(1,INDEX((SUB_CATID=$V$4)*(SUB_ORDEM=$D27),0),0)),"")</f>
        <v/>
      </c>
      <c r="W27" s="75" t="str">
        <f aca="false">IFERROR(INDEX(SUB_NOME,MATCH(1,INDEX((SUB_CATID=$W$4)*(SUB_ORDEM=$D27),0),0)),"")</f>
        <v/>
      </c>
      <c r="X27" s="75" t="str">
        <f aca="false">IFERROR(INDEX(SUB_NOME,MATCH(1,INDEX((SUB_CATID=$X$4)*(SUB_ORDEM=$D27),0),0)),"")</f>
        <v/>
      </c>
      <c r="Y27" s="75" t="str">
        <f aca="false">IFERROR(INDEX(SUB_NOME,MATCH(1,INDEX((SUB_CATID=$Y$4)*(SUB_ORDEM=$D27),0),0)),"")</f>
        <v/>
      </c>
      <c r="Z27" s="75" t="str">
        <f aca="false">IFERROR(INDEX(SUB_NOME,MATCH(1,INDEX((SUB_CATID=$Z$4)*(SUB_ORDEM=$D27),0),0)),"")</f>
        <v/>
      </c>
      <c r="AA27" s="75" t="str">
        <f aca="false">IFERROR(INDEX(SUB_NOME,MATCH(1,INDEX((SUB_CATID=$AA$4)*(SUB_ORDEM=$D27),0),0)),"")</f>
        <v/>
      </c>
      <c r="AB27" s="75" t="str">
        <f aca="false">IFERROR(INDEX(SUB_NOME,MATCH(1,INDEX((SUB_CATID=$AB$4)*(SUB_ORDEM=$D27),0),0)),"")</f>
        <v/>
      </c>
      <c r="AC27" s="75" t="str">
        <f aca="false">IFERROR(INDEX(SUB_NOME,MATCH(1,INDEX((SUB_CATID=$AC$4)*(SUB_ORDEM=$D27),0),0)),"")</f>
        <v/>
      </c>
      <c r="AD27" s="75" t="str">
        <f aca="false">IFERROR(INDEX(SUB_NOME,MATCH(1,INDEX((SUB_CATID=$AD$4)*(SUB_ORDEM=$D27),0),0)),"")</f>
        <v/>
      </c>
    </row>
    <row r="28" customFormat="false" ht="15" hidden="false" customHeight="false" outlineLevel="0" collapsed="false">
      <c r="A28" s="75" t="str">
        <f aca="false">IF(CAD_Contas!$A28="","",CAD_Contas!$A28)</f>
        <v/>
      </c>
      <c r="B28" s="75" t="str">
        <f aca="false">IF(CAD_Contas!$A28="","","CONTA")</f>
        <v/>
      </c>
      <c r="C28" s="75" t="str">
        <f aca="false">IF(CAD_Contas!$A28="","",CAD_Contas!$B28)</f>
        <v/>
      </c>
      <c r="D28" s="76" t="n">
        <v>24</v>
      </c>
      <c r="F28" s="75" t="str">
        <f aca="false">IF(CAD_Contas!$A28="","",CAD_Contas!$B28)</f>
        <v/>
      </c>
      <c r="G28" s="75" t="str">
        <f aca="false">IF(CAD_Cartoes!$A28="","",CAD_Cartoes!$B28)</f>
        <v/>
      </c>
      <c r="H28" s="75" t="str">
        <f aca="false">IF(CAD_Investimentos!$A28="","",CAD_Investimentos!$B28)</f>
        <v/>
      </c>
      <c r="K28" s="75" t="str">
        <f aca="false">IFERROR(INDEX(SUB_NOME,MATCH(1,INDEX((SUB_CATID=$K$4)*(SUB_ORDEM=$D28),0),0)),"")</f>
        <v/>
      </c>
      <c r="L28" s="75" t="str">
        <f aca="false">IFERROR(INDEX(SUB_NOME,MATCH(1,INDEX((SUB_CATID=$L$4)*(SUB_ORDEM=$D28),0),0)),"")</f>
        <v/>
      </c>
      <c r="M28" s="75" t="str">
        <f aca="false">IFERROR(INDEX(SUB_NOME,MATCH(1,INDEX((SUB_CATID=$M$4)*(SUB_ORDEM=$D28),0),0)),"")</f>
        <v/>
      </c>
      <c r="N28" s="75" t="str">
        <f aca="false">IFERROR(INDEX(SUB_NOME,MATCH(1,INDEX((SUB_CATID=$N$4)*(SUB_ORDEM=$D28),0),0)),"")</f>
        <v/>
      </c>
      <c r="O28" s="75" t="str">
        <f aca="false">IFERROR(INDEX(SUB_NOME,MATCH(1,INDEX((SUB_CATID=$O$4)*(SUB_ORDEM=$D28),0),0)),"")</f>
        <v/>
      </c>
      <c r="P28" s="75" t="str">
        <f aca="false">IFERROR(INDEX(SUB_NOME,MATCH(1,INDEX((SUB_CATID=$P$4)*(SUB_ORDEM=$D28),0),0)),"")</f>
        <v/>
      </c>
      <c r="Q28" s="75" t="str">
        <f aca="false">IFERROR(INDEX(SUB_NOME,MATCH(1,INDEX((SUB_CATID=$Q$4)*(SUB_ORDEM=$D28),0),0)),"")</f>
        <v/>
      </c>
      <c r="R28" s="75" t="str">
        <f aca="false">IFERROR(INDEX(SUB_NOME,MATCH(1,INDEX((SUB_CATID=$R$4)*(SUB_ORDEM=$D28),0),0)),"")</f>
        <v/>
      </c>
      <c r="S28" s="75" t="str">
        <f aca="false">IFERROR(INDEX(SUB_NOME,MATCH(1,INDEX((SUB_CATID=$S$4)*(SUB_ORDEM=$D28),0),0)),"")</f>
        <v/>
      </c>
      <c r="T28" s="75" t="str">
        <f aca="false">IFERROR(INDEX(SUB_NOME,MATCH(1,INDEX((SUB_CATID=$T$4)*(SUB_ORDEM=$D28),0),0)),"")</f>
        <v/>
      </c>
      <c r="U28" s="75" t="str">
        <f aca="false">IFERROR(INDEX(SUB_NOME,MATCH(1,INDEX((SUB_CATID=$U$4)*(SUB_ORDEM=$D28),0),0)),"")</f>
        <v/>
      </c>
      <c r="V28" s="75" t="str">
        <f aca="false">IFERROR(INDEX(SUB_NOME,MATCH(1,INDEX((SUB_CATID=$V$4)*(SUB_ORDEM=$D28),0),0)),"")</f>
        <v/>
      </c>
      <c r="W28" s="75" t="str">
        <f aca="false">IFERROR(INDEX(SUB_NOME,MATCH(1,INDEX((SUB_CATID=$W$4)*(SUB_ORDEM=$D28),0),0)),"")</f>
        <v/>
      </c>
      <c r="X28" s="75" t="str">
        <f aca="false">IFERROR(INDEX(SUB_NOME,MATCH(1,INDEX((SUB_CATID=$X$4)*(SUB_ORDEM=$D28),0),0)),"")</f>
        <v/>
      </c>
      <c r="Y28" s="75" t="str">
        <f aca="false">IFERROR(INDEX(SUB_NOME,MATCH(1,INDEX((SUB_CATID=$Y$4)*(SUB_ORDEM=$D28),0),0)),"")</f>
        <v/>
      </c>
      <c r="Z28" s="75" t="str">
        <f aca="false">IFERROR(INDEX(SUB_NOME,MATCH(1,INDEX((SUB_CATID=$Z$4)*(SUB_ORDEM=$D28),0),0)),"")</f>
        <v/>
      </c>
      <c r="AA28" s="75" t="str">
        <f aca="false">IFERROR(INDEX(SUB_NOME,MATCH(1,INDEX((SUB_CATID=$AA$4)*(SUB_ORDEM=$D28),0),0)),"")</f>
        <v/>
      </c>
      <c r="AB28" s="75" t="str">
        <f aca="false">IFERROR(INDEX(SUB_NOME,MATCH(1,INDEX((SUB_CATID=$AB$4)*(SUB_ORDEM=$D28),0),0)),"")</f>
        <v/>
      </c>
      <c r="AC28" s="75" t="str">
        <f aca="false">IFERROR(INDEX(SUB_NOME,MATCH(1,INDEX((SUB_CATID=$AC$4)*(SUB_ORDEM=$D28),0),0)),"")</f>
        <v/>
      </c>
      <c r="AD28" s="75" t="str">
        <f aca="false">IFERROR(INDEX(SUB_NOME,MATCH(1,INDEX((SUB_CATID=$AD$4)*(SUB_ORDEM=$D28),0),0)),"")</f>
        <v/>
      </c>
    </row>
    <row r="29" customFormat="false" ht="15" hidden="false" customHeight="false" outlineLevel="0" collapsed="false">
      <c r="A29" s="75" t="str">
        <f aca="false">IF(CAD_Contas!$A29="","",CAD_Contas!$A29)</f>
        <v/>
      </c>
      <c r="B29" s="75" t="str">
        <f aca="false">IF(CAD_Contas!$A29="","","CONTA")</f>
        <v/>
      </c>
      <c r="C29" s="75" t="str">
        <f aca="false">IF(CAD_Contas!$A29="","",CAD_Contas!$B29)</f>
        <v/>
      </c>
      <c r="D29" s="76" t="n">
        <v>25</v>
      </c>
      <c r="F29" s="75" t="str">
        <f aca="false">IF(CAD_Contas!$A29="","",CAD_Contas!$B29)</f>
        <v/>
      </c>
      <c r="G29" s="75" t="str">
        <f aca="false">IF(CAD_Cartoes!$A29="","",CAD_Cartoes!$B29)</f>
        <v/>
      </c>
      <c r="H29" s="75" t="str">
        <f aca="false">IF(CAD_Investimentos!$A29="","",CAD_Investimentos!$B29)</f>
        <v/>
      </c>
      <c r="K29" s="75" t="str">
        <f aca="false">IFERROR(INDEX(SUB_NOME,MATCH(1,INDEX((SUB_CATID=$K$4)*(SUB_ORDEM=$D29),0),0)),"")</f>
        <v/>
      </c>
      <c r="L29" s="75" t="str">
        <f aca="false">IFERROR(INDEX(SUB_NOME,MATCH(1,INDEX((SUB_CATID=$L$4)*(SUB_ORDEM=$D29),0),0)),"")</f>
        <v/>
      </c>
      <c r="M29" s="75" t="str">
        <f aca="false">IFERROR(INDEX(SUB_NOME,MATCH(1,INDEX((SUB_CATID=$M$4)*(SUB_ORDEM=$D29),0),0)),"")</f>
        <v/>
      </c>
      <c r="N29" s="75" t="str">
        <f aca="false">IFERROR(INDEX(SUB_NOME,MATCH(1,INDEX((SUB_CATID=$N$4)*(SUB_ORDEM=$D29),0),0)),"")</f>
        <v/>
      </c>
      <c r="O29" s="75" t="str">
        <f aca="false">IFERROR(INDEX(SUB_NOME,MATCH(1,INDEX((SUB_CATID=$O$4)*(SUB_ORDEM=$D29),0),0)),"")</f>
        <v/>
      </c>
      <c r="P29" s="75" t="str">
        <f aca="false">IFERROR(INDEX(SUB_NOME,MATCH(1,INDEX((SUB_CATID=$P$4)*(SUB_ORDEM=$D29),0),0)),"")</f>
        <v/>
      </c>
      <c r="Q29" s="75" t="str">
        <f aca="false">IFERROR(INDEX(SUB_NOME,MATCH(1,INDEX((SUB_CATID=$Q$4)*(SUB_ORDEM=$D29),0),0)),"")</f>
        <v/>
      </c>
      <c r="R29" s="75" t="str">
        <f aca="false">IFERROR(INDEX(SUB_NOME,MATCH(1,INDEX((SUB_CATID=$R$4)*(SUB_ORDEM=$D29),0),0)),"")</f>
        <v/>
      </c>
      <c r="S29" s="75" t="str">
        <f aca="false">IFERROR(INDEX(SUB_NOME,MATCH(1,INDEX((SUB_CATID=$S$4)*(SUB_ORDEM=$D29),0),0)),"")</f>
        <v/>
      </c>
      <c r="T29" s="75" t="str">
        <f aca="false">IFERROR(INDEX(SUB_NOME,MATCH(1,INDEX((SUB_CATID=$T$4)*(SUB_ORDEM=$D29),0),0)),"")</f>
        <v/>
      </c>
      <c r="U29" s="75" t="str">
        <f aca="false">IFERROR(INDEX(SUB_NOME,MATCH(1,INDEX((SUB_CATID=$U$4)*(SUB_ORDEM=$D29),0),0)),"")</f>
        <v/>
      </c>
      <c r="V29" s="75" t="str">
        <f aca="false">IFERROR(INDEX(SUB_NOME,MATCH(1,INDEX((SUB_CATID=$V$4)*(SUB_ORDEM=$D29),0),0)),"")</f>
        <v/>
      </c>
      <c r="W29" s="75" t="str">
        <f aca="false">IFERROR(INDEX(SUB_NOME,MATCH(1,INDEX((SUB_CATID=$W$4)*(SUB_ORDEM=$D29),0),0)),"")</f>
        <v/>
      </c>
      <c r="X29" s="75" t="str">
        <f aca="false">IFERROR(INDEX(SUB_NOME,MATCH(1,INDEX((SUB_CATID=$X$4)*(SUB_ORDEM=$D29),0),0)),"")</f>
        <v/>
      </c>
      <c r="Y29" s="75" t="str">
        <f aca="false">IFERROR(INDEX(SUB_NOME,MATCH(1,INDEX((SUB_CATID=$Y$4)*(SUB_ORDEM=$D29),0),0)),"")</f>
        <v/>
      </c>
      <c r="Z29" s="75" t="str">
        <f aca="false">IFERROR(INDEX(SUB_NOME,MATCH(1,INDEX((SUB_CATID=$Z$4)*(SUB_ORDEM=$D29),0),0)),"")</f>
        <v/>
      </c>
      <c r="AA29" s="75" t="str">
        <f aca="false">IFERROR(INDEX(SUB_NOME,MATCH(1,INDEX((SUB_CATID=$AA$4)*(SUB_ORDEM=$D29),0),0)),"")</f>
        <v/>
      </c>
      <c r="AB29" s="75" t="str">
        <f aca="false">IFERROR(INDEX(SUB_NOME,MATCH(1,INDEX((SUB_CATID=$AB$4)*(SUB_ORDEM=$D29),0),0)),"")</f>
        <v/>
      </c>
      <c r="AC29" s="75" t="str">
        <f aca="false">IFERROR(INDEX(SUB_NOME,MATCH(1,INDEX((SUB_CATID=$AC$4)*(SUB_ORDEM=$D29),0),0)),"")</f>
        <v/>
      </c>
      <c r="AD29" s="75" t="str">
        <f aca="false">IFERROR(INDEX(SUB_NOME,MATCH(1,INDEX((SUB_CATID=$AD$4)*(SUB_ORDEM=$D29),0),0)),"")</f>
        <v/>
      </c>
    </row>
    <row r="30" customFormat="false" ht="15" hidden="false" customHeight="false" outlineLevel="0" collapsed="false">
      <c r="A30" s="75" t="str">
        <f aca="false">IF(CAD_Contas!$A30="","",CAD_Contas!$A30)</f>
        <v/>
      </c>
      <c r="B30" s="75" t="str">
        <f aca="false">IF(CAD_Contas!$A30="","","CONTA")</f>
        <v/>
      </c>
      <c r="C30" s="75" t="str">
        <f aca="false">IF(CAD_Contas!$A30="","",CAD_Contas!$B30)</f>
        <v/>
      </c>
      <c r="F30" s="75" t="str">
        <f aca="false">IF(CAD_Contas!$A30="","",CAD_Contas!$B30)</f>
        <v/>
      </c>
      <c r="G30" s="75" t="str">
        <f aca="false">IF(CAD_Cartoes!$A30="","",CAD_Cartoes!$B30)</f>
        <v/>
      </c>
      <c r="H30" s="75" t="str">
        <f aca="false">IF(CAD_Investimentos!$A30="","",CAD_Investimentos!$B30)</f>
        <v/>
      </c>
    </row>
    <row r="31" customFormat="false" ht="15" hidden="false" customHeight="false" outlineLevel="0" collapsed="false">
      <c r="A31" s="75" t="str">
        <f aca="false">IF(CAD_Contas!$A31="","",CAD_Contas!$A31)</f>
        <v/>
      </c>
      <c r="B31" s="75" t="str">
        <f aca="false">IF(CAD_Contas!$A31="","","CONTA")</f>
        <v/>
      </c>
      <c r="C31" s="75" t="str">
        <f aca="false">IF(CAD_Contas!$A31="","",CAD_Contas!$B31)</f>
        <v/>
      </c>
      <c r="F31" s="75" t="str">
        <f aca="false">IF(CAD_Contas!$A31="","",CAD_Contas!$B31)</f>
        <v/>
      </c>
      <c r="G31" s="75" t="str">
        <f aca="false">IF(CAD_Cartoes!$A31="","",CAD_Cartoes!$B31)</f>
        <v/>
      </c>
      <c r="H31" s="75" t="str">
        <f aca="false">IF(CAD_Investimentos!$A31="","",CAD_Investimentos!$B31)</f>
        <v/>
      </c>
    </row>
    <row r="32" customFormat="false" ht="15" hidden="false" customHeight="false" outlineLevel="0" collapsed="false">
      <c r="A32" s="75" t="str">
        <f aca="false">IF(CAD_Contas!$A32="","",CAD_Contas!$A32)</f>
        <v/>
      </c>
      <c r="B32" s="75" t="str">
        <f aca="false">IF(CAD_Contas!$A32="","","CONTA")</f>
        <v/>
      </c>
      <c r="C32" s="75" t="str">
        <f aca="false">IF(CAD_Contas!$A32="","",CAD_Contas!$B32)</f>
        <v/>
      </c>
      <c r="F32" s="75" t="str">
        <f aca="false">IF(CAD_Contas!$A32="","",CAD_Contas!$B32)</f>
        <v/>
      </c>
      <c r="G32" s="75" t="str">
        <f aca="false">IF(CAD_Cartoes!$A32="","",CAD_Cartoes!$B32)</f>
        <v/>
      </c>
      <c r="H32" s="75" t="str">
        <f aca="false">IF(CAD_Investimentos!$A32="","",CAD_Investimentos!$B32)</f>
        <v/>
      </c>
    </row>
    <row r="33" customFormat="false" ht="15" hidden="false" customHeight="false" outlineLevel="0" collapsed="false">
      <c r="A33" s="75" t="str">
        <f aca="false">IF(CAD_Contas!$A33="","",CAD_Contas!$A33)</f>
        <v/>
      </c>
      <c r="B33" s="75" t="str">
        <f aca="false">IF(CAD_Contas!$A33="","","CONTA")</f>
        <v/>
      </c>
      <c r="C33" s="75" t="str">
        <f aca="false">IF(CAD_Contas!$A33="","",CAD_Contas!$B33)</f>
        <v/>
      </c>
      <c r="F33" s="75" t="str">
        <f aca="false">IF(CAD_Contas!$A33="","",CAD_Contas!$B33)</f>
        <v/>
      </c>
      <c r="G33" s="75" t="str">
        <f aca="false">IF(CAD_Cartoes!$A33="","",CAD_Cartoes!$B33)</f>
        <v/>
      </c>
      <c r="H33" s="75" t="str">
        <f aca="false">IF(CAD_Investimentos!$A33="","",CAD_Investimentos!$B33)</f>
        <v/>
      </c>
    </row>
    <row r="34" customFormat="false" ht="15" hidden="false" customHeight="false" outlineLevel="0" collapsed="false">
      <c r="A34" s="75" t="str">
        <f aca="false">IF(CAD_Contas!$A34="","",CAD_Contas!$A34)</f>
        <v/>
      </c>
      <c r="B34" s="75" t="str">
        <f aca="false">IF(CAD_Contas!$A34="","","CONTA")</f>
        <v/>
      </c>
      <c r="C34" s="75" t="str">
        <f aca="false">IF(CAD_Contas!$A34="","",CAD_Contas!$B34)</f>
        <v/>
      </c>
      <c r="F34" s="75" t="str">
        <f aca="false">IF(CAD_Contas!$A34="","",CAD_Contas!$B34)</f>
        <v/>
      </c>
      <c r="G34" s="75" t="str">
        <f aca="false">IF(CAD_Cartoes!$A34="","",CAD_Cartoes!$B34)</f>
        <v/>
      </c>
      <c r="H34" s="75" t="str">
        <f aca="false">IF(CAD_Investimentos!$A34="","",CAD_Investimentos!$B34)</f>
        <v/>
      </c>
    </row>
    <row r="35" customFormat="false" ht="15" hidden="false" customHeight="false" outlineLevel="0" collapsed="false">
      <c r="A35" s="75" t="str">
        <f aca="false">IF(CAD_Contas!$A35="","",CAD_Contas!$A35)</f>
        <v/>
      </c>
      <c r="B35" s="75" t="str">
        <f aca="false">IF(CAD_Contas!$A35="","","CONTA")</f>
        <v/>
      </c>
      <c r="C35" s="75" t="str">
        <f aca="false">IF(CAD_Contas!$A35="","",CAD_Contas!$B35)</f>
        <v/>
      </c>
      <c r="F35" s="75" t="str">
        <f aca="false">IF(CAD_Contas!$A35="","",CAD_Contas!$B35)</f>
        <v/>
      </c>
      <c r="G35" s="75" t="str">
        <f aca="false">IF(CAD_Cartoes!$A35="","",CAD_Cartoes!$B35)</f>
        <v/>
      </c>
      <c r="H35" s="75" t="str">
        <f aca="false">IF(CAD_Investimentos!$A35="","",CAD_Investimentos!$B35)</f>
        <v/>
      </c>
    </row>
    <row r="36" customFormat="false" ht="15" hidden="false" customHeight="false" outlineLevel="0" collapsed="false">
      <c r="A36" s="75" t="str">
        <f aca="false">IF(CAD_Contas!$A36="","",CAD_Contas!$A36)</f>
        <v/>
      </c>
      <c r="B36" s="75" t="str">
        <f aca="false">IF(CAD_Contas!$A36="","","CONTA")</f>
        <v/>
      </c>
      <c r="C36" s="75" t="str">
        <f aca="false">IF(CAD_Contas!$A36="","",CAD_Contas!$B36)</f>
        <v/>
      </c>
      <c r="F36" s="75" t="str">
        <f aca="false">IF(CAD_Contas!$A36="","",CAD_Contas!$B36)</f>
        <v/>
      </c>
      <c r="G36" s="75" t="str">
        <f aca="false">IF(CAD_Cartoes!$A36="","",CAD_Cartoes!$B36)</f>
        <v/>
      </c>
      <c r="H36" s="75" t="str">
        <f aca="false">IF(CAD_Investimentos!$A36="","",CAD_Investimentos!$B36)</f>
        <v/>
      </c>
    </row>
    <row r="37" customFormat="false" ht="15" hidden="false" customHeight="false" outlineLevel="0" collapsed="false">
      <c r="A37" s="75" t="str">
        <f aca="false">IF(CAD_Contas!$A37="","",CAD_Contas!$A37)</f>
        <v/>
      </c>
      <c r="B37" s="75" t="str">
        <f aca="false">IF(CAD_Contas!$A37="","","CONTA")</f>
        <v/>
      </c>
      <c r="C37" s="75" t="str">
        <f aca="false">IF(CAD_Contas!$A37="","",CAD_Contas!$B37)</f>
        <v/>
      </c>
      <c r="F37" s="75" t="str">
        <f aca="false">IF(CAD_Contas!$A37="","",CAD_Contas!$B37)</f>
        <v/>
      </c>
      <c r="G37" s="75" t="str">
        <f aca="false">IF(CAD_Cartoes!$A37="","",CAD_Cartoes!$B37)</f>
        <v/>
      </c>
      <c r="H37" s="75" t="str">
        <f aca="false">IF(CAD_Investimentos!$A37="","",CAD_Investimentos!$B37)</f>
        <v/>
      </c>
    </row>
    <row r="38" customFormat="false" ht="15" hidden="false" customHeight="false" outlineLevel="0" collapsed="false">
      <c r="A38" s="75" t="str">
        <f aca="false">IF(CAD_Contas!$A38="","",CAD_Contas!$A38)</f>
        <v/>
      </c>
      <c r="B38" s="75" t="str">
        <f aca="false">IF(CAD_Contas!$A38="","","CONTA")</f>
        <v/>
      </c>
      <c r="C38" s="75" t="str">
        <f aca="false">IF(CAD_Contas!$A38="","",CAD_Contas!$B38)</f>
        <v/>
      </c>
      <c r="F38" s="75" t="str">
        <f aca="false">IF(CAD_Contas!$A38="","",CAD_Contas!$B38)</f>
        <v/>
      </c>
      <c r="G38" s="75" t="str">
        <f aca="false">IF(CAD_Cartoes!$A38="","",CAD_Cartoes!$B38)</f>
        <v/>
      </c>
      <c r="H38" s="75" t="str">
        <f aca="false">IF(CAD_Investimentos!$A38="","",CAD_Investimentos!$B38)</f>
        <v/>
      </c>
    </row>
    <row r="39" customFormat="false" ht="15" hidden="false" customHeight="false" outlineLevel="0" collapsed="false">
      <c r="A39" s="75" t="str">
        <f aca="false">IF(CAD_Contas!$A39="","",CAD_Contas!$A39)</f>
        <v/>
      </c>
      <c r="B39" s="75" t="str">
        <f aca="false">IF(CAD_Contas!$A39="","","CONTA")</f>
        <v/>
      </c>
      <c r="C39" s="75" t="str">
        <f aca="false">IF(CAD_Contas!$A39="","",CAD_Contas!$B39)</f>
        <v/>
      </c>
      <c r="F39" s="75" t="str">
        <f aca="false">IF(CAD_Contas!$A39="","",CAD_Contas!$B39)</f>
        <v/>
      </c>
      <c r="G39" s="75" t="str">
        <f aca="false">IF(CAD_Cartoes!$A39="","",CAD_Cartoes!$B39)</f>
        <v/>
      </c>
      <c r="H39" s="75" t="str">
        <f aca="false">IF(CAD_Investimentos!$A39="","",CAD_Investimentos!$B39)</f>
        <v/>
      </c>
    </row>
    <row r="40" customFormat="false" ht="15" hidden="false" customHeight="false" outlineLevel="0" collapsed="false">
      <c r="A40" s="75" t="str">
        <f aca="false">IF(CAD_Contas!$A40="","",CAD_Contas!$A40)</f>
        <v/>
      </c>
      <c r="B40" s="75" t="str">
        <f aca="false">IF(CAD_Contas!$A40="","","CONTA")</f>
        <v/>
      </c>
      <c r="C40" s="75" t="str">
        <f aca="false">IF(CAD_Contas!$A40="","",CAD_Contas!$B40)</f>
        <v/>
      </c>
      <c r="F40" s="75" t="str">
        <f aca="false">IF(CAD_Contas!$A40="","",CAD_Contas!$B40)</f>
        <v/>
      </c>
      <c r="G40" s="75" t="str">
        <f aca="false">IF(CAD_Cartoes!$A40="","",CAD_Cartoes!$B40)</f>
        <v/>
      </c>
      <c r="H40" s="75" t="str">
        <f aca="false">IF(CAD_Investimentos!$A40="","",CAD_Investimentos!$B40)</f>
        <v/>
      </c>
    </row>
    <row r="41" customFormat="false" ht="15" hidden="false" customHeight="false" outlineLevel="0" collapsed="false">
      <c r="A41" s="75" t="str">
        <f aca="false">IF(CAD_Contas!$A41="","",CAD_Contas!$A41)</f>
        <v/>
      </c>
      <c r="B41" s="75" t="str">
        <f aca="false">IF(CAD_Contas!$A41="","","CONTA")</f>
        <v/>
      </c>
      <c r="C41" s="75" t="str">
        <f aca="false">IF(CAD_Contas!$A41="","",CAD_Contas!$B41)</f>
        <v/>
      </c>
      <c r="F41" s="75" t="str">
        <f aca="false">IF(CAD_Contas!$A41="","",CAD_Contas!$B41)</f>
        <v/>
      </c>
      <c r="G41" s="75" t="str">
        <f aca="false">IF(CAD_Cartoes!$A41="","",CAD_Cartoes!$B41)</f>
        <v/>
      </c>
      <c r="H41" s="75" t="str">
        <f aca="false">IF(CAD_Investimentos!$A41="","",CAD_Investimentos!$B41)</f>
        <v/>
      </c>
    </row>
    <row r="42" customFormat="false" ht="15" hidden="false" customHeight="false" outlineLevel="0" collapsed="false">
      <c r="A42" s="75" t="str">
        <f aca="false">IF(CAD_Contas!$A42="","",CAD_Contas!$A42)</f>
        <v/>
      </c>
      <c r="B42" s="75" t="str">
        <f aca="false">IF(CAD_Contas!$A42="","","CONTA")</f>
        <v/>
      </c>
      <c r="C42" s="75" t="str">
        <f aca="false">IF(CAD_Contas!$A42="","",CAD_Contas!$B42)</f>
        <v/>
      </c>
      <c r="F42" s="75" t="str">
        <f aca="false">IF(CAD_Contas!$A42="","",CAD_Contas!$B42)</f>
        <v/>
      </c>
      <c r="G42" s="75" t="str">
        <f aca="false">IF(CAD_Cartoes!$A42="","",CAD_Cartoes!$B42)</f>
        <v/>
      </c>
      <c r="H42" s="75" t="str">
        <f aca="false">IF(CAD_Investimentos!$A42="","",CAD_Investimentos!$B42)</f>
        <v/>
      </c>
    </row>
    <row r="43" customFormat="false" ht="15" hidden="false" customHeight="false" outlineLevel="0" collapsed="false">
      <c r="A43" s="75" t="str">
        <f aca="false">IF(CAD_Contas!$A43="","",CAD_Contas!$A43)</f>
        <v/>
      </c>
      <c r="B43" s="75" t="str">
        <f aca="false">IF(CAD_Contas!$A43="","","CONTA")</f>
        <v/>
      </c>
      <c r="C43" s="75" t="str">
        <f aca="false">IF(CAD_Contas!$A43="","",CAD_Contas!$B43)</f>
        <v/>
      </c>
      <c r="F43" s="75" t="str">
        <f aca="false">IF(CAD_Contas!$A43="","",CAD_Contas!$B43)</f>
        <v/>
      </c>
      <c r="G43" s="75" t="str">
        <f aca="false">IF(CAD_Cartoes!$A43="","",CAD_Cartoes!$B43)</f>
        <v/>
      </c>
      <c r="H43" s="75" t="str">
        <f aca="false">IF(CAD_Investimentos!$A43="","",CAD_Investimentos!$B43)</f>
        <v/>
      </c>
    </row>
    <row r="44" customFormat="false" ht="15" hidden="false" customHeight="false" outlineLevel="0" collapsed="false">
      <c r="A44" s="75" t="str">
        <f aca="false">IF(CAD_Contas!$A44="","",CAD_Contas!$A44)</f>
        <v/>
      </c>
      <c r="B44" s="75" t="str">
        <f aca="false">IF(CAD_Contas!$A44="","","CONTA")</f>
        <v/>
      </c>
      <c r="C44" s="75" t="str">
        <f aca="false">IF(CAD_Contas!$A44="","",CAD_Contas!$B44)</f>
        <v/>
      </c>
      <c r="F44" s="75" t="str">
        <f aca="false">IF(CAD_Contas!$A44="","",CAD_Contas!$B44)</f>
        <v/>
      </c>
      <c r="G44" s="75" t="str">
        <f aca="false">IF(CAD_Cartoes!$A44="","",CAD_Cartoes!$B44)</f>
        <v/>
      </c>
      <c r="H44" s="75" t="str">
        <f aca="false">IF(CAD_Investimentos!$A44="","",CAD_Investimentos!$B44)</f>
        <v/>
      </c>
    </row>
    <row r="45" customFormat="false" ht="15" hidden="false" customHeight="false" outlineLevel="0" collapsed="false">
      <c r="A45" s="75" t="str">
        <f aca="false">IF(CAD_Cartoes!$A5="","",CAD_Cartoes!$A5)</f>
        <v/>
      </c>
      <c r="B45" s="75" t="str">
        <f aca="false">IF(CAD_Cartoes!$A5="","","CARTAO")</f>
        <v/>
      </c>
      <c r="C45" s="75" t="str">
        <f aca="false">IF(CAD_Cartoes!$A5="","",CAD_Cartoes!$B5)</f>
        <v/>
      </c>
    </row>
    <row r="46" customFormat="false" ht="15" hidden="false" customHeight="false" outlineLevel="0" collapsed="false">
      <c r="A46" s="75" t="str">
        <f aca="false">IF(CAD_Cartoes!$A6="","",CAD_Cartoes!$A6)</f>
        <v/>
      </c>
      <c r="B46" s="75" t="str">
        <f aca="false">IF(CAD_Cartoes!$A6="","","CARTAO")</f>
        <v/>
      </c>
      <c r="C46" s="75" t="str">
        <f aca="false">IF(CAD_Cartoes!$A6="","",CAD_Cartoes!$B6)</f>
        <v/>
      </c>
    </row>
    <row r="47" customFormat="false" ht="15" hidden="false" customHeight="false" outlineLevel="0" collapsed="false">
      <c r="A47" s="75" t="str">
        <f aca="false">IF(CAD_Cartoes!$A7="","",CAD_Cartoes!$A7)</f>
        <v/>
      </c>
      <c r="B47" s="75" t="str">
        <f aca="false">IF(CAD_Cartoes!$A7="","","CARTAO")</f>
        <v/>
      </c>
      <c r="C47" s="75" t="str">
        <f aca="false">IF(CAD_Cartoes!$A7="","",CAD_Cartoes!$B7)</f>
        <v/>
      </c>
    </row>
    <row r="48" customFormat="false" ht="15" hidden="false" customHeight="false" outlineLevel="0" collapsed="false">
      <c r="A48" s="75" t="str">
        <f aca="false">IF(CAD_Cartoes!$A8="","",CAD_Cartoes!$A8)</f>
        <v/>
      </c>
      <c r="B48" s="75" t="str">
        <f aca="false">IF(CAD_Cartoes!$A8="","","CARTAO")</f>
        <v/>
      </c>
      <c r="C48" s="75" t="str">
        <f aca="false">IF(CAD_Cartoes!$A8="","",CAD_Cartoes!$B8)</f>
        <v/>
      </c>
    </row>
    <row r="49" customFormat="false" ht="15" hidden="false" customHeight="false" outlineLevel="0" collapsed="false">
      <c r="A49" s="75" t="str">
        <f aca="false">IF(CAD_Cartoes!$A9="","",CAD_Cartoes!$A9)</f>
        <v/>
      </c>
      <c r="B49" s="75" t="str">
        <f aca="false">IF(CAD_Cartoes!$A9="","","CARTAO")</f>
        <v/>
      </c>
      <c r="C49" s="75" t="str">
        <f aca="false">IF(CAD_Cartoes!$A9="","",CAD_Cartoes!$B9)</f>
        <v/>
      </c>
    </row>
    <row r="50" customFormat="false" ht="15" hidden="false" customHeight="false" outlineLevel="0" collapsed="false">
      <c r="A50" s="75" t="str">
        <f aca="false">IF(CAD_Cartoes!$A10="","",CAD_Cartoes!$A10)</f>
        <v/>
      </c>
      <c r="B50" s="75" t="str">
        <f aca="false">IF(CAD_Cartoes!$A10="","","CARTAO")</f>
        <v/>
      </c>
      <c r="C50" s="75" t="str">
        <f aca="false">IF(CAD_Cartoes!$A10="","",CAD_Cartoes!$B10)</f>
        <v/>
      </c>
    </row>
    <row r="51" customFormat="false" ht="15" hidden="false" customHeight="false" outlineLevel="0" collapsed="false">
      <c r="A51" s="75" t="str">
        <f aca="false">IF(CAD_Cartoes!$A11="","",CAD_Cartoes!$A11)</f>
        <v/>
      </c>
      <c r="B51" s="75" t="str">
        <f aca="false">IF(CAD_Cartoes!$A11="","","CARTAO")</f>
        <v/>
      </c>
      <c r="C51" s="75" t="str">
        <f aca="false">IF(CAD_Cartoes!$A11="","",CAD_Cartoes!$B11)</f>
        <v/>
      </c>
    </row>
    <row r="52" customFormat="false" ht="15" hidden="false" customHeight="false" outlineLevel="0" collapsed="false">
      <c r="A52" s="75" t="str">
        <f aca="false">IF(CAD_Cartoes!$A12="","",CAD_Cartoes!$A12)</f>
        <v/>
      </c>
      <c r="B52" s="75" t="str">
        <f aca="false">IF(CAD_Cartoes!$A12="","","CARTAO")</f>
        <v/>
      </c>
      <c r="C52" s="75" t="str">
        <f aca="false">IF(CAD_Cartoes!$A12="","",CAD_Cartoes!$B12)</f>
        <v/>
      </c>
    </row>
    <row r="53" customFormat="false" ht="15" hidden="false" customHeight="false" outlineLevel="0" collapsed="false">
      <c r="A53" s="75" t="str">
        <f aca="false">IF(CAD_Cartoes!$A13="","",CAD_Cartoes!$A13)</f>
        <v/>
      </c>
      <c r="B53" s="75" t="str">
        <f aca="false">IF(CAD_Cartoes!$A13="","","CARTAO")</f>
        <v/>
      </c>
      <c r="C53" s="75" t="str">
        <f aca="false">IF(CAD_Cartoes!$A13="","",CAD_Cartoes!$B13)</f>
        <v/>
      </c>
    </row>
    <row r="54" customFormat="false" ht="15" hidden="false" customHeight="false" outlineLevel="0" collapsed="false">
      <c r="A54" s="75" t="str">
        <f aca="false">IF(CAD_Cartoes!$A14="","",CAD_Cartoes!$A14)</f>
        <v/>
      </c>
      <c r="B54" s="75" t="str">
        <f aca="false">IF(CAD_Cartoes!$A14="","","CARTAO")</f>
        <v/>
      </c>
      <c r="C54" s="75" t="str">
        <f aca="false">IF(CAD_Cartoes!$A14="","",CAD_Cartoes!$B14)</f>
        <v/>
      </c>
    </row>
    <row r="55" customFormat="false" ht="15" hidden="false" customHeight="false" outlineLevel="0" collapsed="false">
      <c r="A55" s="75" t="str">
        <f aca="false">IF(CAD_Cartoes!$A15="","",CAD_Cartoes!$A15)</f>
        <v/>
      </c>
      <c r="B55" s="75" t="str">
        <f aca="false">IF(CAD_Cartoes!$A15="","","CARTAO")</f>
        <v/>
      </c>
      <c r="C55" s="75" t="str">
        <f aca="false">IF(CAD_Cartoes!$A15="","",CAD_Cartoes!$B15)</f>
        <v/>
      </c>
    </row>
    <row r="56" customFormat="false" ht="15" hidden="false" customHeight="false" outlineLevel="0" collapsed="false">
      <c r="A56" s="75" t="str">
        <f aca="false">IF(CAD_Cartoes!$A16="","",CAD_Cartoes!$A16)</f>
        <v/>
      </c>
      <c r="B56" s="75" t="str">
        <f aca="false">IF(CAD_Cartoes!$A16="","","CARTAO")</f>
        <v/>
      </c>
      <c r="C56" s="75" t="str">
        <f aca="false">IF(CAD_Cartoes!$A16="","",CAD_Cartoes!$B16)</f>
        <v/>
      </c>
    </row>
    <row r="57" customFormat="false" ht="15" hidden="false" customHeight="false" outlineLevel="0" collapsed="false">
      <c r="A57" s="75" t="str">
        <f aca="false">IF(CAD_Cartoes!$A17="","",CAD_Cartoes!$A17)</f>
        <v/>
      </c>
      <c r="B57" s="75" t="str">
        <f aca="false">IF(CAD_Cartoes!$A17="","","CARTAO")</f>
        <v/>
      </c>
      <c r="C57" s="75" t="str">
        <f aca="false">IF(CAD_Cartoes!$A17="","",CAD_Cartoes!$B17)</f>
        <v/>
      </c>
    </row>
    <row r="58" customFormat="false" ht="15" hidden="false" customHeight="false" outlineLevel="0" collapsed="false">
      <c r="A58" s="75" t="str">
        <f aca="false">IF(CAD_Cartoes!$A18="","",CAD_Cartoes!$A18)</f>
        <v/>
      </c>
      <c r="B58" s="75" t="str">
        <f aca="false">IF(CAD_Cartoes!$A18="","","CARTAO")</f>
        <v/>
      </c>
      <c r="C58" s="75" t="str">
        <f aca="false">IF(CAD_Cartoes!$A18="","",CAD_Cartoes!$B18)</f>
        <v/>
      </c>
    </row>
    <row r="59" customFormat="false" ht="15" hidden="false" customHeight="false" outlineLevel="0" collapsed="false">
      <c r="A59" s="75" t="str">
        <f aca="false">IF(CAD_Cartoes!$A19="","",CAD_Cartoes!$A19)</f>
        <v/>
      </c>
      <c r="B59" s="75" t="str">
        <f aca="false">IF(CAD_Cartoes!$A19="","","CARTAO")</f>
        <v/>
      </c>
      <c r="C59" s="75" t="str">
        <f aca="false">IF(CAD_Cartoes!$A19="","",CAD_Cartoes!$B19)</f>
        <v/>
      </c>
    </row>
    <row r="60" customFormat="false" ht="15" hidden="false" customHeight="false" outlineLevel="0" collapsed="false">
      <c r="A60" s="75" t="str">
        <f aca="false">IF(CAD_Cartoes!$A20="","",CAD_Cartoes!$A20)</f>
        <v/>
      </c>
      <c r="B60" s="75" t="str">
        <f aca="false">IF(CAD_Cartoes!$A20="","","CARTAO")</f>
        <v/>
      </c>
      <c r="C60" s="75" t="str">
        <f aca="false">IF(CAD_Cartoes!$A20="","",CAD_Cartoes!$B20)</f>
        <v/>
      </c>
    </row>
    <row r="61" customFormat="false" ht="15" hidden="false" customHeight="false" outlineLevel="0" collapsed="false">
      <c r="A61" s="75" t="str">
        <f aca="false">IF(CAD_Cartoes!$A21="","",CAD_Cartoes!$A21)</f>
        <v/>
      </c>
      <c r="B61" s="75" t="str">
        <f aca="false">IF(CAD_Cartoes!$A21="","","CARTAO")</f>
        <v/>
      </c>
      <c r="C61" s="75" t="str">
        <f aca="false">IF(CAD_Cartoes!$A21="","",CAD_Cartoes!$B21)</f>
        <v/>
      </c>
    </row>
    <row r="62" customFormat="false" ht="15" hidden="false" customHeight="false" outlineLevel="0" collapsed="false">
      <c r="A62" s="75" t="str">
        <f aca="false">IF(CAD_Cartoes!$A22="","",CAD_Cartoes!$A22)</f>
        <v/>
      </c>
      <c r="B62" s="75" t="str">
        <f aca="false">IF(CAD_Cartoes!$A22="","","CARTAO")</f>
        <v/>
      </c>
      <c r="C62" s="75" t="str">
        <f aca="false">IF(CAD_Cartoes!$A22="","",CAD_Cartoes!$B22)</f>
        <v/>
      </c>
    </row>
    <row r="63" customFormat="false" ht="15" hidden="false" customHeight="false" outlineLevel="0" collapsed="false">
      <c r="A63" s="75" t="str">
        <f aca="false">IF(CAD_Cartoes!$A23="","",CAD_Cartoes!$A23)</f>
        <v/>
      </c>
      <c r="B63" s="75" t="str">
        <f aca="false">IF(CAD_Cartoes!$A23="","","CARTAO")</f>
        <v/>
      </c>
      <c r="C63" s="75" t="str">
        <f aca="false">IF(CAD_Cartoes!$A23="","",CAD_Cartoes!$B23)</f>
        <v/>
      </c>
    </row>
    <row r="64" customFormat="false" ht="15" hidden="false" customHeight="false" outlineLevel="0" collapsed="false">
      <c r="A64" s="75" t="str">
        <f aca="false">IF(CAD_Cartoes!$A24="","",CAD_Cartoes!$A24)</f>
        <v/>
      </c>
      <c r="B64" s="75" t="str">
        <f aca="false">IF(CAD_Cartoes!$A24="","","CARTAO")</f>
        <v/>
      </c>
      <c r="C64" s="75" t="str">
        <f aca="false">IF(CAD_Cartoes!$A24="","",CAD_Cartoes!$B24)</f>
        <v/>
      </c>
    </row>
    <row r="65" customFormat="false" ht="15" hidden="false" customHeight="false" outlineLevel="0" collapsed="false">
      <c r="A65" s="75" t="str">
        <f aca="false">IF(CAD_Cartoes!$A25="","",CAD_Cartoes!$A25)</f>
        <v/>
      </c>
      <c r="B65" s="75" t="str">
        <f aca="false">IF(CAD_Cartoes!$A25="","","CARTAO")</f>
        <v/>
      </c>
      <c r="C65" s="75" t="str">
        <f aca="false">IF(CAD_Cartoes!$A25="","",CAD_Cartoes!$B25)</f>
        <v/>
      </c>
    </row>
    <row r="66" customFormat="false" ht="15" hidden="false" customHeight="false" outlineLevel="0" collapsed="false">
      <c r="A66" s="75" t="str">
        <f aca="false">IF(CAD_Cartoes!$A26="","",CAD_Cartoes!$A26)</f>
        <v/>
      </c>
      <c r="B66" s="75" t="str">
        <f aca="false">IF(CAD_Cartoes!$A26="","","CARTAO")</f>
        <v/>
      </c>
      <c r="C66" s="75" t="str">
        <f aca="false">IF(CAD_Cartoes!$A26="","",CAD_Cartoes!$B26)</f>
        <v/>
      </c>
    </row>
    <row r="67" customFormat="false" ht="15" hidden="false" customHeight="false" outlineLevel="0" collapsed="false">
      <c r="A67" s="75" t="str">
        <f aca="false">IF(CAD_Cartoes!$A27="","",CAD_Cartoes!$A27)</f>
        <v/>
      </c>
      <c r="B67" s="75" t="str">
        <f aca="false">IF(CAD_Cartoes!$A27="","","CARTAO")</f>
        <v/>
      </c>
      <c r="C67" s="75" t="str">
        <f aca="false">IF(CAD_Cartoes!$A27="","",CAD_Cartoes!$B27)</f>
        <v/>
      </c>
    </row>
    <row r="68" customFormat="false" ht="15" hidden="false" customHeight="false" outlineLevel="0" collapsed="false">
      <c r="A68" s="75" t="str">
        <f aca="false">IF(CAD_Cartoes!$A28="","",CAD_Cartoes!$A28)</f>
        <v/>
      </c>
      <c r="B68" s="75" t="str">
        <f aca="false">IF(CAD_Cartoes!$A28="","","CARTAO")</f>
        <v/>
      </c>
      <c r="C68" s="75" t="str">
        <f aca="false">IF(CAD_Cartoes!$A28="","",CAD_Cartoes!$B28)</f>
        <v/>
      </c>
    </row>
    <row r="69" customFormat="false" ht="15" hidden="false" customHeight="false" outlineLevel="0" collapsed="false">
      <c r="A69" s="75" t="str">
        <f aca="false">IF(CAD_Cartoes!$A29="","",CAD_Cartoes!$A29)</f>
        <v/>
      </c>
      <c r="B69" s="75" t="str">
        <f aca="false">IF(CAD_Cartoes!$A29="","","CARTAO")</f>
        <v/>
      </c>
      <c r="C69" s="75" t="str">
        <f aca="false">IF(CAD_Cartoes!$A29="","",CAD_Cartoes!$B29)</f>
        <v/>
      </c>
    </row>
    <row r="70" customFormat="false" ht="15" hidden="false" customHeight="false" outlineLevel="0" collapsed="false">
      <c r="A70" s="75" t="str">
        <f aca="false">IF(CAD_Cartoes!$A30="","",CAD_Cartoes!$A30)</f>
        <v/>
      </c>
      <c r="B70" s="75" t="str">
        <f aca="false">IF(CAD_Cartoes!$A30="","","CARTAO")</f>
        <v/>
      </c>
      <c r="C70" s="75" t="str">
        <f aca="false">IF(CAD_Cartoes!$A30="","",CAD_Cartoes!$B30)</f>
        <v/>
      </c>
    </row>
    <row r="71" customFormat="false" ht="15" hidden="false" customHeight="false" outlineLevel="0" collapsed="false">
      <c r="A71" s="75" t="str">
        <f aca="false">IF(CAD_Cartoes!$A31="","",CAD_Cartoes!$A31)</f>
        <v/>
      </c>
      <c r="B71" s="75" t="str">
        <f aca="false">IF(CAD_Cartoes!$A31="","","CARTAO")</f>
        <v/>
      </c>
      <c r="C71" s="75" t="str">
        <f aca="false">IF(CAD_Cartoes!$A31="","",CAD_Cartoes!$B31)</f>
        <v/>
      </c>
    </row>
    <row r="72" customFormat="false" ht="15" hidden="false" customHeight="false" outlineLevel="0" collapsed="false">
      <c r="A72" s="75" t="str">
        <f aca="false">IF(CAD_Cartoes!$A32="","",CAD_Cartoes!$A32)</f>
        <v/>
      </c>
      <c r="B72" s="75" t="str">
        <f aca="false">IF(CAD_Cartoes!$A32="","","CARTAO")</f>
        <v/>
      </c>
      <c r="C72" s="75" t="str">
        <f aca="false">IF(CAD_Cartoes!$A32="","",CAD_Cartoes!$B32)</f>
        <v/>
      </c>
    </row>
    <row r="73" customFormat="false" ht="15" hidden="false" customHeight="false" outlineLevel="0" collapsed="false">
      <c r="A73" s="75" t="str">
        <f aca="false">IF(CAD_Cartoes!$A33="","",CAD_Cartoes!$A33)</f>
        <v/>
      </c>
      <c r="B73" s="75" t="str">
        <f aca="false">IF(CAD_Cartoes!$A33="","","CARTAO")</f>
        <v/>
      </c>
      <c r="C73" s="75" t="str">
        <f aca="false">IF(CAD_Cartoes!$A33="","",CAD_Cartoes!$B33)</f>
        <v/>
      </c>
    </row>
    <row r="74" customFormat="false" ht="15" hidden="false" customHeight="false" outlineLevel="0" collapsed="false">
      <c r="A74" s="75" t="str">
        <f aca="false">IF(CAD_Cartoes!$A34="","",CAD_Cartoes!$A34)</f>
        <v/>
      </c>
      <c r="B74" s="75" t="str">
        <f aca="false">IF(CAD_Cartoes!$A34="","","CARTAO")</f>
        <v/>
      </c>
      <c r="C74" s="75" t="str">
        <f aca="false">IF(CAD_Cartoes!$A34="","",CAD_Cartoes!$B34)</f>
        <v/>
      </c>
    </row>
    <row r="75" customFormat="false" ht="15" hidden="false" customHeight="false" outlineLevel="0" collapsed="false">
      <c r="A75" s="75" t="str">
        <f aca="false">IF(CAD_Cartoes!$A35="","",CAD_Cartoes!$A35)</f>
        <v/>
      </c>
      <c r="B75" s="75" t="str">
        <f aca="false">IF(CAD_Cartoes!$A35="","","CARTAO")</f>
        <v/>
      </c>
      <c r="C75" s="75" t="str">
        <f aca="false">IF(CAD_Cartoes!$A35="","",CAD_Cartoes!$B35)</f>
        <v/>
      </c>
    </row>
    <row r="76" customFormat="false" ht="15" hidden="false" customHeight="false" outlineLevel="0" collapsed="false">
      <c r="A76" s="75" t="str">
        <f aca="false">IF(CAD_Cartoes!$A36="","",CAD_Cartoes!$A36)</f>
        <v/>
      </c>
      <c r="B76" s="75" t="str">
        <f aca="false">IF(CAD_Cartoes!$A36="","","CARTAO")</f>
        <v/>
      </c>
      <c r="C76" s="75" t="str">
        <f aca="false">IF(CAD_Cartoes!$A36="","",CAD_Cartoes!$B36)</f>
        <v/>
      </c>
    </row>
    <row r="77" customFormat="false" ht="15" hidden="false" customHeight="false" outlineLevel="0" collapsed="false">
      <c r="A77" s="75" t="str">
        <f aca="false">IF(CAD_Cartoes!$A37="","",CAD_Cartoes!$A37)</f>
        <v/>
      </c>
      <c r="B77" s="75" t="str">
        <f aca="false">IF(CAD_Cartoes!$A37="","","CARTAO")</f>
        <v/>
      </c>
      <c r="C77" s="75" t="str">
        <f aca="false">IF(CAD_Cartoes!$A37="","",CAD_Cartoes!$B37)</f>
        <v/>
      </c>
    </row>
    <row r="78" customFormat="false" ht="15" hidden="false" customHeight="false" outlineLevel="0" collapsed="false">
      <c r="A78" s="75" t="str">
        <f aca="false">IF(CAD_Cartoes!$A38="","",CAD_Cartoes!$A38)</f>
        <v/>
      </c>
      <c r="B78" s="75" t="str">
        <f aca="false">IF(CAD_Cartoes!$A38="","","CARTAO")</f>
        <v/>
      </c>
      <c r="C78" s="75" t="str">
        <f aca="false">IF(CAD_Cartoes!$A38="","",CAD_Cartoes!$B38)</f>
        <v/>
      </c>
    </row>
    <row r="79" customFormat="false" ht="15" hidden="false" customHeight="false" outlineLevel="0" collapsed="false">
      <c r="A79" s="75" t="str">
        <f aca="false">IF(CAD_Cartoes!$A39="","",CAD_Cartoes!$A39)</f>
        <v/>
      </c>
      <c r="B79" s="75" t="str">
        <f aca="false">IF(CAD_Cartoes!$A39="","","CARTAO")</f>
        <v/>
      </c>
      <c r="C79" s="75" t="str">
        <f aca="false">IF(CAD_Cartoes!$A39="","",CAD_Cartoes!$B39)</f>
        <v/>
      </c>
    </row>
    <row r="80" customFormat="false" ht="15" hidden="false" customHeight="false" outlineLevel="0" collapsed="false">
      <c r="A80" s="75" t="str">
        <f aca="false">IF(CAD_Cartoes!$A40="","",CAD_Cartoes!$A40)</f>
        <v/>
      </c>
      <c r="B80" s="75" t="str">
        <f aca="false">IF(CAD_Cartoes!$A40="","","CARTAO")</f>
        <v/>
      </c>
      <c r="C80" s="75" t="str">
        <f aca="false">IF(CAD_Cartoes!$A40="","",CAD_Cartoes!$B40)</f>
        <v/>
      </c>
    </row>
    <row r="81" customFormat="false" ht="15" hidden="false" customHeight="false" outlineLevel="0" collapsed="false">
      <c r="A81" s="75" t="str">
        <f aca="false">IF(CAD_Cartoes!$A41="","",CAD_Cartoes!$A41)</f>
        <v/>
      </c>
      <c r="B81" s="75" t="str">
        <f aca="false">IF(CAD_Cartoes!$A41="","","CARTAO")</f>
        <v/>
      </c>
      <c r="C81" s="75" t="str">
        <f aca="false">IF(CAD_Cartoes!$A41="","",CAD_Cartoes!$B41)</f>
        <v/>
      </c>
    </row>
    <row r="82" customFormat="false" ht="15" hidden="false" customHeight="false" outlineLevel="0" collapsed="false">
      <c r="A82" s="75" t="str">
        <f aca="false">IF(CAD_Cartoes!$A42="","",CAD_Cartoes!$A42)</f>
        <v/>
      </c>
      <c r="B82" s="75" t="str">
        <f aca="false">IF(CAD_Cartoes!$A42="","","CARTAO")</f>
        <v/>
      </c>
      <c r="C82" s="75" t="str">
        <f aca="false">IF(CAD_Cartoes!$A42="","",CAD_Cartoes!$B42)</f>
        <v/>
      </c>
    </row>
    <row r="83" customFormat="false" ht="15" hidden="false" customHeight="false" outlineLevel="0" collapsed="false">
      <c r="A83" s="75" t="str">
        <f aca="false">IF(CAD_Cartoes!$A43="","",CAD_Cartoes!$A43)</f>
        <v/>
      </c>
      <c r="B83" s="75" t="str">
        <f aca="false">IF(CAD_Cartoes!$A43="","","CARTAO")</f>
        <v/>
      </c>
      <c r="C83" s="75" t="str">
        <f aca="false">IF(CAD_Cartoes!$A43="","",CAD_Cartoes!$B43)</f>
        <v/>
      </c>
    </row>
    <row r="84" customFormat="false" ht="15" hidden="false" customHeight="false" outlineLevel="0" collapsed="false">
      <c r="A84" s="75" t="str">
        <f aca="false">IF(CAD_Cartoes!$A44="","",CAD_Cartoes!$A44)</f>
        <v/>
      </c>
      <c r="B84" s="75" t="str">
        <f aca="false">IF(CAD_Cartoes!$A44="","","CARTAO")</f>
        <v/>
      </c>
      <c r="C84" s="75" t="str">
        <f aca="false">IF(CAD_Cartoes!$A44="","",CAD_Cartoes!$B44)</f>
        <v/>
      </c>
    </row>
    <row r="85" customFormat="false" ht="15" hidden="false" customHeight="false" outlineLevel="0" collapsed="false">
      <c r="A85" s="75" t="str">
        <f aca="false">IF(CAD_Investimentos!$A5="","",CAD_Investimentos!$A5)</f>
        <v/>
      </c>
      <c r="B85" s="75" t="str">
        <f aca="false">IF(CAD_Investimentos!$A5="","","INVESTIMENTO")</f>
        <v/>
      </c>
      <c r="C85" s="75" t="str">
        <f aca="false">IF(CAD_Investimentos!$A5="","",CAD_Investimentos!$B5)</f>
        <v/>
      </c>
    </row>
    <row r="86" customFormat="false" ht="15" hidden="false" customHeight="false" outlineLevel="0" collapsed="false">
      <c r="A86" s="75" t="str">
        <f aca="false">IF(CAD_Investimentos!$A6="","",CAD_Investimentos!$A6)</f>
        <v/>
      </c>
      <c r="B86" s="75" t="str">
        <f aca="false">IF(CAD_Investimentos!$A6="","","INVESTIMENTO")</f>
        <v/>
      </c>
      <c r="C86" s="75" t="str">
        <f aca="false">IF(CAD_Investimentos!$A6="","",CAD_Investimentos!$B6)</f>
        <v/>
      </c>
    </row>
    <row r="87" customFormat="false" ht="15" hidden="false" customHeight="false" outlineLevel="0" collapsed="false">
      <c r="A87" s="75" t="str">
        <f aca="false">IF(CAD_Investimentos!$A7="","",CAD_Investimentos!$A7)</f>
        <v/>
      </c>
      <c r="B87" s="75" t="str">
        <f aca="false">IF(CAD_Investimentos!$A7="","","INVESTIMENTO")</f>
        <v/>
      </c>
      <c r="C87" s="75" t="str">
        <f aca="false">IF(CAD_Investimentos!$A7="","",CAD_Investimentos!$B7)</f>
        <v/>
      </c>
    </row>
    <row r="88" customFormat="false" ht="15" hidden="false" customHeight="false" outlineLevel="0" collapsed="false">
      <c r="A88" s="75" t="str">
        <f aca="false">IF(CAD_Investimentos!$A8="","",CAD_Investimentos!$A8)</f>
        <v/>
      </c>
      <c r="B88" s="75" t="str">
        <f aca="false">IF(CAD_Investimentos!$A8="","","INVESTIMENTO")</f>
        <v/>
      </c>
      <c r="C88" s="75" t="str">
        <f aca="false">IF(CAD_Investimentos!$A8="","",CAD_Investimentos!$B8)</f>
        <v/>
      </c>
    </row>
    <row r="89" customFormat="false" ht="15" hidden="false" customHeight="false" outlineLevel="0" collapsed="false">
      <c r="A89" s="75" t="str">
        <f aca="false">IF(CAD_Investimentos!$A9="","",CAD_Investimentos!$A9)</f>
        <v/>
      </c>
      <c r="B89" s="75" t="str">
        <f aca="false">IF(CAD_Investimentos!$A9="","","INVESTIMENTO")</f>
        <v/>
      </c>
      <c r="C89" s="75" t="str">
        <f aca="false">IF(CAD_Investimentos!$A9="","",CAD_Investimentos!$B9)</f>
        <v/>
      </c>
    </row>
    <row r="90" customFormat="false" ht="15" hidden="false" customHeight="false" outlineLevel="0" collapsed="false">
      <c r="A90" s="75" t="str">
        <f aca="false">IF(CAD_Investimentos!$A10="","",CAD_Investimentos!$A10)</f>
        <v/>
      </c>
      <c r="B90" s="75" t="str">
        <f aca="false">IF(CAD_Investimentos!$A10="","","INVESTIMENTO")</f>
        <v/>
      </c>
      <c r="C90" s="75" t="str">
        <f aca="false">IF(CAD_Investimentos!$A10="","",CAD_Investimentos!$B10)</f>
        <v/>
      </c>
    </row>
    <row r="91" customFormat="false" ht="15" hidden="false" customHeight="false" outlineLevel="0" collapsed="false">
      <c r="A91" s="75" t="str">
        <f aca="false">IF(CAD_Investimentos!$A11="","",CAD_Investimentos!$A11)</f>
        <v/>
      </c>
      <c r="B91" s="75" t="str">
        <f aca="false">IF(CAD_Investimentos!$A11="","","INVESTIMENTO")</f>
        <v/>
      </c>
      <c r="C91" s="75" t="str">
        <f aca="false">IF(CAD_Investimentos!$A11="","",CAD_Investimentos!$B11)</f>
        <v/>
      </c>
    </row>
    <row r="92" customFormat="false" ht="15" hidden="false" customHeight="false" outlineLevel="0" collapsed="false">
      <c r="A92" s="75" t="str">
        <f aca="false">IF(CAD_Investimentos!$A12="","",CAD_Investimentos!$A12)</f>
        <v/>
      </c>
      <c r="B92" s="75" t="str">
        <f aca="false">IF(CAD_Investimentos!$A12="","","INVESTIMENTO")</f>
        <v/>
      </c>
      <c r="C92" s="75" t="str">
        <f aca="false">IF(CAD_Investimentos!$A12="","",CAD_Investimentos!$B12)</f>
        <v/>
      </c>
    </row>
    <row r="93" customFormat="false" ht="15" hidden="false" customHeight="false" outlineLevel="0" collapsed="false">
      <c r="A93" s="75" t="str">
        <f aca="false">IF(CAD_Investimentos!$A13="","",CAD_Investimentos!$A13)</f>
        <v/>
      </c>
      <c r="B93" s="75" t="str">
        <f aca="false">IF(CAD_Investimentos!$A13="","","INVESTIMENTO")</f>
        <v/>
      </c>
      <c r="C93" s="75" t="str">
        <f aca="false">IF(CAD_Investimentos!$A13="","",CAD_Investimentos!$B13)</f>
        <v/>
      </c>
    </row>
    <row r="94" customFormat="false" ht="15" hidden="false" customHeight="false" outlineLevel="0" collapsed="false">
      <c r="A94" s="75" t="str">
        <f aca="false">IF(CAD_Investimentos!$A14="","",CAD_Investimentos!$A14)</f>
        <v/>
      </c>
      <c r="B94" s="75" t="str">
        <f aca="false">IF(CAD_Investimentos!$A14="","","INVESTIMENTO")</f>
        <v/>
      </c>
      <c r="C94" s="75" t="str">
        <f aca="false">IF(CAD_Investimentos!$A14="","",CAD_Investimentos!$B14)</f>
        <v/>
      </c>
    </row>
    <row r="95" customFormat="false" ht="15" hidden="false" customHeight="false" outlineLevel="0" collapsed="false">
      <c r="A95" s="75" t="str">
        <f aca="false">IF(CAD_Investimentos!$A15="","",CAD_Investimentos!$A15)</f>
        <v/>
      </c>
      <c r="B95" s="75" t="str">
        <f aca="false">IF(CAD_Investimentos!$A15="","","INVESTIMENTO")</f>
        <v/>
      </c>
      <c r="C95" s="75" t="str">
        <f aca="false">IF(CAD_Investimentos!$A15="","",CAD_Investimentos!$B15)</f>
        <v/>
      </c>
    </row>
    <row r="96" customFormat="false" ht="15" hidden="false" customHeight="false" outlineLevel="0" collapsed="false">
      <c r="A96" s="75" t="str">
        <f aca="false">IF(CAD_Investimentos!$A16="","",CAD_Investimentos!$A16)</f>
        <v/>
      </c>
      <c r="B96" s="75" t="str">
        <f aca="false">IF(CAD_Investimentos!$A16="","","INVESTIMENTO")</f>
        <v/>
      </c>
      <c r="C96" s="75" t="str">
        <f aca="false">IF(CAD_Investimentos!$A16="","",CAD_Investimentos!$B16)</f>
        <v/>
      </c>
    </row>
    <row r="97" customFormat="false" ht="15" hidden="false" customHeight="false" outlineLevel="0" collapsed="false">
      <c r="A97" s="75" t="str">
        <f aca="false">IF(CAD_Investimentos!$A17="","",CAD_Investimentos!$A17)</f>
        <v/>
      </c>
      <c r="B97" s="75" t="str">
        <f aca="false">IF(CAD_Investimentos!$A17="","","INVESTIMENTO")</f>
        <v/>
      </c>
      <c r="C97" s="75" t="str">
        <f aca="false">IF(CAD_Investimentos!$A17="","",CAD_Investimentos!$B17)</f>
        <v/>
      </c>
    </row>
    <row r="98" customFormat="false" ht="15" hidden="false" customHeight="false" outlineLevel="0" collapsed="false">
      <c r="A98" s="75" t="str">
        <f aca="false">IF(CAD_Investimentos!$A18="","",CAD_Investimentos!$A18)</f>
        <v/>
      </c>
      <c r="B98" s="75" t="str">
        <f aca="false">IF(CAD_Investimentos!$A18="","","INVESTIMENTO")</f>
        <v/>
      </c>
      <c r="C98" s="75" t="str">
        <f aca="false">IF(CAD_Investimentos!$A18="","",CAD_Investimentos!$B18)</f>
        <v/>
      </c>
    </row>
    <row r="99" customFormat="false" ht="15" hidden="false" customHeight="false" outlineLevel="0" collapsed="false">
      <c r="A99" s="75" t="str">
        <f aca="false">IF(CAD_Investimentos!$A19="","",CAD_Investimentos!$A19)</f>
        <v/>
      </c>
      <c r="B99" s="75" t="str">
        <f aca="false">IF(CAD_Investimentos!$A19="","","INVESTIMENTO")</f>
        <v/>
      </c>
      <c r="C99" s="75" t="str">
        <f aca="false">IF(CAD_Investimentos!$A19="","",CAD_Investimentos!$B19)</f>
        <v/>
      </c>
    </row>
    <row r="100" customFormat="false" ht="15" hidden="false" customHeight="false" outlineLevel="0" collapsed="false">
      <c r="A100" s="75" t="str">
        <f aca="false">IF(CAD_Investimentos!$A20="","",CAD_Investimentos!$A20)</f>
        <v/>
      </c>
      <c r="B100" s="75" t="str">
        <f aca="false">IF(CAD_Investimentos!$A20="","","INVESTIMENTO")</f>
        <v/>
      </c>
      <c r="C100" s="75" t="str">
        <f aca="false">IF(CAD_Investimentos!$A20="","",CAD_Investimentos!$B20)</f>
        <v/>
      </c>
    </row>
    <row r="101" customFormat="false" ht="15" hidden="false" customHeight="false" outlineLevel="0" collapsed="false">
      <c r="A101" s="75" t="str">
        <f aca="false">IF(CAD_Investimentos!$A21="","",CAD_Investimentos!$A21)</f>
        <v/>
      </c>
      <c r="B101" s="75" t="str">
        <f aca="false">IF(CAD_Investimentos!$A21="","","INVESTIMENTO")</f>
        <v/>
      </c>
      <c r="C101" s="75" t="str">
        <f aca="false">IF(CAD_Investimentos!$A21="","",CAD_Investimentos!$B21)</f>
        <v/>
      </c>
    </row>
    <row r="102" customFormat="false" ht="15" hidden="false" customHeight="false" outlineLevel="0" collapsed="false">
      <c r="A102" s="75" t="str">
        <f aca="false">IF(CAD_Investimentos!$A22="","",CAD_Investimentos!$A22)</f>
        <v/>
      </c>
      <c r="B102" s="75" t="str">
        <f aca="false">IF(CAD_Investimentos!$A22="","","INVESTIMENTO")</f>
        <v/>
      </c>
      <c r="C102" s="75" t="str">
        <f aca="false">IF(CAD_Investimentos!$A22="","",CAD_Investimentos!$B22)</f>
        <v/>
      </c>
    </row>
    <row r="103" customFormat="false" ht="15" hidden="false" customHeight="false" outlineLevel="0" collapsed="false">
      <c r="A103" s="75" t="str">
        <f aca="false">IF(CAD_Investimentos!$A23="","",CAD_Investimentos!$A23)</f>
        <v/>
      </c>
      <c r="B103" s="75" t="str">
        <f aca="false">IF(CAD_Investimentos!$A23="","","INVESTIMENTO")</f>
        <v/>
      </c>
      <c r="C103" s="75" t="str">
        <f aca="false">IF(CAD_Investimentos!$A23="","",CAD_Investimentos!$B23)</f>
        <v/>
      </c>
    </row>
    <row r="104" customFormat="false" ht="15" hidden="false" customHeight="false" outlineLevel="0" collapsed="false">
      <c r="A104" s="75" t="str">
        <f aca="false">IF(CAD_Investimentos!$A24="","",CAD_Investimentos!$A24)</f>
        <v/>
      </c>
      <c r="B104" s="75" t="str">
        <f aca="false">IF(CAD_Investimentos!$A24="","","INVESTIMENTO")</f>
        <v/>
      </c>
      <c r="C104" s="75" t="str">
        <f aca="false">IF(CAD_Investimentos!$A24="","",CAD_Investimentos!$B24)</f>
        <v/>
      </c>
    </row>
    <row r="105" customFormat="false" ht="15" hidden="false" customHeight="false" outlineLevel="0" collapsed="false">
      <c r="A105" s="75" t="str">
        <f aca="false">IF(CAD_Investimentos!$A25="","",CAD_Investimentos!$A25)</f>
        <v/>
      </c>
      <c r="B105" s="75" t="str">
        <f aca="false">IF(CAD_Investimentos!$A25="","","INVESTIMENTO")</f>
        <v/>
      </c>
      <c r="C105" s="75" t="str">
        <f aca="false">IF(CAD_Investimentos!$A25="","",CAD_Investimentos!$B25)</f>
        <v/>
      </c>
    </row>
    <row r="106" customFormat="false" ht="15" hidden="false" customHeight="false" outlineLevel="0" collapsed="false">
      <c r="A106" s="75" t="str">
        <f aca="false">IF(CAD_Investimentos!$A26="","",CAD_Investimentos!$A26)</f>
        <v/>
      </c>
      <c r="B106" s="75" t="str">
        <f aca="false">IF(CAD_Investimentos!$A26="","","INVESTIMENTO")</f>
        <v/>
      </c>
      <c r="C106" s="75" t="str">
        <f aca="false">IF(CAD_Investimentos!$A26="","",CAD_Investimentos!$B26)</f>
        <v/>
      </c>
    </row>
    <row r="107" customFormat="false" ht="15" hidden="false" customHeight="false" outlineLevel="0" collapsed="false">
      <c r="A107" s="75" t="str">
        <f aca="false">IF(CAD_Investimentos!$A27="","",CAD_Investimentos!$A27)</f>
        <v/>
      </c>
      <c r="B107" s="75" t="str">
        <f aca="false">IF(CAD_Investimentos!$A27="","","INVESTIMENTO")</f>
        <v/>
      </c>
      <c r="C107" s="75" t="str">
        <f aca="false">IF(CAD_Investimentos!$A27="","",CAD_Investimentos!$B27)</f>
        <v/>
      </c>
    </row>
    <row r="108" customFormat="false" ht="15" hidden="false" customHeight="false" outlineLevel="0" collapsed="false">
      <c r="A108" s="75" t="str">
        <f aca="false">IF(CAD_Investimentos!$A28="","",CAD_Investimentos!$A28)</f>
        <v/>
      </c>
      <c r="B108" s="75" t="str">
        <f aca="false">IF(CAD_Investimentos!$A28="","","INVESTIMENTO")</f>
        <v/>
      </c>
      <c r="C108" s="75" t="str">
        <f aca="false">IF(CAD_Investimentos!$A28="","",CAD_Investimentos!$B28)</f>
        <v/>
      </c>
    </row>
    <row r="109" customFormat="false" ht="15" hidden="false" customHeight="false" outlineLevel="0" collapsed="false">
      <c r="A109" s="75" t="str">
        <f aca="false">IF(CAD_Investimentos!$A29="","",CAD_Investimentos!$A29)</f>
        <v/>
      </c>
      <c r="B109" s="75" t="str">
        <f aca="false">IF(CAD_Investimentos!$A29="","","INVESTIMENTO")</f>
        <v/>
      </c>
      <c r="C109" s="75" t="str">
        <f aca="false">IF(CAD_Investimentos!$A29="","",CAD_Investimentos!$B29)</f>
        <v/>
      </c>
    </row>
    <row r="110" customFormat="false" ht="15" hidden="false" customHeight="false" outlineLevel="0" collapsed="false">
      <c r="A110" s="75" t="str">
        <f aca="false">IF(CAD_Investimentos!$A30="","",CAD_Investimentos!$A30)</f>
        <v/>
      </c>
      <c r="B110" s="75" t="str">
        <f aca="false">IF(CAD_Investimentos!$A30="","","INVESTIMENTO")</f>
        <v/>
      </c>
      <c r="C110" s="75" t="str">
        <f aca="false">IF(CAD_Investimentos!$A30="","",CAD_Investimentos!$B30)</f>
        <v/>
      </c>
    </row>
    <row r="111" customFormat="false" ht="15" hidden="false" customHeight="false" outlineLevel="0" collapsed="false">
      <c r="A111" s="75" t="str">
        <f aca="false">IF(CAD_Investimentos!$A31="","",CAD_Investimentos!$A31)</f>
        <v/>
      </c>
      <c r="B111" s="75" t="str">
        <f aca="false">IF(CAD_Investimentos!$A31="","","INVESTIMENTO")</f>
        <v/>
      </c>
      <c r="C111" s="75" t="str">
        <f aca="false">IF(CAD_Investimentos!$A31="","",CAD_Investimentos!$B31)</f>
        <v/>
      </c>
    </row>
    <row r="112" customFormat="false" ht="15" hidden="false" customHeight="false" outlineLevel="0" collapsed="false">
      <c r="A112" s="75" t="str">
        <f aca="false">IF(CAD_Investimentos!$A32="","",CAD_Investimentos!$A32)</f>
        <v/>
      </c>
      <c r="B112" s="75" t="str">
        <f aca="false">IF(CAD_Investimentos!$A32="","","INVESTIMENTO")</f>
        <v/>
      </c>
      <c r="C112" s="75" t="str">
        <f aca="false">IF(CAD_Investimentos!$A32="","",CAD_Investimentos!$B32)</f>
        <v/>
      </c>
    </row>
    <row r="113" customFormat="false" ht="15" hidden="false" customHeight="false" outlineLevel="0" collapsed="false">
      <c r="A113" s="75" t="str">
        <f aca="false">IF(CAD_Investimentos!$A33="","",CAD_Investimentos!$A33)</f>
        <v/>
      </c>
      <c r="B113" s="75" t="str">
        <f aca="false">IF(CAD_Investimentos!$A33="","","INVESTIMENTO")</f>
        <v/>
      </c>
      <c r="C113" s="75" t="str">
        <f aca="false">IF(CAD_Investimentos!$A33="","",CAD_Investimentos!$B33)</f>
        <v/>
      </c>
    </row>
    <row r="114" customFormat="false" ht="15" hidden="false" customHeight="false" outlineLevel="0" collapsed="false">
      <c r="A114" s="75" t="str">
        <f aca="false">IF(CAD_Investimentos!$A34="","",CAD_Investimentos!$A34)</f>
        <v/>
      </c>
      <c r="B114" s="75" t="str">
        <f aca="false">IF(CAD_Investimentos!$A34="","","INVESTIMENTO")</f>
        <v/>
      </c>
      <c r="C114" s="75" t="str">
        <f aca="false">IF(CAD_Investimentos!$A34="","",CAD_Investimentos!$B34)</f>
        <v/>
      </c>
    </row>
    <row r="115" customFormat="false" ht="15" hidden="false" customHeight="false" outlineLevel="0" collapsed="false">
      <c r="A115" s="75" t="str">
        <f aca="false">IF(CAD_Investimentos!$A35="","",CAD_Investimentos!$A35)</f>
        <v/>
      </c>
      <c r="B115" s="75" t="str">
        <f aca="false">IF(CAD_Investimentos!$A35="","","INVESTIMENTO")</f>
        <v/>
      </c>
      <c r="C115" s="75" t="str">
        <f aca="false">IF(CAD_Investimentos!$A35="","",CAD_Investimentos!$B35)</f>
        <v/>
      </c>
    </row>
    <row r="116" customFormat="false" ht="15" hidden="false" customHeight="false" outlineLevel="0" collapsed="false">
      <c r="A116" s="75" t="str">
        <f aca="false">IF(CAD_Investimentos!$A36="","",CAD_Investimentos!$A36)</f>
        <v/>
      </c>
      <c r="B116" s="75" t="str">
        <f aca="false">IF(CAD_Investimentos!$A36="","","INVESTIMENTO")</f>
        <v/>
      </c>
      <c r="C116" s="75" t="str">
        <f aca="false">IF(CAD_Investimentos!$A36="","",CAD_Investimentos!$B36)</f>
        <v/>
      </c>
    </row>
    <row r="117" customFormat="false" ht="15" hidden="false" customHeight="false" outlineLevel="0" collapsed="false">
      <c r="A117" s="75" t="str">
        <f aca="false">IF(CAD_Investimentos!$A37="","",CAD_Investimentos!$A37)</f>
        <v/>
      </c>
      <c r="B117" s="75" t="str">
        <f aca="false">IF(CAD_Investimentos!$A37="","","INVESTIMENTO")</f>
        <v/>
      </c>
      <c r="C117" s="75" t="str">
        <f aca="false">IF(CAD_Investimentos!$A37="","",CAD_Investimentos!$B37)</f>
        <v/>
      </c>
    </row>
    <row r="118" customFormat="false" ht="15" hidden="false" customHeight="false" outlineLevel="0" collapsed="false">
      <c r="A118" s="75" t="str">
        <f aca="false">IF(CAD_Investimentos!$A38="","",CAD_Investimentos!$A38)</f>
        <v/>
      </c>
      <c r="B118" s="75" t="str">
        <f aca="false">IF(CAD_Investimentos!$A38="","","INVESTIMENTO")</f>
        <v/>
      </c>
      <c r="C118" s="75" t="str">
        <f aca="false">IF(CAD_Investimentos!$A38="","",CAD_Investimentos!$B38)</f>
        <v/>
      </c>
    </row>
    <row r="119" customFormat="false" ht="15" hidden="false" customHeight="false" outlineLevel="0" collapsed="false">
      <c r="A119" s="75" t="str">
        <f aca="false">IF(CAD_Investimentos!$A39="","",CAD_Investimentos!$A39)</f>
        <v/>
      </c>
      <c r="B119" s="75" t="str">
        <f aca="false">IF(CAD_Investimentos!$A39="","","INVESTIMENTO")</f>
        <v/>
      </c>
      <c r="C119" s="75" t="str">
        <f aca="false">IF(CAD_Investimentos!$A39="","",CAD_Investimentos!$B39)</f>
        <v/>
      </c>
    </row>
    <row r="120" customFormat="false" ht="15" hidden="false" customHeight="false" outlineLevel="0" collapsed="false">
      <c r="A120" s="75" t="str">
        <f aca="false">IF(CAD_Investimentos!$A40="","",CAD_Investimentos!$A40)</f>
        <v/>
      </c>
      <c r="B120" s="75" t="str">
        <f aca="false">IF(CAD_Investimentos!$A40="","","INVESTIMENTO")</f>
        <v/>
      </c>
      <c r="C120" s="75" t="str">
        <f aca="false">IF(CAD_Investimentos!$A40="","",CAD_Investimentos!$B40)</f>
        <v/>
      </c>
    </row>
    <row r="121" customFormat="false" ht="15" hidden="false" customHeight="false" outlineLevel="0" collapsed="false">
      <c r="A121" s="75" t="str">
        <f aca="false">IF(CAD_Investimentos!$A41="","",CAD_Investimentos!$A41)</f>
        <v/>
      </c>
      <c r="B121" s="75" t="str">
        <f aca="false">IF(CAD_Investimentos!$A41="","","INVESTIMENTO")</f>
        <v/>
      </c>
      <c r="C121" s="75" t="str">
        <f aca="false">IF(CAD_Investimentos!$A41="","",CAD_Investimentos!$B41)</f>
        <v/>
      </c>
    </row>
    <row r="122" customFormat="false" ht="15" hidden="false" customHeight="false" outlineLevel="0" collapsed="false">
      <c r="A122" s="75" t="str">
        <f aca="false">IF(CAD_Investimentos!$A42="","",CAD_Investimentos!$A42)</f>
        <v/>
      </c>
      <c r="B122" s="75" t="str">
        <f aca="false">IF(CAD_Investimentos!$A42="","","INVESTIMENTO")</f>
        <v/>
      </c>
      <c r="C122" s="75" t="str">
        <f aca="false">IF(CAD_Investimentos!$A42="","",CAD_Investimentos!$B42)</f>
        <v/>
      </c>
    </row>
    <row r="123" customFormat="false" ht="15" hidden="false" customHeight="false" outlineLevel="0" collapsed="false">
      <c r="A123" s="75" t="str">
        <f aca="false">IF(CAD_Investimentos!$A43="","",CAD_Investimentos!$A43)</f>
        <v/>
      </c>
      <c r="B123" s="75" t="str">
        <f aca="false">IF(CAD_Investimentos!$A43="","","INVESTIMENTO")</f>
        <v/>
      </c>
      <c r="C123" s="75" t="str">
        <f aca="false">IF(CAD_Investimentos!$A43="","",CAD_Investimentos!$B43)</f>
        <v/>
      </c>
    </row>
    <row r="124" customFormat="false" ht="15" hidden="false" customHeight="false" outlineLevel="0" collapsed="false">
      <c r="A124" s="75" t="str">
        <f aca="false">IF(CAD_Investimentos!$A44="","",CAD_Investimentos!$A44)</f>
        <v/>
      </c>
      <c r="B124" s="75" t="str">
        <f aca="false">IF(CAD_Investimentos!$A44="","","INVESTIMENTO")</f>
        <v/>
      </c>
      <c r="C124" s="75" t="str">
        <f aca="false">IF(CAD_Investimentos!$A44="","",CAD_Investimentos!$B44)</f>
        <v/>
      </c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2026-09-05T14:01:59Z</dcterms:created>
  <dc:creator>openpyxl</dc:creator>
  <dc:description/>
  <dc:language>en-US</dc:language>
  <cp:lastModifiedBy/>
  <dcterms:modified xsi:type="dcterms:W3CDTF">2026-09-05T14:02:02Z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